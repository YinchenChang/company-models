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24" vbProcedure="false">In!$E$20</definedName>
    <definedName function="false" hidden="false" name="ai25" vbProcedure="false">In!$E$18</definedName>
    <definedName function="false" hidden="false" name="ai25_hi" vbProcedure="false">In!$F$18</definedName>
    <definedName function="false" hidden="false" name="ai25_lo" vbProcedure="false">In!$D$18</definedName>
    <definedName function="false" hidden="false" name="cons_oi26" vbProcedure="false">In!$E$105</definedName>
    <definedName function="false" hidden="false" name="cons_rev26" vbProcedure="false">In!$E$104</definedName>
    <definedName function="false" hidden="false" name="cons_rev26_hi" vbProcedure="false">In!$F$104</definedName>
    <definedName function="false" hidden="false" name="cons_rev26_lo" vbProcedure="false">In!$D$104</definedName>
    <definedName function="false" hidden="false" name="cons_rev27" vbProcedure="false">In!$E$106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25" vbProcedure="false">In!$E$13</definedName>
    <definedName function="false" hidden="false" name="g3_oi" vbProcedure="false">In!$E$103</definedName>
    <definedName function="false" hidden="false" name="g3_rev" vbProcedure="false">In!$E$102</definedName>
    <definedName function="false" hidden="false" name="g9_ni" vbProcedure="false">In!$E$101</definedName>
    <definedName function="false" hidden="false" name="g9_oi" vbProcedure="false">In!$E$100</definedName>
    <definedName function="false" hidden="false" name="g9_rev" vbProcedure="false">In!$E$99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nioi" vbProcedure="false">In!$E$91</definedName>
    <definedName function="false" hidden="false" name="nioi_hi" vbProcedure="false">In!$F$91</definedName>
    <definedName function="false" hidden="false" name="nioi_lo" vbProcedure="false">In!$D$91</definedName>
    <definedName function="false" hidden="false" name="ot25" vbProcedure="false">In!$E$15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x" vbProcedure="false">In!$E$107</definedName>
    <definedName function="false" hidden="false" name="q26h1_eps" vbProcedure="false">In!$E$97</definedName>
    <definedName function="false" hidden="false" name="q26h1_gp" vbProcedure="false">In!$E$98</definedName>
    <definedName function="false" hidden="false" name="q26h1_ni" vbProcedure="false">In!$E$96</definedName>
    <definedName function="false" hidden="false" name="q26h1_oi" vbProcedure="false">In!$E$95</definedName>
    <definedName function="false" hidden="false" name="q26h1_rev" vbProcedure="false">In!$E$94</definedName>
    <definedName function="false" hidden="false" name="r_ot" vbProcedure="false">In!$E$16</definedName>
    <definedName function="false" hidden="false" name="sa_fpe" vbProcedure="false">In!$E$108</definedName>
    <definedName function="false" hidden="false" name="sa_ttm" vbProcedure="false">In!$E$109</definedName>
    <definedName function="false" hidden="false" name="semi_pk" vbProcedure="false">In!$E$110</definedName>
    <definedName function="false" hidden="false" name="semi_pk_lo" vbProcedure="false">In!$D$110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In!$E$92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25" vbProcedure="false">In!$E$14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<sst xmlns="http://schemas.openxmlformats.org/spreadsheetml/2006/main" count="4147" uniqueCount="803">
  <si>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2026-10-23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</si>
  <si>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</si>
  <si>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</si>
  <si>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</si>
  <si>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</si>
  <si>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</si>
  <si>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</si>
  <si>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</si>
  <si>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</si>
  <si>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</si>
  <si>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的循環位置由各情境的營業利益路徑以公式判定。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｜上半實績、公司下一季指引、共識。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</si>
  <si>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</si>
  <si>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</si>
  <si>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</si>
  <si>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</si>
  <si>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</si>
  <si>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</si>
  <si>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</si>
  <si>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</si>
  <si>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</si>
  <si>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</si>
  <si>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</si>
  <si>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</si>
  <si>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</si>
  <si>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</si>
  <si>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</si>
  <si>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</si>
  <si>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</si>
  <si>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</si>
  <si>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</si>
  <si>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</si>
  <si>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</si>
  <si>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</si>
  <si>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</si>
  <si>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</si>
  <si>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</si>
  <si>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</si>
  <si>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</si>
  <si>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</si>
  <si>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</si>
  <si>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</si>
  <si>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</si>
  <si>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</si>
  <si>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</si>
  <si>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</si>
  <si>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</si>
  <si>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</si>
  <si>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</si>
  <si>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</si>
  <si>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</si>
  <si>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</si>
  <si>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</si>
  <si>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</si>
  <si>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</si>
  <si>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</si>
  <si>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</si>
  <si>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</si>
  <si>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</si>
  <si>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</si>
  <si>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</si>
  <si>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</si>
  <si>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</si>
  <si>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</si>
  <si>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</si>
  <si>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</si>
  <si>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</si>
  <si>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</si>
  <si>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</si>
  <si>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</si>
  <si>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</si>
  <si>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</si>
  <si>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</si>
  <si>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</si>
  <si>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</si>
  <si>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</si>
  <si>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</si>
  <si>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</si>
  <si>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</si>
  <si>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</si>
  <si>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</si>
  <si>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</si>
  <si>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</si>
  <si>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</si>
  <si>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</si>
  <si>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</si>
  <si>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</si>
  <si>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</si>
  <si>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</si>
  <si>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</si>
  <si>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</si>
  <si>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</si>
  <si>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</si>
  <si>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</si>
  <si>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</si>
  <si>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</si>
  <si>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</si>
  <si>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</si>
  <si>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</si>
  <si>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</si>
  <si>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</si>
  <si>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</si>
  <si>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</si>
  <si>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</si>
  <si>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</si>
  <si>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</si>
  <si>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</si>
  <si>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</si>
  <si>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</si>
  <si>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</si>
  <si>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</si>
  <si>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</si>
  <si>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</si>
  <si>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</si>
  <si>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</si>
  <si>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</si>
  <si>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</si>
  <si>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</si>
  <si>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</si>
  <si>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</si>
  <si>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</si>
  <si>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</si>
  <si>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skhynix/dist/20261023_SK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</si>
  <si>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</si>
  <si>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</si>
  <si>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</si>
  <si>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</si>
  <si>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</si>
  <si>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</si>
  <si>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</si>
  <si>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</si>
  <si>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</si>
  <si>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</si>
  <si>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</si>
  <si>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</si>
  <si>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</si>
  <si>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</si>
  <si>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</si>
  <si>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</si>
  <si>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</si>
  <si>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</si>
  <si>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</si>
  <si>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</si>
  <si>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</si>
  <si>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</si>
  <si>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</si>
  <si>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</si>
  <si>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</si>
  <si>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</si>
  <si>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</si>
  <si>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</si>
  <si>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</si>
  <si>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</si>
  <si>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</si>
  <si>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</si>
  <si>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</si>
  <si>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</si>
  <si>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</si>
  <si>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</si>
  <si>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</si>
  <si>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</si>
  <si>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</si>
  <si>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</si>
  <si>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</si>
  <si>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</si>
  <si>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</si>
  <si>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</si>
  <si>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</si>
  <si>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</si>
  <si>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</si>
  <si>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</si>
  <si>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</si>
  <si>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</si>
  <si>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</si>
  <si>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</si>
  <si>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</si>
  <si>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</si>
  <si>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</si>
  <si>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</si>
  <si>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</si>
  <si>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</si>
  <si>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</si>
  <si>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</si>
  <si>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tsmc/dist/20261022_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</si>
  <si>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</si>
  <si>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</si>
  <si>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</si>
  <si>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</si>
  <si>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</si>
  <si>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</si>
  <si>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</si>
  <si>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</si>
  <si>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</si>
  <si>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</si>
  <si>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</si>
  <si>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</si>
  <si>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</si>
  <si>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</si>
  <si>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</si>
  <si>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</si>
  <si>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</si>
  <si>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</si>
  <si>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</si>
  <si>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</si>
  <si>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</si>
  <si>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</si>
  <si>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</si>
  <si>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</si>
  <si>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</si>
  <si>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</si>
  <si>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</si>
  <si>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</si>
  <si>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</si>
  <si>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</si>
  <si>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</si>
  <si>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</si>
  <si>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</si>
  <si>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</si>
  <si>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</si>
  <si>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</si>
  <si>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</si>
  <si>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</si>
  <si>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</si>
  <si>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</si>
  <si>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</si>
  <si>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</si>
  <si>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</si>
  <si>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</si>
  <si>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</si>
  <si>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</si>
  <si>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</si>
  <si>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</si>
  <si>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</si>
  <si>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</si>
  <si>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</si>
  <si>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</si>
  <si>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</si>
  <si>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</si>
  <si>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</si>
  <si>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</si>
  <si>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</si>
  <si>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</si>
  <si>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</si>
  <si>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</si>
  <si>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</si>
  <si>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</si>
  <si>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</si>
  <si>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</si>
  <si>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</si>
  <si>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</si>
  <si>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</si>
  <si>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</si>
  <si>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</si>
  <si>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</si>
  <si>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</si>
  <si>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</si>
  <si>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</si>
  <si>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</si>
  <si>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</si>
  <si>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</si>
  <si>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</si>
  <si>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</si>
  <si>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</si>
  <si>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</si>
  <si>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</si>
  <si>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</si>
  <si>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</si>
  <si>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</si>
  <si>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</si>
  <si>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</si>
  <si>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</si>
  <si>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</si>
  <si>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</si>
  <si>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</si>
  <si>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</si>
  <si>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</si>
  <si>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</si>
  <si>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</si>
  <si>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</si>
  <si>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</si>
  <si>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</si>
  <si>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</si>
  <si>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</si>
  <si>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</si>
  <si>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；高＝</t>
    </r>
    <r>
      <rPr>
        <sz val="11"/>
        <color theme="1"/>
        <rFont val="Calibri"/>
        <family val="2"/>
        <charset val="1"/>
      </rPr>
      <t xml:space="preserve">FY2024 0.743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</si>
  <si>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上半含歐洲子公司建物減損 </t>
    </r>
    <r>
      <rPr>
        <sz val="11"/>
        <color theme="1"/>
        <rFont val="Calibri"/>
        <family val="2"/>
        <charset val="1"/>
      </rPr>
      <t xml:space="preserve">¥0.6B</t>
    </r>
    <r>
      <rPr>
        <sz val="11"/>
        <color theme="1"/>
        <rFont val="Noto Sans CJK SC"/>
        <family val="2"/>
      </rPr>
      <t xml:space="preserve">（法說摘要）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</si>
  <si>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</si>
  <si>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</si>
  <si>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</si>
  <si>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</si>
  <si>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</si>
  <si>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</si>
  <si>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</si>
  <si>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</si>
  <si>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</si>
  <si>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</si>
  <si>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</si>
  <si>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</si>
  <si>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</si>
  <si>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</si>
  <si>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</si>
  <si>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</si>
  <si>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</si>
  <si>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</si>
  <si>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</si>
  <si>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</si>
  <si>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</si>
  <si>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</si>
  <si>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</si>
  <si>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</si>
  <si>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</si>
  <si>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</si>
  <si>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</si>
  <si>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</si>
  <si>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</si>
  <si>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</si>
  <si>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</si>
  <si>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</si>
  <si>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</si>
  <si>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</si>
  <si>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</si>
  <si>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</si>
  <si>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</si>
  <si>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</si>
  <si>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</si>
  <si>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</si>
  <si>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</si>
  <si>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</si>
  <si>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</si>
  <si>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</si>
  <si>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</si>
  <si>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</si>
  <si>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</si>
  <si>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</si>
  <si>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</si>
  <si>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</si>
  <si>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</si>
  <si>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</si>
  <si>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</si>
  <si>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</si>
  <si>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</si>
  <si>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</si>
  <si>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松井證券（</t>
    </r>
    <r>
      <rPr>
        <sz val="11"/>
        <color theme="1"/>
        <rFont val="Calibri"/>
        <family val="2"/>
        <charset val="1"/>
      </rPr>
      <t xml:space="preserve">2026/10/22 15:30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51,230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同值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</si>
  <si>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</si>
  <si>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</si>
  <si>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</si>
  <si>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</si>
  <si>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</si>
  <si>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</si>
  <si>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</si>
  <si>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</si>
  <si>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</si>
  <si>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</si>
  <si>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</si>
  <si>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</si>
  <si>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</si>
  <si>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</si>
  <si>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</si>
  <si>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</si>
  <si>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</si>
  <si>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</si>
  <si>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</si>
  <si>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</si>
  <si>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</si>
  <si>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</si>
  <si>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</si>
  <si>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</si>
  <si>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</si>
  <si>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</si>
  <si>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</si>
  <si>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</si>
  <si>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</si>
  <si>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</si>
  <si>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</si>
  <si>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</si>
  <si>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</si>
  <si>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</si>
  <si>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</si>
  <si>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</si>
  <si>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</si>
  <si>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</si>
  <si>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</si>
  <si>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</si>
  <si>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</si>
  <si>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</si>
  <si>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</si>
  <si>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</si>
  <si>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</si>
  <si>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</si>
  <si>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</si>
  <si>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</si>
  <si>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</si>
  <si>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</si>
  <si>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</si>
  <si>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</si>
  <si>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</si>
  <si>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</si>
  <si>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</si>
  <si>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</si>
  <si>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</si>
  <si>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</si>
  <si>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</si>
  <si>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</si>
  <si>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</si>
  <si>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</si>
  <si>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</si>
  <si>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</si>
  <si>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</si>
  <si>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</si>
  <si>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</si>
  <si>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</si>
  <si>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</si>
  <si>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</si>
  <si>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</si>
  <si>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</si>
  <si>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</si>
  <si>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</si>
  <si>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</si>
  <si>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</si>
  <si>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</si>
  <si>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</si>
  <si>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</si>
  <si>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</si>
  <si>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</si>
  <si>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</si>
  <si>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</si>
  <si>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</si>
  <si>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</si>
  <si>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</si>
  <si>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</si>
  <si>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</si>
  <si>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</si>
  <si>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</si>
  <si>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</si>
  <si>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</si>
  <si>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</si>
  <si>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</si>
  <si>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</si>
  <si>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</si>
  <si>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</si>
  <si>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</si>
  <si>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</si>
  <si>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</si>
  <si>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</si>
  <si>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FY2026–FY2029 </t>
    </r>
    <r>
      <rPr>
        <sz val="11"/>
        <color theme="1"/>
        <rFont val="Noto Sans CJK SC"/>
        <family val="2"/>
      </rPr>
      <t xml:space="preserve">為模型）。頂端為摘要，下方為三情境各一個完整推導區塊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</si>
  <si>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</si>
  <si>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</si>
  <si>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</si>
  <si>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</si>
  <si>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</si>
  <si>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</si>
  <si>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</si>
  <si>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</si>
  <si>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</si>
  <si>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</si>
  <si>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</si>
  <si>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</si>
  <si>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</si>
  <si>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</si>
  <si>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</si>
  <si>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</si>
  <si>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</si>
  <si>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</si>
  <si>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營收與營業利益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</si>
  <si>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</si>
  <si>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</si>
  <si>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</si>
  <si>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</si>
  <si>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</si>
  <si>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</si>
  <si>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</si>
  <si>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</si>
  <si>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</si>
  <si>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</si>
  <si>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</si>
  <si>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</si>
  <si>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</si>
  <si>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</si>
  <si>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</si>
  <si>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</si>
  <si>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</si>
  <si>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</si>
  <si>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</si>
  <si>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</si>
  <si>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</si>
  <si>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</si>
  <si>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</si>
  <si>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新機需求（下一年產能增量＋汰換）</t>
    </r>
  </si>
  <si>
    <t xml:space="preserve">設備在產能需要前一年購入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</si>
  <si>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</si>
  <si>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</si>
  <si>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t xml:space="preserve">先進封裝新機需求（下一年片數增量＋汰換）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</si>
  <si>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</si>
  <si>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</si>
  <si>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</si>
  <si>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</si>
  <si>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</si>
  <si>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</si>
  <si>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</si>
  <si>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</si>
  <si>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</si>
  <si>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</si>
  <si>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</si>
  <si>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裝置（功率、手機、車用、中國後段等）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</si>
  <si>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</si>
  <si>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</si>
  <si>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</si>
  <si>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</si>
  <si>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</si>
  <si>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</si>
  <si>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</si>
  <si>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</si>
  <si>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</si>
  <si>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</si>
  <si>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</si>
  <si>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</si>
  <si>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</si>
  <si>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 實績、營業利益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</si>
  <si>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</si>
  <si>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</si>
  <si>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</si>
  <si>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</si>
  <si>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</si>
  <si>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</si>
  <si>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</si>
  <si>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</si>
  <si>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</si>
  <si>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</si>
  <si>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</si>
  <si>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</si>
  <si>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</si>
  <si>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</si>
  <si>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</si>
  <si>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</si>
  <si>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</si>
  <si>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</si>
  <si>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</si>
  <si>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</si>
  <si>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</si>
  <si>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</si>
  <si>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</si>
  <si>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</si>
  <si>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</si>
  <si>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</si>
  <si>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</si>
  <si>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</si>
  <si>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</si>
  <si>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</si>
  <si>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</si>
  <si>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</si>
  <si>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</si>
  <si>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</si>
  <si>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</si>
  <si>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</si>
  <si>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的循環位置（依各情境的營業利益路徑判定，公式）</t>
    </r>
  </si>
  <si>
    <t xml:space="preserve">情境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</si>
  <si>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</si>
  <si>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</si>
  <si>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</si>
  <si>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Cambria"/>
        <family val="0"/>
        <charset val="1"/>
      </rPr>
      <t xml:space="preserve">FY2025–29 </t>
    </r>
    <r>
      <rPr>
        <b val="true"/>
        <sz val="11"/>
        <rFont val="Noto Sans CJK SC"/>
        <family val="2"/>
      </rPr>
      <t xml:space="preserve">最高</t>
    </r>
  </si>
  <si>
    <t xml:space="preserve">判定</t>
  </si>
  <si>
    <t xml:space="preserve">倍數</t>
  </si>
  <si>
    <t xml:space="preserve">規則</t>
  </si>
  <si>
    <t xml:space="preserve">A</t>
  </si>
  <si>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最高；谷底＝低於前後兩年；其餘為中段</t>
    </r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</si>
  <si>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</si>
  <si>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</si>
  <si>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</si>
  <si>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</si>
  <si>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</si>
  <si>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</si>
  <si>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</si>
  <si>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</si>
  <si>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</si>
  <si>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</si>
  <si>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</si>
  <si>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</si>
  <si>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</si>
  <si>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</si>
  <si>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</si>
  <si>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ファイナンス、松井證券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</si>
  <si>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</si>
  <si>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</si>
  <si>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</si>
  <si>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</si>
  <si>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</si>
  <si>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</si>
  <si>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</si>
  <si>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</si>
  <si>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</si>
  <si>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</si>
  <si>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</si>
  <si>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上半實績年化、公司下一季指引、共識（共識只作參考，未用於校準）。差距＝模型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</si>
  <si>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</si>
  <si>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</si>
  <si>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</si>
  <si>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</si>
  <si>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</si>
  <si>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</si>
  <si>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</si>
  <si>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</si>
  <si>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vs </t>
    </r>
    <r>
      <rPr>
        <b val="true"/>
        <sz val="11"/>
        <rFont val="Noto Sans CJK SC"/>
        <family val="2"/>
      </rPr>
      <t xml:space="preserve">實績與公司指引（公司只給下一季）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</si>
  <si>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</si>
  <si>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</si>
  <si>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× 2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</si>
  <si>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上半實績＋第三季指引＋第四季＝第三季指引（路徑）</t>
    </r>
  </si>
  <si>
    <t xml:space="preserve">決算短信＋說明資料</t>
  </si>
  <si>
    <r>
      <rPr>
        <sz val="11"/>
        <color theme="1"/>
        <rFont val="Calibri"/>
        <family val="2"/>
        <charset val="1"/>
      </rPr>
      <t xml:space="preserve">389.5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；第四季無指引，假設與第三季持平（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</si>
  <si>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</si>
  <si>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t xml:space="preserve">決算短信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</si>
  <si>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174.7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</si>
  <si>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上半實績（差距以百分點計）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</si>
  <si>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45.4%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</si>
  <si>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</si>
  <si>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）；第三季指引約低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</t>
    </r>
  </si>
  <si>
    <r>
      <rPr>
        <sz val="11"/>
        <color theme="1"/>
        <rFont val="Noto Sans CJK SC"/>
        <family val="2"/>
      </rPr>
      <t xml:space="preserve">下半營收（模型 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上半實績）</t>
    </r>
    <r>
      <rPr>
        <sz val="11"/>
        <color theme="1"/>
        <rFont val="Calibri"/>
        <family val="2"/>
        <charset val="1"/>
      </rPr>
      <t xml:space="preserve">÷ 2 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</si>
  <si>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</si>
  <si>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</si>
  <si>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</si>
  <si>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</si>
  <si>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</si>
  <si>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</si>
  <si>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</si>
  <si>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</si>
  <si>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</si>
  <si>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</si>
  <si>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</si>
  <si>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</si>
  <si>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</si>
  <si>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</si>
  <si>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</si>
  <si>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</si>
  <si>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</si>
  <si>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</si>
  <si>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</si>
  <si>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</si>
  <si>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</si>
  <si>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</si>
  <si>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</si>
  <si>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</si>
  <si>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</si>
  <si>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</si>
  <si>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</si>
  <si>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</si>
  <si>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</si>
  <si>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</si>
  <si>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</si>
  <si>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</si>
  <si>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</si>
  <si>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</si>
  <si>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</si>
  <si>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</si>
  <si>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</si>
  <si>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</si>
  <si>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</si>
  <si>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</si>
  <si>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</si>
  <si>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</si>
  <si>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</si>
  <si>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</si>
  <si>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</si>
  <si>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</si>
  <si>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</si>
  <si>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</si>
  <si>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</si>
  <si>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</si>
  <si>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</si>
  <si>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</si>
  <si>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</si>
  <si>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</si>
  <si>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</si>
  <si>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</si>
  <si>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</si>
  <si>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</si>
  <si>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</si>
  <si>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</si>
  <si>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</si>
  <si>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</si>
  <si>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</si>
  <si>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</si>
  <si>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</si>
  <si>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</si>
  <si>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</si>
  <si>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</si>
  <si>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</si>
  <si>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</si>
  <si>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</si>
  <si>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</si>
  <si>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</si>
  <si>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</si>
  <si>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</si>
  <si>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</si>
  <si>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</si>
  <si>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</si>
  <si>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</si>
  <si>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</si>
  <si>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</si>
  <si>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</si>
  <si>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</si>
  <si>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</si>
  <si>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</si>
  <si>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</si>
  <si>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</si>
  <si>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</si>
  <si>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</si>
  <si>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</si>
  <si>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</si>
  <si>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</si>
  <si>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</si>
  <si>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</si>
  <si>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</si>
  <si>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</si>
  <si>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</si>
  <si>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</si>
  <si>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</si>
  <si>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</si>
  <si>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</si>
  <si>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</si>
  <si>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</si>
  <si>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</si>
  <si>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</si>
  <si>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</si>
  <si>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</si>
  <si>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</si>
  <si>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</si>
  <si>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</si>
  <si>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</si>
  <si>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</si>
  <si>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</si>
  <si>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</si>
  <si>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</si>
  <si>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</si>
  <si>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</si>
  <si>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</si>
  <si>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</si>
  <si>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</si>
  <si>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</si>
  <si>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</si>
  <si>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</si>
  <si>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</si>
  <si>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0.743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FY2024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</si>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</sst>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#,##0.00"/>
    <numFmt numFmtId="167" formatCode="0.0%"/>
    <numFmt numFmtId="168" formatCode="0.000"/>
    <numFmt numFmtId="169" formatCode="0%"/>
    <numFmt numFmtId="170" formatCode="0.0000"/>
    <numFmt numFmtId="171" formatCode="0.00"/>
    <numFmt numFmtId="172" formatCode="0.0"/>
    <numFmt numFmtId="173" formatCode="#,##0"/>
    <numFmt numFmtId="174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5" t="s">
        <v>16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5" t="s">
        <v>28</v>
      </c>
      <c r="C5" s="0" t="s">
        <v>29</v>
      </c>
      <c r="E5" s="7" t="n">
        <v>436.889</v>
      </c>
      <c r="G5" s="8" t="s">
        <v>30</v>
      </c>
      <c r="H5" s="5" t="s">
        <v>31</v>
      </c>
      <c r="I5" s="5" t="s">
        <v>32</v>
      </c>
    </row>
    <row r="6" customFormat="false" ht="17.15" hidden="false" customHeight="false" outlineLevel="0" collapsed="false">
      <c r="A6" s="0" t="s">
        <v>33</v>
      </c>
      <c r="B6" s="5" t="s">
        <v>34</v>
      </c>
      <c r="C6" s="0" t="s">
        <v>29</v>
      </c>
      <c r="E6" s="7" t="n">
        <v>306.477</v>
      </c>
      <c r="G6" s="8" t="s">
        <v>30</v>
      </c>
      <c r="H6" s="5" t="s">
        <v>35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5" t="s">
        <v>38</v>
      </c>
      <c r="C7" s="0" t="s">
        <v>29</v>
      </c>
      <c r="E7" s="7" t="n">
        <v>121.487</v>
      </c>
      <c r="G7" s="8" t="s">
        <v>30</v>
      </c>
      <c r="H7" s="5" t="s">
        <v>39</v>
      </c>
      <c r="I7" s="5" t="s">
        <v>40</v>
      </c>
    </row>
    <row r="8" customFormat="false" ht="17.15" hidden="false" customHeight="false" outlineLevel="0" collapsed="false">
      <c r="A8" s="0" t="s">
        <v>41</v>
      </c>
      <c r="B8" s="5" t="s">
        <v>42</v>
      </c>
      <c r="C8" s="0" t="s">
        <v>29</v>
      </c>
      <c r="E8" s="7" t="n">
        <v>184.989</v>
      </c>
      <c r="G8" s="8" t="s">
        <v>30</v>
      </c>
      <c r="H8" s="5" t="s">
        <v>43</v>
      </c>
      <c r="I8" s="5" t="s">
        <v>44</v>
      </c>
    </row>
    <row r="9" customFormat="false" ht="17.15" hidden="false" customHeight="false" outlineLevel="0" collapsed="false">
      <c r="A9" s="0" t="s">
        <v>45</v>
      </c>
      <c r="B9" s="5" t="s">
        <v>46</v>
      </c>
      <c r="C9" s="0" t="s">
        <v>29</v>
      </c>
      <c r="E9" s="7" t="n">
        <v>135.521</v>
      </c>
      <c r="G9" s="8" t="s">
        <v>30</v>
      </c>
      <c r="H9" s="5" t="s">
        <v>47</v>
      </c>
      <c r="I9" s="5" t="s">
        <v>48</v>
      </c>
    </row>
    <row r="10" customFormat="false" ht="17.15" hidden="false" customHeight="false" outlineLevel="0" collapsed="false">
      <c r="A10" s="0" t="s">
        <v>49</v>
      </c>
      <c r="B10" s="5" t="s">
        <v>50</v>
      </c>
      <c r="C10" s="0" t="s">
        <v>51</v>
      </c>
      <c r="E10" s="7" t="n">
        <v>1249.84</v>
      </c>
      <c r="G10" s="8" t="s">
        <v>30</v>
      </c>
      <c r="H10" s="5" t="s">
        <v>52</v>
      </c>
      <c r="I10" s="5" t="s">
        <v>53</v>
      </c>
    </row>
    <row r="11" customFormat="false" ht="17.15" hidden="false" customHeight="false" outlineLevel="0" collapsed="false">
      <c r="A11" s="0" t="s">
        <v>54</v>
      </c>
      <c r="B11" s="5" t="s">
        <v>55</v>
      </c>
      <c r="C11" s="0" t="s">
        <v>56</v>
      </c>
      <c r="D11" s="7" t="n">
        <v>0.615</v>
      </c>
      <c r="E11" s="7" t="n">
        <v>0.62</v>
      </c>
      <c r="F11" s="7" t="n">
        <v>0.625</v>
      </c>
      <c r="G11" s="8" t="s">
        <v>30</v>
      </c>
      <c r="H11" s="5" t="s">
        <v>57</v>
      </c>
      <c r="I11" s="5" t="s">
        <v>58</v>
      </c>
    </row>
    <row r="12" customFormat="false" ht="17.15" hidden="false" customHeight="false" outlineLevel="0" collapsed="false">
      <c r="A12" s="0" t="s">
        <v>59</v>
      </c>
      <c r="B12" s="5" t="s">
        <v>60</v>
      </c>
      <c r="C12" s="0" t="s">
        <v>56</v>
      </c>
      <c r="D12" s="7" t="n">
        <v>0.205</v>
      </c>
      <c r="E12" s="7" t="n">
        <v>0.21</v>
      </c>
      <c r="F12" s="7" t="n">
        <v>0.215</v>
      </c>
      <c r="G12" s="8" t="s">
        <v>30</v>
      </c>
      <c r="H12" s="5" t="s">
        <v>61</v>
      </c>
      <c r="I12" s="5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29</v>
      </c>
      <c r="E13" s="0" t="n">
        <f aca="false">a25_rev*mix_eq</f>
        <v>270.87118</v>
      </c>
      <c r="G13" s="0" t="s">
        <v>65</v>
      </c>
      <c r="H13" s="0" t="s">
        <v>66</v>
      </c>
    </row>
    <row r="14" customFormat="false" ht="17.15" hidden="false" customHeight="false" outlineLevel="0" collapsed="false">
      <c r="A14" s="0" t="s">
        <v>67</v>
      </c>
      <c r="B14" s="5" t="s">
        <v>68</v>
      </c>
      <c r="C14" s="0" t="s">
        <v>29</v>
      </c>
      <c r="E14" s="0" t="n">
        <f aca="false">a25_rev*mix_tl</f>
        <v>91.74669</v>
      </c>
      <c r="G14" s="0" t="s">
        <v>65</v>
      </c>
      <c r="H14" s="0" t="s">
        <v>69</v>
      </c>
    </row>
    <row r="15" customFormat="false" ht="17.15" hidden="false" customHeight="false" outlineLevel="0" collapsed="false">
      <c r="A15" s="0" t="s">
        <v>70</v>
      </c>
      <c r="B15" s="5" t="s">
        <v>71</v>
      </c>
      <c r="C15" s="0" t="s">
        <v>29</v>
      </c>
      <c r="E15" s="0" t="n">
        <f aca="false">a25_rev-eq25-tl25</f>
        <v>74.27113</v>
      </c>
      <c r="G15" s="0" t="s">
        <v>65</v>
      </c>
      <c r="H15" s="5" t="s">
        <v>72</v>
      </c>
      <c r="I15" s="5" t="s">
        <v>73</v>
      </c>
    </row>
    <row r="16" customFormat="false" ht="17.15" hidden="false" customHeight="false" outlineLevel="0" collapsed="false">
      <c r="A16" s="0" t="s">
        <v>74</v>
      </c>
      <c r="B16" s="5" t="s">
        <v>75</v>
      </c>
      <c r="C16" s="0" t="s">
        <v>76</v>
      </c>
      <c r="E16" s="0" t="n">
        <f aca="false">ot25/(eq25+tl25)</f>
        <v>0.204819277108434</v>
      </c>
      <c r="G16" s="0" t="s">
        <v>65</v>
      </c>
      <c r="H16" s="0" t="s">
        <v>77</v>
      </c>
      <c r="I16" s="0" t="s">
        <v>78</v>
      </c>
    </row>
    <row r="17" customFormat="false" ht="17.15" hidden="false" customHeight="false" outlineLevel="0" collapsed="false">
      <c r="A17" s="1" t="s">
        <v>79</v>
      </c>
    </row>
    <row r="18" customFormat="false" ht="17.15" hidden="false" customHeight="false" outlineLevel="0" collapsed="false">
      <c r="A18" s="0" t="s">
        <v>80</v>
      </c>
      <c r="B18" s="5" t="s">
        <v>81</v>
      </c>
      <c r="C18" s="0" t="s">
        <v>29</v>
      </c>
      <c r="D18" s="7" t="n">
        <v>67.5</v>
      </c>
      <c r="E18" s="7" t="n">
        <v>75</v>
      </c>
      <c r="F18" s="7" t="n">
        <v>82.5</v>
      </c>
      <c r="G18" s="8" t="s">
        <v>82</v>
      </c>
      <c r="H18" s="5" t="s">
        <v>83</v>
      </c>
      <c r="I18" s="5" t="s">
        <v>84</v>
      </c>
    </row>
    <row r="19" customFormat="false" ht="17.15" hidden="false" customHeight="false" outlineLevel="0" collapsed="false">
      <c r="A19" s="0" t="s">
        <v>85</v>
      </c>
      <c r="B19" s="0" t="s">
        <v>86</v>
      </c>
      <c r="C19" s="0" t="s">
        <v>56</v>
      </c>
      <c r="D19" s="7" t="n">
        <v>0.45</v>
      </c>
      <c r="E19" s="7" t="n">
        <v>0.48</v>
      </c>
      <c r="F19" s="7" t="n">
        <v>0.52</v>
      </c>
      <c r="G19" s="8" t="s">
        <v>82</v>
      </c>
      <c r="H19" s="5" t="s">
        <v>87</v>
      </c>
      <c r="I19" s="5" t="s">
        <v>88</v>
      </c>
    </row>
    <row r="20" customFormat="false" ht="17.15" hidden="false" customHeight="false" outlineLevel="0" collapsed="false">
      <c r="A20" s="0" t="s">
        <v>89</v>
      </c>
      <c r="B20" s="5" t="s">
        <v>90</v>
      </c>
      <c r="C20" s="0" t="s">
        <v>29</v>
      </c>
      <c r="E20" s="7" t="n">
        <v>55</v>
      </c>
      <c r="G20" s="8" t="s">
        <v>82</v>
      </c>
      <c r="H20" s="5" t="s">
        <v>91</v>
      </c>
      <c r="I20" s="5" t="s">
        <v>92</v>
      </c>
    </row>
    <row r="21" customFormat="false" ht="17.15" hidden="false" customHeight="false" outlineLevel="0" collapsed="false">
      <c r="A21" s="1" t="s">
        <v>93</v>
      </c>
    </row>
    <row r="22" customFormat="false" ht="17.15" hidden="false" customHeight="false" outlineLevel="0" collapsed="false">
      <c r="A22" s="0" t="s">
        <v>94</v>
      </c>
      <c r="B22" s="0" t="s">
        <v>95</v>
      </c>
      <c r="C22" s="0" t="s">
        <v>96</v>
      </c>
      <c r="E22" s="7" t="n">
        <v>2.22511470588235</v>
      </c>
      <c r="G22" s="8" t="s">
        <v>65</v>
      </c>
      <c r="H22" s="8" t="s">
        <v>97</v>
      </c>
      <c r="I22" s="8" t="s">
        <v>98</v>
      </c>
    </row>
    <row r="23" customFormat="false" ht="17.15" hidden="false" customHeight="false" outlineLevel="0" collapsed="false">
      <c r="A23" s="0" t="s">
        <v>99</v>
      </c>
      <c r="B23" s="0" t="s">
        <v>100</v>
      </c>
      <c r="C23" s="0" t="s">
        <v>96</v>
      </c>
      <c r="E23" s="7" t="n">
        <v>3.782695</v>
      </c>
      <c r="G23" s="8" t="s">
        <v>65</v>
      </c>
      <c r="H23" s="8" t="s">
        <v>97</v>
      </c>
      <c r="I23" s="5" t="s">
        <v>101</v>
      </c>
    </row>
    <row r="24" customFormat="false" ht="17.15" hidden="false" customHeight="false" outlineLevel="0" collapsed="false">
      <c r="A24" s="0" t="s">
        <v>102</v>
      </c>
      <c r="B24" s="0" t="s">
        <v>103</v>
      </c>
      <c r="C24" s="0" t="s">
        <v>96</v>
      </c>
      <c r="E24" s="7" t="n">
        <v>5.86317725</v>
      </c>
      <c r="G24" s="8" t="s">
        <v>65</v>
      </c>
      <c r="H24" s="8" t="s">
        <v>97</v>
      </c>
      <c r="I24" s="5" t="s">
        <v>101</v>
      </c>
    </row>
    <row r="25" customFormat="false" ht="17.15" hidden="false" customHeight="false" outlineLevel="0" collapsed="false">
      <c r="A25" s="0" t="s">
        <v>104</v>
      </c>
      <c r="B25" s="0" t="s">
        <v>105</v>
      </c>
      <c r="C25" s="0" t="s">
        <v>96</v>
      </c>
      <c r="E25" s="7" t="n">
        <v>8.5016070125</v>
      </c>
      <c r="G25" s="8" t="s">
        <v>65</v>
      </c>
      <c r="H25" s="8" t="s">
        <v>97</v>
      </c>
      <c r="I25" s="5" t="s">
        <v>101</v>
      </c>
    </row>
    <row r="26" customFormat="false" ht="17.15" hidden="false" customHeight="false" outlineLevel="0" collapsed="false">
      <c r="A26" s="0" t="s">
        <v>106</v>
      </c>
      <c r="B26" s="0" t="s">
        <v>107</v>
      </c>
      <c r="C26" s="0" t="s">
        <v>96</v>
      </c>
      <c r="E26" s="7" t="n">
        <v>11.477169466875</v>
      </c>
      <c r="G26" s="8" t="s">
        <v>65</v>
      </c>
      <c r="H26" s="8" t="s">
        <v>97</v>
      </c>
      <c r="I26" s="5" t="s">
        <v>101</v>
      </c>
    </row>
    <row r="27" customFormat="false" ht="17.15" hidden="false" customHeight="false" outlineLevel="0" collapsed="false">
      <c r="A27" s="0" t="s">
        <v>108</v>
      </c>
      <c r="B27" s="0" t="s">
        <v>109</v>
      </c>
      <c r="C27" s="0" t="s">
        <v>96</v>
      </c>
      <c r="E27" s="7" t="n">
        <v>2.22511470588235</v>
      </c>
      <c r="G27" s="8" t="s">
        <v>65</v>
      </c>
      <c r="H27" s="8" t="s">
        <v>110</v>
      </c>
      <c r="I27" s="8" t="s">
        <v>98</v>
      </c>
    </row>
    <row r="28" customFormat="false" ht="17.15" hidden="false" customHeight="false" outlineLevel="0" collapsed="false">
      <c r="A28" s="0" t="s">
        <v>111</v>
      </c>
      <c r="B28" s="0" t="s">
        <v>112</v>
      </c>
      <c r="C28" s="0" t="s">
        <v>96</v>
      </c>
      <c r="E28" s="7" t="n">
        <v>3.782695</v>
      </c>
      <c r="G28" s="8" t="s">
        <v>65</v>
      </c>
      <c r="H28" s="8" t="s">
        <v>110</v>
      </c>
      <c r="I28" s="5" t="s">
        <v>101</v>
      </c>
    </row>
    <row r="29" customFormat="false" ht="17.15" hidden="false" customHeight="false" outlineLevel="0" collapsed="false">
      <c r="A29" s="0" t="s">
        <v>113</v>
      </c>
      <c r="B29" s="0" t="s">
        <v>114</v>
      </c>
      <c r="C29" s="0" t="s">
        <v>96</v>
      </c>
      <c r="E29" s="7" t="n">
        <v>5.86317725</v>
      </c>
      <c r="G29" s="8" t="s">
        <v>65</v>
      </c>
      <c r="H29" s="8" t="s">
        <v>110</v>
      </c>
      <c r="I29" s="5" t="s">
        <v>101</v>
      </c>
    </row>
    <row r="30" customFormat="false" ht="17.15" hidden="false" customHeight="false" outlineLevel="0" collapsed="false">
      <c r="A30" s="0" t="s">
        <v>115</v>
      </c>
      <c r="B30" s="0" t="s">
        <v>116</v>
      </c>
      <c r="C30" s="0" t="s">
        <v>96</v>
      </c>
      <c r="E30" s="7" t="n">
        <v>8.22296</v>
      </c>
      <c r="G30" s="8" t="s">
        <v>65</v>
      </c>
      <c r="H30" s="8" t="s">
        <v>110</v>
      </c>
      <c r="I30" s="5" t="s">
        <v>101</v>
      </c>
    </row>
    <row r="31" customFormat="false" ht="17.15" hidden="false" customHeight="false" outlineLevel="0" collapsed="false">
      <c r="A31" s="0" t="s">
        <v>117</v>
      </c>
      <c r="B31" s="0" t="s">
        <v>118</v>
      </c>
      <c r="C31" s="0" t="s">
        <v>96</v>
      </c>
      <c r="E31" s="7" t="n">
        <v>11.3579635</v>
      </c>
      <c r="G31" s="8" t="s">
        <v>65</v>
      </c>
      <c r="H31" s="8" t="s">
        <v>110</v>
      </c>
      <c r="I31" s="5" t="s">
        <v>101</v>
      </c>
    </row>
    <row r="32" customFormat="false" ht="17.15" hidden="false" customHeight="false" outlineLevel="0" collapsed="false">
      <c r="A32" s="0" t="s">
        <v>119</v>
      </c>
      <c r="B32" s="0" t="s">
        <v>120</v>
      </c>
      <c r="C32" s="0" t="s">
        <v>96</v>
      </c>
      <c r="E32" s="7" t="n">
        <v>2.22511470588235</v>
      </c>
      <c r="G32" s="8" t="s">
        <v>65</v>
      </c>
      <c r="H32" s="8" t="s">
        <v>121</v>
      </c>
      <c r="I32" s="8" t="s">
        <v>98</v>
      </c>
    </row>
    <row r="33" customFormat="false" ht="17.15" hidden="false" customHeight="false" outlineLevel="0" collapsed="false">
      <c r="A33" s="0" t="s">
        <v>122</v>
      </c>
      <c r="B33" s="0" t="s">
        <v>123</v>
      </c>
      <c r="C33" s="0" t="s">
        <v>96</v>
      </c>
      <c r="E33" s="7" t="n">
        <v>3.782695</v>
      </c>
      <c r="G33" s="8" t="s">
        <v>65</v>
      </c>
      <c r="H33" s="8" t="s">
        <v>121</v>
      </c>
      <c r="I33" s="5" t="s">
        <v>101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96</v>
      </c>
      <c r="E34" s="7" t="n">
        <v>5.86317725</v>
      </c>
      <c r="G34" s="8" t="s">
        <v>65</v>
      </c>
      <c r="H34" s="8" t="s">
        <v>121</v>
      </c>
      <c r="I34" s="5" t="s">
        <v>101</v>
      </c>
    </row>
    <row r="35" customFormat="false" ht="17.15" hidden="false" customHeight="false" outlineLevel="0" collapsed="false">
      <c r="A35" s="0" t="s">
        <v>126</v>
      </c>
      <c r="B35" s="0" t="s">
        <v>127</v>
      </c>
      <c r="C35" s="0" t="s">
        <v>96</v>
      </c>
      <c r="E35" s="7" t="n">
        <v>6.16722</v>
      </c>
      <c r="G35" s="8" t="s">
        <v>65</v>
      </c>
      <c r="H35" s="8" t="s">
        <v>121</v>
      </c>
      <c r="I35" s="5" t="s">
        <v>101</v>
      </c>
    </row>
    <row r="36" customFormat="false" ht="17.15" hidden="false" customHeight="false" outlineLevel="0" collapsed="false">
      <c r="A36" s="0" t="s">
        <v>128</v>
      </c>
      <c r="B36" s="0" t="s">
        <v>129</v>
      </c>
      <c r="C36" s="0" t="s">
        <v>96</v>
      </c>
      <c r="E36" s="7" t="n">
        <v>8.017386</v>
      </c>
      <c r="G36" s="8" t="s">
        <v>65</v>
      </c>
      <c r="H36" s="8" t="s">
        <v>121</v>
      </c>
      <c r="I36" s="5" t="s">
        <v>101</v>
      </c>
    </row>
    <row r="37" customFormat="false" ht="17.15" hidden="false" customHeight="false" outlineLevel="0" collapsed="false">
      <c r="A37" s="0" t="s">
        <v>130</v>
      </c>
      <c r="B37" s="0" t="s">
        <v>131</v>
      </c>
      <c r="C37" s="0" t="s">
        <v>132</v>
      </c>
      <c r="D37" s="7" t="n">
        <v>22</v>
      </c>
      <c r="E37" s="7" t="n">
        <v>24</v>
      </c>
      <c r="F37" s="7" t="n">
        <v>24</v>
      </c>
      <c r="G37" s="8" t="s">
        <v>133</v>
      </c>
      <c r="H37" s="8" t="s">
        <v>134</v>
      </c>
      <c r="I37" s="5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132</v>
      </c>
      <c r="D38" s="7" t="n">
        <v>24</v>
      </c>
      <c r="E38" s="7" t="n">
        <v>24</v>
      </c>
      <c r="F38" s="7" t="n">
        <v>26</v>
      </c>
      <c r="G38" s="8" t="s">
        <v>133</v>
      </c>
      <c r="H38" s="8" t="s">
        <v>134</v>
      </c>
      <c r="I38" s="5" t="s">
        <v>101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132</v>
      </c>
      <c r="D39" s="7" t="n">
        <v>24</v>
      </c>
      <c r="E39" s="7" t="n">
        <v>26</v>
      </c>
      <c r="F39" s="7" t="n">
        <v>28</v>
      </c>
      <c r="G39" s="8" t="s">
        <v>133</v>
      </c>
      <c r="H39" s="8" t="s">
        <v>134</v>
      </c>
      <c r="I39" s="5" t="s">
        <v>101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132</v>
      </c>
      <c r="D40" s="7" t="n">
        <v>24</v>
      </c>
      <c r="E40" s="7" t="n">
        <v>28</v>
      </c>
      <c r="F40" s="7" t="n">
        <v>32</v>
      </c>
      <c r="G40" s="8" t="s">
        <v>133</v>
      </c>
      <c r="H40" s="8" t="s">
        <v>134</v>
      </c>
      <c r="I40" s="5" t="s">
        <v>101</v>
      </c>
    </row>
    <row r="41" customFormat="false" ht="17.15" hidden="false" customHeight="false" outlineLevel="0" collapsed="false">
      <c r="A41" s="0" t="s">
        <v>142</v>
      </c>
      <c r="B41" s="0" t="s">
        <v>143</v>
      </c>
      <c r="C41" s="0" t="s">
        <v>132</v>
      </c>
      <c r="D41" s="7" t="n">
        <v>26</v>
      </c>
      <c r="E41" s="7" t="n">
        <v>30</v>
      </c>
      <c r="F41" s="7" t="n">
        <v>32</v>
      </c>
      <c r="G41" s="8" t="s">
        <v>133</v>
      </c>
      <c r="H41" s="8" t="s">
        <v>134</v>
      </c>
      <c r="I41" s="5" t="s">
        <v>101</v>
      </c>
    </row>
    <row r="42" customFormat="false" ht="17.15" hidden="false" customHeight="false" outlineLevel="0" collapsed="false">
      <c r="A42" s="0" t="s">
        <v>144</v>
      </c>
      <c r="B42" s="0" t="s">
        <v>145</v>
      </c>
      <c r="C42" s="0" t="s">
        <v>132</v>
      </c>
      <c r="D42" s="7" t="n">
        <v>28</v>
      </c>
      <c r="E42" s="7" t="n">
        <v>32</v>
      </c>
      <c r="F42" s="7" t="n">
        <v>32</v>
      </c>
      <c r="G42" s="8" t="s">
        <v>133</v>
      </c>
      <c r="H42" s="8" t="s">
        <v>134</v>
      </c>
      <c r="I42" s="5" t="s">
        <v>101</v>
      </c>
    </row>
    <row r="43" customFormat="false" ht="17.15" hidden="false" customHeight="false" outlineLevel="0" collapsed="false">
      <c r="A43" s="0" t="s">
        <v>146</v>
      </c>
      <c r="B43" s="0" t="s">
        <v>147</v>
      </c>
      <c r="C43" s="5" t="s">
        <v>148</v>
      </c>
      <c r="D43" s="7" t="n">
        <v>8</v>
      </c>
      <c r="E43" s="7" t="n">
        <v>10</v>
      </c>
      <c r="F43" s="7" t="n">
        <v>12</v>
      </c>
      <c r="G43" s="8" t="s">
        <v>133</v>
      </c>
      <c r="H43" s="8" t="s">
        <v>149</v>
      </c>
      <c r="I43" s="5" t="s">
        <v>150</v>
      </c>
    </row>
    <row r="44" customFormat="false" ht="17.15" hidden="false" customHeight="false" outlineLevel="0" collapsed="false">
      <c r="A44" s="0" t="s">
        <v>151</v>
      </c>
      <c r="B44" s="0" t="s">
        <v>152</v>
      </c>
      <c r="C44" s="5" t="s">
        <v>148</v>
      </c>
      <c r="D44" s="7" t="n">
        <v>10</v>
      </c>
      <c r="E44" s="7" t="n">
        <v>12</v>
      </c>
      <c r="F44" s="7" t="n">
        <v>12</v>
      </c>
      <c r="G44" s="8" t="s">
        <v>133</v>
      </c>
      <c r="H44" s="8" t="s">
        <v>149</v>
      </c>
      <c r="I44" s="5" t="s">
        <v>101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5" t="s">
        <v>148</v>
      </c>
      <c r="D45" s="7" t="n">
        <v>12</v>
      </c>
      <c r="E45" s="7" t="n">
        <v>12.5</v>
      </c>
      <c r="F45" s="7" t="n">
        <v>14</v>
      </c>
      <c r="G45" s="8" t="s">
        <v>133</v>
      </c>
      <c r="H45" s="8" t="s">
        <v>149</v>
      </c>
      <c r="I45" s="5" t="s">
        <v>101</v>
      </c>
    </row>
    <row r="46" customFormat="false" ht="17.15" hidden="false" customHeight="false" outlineLevel="0" collapsed="false">
      <c r="A46" s="0" t="s">
        <v>155</v>
      </c>
      <c r="B46" s="0" t="s">
        <v>156</v>
      </c>
      <c r="C46" s="5" t="s">
        <v>148</v>
      </c>
      <c r="D46" s="7" t="n">
        <v>12</v>
      </c>
      <c r="E46" s="7" t="n">
        <v>14</v>
      </c>
      <c r="F46" s="7" t="n">
        <v>16</v>
      </c>
      <c r="G46" s="8" t="s">
        <v>133</v>
      </c>
      <c r="H46" s="8" t="s">
        <v>149</v>
      </c>
      <c r="I46" s="5" t="s">
        <v>101</v>
      </c>
    </row>
    <row r="47" customFormat="false" ht="17.15" hidden="false" customHeight="false" outlineLevel="0" collapsed="false">
      <c r="A47" s="0" t="s">
        <v>157</v>
      </c>
      <c r="B47" s="0" t="s">
        <v>158</v>
      </c>
      <c r="C47" s="5" t="s">
        <v>148</v>
      </c>
      <c r="D47" s="7" t="n">
        <v>12</v>
      </c>
      <c r="E47" s="7" t="n">
        <v>15</v>
      </c>
      <c r="F47" s="7" t="n">
        <v>16</v>
      </c>
      <c r="G47" s="8" t="s">
        <v>133</v>
      </c>
      <c r="H47" s="8" t="s">
        <v>149</v>
      </c>
      <c r="I47" s="5" t="s">
        <v>101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5" t="s">
        <v>148</v>
      </c>
      <c r="D48" s="7" t="n">
        <v>14</v>
      </c>
      <c r="E48" s="7" t="n">
        <v>16</v>
      </c>
      <c r="F48" s="7" t="n">
        <v>16</v>
      </c>
      <c r="G48" s="8" t="s">
        <v>133</v>
      </c>
      <c r="H48" s="8" t="s">
        <v>149</v>
      </c>
      <c r="I48" s="5" t="s">
        <v>101</v>
      </c>
    </row>
    <row r="49" customFormat="false" ht="17.15" hidden="false" customHeight="false" outlineLevel="0" collapsed="false">
      <c r="A49" s="0" t="s">
        <v>161</v>
      </c>
      <c r="B49" s="5" t="s">
        <v>162</v>
      </c>
      <c r="C49" s="5" t="s">
        <v>163</v>
      </c>
      <c r="D49" s="7" t="n">
        <v>2</v>
      </c>
      <c r="E49" s="7" t="n">
        <v>3</v>
      </c>
      <c r="F49" s="7" t="n">
        <v>4</v>
      </c>
      <c r="G49" s="8" t="s">
        <v>133</v>
      </c>
      <c r="H49" s="5" t="s">
        <v>164</v>
      </c>
      <c r="I49" s="5" t="s">
        <v>165</v>
      </c>
    </row>
    <row r="50" customFormat="false" ht="17.15" hidden="false" customHeight="false" outlineLevel="0" collapsed="false">
      <c r="A50" s="0" t="s">
        <v>166</v>
      </c>
      <c r="B50" s="5" t="s">
        <v>167</v>
      </c>
      <c r="C50" s="0" t="s">
        <v>168</v>
      </c>
      <c r="D50" s="7" t="n">
        <v>0.05</v>
      </c>
      <c r="E50" s="7" t="n">
        <v>0.1</v>
      </c>
      <c r="F50" s="7" t="n">
        <v>0.15</v>
      </c>
      <c r="G50" s="8" t="s">
        <v>133</v>
      </c>
      <c r="H50" s="5" t="s">
        <v>169</v>
      </c>
      <c r="I50" s="5" t="s">
        <v>170</v>
      </c>
    </row>
    <row r="51" customFormat="false" ht="17.15" hidden="false" customHeight="false" outlineLevel="0" collapsed="false">
      <c r="A51" s="0" t="s">
        <v>171</v>
      </c>
      <c r="B51" s="0" t="s">
        <v>172</v>
      </c>
      <c r="C51" s="0" t="s">
        <v>56</v>
      </c>
      <c r="D51" s="7" t="n">
        <v>0</v>
      </c>
      <c r="E51" s="7" t="n">
        <v>0.1</v>
      </c>
      <c r="F51" s="7" t="n">
        <v>0.2</v>
      </c>
      <c r="G51" s="8" t="s">
        <v>133</v>
      </c>
      <c r="H51" s="5" t="s">
        <v>173</v>
      </c>
    </row>
    <row r="52" customFormat="false" ht="17.15" hidden="false" customHeight="false" outlineLevel="0" collapsed="false">
      <c r="A52" s="1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5" t="s">
        <v>177</v>
      </c>
      <c r="D53" s="7" t="n">
        <v>600</v>
      </c>
      <c r="E53" s="7" t="n">
        <v>670</v>
      </c>
      <c r="F53" s="7" t="n">
        <v>700</v>
      </c>
      <c r="G53" s="8" t="s">
        <v>82</v>
      </c>
      <c r="H53" s="8" t="s">
        <v>178</v>
      </c>
      <c r="I53" s="5" t="s">
        <v>179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5" t="s">
        <v>177</v>
      </c>
      <c r="E54" s="7" t="n">
        <v>1107.85762580894</v>
      </c>
      <c r="G54" s="8" t="s">
        <v>65</v>
      </c>
      <c r="H54" s="8" t="s">
        <v>182</v>
      </c>
      <c r="I54" s="5" t="s">
        <v>183</v>
      </c>
    </row>
    <row r="55" customFormat="false" ht="17.15" hidden="false" customHeight="false" outlineLevel="0" collapsed="false">
      <c r="A55" s="0" t="s">
        <v>184</v>
      </c>
      <c r="B55" s="0" t="s">
        <v>185</v>
      </c>
      <c r="C55" s="5" t="s">
        <v>177</v>
      </c>
      <c r="E55" s="7" t="n">
        <v>2096.42857142857</v>
      </c>
      <c r="G55" s="8" t="s">
        <v>65</v>
      </c>
      <c r="H55" s="8" t="s">
        <v>182</v>
      </c>
      <c r="I55" s="5" t="s">
        <v>101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5" t="s">
        <v>177</v>
      </c>
      <c r="E56" s="7" t="n">
        <v>2620.08928571429</v>
      </c>
      <c r="G56" s="8" t="s">
        <v>65</v>
      </c>
      <c r="H56" s="8" t="s">
        <v>182</v>
      </c>
      <c r="I56" s="5" t="s">
        <v>101</v>
      </c>
    </row>
    <row r="57" customFormat="false" ht="17.15" hidden="false" customHeight="false" outlineLevel="0" collapsed="false">
      <c r="A57" s="0" t="s">
        <v>188</v>
      </c>
      <c r="B57" s="0" t="s">
        <v>189</v>
      </c>
      <c r="C57" s="5" t="s">
        <v>177</v>
      </c>
      <c r="E57" s="7" t="n">
        <v>3013.32589285714</v>
      </c>
      <c r="G57" s="8" t="s">
        <v>65</v>
      </c>
      <c r="H57" s="8" t="s">
        <v>182</v>
      </c>
      <c r="I57" s="5" t="s">
        <v>101</v>
      </c>
    </row>
    <row r="58" customFormat="false" ht="17.15" hidden="false" customHeight="false" outlineLevel="0" collapsed="false">
      <c r="A58" s="0" t="s">
        <v>190</v>
      </c>
      <c r="B58" s="5" t="s">
        <v>191</v>
      </c>
      <c r="C58" s="0" t="s">
        <v>76</v>
      </c>
      <c r="E58" s="7" t="n">
        <v>1</v>
      </c>
      <c r="G58" s="8" t="s">
        <v>133</v>
      </c>
      <c r="H58" s="8" t="s">
        <v>192</v>
      </c>
      <c r="I58" s="5" t="s">
        <v>193</v>
      </c>
    </row>
    <row r="59" customFormat="false" ht="17.15" hidden="false" customHeight="false" outlineLevel="0" collapsed="false">
      <c r="A59" s="0" t="s">
        <v>194</v>
      </c>
      <c r="B59" s="5" t="s">
        <v>195</v>
      </c>
      <c r="C59" s="0" t="s">
        <v>76</v>
      </c>
      <c r="E59" s="7" t="n">
        <v>1</v>
      </c>
      <c r="G59" s="8" t="s">
        <v>133</v>
      </c>
      <c r="H59" s="8" t="s">
        <v>192</v>
      </c>
      <c r="I59" s="5" t="s">
        <v>101</v>
      </c>
    </row>
    <row r="60" customFormat="false" ht="17.15" hidden="false" customHeight="false" outlineLevel="0" collapsed="false">
      <c r="A60" s="0" t="s">
        <v>196</v>
      </c>
      <c r="B60" s="5" t="s">
        <v>197</v>
      </c>
      <c r="C60" s="0" t="s">
        <v>76</v>
      </c>
      <c r="E60" s="7" t="n">
        <v>0.8</v>
      </c>
      <c r="G60" s="8" t="s">
        <v>133</v>
      </c>
      <c r="H60" s="8" t="s">
        <v>192</v>
      </c>
      <c r="I60" s="5" t="s">
        <v>101</v>
      </c>
    </row>
    <row r="61" customFormat="false" ht="17.15" hidden="false" customHeight="false" outlineLevel="0" collapsed="false">
      <c r="A61" s="0" t="s">
        <v>198</v>
      </c>
      <c r="B61" s="5" t="s">
        <v>199</v>
      </c>
      <c r="C61" s="0" t="s">
        <v>76</v>
      </c>
      <c r="E61" s="7" t="n">
        <v>0.85</v>
      </c>
      <c r="G61" s="8" t="s">
        <v>133</v>
      </c>
      <c r="H61" s="8" t="s">
        <v>192</v>
      </c>
      <c r="I61" s="5" t="s">
        <v>101</v>
      </c>
    </row>
    <row r="62" customFormat="false" ht="17.15" hidden="false" customHeight="false" outlineLevel="0" collapsed="false">
      <c r="A62" s="0" t="s">
        <v>200</v>
      </c>
      <c r="B62" s="5" t="s">
        <v>201</v>
      </c>
      <c r="C62" s="0" t="s">
        <v>76</v>
      </c>
      <c r="E62" s="7" t="n">
        <v>0.6</v>
      </c>
      <c r="G62" s="8" t="s">
        <v>133</v>
      </c>
      <c r="H62" s="8" t="s">
        <v>192</v>
      </c>
      <c r="I62" s="5" t="s">
        <v>101</v>
      </c>
    </row>
    <row r="63" customFormat="false" ht="17.15" hidden="false" customHeight="false" outlineLevel="0" collapsed="false">
      <c r="A63" s="0" t="s">
        <v>202</v>
      </c>
      <c r="B63" s="5" t="s">
        <v>203</v>
      </c>
      <c r="C63" s="0" t="s">
        <v>76</v>
      </c>
      <c r="E63" s="7" t="n">
        <v>0.6</v>
      </c>
      <c r="G63" s="8" t="s">
        <v>133</v>
      </c>
      <c r="H63" s="8" t="s">
        <v>192</v>
      </c>
      <c r="I63" s="5" t="s">
        <v>101</v>
      </c>
    </row>
    <row r="64" customFormat="false" ht="17.15" hidden="false" customHeight="false" outlineLevel="0" collapsed="false">
      <c r="A64" s="1" t="s">
        <v>204</v>
      </c>
    </row>
    <row r="65" customFormat="false" ht="17.15" hidden="false" customHeight="false" outlineLevel="0" collapsed="false">
      <c r="A65" s="0" t="s">
        <v>205</v>
      </c>
      <c r="B65" s="5" t="s">
        <v>206</v>
      </c>
      <c r="C65" s="0" t="s">
        <v>207</v>
      </c>
      <c r="D65" s="7" t="n">
        <v>0</v>
      </c>
      <c r="E65" s="7" t="n">
        <v>1</v>
      </c>
      <c r="F65" s="7" t="n">
        <v>1</v>
      </c>
      <c r="G65" s="8" t="s">
        <v>133</v>
      </c>
      <c r="H65" s="5" t="s">
        <v>208</v>
      </c>
    </row>
    <row r="66" customFormat="false" ht="17.15" hidden="false" customHeight="false" outlineLevel="0" collapsed="false">
      <c r="A66" s="0" t="s">
        <v>209</v>
      </c>
      <c r="B66" s="5" t="s">
        <v>210</v>
      </c>
      <c r="C66" s="0" t="s">
        <v>56</v>
      </c>
      <c r="D66" s="7" t="n">
        <v>0</v>
      </c>
      <c r="E66" s="7" t="n">
        <v>0</v>
      </c>
      <c r="F66" s="7" t="n">
        <v>0</v>
      </c>
      <c r="G66" s="8" t="s">
        <v>133</v>
      </c>
      <c r="H66" s="8" t="s">
        <v>211</v>
      </c>
      <c r="I66" s="5" t="s">
        <v>212</v>
      </c>
    </row>
    <row r="67" customFormat="false" ht="17.15" hidden="false" customHeight="false" outlineLevel="0" collapsed="false">
      <c r="A67" s="0" t="s">
        <v>213</v>
      </c>
      <c r="B67" s="5" t="s">
        <v>214</v>
      </c>
      <c r="C67" s="0" t="s">
        <v>56</v>
      </c>
      <c r="D67" s="7" t="n">
        <v>0</v>
      </c>
      <c r="E67" s="7" t="n">
        <v>0</v>
      </c>
      <c r="F67" s="7" t="n">
        <v>0</v>
      </c>
      <c r="G67" s="8" t="s">
        <v>133</v>
      </c>
      <c r="H67" s="5" t="s">
        <v>101</v>
      </c>
    </row>
    <row r="68" customFormat="false" ht="17.15" hidden="false" customHeight="false" outlineLevel="0" collapsed="false">
      <c r="A68" s="0" t="s">
        <v>215</v>
      </c>
      <c r="B68" s="5" t="s">
        <v>216</v>
      </c>
      <c r="C68" s="0" t="s">
        <v>56</v>
      </c>
      <c r="D68" s="7" t="n">
        <v>0</v>
      </c>
      <c r="E68" s="7" t="n">
        <v>0</v>
      </c>
      <c r="F68" s="7" t="n">
        <v>0.05</v>
      </c>
      <c r="G68" s="8" t="s">
        <v>133</v>
      </c>
      <c r="H68" s="5" t="s">
        <v>101</v>
      </c>
    </row>
    <row r="69" customFormat="false" ht="17.15" hidden="false" customHeight="false" outlineLevel="0" collapsed="false">
      <c r="A69" s="0" t="s">
        <v>217</v>
      </c>
      <c r="B69" s="5" t="s">
        <v>218</v>
      </c>
      <c r="C69" s="0" t="s">
        <v>56</v>
      </c>
      <c r="D69" s="7" t="n">
        <v>0</v>
      </c>
      <c r="E69" s="7" t="n">
        <v>0.05</v>
      </c>
      <c r="F69" s="7" t="n">
        <v>0.15</v>
      </c>
      <c r="G69" s="8" t="s">
        <v>133</v>
      </c>
      <c r="H69" s="5" t="s">
        <v>101</v>
      </c>
    </row>
    <row r="70" customFormat="false" ht="17.15" hidden="false" customHeight="false" outlineLevel="0" collapsed="false">
      <c r="A70" s="0" t="s">
        <v>219</v>
      </c>
      <c r="B70" s="5" t="s">
        <v>220</v>
      </c>
      <c r="C70" s="0" t="s">
        <v>56</v>
      </c>
      <c r="D70" s="7" t="n">
        <v>0.05</v>
      </c>
      <c r="E70" s="7" t="n">
        <v>0.15</v>
      </c>
      <c r="F70" s="7" t="n">
        <v>0.3</v>
      </c>
      <c r="G70" s="8" t="s">
        <v>133</v>
      </c>
      <c r="H70" s="5" t="s">
        <v>101</v>
      </c>
    </row>
    <row r="71" customFormat="false" ht="17.15" hidden="false" customHeight="false" outlineLevel="0" collapsed="false">
      <c r="A71" s="0" t="s">
        <v>221</v>
      </c>
      <c r="B71" s="5" t="s">
        <v>222</v>
      </c>
      <c r="C71" s="0" t="s">
        <v>56</v>
      </c>
      <c r="D71" s="7" t="n">
        <v>0.1</v>
      </c>
      <c r="E71" s="7" t="n">
        <v>0.25</v>
      </c>
      <c r="F71" s="7" t="n">
        <v>0.4</v>
      </c>
      <c r="G71" s="8" t="s">
        <v>133</v>
      </c>
      <c r="H71" s="5" t="s">
        <v>101</v>
      </c>
    </row>
    <row r="72" customFormat="false" ht="17.15" hidden="false" customHeight="false" outlineLevel="0" collapsed="false">
      <c r="A72" s="0" t="s">
        <v>223</v>
      </c>
      <c r="B72" s="5" t="s">
        <v>224</v>
      </c>
      <c r="C72" s="0" t="s">
        <v>56</v>
      </c>
      <c r="D72" s="7" t="n">
        <v>-0.2</v>
      </c>
      <c r="E72" s="7" t="n">
        <v>0.1</v>
      </c>
      <c r="F72" s="7" t="n">
        <v>0.3</v>
      </c>
      <c r="G72" s="8" t="s">
        <v>133</v>
      </c>
      <c r="H72" s="5" t="s">
        <v>225</v>
      </c>
      <c r="I72" s="5" t="s">
        <v>226</v>
      </c>
    </row>
    <row r="73" customFormat="false" ht="17.15" hidden="false" customHeight="false" outlineLevel="0" collapsed="false">
      <c r="A73" s="1" t="s">
        <v>227</v>
      </c>
    </row>
    <row r="74" customFormat="false" ht="17.15" hidden="false" customHeight="false" outlineLevel="0" collapsed="false">
      <c r="A74" s="0" t="s">
        <v>228</v>
      </c>
      <c r="B74" s="5" t="s">
        <v>229</v>
      </c>
      <c r="C74" s="0" t="s">
        <v>56</v>
      </c>
      <c r="D74" s="7" t="n">
        <v>0</v>
      </c>
      <c r="E74" s="7" t="n">
        <v>0.06</v>
      </c>
      <c r="F74" s="7" t="n">
        <v>0.12</v>
      </c>
      <c r="G74" s="8" t="s">
        <v>230</v>
      </c>
      <c r="H74" s="5" t="s">
        <v>231</v>
      </c>
      <c r="I74" s="5" t="s">
        <v>232</v>
      </c>
    </row>
    <row r="75" customFormat="false" ht="17.15" hidden="false" customHeight="false" outlineLevel="0" collapsed="false">
      <c r="A75" s="0" t="s">
        <v>233</v>
      </c>
      <c r="B75" s="5" t="s">
        <v>234</v>
      </c>
      <c r="C75" s="0" t="s">
        <v>56</v>
      </c>
      <c r="D75" s="7" t="n">
        <v>-0.05</v>
      </c>
      <c r="E75" s="7" t="n">
        <v>0</v>
      </c>
      <c r="F75" s="7" t="n">
        <v>0.05</v>
      </c>
      <c r="G75" s="8" t="s">
        <v>133</v>
      </c>
      <c r="H75" s="8" t="s">
        <v>235</v>
      </c>
    </row>
    <row r="76" customFormat="false" ht="17.15" hidden="false" customHeight="false" outlineLevel="0" collapsed="false">
      <c r="A76" s="0" t="s">
        <v>236</v>
      </c>
      <c r="B76" s="5" t="s">
        <v>237</v>
      </c>
      <c r="C76" s="0" t="s">
        <v>56</v>
      </c>
      <c r="D76" s="7" t="n">
        <v>-0.2</v>
      </c>
      <c r="E76" s="7" t="n">
        <v>-0.12</v>
      </c>
      <c r="F76" s="7" t="n">
        <v>-0.04</v>
      </c>
      <c r="G76" s="8" t="s">
        <v>230</v>
      </c>
      <c r="H76" s="5" t="s">
        <v>238</v>
      </c>
      <c r="I76" s="5" t="s">
        <v>239</v>
      </c>
    </row>
    <row r="77" customFormat="false" ht="17.15" hidden="false" customHeight="false" outlineLevel="0" collapsed="false">
      <c r="A77" s="0" t="s">
        <v>240</v>
      </c>
      <c r="B77" s="5" t="s">
        <v>241</v>
      </c>
      <c r="C77" s="0" t="s">
        <v>56</v>
      </c>
      <c r="D77" s="7" t="n">
        <v>0</v>
      </c>
      <c r="E77" s="7" t="n">
        <v>0.05</v>
      </c>
      <c r="F77" s="7" t="n">
        <v>0.1</v>
      </c>
      <c r="G77" s="8" t="s">
        <v>230</v>
      </c>
      <c r="H77" s="5" t="s">
        <v>242</v>
      </c>
      <c r="I77" s="5" t="s">
        <v>243</v>
      </c>
    </row>
    <row r="78" customFormat="false" ht="17.15" hidden="false" customHeight="false" outlineLevel="0" collapsed="false">
      <c r="A78" s="0" t="s">
        <v>244</v>
      </c>
      <c r="B78" s="5" t="s">
        <v>245</v>
      </c>
      <c r="C78" s="0" t="s">
        <v>56</v>
      </c>
      <c r="D78" s="7" t="n">
        <v>-0.05</v>
      </c>
      <c r="E78" s="7" t="n">
        <v>0</v>
      </c>
      <c r="F78" s="7" t="n">
        <v>0.05</v>
      </c>
      <c r="G78" s="8" t="s">
        <v>133</v>
      </c>
      <c r="H78" s="5" t="s">
        <v>246</v>
      </c>
    </row>
    <row r="79" customFormat="false" ht="17.15" hidden="false" customHeight="false" outlineLevel="0" collapsed="false">
      <c r="A79" s="0" t="s">
        <v>247</v>
      </c>
      <c r="B79" s="0" t="s">
        <v>248</v>
      </c>
      <c r="C79" s="0" t="s">
        <v>56</v>
      </c>
      <c r="D79" s="7" t="n">
        <v>0.1</v>
      </c>
      <c r="E79" s="8" t="n">
        <f aca="false">ai25/eq25</f>
        <v>0.276884384673187</v>
      </c>
      <c r="F79" s="7" t="n">
        <v>0.4</v>
      </c>
      <c r="G79" s="8" t="s">
        <v>133</v>
      </c>
      <c r="H79" s="5" t="s">
        <v>249</v>
      </c>
      <c r="I79" s="8" t="s">
        <v>250</v>
      </c>
    </row>
    <row r="80" customFormat="false" ht="17.15" hidden="false" customHeight="false" outlineLevel="0" collapsed="false">
      <c r="A80" s="1" t="s">
        <v>251</v>
      </c>
    </row>
    <row r="81" customFormat="false" ht="17.15" hidden="false" customHeight="false" outlineLevel="0" collapsed="false">
      <c r="A81" s="0" t="s">
        <v>252</v>
      </c>
      <c r="B81" s="0" t="s">
        <v>253</v>
      </c>
      <c r="C81" s="0" t="s">
        <v>56</v>
      </c>
      <c r="D81" s="7" t="n">
        <v>0.6</v>
      </c>
      <c r="E81" s="7" t="n">
        <v>0.7</v>
      </c>
      <c r="F81" s="7" t="n">
        <v>0.8</v>
      </c>
      <c r="G81" s="8" t="s">
        <v>82</v>
      </c>
      <c r="H81" s="8" t="s">
        <v>254</v>
      </c>
      <c r="I81" s="5" t="s">
        <v>255</v>
      </c>
    </row>
    <row r="82" customFormat="false" ht="17.15" hidden="false" customHeight="false" outlineLevel="0" collapsed="false">
      <c r="A82" s="0" t="s">
        <v>256</v>
      </c>
      <c r="B82" s="0" t="s">
        <v>257</v>
      </c>
      <c r="C82" s="0" t="s">
        <v>258</v>
      </c>
      <c r="D82" s="7" t="n">
        <v>0</v>
      </c>
      <c r="E82" s="7" t="n">
        <v>0</v>
      </c>
      <c r="F82" s="7" t="n">
        <v>0.1</v>
      </c>
      <c r="G82" s="8" t="s">
        <v>133</v>
      </c>
      <c r="H82" s="5" t="s">
        <v>259</v>
      </c>
    </row>
    <row r="83" customFormat="false" ht="17.15" hidden="false" customHeight="false" outlineLevel="0" collapsed="false">
      <c r="A83" s="1" t="s">
        <v>260</v>
      </c>
    </row>
    <row r="84" customFormat="false" ht="17.15" hidden="false" customHeight="false" outlineLevel="0" collapsed="false">
      <c r="A84" s="0" t="s">
        <v>261</v>
      </c>
      <c r="B84" s="5" t="s">
        <v>262</v>
      </c>
      <c r="C84" s="0" t="s">
        <v>76</v>
      </c>
      <c r="E84" s="0" t="n">
        <f aca="false">SLOPE(Hist!H6:H16,Hist!I6:I16)</f>
        <v>0.113825958947893</v>
      </c>
      <c r="G84" s="0" t="s">
        <v>65</v>
      </c>
      <c r="H84" s="0" t="s">
        <v>263</v>
      </c>
      <c r="I84" s="5" t="s">
        <v>264</v>
      </c>
    </row>
    <row r="85" customFormat="false" ht="15" hidden="false" customHeight="false" outlineLevel="0" collapsed="false">
      <c r="A85" s="0" t="s">
        <v>265</v>
      </c>
      <c r="B85" s="5" t="s">
        <v>266</v>
      </c>
      <c r="C85" s="0" t="s">
        <v>56</v>
      </c>
      <c r="E85" s="0" t="n">
        <f aca="false">INTERCEPT(Hist!H6:H16,Hist!I6:I16)</f>
        <v>0.0104284537436804</v>
      </c>
      <c r="G85" s="0" t="s">
        <v>65</v>
      </c>
      <c r="H85" s="5" t="s">
        <v>101</v>
      </c>
    </row>
    <row r="86" customFormat="false" ht="17.15" hidden="false" customHeight="false" outlineLevel="0" collapsed="false">
      <c r="A86" s="0" t="s">
        <v>267</v>
      </c>
      <c r="B86" s="5" t="s">
        <v>268</v>
      </c>
      <c r="C86" s="0" t="s">
        <v>76</v>
      </c>
      <c r="E86" s="0" t="n">
        <f aca="false">SLOPE(Hist!H10:H16,Hist!I10:I16)</f>
        <v>0.112677868954118</v>
      </c>
      <c r="G86" s="0" t="s">
        <v>65</v>
      </c>
      <c r="H86" s="0" t="s">
        <v>269</v>
      </c>
    </row>
    <row r="87" customFormat="false" ht="17.15" hidden="false" customHeight="false" outlineLevel="0" collapsed="false">
      <c r="A87" s="0" t="s">
        <v>270</v>
      </c>
      <c r="B87" s="5" t="s">
        <v>271</v>
      </c>
      <c r="C87" s="0" t="s">
        <v>56</v>
      </c>
      <c r="E87" s="0" t="n">
        <f aca="false">INTERCEPT(Hist!H10:H16,Hist!I10:I16)</f>
        <v>0.0169467151840429</v>
      </c>
      <c r="G87" s="0" t="s">
        <v>65</v>
      </c>
      <c r="H87" s="5" t="s">
        <v>101</v>
      </c>
    </row>
    <row r="88" customFormat="false" ht="17.15" hidden="false" customHeight="false" outlineLevel="0" collapsed="false">
      <c r="A88" s="0" t="s">
        <v>272</v>
      </c>
      <c r="B88" s="5" t="s">
        <v>273</v>
      </c>
      <c r="C88" s="0" t="s">
        <v>258</v>
      </c>
      <c r="D88" s="7" t="n">
        <v>-0.03</v>
      </c>
      <c r="E88" s="7" t="n">
        <v>-0.01</v>
      </c>
      <c r="F88" s="7" t="n">
        <v>0</v>
      </c>
      <c r="G88" s="8" t="s">
        <v>133</v>
      </c>
      <c r="H88" s="5" t="s">
        <v>274</v>
      </c>
    </row>
    <row r="89" customFormat="false" ht="17.15" hidden="false" customHeight="false" outlineLevel="0" collapsed="false">
      <c r="A89" s="0" t="s">
        <v>275</v>
      </c>
      <c r="B89" s="5" t="s">
        <v>276</v>
      </c>
      <c r="C89" s="0" t="s">
        <v>76</v>
      </c>
      <c r="E89" s="0" t="n">
        <f aca="false">SLOPE(Hist!D6:D16,Hist!B6:B16)</f>
        <v>0.2523670341155</v>
      </c>
      <c r="G89" s="0" t="s">
        <v>65</v>
      </c>
      <c r="H89" s="0" t="s">
        <v>277</v>
      </c>
      <c r="I89" s="0" t="s">
        <v>278</v>
      </c>
    </row>
    <row r="90" customFormat="false" ht="15" hidden="false" customHeight="false" outlineLevel="0" collapsed="false">
      <c r="A90" s="0" t="s">
        <v>279</v>
      </c>
      <c r="B90" s="5" t="s">
        <v>280</v>
      </c>
      <c r="C90" s="0" t="s">
        <v>29</v>
      </c>
      <c r="E90" s="0" t="n">
        <f aca="false">INTERCEPT(Hist!D6:D16,Hist!B6:B16)</f>
        <v>8.12334232639923</v>
      </c>
      <c r="G90" s="0" t="s">
        <v>65</v>
      </c>
      <c r="H90" s="5" t="s">
        <v>101</v>
      </c>
    </row>
    <row r="91" customFormat="false" ht="17.15" hidden="false" customHeight="false" outlineLevel="0" collapsed="false">
      <c r="A91" s="0" t="s">
        <v>281</v>
      </c>
      <c r="B91" s="5" t="s">
        <v>282</v>
      </c>
      <c r="C91" s="0" t="s">
        <v>76</v>
      </c>
      <c r="D91" s="0" t="n">
        <f aca="false">q26h1_ni/q26h1_oi</f>
        <v>0.689014823515291</v>
      </c>
      <c r="E91" s="0" t="n">
        <f aca="false">a25_ni/a25_oi</f>
        <v>0.732589505321938</v>
      </c>
      <c r="F91" s="0" t="n">
        <f aca="false">Hist!F15/Hist!E15</f>
        <v>0.742600429169114</v>
      </c>
      <c r="G91" s="0" t="s">
        <v>65</v>
      </c>
      <c r="H91" s="5" t="s">
        <v>283</v>
      </c>
      <c r="I91" s="0" t="s">
        <v>284</v>
      </c>
    </row>
    <row r="92" customFormat="false" ht="17.15" hidden="false" customHeight="false" outlineLevel="0" collapsed="false">
      <c r="A92" s="0" t="s">
        <v>285</v>
      </c>
      <c r="B92" s="5" t="s">
        <v>286</v>
      </c>
      <c r="C92" s="5" t="s">
        <v>287</v>
      </c>
      <c r="E92" s="7" t="n">
        <v>108.480881</v>
      </c>
      <c r="G92" s="8" t="s">
        <v>30</v>
      </c>
      <c r="H92" s="5" t="s">
        <v>288</v>
      </c>
      <c r="I92" s="8" t="s">
        <v>289</v>
      </c>
    </row>
    <row r="93" customFormat="false" ht="17.15" hidden="false" customHeight="false" outlineLevel="0" collapsed="false">
      <c r="A93" s="1" t="s">
        <v>290</v>
      </c>
    </row>
    <row r="94" customFormat="false" ht="17.15" hidden="false" customHeight="false" outlineLevel="0" collapsed="false">
      <c r="A94" s="0" t="s">
        <v>291</v>
      </c>
      <c r="B94" s="0" t="s">
        <v>292</v>
      </c>
      <c r="C94" s="0" t="s">
        <v>29</v>
      </c>
      <c r="E94" s="7" t="n">
        <v>257.058</v>
      </c>
      <c r="G94" s="8" t="s">
        <v>30</v>
      </c>
      <c r="H94" s="5" t="s">
        <v>293</v>
      </c>
      <c r="I94" s="5" t="s">
        <v>294</v>
      </c>
    </row>
    <row r="95" customFormat="false" ht="17.15" hidden="false" customHeight="false" outlineLevel="0" collapsed="false">
      <c r="A95" s="0" t="s">
        <v>295</v>
      </c>
      <c r="B95" s="0" t="s">
        <v>296</v>
      </c>
      <c r="C95" s="0" t="s">
        <v>29</v>
      </c>
      <c r="E95" s="7" t="n">
        <v>116.639</v>
      </c>
      <c r="G95" s="8" t="s">
        <v>30</v>
      </c>
      <c r="H95" s="5" t="s">
        <v>297</v>
      </c>
      <c r="I95" s="5" t="s">
        <v>298</v>
      </c>
    </row>
    <row r="96" customFormat="false" ht="17.15" hidden="false" customHeight="false" outlineLevel="0" collapsed="false">
      <c r="A96" s="0" t="s">
        <v>299</v>
      </c>
      <c r="B96" s="0" t="s">
        <v>300</v>
      </c>
      <c r="C96" s="0" t="s">
        <v>29</v>
      </c>
      <c r="E96" s="7" t="n">
        <v>80.366</v>
      </c>
      <c r="G96" s="8" t="s">
        <v>30</v>
      </c>
      <c r="H96" s="5" t="s">
        <v>301</v>
      </c>
      <c r="I96" s="5" t="s">
        <v>298</v>
      </c>
    </row>
    <row r="97" customFormat="false" ht="17.15" hidden="false" customHeight="false" outlineLevel="0" collapsed="false">
      <c r="A97" s="0" t="s">
        <v>302</v>
      </c>
      <c r="B97" s="0" t="s">
        <v>303</v>
      </c>
      <c r="C97" s="0" t="s">
        <v>51</v>
      </c>
      <c r="E97" s="7" t="n">
        <v>740.84</v>
      </c>
      <c r="G97" s="8" t="s">
        <v>30</v>
      </c>
      <c r="H97" s="5" t="s">
        <v>304</v>
      </c>
      <c r="I97" s="5" t="s">
        <v>298</v>
      </c>
    </row>
    <row r="98" customFormat="false" ht="17.15" hidden="false" customHeight="false" outlineLevel="0" collapsed="false">
      <c r="A98" s="0" t="s">
        <v>305</v>
      </c>
      <c r="B98" s="0" t="s">
        <v>306</v>
      </c>
      <c r="C98" s="0" t="s">
        <v>29</v>
      </c>
      <c r="E98" s="7" t="n">
        <v>183.917</v>
      </c>
      <c r="G98" s="8" t="s">
        <v>30</v>
      </c>
      <c r="H98" s="5" t="s">
        <v>307</v>
      </c>
      <c r="I98" s="5" t="s">
        <v>308</v>
      </c>
    </row>
    <row r="99" customFormat="false" ht="17.15" hidden="false" customHeight="false" outlineLevel="0" collapsed="false">
      <c r="A99" s="0" t="s">
        <v>309</v>
      </c>
      <c r="B99" s="5" t="s">
        <v>310</v>
      </c>
      <c r="C99" s="0" t="s">
        <v>29</v>
      </c>
      <c r="E99" s="7" t="n">
        <v>389.5</v>
      </c>
      <c r="G99" s="8" t="s">
        <v>82</v>
      </c>
      <c r="H99" s="5" t="s">
        <v>311</v>
      </c>
      <c r="I99" s="8" t="s">
        <v>312</v>
      </c>
    </row>
    <row r="100" customFormat="false" ht="17.15" hidden="false" customHeight="false" outlineLevel="0" collapsed="false">
      <c r="A100" s="0" t="s">
        <v>313</v>
      </c>
      <c r="B100" s="5" t="s">
        <v>314</v>
      </c>
      <c r="C100" s="0" t="s">
        <v>29</v>
      </c>
      <c r="E100" s="7" t="n">
        <v>174.7</v>
      </c>
      <c r="G100" s="8" t="s">
        <v>82</v>
      </c>
      <c r="H100" s="5" t="s">
        <v>315</v>
      </c>
      <c r="I100" s="5" t="s">
        <v>101</v>
      </c>
    </row>
    <row r="101" customFormat="false" ht="17.15" hidden="false" customHeight="false" outlineLevel="0" collapsed="false">
      <c r="A101" s="0" t="s">
        <v>316</v>
      </c>
      <c r="B101" s="5" t="s">
        <v>317</v>
      </c>
      <c r="C101" s="0" t="s">
        <v>29</v>
      </c>
      <c r="E101" s="7" t="n">
        <v>121.9</v>
      </c>
      <c r="G101" s="8" t="s">
        <v>82</v>
      </c>
      <c r="H101" s="5" t="s">
        <v>318</v>
      </c>
      <c r="I101" s="5" t="s">
        <v>101</v>
      </c>
    </row>
    <row r="102" customFormat="false" ht="17.15" hidden="false" customHeight="false" outlineLevel="0" collapsed="false">
      <c r="A102" s="0" t="s">
        <v>319</v>
      </c>
      <c r="B102" s="5" t="s">
        <v>320</v>
      </c>
      <c r="C102" s="0" t="s">
        <v>29</v>
      </c>
      <c r="E102" s="0" t="n">
        <f aca="false">g9_rev-q26h1_rev</f>
        <v>132.442</v>
      </c>
      <c r="G102" s="0" t="s">
        <v>65</v>
      </c>
      <c r="H102" s="5" t="s">
        <v>321</v>
      </c>
      <c r="I102" s="5" t="s">
        <v>322</v>
      </c>
    </row>
    <row r="103" customFormat="false" ht="17.15" hidden="false" customHeight="false" outlineLevel="0" collapsed="false">
      <c r="A103" s="0" t="s">
        <v>323</v>
      </c>
      <c r="B103" s="5" t="s">
        <v>324</v>
      </c>
      <c r="C103" s="0" t="s">
        <v>29</v>
      </c>
      <c r="E103" s="0" t="n">
        <f aca="false">g9_oi-q26h1_oi</f>
        <v>58.061</v>
      </c>
      <c r="G103" s="0" t="s">
        <v>65</v>
      </c>
      <c r="H103" s="0" t="s">
        <v>325</v>
      </c>
      <c r="I103" s="5" t="s">
        <v>101</v>
      </c>
    </row>
    <row r="104" customFormat="false" ht="17.15" hidden="false" customHeight="false" outlineLevel="0" collapsed="false">
      <c r="A104" s="0" t="s">
        <v>326</v>
      </c>
      <c r="B104" s="5" t="s">
        <v>327</v>
      </c>
      <c r="C104" s="0" t="s">
        <v>29</v>
      </c>
      <c r="D104" s="7" t="n">
        <v>541</v>
      </c>
      <c r="E104" s="7" t="n">
        <v>564.96</v>
      </c>
      <c r="F104" s="7" t="n">
        <v>598.7</v>
      </c>
      <c r="G104" s="8" t="s">
        <v>82</v>
      </c>
      <c r="H104" s="8" t="s">
        <v>328</v>
      </c>
      <c r="I104" s="5" t="s">
        <v>329</v>
      </c>
    </row>
    <row r="105" customFormat="false" ht="17.15" hidden="false" customHeight="false" outlineLevel="0" collapsed="false">
      <c r="A105" s="0" t="s">
        <v>330</v>
      </c>
      <c r="B105" s="5" t="s">
        <v>331</v>
      </c>
      <c r="C105" s="0" t="s">
        <v>29</v>
      </c>
      <c r="E105" s="7" t="n">
        <v>240</v>
      </c>
      <c r="G105" s="8" t="s">
        <v>82</v>
      </c>
      <c r="H105" s="5" t="s">
        <v>332</v>
      </c>
      <c r="I105" s="5" t="s">
        <v>333</v>
      </c>
    </row>
    <row r="106" customFormat="false" ht="17.15" hidden="false" customHeight="false" outlineLevel="0" collapsed="false">
      <c r="A106" s="0" t="s">
        <v>334</v>
      </c>
      <c r="B106" s="5" t="s">
        <v>335</v>
      </c>
      <c r="C106" s="0" t="s">
        <v>29</v>
      </c>
      <c r="E106" s="7" t="n">
        <v>640</v>
      </c>
      <c r="G106" s="8" t="s">
        <v>82</v>
      </c>
      <c r="H106" s="5" t="s">
        <v>336</v>
      </c>
      <c r="I106" s="8" t="s">
        <v>337</v>
      </c>
    </row>
    <row r="107" customFormat="false" ht="17.15" hidden="false" customHeight="false" outlineLevel="0" collapsed="false">
      <c r="A107" s="0" t="s">
        <v>338</v>
      </c>
      <c r="B107" s="5" t="s">
        <v>339</v>
      </c>
      <c r="C107" s="0" t="s">
        <v>51</v>
      </c>
      <c r="E107" s="7" t="n">
        <v>51230</v>
      </c>
      <c r="G107" s="8" t="s">
        <v>30</v>
      </c>
      <c r="H107" s="8" t="s">
        <v>340</v>
      </c>
      <c r="I107" s="5" t="s">
        <v>341</v>
      </c>
    </row>
    <row r="108" customFormat="false" ht="17.15" hidden="false" customHeight="false" outlineLevel="0" collapsed="false">
      <c r="A108" s="0" t="s">
        <v>342</v>
      </c>
      <c r="B108" s="5" t="s">
        <v>343</v>
      </c>
      <c r="C108" s="0" t="s">
        <v>76</v>
      </c>
      <c r="E108" s="7" t="n">
        <v>28.33</v>
      </c>
      <c r="G108" s="8" t="s">
        <v>82</v>
      </c>
      <c r="H108" s="8" t="s">
        <v>344</v>
      </c>
      <c r="I108" s="5" t="s">
        <v>345</v>
      </c>
    </row>
    <row r="109" customFormat="false" ht="17.15" hidden="false" customHeight="false" outlineLevel="0" collapsed="false">
      <c r="A109" s="0" t="s">
        <v>346</v>
      </c>
      <c r="B109" s="0" t="s">
        <v>347</v>
      </c>
      <c r="C109" s="0" t="s">
        <v>76</v>
      </c>
      <c r="E109" s="7" t="n">
        <v>39.95</v>
      </c>
      <c r="G109" s="8" t="s">
        <v>82</v>
      </c>
      <c r="H109" s="8" t="s">
        <v>348</v>
      </c>
    </row>
    <row r="110" customFormat="false" ht="17.15" hidden="false" customHeight="false" outlineLevel="0" collapsed="false">
      <c r="A110" s="0" t="s">
        <v>349</v>
      </c>
      <c r="B110" s="0" t="s">
        <v>350</v>
      </c>
      <c r="C110" s="0" t="s">
        <v>351</v>
      </c>
      <c r="D110" s="0" t="n">
        <f aca="false">6.11313868613139</f>
        <v>6.11313868613139</v>
      </c>
      <c r="E110" s="7" t="n">
        <v>6.7</v>
      </c>
      <c r="G110" s="8" t="s">
        <v>82</v>
      </c>
      <c r="H110" s="8" t="s">
        <v>352</v>
      </c>
      <c r="I110" s="8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354</v>
      </c>
    </row>
    <row r="3" customFormat="false" ht="17.15" hidden="false" customHeight="false" outlineLevel="0" collapsed="false">
      <c r="A3" s="6" t="s">
        <v>18</v>
      </c>
      <c r="B3" s="9" t="s">
        <v>355</v>
      </c>
      <c r="C3" s="9" t="s">
        <v>356</v>
      </c>
      <c r="D3" s="9" t="s">
        <v>357</v>
      </c>
      <c r="E3" s="9" t="s">
        <v>358</v>
      </c>
      <c r="F3" s="9" t="s">
        <v>359</v>
      </c>
      <c r="G3" s="9" t="s">
        <v>360</v>
      </c>
      <c r="H3" s="9" t="s">
        <v>361</v>
      </c>
      <c r="I3" s="9" t="s">
        <v>362</v>
      </c>
      <c r="J3" s="6" t="s">
        <v>23</v>
      </c>
      <c r="K3" s="6" t="s">
        <v>24</v>
      </c>
      <c r="L3" s="6" t="s">
        <v>25</v>
      </c>
    </row>
    <row r="4" customFormat="false" ht="17.15" hidden="false" customHeight="false" outlineLevel="0" collapsed="false">
      <c r="A4" s="5" t="s">
        <v>363</v>
      </c>
      <c r="B4" s="10" t="n">
        <f aca="false">a25_rev-C4-D4-E4</f>
        <v>89.914</v>
      </c>
      <c r="C4" s="10" t="n">
        <v>104.623</v>
      </c>
      <c r="D4" s="10" t="n">
        <v>109.291</v>
      </c>
      <c r="E4" s="10" t="n">
        <v>133.061</v>
      </c>
      <c r="F4" s="11" t="n">
        <f aca="false">SUM(B4:E4)</f>
        <v>436.889</v>
      </c>
      <c r="G4" s="10" t="n">
        <v>114.308</v>
      </c>
      <c r="H4" s="10" t="n">
        <v>142.75</v>
      </c>
      <c r="I4" s="11" t="n">
        <f aca="false">g3_rev</f>
        <v>132.442</v>
      </c>
      <c r="J4" s="8" t="s">
        <v>364</v>
      </c>
      <c r="K4" s="5" t="s">
        <v>365</v>
      </c>
      <c r="L4" s="5" t="s">
        <v>366</v>
      </c>
    </row>
    <row r="5" customFormat="false" ht="17.15" hidden="false" customHeight="false" outlineLevel="0" collapsed="false">
      <c r="A5" s="5" t="s">
        <v>367</v>
      </c>
      <c r="B5" s="10" t="n">
        <f aca="false">a25_oi-C5-D5-E5</f>
        <v>34.48</v>
      </c>
      <c r="C5" s="10" t="n">
        <v>44.391</v>
      </c>
      <c r="D5" s="10" t="n">
        <v>47.341</v>
      </c>
      <c r="E5" s="10" t="n">
        <v>58.777</v>
      </c>
      <c r="F5" s="11" t="n">
        <f aca="false">SUM(B5:E5)</f>
        <v>184.989</v>
      </c>
      <c r="G5" s="10" t="n">
        <v>49.033</v>
      </c>
      <c r="H5" s="10" t="n">
        <v>67.606</v>
      </c>
      <c r="I5" s="11" t="n">
        <f aca="false">g3_oi</f>
        <v>58.061</v>
      </c>
      <c r="J5" s="8" t="s">
        <v>364</v>
      </c>
      <c r="K5" s="5" t="s">
        <v>368</v>
      </c>
      <c r="L5" s="5" t="s">
        <v>369</v>
      </c>
    </row>
    <row r="6" customFormat="false" ht="17.15" hidden="false" customHeight="false" outlineLevel="0" collapsed="false">
      <c r="A6" s="5" t="s">
        <v>370</v>
      </c>
      <c r="B6" s="10" t="n">
        <f aca="false">a25_ni-C6-D6-E6</f>
        <v>23.767</v>
      </c>
      <c r="C6" s="10" t="n">
        <v>32.146</v>
      </c>
      <c r="D6" s="10" t="n">
        <v>36.726</v>
      </c>
      <c r="E6" s="10" t="n">
        <v>42.882</v>
      </c>
      <c r="F6" s="11" t="n">
        <f aca="false">SUM(B6:E6)</f>
        <v>135.521</v>
      </c>
      <c r="G6" s="10" t="n">
        <v>34.221</v>
      </c>
      <c r="H6" s="10" t="n">
        <v>46.145</v>
      </c>
      <c r="I6" s="11" t="n">
        <f aca="false">g9_ni-q26h1_ni</f>
        <v>41.534</v>
      </c>
      <c r="J6" s="8" t="s">
        <v>364</v>
      </c>
      <c r="K6" s="5" t="s">
        <v>371</v>
      </c>
      <c r="L6" s="5" t="s">
        <v>372</v>
      </c>
    </row>
    <row r="7" customFormat="false" ht="17.15" hidden="false" customHeight="false" outlineLevel="0" collapsed="false">
      <c r="A7" s="0" t="s">
        <v>373</v>
      </c>
      <c r="B7" s="0" t="n">
        <f aca="false">a25_eps-C7-D7-E7</f>
        <v>219.14</v>
      </c>
      <c r="C7" s="12" t="n">
        <v>296.49</v>
      </c>
      <c r="D7" s="12" t="n">
        <v>338.73</v>
      </c>
      <c r="E7" s="12" t="n">
        <v>395.48</v>
      </c>
      <c r="F7" s="13" t="n">
        <f aca="false">SUM(B7:E7)</f>
        <v>1249.84</v>
      </c>
      <c r="G7" s="12" t="n">
        <v>315.51</v>
      </c>
      <c r="H7" s="12" t="n">
        <v>425.38</v>
      </c>
      <c r="I7" s="13" t="n">
        <f aca="false">1123.43-q26h1_eps</f>
        <v>382.59</v>
      </c>
      <c r="J7" s="8" t="s">
        <v>364</v>
      </c>
      <c r="K7" s="5" t="s">
        <v>374</v>
      </c>
      <c r="L7" s="5" t="s">
        <v>375</v>
      </c>
    </row>
    <row r="8" customFormat="false" ht="17.15" hidden="false" customHeight="false" outlineLevel="0" collapsed="false">
      <c r="A8" s="5" t="s">
        <v>376</v>
      </c>
      <c r="B8" s="10" t="n">
        <v>111.1</v>
      </c>
      <c r="C8" s="10" t="n">
        <v>96.3</v>
      </c>
      <c r="D8" s="10" t="n">
        <v>113.6</v>
      </c>
      <c r="E8" s="10" t="n">
        <v>121.6</v>
      </c>
      <c r="F8" s="11" t="n">
        <f aca="false">SUM(B8:E8)</f>
        <v>442.6</v>
      </c>
      <c r="G8" s="10" t="n">
        <v>135.9</v>
      </c>
      <c r="H8" s="10" t="n">
        <v>148.6</v>
      </c>
      <c r="I8" s="10" t="n">
        <v>149.6</v>
      </c>
      <c r="J8" s="8" t="s">
        <v>364</v>
      </c>
      <c r="K8" s="5" t="s">
        <v>377</v>
      </c>
      <c r="L8" s="8" t="s">
        <v>378</v>
      </c>
    </row>
    <row r="9" customFormat="false" ht="15" hidden="false" customHeight="false" outlineLevel="0" collapsed="false">
      <c r="A9" s="5" t="s">
        <v>379</v>
      </c>
      <c r="B9" s="14" t="n">
        <f aca="false">B5/B4</f>
        <v>0.383477545209867</v>
      </c>
      <c r="C9" s="14" t="n">
        <f aca="false">C5/C4</f>
        <v>0.424294849124953</v>
      </c>
      <c r="D9" s="14" t="n">
        <f aca="false">D5/D4</f>
        <v>0.433164670466919</v>
      </c>
      <c r="E9" s="14" t="n">
        <f aca="false">E5/E4</f>
        <v>0.441729732979611</v>
      </c>
      <c r="F9" s="14" t="n">
        <f aca="false">F5/F4</f>
        <v>0.423423340940147</v>
      </c>
      <c r="G9" s="14" t="n">
        <f aca="false">G5/G4</f>
        <v>0.428955103754768</v>
      </c>
      <c r="H9" s="14" t="n">
        <f aca="false">H5/H4</f>
        <v>0.473597197898424</v>
      </c>
      <c r="I9" s="14" t="n">
        <f aca="false">I5/I4</f>
        <v>0.438388124613038</v>
      </c>
    </row>
    <row r="10" customFormat="false" ht="17.15" hidden="false" customHeight="false" outlineLevel="0" collapsed="false">
      <c r="A10" s="5" t="s">
        <v>380</v>
      </c>
      <c r="C10" s="15" t="n">
        <v>0.695</v>
      </c>
      <c r="E10" s="15" t="n">
        <v>0.709</v>
      </c>
      <c r="F10" s="14" t="n">
        <f aca="false">a25_gp/a25_rev</f>
        <v>0.701498549974936</v>
      </c>
      <c r="G10" s="15" t="n">
        <v>0.713</v>
      </c>
      <c r="H10" s="15" t="n">
        <v>0.717</v>
      </c>
      <c r="L10" s="8" t="s">
        <v>381</v>
      </c>
    </row>
    <row r="11" customFormat="false" ht="17.15" hidden="false" customHeight="false" outlineLevel="0" collapsed="false">
      <c r="A11" s="5" t="s">
        <v>382</v>
      </c>
      <c r="B11" s="16" t="n">
        <f aca="false">G4+H4-q26h1_rev</f>
        <v>0</v>
      </c>
      <c r="C11" s="16" t="n">
        <f aca="false">G5+H5-q26h1_oi</f>
        <v>0</v>
      </c>
      <c r="D11" s="16" t="n">
        <f aca="false">G6+H6-q26h1_ni</f>
        <v>0</v>
      </c>
    </row>
    <row r="13" customFormat="false" ht="15" hidden="false" customHeight="false" outlineLevel="0" collapsed="false">
      <c r="A13" s="3" t="s">
        <v>383</v>
      </c>
    </row>
    <row r="14" customFormat="false" ht="15" hidden="false" customHeight="false" outlineLevel="0" collapsed="false">
      <c r="A14" s="6" t="s">
        <v>384</v>
      </c>
      <c r="B14" s="9" t="s">
        <v>385</v>
      </c>
      <c r="C14" s="9" t="s">
        <v>386</v>
      </c>
      <c r="D14" s="9" t="s">
        <v>359</v>
      </c>
      <c r="E14" s="9" t="s">
        <v>361</v>
      </c>
      <c r="F14" s="9"/>
      <c r="G14" s="9"/>
      <c r="H14" s="9"/>
      <c r="I14" s="9"/>
      <c r="J14" s="6" t="s">
        <v>23</v>
      </c>
      <c r="K14" s="6" t="s">
        <v>387</v>
      </c>
      <c r="L14" s="9"/>
    </row>
    <row r="15" customFormat="false" ht="17.15" hidden="false" customHeight="false" outlineLevel="0" collapsed="false">
      <c r="A15" s="5" t="s">
        <v>388</v>
      </c>
      <c r="B15" s="17" t="n">
        <v>0.64</v>
      </c>
      <c r="C15" s="17" t="n">
        <v>0.63</v>
      </c>
      <c r="D15" s="17" t="n">
        <v>0.62</v>
      </c>
      <c r="E15" s="17" t="n">
        <v>0.63</v>
      </c>
      <c r="J15" s="8" t="s">
        <v>30</v>
      </c>
      <c r="K15" s="8" t="s">
        <v>389</v>
      </c>
    </row>
    <row r="16" customFormat="false" ht="17.15" hidden="false" customHeight="false" outlineLevel="0" collapsed="false">
      <c r="A16" s="5" t="s">
        <v>390</v>
      </c>
      <c r="B16" s="17" t="n">
        <v>0.32</v>
      </c>
      <c r="C16" s="17" t="n">
        <v>0.33</v>
      </c>
      <c r="D16" s="17" t="n">
        <v>0.31</v>
      </c>
      <c r="E16" s="17" t="n">
        <v>0.33</v>
      </c>
      <c r="J16" s="8" t="s">
        <v>30</v>
      </c>
      <c r="K16" s="8" t="s">
        <v>389</v>
      </c>
    </row>
    <row r="17" customFormat="false" ht="17.15" hidden="false" customHeight="false" outlineLevel="0" collapsed="false">
      <c r="A17" s="5" t="s">
        <v>391</v>
      </c>
      <c r="B17" s="17" t="n">
        <v>0.28</v>
      </c>
      <c r="C17" s="17" t="n">
        <v>0.27</v>
      </c>
      <c r="D17" s="17" t="n">
        <v>0.28</v>
      </c>
      <c r="E17" s="17" t="n">
        <v>0.26</v>
      </c>
      <c r="J17" s="8" t="s">
        <v>30</v>
      </c>
      <c r="K17" s="8" t="s">
        <v>389</v>
      </c>
    </row>
    <row r="18" customFormat="false" ht="17.15" hidden="false" customHeight="false" outlineLevel="0" collapsed="false">
      <c r="A18" s="5" t="s">
        <v>392</v>
      </c>
      <c r="B18" s="17" t="n">
        <v>0.22</v>
      </c>
      <c r="C18" s="17" t="n">
        <v>0.21</v>
      </c>
      <c r="D18" s="17" t="n">
        <v>0.21</v>
      </c>
      <c r="E18" s="17" t="n">
        <v>0.23</v>
      </c>
      <c r="J18" s="8" t="s">
        <v>30</v>
      </c>
      <c r="K18" s="8" t="s">
        <v>389</v>
      </c>
    </row>
    <row r="19" customFormat="false" ht="17.15" hidden="false" customHeight="false" outlineLevel="0" collapsed="false">
      <c r="A19" s="5" t="s">
        <v>393</v>
      </c>
      <c r="B19" s="17" t="n">
        <v>0.14</v>
      </c>
      <c r="C19" s="17" t="n">
        <v>0.16</v>
      </c>
      <c r="D19" s="17" t="n">
        <v>0.16</v>
      </c>
      <c r="E19" s="17" t="n">
        <v>0.14</v>
      </c>
      <c r="J19" s="8" t="s">
        <v>30</v>
      </c>
      <c r="K19" s="8" t="s">
        <v>389</v>
      </c>
    </row>
    <row r="21" customFormat="false" ht="17.15" hidden="false" customHeight="false" outlineLevel="0" collapsed="false">
      <c r="A21" s="5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395</v>
      </c>
    </row>
    <row r="2" customFormat="false" ht="17.15" hidden="false" customHeight="false" outlineLevel="0" collapsed="false">
      <c r="A2" s="5" t="s">
        <v>396</v>
      </c>
    </row>
    <row r="5" customFormat="false" ht="17.15" hidden="false" customHeight="false" outlineLevel="0" collapsed="false">
      <c r="A5" s="6" t="s">
        <v>397</v>
      </c>
      <c r="B5" s="6" t="s">
        <v>363</v>
      </c>
      <c r="C5" s="6" t="s">
        <v>398</v>
      </c>
      <c r="D5" s="6" t="s">
        <v>399</v>
      </c>
      <c r="E5" s="6" t="s">
        <v>367</v>
      </c>
      <c r="F5" s="6" t="s">
        <v>370</v>
      </c>
      <c r="G5" s="9" t="s">
        <v>400</v>
      </c>
      <c r="H5" s="6" t="s">
        <v>401</v>
      </c>
      <c r="I5" s="9" t="s">
        <v>402</v>
      </c>
      <c r="J5" s="6" t="s">
        <v>403</v>
      </c>
      <c r="K5" s="9" t="s">
        <v>404</v>
      </c>
      <c r="L5" s="6" t="s">
        <v>405</v>
      </c>
      <c r="M5" s="6" t="s">
        <v>406</v>
      </c>
    </row>
    <row r="6" customFormat="false" ht="17.15" hidden="false" customHeight="false" outlineLevel="0" collapsed="false">
      <c r="A6" s="0" t="s">
        <v>407</v>
      </c>
      <c r="B6" s="10" t="n">
        <v>127.85</v>
      </c>
      <c r="C6" s="10" t="n">
        <v>72.298</v>
      </c>
      <c r="D6" s="10" t="n">
        <v>41.959</v>
      </c>
      <c r="E6" s="10" t="n">
        <v>30.338</v>
      </c>
      <c r="F6" s="10" t="n">
        <v>23.096</v>
      </c>
      <c r="G6" s="12" t="n">
        <v>646.09</v>
      </c>
      <c r="H6" s="14" t="n">
        <f aca="false">C6/B6</f>
        <v>0.565490809542433</v>
      </c>
      <c r="I6" s="16" t="n">
        <f aca="false">LN(B6)</f>
        <v>4.8508577017372</v>
      </c>
      <c r="J6" s="7" t="n">
        <v>3</v>
      </c>
      <c r="K6" s="13" t="n">
        <f aca="false">G6/J6</f>
        <v>215.363333333333</v>
      </c>
      <c r="L6" s="8" t="s">
        <v>408</v>
      </c>
      <c r="M6" s="5" t="s">
        <v>409</v>
      </c>
    </row>
    <row r="7" customFormat="false" ht="17.15" hidden="false" customHeight="false" outlineLevel="0" collapsed="false">
      <c r="A7" s="0" t="s">
        <v>410</v>
      </c>
      <c r="B7" s="10" t="n">
        <v>134.204</v>
      </c>
      <c r="C7" s="10" t="n">
        <v>74.495</v>
      </c>
      <c r="D7" s="10" t="n">
        <v>43.153</v>
      </c>
      <c r="E7" s="10" t="n">
        <v>31.341</v>
      </c>
      <c r="F7" s="10" t="n">
        <v>24.203</v>
      </c>
      <c r="G7" s="12" t="n">
        <v>675.82</v>
      </c>
      <c r="H7" s="14" t="n">
        <f aca="false">C7/B7</f>
        <v>0.555087776817383</v>
      </c>
      <c r="I7" s="16" t="n">
        <f aca="false">LN(B7)</f>
        <v>4.8993610303527</v>
      </c>
      <c r="J7" s="7" t="n">
        <v>3</v>
      </c>
      <c r="K7" s="13" t="n">
        <f aca="false">G7/J7</f>
        <v>225.273333333333</v>
      </c>
      <c r="L7" s="8" t="s">
        <v>411</v>
      </c>
      <c r="M7" s="5" t="s">
        <v>412</v>
      </c>
    </row>
    <row r="8" customFormat="false" ht="17.15" hidden="false" customHeight="false" outlineLevel="0" collapsed="false">
      <c r="A8" s="0" t="s">
        <v>413</v>
      </c>
      <c r="B8" s="10" t="n">
        <v>167.364</v>
      </c>
      <c r="C8" s="10" t="n">
        <v>99.125</v>
      </c>
      <c r="D8" s="10" t="n">
        <v>48.13</v>
      </c>
      <c r="E8" s="10" t="n">
        <v>50.995</v>
      </c>
      <c r="F8" s="10" t="n">
        <v>37.171</v>
      </c>
      <c r="G8" s="12" t="n">
        <v>1035.67</v>
      </c>
      <c r="H8" s="14" t="n">
        <f aca="false">C8/B8</f>
        <v>0.592271934227193</v>
      </c>
      <c r="I8" s="16" t="n">
        <f aca="false">LN(B8)</f>
        <v>5.12017108116456</v>
      </c>
      <c r="J8" s="7" t="n">
        <v>3</v>
      </c>
      <c r="K8" s="13" t="n">
        <f aca="false">G8/J8</f>
        <v>345.223333333333</v>
      </c>
      <c r="L8" s="8" t="s">
        <v>414</v>
      </c>
      <c r="M8" s="5" t="s">
        <v>412</v>
      </c>
    </row>
    <row r="9" customFormat="false" ht="17.15" hidden="false" customHeight="false" outlineLevel="0" collapsed="false">
      <c r="A9" s="0" t="s">
        <v>415</v>
      </c>
      <c r="B9" s="10" t="n">
        <v>147.5</v>
      </c>
      <c r="C9" s="10" t="n">
        <v>86.91</v>
      </c>
      <c r="D9" s="10" t="n">
        <v>48.264</v>
      </c>
      <c r="E9" s="10" t="n">
        <v>38.645</v>
      </c>
      <c r="F9" s="10" t="n">
        <v>28.824</v>
      </c>
      <c r="G9" s="12" t="n">
        <v>802.35</v>
      </c>
      <c r="H9" s="14" t="n">
        <f aca="false">C9/B9</f>
        <v>0.589220338983051</v>
      </c>
      <c r="I9" s="16" t="n">
        <f aca="false">LN(B9)</f>
        <v>4.99382817577988</v>
      </c>
      <c r="J9" s="7" t="n">
        <v>3</v>
      </c>
      <c r="K9" s="13" t="n">
        <f aca="false">G9/J9</f>
        <v>267.45</v>
      </c>
      <c r="L9" s="8" t="s">
        <v>414</v>
      </c>
      <c r="M9" s="5" t="s">
        <v>412</v>
      </c>
    </row>
    <row r="10" customFormat="false" ht="17.15" hidden="false" customHeight="false" outlineLevel="0" collapsed="false">
      <c r="A10" s="0" t="s">
        <v>416</v>
      </c>
      <c r="B10" s="10" t="n">
        <v>141.083</v>
      </c>
      <c r="C10" s="10" t="n">
        <v>84.792</v>
      </c>
      <c r="D10" s="10" t="n">
        <v>48.341</v>
      </c>
      <c r="E10" s="10" t="n">
        <v>36.451</v>
      </c>
      <c r="F10" s="10" t="n">
        <v>27.653</v>
      </c>
      <c r="G10" s="12" t="n">
        <v>769.56</v>
      </c>
      <c r="H10" s="14" t="n">
        <f aca="false">C10/B10</f>
        <v>0.601007917325263</v>
      </c>
      <c r="I10" s="16" t="n">
        <f aca="false">LN(B10)</f>
        <v>4.94934836967253</v>
      </c>
      <c r="J10" s="7" t="n">
        <v>3</v>
      </c>
      <c r="K10" s="13" t="n">
        <f aca="false">G10/J10</f>
        <v>256.52</v>
      </c>
      <c r="L10" s="8" t="s">
        <v>417</v>
      </c>
      <c r="M10" s="5" t="s">
        <v>412</v>
      </c>
    </row>
    <row r="11" customFormat="false" ht="17.15" hidden="false" customHeight="false" outlineLevel="0" collapsed="false">
      <c r="A11" s="0" t="s">
        <v>418</v>
      </c>
      <c r="B11" s="10" t="n">
        <v>182.857</v>
      </c>
      <c r="C11" s="10" t="n">
        <v>106.883</v>
      </c>
      <c r="D11" s="10" t="n">
        <v>53.776</v>
      </c>
      <c r="E11" s="10" t="n">
        <v>53.106</v>
      </c>
      <c r="F11" s="10" t="n">
        <v>39.091</v>
      </c>
      <c r="G11" s="12" t="n">
        <v>1085.47</v>
      </c>
      <c r="H11" s="14" t="n">
        <f aca="false">C11/B11</f>
        <v>0.584516862903799</v>
      </c>
      <c r="I11" s="16" t="n">
        <f aca="false">LN(B11)</f>
        <v>5.20870442660804</v>
      </c>
      <c r="J11" s="7" t="n">
        <v>3</v>
      </c>
      <c r="K11" s="13" t="n">
        <f aca="false">G11/J11</f>
        <v>361.823333333333</v>
      </c>
      <c r="L11" s="8" t="s">
        <v>419</v>
      </c>
      <c r="M11" s="5" t="s">
        <v>412</v>
      </c>
    </row>
    <row r="12" customFormat="false" ht="17.15" hidden="false" customHeight="false" outlineLevel="0" collapsed="false">
      <c r="A12" s="0" t="s">
        <v>420</v>
      </c>
      <c r="B12" s="10" t="n">
        <v>253.781</v>
      </c>
      <c r="C12" s="10" t="n">
        <v>154.011</v>
      </c>
      <c r="D12" s="10" t="n">
        <v>62.498</v>
      </c>
      <c r="E12" s="10" t="n">
        <v>91.513</v>
      </c>
      <c r="F12" s="10" t="n">
        <v>66.206</v>
      </c>
      <c r="G12" s="12" t="n">
        <v>611.67</v>
      </c>
      <c r="H12" s="14" t="n">
        <f aca="false">C12/B12</f>
        <v>0.606865762212301</v>
      </c>
      <c r="I12" s="16" t="n">
        <f aca="false">LN(B12)</f>
        <v>5.53647169038184</v>
      </c>
      <c r="J12" s="7" t="n">
        <v>1</v>
      </c>
      <c r="K12" s="13" t="n">
        <f aca="false">G12/J12</f>
        <v>611.67</v>
      </c>
      <c r="L12" s="8" t="s">
        <v>421</v>
      </c>
      <c r="M12" s="5" t="s">
        <v>298</v>
      </c>
    </row>
    <row r="13" customFormat="false" ht="17.15" hidden="false" customHeight="false" outlineLevel="0" collapsed="false">
      <c r="A13" s="0" t="s">
        <v>422</v>
      </c>
      <c r="B13" s="10" t="n">
        <v>284.135</v>
      </c>
      <c r="C13" s="10" t="n">
        <v>184.506</v>
      </c>
      <c r="D13" s="10" t="n">
        <v>74.093</v>
      </c>
      <c r="E13" s="10" t="n">
        <v>110.413</v>
      </c>
      <c r="F13" s="10" t="n">
        <v>82.891</v>
      </c>
      <c r="G13" s="12" t="n">
        <v>765.47</v>
      </c>
      <c r="H13" s="14" t="n">
        <f aca="false">C13/B13</f>
        <v>0.649360339275345</v>
      </c>
      <c r="I13" s="16" t="n">
        <f aca="false">LN(B13)</f>
        <v>5.64944947732986</v>
      </c>
      <c r="J13" s="7" t="n">
        <v>1</v>
      </c>
      <c r="K13" s="13" t="n">
        <f aca="false">G13/J13</f>
        <v>765.47</v>
      </c>
      <c r="L13" s="8" t="s">
        <v>423</v>
      </c>
      <c r="M13" s="5" t="s">
        <v>298</v>
      </c>
    </row>
    <row r="14" customFormat="false" ht="17.15" hidden="false" customHeight="false" outlineLevel="0" collapsed="false">
      <c r="A14" s="0" t="s">
        <v>424</v>
      </c>
      <c r="B14" s="10" t="n">
        <v>307.554</v>
      </c>
      <c r="C14" s="10" t="n">
        <v>208.642</v>
      </c>
      <c r="D14" s="10" t="n">
        <v>87.151</v>
      </c>
      <c r="E14" s="10" t="n">
        <v>121.49</v>
      </c>
      <c r="F14" s="10" t="n">
        <v>84.205</v>
      </c>
      <c r="G14" s="12" t="n">
        <v>777.29</v>
      </c>
      <c r="H14" s="14" t="n">
        <f aca="false">C14/B14</f>
        <v>0.67839143695091</v>
      </c>
      <c r="I14" s="16" t="n">
        <f aca="false">LN(B14)</f>
        <v>5.72865068158508</v>
      </c>
      <c r="J14" s="7" t="n">
        <v>1</v>
      </c>
      <c r="K14" s="13" t="n">
        <f aca="false">G14/J14</f>
        <v>777.29</v>
      </c>
      <c r="L14" s="8" t="s">
        <v>425</v>
      </c>
      <c r="M14" s="5" t="s">
        <v>298</v>
      </c>
    </row>
    <row r="15" customFormat="false" ht="17.15" hidden="false" customHeight="false" outlineLevel="0" collapsed="false">
      <c r="A15" s="0" t="s">
        <v>426</v>
      </c>
      <c r="B15" s="10" t="n">
        <v>393.313</v>
      </c>
      <c r="C15" s="10" t="n">
        <v>277.57</v>
      </c>
      <c r="D15" s="10" t="n">
        <v>110.736</v>
      </c>
      <c r="E15" s="10" t="n">
        <v>166.834</v>
      </c>
      <c r="F15" s="10" t="n">
        <v>123.891</v>
      </c>
      <c r="G15" s="12" t="n">
        <v>1143.26</v>
      </c>
      <c r="H15" s="14" t="n">
        <f aca="false">C15/B15</f>
        <v>0.705722922964662</v>
      </c>
      <c r="I15" s="16" t="n">
        <f aca="false">LN(B15)</f>
        <v>5.97460573254012</v>
      </c>
      <c r="J15" s="7" t="n">
        <v>1</v>
      </c>
      <c r="K15" s="13" t="n">
        <f aca="false">G15/J15</f>
        <v>1143.26</v>
      </c>
      <c r="L15" s="8" t="s">
        <v>425</v>
      </c>
      <c r="M15" s="5" t="s">
        <v>298</v>
      </c>
    </row>
    <row r="16" customFormat="false" ht="17.15" hidden="false" customHeight="false" outlineLevel="0" collapsed="false">
      <c r="A16" s="0" t="s">
        <v>427</v>
      </c>
      <c r="B16" s="10" t="n">
        <v>436.889</v>
      </c>
      <c r="C16" s="10" t="n">
        <v>306.477</v>
      </c>
      <c r="D16" s="10" t="n">
        <v>121.487</v>
      </c>
      <c r="E16" s="10" t="n">
        <v>184.989</v>
      </c>
      <c r="F16" s="10" t="n">
        <v>135.521</v>
      </c>
      <c r="G16" s="12" t="n">
        <v>1249.84</v>
      </c>
      <c r="H16" s="14" t="n">
        <f aca="false">C16/B16</f>
        <v>0.701498549974936</v>
      </c>
      <c r="I16" s="16" t="n">
        <f aca="false">LN(B16)</f>
        <v>6.07967915825431</v>
      </c>
      <c r="J16" s="7" t="n">
        <v>1</v>
      </c>
      <c r="K16" s="13" t="n">
        <f aca="false">G16/J16</f>
        <v>1249.84</v>
      </c>
      <c r="L16" s="8" t="s">
        <v>428</v>
      </c>
      <c r="M16" s="5" t="s">
        <v>298</v>
      </c>
    </row>
    <row r="18" customFormat="false" ht="17.15" hidden="false" customHeight="false" outlineLevel="0" collapsed="false">
      <c r="A18" s="5" t="s">
        <v>429</v>
      </c>
      <c r="B18" s="16" t="n">
        <f aca="false">C16-D16-E16</f>
        <v>0.000999999999976353</v>
      </c>
    </row>
    <row r="19" customFormat="false" ht="17.15" hidden="false" customHeight="false" outlineLevel="0" collapsed="false">
      <c r="A19" s="5" t="s">
        <v>430</v>
      </c>
      <c r="B19" s="16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3" t="s">
        <v>431</v>
      </c>
    </row>
    <row r="22" customFormat="false" ht="17.15" hidden="false" customHeight="false" outlineLevel="0" collapsed="false">
      <c r="A22" s="5" t="s">
        <v>432</v>
      </c>
      <c r="B22" s="14" t="n">
        <f aca="false">(B13/B6)^(1/7)-1</f>
        <v>0.12084687656821</v>
      </c>
    </row>
    <row r="23" customFormat="false" ht="17.15" hidden="false" customHeight="false" outlineLevel="0" collapsed="false">
      <c r="A23" s="5" t="s">
        <v>433</v>
      </c>
      <c r="B23" s="14" t="n">
        <f aca="false">(B10/B7)^(1/3)-1</f>
        <v>0.0168020392420674</v>
      </c>
    </row>
    <row r="24" customFormat="false" ht="17.15" hidden="false" customHeight="false" outlineLevel="0" collapsed="false">
      <c r="A24" s="5" t="s">
        <v>434</v>
      </c>
      <c r="B24" s="14" t="n">
        <f aca="false">B9/B8-1</f>
        <v>-0.118687411868741</v>
      </c>
    </row>
    <row r="26" customFormat="false" ht="17.15" hidden="false" customHeight="false" outlineLevel="0" collapsed="false">
      <c r="A26" s="3" t="s">
        <v>435</v>
      </c>
    </row>
    <row r="27" customFormat="false" ht="17.15" hidden="false" customHeight="false" outlineLevel="0" collapsed="false">
      <c r="A27" s="5" t="s">
        <v>436</v>
      </c>
      <c r="B27" s="18" t="n">
        <f aca="false">gm_a</f>
        <v>0.0104284537436804</v>
      </c>
    </row>
    <row r="28" customFormat="false" ht="15" hidden="false" customHeight="false" outlineLevel="0" collapsed="false">
      <c r="A28" s="0" t="s">
        <v>437</v>
      </c>
      <c r="B28" s="18" t="n">
        <f aca="false">gm_b</f>
        <v>0.113825958947893</v>
      </c>
    </row>
    <row r="29" customFormat="false" ht="15" hidden="false" customHeight="false" outlineLevel="0" collapsed="false">
      <c r="A29" s="0" t="s">
        <v>438</v>
      </c>
      <c r="B29" s="16" t="n">
        <f aca="false">RSQ(H6:H16,I6:I16)</f>
        <v>0.895596671138985</v>
      </c>
    </row>
    <row r="30" customFormat="false" ht="17.15" hidden="false" customHeight="false" outlineLevel="0" collapsed="false">
      <c r="A30" s="5" t="s">
        <v>439</v>
      </c>
      <c r="B30" s="19" t="n">
        <f aca="false">sg_f</f>
        <v>8.12334232639923</v>
      </c>
    </row>
    <row r="31" customFormat="false" ht="15" hidden="false" customHeight="false" outlineLevel="0" collapsed="false">
      <c r="A31" s="5" t="s">
        <v>440</v>
      </c>
      <c r="B31" s="16" t="n">
        <f aca="false">sg_v</f>
        <v>0.2523670341155</v>
      </c>
    </row>
    <row r="32" customFormat="false" ht="15" hidden="false" customHeight="false" outlineLevel="0" collapsed="false">
      <c r="A32" s="0" t="s">
        <v>438</v>
      </c>
      <c r="B32" s="16" t="n">
        <f aca="false">RSQ(D6:D16,B6:B16)</f>
        <v>0.975826714460504</v>
      </c>
    </row>
    <row r="33" customFormat="false" ht="17.15" hidden="false" customHeight="false" outlineLevel="0" collapsed="false">
      <c r="A33" s="0" t="s">
        <v>441</v>
      </c>
      <c r="B33" s="14" t="n">
        <f aca="false">gm_a+gm_b*I16-H16</f>
        <v>0.000955214052558717</v>
      </c>
    </row>
    <row r="34" customFormat="false" ht="17.15" hidden="false" customHeight="false" outlineLevel="0" collapsed="false">
      <c r="A34" s="0" t="s">
        <v>442</v>
      </c>
      <c r="B34" s="20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443</v>
      </c>
    </row>
    <row r="3" customFormat="false" ht="15" hidden="false" customHeight="false" outlineLevel="0" collapsed="false">
      <c r="A3" s="6" t="s">
        <v>444</v>
      </c>
      <c r="B3" s="6" t="s">
        <v>19</v>
      </c>
      <c r="C3" s="9" t="s">
        <v>445</v>
      </c>
      <c r="D3" s="9" t="s">
        <v>446</v>
      </c>
      <c r="E3" s="9" t="s">
        <v>447</v>
      </c>
      <c r="F3" s="9" t="s">
        <v>448</v>
      </c>
      <c r="G3" s="9" t="s">
        <v>449</v>
      </c>
      <c r="H3" s="6" t="s">
        <v>450</v>
      </c>
    </row>
    <row r="4" customFormat="false" ht="17.15" hidden="false" customHeight="false" outlineLevel="0" collapsed="false">
      <c r="A4" s="3" t="s">
        <v>451</v>
      </c>
    </row>
    <row r="5" customFormat="false" ht="15" hidden="false" customHeight="false" outlineLevel="0" collapsed="false">
      <c r="A5" s="5" t="s">
        <v>363</v>
      </c>
      <c r="B5" s="0" t="s">
        <v>29</v>
      </c>
      <c r="C5" s="21" t="n">
        <f aca="false">C78</f>
        <v>436.889</v>
      </c>
      <c r="D5" s="21" t="n">
        <f aca="false">D78</f>
        <v>507.306541711218</v>
      </c>
      <c r="E5" s="21" t="n">
        <f aca="false">E78</f>
        <v>539.549374890105</v>
      </c>
      <c r="F5" s="21" t="n">
        <f aca="false">F78</f>
        <v>570.789835683346</v>
      </c>
      <c r="G5" s="21" t="n">
        <f aca="false">G78</f>
        <v>584.802978683729</v>
      </c>
    </row>
    <row r="6" customFormat="false" ht="17.15" hidden="false" customHeight="false" outlineLevel="0" collapsed="false">
      <c r="A6" s="0" t="s">
        <v>452</v>
      </c>
      <c r="B6" s="0" t="s">
        <v>29</v>
      </c>
      <c r="C6" s="21" t="n">
        <f aca="false">C68</f>
        <v>36</v>
      </c>
      <c r="D6" s="21" t="n">
        <f aca="false">D68</f>
        <v>41.6627586058351</v>
      </c>
      <c r="E6" s="21" t="n">
        <f aca="false">E68</f>
        <v>47.8549412356069</v>
      </c>
      <c r="F6" s="21" t="n">
        <f aca="false">F68</f>
        <v>44.8424159172644</v>
      </c>
      <c r="G6" s="21" t="n">
        <f aca="false">G68</f>
        <v>27.2548611466613</v>
      </c>
    </row>
    <row r="7" customFormat="false" ht="15" hidden="false" customHeight="false" outlineLevel="0" collapsed="false">
      <c r="A7" s="5" t="s">
        <v>453</v>
      </c>
      <c r="B7" s="0" t="s">
        <v>29</v>
      </c>
      <c r="C7" s="21" t="n">
        <f aca="false">C69</f>
        <v>39</v>
      </c>
      <c r="D7" s="21" t="n">
        <f aca="false">D69</f>
        <v>60.1483586282001</v>
      </c>
      <c r="E7" s="21" t="n">
        <f aca="false">E69</f>
        <v>42.5991175746519</v>
      </c>
      <c r="F7" s="21" t="n">
        <f aca="false">F69</f>
        <v>38.320722254198</v>
      </c>
      <c r="G7" s="21" t="n">
        <f aca="false">G69</f>
        <v>36.8663955538204</v>
      </c>
    </row>
    <row r="8" customFormat="false" ht="17.15" hidden="false" customHeight="false" outlineLevel="0" collapsed="false">
      <c r="A8" s="5" t="s">
        <v>454</v>
      </c>
      <c r="B8" s="0" t="s">
        <v>29</v>
      </c>
      <c r="C8" s="21" t="n">
        <f aca="false">C71</f>
        <v>195.87118</v>
      </c>
      <c r="D8" s="21" t="n">
        <f aca="false">D71</f>
        <v>207.6234508</v>
      </c>
      <c r="E8" s="21" t="n">
        <f aca="false">E71</f>
        <v>220.080857848</v>
      </c>
      <c r="F8" s="21" t="n">
        <f aca="false">F71</f>
        <v>233.28570931888</v>
      </c>
      <c r="G8" s="21" t="n">
        <f aca="false">G71</f>
        <v>247.282851878013</v>
      </c>
    </row>
    <row r="9" customFormat="false" ht="15" hidden="false" customHeight="false" outlineLevel="0" collapsed="false">
      <c r="A9" s="5" t="s">
        <v>455</v>
      </c>
      <c r="B9" s="0" t="s">
        <v>29</v>
      </c>
      <c r="C9" s="21" t="n">
        <f aca="false">C76</f>
        <v>91.74669</v>
      </c>
      <c r="D9" s="21" t="n">
        <f aca="false">D76</f>
        <v>111.629861586276</v>
      </c>
      <c r="E9" s="21" t="n">
        <f aca="false">E76</f>
        <v>137.291064500529</v>
      </c>
      <c r="F9" s="21" t="n">
        <f aca="false">F76</f>
        <v>157.306716126834</v>
      </c>
      <c r="G9" s="21" t="n">
        <f aca="false">G76</f>
        <v>173.982363729001</v>
      </c>
    </row>
    <row r="10" customFormat="false" ht="15" hidden="false" customHeight="false" outlineLevel="0" collapsed="false">
      <c r="A10" s="5" t="s">
        <v>456</v>
      </c>
      <c r="B10" s="0" t="s">
        <v>29</v>
      </c>
      <c r="C10" s="21" t="n">
        <f aca="false">C77</f>
        <v>74.27113</v>
      </c>
      <c r="D10" s="21" t="n">
        <f aca="false">D77</f>
        <v>86.2421120909071</v>
      </c>
      <c r="E10" s="21" t="n">
        <f aca="false">E77</f>
        <v>91.7233937313179</v>
      </c>
      <c r="F10" s="21" t="n">
        <f aca="false">F77</f>
        <v>97.0342720661688</v>
      </c>
      <c r="G10" s="21" t="n">
        <f aca="false">G77</f>
        <v>99.416506376234</v>
      </c>
    </row>
    <row r="11" customFormat="false" ht="17.15" hidden="false" customHeight="false" outlineLevel="0" collapsed="false">
      <c r="A11" s="0" t="s">
        <v>457</v>
      </c>
      <c r="B11" s="0" t="s">
        <v>56</v>
      </c>
      <c r="C11" s="14" t="n">
        <f aca="false">C79</f>
        <v>0.276884384673187</v>
      </c>
      <c r="D11" s="14" t="n">
        <f aca="false">D79</f>
        <v>0.341468742792492</v>
      </c>
      <c r="E11" s="14" t="n">
        <f aca="false">E79</f>
        <v>0.345226629409388</v>
      </c>
      <c r="F11" s="14" t="n">
        <f aca="false">F79</f>
        <v>0.345471407895686</v>
      </c>
      <c r="G11" s="14" t="n">
        <f aca="false">G79</f>
        <v>0.324406908801981</v>
      </c>
    </row>
    <row r="12" customFormat="false" ht="17.15" hidden="false" customHeight="false" outlineLevel="0" collapsed="false">
      <c r="A12" s="0" t="s">
        <v>458</v>
      </c>
      <c r="B12" s="0" t="s">
        <v>56</v>
      </c>
      <c r="C12" s="14" t="n">
        <f aca="false">C80</f>
        <v>0.206829299394429</v>
      </c>
      <c r="D12" s="14" t="n">
        <f aca="false">D80</f>
        <v>0.241794628261147</v>
      </c>
      <c r="E12" s="14" t="n">
        <f aca="false">E80</f>
        <v>0.20198483923644</v>
      </c>
      <c r="F12" s="14" t="n">
        <f aca="false">F80</f>
        <v>0.175540182655593</v>
      </c>
      <c r="G12" s="14" t="n">
        <f aca="false">G80</f>
        <v>0.132103510004417</v>
      </c>
    </row>
    <row r="13" customFormat="false" ht="15" hidden="false" customHeight="false" outlineLevel="0" collapsed="false">
      <c r="A13" s="5" t="s">
        <v>401</v>
      </c>
      <c r="B13" s="0" t="s">
        <v>56</v>
      </c>
      <c r="C13" s="14" t="n">
        <f aca="false">C81</f>
        <v>0.701498549974936</v>
      </c>
      <c r="D13" s="14" t="n">
        <f aca="false">D81</f>
        <v>0.719463492058136</v>
      </c>
      <c r="E13" s="14" t="n">
        <f aca="false">E81</f>
        <v>0.726477317954067</v>
      </c>
      <c r="F13" s="14" t="n">
        <f aca="false">F81</f>
        <v>0.73288421444391</v>
      </c>
      <c r="G13" s="14" t="n">
        <f aca="false">G81</f>
        <v>0.735644940559218</v>
      </c>
    </row>
    <row r="14" customFormat="false" ht="15" hidden="false" customHeight="false" outlineLevel="0" collapsed="false">
      <c r="A14" s="5" t="s">
        <v>367</v>
      </c>
      <c r="B14" s="0" t="s">
        <v>29</v>
      </c>
      <c r="C14" s="21" t="n">
        <f aca="false">C84</f>
        <v>184.99</v>
      </c>
      <c r="D14" s="21" t="n">
        <f aca="false">D84</f>
        <v>228.837746398039</v>
      </c>
      <c r="E14" s="21" t="n">
        <f aca="false">E84</f>
        <v>247.68256494767</v>
      </c>
      <c r="F14" s="21" t="n">
        <f aca="false">F84</f>
        <v>266.150980076278</v>
      </c>
      <c r="G14" s="21" t="n">
        <f aca="false">G84</f>
        <v>274.499016893924</v>
      </c>
    </row>
    <row r="15" customFormat="false" ht="15" hidden="false" customHeight="false" outlineLevel="0" collapsed="false">
      <c r="A15" s="5" t="s">
        <v>379</v>
      </c>
      <c r="B15" s="0" t="s">
        <v>56</v>
      </c>
      <c r="C15" s="14" t="n">
        <f aca="false">C85</f>
        <v>0.423425629851061</v>
      </c>
      <c r="D15" s="14" t="n">
        <f aca="false">D85</f>
        <v>0.451083768062869</v>
      </c>
      <c r="E15" s="14" t="n">
        <f aca="false">E85</f>
        <v>0.459054493387408</v>
      </c>
      <c r="F15" s="14" t="n">
        <f aca="false">F85</f>
        <v>0.466285423176193</v>
      </c>
      <c r="G15" s="14" t="n">
        <f aca="false">G85</f>
        <v>0.469387172944577</v>
      </c>
    </row>
    <row r="16" customFormat="false" ht="15" hidden="false" customHeight="false" outlineLevel="0" collapsed="false">
      <c r="A16" s="5" t="s">
        <v>370</v>
      </c>
      <c r="B16" s="0" t="s">
        <v>29</v>
      </c>
      <c r="C16" s="21" t="n">
        <f aca="false">C86</f>
        <v>135.521</v>
      </c>
      <c r="D16" s="21" t="n">
        <f aca="false">D86</f>
        <v>167.644131432727</v>
      </c>
      <c r="E16" s="21" t="n">
        <f aca="false">E86</f>
        <v>181.449647731882</v>
      </c>
      <c r="F16" s="21" t="n">
        <f aca="false">F86</f>
        <v>194.97941483503</v>
      </c>
      <c r="G16" s="21" t="n">
        <f aca="false">G86</f>
        <v>201.095098997678</v>
      </c>
    </row>
    <row r="17" customFormat="false" ht="15" hidden="false" customHeight="false" outlineLevel="0" collapsed="false">
      <c r="A17" s="0" t="s">
        <v>459</v>
      </c>
      <c r="B17" s="0" t="s">
        <v>51</v>
      </c>
      <c r="C17" s="21" t="n">
        <f aca="false">C87</f>
        <v>1249.84</v>
      </c>
      <c r="D17" s="21" t="n">
        <f aca="false">D87</f>
        <v>1545.37951653183</v>
      </c>
      <c r="E17" s="21" t="n">
        <f aca="false">E87</f>
        <v>1672.64172321648</v>
      </c>
      <c r="F17" s="21" t="n">
        <f aca="false">F87</f>
        <v>1797.36201474092</v>
      </c>
      <c r="G17" s="21" t="n">
        <f aca="false">G87</f>
        <v>1853.73770146352</v>
      </c>
    </row>
    <row r="19" customFormat="false" ht="17.15" hidden="false" customHeight="false" outlineLevel="0" collapsed="false">
      <c r="A19" s="3" t="s">
        <v>460</v>
      </c>
    </row>
    <row r="20" customFormat="false" ht="15" hidden="false" customHeight="false" outlineLevel="0" collapsed="false">
      <c r="A20" s="5" t="s">
        <v>363</v>
      </c>
      <c r="B20" s="0" t="s">
        <v>29</v>
      </c>
      <c r="C20" s="21" t="n">
        <f aca="false">C119</f>
        <v>436.889</v>
      </c>
      <c r="D20" s="21" t="n">
        <f aca="false">D119</f>
        <v>496.46158729649</v>
      </c>
      <c r="E20" s="21" t="n">
        <f aca="false">E119</f>
        <v>505.090821096441</v>
      </c>
      <c r="F20" s="21" t="n">
        <f aca="false">F119</f>
        <v>544.975252722771</v>
      </c>
      <c r="G20" s="21" t="n">
        <f aca="false">G119</f>
        <v>550.962523495794</v>
      </c>
    </row>
    <row r="21" customFormat="false" ht="17.15" hidden="false" customHeight="false" outlineLevel="0" collapsed="false">
      <c r="A21" s="0" t="s">
        <v>452</v>
      </c>
      <c r="B21" s="0" t="s">
        <v>29</v>
      </c>
      <c r="C21" s="21" t="n">
        <f aca="false">C109</f>
        <v>36</v>
      </c>
      <c r="D21" s="21" t="n">
        <f aca="false">D109</f>
        <v>40.4744984723301</v>
      </c>
      <c r="E21" s="21" t="n">
        <f aca="false">E109</f>
        <v>44.8860597770547</v>
      </c>
      <c r="F21" s="21" t="n">
        <f aca="false">F109</f>
        <v>46.5682870069157</v>
      </c>
      <c r="G21" s="21" t="n">
        <f aca="false">G109</f>
        <v>26.9717824586269</v>
      </c>
    </row>
    <row r="22" customFormat="false" ht="15" hidden="false" customHeight="false" outlineLevel="0" collapsed="false">
      <c r="A22" s="5" t="s">
        <v>453</v>
      </c>
      <c r="B22" s="0" t="s">
        <v>29</v>
      </c>
      <c r="C22" s="21" t="n">
        <f aca="false">C110</f>
        <v>39</v>
      </c>
      <c r="D22" s="21" t="n">
        <f aca="false">D110</f>
        <v>52.3353065974807</v>
      </c>
      <c r="E22" s="21" t="n">
        <f aca="false">E110</f>
        <v>19.452651200192</v>
      </c>
      <c r="F22" s="21" t="n">
        <f aca="false">F110</f>
        <v>37.8500208382502</v>
      </c>
      <c r="G22" s="21" t="n">
        <f aca="false">G110</f>
        <v>31.3364362207473</v>
      </c>
    </row>
    <row r="23" customFormat="false" ht="17.15" hidden="false" customHeight="false" outlineLevel="0" collapsed="false">
      <c r="A23" s="5" t="s">
        <v>454</v>
      </c>
      <c r="B23" s="0" t="s">
        <v>29</v>
      </c>
      <c r="C23" s="21" t="n">
        <f aca="false">C112</f>
        <v>195.87118</v>
      </c>
      <c r="D23" s="21" t="n">
        <f aca="false">D112</f>
        <v>207.6234508</v>
      </c>
      <c r="E23" s="21" t="n">
        <f aca="false">E112</f>
        <v>220.080857848</v>
      </c>
      <c r="F23" s="21" t="n">
        <f aca="false">F112</f>
        <v>220.080857848</v>
      </c>
      <c r="G23" s="21" t="n">
        <f aca="false">G112</f>
        <v>233.28570931888</v>
      </c>
    </row>
    <row r="24" customFormat="false" ht="15" hidden="false" customHeight="false" outlineLevel="0" collapsed="false">
      <c r="A24" s="5" t="s">
        <v>455</v>
      </c>
      <c r="B24" s="0" t="s">
        <v>29</v>
      </c>
      <c r="C24" s="21" t="n">
        <f aca="false">C117</f>
        <v>91.74669</v>
      </c>
      <c r="D24" s="21" t="n">
        <f aca="false">D117</f>
        <v>111.629861586276</v>
      </c>
      <c r="E24" s="21" t="n">
        <f aca="false">E117</f>
        <v>134.8058126848</v>
      </c>
      <c r="F24" s="21" t="n">
        <f aca="false">F117</f>
        <v>147.830294066734</v>
      </c>
      <c r="G24" s="21" t="n">
        <f aca="false">G117</f>
        <v>165.704966503255</v>
      </c>
    </row>
    <row r="25" customFormat="false" ht="15" hidden="false" customHeight="false" outlineLevel="0" collapsed="false">
      <c r="A25" s="5" t="s">
        <v>456</v>
      </c>
      <c r="B25" s="0" t="s">
        <v>29</v>
      </c>
      <c r="C25" s="21" t="n">
        <f aca="false">C118</f>
        <v>74.27113</v>
      </c>
      <c r="D25" s="21" t="n">
        <f aca="false">D118</f>
        <v>84.3984698404033</v>
      </c>
      <c r="E25" s="21" t="n">
        <f aca="false">E118</f>
        <v>85.865439586395</v>
      </c>
      <c r="F25" s="21" t="n">
        <f aca="false">F118</f>
        <v>92.6457929628711</v>
      </c>
      <c r="G25" s="21" t="n">
        <f aca="false">G118</f>
        <v>93.6636289942851</v>
      </c>
    </row>
    <row r="26" customFormat="false" ht="17.15" hidden="false" customHeight="false" outlineLevel="0" collapsed="false">
      <c r="A26" s="0" t="s">
        <v>457</v>
      </c>
      <c r="B26" s="0" t="s">
        <v>56</v>
      </c>
      <c r="C26" s="14" t="n">
        <f aca="false">C120</f>
        <v>0.276884384673187</v>
      </c>
      <c r="D26" s="14" t="n">
        <f aca="false">D120</f>
        <v>0.327083457711364</v>
      </c>
      <c r="E26" s="14" t="n">
        <f aca="false">E120</f>
        <v>0.300556359290091</v>
      </c>
      <c r="F26" s="14" t="n">
        <f aca="false">F120</f>
        <v>0.343660457705665</v>
      </c>
      <c r="G26" s="14" t="n">
        <f aca="false">G120</f>
        <v>0.31351986967956</v>
      </c>
    </row>
    <row r="27" customFormat="false" ht="17.15" hidden="false" customHeight="false" outlineLevel="0" collapsed="false">
      <c r="A27" s="0" t="s">
        <v>458</v>
      </c>
      <c r="B27" s="0" t="s">
        <v>56</v>
      </c>
      <c r="C27" s="14" t="n">
        <f aca="false">C121</f>
        <v>0.206829299394429</v>
      </c>
      <c r="D27" s="14" t="n">
        <f aca="false">D121</f>
        <v>0.225232012131495</v>
      </c>
      <c r="E27" s="14" t="n">
        <f aca="false">E121</f>
        <v>0.15347045721683</v>
      </c>
      <c r="F27" s="14" t="n">
        <f aca="false">F121</f>
        <v>0.186630134349365</v>
      </c>
      <c r="G27" s="14" t="n">
        <f aca="false">G121</f>
        <v>0.12750570661872</v>
      </c>
    </row>
    <row r="28" customFormat="false" ht="15" hidden="false" customHeight="false" outlineLevel="0" collapsed="false">
      <c r="A28" s="5" t="s">
        <v>401</v>
      </c>
      <c r="B28" s="0" t="s">
        <v>56</v>
      </c>
      <c r="C28" s="14" t="n">
        <f aca="false">C122</f>
        <v>0.701498549974936</v>
      </c>
      <c r="D28" s="14" t="n">
        <f aca="false">D122</f>
        <v>0.717003789789592</v>
      </c>
      <c r="E28" s="14" t="n">
        <f aca="false">E122</f>
        <v>0.718965255030489</v>
      </c>
      <c r="F28" s="14" t="n">
        <f aca="false">F122</f>
        <v>0.727616270237278</v>
      </c>
      <c r="G28" s="14" t="n">
        <f aca="false">G122</f>
        <v>0.728859978834997</v>
      </c>
    </row>
    <row r="29" customFormat="false" ht="15" hidden="false" customHeight="false" outlineLevel="0" collapsed="false">
      <c r="A29" s="5" t="s">
        <v>367</v>
      </c>
      <c r="B29" s="0" t="s">
        <v>29</v>
      </c>
      <c r="C29" s="21" t="n">
        <f aca="false">C125</f>
        <v>184.99</v>
      </c>
      <c r="D29" s="21" t="n">
        <f aca="false">D125</f>
        <v>222.550958911852</v>
      </c>
      <c r="E29" s="21" t="n">
        <f aca="false">E125</f>
        <v>227.551136197692</v>
      </c>
      <c r="F29" s="21" t="n">
        <f aca="false">F125</f>
        <v>250.875730235371</v>
      </c>
      <c r="G29" s="21" t="n">
        <f aca="false">G125</f>
        <v>254.406412924197</v>
      </c>
    </row>
    <row r="30" customFormat="false" ht="15" hidden="false" customHeight="false" outlineLevel="0" collapsed="false">
      <c r="A30" s="5" t="s">
        <v>379</v>
      </c>
      <c r="B30" s="0" t="s">
        <v>56</v>
      </c>
      <c r="C30" s="14" t="n">
        <f aca="false">C126</f>
        <v>0.423425629851061</v>
      </c>
      <c r="D30" s="14" t="n">
        <f aca="false">D126</f>
        <v>0.448274276613758</v>
      </c>
      <c r="E30" s="14" t="n">
        <f aca="false">E126</f>
        <v>0.450515286941323</v>
      </c>
      <c r="F30" s="14" t="n">
        <f aca="false">F126</f>
        <v>0.460343343999496</v>
      </c>
      <c r="G30" s="14" t="n">
        <f aca="false">G126</f>
        <v>0.461749033872607</v>
      </c>
    </row>
    <row r="31" customFormat="false" ht="15" hidden="false" customHeight="false" outlineLevel="0" collapsed="false">
      <c r="A31" s="5" t="s">
        <v>370</v>
      </c>
      <c r="B31" s="0" t="s">
        <v>29</v>
      </c>
      <c r="C31" s="21" t="n">
        <f aca="false">C127</f>
        <v>135.521</v>
      </c>
      <c r="D31" s="21" t="n">
        <f aca="false">D127</f>
        <v>163.038496898157</v>
      </c>
      <c r="E31" s="21" t="n">
        <f aca="false">E127</f>
        <v>166.701574302512</v>
      </c>
      <c r="F31" s="21" t="n">
        <f aca="false">F127</f>
        <v>183.78892711041</v>
      </c>
      <c r="G31" s="21" t="n">
        <f aca="false">G127</f>
        <v>186.375468194866</v>
      </c>
    </row>
    <row r="32" customFormat="false" ht="15" hidden="false" customHeight="false" outlineLevel="0" collapsed="false">
      <c r="A32" s="0" t="s">
        <v>459</v>
      </c>
      <c r="B32" s="0" t="s">
        <v>51</v>
      </c>
      <c r="C32" s="21" t="n">
        <f aca="false">C128</f>
        <v>1249.84</v>
      </c>
      <c r="D32" s="21" t="n">
        <f aca="false">D128</f>
        <v>1502.92379076601</v>
      </c>
      <c r="E32" s="21" t="n">
        <f aca="false">E128</f>
        <v>1536.69082298946</v>
      </c>
      <c r="F32" s="21" t="n">
        <f aca="false">F128</f>
        <v>1694.2057016518</v>
      </c>
      <c r="G32" s="21" t="n">
        <f aca="false">G128</f>
        <v>1718.04899146114</v>
      </c>
    </row>
    <row r="34" customFormat="false" ht="17.15" hidden="false" customHeight="false" outlineLevel="0" collapsed="false">
      <c r="A34" s="3" t="s">
        <v>461</v>
      </c>
    </row>
    <row r="35" customFormat="false" ht="15" hidden="false" customHeight="false" outlineLevel="0" collapsed="false">
      <c r="A35" s="5" t="s">
        <v>363</v>
      </c>
      <c r="B35" s="0" t="s">
        <v>29</v>
      </c>
      <c r="C35" s="21" t="n">
        <f aca="false">C160</f>
        <v>436.889</v>
      </c>
      <c r="D35" s="21" t="n">
        <f aca="false">D160</f>
        <v>487.176844647704</v>
      </c>
      <c r="E35" s="21" t="n">
        <f aca="false">E160</f>
        <v>460.658885979082</v>
      </c>
      <c r="F35" s="21" t="n">
        <f aca="false">F160</f>
        <v>446.808741216217</v>
      </c>
      <c r="G35" s="21" t="n">
        <f aca="false">G160</f>
        <v>461.802706282427</v>
      </c>
    </row>
    <row r="36" customFormat="false" ht="17.15" hidden="false" customHeight="false" outlineLevel="0" collapsed="false">
      <c r="A36" s="0" t="s">
        <v>452</v>
      </c>
      <c r="B36" s="0" t="s">
        <v>29</v>
      </c>
      <c r="C36" s="21" t="n">
        <f aca="false">C150</f>
        <v>36</v>
      </c>
      <c r="D36" s="21" t="n">
        <f aca="false">D150</f>
        <v>32.768162073838</v>
      </c>
      <c r="E36" s="21" t="n">
        <f aca="false">E150</f>
        <v>16.3867347888839</v>
      </c>
      <c r="F36" s="21" t="n">
        <f aca="false">F150</f>
        <v>28.6947613962976</v>
      </c>
      <c r="G36" s="21" t="n">
        <f aca="false">G150</f>
        <v>19.0389052649131</v>
      </c>
    </row>
    <row r="37" customFormat="false" ht="15" hidden="false" customHeight="false" outlineLevel="0" collapsed="false">
      <c r="A37" s="5" t="s">
        <v>453</v>
      </c>
      <c r="B37" s="0" t="s">
        <v>29</v>
      </c>
      <c r="C37" s="21" t="n">
        <f aca="false">C151</f>
        <v>39</v>
      </c>
      <c r="D37" s="21" t="n">
        <f aca="false">D151</f>
        <v>52.3353065974807</v>
      </c>
      <c r="E37" s="21" t="n">
        <f aca="false">E151</f>
        <v>15.2494390210828</v>
      </c>
      <c r="F37" s="21" t="n">
        <f aca="false">F151</f>
        <v>22.9924333525188</v>
      </c>
      <c r="G37" s="21" t="n">
        <f aca="false">G151</f>
        <v>22.1198373322922</v>
      </c>
    </row>
    <row r="38" customFormat="false" ht="17.15" hidden="false" customHeight="false" outlineLevel="0" collapsed="false">
      <c r="A38" s="5" t="s">
        <v>454</v>
      </c>
      <c r="B38" s="0" t="s">
        <v>29</v>
      </c>
      <c r="C38" s="21" t="n">
        <f aca="false">C153</f>
        <v>195.87118</v>
      </c>
      <c r="D38" s="21" t="n">
        <f aca="false">D153</f>
        <v>207.6234508</v>
      </c>
      <c r="E38" s="21" t="n">
        <f aca="false">E153</f>
        <v>220.080857848</v>
      </c>
      <c r="F38" s="21" t="n">
        <f aca="false">F153</f>
        <v>193.67115490624</v>
      </c>
      <c r="G38" s="21" t="n">
        <f aca="false">G153</f>
        <v>205.291424200614</v>
      </c>
    </row>
    <row r="39" customFormat="false" ht="15" hidden="false" customHeight="false" outlineLevel="0" collapsed="false">
      <c r="A39" s="5" t="s">
        <v>455</v>
      </c>
      <c r="B39" s="0" t="s">
        <v>29</v>
      </c>
      <c r="C39" s="21" t="n">
        <f aca="false">C158</f>
        <v>91.74669</v>
      </c>
      <c r="D39" s="21" t="n">
        <f aca="false">D158</f>
        <v>111.629861586276</v>
      </c>
      <c r="E39" s="21" t="n">
        <f aca="false">E158</f>
        <v>130.629843704671</v>
      </c>
      <c r="F39" s="21" t="n">
        <f aca="false">F158</f>
        <v>125.492905554404</v>
      </c>
      <c r="G39" s="21" t="n">
        <f aca="false">G158</f>
        <v>136.846079416595</v>
      </c>
    </row>
    <row r="40" customFormat="false" ht="15" hidden="false" customHeight="false" outlineLevel="0" collapsed="false">
      <c r="A40" s="5" t="s">
        <v>456</v>
      </c>
      <c r="B40" s="0" t="s">
        <v>29</v>
      </c>
      <c r="C40" s="21" t="n">
        <f aca="false">C159</f>
        <v>74.27113</v>
      </c>
      <c r="D40" s="21" t="n">
        <f aca="false">D159</f>
        <v>82.8200635901097</v>
      </c>
      <c r="E40" s="21" t="n">
        <f aca="false">E159</f>
        <v>78.312010616444</v>
      </c>
      <c r="F40" s="21" t="n">
        <f aca="false">F159</f>
        <v>75.9574860067569</v>
      </c>
      <c r="G40" s="21" t="n">
        <f aca="false">G159</f>
        <v>78.5064600680126</v>
      </c>
    </row>
    <row r="41" customFormat="false" ht="17.15" hidden="false" customHeight="false" outlineLevel="0" collapsed="false">
      <c r="A41" s="0" t="s">
        <v>457</v>
      </c>
      <c r="B41" s="0" t="s">
        <v>56</v>
      </c>
      <c r="C41" s="14" t="n">
        <f aca="false">C161</f>
        <v>0.276884384673187</v>
      </c>
      <c r="D41" s="14" t="n">
        <f aca="false">D161</f>
        <v>0.314258839735568</v>
      </c>
      <c r="E41" s="14" t="n">
        <f aca="false">E161</f>
        <v>0.233092916364813</v>
      </c>
      <c r="F41" s="14" t="n">
        <f aca="false">F161</f>
        <v>0.280534121344884</v>
      </c>
      <c r="G41" s="14" t="n">
        <f aca="false">G161</f>
        <v>0.264035899845808</v>
      </c>
    </row>
    <row r="42" customFormat="false" ht="17.15" hidden="false" customHeight="false" outlineLevel="0" collapsed="false">
      <c r="A42" s="0" t="s">
        <v>458</v>
      </c>
      <c r="B42" s="0" t="s">
        <v>56</v>
      </c>
      <c r="C42" s="14" t="n">
        <f aca="false">C162</f>
        <v>0.206829299394429</v>
      </c>
      <c r="D42" s="14" t="n">
        <f aca="false">D162</f>
        <v>0.210466282891883</v>
      </c>
      <c r="E42" s="14" t="n">
        <f aca="false">E162</f>
        <v>0.0827420749285875</v>
      </c>
      <c r="F42" s="14" t="n">
        <f aca="false">F162</f>
        <v>0.139374463542325</v>
      </c>
      <c r="G42" s="14" t="n">
        <f aca="false">G162</f>
        <v>0.107381021869391</v>
      </c>
    </row>
    <row r="43" customFormat="false" ht="15" hidden="false" customHeight="false" outlineLevel="0" collapsed="false">
      <c r="A43" s="5" t="s">
        <v>401</v>
      </c>
      <c r="B43" s="0" t="s">
        <v>56</v>
      </c>
      <c r="C43" s="14" t="n">
        <f aca="false">C163</f>
        <v>0.701498549974936</v>
      </c>
      <c r="D43" s="14" t="n">
        <f aca="false">D163</f>
        <v>0.714854877972851</v>
      </c>
      <c r="E43" s="14" t="n">
        <f aca="false">E163</f>
        <v>0.708484111625622</v>
      </c>
      <c r="F43" s="14" t="n">
        <f aca="false">F163</f>
        <v>0.695009324448339</v>
      </c>
      <c r="G43" s="14" t="n">
        <f aca="false">G163</f>
        <v>0.698766392233749</v>
      </c>
    </row>
    <row r="44" customFormat="false" ht="15" hidden="false" customHeight="false" outlineLevel="0" collapsed="false">
      <c r="A44" s="5" t="s">
        <v>367</v>
      </c>
      <c r="B44" s="0" t="s">
        <v>29</v>
      </c>
      <c r="C44" s="21" t="n">
        <f aca="false">C166</f>
        <v>184.99</v>
      </c>
      <c r="D44" s="21" t="n">
        <f aca="false">D166</f>
        <v>217.190026131945</v>
      </c>
      <c r="E44" s="21" t="n">
        <f aca="false">E166</f>
        <v>201.991042475448</v>
      </c>
      <c r="F44" s="21" t="n">
        <f aca="false">F166</f>
        <v>189.65310222628</v>
      </c>
      <c r="G44" s="21" t="n">
        <f aca="false">G166</f>
        <v>198.025089335346</v>
      </c>
    </row>
    <row r="45" customFormat="false" ht="15" hidden="false" customHeight="false" outlineLevel="0" collapsed="false">
      <c r="A45" s="5" t="s">
        <v>379</v>
      </c>
      <c r="B45" s="0" t="s">
        <v>56</v>
      </c>
      <c r="C45" s="14" t="n">
        <f aca="false">C167</f>
        <v>0.423425629851061</v>
      </c>
      <c r="D45" s="14" t="n">
        <f aca="false">D167</f>
        <v>0.445813524427671</v>
      </c>
      <c r="E45" s="14" t="n">
        <f aca="false">E167</f>
        <v>0.438482896180625</v>
      </c>
      <c r="F45" s="14" t="n">
        <f aca="false">F167</f>
        <v>0.424461485937008</v>
      </c>
      <c r="G45" s="14" t="n">
        <f aca="false">G167</f>
        <v>0.428808854173841</v>
      </c>
    </row>
    <row r="46" customFormat="false" ht="15" hidden="false" customHeight="false" outlineLevel="0" collapsed="false">
      <c r="A46" s="5" t="s">
        <v>370</v>
      </c>
      <c r="B46" s="0" t="s">
        <v>29</v>
      </c>
      <c r="C46" s="21" t="n">
        <f aca="false">C168</f>
        <v>135.521</v>
      </c>
      <c r="D46" s="21" t="n">
        <f aca="false">D168</f>
        <v>159.11113380486</v>
      </c>
      <c r="E46" s="21" t="n">
        <f aca="false">E168</f>
        <v>147.976517886551</v>
      </c>
      <c r="F46" s="21" t="n">
        <f aca="false">F168</f>
        <v>138.937872342721</v>
      </c>
      <c r="G46" s="21" t="n">
        <f aca="false">G168</f>
        <v>145.071102237514</v>
      </c>
    </row>
    <row r="47" customFormat="false" ht="15" hidden="false" customHeight="false" outlineLevel="0" collapsed="false">
      <c r="A47" s="0" t="s">
        <v>459</v>
      </c>
      <c r="B47" s="0" t="s">
        <v>51</v>
      </c>
      <c r="C47" s="21" t="n">
        <f aca="false">C169</f>
        <v>1249.84</v>
      </c>
      <c r="D47" s="21" t="n">
        <f aca="false">D169</f>
        <v>1466.72051644622</v>
      </c>
      <c r="E47" s="21" t="n">
        <f aca="false">E169</f>
        <v>1364.07924163661</v>
      </c>
      <c r="F47" s="21" t="n">
        <f aca="false">F169</f>
        <v>1280.75907074097</v>
      </c>
      <c r="G47" s="21" t="n">
        <f aca="false">G169</f>
        <v>1337.29649778115</v>
      </c>
    </row>
    <row r="49" customFormat="false" ht="17.15" hidden="false" customHeight="false" outlineLevel="0" collapsed="false">
      <c r="A49" s="5" t="s">
        <v>462</v>
      </c>
      <c r="C49" s="16" t="n">
        <f aca="false">C88+C129+C170</f>
        <v>0.00299999999992906</v>
      </c>
    </row>
    <row r="50" customFormat="false" ht="17.15" hidden="false" customHeight="false" outlineLevel="0" collapsed="false">
      <c r="A50" s="3" t="s">
        <v>463</v>
      </c>
    </row>
    <row r="51" customFormat="false" ht="17.15" hidden="false" customHeight="false" outlineLevel="0" collapsed="false">
      <c r="A51" s="6" t="s">
        <v>18</v>
      </c>
      <c r="B51" s="6" t="s">
        <v>19</v>
      </c>
      <c r="C51" s="9" t="s">
        <v>464</v>
      </c>
      <c r="D51" s="9" t="s">
        <v>465</v>
      </c>
      <c r="E51" s="9" t="s">
        <v>466</v>
      </c>
      <c r="F51" s="9" t="s">
        <v>467</v>
      </c>
      <c r="G51" s="9" t="s">
        <v>468</v>
      </c>
      <c r="H51" s="9" t="s">
        <v>469</v>
      </c>
      <c r="I51" s="9" t="s">
        <v>470</v>
      </c>
      <c r="J51" s="6" t="s">
        <v>450</v>
      </c>
    </row>
    <row r="52" customFormat="false" ht="17.15" hidden="false" customHeight="false" outlineLevel="0" collapsed="false">
      <c r="A52" s="1" t="s">
        <v>471</v>
      </c>
    </row>
    <row r="53" customFormat="false" ht="17.15" hidden="false" customHeight="false" outlineLevel="0" collapsed="false">
      <c r="A53" s="0" t="s">
        <v>472</v>
      </c>
      <c r="B53" s="0" t="s">
        <v>96</v>
      </c>
      <c r="C53" s="19" t="n">
        <f aca="false">hsA_25</f>
        <v>2.22511470588235</v>
      </c>
      <c r="D53" s="19" t="n">
        <f aca="false">hsA_26</f>
        <v>3.782695</v>
      </c>
      <c r="E53" s="19" t="n">
        <f aca="false">hsA_27</f>
        <v>5.86317725</v>
      </c>
      <c r="F53" s="19" t="n">
        <f aca="false">hsA_28</f>
        <v>8.5016070125</v>
      </c>
      <c r="G53" s="19" t="n">
        <f aca="false">hsA_29</f>
        <v>11.477169466875</v>
      </c>
      <c r="H53" s="19" t="n">
        <f aca="false">G53*(1+g_tail)</f>
        <v>12.6248864135625</v>
      </c>
      <c r="I53" s="19" t="n">
        <f aca="false">H53*(1+g_tail)</f>
        <v>13.8873750549188</v>
      </c>
      <c r="J53" s="8" t="s">
        <v>473</v>
      </c>
    </row>
    <row r="54" customFormat="false" ht="17.15" hidden="false" customHeight="false" outlineLevel="0" collapsed="false">
      <c r="A54" s="0" t="s">
        <v>474</v>
      </c>
      <c r="B54" s="0" t="s">
        <v>475</v>
      </c>
      <c r="C54" s="19" t="n">
        <f aca="false">den_25</f>
        <v>24</v>
      </c>
      <c r="D54" s="19" t="n">
        <f aca="false">den_26</f>
        <v>24</v>
      </c>
      <c r="E54" s="19" t="n">
        <f aca="false">den_27</f>
        <v>26</v>
      </c>
      <c r="F54" s="19" t="n">
        <f aca="false">den_28</f>
        <v>28</v>
      </c>
      <c r="G54" s="19" t="n">
        <f aca="false">den_29</f>
        <v>30</v>
      </c>
      <c r="H54" s="19" t="n">
        <f aca="false">den_30</f>
        <v>32</v>
      </c>
      <c r="I54" s="19" t="n">
        <f aca="false">den_30</f>
        <v>32</v>
      </c>
    </row>
    <row r="55" customFormat="false" ht="15" hidden="false" customHeight="false" outlineLevel="0" collapsed="false">
      <c r="A55" s="5" t="s">
        <v>476</v>
      </c>
      <c r="B55" s="5" t="s">
        <v>148</v>
      </c>
      <c r="C55" s="19" t="n">
        <f aca="false">stk_25</f>
        <v>10</v>
      </c>
      <c r="D55" s="19" t="n">
        <f aca="false">stk_26</f>
        <v>12</v>
      </c>
      <c r="E55" s="19" t="n">
        <f aca="false">stk_27</f>
        <v>12.5</v>
      </c>
      <c r="F55" s="19" t="n">
        <f aca="false">stk_28</f>
        <v>14</v>
      </c>
      <c r="G55" s="19" t="n">
        <f aca="false">stk_29</f>
        <v>15</v>
      </c>
      <c r="H55" s="19" t="n">
        <f aca="false">stk_30</f>
        <v>16</v>
      </c>
      <c r="I55" s="19" t="n">
        <f aca="false">stk_30</f>
        <v>16</v>
      </c>
    </row>
    <row r="56" customFormat="false" ht="17.15" hidden="false" customHeight="false" outlineLevel="0" collapsed="false">
      <c r="A56" s="0" t="s">
        <v>477</v>
      </c>
      <c r="B56" s="5" t="s">
        <v>478</v>
      </c>
      <c r="C56" s="19" t="n">
        <f aca="false">C53*8/C54</f>
        <v>0.741704901960783</v>
      </c>
      <c r="D56" s="19" t="n">
        <f aca="false">D53*8/D54</f>
        <v>1.26089833333333</v>
      </c>
      <c r="E56" s="19" t="n">
        <f aca="false">E53*8/E54</f>
        <v>1.80405453846154</v>
      </c>
      <c r="F56" s="19" t="n">
        <f aca="false">F53*8/F54</f>
        <v>2.429030575</v>
      </c>
      <c r="G56" s="19" t="n">
        <f aca="false">G53*8/G54</f>
        <v>3.0605785245</v>
      </c>
      <c r="H56" s="19" t="n">
        <f aca="false">H53*8/H54</f>
        <v>3.15622160339063</v>
      </c>
      <c r="I56" s="19" t="n">
        <f aca="false">I53*8/I54</f>
        <v>3.47184376372969</v>
      </c>
      <c r="J56" s="8" t="s">
        <v>479</v>
      </c>
    </row>
    <row r="57" customFormat="false" ht="17.15" hidden="false" customHeight="false" outlineLevel="0" collapsed="false">
      <c r="A57" s="0" t="s">
        <v>480</v>
      </c>
      <c r="B57" s="5" t="s">
        <v>481</v>
      </c>
      <c r="C57" s="19" t="n">
        <f aca="false">C56*(1+s_stk/C55)</f>
        <v>0.964216372549018</v>
      </c>
      <c r="D57" s="19" t="n">
        <f aca="false">D56*(1+s_stk/D55)</f>
        <v>1.57612291666667</v>
      </c>
      <c r="E57" s="19" t="n">
        <f aca="false">E56*(1+s_stk/E55)</f>
        <v>2.23702762769231</v>
      </c>
      <c r="F57" s="19" t="n">
        <f aca="false">F56*(1+s_stk/F55)</f>
        <v>2.94953712678571</v>
      </c>
      <c r="G57" s="19" t="n">
        <f aca="false">G56*(1+s_stk/G55)</f>
        <v>3.6726942294</v>
      </c>
      <c r="H57" s="19" t="n">
        <f aca="false">H56*(1+s_stk/H55)</f>
        <v>3.74801315402637</v>
      </c>
      <c r="I57" s="19" t="n">
        <f aca="false">I56*(1+s_stk/I55)</f>
        <v>4.12281446942901</v>
      </c>
      <c r="J57" s="5" t="s">
        <v>482</v>
      </c>
    </row>
    <row r="58" customFormat="false" ht="17.15" hidden="false" customHeight="false" outlineLevel="0" collapsed="false">
      <c r="A58" s="5" t="s">
        <v>483</v>
      </c>
      <c r="B58" s="0" t="s">
        <v>56</v>
      </c>
      <c r="C58" s="22" t="n">
        <f aca="false">hbp_25*hb_on</f>
        <v>0</v>
      </c>
      <c r="D58" s="22" t="n">
        <f aca="false">hbp_26*hb_on</f>
        <v>0</v>
      </c>
      <c r="E58" s="22" t="n">
        <f aca="false">hbp_27*hb_on</f>
        <v>0</v>
      </c>
      <c r="F58" s="22" t="n">
        <f aca="false">hbp_28*hb_on</f>
        <v>0.05</v>
      </c>
      <c r="G58" s="22" t="n">
        <f aca="false">hbp_29*hb_on</f>
        <v>0.15</v>
      </c>
      <c r="H58" s="22" t="n">
        <f aca="false">hbp_30*hb_on</f>
        <v>0.25</v>
      </c>
      <c r="I58" s="22" t="n">
        <f aca="false">hbp_30*hb_on</f>
        <v>0.25</v>
      </c>
    </row>
    <row r="59" customFormat="false" ht="17.15" hidden="false" customHeight="false" outlineLevel="0" collapsed="false">
      <c r="A59" s="0" t="s">
        <v>484</v>
      </c>
      <c r="B59" s="5" t="s">
        <v>481</v>
      </c>
      <c r="C59" s="19" t="n">
        <f aca="false">C57*(1+C58*hb_eff)</f>
        <v>0.964216372549018</v>
      </c>
      <c r="D59" s="19" t="n">
        <f aca="false">D57*(1+D58*hb_eff)</f>
        <v>1.57612291666667</v>
      </c>
      <c r="E59" s="19" t="n">
        <f aca="false">E57*(1+E58*hb_eff)</f>
        <v>2.23702762769231</v>
      </c>
      <c r="F59" s="19" t="n">
        <f aca="false">F57*(1+F58*hb_eff)</f>
        <v>2.96428481241964</v>
      </c>
      <c r="G59" s="19" t="n">
        <f aca="false">G57*(1+G58*hb_eff)</f>
        <v>3.727784642841</v>
      </c>
      <c r="H59" s="19" t="n">
        <f aca="false">H57*(1+H58*hb_eff)</f>
        <v>3.84171348287703</v>
      </c>
      <c r="I59" s="19" t="n">
        <f aca="false">I57*(1+I58*hb_eff)</f>
        <v>4.22588483116473</v>
      </c>
      <c r="J59" s="5" t="s">
        <v>485</v>
      </c>
    </row>
    <row r="60" customFormat="false" ht="17.15" hidden="false" customHeight="false" outlineLevel="0" collapsed="false">
      <c r="A60" s="0" t="s">
        <v>486</v>
      </c>
      <c r="B60" s="5" t="s">
        <v>481</v>
      </c>
      <c r="C60" s="19" t="n">
        <f aca="false">MAX(0,D59-C59)+dlt*C59</f>
        <v>0.70832818137255</v>
      </c>
      <c r="D60" s="19" t="n">
        <f aca="false">MAX(0,E59-D59)+dlt*D59</f>
        <v>0.818517002692307</v>
      </c>
      <c r="E60" s="19" t="n">
        <f aca="false">MAX(0,F59-E59)+dlt*E59</f>
        <v>0.950959947496565</v>
      </c>
      <c r="F60" s="19" t="n">
        <f aca="false">MAX(0,G59-F59)+dlt*F59</f>
        <v>1.05992831166332</v>
      </c>
      <c r="G60" s="19" t="n">
        <f aca="false">MAX(0,H59-G59)+dlt*G59</f>
        <v>0.486707304320127</v>
      </c>
      <c r="H60" s="19" t="n">
        <f aca="false">MAX(0,I59-H59)+dlt*H59</f>
        <v>0.768342696575406</v>
      </c>
      <c r="J60" s="5" t="s">
        <v>487</v>
      </c>
    </row>
    <row r="61" customFormat="false" ht="17.15" hidden="false" customHeight="false" outlineLevel="0" collapsed="false">
      <c r="A61" s="0" t="s">
        <v>488</v>
      </c>
      <c r="B61" s="5" t="s">
        <v>177</v>
      </c>
      <c r="C61" s="21" t="n">
        <f aca="false">cw_25</f>
        <v>670</v>
      </c>
      <c r="D61" s="21" t="n">
        <f aca="false">cw_26</f>
        <v>1107.85762580894</v>
      </c>
      <c r="E61" s="21" t="n">
        <f aca="false">cw_27</f>
        <v>2096.42857142857</v>
      </c>
      <c r="F61" s="21" t="n">
        <f aca="false">cw_28*um28_A</f>
        <v>2620.08928571429</v>
      </c>
      <c r="G61" s="21" t="n">
        <f aca="false">cw_29*um29_A</f>
        <v>3013.32589285714</v>
      </c>
      <c r="H61" s="21" t="n">
        <f aca="false">G61*(1+g_tail)</f>
        <v>3314.65848214285</v>
      </c>
      <c r="I61" s="21" t="n">
        <f aca="false">H61*(1+g_tail)</f>
        <v>3646.12433035714</v>
      </c>
      <c r="J61" s="5" t="s">
        <v>489</v>
      </c>
    </row>
    <row r="62" customFormat="false" ht="15" hidden="false" customHeight="false" outlineLevel="0" collapsed="false">
      <c r="A62" s="5" t="s">
        <v>490</v>
      </c>
      <c r="B62" s="5" t="s">
        <v>177</v>
      </c>
      <c r="C62" s="21" t="n">
        <f aca="false">MAX(0,D61-C61)+dlt*C61</f>
        <v>504.85762580894</v>
      </c>
      <c r="D62" s="21" t="n">
        <f aca="false">MAX(0,E61-D61)+dlt*D61</f>
        <v>1099.35670820052</v>
      </c>
      <c r="E62" s="21" t="n">
        <f aca="false">MAX(0,F61-E61)+dlt*E61</f>
        <v>733.303571428577</v>
      </c>
      <c r="F62" s="21" t="n">
        <f aca="false">MAX(0,G61-F61)+dlt*F61</f>
        <v>655.245535714279</v>
      </c>
      <c r="G62" s="21" t="n">
        <f aca="false">MAX(0,H61-G61)+dlt*G61</f>
        <v>602.665178571428</v>
      </c>
      <c r="H62" s="21" t="n">
        <f aca="false">MAX(0,I61-H61)+dlt*H61</f>
        <v>662.931696428571</v>
      </c>
    </row>
    <row r="63" customFormat="false" ht="17.15" hidden="false" customHeight="false" outlineLevel="0" collapsed="false">
      <c r="A63" s="1" t="s">
        <v>491</v>
      </c>
    </row>
    <row r="64" customFormat="false" ht="17.15" hidden="false" customHeight="false" outlineLevel="0" collapsed="false">
      <c r="A64" s="0" t="s">
        <v>492</v>
      </c>
      <c r="B64" s="0" t="s">
        <v>493</v>
      </c>
      <c r="C64" s="16" t="n">
        <f aca="false">ai25*w_hbm/(0.75*C60+0.25*D60)</f>
        <v>48.9213264236471</v>
      </c>
      <c r="J64" s="5" t="s">
        <v>494</v>
      </c>
    </row>
    <row r="65" customFormat="false" ht="17.15" hidden="false" customHeight="false" outlineLevel="0" collapsed="false">
      <c r="A65" s="5" t="s">
        <v>495</v>
      </c>
      <c r="B65" s="0" t="s">
        <v>496</v>
      </c>
      <c r="C65" s="18" t="n">
        <f aca="false">ai25*(1-w_hbm)/(0.75*C62+0.25*D62)</f>
        <v>0.0596802610360141</v>
      </c>
    </row>
    <row r="66" customFormat="false" ht="17.15" hidden="false" customHeight="false" outlineLevel="0" collapsed="false">
      <c r="A66" s="1" t="s">
        <v>497</v>
      </c>
    </row>
    <row r="67" customFormat="false" ht="17.15" hidden="false" customHeight="false" outlineLevel="0" collapsed="false">
      <c r="A67" s="5" t="s">
        <v>498</v>
      </c>
      <c r="B67" s="0" t="s">
        <v>76</v>
      </c>
      <c r="C67" s="16" t="n">
        <f aca="false">1-sh_loss/sh*0</f>
        <v>1</v>
      </c>
      <c r="D67" s="16" t="n">
        <f aca="false">1-sh_loss/sh*0.25</f>
        <v>1</v>
      </c>
      <c r="E67" s="16" t="n">
        <f aca="false">1-sh_loss/sh*0.5</f>
        <v>1</v>
      </c>
      <c r="F67" s="16" t="n">
        <f aca="false">1-sh_loss/sh*0.75</f>
        <v>1</v>
      </c>
      <c r="G67" s="16" t="n">
        <f aca="false">1-sh_loss/sh*1</f>
        <v>1</v>
      </c>
    </row>
    <row r="68" customFormat="false" ht="17.15" hidden="false" customHeight="false" outlineLevel="0" collapsed="false">
      <c r="A68" s="0" t="s">
        <v>499</v>
      </c>
      <c r="B68" s="0" t="s">
        <v>29</v>
      </c>
      <c r="C68" s="11" t="n">
        <f aca="false">$C$64*(0.75*C60+0.25*D60)*C67</f>
        <v>36</v>
      </c>
      <c r="D68" s="11" t="n">
        <f aca="false">$C$64*(0.75*D60+0.25*E60)*D67</f>
        <v>41.6627586058351</v>
      </c>
      <c r="E68" s="11" t="n">
        <f aca="false">$C$64*(0.75*E60+0.25*F60)*E67</f>
        <v>47.8549412356069</v>
      </c>
      <c r="F68" s="11" t="n">
        <f aca="false">$C$64*(0.75*F60+0.25*G60)*F67</f>
        <v>44.8424159172644</v>
      </c>
      <c r="G68" s="11" t="n">
        <f aca="false">$C$64*(0.75*G60+0.25*H60)*G67</f>
        <v>27.2548611466613</v>
      </c>
    </row>
    <row r="69" customFormat="false" ht="17.15" hidden="false" customHeight="false" outlineLevel="0" collapsed="false">
      <c r="A69" s="5" t="s">
        <v>500</v>
      </c>
      <c r="B69" s="0" t="s">
        <v>29</v>
      </c>
      <c r="C69" s="11" t="n">
        <f aca="false">$C$65*(0.75*C62+0.25*D62)*C67</f>
        <v>39</v>
      </c>
      <c r="D69" s="11" t="n">
        <f aca="false">$C$65*(0.75*D62+0.25*E62)*D67</f>
        <v>60.1483586282001</v>
      </c>
      <c r="E69" s="11" t="n">
        <f aca="false">$C$65*(0.75*E62+0.25*F62)*E67</f>
        <v>42.5991175746519</v>
      </c>
      <c r="F69" s="11" t="n">
        <f aca="false">$C$65*(0.75*F62+0.25*G62)*F67</f>
        <v>38.320722254198</v>
      </c>
      <c r="G69" s="11" t="n">
        <f aca="false">$C$65*(0.75*G62+0.25*H62)*G67</f>
        <v>36.8663955538204</v>
      </c>
    </row>
    <row r="70" customFormat="false" ht="17.15" hidden="false" customHeight="false" outlineLevel="0" collapsed="false">
      <c r="A70" s="0" t="s">
        <v>501</v>
      </c>
      <c r="B70" s="0" t="s">
        <v>29</v>
      </c>
      <c r="C70" s="11" t="n">
        <f aca="false">C68+C69</f>
        <v>75</v>
      </c>
      <c r="D70" s="11" t="n">
        <f aca="false">D68+D69</f>
        <v>101.811117234035</v>
      </c>
      <c r="E70" s="11" t="n">
        <f aca="false">E68+E69</f>
        <v>90.4540588102588</v>
      </c>
      <c r="F70" s="11" t="n">
        <f aca="false">F68+F69</f>
        <v>83.1631381714624</v>
      </c>
      <c r="G70" s="11" t="n">
        <f aca="false">G68+G69</f>
        <v>64.1212567004817</v>
      </c>
    </row>
    <row r="71" customFormat="false" ht="17.15" hidden="false" customHeight="false" outlineLevel="0" collapsed="false">
      <c r="A71" s="5" t="s">
        <v>502</v>
      </c>
      <c r="B71" s="0" t="s">
        <v>29</v>
      </c>
      <c r="C71" s="11" t="n">
        <f aca="false">eq25-ai25</f>
        <v>195.87118</v>
      </c>
      <c r="D71" s="11" t="n">
        <f aca="false">C71*(1+g_non)*D67/C67</f>
        <v>207.6234508</v>
      </c>
      <c r="E71" s="11" t="n">
        <f aca="false">D71*(1+g_non)*E67/D67</f>
        <v>220.080857848</v>
      </c>
      <c r="F71" s="11" t="n">
        <f aca="false">E71*(1+g_non)*F67/E67</f>
        <v>233.28570931888</v>
      </c>
      <c r="G71" s="11" t="n">
        <f aca="false">F71*(1+g_non)*G67/F67</f>
        <v>247.282851878013</v>
      </c>
    </row>
    <row r="72" customFormat="false" ht="15" hidden="false" customHeight="false" outlineLevel="0" collapsed="false">
      <c r="A72" s="5" t="s">
        <v>503</v>
      </c>
      <c r="B72" s="0" t="s">
        <v>29</v>
      </c>
      <c r="C72" s="11" t="n">
        <f aca="false">C70+C71</f>
        <v>270.87118</v>
      </c>
      <c r="D72" s="11" t="n">
        <f aca="false">D70+D71</f>
        <v>309.434568034035</v>
      </c>
      <c r="E72" s="11" t="n">
        <f aca="false">E70+E71</f>
        <v>310.534916658259</v>
      </c>
      <c r="F72" s="11" t="n">
        <f aca="false">F70+F71</f>
        <v>316.448847490343</v>
      </c>
      <c r="G72" s="11" t="n">
        <f aca="false">G70+G71</f>
        <v>311.404108578495</v>
      </c>
    </row>
    <row r="73" customFormat="false" ht="17.15" hidden="false" customHeight="false" outlineLevel="0" collapsed="false">
      <c r="A73" s="0" t="s">
        <v>504</v>
      </c>
      <c r="B73" s="0" t="s">
        <v>76</v>
      </c>
      <c r="C73" s="19" t="n">
        <f aca="false">w_hbm*(0.75*C59+0.25*D59)/(0.75*C59+0.25*D59)+(1-w_hbm)*(0.75*C61+0.25*D61)/(0.75*C61+0.25*D61)</f>
        <v>1</v>
      </c>
      <c r="D73" s="19" t="n">
        <f aca="false">w_hbm*(0.75*D59+0.25*E59)/(0.75*C59+0.25*D59)+(1-w_hbm)*(0.75*D61+0.25*E61)/(0.75*C61+0.25*D61)</f>
        <v>1.65212184085657</v>
      </c>
      <c r="E73" s="19" t="n">
        <f aca="false">w_hbm*(0.75*E59+0.25*F59)/(0.75*C59+0.25*D59)+(1-w_hbm)*(0.75*E61+0.25*F61)/(0.75*C61+0.25*D61)</f>
        <v>2.52516730417954</v>
      </c>
      <c r="F73" s="19" t="n">
        <f aca="false">w_hbm*(0.75*F59+0.25*G59)/(0.75*C59+0.25*D59)+(1-w_hbm)*(0.75*F61+0.25*G61)/(0.75*C61+0.25*D61)</f>
        <v>3.16911970169284</v>
      </c>
      <c r="G73" s="19" t="n">
        <f aca="false">w_hbm*(0.75*G59+0.25*H59)/(0.75*C59+0.25*D59)+(1-w_hbm)*(0.75*G61+0.25*H61)/(0.75*C61+0.25*D61)</f>
        <v>3.67439430985121</v>
      </c>
      <c r="J73" s="8" t="s">
        <v>505</v>
      </c>
    </row>
    <row r="74" customFormat="false" ht="17.15" hidden="false" customHeight="false" outlineLevel="0" collapsed="false">
      <c r="A74" s="0" t="s">
        <v>506</v>
      </c>
      <c r="B74" s="0" t="s">
        <v>29</v>
      </c>
      <c r="C74" s="11" t="n">
        <f aca="false">tl25*w_tlai*C73</f>
        <v>25.4032258064516</v>
      </c>
      <c r="D74" s="11" t="n">
        <f aca="false">tl25*w_tlai*D73</f>
        <v>41.9692241830499</v>
      </c>
      <c r="E74" s="11" t="n">
        <f aca="false">tl25*w_tlai*E73</f>
        <v>64.1473952271414</v>
      </c>
      <c r="F74" s="11" t="n">
        <f aca="false">tl25*w_tlai*F73</f>
        <v>80.5058633897778</v>
      </c>
      <c r="G74" s="11" t="n">
        <f aca="false">tl25*w_tlai*G73</f>
        <v>93.3414683550913</v>
      </c>
      <c r="J74" s="5" t="s">
        <v>507</v>
      </c>
    </row>
    <row r="75" customFormat="false" ht="17.15" hidden="false" customHeight="false" outlineLevel="0" collapsed="false">
      <c r="A75" s="5" t="s">
        <v>508</v>
      </c>
      <c r="B75" s="0" t="s">
        <v>29</v>
      </c>
      <c r="C75" s="11" t="n">
        <f aca="false">tl25*(1-w_tlai)</f>
        <v>66.3434641935484</v>
      </c>
      <c r="D75" s="11" t="n">
        <f aca="false">C75*(1+g_tl)</f>
        <v>69.6606374032258</v>
      </c>
      <c r="E75" s="11" t="n">
        <f aca="false">D75*(1+g_tl)</f>
        <v>73.1436692733871</v>
      </c>
      <c r="F75" s="11" t="n">
        <f aca="false">E75*(1+g_tl)</f>
        <v>76.8008527370565</v>
      </c>
      <c r="G75" s="11" t="n">
        <f aca="false">F75*(1+g_tl)</f>
        <v>80.6408953739093</v>
      </c>
    </row>
    <row r="76" customFormat="false" ht="15" hidden="false" customHeight="false" outlineLevel="0" collapsed="false">
      <c r="A76" s="5" t="s">
        <v>509</v>
      </c>
      <c r="B76" s="0" t="s">
        <v>29</v>
      </c>
      <c r="C76" s="11" t="n">
        <f aca="false">C74+C75</f>
        <v>91.74669</v>
      </c>
      <c r="D76" s="11" t="n">
        <f aca="false">D74+D75</f>
        <v>111.629861586276</v>
      </c>
      <c r="E76" s="11" t="n">
        <f aca="false">E74+E75</f>
        <v>137.291064500529</v>
      </c>
      <c r="F76" s="11" t="n">
        <f aca="false">F74+F75</f>
        <v>157.306716126834</v>
      </c>
      <c r="G76" s="11" t="n">
        <f aca="false">G74+G75</f>
        <v>173.982363729001</v>
      </c>
    </row>
    <row r="77" customFormat="false" ht="15" hidden="false" customHeight="false" outlineLevel="0" collapsed="false">
      <c r="A77" s="5" t="s">
        <v>393</v>
      </c>
      <c r="B77" s="0" t="s">
        <v>29</v>
      </c>
      <c r="C77" s="11" t="n">
        <f aca="false">r_ot*(C72+C76)</f>
        <v>74.27113</v>
      </c>
      <c r="D77" s="11" t="n">
        <f aca="false">r_ot*(D72+D76)</f>
        <v>86.2421120909071</v>
      </c>
      <c r="E77" s="11" t="n">
        <f aca="false">r_ot*(E72+E76)</f>
        <v>91.7233937313179</v>
      </c>
      <c r="F77" s="11" t="n">
        <f aca="false">r_ot*(F72+F76)</f>
        <v>97.0342720661688</v>
      </c>
      <c r="G77" s="11" t="n">
        <f aca="false">r_ot*(G72+G76)</f>
        <v>99.416506376234</v>
      </c>
    </row>
    <row r="78" customFormat="false" ht="15" hidden="false" customHeight="false" outlineLevel="0" collapsed="false">
      <c r="A78" s="5" t="s">
        <v>363</v>
      </c>
      <c r="B78" s="0" t="s">
        <v>29</v>
      </c>
      <c r="C78" s="11" t="n">
        <f aca="false">C72+C76+C77</f>
        <v>436.889</v>
      </c>
      <c r="D78" s="11" t="n">
        <f aca="false">D72+D76+D77</f>
        <v>507.306541711218</v>
      </c>
      <c r="E78" s="11" t="n">
        <f aca="false">E72+E76+E77</f>
        <v>539.549374890105</v>
      </c>
      <c r="F78" s="11" t="n">
        <f aca="false">F72+F76+F77</f>
        <v>570.789835683346</v>
      </c>
      <c r="G78" s="11" t="n">
        <f aca="false">G72+G76+G77</f>
        <v>584.802978683729</v>
      </c>
    </row>
    <row r="79" customFormat="false" ht="17.15" hidden="false" customHeight="false" outlineLevel="0" collapsed="false">
      <c r="A79" s="0" t="s">
        <v>510</v>
      </c>
      <c r="B79" s="0" t="s">
        <v>56</v>
      </c>
      <c r="C79" s="14" t="n">
        <f aca="false">(C70+C74)*(1+r_ot)/C78</f>
        <v>0.276884384673187</v>
      </c>
      <c r="D79" s="14" t="n">
        <f aca="false">(D70+D74)*(1+r_ot)/D78</f>
        <v>0.341468742792492</v>
      </c>
      <c r="E79" s="14" t="n">
        <f aca="false">(E70+E74)*(1+r_ot)/E78</f>
        <v>0.345226629409388</v>
      </c>
      <c r="F79" s="14" t="n">
        <f aca="false">(F70+F74)*(1+r_ot)/F78</f>
        <v>0.345471407895686</v>
      </c>
      <c r="G79" s="14" t="n">
        <f aca="false">(G70+G74)*(1+r_ot)/G78</f>
        <v>0.324406908801981</v>
      </c>
    </row>
    <row r="80" customFormat="false" ht="17.15" hidden="false" customHeight="false" outlineLevel="0" collapsed="false">
      <c r="A80" s="0" t="s">
        <v>511</v>
      </c>
      <c r="B80" s="0" t="s">
        <v>56</v>
      </c>
      <c r="C80" s="14" t="n">
        <f aca="false">C70*(1+r_ot)/C78</f>
        <v>0.206829299394429</v>
      </c>
      <c r="D80" s="14" t="n">
        <f aca="false">D70*(1+r_ot)/D78</f>
        <v>0.241794628261147</v>
      </c>
      <c r="E80" s="14" t="n">
        <f aca="false">E70*(1+r_ot)/E78</f>
        <v>0.20198483923644</v>
      </c>
      <c r="F80" s="14" t="n">
        <f aca="false">F70*(1+r_ot)/F78</f>
        <v>0.175540182655593</v>
      </c>
      <c r="G80" s="14" t="n">
        <f aca="false">G70*(1+r_ot)/G78</f>
        <v>0.132103510004417</v>
      </c>
      <c r="J80" s="5" t="s">
        <v>512</v>
      </c>
    </row>
    <row r="81" customFormat="false" ht="17.15" hidden="false" customHeight="false" outlineLevel="0" collapsed="false">
      <c r="A81" s="5" t="s">
        <v>401</v>
      </c>
      <c r="B81" s="0" t="s">
        <v>56</v>
      </c>
      <c r="C81" s="14" t="n">
        <f aca="false">a25_gp/a25_rev</f>
        <v>0.701498549974936</v>
      </c>
      <c r="D81" s="14" t="n">
        <f aca="false">gm_a+gm_b*LN(D78)+0</f>
        <v>0.719463492058136</v>
      </c>
      <c r="E81" s="14" t="n">
        <f aca="false">gm_a+gm_b*LN(E78)+0</f>
        <v>0.726477317954067</v>
      </c>
      <c r="F81" s="14" t="n">
        <f aca="false">gm_a+gm_b*LN(F78)+0</f>
        <v>0.73288421444391</v>
      </c>
      <c r="G81" s="14" t="n">
        <f aca="false">gm_a+gm_b*LN(G78)+0</f>
        <v>0.735644940559218</v>
      </c>
      <c r="J81" s="8" t="s">
        <v>513</v>
      </c>
    </row>
    <row r="82" customFormat="false" ht="15" hidden="false" customHeight="false" outlineLevel="0" collapsed="false">
      <c r="A82" s="5" t="s">
        <v>398</v>
      </c>
      <c r="B82" s="0" t="s">
        <v>29</v>
      </c>
      <c r="C82" s="11" t="n">
        <f aca="false">C78*C81</f>
        <v>306.477</v>
      </c>
      <c r="D82" s="11" t="n">
        <f aca="false">D78*D81</f>
        <v>364.98853604349</v>
      </c>
      <c r="E82" s="11" t="n">
        <f aca="false">E78*E81</f>
        <v>391.970382773957</v>
      </c>
      <c r="F82" s="11" t="n">
        <f aca="false">F78*F81</f>
        <v>418.322860337357</v>
      </c>
      <c r="G82" s="11" t="n">
        <f aca="false">G78*G81</f>
        <v>430.207352492645</v>
      </c>
    </row>
    <row r="83" customFormat="false" ht="17.15" hidden="false" customHeight="false" outlineLevel="0" collapsed="false">
      <c r="A83" s="5" t="s">
        <v>399</v>
      </c>
      <c r="B83" s="0" t="s">
        <v>29</v>
      </c>
      <c r="C83" s="11" t="n">
        <f aca="false">a25_sga</f>
        <v>121.487</v>
      </c>
      <c r="D83" s="11" t="n">
        <f aca="false">sg_f+sg_v*D78</f>
        <v>136.15078964545</v>
      </c>
      <c r="E83" s="11" t="n">
        <f aca="false">sg_f+sg_v*E78</f>
        <v>144.287817826287</v>
      </c>
      <c r="F83" s="11" t="n">
        <f aca="false">sg_f+sg_v*F78</f>
        <v>152.171880261079</v>
      </c>
      <c r="G83" s="11" t="n">
        <f aca="false">sg_f+sg_v*G78</f>
        <v>155.708335598722</v>
      </c>
      <c r="J83" s="5" t="s">
        <v>514</v>
      </c>
    </row>
    <row r="84" customFormat="false" ht="15" hidden="false" customHeight="false" outlineLevel="0" collapsed="false">
      <c r="A84" s="5" t="s">
        <v>367</v>
      </c>
      <c r="B84" s="0" t="s">
        <v>29</v>
      </c>
      <c r="C84" s="11" t="n">
        <f aca="false">C82-C83</f>
        <v>184.99</v>
      </c>
      <c r="D84" s="11" t="n">
        <f aca="false">D82-D83</f>
        <v>228.837746398039</v>
      </c>
      <c r="E84" s="11" t="n">
        <f aca="false">E82-E83</f>
        <v>247.68256494767</v>
      </c>
      <c r="F84" s="11" t="n">
        <f aca="false">F82-F83</f>
        <v>266.150980076278</v>
      </c>
      <c r="G84" s="11" t="n">
        <f aca="false">G82-G83</f>
        <v>274.499016893924</v>
      </c>
    </row>
    <row r="85" customFormat="false" ht="15" hidden="false" customHeight="false" outlineLevel="0" collapsed="false">
      <c r="A85" s="5" t="s">
        <v>515</v>
      </c>
      <c r="B85" s="0" t="s">
        <v>56</v>
      </c>
      <c r="C85" s="14" t="n">
        <f aca="false">C84/C78</f>
        <v>0.423425629851061</v>
      </c>
      <c r="D85" s="14" t="n">
        <f aca="false">D84/D78</f>
        <v>0.451083768062869</v>
      </c>
      <c r="E85" s="14" t="n">
        <f aca="false">E84/E78</f>
        <v>0.459054493387408</v>
      </c>
      <c r="F85" s="14" t="n">
        <f aca="false">F84/F78</f>
        <v>0.466285423176193</v>
      </c>
      <c r="G85" s="14" t="n">
        <f aca="false">G84/G78</f>
        <v>0.469387172944577</v>
      </c>
    </row>
    <row r="86" customFormat="false" ht="15" hidden="false" customHeight="false" outlineLevel="0" collapsed="false">
      <c r="A86" s="5" t="s">
        <v>370</v>
      </c>
      <c r="B86" s="0" t="s">
        <v>29</v>
      </c>
      <c r="C86" s="11" t="n">
        <f aca="false">a25_ni</f>
        <v>135.521</v>
      </c>
      <c r="D86" s="11" t="n">
        <f aca="false">D84*nioi</f>
        <v>167.644131432727</v>
      </c>
      <c r="E86" s="11" t="n">
        <f aca="false">E84*nioi</f>
        <v>181.449647731882</v>
      </c>
      <c r="F86" s="11" t="n">
        <f aca="false">F84*nioi</f>
        <v>194.97941483503</v>
      </c>
      <c r="G86" s="11" t="n">
        <f aca="false">G84*nioi</f>
        <v>201.095098997678</v>
      </c>
    </row>
    <row r="87" customFormat="false" ht="15" hidden="false" customHeight="false" outlineLevel="0" collapsed="false">
      <c r="A87" s="0" t="s">
        <v>459</v>
      </c>
      <c r="B87" s="0" t="s">
        <v>51</v>
      </c>
      <c r="C87" s="11" t="n">
        <f aca="false">a25_eps</f>
        <v>1249.84</v>
      </c>
      <c r="D87" s="11" t="n">
        <f aca="false">D86*1000/shares</f>
        <v>1545.37951653183</v>
      </c>
      <c r="E87" s="11" t="n">
        <f aca="false">E86*1000/shares</f>
        <v>1672.64172321648</v>
      </c>
      <c r="F87" s="11" t="n">
        <f aca="false">F86*1000/shares</f>
        <v>1797.36201474092</v>
      </c>
      <c r="G87" s="11" t="n">
        <f aca="false">G86*1000/shares</f>
        <v>1853.73770146352</v>
      </c>
    </row>
    <row r="88" customFormat="false" ht="17.15" hidden="false" customHeight="false" outlineLevel="0" collapsed="false">
      <c r="A88" s="5" t="s">
        <v>516</v>
      </c>
      <c r="B88" s="0" t="s">
        <v>29</v>
      </c>
      <c r="C88" s="16" t="n">
        <f aca="false">ABS(C78-a25_rev)+ABS(C84-a25_oi)</f>
        <v>0.000999999999976353</v>
      </c>
    </row>
    <row r="91" customFormat="false" ht="17.15" hidden="false" customHeight="false" outlineLevel="0" collapsed="false">
      <c r="A91" s="3" t="s">
        <v>517</v>
      </c>
    </row>
    <row r="92" customFormat="false" ht="17.15" hidden="false" customHeight="false" outlineLevel="0" collapsed="false">
      <c r="A92" s="6" t="s">
        <v>18</v>
      </c>
      <c r="B92" s="6" t="s">
        <v>19</v>
      </c>
      <c r="C92" s="9" t="s">
        <v>464</v>
      </c>
      <c r="D92" s="9" t="s">
        <v>465</v>
      </c>
      <c r="E92" s="9" t="s">
        <v>466</v>
      </c>
      <c r="F92" s="9" t="s">
        <v>467</v>
      </c>
      <c r="G92" s="9" t="s">
        <v>468</v>
      </c>
      <c r="H92" s="9" t="s">
        <v>469</v>
      </c>
      <c r="I92" s="9" t="s">
        <v>470</v>
      </c>
      <c r="J92" s="6" t="s">
        <v>450</v>
      </c>
    </row>
    <row r="93" customFormat="false" ht="17.15" hidden="false" customHeight="false" outlineLevel="0" collapsed="false">
      <c r="A93" s="1" t="s">
        <v>471</v>
      </c>
    </row>
    <row r="94" customFormat="false" ht="17.15" hidden="false" customHeight="false" outlineLevel="0" collapsed="false">
      <c r="A94" s="0" t="s">
        <v>472</v>
      </c>
      <c r="B94" s="0" t="s">
        <v>96</v>
      </c>
      <c r="C94" s="19" t="n">
        <f aca="false">hsB_25</f>
        <v>2.22511470588235</v>
      </c>
      <c r="D94" s="19" t="n">
        <f aca="false">hsB_26</f>
        <v>3.782695</v>
      </c>
      <c r="E94" s="19" t="n">
        <f aca="false">hsB_27</f>
        <v>5.86317725</v>
      </c>
      <c r="F94" s="19" t="n">
        <f aca="false">hsB_28</f>
        <v>8.22296</v>
      </c>
      <c r="G94" s="19" t="n">
        <f aca="false">hsB_29</f>
        <v>11.3579635</v>
      </c>
      <c r="H94" s="19" t="n">
        <f aca="false">G94*(1+g_tail)</f>
        <v>12.49375985</v>
      </c>
      <c r="I94" s="19" t="n">
        <f aca="false">H94*(1+g_tail)</f>
        <v>13.743135835</v>
      </c>
      <c r="J94" s="8" t="s">
        <v>473</v>
      </c>
    </row>
    <row r="95" customFormat="false" ht="17.15" hidden="false" customHeight="false" outlineLevel="0" collapsed="false">
      <c r="A95" s="0" t="s">
        <v>474</v>
      </c>
      <c r="B95" s="0" t="s">
        <v>475</v>
      </c>
      <c r="C95" s="19" t="n">
        <f aca="false">den_25</f>
        <v>24</v>
      </c>
      <c r="D95" s="19" t="n">
        <f aca="false">den_26</f>
        <v>24</v>
      </c>
      <c r="E95" s="19" t="n">
        <f aca="false">den_27</f>
        <v>26</v>
      </c>
      <c r="F95" s="19" t="n">
        <f aca="false">den_28</f>
        <v>28</v>
      </c>
      <c r="G95" s="19" t="n">
        <f aca="false">den_29</f>
        <v>30</v>
      </c>
      <c r="H95" s="19" t="n">
        <f aca="false">den_30</f>
        <v>32</v>
      </c>
      <c r="I95" s="19" t="n">
        <f aca="false">den_30</f>
        <v>32</v>
      </c>
    </row>
    <row r="96" customFormat="false" ht="15" hidden="false" customHeight="false" outlineLevel="0" collapsed="false">
      <c r="A96" s="5" t="s">
        <v>476</v>
      </c>
      <c r="B96" s="5" t="s">
        <v>148</v>
      </c>
      <c r="C96" s="19" t="n">
        <f aca="false">stk_25</f>
        <v>10</v>
      </c>
      <c r="D96" s="19" t="n">
        <f aca="false">stk_26</f>
        <v>12</v>
      </c>
      <c r="E96" s="19" t="n">
        <f aca="false">stk_27</f>
        <v>12.5</v>
      </c>
      <c r="F96" s="19" t="n">
        <f aca="false">stk_28</f>
        <v>14</v>
      </c>
      <c r="G96" s="19" t="n">
        <f aca="false">stk_29</f>
        <v>15</v>
      </c>
      <c r="H96" s="19" t="n">
        <f aca="false">stk_30</f>
        <v>16</v>
      </c>
      <c r="I96" s="19" t="n">
        <f aca="false">stk_30</f>
        <v>16</v>
      </c>
    </row>
    <row r="97" customFormat="false" ht="17.15" hidden="false" customHeight="false" outlineLevel="0" collapsed="false">
      <c r="A97" s="0" t="s">
        <v>477</v>
      </c>
      <c r="B97" s="5" t="s">
        <v>478</v>
      </c>
      <c r="C97" s="19" t="n">
        <f aca="false">C94*8/C95</f>
        <v>0.741704901960783</v>
      </c>
      <c r="D97" s="19" t="n">
        <f aca="false">D94*8/D95</f>
        <v>1.26089833333333</v>
      </c>
      <c r="E97" s="19" t="n">
        <f aca="false">E94*8/E95</f>
        <v>1.80405453846154</v>
      </c>
      <c r="F97" s="19" t="n">
        <f aca="false">F94*8/F95</f>
        <v>2.34941714285714</v>
      </c>
      <c r="G97" s="19" t="n">
        <f aca="false">G94*8/G95</f>
        <v>3.02879026666667</v>
      </c>
      <c r="H97" s="19" t="n">
        <f aca="false">H94*8/H95</f>
        <v>3.1234399625</v>
      </c>
      <c r="I97" s="19" t="n">
        <f aca="false">I94*8/I95</f>
        <v>3.43578395875</v>
      </c>
      <c r="J97" s="8" t="s">
        <v>479</v>
      </c>
    </row>
    <row r="98" customFormat="false" ht="17.15" hidden="false" customHeight="false" outlineLevel="0" collapsed="false">
      <c r="A98" s="0" t="s">
        <v>480</v>
      </c>
      <c r="B98" s="5" t="s">
        <v>481</v>
      </c>
      <c r="C98" s="19" t="n">
        <f aca="false">C97*(1+s_stk/C96)</f>
        <v>0.964216372549018</v>
      </c>
      <c r="D98" s="19" t="n">
        <f aca="false">D97*(1+s_stk/D96)</f>
        <v>1.57612291666667</v>
      </c>
      <c r="E98" s="19" t="n">
        <f aca="false">E97*(1+s_stk/E96)</f>
        <v>2.23702762769231</v>
      </c>
      <c r="F98" s="19" t="n">
        <f aca="false">F97*(1+s_stk/F96)</f>
        <v>2.85286367346939</v>
      </c>
      <c r="G98" s="19" t="n">
        <f aca="false">G97*(1+s_stk/G96)</f>
        <v>3.63454832</v>
      </c>
      <c r="H98" s="19" t="n">
        <f aca="false">H97*(1+s_stk/H96)</f>
        <v>3.70908495546875</v>
      </c>
      <c r="I98" s="19" t="n">
        <f aca="false">I97*(1+s_stk/I96)</f>
        <v>4.07999345101563</v>
      </c>
      <c r="J98" s="5" t="s">
        <v>482</v>
      </c>
    </row>
    <row r="99" customFormat="false" ht="17.15" hidden="false" customHeight="false" outlineLevel="0" collapsed="false">
      <c r="A99" s="5" t="s">
        <v>483</v>
      </c>
      <c r="B99" s="0" t="s">
        <v>56</v>
      </c>
      <c r="C99" s="22" t="n">
        <f aca="false">hbp_25*hb_on</f>
        <v>0</v>
      </c>
      <c r="D99" s="22" t="n">
        <f aca="false">hbp_26*hb_on</f>
        <v>0</v>
      </c>
      <c r="E99" s="22" t="n">
        <f aca="false">hbp_27*hb_on</f>
        <v>0</v>
      </c>
      <c r="F99" s="22" t="n">
        <f aca="false">hbp_28*hb_on</f>
        <v>0.05</v>
      </c>
      <c r="G99" s="22" t="n">
        <f aca="false">hbp_29*hb_on</f>
        <v>0.15</v>
      </c>
      <c r="H99" s="22" t="n">
        <f aca="false">hbp_30*hb_on</f>
        <v>0.25</v>
      </c>
      <c r="I99" s="22" t="n">
        <f aca="false">hbp_30*hb_on</f>
        <v>0.25</v>
      </c>
    </row>
    <row r="100" customFormat="false" ht="17.15" hidden="false" customHeight="false" outlineLevel="0" collapsed="false">
      <c r="A100" s="0" t="s">
        <v>484</v>
      </c>
      <c r="B100" s="5" t="s">
        <v>481</v>
      </c>
      <c r="C100" s="19" t="n">
        <f aca="false">C98*(1+C99*hb_eff)</f>
        <v>0.964216372549018</v>
      </c>
      <c r="D100" s="19" t="n">
        <f aca="false">D98*(1+D99*hb_eff)</f>
        <v>1.57612291666667</v>
      </c>
      <c r="E100" s="19" t="n">
        <f aca="false">E98*(1+E99*hb_eff)</f>
        <v>2.23702762769231</v>
      </c>
      <c r="F100" s="19" t="n">
        <f aca="false">F98*(1+F99*hb_eff)</f>
        <v>2.86712799183673</v>
      </c>
      <c r="G100" s="19" t="n">
        <f aca="false">G98*(1+G99*hb_eff)</f>
        <v>3.6890665448</v>
      </c>
      <c r="H100" s="19" t="n">
        <f aca="false">H98*(1+H99*hb_eff)</f>
        <v>3.80181207935547</v>
      </c>
      <c r="I100" s="19" t="n">
        <f aca="false">I98*(1+I99*hb_eff)</f>
        <v>4.18199328729102</v>
      </c>
      <c r="J100" s="5" t="s">
        <v>485</v>
      </c>
    </row>
    <row r="101" customFormat="false" ht="17.15" hidden="false" customHeight="false" outlineLevel="0" collapsed="false">
      <c r="A101" s="0" t="s">
        <v>486</v>
      </c>
      <c r="B101" s="5" t="s">
        <v>481</v>
      </c>
      <c r="C101" s="19" t="n">
        <f aca="false">MAX(0,D100-C100)+dlt*C100</f>
        <v>0.70832818137255</v>
      </c>
      <c r="D101" s="19" t="n">
        <f aca="false">MAX(0,E100-D100)+dlt*D100</f>
        <v>0.818517002692307</v>
      </c>
      <c r="E101" s="19" t="n">
        <f aca="false">MAX(0,F100-E100)+dlt*E100</f>
        <v>0.853803126913658</v>
      </c>
      <c r="F101" s="19" t="n">
        <f aca="false">MAX(0,G100-F100)+dlt*F100</f>
        <v>1.10865135214694</v>
      </c>
      <c r="G101" s="19" t="n">
        <f aca="false">MAX(0,H100-G100)+dlt*G100</f>
        <v>0.481652189035469</v>
      </c>
      <c r="H101" s="19" t="n">
        <f aca="false">MAX(0,I100-H100)+dlt*H100</f>
        <v>0.760362415871095</v>
      </c>
      <c r="J101" s="5" t="s">
        <v>487</v>
      </c>
    </row>
    <row r="102" customFormat="false" ht="17.15" hidden="false" customHeight="false" outlineLevel="0" collapsed="false">
      <c r="A102" s="0" t="s">
        <v>488</v>
      </c>
      <c r="B102" s="5" t="s">
        <v>177</v>
      </c>
      <c r="C102" s="21" t="n">
        <f aca="false">cw_25</f>
        <v>670</v>
      </c>
      <c r="D102" s="21" t="n">
        <f aca="false">cw_26</f>
        <v>1107.85762580894</v>
      </c>
      <c r="E102" s="21" t="n">
        <f aca="false">cw_27</f>
        <v>2096.42857142857</v>
      </c>
      <c r="F102" s="21" t="n">
        <f aca="false">cw_28*um28_B</f>
        <v>2096.07142857143</v>
      </c>
      <c r="G102" s="21" t="n">
        <f aca="false">cw_29*um29_B</f>
        <v>2561.32700892857</v>
      </c>
      <c r="H102" s="21" t="n">
        <f aca="false">G102*(1+g_tail)</f>
        <v>2817.45970982143</v>
      </c>
      <c r="I102" s="21" t="n">
        <f aca="false">H102*(1+g_tail)</f>
        <v>3099.20568080357</v>
      </c>
      <c r="J102" s="5" t="s">
        <v>489</v>
      </c>
    </row>
    <row r="103" customFormat="false" ht="15" hidden="false" customHeight="false" outlineLevel="0" collapsed="false">
      <c r="A103" s="5" t="s">
        <v>490</v>
      </c>
      <c r="B103" s="5" t="s">
        <v>177</v>
      </c>
      <c r="C103" s="21" t="n">
        <f aca="false">MAX(0,D102-C102)+dlt*C102</f>
        <v>504.85762580894</v>
      </c>
      <c r="D103" s="21" t="n">
        <f aca="false">MAX(0,E102-D102)+dlt*D102</f>
        <v>1099.35670820052</v>
      </c>
      <c r="E103" s="21" t="n">
        <f aca="false">MAX(0,F102-E102)+dlt*E102</f>
        <v>209.642857142857</v>
      </c>
      <c r="F103" s="21" t="n">
        <f aca="false">MAX(0,G102-F102)+dlt*F102</f>
        <v>674.86272321428</v>
      </c>
      <c r="G103" s="21" t="n">
        <f aca="false">MAX(0,H102-G102)+dlt*G102</f>
        <v>512.265401785714</v>
      </c>
      <c r="H103" s="21" t="n">
        <f aca="false">MAX(0,I102-H102)+dlt*H102</f>
        <v>563.491941964285</v>
      </c>
    </row>
    <row r="104" customFormat="false" ht="17.15" hidden="false" customHeight="false" outlineLevel="0" collapsed="false">
      <c r="A104" s="1" t="s">
        <v>491</v>
      </c>
    </row>
    <row r="105" customFormat="false" ht="17.15" hidden="false" customHeight="false" outlineLevel="0" collapsed="false">
      <c r="A105" s="0" t="s">
        <v>492</v>
      </c>
      <c r="B105" s="0" t="s">
        <v>493</v>
      </c>
      <c r="C105" s="16" t="n">
        <f aca="false">ai25*w_hbm/(0.75*C101+0.25*D101)</f>
        <v>48.9213264236471</v>
      </c>
      <c r="J105" s="5" t="s">
        <v>494</v>
      </c>
    </row>
    <row r="106" customFormat="false" ht="17.15" hidden="false" customHeight="false" outlineLevel="0" collapsed="false">
      <c r="A106" s="5" t="s">
        <v>495</v>
      </c>
      <c r="B106" s="0" t="s">
        <v>496</v>
      </c>
      <c r="C106" s="18" t="n">
        <f aca="false">ai25*(1-w_hbm)/(0.75*C103+0.25*D103)</f>
        <v>0.0596802610360141</v>
      </c>
    </row>
    <row r="107" customFormat="false" ht="17.15" hidden="false" customHeight="false" outlineLevel="0" collapsed="false">
      <c r="A107" s="1" t="s">
        <v>497</v>
      </c>
    </row>
    <row r="108" customFormat="false" ht="17.15" hidden="false" customHeight="false" outlineLevel="0" collapsed="false">
      <c r="A108" s="5" t="s">
        <v>498</v>
      </c>
      <c r="B108" s="0" t="s">
        <v>76</v>
      </c>
      <c r="C108" s="16" t="n">
        <f aca="false">1-sh_loss/sh*0</f>
        <v>1</v>
      </c>
      <c r="D108" s="16" t="n">
        <f aca="false">1-sh_loss/sh*0.25</f>
        <v>1</v>
      </c>
      <c r="E108" s="16" t="n">
        <f aca="false">1-sh_loss/sh*0.5</f>
        <v>1</v>
      </c>
      <c r="F108" s="16" t="n">
        <f aca="false">1-sh_loss/sh*0.75</f>
        <v>1</v>
      </c>
      <c r="G108" s="16" t="n">
        <f aca="false">1-sh_loss/sh*1</f>
        <v>1</v>
      </c>
    </row>
    <row r="109" customFormat="false" ht="17.15" hidden="false" customHeight="false" outlineLevel="0" collapsed="false">
      <c r="A109" s="0" t="s">
        <v>499</v>
      </c>
      <c r="B109" s="0" t="s">
        <v>29</v>
      </c>
      <c r="C109" s="11" t="n">
        <f aca="false">$C$105*(0.75*C101+0.25*D101)*C108</f>
        <v>36</v>
      </c>
      <c r="D109" s="11" t="n">
        <f aca="false">$C$105*(0.75*D101+0.25*E101)*D108</f>
        <v>40.4744984723301</v>
      </c>
      <c r="E109" s="11" t="n">
        <f aca="false">$C$105*(0.75*E101+0.25*F101)*E108</f>
        <v>44.8860597770547</v>
      </c>
      <c r="F109" s="11" t="n">
        <f aca="false">$C$105*(0.75*F101+0.25*G101)*F108</f>
        <v>46.5682870069157</v>
      </c>
      <c r="G109" s="11" t="n">
        <f aca="false">$C$105*(0.75*G101+0.25*H101)*G108</f>
        <v>26.9717824586269</v>
      </c>
    </row>
    <row r="110" customFormat="false" ht="17.15" hidden="false" customHeight="false" outlineLevel="0" collapsed="false">
      <c r="A110" s="5" t="s">
        <v>500</v>
      </c>
      <c r="B110" s="0" t="s">
        <v>29</v>
      </c>
      <c r="C110" s="11" t="n">
        <f aca="false">$C$106*(0.75*C103+0.25*D103)*C108</f>
        <v>39</v>
      </c>
      <c r="D110" s="11" t="n">
        <f aca="false">$C$106*(0.75*D103+0.25*E103)*D108</f>
        <v>52.3353065974807</v>
      </c>
      <c r="E110" s="11" t="n">
        <f aca="false">$C$106*(0.75*E103+0.25*F103)*E108</f>
        <v>19.452651200192</v>
      </c>
      <c r="F110" s="11" t="n">
        <f aca="false">$C$106*(0.75*F103+0.25*G103)*F108</f>
        <v>37.8500208382502</v>
      </c>
      <c r="G110" s="11" t="n">
        <f aca="false">$C$106*(0.75*G103+0.25*H103)*G108</f>
        <v>31.3364362207473</v>
      </c>
    </row>
    <row r="111" customFormat="false" ht="17.15" hidden="false" customHeight="false" outlineLevel="0" collapsed="false">
      <c r="A111" s="0" t="s">
        <v>501</v>
      </c>
      <c r="B111" s="0" t="s">
        <v>29</v>
      </c>
      <c r="C111" s="11" t="n">
        <f aca="false">C109+C110</f>
        <v>75</v>
      </c>
      <c r="D111" s="11" t="n">
        <f aca="false">D109+D110</f>
        <v>92.8098050698108</v>
      </c>
      <c r="E111" s="11" t="n">
        <f aca="false">E109+E110</f>
        <v>64.3387109772468</v>
      </c>
      <c r="F111" s="11" t="n">
        <f aca="false">F109+F110</f>
        <v>84.4183078451658</v>
      </c>
      <c r="G111" s="11" t="n">
        <f aca="false">G109+G110</f>
        <v>58.3082186793742</v>
      </c>
    </row>
    <row r="112" customFormat="false" ht="17.15" hidden="false" customHeight="false" outlineLevel="0" collapsed="false">
      <c r="A112" s="5" t="s">
        <v>502</v>
      </c>
      <c r="B112" s="0" t="s">
        <v>29</v>
      </c>
      <c r="C112" s="11" t="n">
        <f aca="false">eq25-ai25</f>
        <v>195.87118</v>
      </c>
      <c r="D112" s="11" t="n">
        <f aca="false">C112*(1+g_non)*D108/C108</f>
        <v>207.6234508</v>
      </c>
      <c r="E112" s="11" t="n">
        <f aca="false">D112*(1+g_non)*E108/D108</f>
        <v>220.080857848</v>
      </c>
      <c r="F112" s="11" t="n">
        <f aca="false">E112*(1+g_nonB_28)*F108/E108</f>
        <v>220.080857848</v>
      </c>
      <c r="G112" s="11" t="n">
        <f aca="false">F112*(1+g_non)*G108/F108</f>
        <v>233.28570931888</v>
      </c>
    </row>
    <row r="113" customFormat="false" ht="15" hidden="false" customHeight="false" outlineLevel="0" collapsed="false">
      <c r="A113" s="5" t="s">
        <v>503</v>
      </c>
      <c r="B113" s="0" t="s">
        <v>29</v>
      </c>
      <c r="C113" s="11" t="n">
        <f aca="false">C111+C112</f>
        <v>270.87118</v>
      </c>
      <c r="D113" s="11" t="n">
        <f aca="false">D111+D112</f>
        <v>300.433255869811</v>
      </c>
      <c r="E113" s="11" t="n">
        <f aca="false">E111+E112</f>
        <v>284.419568825247</v>
      </c>
      <c r="F113" s="11" t="n">
        <f aca="false">F111+F112</f>
        <v>304.499165693166</v>
      </c>
      <c r="G113" s="11" t="n">
        <f aca="false">G111+G112</f>
        <v>291.593927998254</v>
      </c>
    </row>
    <row r="114" customFormat="false" ht="17.15" hidden="false" customHeight="false" outlineLevel="0" collapsed="false">
      <c r="A114" s="0" t="s">
        <v>504</v>
      </c>
      <c r="B114" s="0" t="s">
        <v>76</v>
      </c>
      <c r="C114" s="19" t="n">
        <f aca="false">w_hbm*(0.75*C100+0.25*D100)/(0.75*C100+0.25*D100)+(1-w_hbm)*(0.75*C102+0.25*D102)/(0.75*C102+0.25*D102)</f>
        <v>1</v>
      </c>
      <c r="D114" s="19" t="n">
        <f aca="false">w_hbm*(0.75*D100+0.25*E100)/(0.75*C100+0.25*D100)+(1-w_hbm)*(0.75*D102+0.25*E102)/(0.75*C102+0.25*D102)</f>
        <v>1.65212184085657</v>
      </c>
      <c r="E114" s="19" t="n">
        <f aca="false">w_hbm*(0.75*E100+0.25*F100)/(0.75*C100+0.25*D100)+(1-w_hbm)*(0.75*E102+0.25*F102)/(0.75*C102+0.25*D102)</f>
        <v>2.42733516921115</v>
      </c>
      <c r="F114" s="19" t="n">
        <f aca="false">w_hbm*(0.75*F100+0.25*G100)/(0.75*C100+0.25*D100)+(1-w_hbm)*(0.75*F102+0.25*G102)/(0.75*C102+0.25*D102)</f>
        <v>2.7960795952</v>
      </c>
      <c r="G114" s="19" t="n">
        <f aca="false">w_hbm*(0.75*G100+0.25*H100)/(0.75*C100+0.25*D100)+(1-w_hbm)*(0.75*G102+0.25*H102)/(0.75*C102+0.25*D102)</f>
        <v>3.34855391112345</v>
      </c>
      <c r="J114" s="8" t="s">
        <v>505</v>
      </c>
    </row>
    <row r="115" customFormat="false" ht="17.15" hidden="false" customHeight="false" outlineLevel="0" collapsed="false">
      <c r="A115" s="0" t="s">
        <v>506</v>
      </c>
      <c r="B115" s="0" t="s">
        <v>29</v>
      </c>
      <c r="C115" s="11" t="n">
        <f aca="false">tl25*w_tlai*C114</f>
        <v>25.4032258064516</v>
      </c>
      <c r="D115" s="11" t="n">
        <f aca="false">tl25*w_tlai*D114</f>
        <v>41.9692241830499</v>
      </c>
      <c r="E115" s="11" t="n">
        <f aca="false">tl25*w_tlai*E114</f>
        <v>61.6621434114124</v>
      </c>
      <c r="F115" s="11" t="n">
        <f aca="false">tl25*w_tlai*F114</f>
        <v>71.0294413296775</v>
      </c>
      <c r="G115" s="11" t="n">
        <f aca="false">tl25*w_tlai*G114</f>
        <v>85.0640711293457</v>
      </c>
      <c r="J115" s="5" t="s">
        <v>507</v>
      </c>
    </row>
    <row r="116" customFormat="false" ht="17.15" hidden="false" customHeight="false" outlineLevel="0" collapsed="false">
      <c r="A116" s="5" t="s">
        <v>508</v>
      </c>
      <c r="B116" s="0" t="s">
        <v>29</v>
      </c>
      <c r="C116" s="11" t="n">
        <f aca="false">tl25*(1-w_tlai)</f>
        <v>66.3434641935484</v>
      </c>
      <c r="D116" s="11" t="n">
        <f aca="false">C116*(1+g_tl)</f>
        <v>69.6606374032258</v>
      </c>
      <c r="E116" s="11" t="n">
        <f aca="false">D116*(1+g_tl)</f>
        <v>73.1436692733871</v>
      </c>
      <c r="F116" s="11" t="n">
        <f aca="false">E116*(1+g_tl)</f>
        <v>76.8008527370565</v>
      </c>
      <c r="G116" s="11" t="n">
        <f aca="false">F116*(1+g_tl)</f>
        <v>80.6408953739093</v>
      </c>
    </row>
    <row r="117" customFormat="false" ht="15" hidden="false" customHeight="false" outlineLevel="0" collapsed="false">
      <c r="A117" s="5" t="s">
        <v>509</v>
      </c>
      <c r="B117" s="0" t="s">
        <v>29</v>
      </c>
      <c r="C117" s="11" t="n">
        <f aca="false">C115+C116</f>
        <v>91.74669</v>
      </c>
      <c r="D117" s="11" t="n">
        <f aca="false">D115+D116</f>
        <v>111.629861586276</v>
      </c>
      <c r="E117" s="11" t="n">
        <f aca="false">E115+E116</f>
        <v>134.8058126848</v>
      </c>
      <c r="F117" s="11" t="n">
        <f aca="false">F115+F116</f>
        <v>147.830294066734</v>
      </c>
      <c r="G117" s="11" t="n">
        <f aca="false">G115+G116</f>
        <v>165.704966503255</v>
      </c>
    </row>
    <row r="118" customFormat="false" ht="15" hidden="false" customHeight="false" outlineLevel="0" collapsed="false">
      <c r="A118" s="5" t="s">
        <v>393</v>
      </c>
      <c r="B118" s="0" t="s">
        <v>29</v>
      </c>
      <c r="C118" s="11" t="n">
        <f aca="false">r_ot*(C113+C117)</f>
        <v>74.27113</v>
      </c>
      <c r="D118" s="11" t="n">
        <f aca="false">r_ot*(D113+D117)</f>
        <v>84.3984698404033</v>
      </c>
      <c r="E118" s="11" t="n">
        <f aca="false">r_ot*(E113+E117)</f>
        <v>85.865439586395</v>
      </c>
      <c r="F118" s="11" t="n">
        <f aca="false">r_ot*(F113+F117)</f>
        <v>92.6457929628711</v>
      </c>
      <c r="G118" s="11" t="n">
        <f aca="false">r_ot*(G113+G117)</f>
        <v>93.6636289942851</v>
      </c>
    </row>
    <row r="119" customFormat="false" ht="15" hidden="false" customHeight="false" outlineLevel="0" collapsed="false">
      <c r="A119" s="5" t="s">
        <v>363</v>
      </c>
      <c r="B119" s="0" t="s">
        <v>29</v>
      </c>
      <c r="C119" s="11" t="n">
        <f aca="false">C113+C117+C118</f>
        <v>436.889</v>
      </c>
      <c r="D119" s="11" t="n">
        <f aca="false">D113+D117+D118</f>
        <v>496.46158729649</v>
      </c>
      <c r="E119" s="11" t="n">
        <f aca="false">E113+E117+E118</f>
        <v>505.090821096441</v>
      </c>
      <c r="F119" s="11" t="n">
        <f aca="false">F113+F117+F118</f>
        <v>544.975252722771</v>
      </c>
      <c r="G119" s="11" t="n">
        <f aca="false">G113+G117+G118</f>
        <v>550.962523495794</v>
      </c>
    </row>
    <row r="120" customFormat="false" ht="17.15" hidden="false" customHeight="false" outlineLevel="0" collapsed="false">
      <c r="A120" s="0" t="s">
        <v>510</v>
      </c>
      <c r="B120" s="0" t="s">
        <v>56</v>
      </c>
      <c r="C120" s="14" t="n">
        <f aca="false">(C111+C115)*(1+r_ot)/C119</f>
        <v>0.276884384673187</v>
      </c>
      <c r="D120" s="14" t="n">
        <f aca="false">(D111+D115)*(1+r_ot)/D119</f>
        <v>0.327083457711364</v>
      </c>
      <c r="E120" s="14" t="n">
        <f aca="false">(E111+E115)*(1+r_ot)/E119</f>
        <v>0.300556359290091</v>
      </c>
      <c r="F120" s="14" t="n">
        <f aca="false">(F111+F115)*(1+r_ot)/F119</f>
        <v>0.343660457705665</v>
      </c>
      <c r="G120" s="14" t="n">
        <f aca="false">(G111+G115)*(1+r_ot)/G119</f>
        <v>0.31351986967956</v>
      </c>
    </row>
    <row r="121" customFormat="false" ht="17.15" hidden="false" customHeight="false" outlineLevel="0" collapsed="false">
      <c r="A121" s="0" t="s">
        <v>511</v>
      </c>
      <c r="B121" s="0" t="s">
        <v>56</v>
      </c>
      <c r="C121" s="14" t="n">
        <f aca="false">C111*(1+r_ot)/C119</f>
        <v>0.206829299394429</v>
      </c>
      <c r="D121" s="14" t="n">
        <f aca="false">D111*(1+r_ot)/D119</f>
        <v>0.225232012131495</v>
      </c>
      <c r="E121" s="14" t="n">
        <f aca="false">E111*(1+r_ot)/E119</f>
        <v>0.15347045721683</v>
      </c>
      <c r="F121" s="14" t="n">
        <f aca="false">F111*(1+r_ot)/F119</f>
        <v>0.186630134349365</v>
      </c>
      <c r="G121" s="14" t="n">
        <f aca="false">G111*(1+r_ot)/G119</f>
        <v>0.12750570661872</v>
      </c>
      <c r="J121" s="5" t="s">
        <v>512</v>
      </c>
    </row>
    <row r="122" customFormat="false" ht="17.15" hidden="false" customHeight="false" outlineLevel="0" collapsed="false">
      <c r="A122" s="5" t="s">
        <v>401</v>
      </c>
      <c r="B122" s="0" t="s">
        <v>56</v>
      </c>
      <c r="C122" s="14" t="n">
        <f aca="false">a25_gp/a25_rev</f>
        <v>0.701498549974936</v>
      </c>
      <c r="D122" s="14" t="n">
        <f aca="false">gm_a+gm_b*LN(D119)+0</f>
        <v>0.717003789789592</v>
      </c>
      <c r="E122" s="14" t="n">
        <f aca="false">gm_a+gm_b*LN(E119)+0</f>
        <v>0.718965255030489</v>
      </c>
      <c r="F122" s="14" t="n">
        <f aca="false">gm_a+gm_b*LN(F119)+0</f>
        <v>0.727616270237278</v>
      </c>
      <c r="G122" s="14" t="n">
        <f aca="false">gm_a+gm_b*LN(G119)+0</f>
        <v>0.728859978834997</v>
      </c>
      <c r="J122" s="8" t="s">
        <v>513</v>
      </c>
    </row>
    <row r="123" customFormat="false" ht="15" hidden="false" customHeight="false" outlineLevel="0" collapsed="false">
      <c r="A123" s="5" t="s">
        <v>398</v>
      </c>
      <c r="B123" s="0" t="s">
        <v>29</v>
      </c>
      <c r="C123" s="11" t="n">
        <f aca="false">C119*C122</f>
        <v>306.477</v>
      </c>
      <c r="D123" s="11" t="n">
        <f aca="false">D119*D122</f>
        <v>355.96483957654</v>
      </c>
      <c r="E123" s="11" t="n">
        <f aca="false">E119*E122</f>
        <v>363.142751003162</v>
      </c>
      <c r="F123" s="11" t="n">
        <f aca="false">F119*F122</f>
        <v>396.532860757761</v>
      </c>
      <c r="G123" s="11" t="n">
        <f aca="false">G119*G122</f>
        <v>401.574533214021</v>
      </c>
    </row>
    <row r="124" customFormat="false" ht="17.15" hidden="false" customHeight="false" outlineLevel="0" collapsed="false">
      <c r="A124" s="5" t="s">
        <v>399</v>
      </c>
      <c r="B124" s="0" t="s">
        <v>29</v>
      </c>
      <c r="C124" s="11" t="n">
        <f aca="false">a25_sga</f>
        <v>121.487</v>
      </c>
      <c r="D124" s="11" t="n">
        <f aca="false">sg_f+sg_v*D119</f>
        <v>133.413880664688</v>
      </c>
      <c r="E124" s="11" t="n">
        <f aca="false">sg_f+sg_v*E119</f>
        <v>135.591614805471</v>
      </c>
      <c r="F124" s="11" t="n">
        <f aca="false">sg_f+sg_v*F119</f>
        <v>145.65713052239</v>
      </c>
      <c r="G124" s="11" t="n">
        <f aca="false">sg_f+sg_v*G119</f>
        <v>147.168120289824</v>
      </c>
      <c r="J124" s="5" t="s">
        <v>514</v>
      </c>
    </row>
    <row r="125" customFormat="false" ht="15" hidden="false" customHeight="false" outlineLevel="0" collapsed="false">
      <c r="A125" s="5" t="s">
        <v>367</v>
      </c>
      <c r="B125" s="0" t="s">
        <v>29</v>
      </c>
      <c r="C125" s="11" t="n">
        <f aca="false">C123-C124</f>
        <v>184.99</v>
      </c>
      <c r="D125" s="11" t="n">
        <f aca="false">D123-D124</f>
        <v>222.550958911852</v>
      </c>
      <c r="E125" s="11" t="n">
        <f aca="false">E123-E124</f>
        <v>227.551136197692</v>
      </c>
      <c r="F125" s="11" t="n">
        <f aca="false">F123-F124</f>
        <v>250.875730235371</v>
      </c>
      <c r="G125" s="11" t="n">
        <f aca="false">G123-G124</f>
        <v>254.406412924197</v>
      </c>
    </row>
    <row r="126" customFormat="false" ht="15" hidden="false" customHeight="false" outlineLevel="0" collapsed="false">
      <c r="A126" s="5" t="s">
        <v>515</v>
      </c>
      <c r="B126" s="0" t="s">
        <v>56</v>
      </c>
      <c r="C126" s="14" t="n">
        <f aca="false">C125/C119</f>
        <v>0.423425629851061</v>
      </c>
      <c r="D126" s="14" t="n">
        <f aca="false">D125/D119</f>
        <v>0.448274276613758</v>
      </c>
      <c r="E126" s="14" t="n">
        <f aca="false">E125/E119</f>
        <v>0.450515286941323</v>
      </c>
      <c r="F126" s="14" t="n">
        <f aca="false">F125/F119</f>
        <v>0.460343343999496</v>
      </c>
      <c r="G126" s="14" t="n">
        <f aca="false">G125/G119</f>
        <v>0.461749033872607</v>
      </c>
    </row>
    <row r="127" customFormat="false" ht="15" hidden="false" customHeight="false" outlineLevel="0" collapsed="false">
      <c r="A127" s="5" t="s">
        <v>370</v>
      </c>
      <c r="B127" s="0" t="s">
        <v>29</v>
      </c>
      <c r="C127" s="11" t="n">
        <f aca="false">a25_ni</f>
        <v>135.521</v>
      </c>
      <c r="D127" s="11" t="n">
        <f aca="false">D125*nioi</f>
        <v>163.038496898157</v>
      </c>
      <c r="E127" s="11" t="n">
        <f aca="false">E125*nioi</f>
        <v>166.701574302512</v>
      </c>
      <c r="F127" s="11" t="n">
        <f aca="false">F125*nioi</f>
        <v>183.78892711041</v>
      </c>
      <c r="G127" s="11" t="n">
        <f aca="false">G125*nioi</f>
        <v>186.375468194866</v>
      </c>
    </row>
    <row r="128" customFormat="false" ht="15" hidden="false" customHeight="false" outlineLevel="0" collapsed="false">
      <c r="A128" s="0" t="s">
        <v>459</v>
      </c>
      <c r="B128" s="0" t="s">
        <v>51</v>
      </c>
      <c r="C128" s="11" t="n">
        <f aca="false">a25_eps</f>
        <v>1249.84</v>
      </c>
      <c r="D128" s="11" t="n">
        <f aca="false">D127*1000/shares</f>
        <v>1502.92379076601</v>
      </c>
      <c r="E128" s="11" t="n">
        <f aca="false">E127*1000/shares</f>
        <v>1536.69082298946</v>
      </c>
      <c r="F128" s="11" t="n">
        <f aca="false">F127*1000/shares</f>
        <v>1694.2057016518</v>
      </c>
      <c r="G128" s="11" t="n">
        <f aca="false">G127*1000/shares</f>
        <v>1718.04899146114</v>
      </c>
    </row>
    <row r="129" customFormat="false" ht="17.15" hidden="false" customHeight="false" outlineLevel="0" collapsed="false">
      <c r="A129" s="5" t="s">
        <v>516</v>
      </c>
      <c r="B129" s="0" t="s">
        <v>29</v>
      </c>
      <c r="C129" s="16" t="n">
        <f aca="false">ABS(C119-a25_rev)+ABS(C125-a25_oi)</f>
        <v>0.000999999999976353</v>
      </c>
    </row>
    <row r="132" customFormat="false" ht="17.15" hidden="false" customHeight="false" outlineLevel="0" collapsed="false">
      <c r="A132" s="3" t="s">
        <v>518</v>
      </c>
    </row>
    <row r="133" customFormat="false" ht="17.15" hidden="false" customHeight="false" outlineLevel="0" collapsed="false">
      <c r="A133" s="6" t="s">
        <v>18</v>
      </c>
      <c r="B133" s="6" t="s">
        <v>19</v>
      </c>
      <c r="C133" s="9" t="s">
        <v>464</v>
      </c>
      <c r="D133" s="9" t="s">
        <v>465</v>
      </c>
      <c r="E133" s="9" t="s">
        <v>466</v>
      </c>
      <c r="F133" s="9" t="s">
        <v>467</v>
      </c>
      <c r="G133" s="9" t="s">
        <v>468</v>
      </c>
      <c r="H133" s="9" t="s">
        <v>469</v>
      </c>
      <c r="I133" s="9" t="s">
        <v>470</v>
      </c>
      <c r="J133" s="6" t="s">
        <v>450</v>
      </c>
    </row>
    <row r="134" customFormat="false" ht="17.15" hidden="false" customHeight="false" outlineLevel="0" collapsed="false">
      <c r="A134" s="1" t="s">
        <v>471</v>
      </c>
    </row>
    <row r="135" customFormat="false" ht="17.15" hidden="false" customHeight="false" outlineLevel="0" collapsed="false">
      <c r="A135" s="0" t="s">
        <v>472</v>
      </c>
      <c r="B135" s="0" t="s">
        <v>96</v>
      </c>
      <c r="C135" s="19" t="n">
        <f aca="false">hsC_25</f>
        <v>2.22511470588235</v>
      </c>
      <c r="D135" s="19" t="n">
        <f aca="false">hsC_26</f>
        <v>3.782695</v>
      </c>
      <c r="E135" s="19" t="n">
        <f aca="false">hsC_27</f>
        <v>5.86317725</v>
      </c>
      <c r="F135" s="19" t="n">
        <f aca="false">hsC_28</f>
        <v>6.16722</v>
      </c>
      <c r="G135" s="19" t="n">
        <f aca="false">hsC_29</f>
        <v>8.017386</v>
      </c>
      <c r="H135" s="19" t="n">
        <f aca="false">G135*(1+g_tail)</f>
        <v>8.8191246</v>
      </c>
      <c r="I135" s="19" t="n">
        <f aca="false">H135*(1+g_tail)</f>
        <v>9.70103706</v>
      </c>
      <c r="J135" s="8" t="s">
        <v>473</v>
      </c>
    </row>
    <row r="136" customFormat="false" ht="17.15" hidden="false" customHeight="false" outlineLevel="0" collapsed="false">
      <c r="A136" s="0" t="s">
        <v>474</v>
      </c>
      <c r="B136" s="0" t="s">
        <v>475</v>
      </c>
      <c r="C136" s="19" t="n">
        <f aca="false">den_25</f>
        <v>24</v>
      </c>
      <c r="D136" s="19" t="n">
        <f aca="false">den_26</f>
        <v>24</v>
      </c>
      <c r="E136" s="19" t="n">
        <f aca="false">den_27</f>
        <v>26</v>
      </c>
      <c r="F136" s="19" t="n">
        <f aca="false">den_28</f>
        <v>28</v>
      </c>
      <c r="G136" s="19" t="n">
        <f aca="false">den_29</f>
        <v>30</v>
      </c>
      <c r="H136" s="19" t="n">
        <f aca="false">den_30</f>
        <v>32</v>
      </c>
      <c r="I136" s="19" t="n">
        <f aca="false">den_30</f>
        <v>32</v>
      </c>
    </row>
    <row r="137" customFormat="false" ht="15" hidden="false" customHeight="false" outlineLevel="0" collapsed="false">
      <c r="A137" s="5" t="s">
        <v>476</v>
      </c>
      <c r="B137" s="5" t="s">
        <v>148</v>
      </c>
      <c r="C137" s="19" t="n">
        <f aca="false">stk_25</f>
        <v>10</v>
      </c>
      <c r="D137" s="19" t="n">
        <f aca="false">stk_26</f>
        <v>12</v>
      </c>
      <c r="E137" s="19" t="n">
        <f aca="false">stk_27</f>
        <v>12.5</v>
      </c>
      <c r="F137" s="19" t="n">
        <f aca="false">stk_28</f>
        <v>14</v>
      </c>
      <c r="G137" s="19" t="n">
        <f aca="false">stk_29</f>
        <v>15</v>
      </c>
      <c r="H137" s="19" t="n">
        <f aca="false">stk_30</f>
        <v>16</v>
      </c>
      <c r="I137" s="19" t="n">
        <f aca="false">stk_30</f>
        <v>16</v>
      </c>
    </row>
    <row r="138" customFormat="false" ht="17.15" hidden="false" customHeight="false" outlineLevel="0" collapsed="false">
      <c r="A138" s="0" t="s">
        <v>477</v>
      </c>
      <c r="B138" s="5" t="s">
        <v>478</v>
      </c>
      <c r="C138" s="19" t="n">
        <f aca="false">C135*8/C136</f>
        <v>0.741704901960783</v>
      </c>
      <c r="D138" s="19" t="n">
        <f aca="false">D135*8/D136</f>
        <v>1.26089833333333</v>
      </c>
      <c r="E138" s="19" t="n">
        <f aca="false">E135*8/E136</f>
        <v>1.80405453846154</v>
      </c>
      <c r="F138" s="19" t="n">
        <f aca="false">F135*8/F136</f>
        <v>1.76206285714286</v>
      </c>
      <c r="G138" s="19" t="n">
        <f aca="false">G135*8/G136</f>
        <v>2.1379696</v>
      </c>
      <c r="H138" s="19" t="n">
        <f aca="false">H135*8/H136</f>
        <v>2.20478115</v>
      </c>
      <c r="I138" s="19" t="n">
        <f aca="false">I135*8/I136</f>
        <v>2.425259265</v>
      </c>
      <c r="J138" s="8" t="s">
        <v>479</v>
      </c>
    </row>
    <row r="139" customFormat="false" ht="17.15" hidden="false" customHeight="false" outlineLevel="0" collapsed="false">
      <c r="A139" s="0" t="s">
        <v>480</v>
      </c>
      <c r="B139" s="5" t="s">
        <v>481</v>
      </c>
      <c r="C139" s="19" t="n">
        <f aca="false">C138*(1+s_stk/C137)</f>
        <v>0.964216372549018</v>
      </c>
      <c r="D139" s="19" t="n">
        <f aca="false">D138*(1+s_stk/D137)</f>
        <v>1.57612291666667</v>
      </c>
      <c r="E139" s="19" t="n">
        <f aca="false">E138*(1+s_stk/E137)</f>
        <v>2.23702762769231</v>
      </c>
      <c r="F139" s="19" t="n">
        <f aca="false">F138*(1+s_stk/F137)</f>
        <v>2.13964775510204</v>
      </c>
      <c r="G139" s="19" t="n">
        <f aca="false">G138*(1+s_stk/G137)</f>
        <v>2.56556352</v>
      </c>
      <c r="H139" s="19" t="n">
        <f aca="false">H138*(1+s_stk/H137)</f>
        <v>2.618177615625</v>
      </c>
      <c r="I139" s="19" t="n">
        <f aca="false">I138*(1+s_stk/I137)</f>
        <v>2.8799953771875</v>
      </c>
      <c r="J139" s="5" t="s">
        <v>482</v>
      </c>
    </row>
    <row r="140" customFormat="false" ht="17.15" hidden="false" customHeight="false" outlineLevel="0" collapsed="false">
      <c r="A140" s="5" t="s">
        <v>483</v>
      </c>
      <c r="B140" s="0" t="s">
        <v>56</v>
      </c>
      <c r="C140" s="22" t="n">
        <f aca="false">hbp_25*hb_on</f>
        <v>0</v>
      </c>
      <c r="D140" s="22" t="n">
        <f aca="false">hbp_26*hb_on</f>
        <v>0</v>
      </c>
      <c r="E140" s="22" t="n">
        <f aca="false">hbp_27*hb_on</f>
        <v>0</v>
      </c>
      <c r="F140" s="22" t="n">
        <f aca="false">hbp_28*hb_on</f>
        <v>0.05</v>
      </c>
      <c r="G140" s="22" t="n">
        <f aca="false">hbp_29*hb_on</f>
        <v>0.15</v>
      </c>
      <c r="H140" s="22" t="n">
        <f aca="false">hbp_30*hb_on</f>
        <v>0.25</v>
      </c>
      <c r="I140" s="22" t="n">
        <f aca="false">hbp_30*hb_on</f>
        <v>0.25</v>
      </c>
    </row>
    <row r="141" customFormat="false" ht="17.15" hidden="false" customHeight="false" outlineLevel="0" collapsed="false">
      <c r="A141" s="0" t="s">
        <v>484</v>
      </c>
      <c r="B141" s="5" t="s">
        <v>481</v>
      </c>
      <c r="C141" s="19" t="n">
        <f aca="false">C139*(1+C140*hb_eff)</f>
        <v>0.964216372549018</v>
      </c>
      <c r="D141" s="19" t="n">
        <f aca="false">D139*(1+D140*hb_eff)</f>
        <v>1.57612291666667</v>
      </c>
      <c r="E141" s="19" t="n">
        <f aca="false">E139*(1+E140*hb_eff)</f>
        <v>2.23702762769231</v>
      </c>
      <c r="F141" s="19" t="n">
        <f aca="false">F139*(1+F140*hb_eff)</f>
        <v>2.15034599387755</v>
      </c>
      <c r="G141" s="19" t="n">
        <f aca="false">G139*(1+G140*hb_eff)</f>
        <v>2.6040469728</v>
      </c>
      <c r="H141" s="19" t="n">
        <f aca="false">H139*(1+H140*hb_eff)</f>
        <v>2.68363205601563</v>
      </c>
      <c r="I141" s="19" t="n">
        <f aca="false">I139*(1+I140*hb_eff)</f>
        <v>2.95199526161719</v>
      </c>
      <c r="J141" s="5" t="s">
        <v>485</v>
      </c>
    </row>
    <row r="142" customFormat="false" ht="17.15" hidden="false" customHeight="false" outlineLevel="0" collapsed="false">
      <c r="A142" s="0" t="s">
        <v>486</v>
      </c>
      <c r="B142" s="5" t="s">
        <v>481</v>
      </c>
      <c r="C142" s="19" t="n">
        <f aca="false">MAX(0,D141-C141)+dlt*C141</f>
        <v>0.70832818137255</v>
      </c>
      <c r="D142" s="19" t="n">
        <f aca="false">MAX(0,E141-D141)+dlt*D141</f>
        <v>0.818517002692307</v>
      </c>
      <c r="E142" s="19" t="n">
        <f aca="false">MAX(0,F141-E141)+dlt*E141</f>
        <v>0.223702762769231</v>
      </c>
      <c r="F142" s="19" t="n">
        <f aca="false">MAX(0,G141-F141)+dlt*F141</f>
        <v>0.668735578310204</v>
      </c>
      <c r="G142" s="19" t="n">
        <f aca="false">MAX(0,H141-G141)+dlt*G141</f>
        <v>0.339989780495625</v>
      </c>
      <c r="H142" s="19" t="n">
        <f aca="false">MAX(0,I141-H141)+dlt*H141</f>
        <v>0.536726411203125</v>
      </c>
      <c r="J142" s="5" t="s">
        <v>487</v>
      </c>
    </row>
    <row r="143" customFormat="false" ht="17.15" hidden="false" customHeight="false" outlineLevel="0" collapsed="false">
      <c r="A143" s="0" t="s">
        <v>488</v>
      </c>
      <c r="B143" s="5" t="s">
        <v>177</v>
      </c>
      <c r="C143" s="21" t="n">
        <f aca="false">cw_25</f>
        <v>670</v>
      </c>
      <c r="D143" s="21" t="n">
        <f aca="false">cw_26</f>
        <v>1107.85762580894</v>
      </c>
      <c r="E143" s="21" t="n">
        <f aca="false">cw_27</f>
        <v>2096.42857142857</v>
      </c>
      <c r="F143" s="21" t="n">
        <f aca="false">cw_28*um28_C</f>
        <v>1572.05357142857</v>
      </c>
      <c r="G143" s="21" t="n">
        <f aca="false">cw_29*um29_C</f>
        <v>1807.99553571428</v>
      </c>
      <c r="H143" s="21" t="n">
        <f aca="false">G143*(1+g_tail)</f>
        <v>1988.79508928571</v>
      </c>
      <c r="I143" s="21" t="n">
        <f aca="false">H143*(1+g_tail)</f>
        <v>2187.67459821428</v>
      </c>
      <c r="J143" s="5" t="s">
        <v>489</v>
      </c>
    </row>
    <row r="144" customFormat="false" ht="15" hidden="false" customHeight="false" outlineLevel="0" collapsed="false">
      <c r="A144" s="5" t="s">
        <v>490</v>
      </c>
      <c r="B144" s="5" t="s">
        <v>177</v>
      </c>
      <c r="C144" s="21" t="n">
        <f aca="false">MAX(0,D143-C143)+dlt*C143</f>
        <v>504.85762580894</v>
      </c>
      <c r="D144" s="21" t="n">
        <f aca="false">MAX(0,E143-D143)+dlt*D143</f>
        <v>1099.35670820052</v>
      </c>
      <c r="E144" s="21" t="n">
        <f aca="false">MAX(0,F143-E143)+dlt*E143</f>
        <v>209.642857142857</v>
      </c>
      <c r="F144" s="21" t="n">
        <f aca="false">MAX(0,G143-F143)+dlt*F143</f>
        <v>393.147321428568</v>
      </c>
      <c r="G144" s="21" t="n">
        <f aca="false">MAX(0,H143-G143)+dlt*G143</f>
        <v>361.599107142857</v>
      </c>
      <c r="H144" s="21" t="n">
        <f aca="false">MAX(0,I143-H143)+dlt*H143</f>
        <v>397.759017857143</v>
      </c>
    </row>
    <row r="145" customFormat="false" ht="17.15" hidden="false" customHeight="false" outlineLevel="0" collapsed="false">
      <c r="A145" s="1" t="s">
        <v>491</v>
      </c>
    </row>
    <row r="146" customFormat="false" ht="17.15" hidden="false" customHeight="false" outlineLevel="0" collapsed="false">
      <c r="A146" s="0" t="s">
        <v>492</v>
      </c>
      <c r="B146" s="0" t="s">
        <v>493</v>
      </c>
      <c r="C146" s="16" t="n">
        <f aca="false">ai25*w_hbm/(0.75*C142+0.25*D142)</f>
        <v>48.9213264236471</v>
      </c>
      <c r="J146" s="5" t="s">
        <v>494</v>
      </c>
    </row>
    <row r="147" customFormat="false" ht="17.15" hidden="false" customHeight="false" outlineLevel="0" collapsed="false">
      <c r="A147" s="5" t="s">
        <v>495</v>
      </c>
      <c r="B147" s="0" t="s">
        <v>496</v>
      </c>
      <c r="C147" s="18" t="n">
        <f aca="false">ai25*(1-w_hbm)/(0.75*C144+0.25*D144)</f>
        <v>0.0596802610360141</v>
      </c>
    </row>
    <row r="148" customFormat="false" ht="17.15" hidden="false" customHeight="false" outlineLevel="0" collapsed="false">
      <c r="A148" s="1" t="s">
        <v>497</v>
      </c>
    </row>
    <row r="149" customFormat="false" ht="17.15" hidden="false" customHeight="false" outlineLevel="0" collapsed="false">
      <c r="A149" s="5" t="s">
        <v>498</v>
      </c>
      <c r="B149" s="0" t="s">
        <v>76</v>
      </c>
      <c r="C149" s="16" t="n">
        <f aca="false">1-sh_loss/sh*0</f>
        <v>1</v>
      </c>
      <c r="D149" s="16" t="n">
        <f aca="false">1-sh_loss/sh*0.25</f>
        <v>1</v>
      </c>
      <c r="E149" s="16" t="n">
        <f aca="false">1-sh_loss/sh*0.5</f>
        <v>1</v>
      </c>
      <c r="F149" s="16" t="n">
        <f aca="false">1-sh_loss/sh*0.75</f>
        <v>1</v>
      </c>
      <c r="G149" s="16" t="n">
        <f aca="false">1-sh_loss/sh*1</f>
        <v>1</v>
      </c>
    </row>
    <row r="150" customFormat="false" ht="17.15" hidden="false" customHeight="false" outlineLevel="0" collapsed="false">
      <c r="A150" s="0" t="s">
        <v>499</v>
      </c>
      <c r="B150" s="0" t="s">
        <v>29</v>
      </c>
      <c r="C150" s="11" t="n">
        <f aca="false">$C$146*(0.75*C142+0.25*D142)*C149</f>
        <v>36</v>
      </c>
      <c r="D150" s="11" t="n">
        <f aca="false">$C$146*(0.75*D142+0.25*E142)*D149</f>
        <v>32.768162073838</v>
      </c>
      <c r="E150" s="11" t="n">
        <f aca="false">$C$146*(0.75*E142+0.25*F142)*E149</f>
        <v>16.3867347888839</v>
      </c>
      <c r="F150" s="11" t="n">
        <f aca="false">$C$146*(0.75*F142+0.25*G142)*F149</f>
        <v>28.6947613962976</v>
      </c>
      <c r="G150" s="11" t="n">
        <f aca="false">$C$146*(0.75*G142+0.25*H142)*G149</f>
        <v>19.0389052649131</v>
      </c>
    </row>
    <row r="151" customFormat="false" ht="17.15" hidden="false" customHeight="false" outlineLevel="0" collapsed="false">
      <c r="A151" s="5" t="s">
        <v>500</v>
      </c>
      <c r="B151" s="0" t="s">
        <v>29</v>
      </c>
      <c r="C151" s="11" t="n">
        <f aca="false">$C$147*(0.75*C144+0.25*D144)*C149</f>
        <v>39</v>
      </c>
      <c r="D151" s="11" t="n">
        <f aca="false">$C$147*(0.75*D144+0.25*E144)*D149</f>
        <v>52.3353065974807</v>
      </c>
      <c r="E151" s="11" t="n">
        <f aca="false">$C$147*(0.75*E144+0.25*F144)*E149</f>
        <v>15.2494390210828</v>
      </c>
      <c r="F151" s="11" t="n">
        <f aca="false">$C$147*(0.75*F144+0.25*G144)*F149</f>
        <v>22.9924333525188</v>
      </c>
      <c r="G151" s="11" t="n">
        <f aca="false">$C$147*(0.75*G144+0.25*H144)*G149</f>
        <v>22.1198373322922</v>
      </c>
    </row>
    <row r="152" customFormat="false" ht="17.15" hidden="false" customHeight="false" outlineLevel="0" collapsed="false">
      <c r="A152" s="0" t="s">
        <v>501</v>
      </c>
      <c r="B152" s="0" t="s">
        <v>29</v>
      </c>
      <c r="C152" s="11" t="n">
        <f aca="false">C150+C151</f>
        <v>75</v>
      </c>
      <c r="D152" s="11" t="n">
        <f aca="false">D150+D151</f>
        <v>85.1034686713187</v>
      </c>
      <c r="E152" s="11" t="n">
        <f aca="false">E150+E151</f>
        <v>31.6361738099667</v>
      </c>
      <c r="F152" s="11" t="n">
        <f aca="false">F150+F151</f>
        <v>51.6871947488164</v>
      </c>
      <c r="G152" s="11" t="n">
        <f aca="false">G150+G151</f>
        <v>41.1587425972053</v>
      </c>
    </row>
    <row r="153" customFormat="false" ht="17.15" hidden="false" customHeight="false" outlineLevel="0" collapsed="false">
      <c r="A153" s="5" t="s">
        <v>502</v>
      </c>
      <c r="B153" s="0" t="s">
        <v>29</v>
      </c>
      <c r="C153" s="11" t="n">
        <f aca="false">eq25-ai25</f>
        <v>195.87118</v>
      </c>
      <c r="D153" s="11" t="n">
        <f aca="false">C153*(1+g_non)*D149/C149</f>
        <v>207.6234508</v>
      </c>
      <c r="E153" s="11" t="n">
        <f aca="false">D153*(1+g_non)*E149/D149</f>
        <v>220.080857848</v>
      </c>
      <c r="F153" s="11" t="n">
        <f aca="false">E153*(1+g_nonC_28)*F149/E149</f>
        <v>193.67115490624</v>
      </c>
      <c r="G153" s="11" t="n">
        <f aca="false">F153*(1+g_non)*G149/F149</f>
        <v>205.291424200614</v>
      </c>
    </row>
    <row r="154" customFormat="false" ht="15" hidden="false" customHeight="false" outlineLevel="0" collapsed="false">
      <c r="A154" s="5" t="s">
        <v>503</v>
      </c>
      <c r="B154" s="0" t="s">
        <v>29</v>
      </c>
      <c r="C154" s="11" t="n">
        <f aca="false">C152+C153</f>
        <v>270.87118</v>
      </c>
      <c r="D154" s="11" t="n">
        <f aca="false">D152+D153</f>
        <v>292.726919471319</v>
      </c>
      <c r="E154" s="11" t="n">
        <f aca="false">E152+E153</f>
        <v>251.717031657967</v>
      </c>
      <c r="F154" s="11" t="n">
        <f aca="false">F152+F153</f>
        <v>245.358349655056</v>
      </c>
      <c r="G154" s="11" t="n">
        <f aca="false">G152+G153</f>
        <v>246.45016679782</v>
      </c>
    </row>
    <row r="155" customFormat="false" ht="17.15" hidden="false" customHeight="false" outlineLevel="0" collapsed="false">
      <c r="A155" s="0" t="s">
        <v>504</v>
      </c>
      <c r="B155" s="0" t="s">
        <v>76</v>
      </c>
      <c r="C155" s="19" t="n">
        <f aca="false">w_hbm*(0.75*C141+0.25*D141)/(0.75*C141+0.25*D141)+(1-w_hbm)*(0.75*C143+0.25*D143)/(0.75*C143+0.25*D143)</f>
        <v>1</v>
      </c>
      <c r="D155" s="19" t="n">
        <f aca="false">w_hbm*(0.75*D141+0.25*E141)/(0.75*C141+0.25*D141)+(1-w_hbm)*(0.75*D143+0.25*E143)/(0.75*C143+0.25*D143)</f>
        <v>1.65212184085657</v>
      </c>
      <c r="E155" s="19" t="n">
        <f aca="false">w_hbm*(0.75*E141+0.25*F141)/(0.75*C141+0.25*D141)+(1-w_hbm)*(0.75*E143+0.25*F143)/(0.75*C143+0.25*D143)</f>
        <v>2.2629478188823</v>
      </c>
      <c r="F155" s="19" t="n">
        <f aca="false">w_hbm*(0.75*F141+0.25*G141)/(0.75*C141+0.25*D141)+(1-w_hbm)*(0.75*F143+0.25*G143)/(0.75*C143+0.25*D143)</f>
        <v>2.06073184090351</v>
      </c>
      <c r="G155" s="19" t="n">
        <f aca="false">w_hbm*(0.75*G141+0.25*H141)/(0.75*C141+0.25*D141)+(1-w_hbm)*(0.75*G143+0.25*H143)/(0.75*C143+0.25*D143)</f>
        <v>2.3636851137342</v>
      </c>
      <c r="J155" s="8" t="s">
        <v>505</v>
      </c>
    </row>
    <row r="156" customFormat="false" ht="17.15" hidden="false" customHeight="false" outlineLevel="0" collapsed="false">
      <c r="A156" s="0" t="s">
        <v>506</v>
      </c>
      <c r="B156" s="0" t="s">
        <v>29</v>
      </c>
      <c r="C156" s="11" t="n">
        <f aca="false">tl25*w_tlai*C155</f>
        <v>25.4032258064516</v>
      </c>
      <c r="D156" s="11" t="n">
        <f aca="false">tl25*w_tlai*D155</f>
        <v>41.9692241830499</v>
      </c>
      <c r="E156" s="11" t="n">
        <f aca="false">tl25*w_tlai*E155</f>
        <v>57.4861744312842</v>
      </c>
      <c r="F156" s="11" t="n">
        <f aca="false">tl25*w_tlai*F155</f>
        <v>52.3492362810167</v>
      </c>
      <c r="G156" s="11" t="n">
        <f aca="false">tl25*w_tlai*G155</f>
        <v>60.0452266795381</v>
      </c>
      <c r="J156" s="5" t="s">
        <v>507</v>
      </c>
    </row>
    <row r="157" customFormat="false" ht="17.15" hidden="false" customHeight="false" outlineLevel="0" collapsed="false">
      <c r="A157" s="5" t="s">
        <v>508</v>
      </c>
      <c r="B157" s="0" t="s">
        <v>29</v>
      </c>
      <c r="C157" s="11" t="n">
        <f aca="false">tl25*(1-w_tlai)</f>
        <v>66.3434641935484</v>
      </c>
      <c r="D157" s="11" t="n">
        <f aca="false">C157*(1+g_tl)</f>
        <v>69.6606374032258</v>
      </c>
      <c r="E157" s="11" t="n">
        <f aca="false">D157*(1+g_tl)</f>
        <v>73.1436692733871</v>
      </c>
      <c r="F157" s="11" t="n">
        <f aca="false">E157*(1+g_tlC_28)</f>
        <v>73.1436692733871</v>
      </c>
      <c r="G157" s="11" t="n">
        <f aca="false">F157*(1+g_tl)</f>
        <v>76.8008527370565</v>
      </c>
    </row>
    <row r="158" customFormat="false" ht="15" hidden="false" customHeight="false" outlineLevel="0" collapsed="false">
      <c r="A158" s="5" t="s">
        <v>509</v>
      </c>
      <c r="B158" s="0" t="s">
        <v>29</v>
      </c>
      <c r="C158" s="11" t="n">
        <f aca="false">C156+C157</f>
        <v>91.74669</v>
      </c>
      <c r="D158" s="11" t="n">
        <f aca="false">D156+D157</f>
        <v>111.629861586276</v>
      </c>
      <c r="E158" s="11" t="n">
        <f aca="false">E156+E157</f>
        <v>130.629843704671</v>
      </c>
      <c r="F158" s="11" t="n">
        <f aca="false">F156+F157</f>
        <v>125.492905554404</v>
      </c>
      <c r="G158" s="11" t="n">
        <f aca="false">G156+G157</f>
        <v>136.846079416595</v>
      </c>
    </row>
    <row r="159" customFormat="false" ht="15" hidden="false" customHeight="false" outlineLevel="0" collapsed="false">
      <c r="A159" s="5" t="s">
        <v>393</v>
      </c>
      <c r="B159" s="0" t="s">
        <v>29</v>
      </c>
      <c r="C159" s="11" t="n">
        <f aca="false">r_ot*(C154+C158)</f>
        <v>74.27113</v>
      </c>
      <c r="D159" s="11" t="n">
        <f aca="false">r_ot*(D154+D158)</f>
        <v>82.8200635901097</v>
      </c>
      <c r="E159" s="11" t="n">
        <f aca="false">r_ot*(E154+E158)</f>
        <v>78.312010616444</v>
      </c>
      <c r="F159" s="11" t="n">
        <f aca="false">r_ot*(F154+F158)</f>
        <v>75.9574860067569</v>
      </c>
      <c r="G159" s="11" t="n">
        <f aca="false">r_ot*(G154+G158)</f>
        <v>78.5064600680126</v>
      </c>
    </row>
    <row r="160" customFormat="false" ht="15" hidden="false" customHeight="false" outlineLevel="0" collapsed="false">
      <c r="A160" s="5" t="s">
        <v>363</v>
      </c>
      <c r="B160" s="0" t="s">
        <v>29</v>
      </c>
      <c r="C160" s="11" t="n">
        <f aca="false">C154+C158+C159</f>
        <v>436.889</v>
      </c>
      <c r="D160" s="11" t="n">
        <f aca="false">D154+D158+D159</f>
        <v>487.176844647704</v>
      </c>
      <c r="E160" s="11" t="n">
        <f aca="false">E154+E158+E159</f>
        <v>460.658885979082</v>
      </c>
      <c r="F160" s="11" t="n">
        <f aca="false">F154+F158+F159</f>
        <v>446.808741216217</v>
      </c>
      <c r="G160" s="11" t="n">
        <f aca="false">G154+G158+G159</f>
        <v>461.802706282427</v>
      </c>
    </row>
    <row r="161" customFormat="false" ht="17.15" hidden="false" customHeight="false" outlineLevel="0" collapsed="false">
      <c r="A161" s="0" t="s">
        <v>510</v>
      </c>
      <c r="B161" s="0" t="s">
        <v>56</v>
      </c>
      <c r="C161" s="14" t="n">
        <f aca="false">(C152+C156)*(1+r_ot)/C160</f>
        <v>0.276884384673187</v>
      </c>
      <c r="D161" s="14" t="n">
        <f aca="false">(D152+D156)*(1+r_ot)/D160</f>
        <v>0.314258839735568</v>
      </c>
      <c r="E161" s="14" t="n">
        <f aca="false">(E152+E156)*(1+r_ot)/E160</f>
        <v>0.233092916364813</v>
      </c>
      <c r="F161" s="14" t="n">
        <f aca="false">(F152+F156)*(1+r_ot)/F160</f>
        <v>0.280534121344884</v>
      </c>
      <c r="G161" s="14" t="n">
        <f aca="false">(G152+G156)*(1+r_ot)/G160</f>
        <v>0.264035899845808</v>
      </c>
    </row>
    <row r="162" customFormat="false" ht="17.15" hidden="false" customHeight="false" outlineLevel="0" collapsed="false">
      <c r="A162" s="0" t="s">
        <v>511</v>
      </c>
      <c r="B162" s="0" t="s">
        <v>56</v>
      </c>
      <c r="C162" s="14" t="n">
        <f aca="false">C152*(1+r_ot)/C160</f>
        <v>0.206829299394429</v>
      </c>
      <c r="D162" s="14" t="n">
        <f aca="false">D152*(1+r_ot)/D160</f>
        <v>0.210466282891883</v>
      </c>
      <c r="E162" s="14" t="n">
        <f aca="false">E152*(1+r_ot)/E160</f>
        <v>0.0827420749285875</v>
      </c>
      <c r="F162" s="14" t="n">
        <f aca="false">F152*(1+r_ot)/F160</f>
        <v>0.139374463542325</v>
      </c>
      <c r="G162" s="14" t="n">
        <f aca="false">G152*(1+r_ot)/G160</f>
        <v>0.107381021869391</v>
      </c>
      <c r="J162" s="5" t="s">
        <v>512</v>
      </c>
    </row>
    <row r="163" customFormat="false" ht="17.15" hidden="false" customHeight="false" outlineLevel="0" collapsed="false">
      <c r="A163" s="5" t="s">
        <v>401</v>
      </c>
      <c r="B163" s="0" t="s">
        <v>56</v>
      </c>
      <c r="C163" s="14" t="n">
        <f aca="false">a25_gp/a25_rev</f>
        <v>0.701498549974936</v>
      </c>
      <c r="D163" s="14" t="n">
        <f aca="false">gm_a+gm_b*LN(D160)+0</f>
        <v>0.714854877972851</v>
      </c>
      <c r="E163" s="14" t="n">
        <f aca="false">gm_a+gm_b*LN(E160)+0</f>
        <v>0.708484111625622</v>
      </c>
      <c r="F163" s="14" t="n">
        <f aca="false">gm_a+gm_b*LN(F160)+gm_adjC</f>
        <v>0.695009324448339</v>
      </c>
      <c r="G163" s="14" t="n">
        <f aca="false">gm_a+gm_b*LN(G160)+gm_adjC</f>
        <v>0.698766392233749</v>
      </c>
      <c r="J163" s="8" t="s">
        <v>513</v>
      </c>
    </row>
    <row r="164" customFormat="false" ht="15" hidden="false" customHeight="false" outlineLevel="0" collapsed="false">
      <c r="A164" s="5" t="s">
        <v>398</v>
      </c>
      <c r="B164" s="0" t="s">
        <v>29</v>
      </c>
      <c r="C164" s="11" t="n">
        <f aca="false">C160*C163</f>
        <v>306.477</v>
      </c>
      <c r="D164" s="11" t="n">
        <f aca="false">D160*D163</f>
        <v>348.260743831833</v>
      </c>
      <c r="E164" s="11" t="n">
        <f aca="false">E160*E163</f>
        <v>326.369501595338</v>
      </c>
      <c r="F164" s="11" t="n">
        <f aca="false">F160*F163</f>
        <v>310.536241390296</v>
      </c>
      <c r="G164" s="11" t="n">
        <f aca="false">G160*G163</f>
        <v>322.692210992753</v>
      </c>
    </row>
    <row r="165" customFormat="false" ht="17.15" hidden="false" customHeight="false" outlineLevel="0" collapsed="false">
      <c r="A165" s="5" t="s">
        <v>399</v>
      </c>
      <c r="B165" s="0" t="s">
        <v>29</v>
      </c>
      <c r="C165" s="11" t="n">
        <f aca="false">a25_sga</f>
        <v>121.487</v>
      </c>
      <c r="D165" s="11" t="n">
        <f aca="false">sg_f+sg_v*D160</f>
        <v>131.070717699888</v>
      </c>
      <c r="E165" s="11" t="n">
        <f aca="false">sg_f+sg_v*E160</f>
        <v>124.37845911989</v>
      </c>
      <c r="F165" s="11" t="n">
        <f aca="false">sg_f+sg_v*F160</f>
        <v>120.883139164016</v>
      </c>
      <c r="G165" s="11" t="n">
        <f aca="false">sg_f+sg_v*G160</f>
        <v>124.667121657407</v>
      </c>
      <c r="J165" s="5" t="s">
        <v>514</v>
      </c>
    </row>
    <row r="166" customFormat="false" ht="15" hidden="false" customHeight="false" outlineLevel="0" collapsed="false">
      <c r="A166" s="5" t="s">
        <v>367</v>
      </c>
      <c r="B166" s="0" t="s">
        <v>29</v>
      </c>
      <c r="C166" s="11" t="n">
        <f aca="false">C164-C165</f>
        <v>184.99</v>
      </c>
      <c r="D166" s="11" t="n">
        <f aca="false">D164-D165</f>
        <v>217.190026131945</v>
      </c>
      <c r="E166" s="11" t="n">
        <f aca="false">E164-E165</f>
        <v>201.991042475448</v>
      </c>
      <c r="F166" s="11" t="n">
        <f aca="false">F164-F165</f>
        <v>189.65310222628</v>
      </c>
      <c r="G166" s="11" t="n">
        <f aca="false">G164-G165</f>
        <v>198.025089335346</v>
      </c>
    </row>
    <row r="167" customFormat="false" ht="15" hidden="false" customHeight="false" outlineLevel="0" collapsed="false">
      <c r="A167" s="5" t="s">
        <v>515</v>
      </c>
      <c r="B167" s="0" t="s">
        <v>56</v>
      </c>
      <c r="C167" s="14" t="n">
        <f aca="false">C166/C160</f>
        <v>0.423425629851061</v>
      </c>
      <c r="D167" s="14" t="n">
        <f aca="false">D166/D160</f>
        <v>0.445813524427671</v>
      </c>
      <c r="E167" s="14" t="n">
        <f aca="false">E166/E160</f>
        <v>0.438482896180625</v>
      </c>
      <c r="F167" s="14" t="n">
        <f aca="false">F166/F160</f>
        <v>0.424461485937008</v>
      </c>
      <c r="G167" s="14" t="n">
        <f aca="false">G166/G160</f>
        <v>0.428808854173841</v>
      </c>
    </row>
    <row r="168" customFormat="false" ht="15" hidden="false" customHeight="false" outlineLevel="0" collapsed="false">
      <c r="A168" s="5" t="s">
        <v>370</v>
      </c>
      <c r="B168" s="0" t="s">
        <v>29</v>
      </c>
      <c r="C168" s="11" t="n">
        <f aca="false">a25_ni</f>
        <v>135.521</v>
      </c>
      <c r="D168" s="11" t="n">
        <f aca="false">D166*nioi</f>
        <v>159.11113380486</v>
      </c>
      <c r="E168" s="11" t="n">
        <f aca="false">E166*nioi</f>
        <v>147.976517886551</v>
      </c>
      <c r="F168" s="11" t="n">
        <f aca="false">F166*nioi</f>
        <v>138.937872342721</v>
      </c>
      <c r="G168" s="11" t="n">
        <f aca="false">G166*nioi</f>
        <v>145.071102237514</v>
      </c>
    </row>
    <row r="169" customFormat="false" ht="15" hidden="false" customHeight="false" outlineLevel="0" collapsed="false">
      <c r="A169" s="0" t="s">
        <v>459</v>
      </c>
      <c r="B169" s="0" t="s">
        <v>51</v>
      </c>
      <c r="C169" s="11" t="n">
        <f aca="false">a25_eps</f>
        <v>1249.84</v>
      </c>
      <c r="D169" s="11" t="n">
        <f aca="false">D168*1000/shares</f>
        <v>1466.72051644622</v>
      </c>
      <c r="E169" s="11" t="n">
        <f aca="false">E168*1000/shares</f>
        <v>1364.07924163661</v>
      </c>
      <c r="F169" s="11" t="n">
        <f aca="false">F168*1000/shares</f>
        <v>1280.75907074097</v>
      </c>
      <c r="G169" s="11" t="n">
        <f aca="false">G168*1000/shares</f>
        <v>1337.29649778115</v>
      </c>
    </row>
    <row r="170" customFormat="false" ht="17.15" hidden="false" customHeight="false" outlineLevel="0" collapsed="false">
      <c r="A170" s="5" t="s">
        <v>516</v>
      </c>
      <c r="B170" s="0" t="s">
        <v>29</v>
      </c>
      <c r="C170" s="16" t="n">
        <f aca="false">ABS(C160-a25_rev)+ABS(C166-a25_oi)</f>
        <v>0.000999999999976353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519</v>
      </c>
    </row>
    <row r="2" customFormat="false" ht="17.15" hidden="false" customHeight="false" outlineLevel="0" collapsed="false">
      <c r="A2" s="0" t="s">
        <v>520</v>
      </c>
    </row>
    <row r="4" customFormat="false" ht="17.15" hidden="false" customHeight="false" outlineLevel="0" collapsed="false">
      <c r="A4" s="1" t="s">
        <v>521</v>
      </c>
    </row>
    <row r="5" customFormat="false" ht="17.15" hidden="false" customHeight="false" outlineLevel="0" collapsed="false">
      <c r="A5" s="6" t="s">
        <v>522</v>
      </c>
      <c r="B5" s="6" t="s">
        <v>523</v>
      </c>
      <c r="C5" s="6" t="s">
        <v>403</v>
      </c>
      <c r="D5" s="6" t="s">
        <v>524</v>
      </c>
      <c r="E5" s="6" t="s">
        <v>525</v>
      </c>
      <c r="F5" s="6" t="s">
        <v>526</v>
      </c>
      <c r="G5" s="6" t="s">
        <v>527</v>
      </c>
      <c r="H5" s="9" t="s">
        <v>528</v>
      </c>
      <c r="I5" s="6" t="s">
        <v>23</v>
      </c>
      <c r="J5" s="6" t="s">
        <v>450</v>
      </c>
    </row>
    <row r="6" customFormat="false" ht="17.15" hidden="false" customHeight="false" outlineLevel="0" collapsed="false">
      <c r="A6" s="0" t="s">
        <v>529</v>
      </c>
      <c r="B6" s="23" t="n">
        <v>14160</v>
      </c>
      <c r="C6" s="7" t="n">
        <v>3</v>
      </c>
      <c r="D6" s="13" t="n">
        <f aca="false">B6/C6</f>
        <v>4720</v>
      </c>
      <c r="E6" s="12" t="n">
        <v>4720</v>
      </c>
      <c r="F6" s="24" t="n">
        <f aca="false">D6/E6-1</f>
        <v>0</v>
      </c>
      <c r="G6" s="13" t="n">
        <f aca="false">Hist!K7</f>
        <v>225.273333333333</v>
      </c>
      <c r="H6" s="20" t="n">
        <f aca="false">D6/G6</f>
        <v>20.952324583469</v>
      </c>
      <c r="I6" s="8" t="s">
        <v>30</v>
      </c>
      <c r="J6" s="5" t="s">
        <v>530</v>
      </c>
    </row>
    <row r="7" customFormat="false" ht="17.15" hidden="false" customHeight="false" outlineLevel="0" collapsed="false">
      <c r="A7" s="0" t="s">
        <v>531</v>
      </c>
      <c r="B7" s="23" t="n">
        <v>25070</v>
      </c>
      <c r="C7" s="7" t="n">
        <v>3</v>
      </c>
      <c r="D7" s="13" t="n">
        <f aca="false">B7/C7</f>
        <v>8356.66666666667</v>
      </c>
      <c r="E7" s="12" t="n">
        <v>8356.67</v>
      </c>
      <c r="F7" s="24" t="n">
        <f aca="false">D7/E7-1</f>
        <v>-3.98882968211112E-007</v>
      </c>
      <c r="G7" s="13" t="n">
        <f aca="false">Hist!K8</f>
        <v>345.223333333333</v>
      </c>
      <c r="H7" s="20" t="n">
        <f aca="false">D7/G7</f>
        <v>24.2065522801665</v>
      </c>
      <c r="I7" s="8" t="s">
        <v>30</v>
      </c>
    </row>
    <row r="8" customFormat="false" ht="17.15" hidden="false" customHeight="false" outlineLevel="0" collapsed="false">
      <c r="A8" s="0" t="s">
        <v>532</v>
      </c>
      <c r="B8" s="23" t="n">
        <v>12850</v>
      </c>
      <c r="C8" s="7" t="n">
        <v>3</v>
      </c>
      <c r="D8" s="13" t="n">
        <f aca="false">B8/C8</f>
        <v>4283.33333333333</v>
      </c>
      <c r="E8" s="12" t="n">
        <v>4283.33</v>
      </c>
      <c r="F8" s="24" t="n">
        <f aca="false">D8/E8-1</f>
        <v>7.78210722307549E-007</v>
      </c>
      <c r="G8" s="13" t="n">
        <f aca="false">Hist!K9</f>
        <v>267.45</v>
      </c>
      <c r="H8" s="20" t="n">
        <f aca="false">D8/G8</f>
        <v>16.0154546021063</v>
      </c>
      <c r="I8" s="8" t="s">
        <v>30</v>
      </c>
    </row>
    <row r="9" customFormat="false" ht="17.15" hidden="false" customHeight="false" outlineLevel="0" collapsed="false">
      <c r="A9" s="0" t="s">
        <v>533</v>
      </c>
      <c r="B9" s="23" t="n">
        <v>25900</v>
      </c>
      <c r="C9" s="7" t="n">
        <v>3</v>
      </c>
      <c r="D9" s="13" t="n">
        <f aca="false">B9/C9</f>
        <v>8633.33333333333</v>
      </c>
      <c r="E9" s="12" t="n">
        <v>8633.33</v>
      </c>
      <c r="F9" s="24" t="n">
        <f aca="false">D9/E9-1</f>
        <v>3.86100535321177E-007</v>
      </c>
      <c r="G9" s="13" t="n">
        <f aca="false">Hist!K10</f>
        <v>256.52</v>
      </c>
      <c r="H9" s="20" t="n">
        <f aca="false">D9/G9</f>
        <v>33.6555954051666</v>
      </c>
      <c r="I9" s="8" t="s">
        <v>30</v>
      </c>
    </row>
    <row r="10" customFormat="false" ht="17.15" hidden="false" customHeight="false" outlineLevel="0" collapsed="false">
      <c r="A10" s="0" t="s">
        <v>534</v>
      </c>
      <c r="B10" s="23" t="n">
        <v>34750</v>
      </c>
      <c r="C10" s="7" t="n">
        <v>3</v>
      </c>
      <c r="D10" s="13" t="n">
        <f aca="false">B10/C10</f>
        <v>11583.3333333333</v>
      </c>
      <c r="E10" s="12" t="n">
        <v>11583.33</v>
      </c>
      <c r="F10" s="24" t="n">
        <f aca="false">D10/E10-1</f>
        <v>2.87769867046706E-007</v>
      </c>
      <c r="G10" s="13" t="n">
        <f aca="false">Hist!K11</f>
        <v>361.823333333333</v>
      </c>
      <c r="H10" s="20" t="n">
        <f aca="false">D10/G10</f>
        <v>32.0137820483293</v>
      </c>
      <c r="I10" s="8" t="s">
        <v>30</v>
      </c>
    </row>
    <row r="11" customFormat="false" ht="17.15" hidden="false" customHeight="false" outlineLevel="0" collapsed="false">
      <c r="A11" s="0" t="s">
        <v>535</v>
      </c>
      <c r="B11" s="23" t="n">
        <v>35150</v>
      </c>
      <c r="C11" s="7" t="n">
        <v>3</v>
      </c>
      <c r="D11" s="13" t="n">
        <f aca="false">B11/C11</f>
        <v>11716.6666666667</v>
      </c>
      <c r="E11" s="12" t="n">
        <v>11716.67</v>
      </c>
      <c r="F11" s="24" t="n">
        <f aca="false">D11/E11-1</f>
        <v>-2.8449494049454E-007</v>
      </c>
      <c r="G11" s="13" t="n">
        <f aca="false">Hist!K12</f>
        <v>611.67</v>
      </c>
      <c r="H11" s="20" t="n">
        <f aca="false">D11/G11</f>
        <v>19.1552089634389</v>
      </c>
      <c r="I11" s="8" t="s">
        <v>30</v>
      </c>
    </row>
    <row r="12" customFormat="false" ht="17.15" hidden="false" customHeight="false" outlineLevel="0" collapsed="false">
      <c r="A12" s="0" t="s">
        <v>536</v>
      </c>
      <c r="B12" s="23" t="n">
        <v>37750</v>
      </c>
      <c r="C12" s="7" t="n">
        <v>3</v>
      </c>
      <c r="D12" s="13" t="n">
        <f aca="false">B12/C12</f>
        <v>12583.3333333333</v>
      </c>
      <c r="E12" s="12" t="n">
        <v>12583.33</v>
      </c>
      <c r="F12" s="24" t="n">
        <f aca="false">D12/E12-1</f>
        <v>2.6490073246066E-007</v>
      </c>
      <c r="G12" s="13" t="n">
        <f aca="false">Hist!K13</f>
        <v>765.47</v>
      </c>
      <c r="H12" s="20" t="n">
        <f aca="false">D12/G12</f>
        <v>16.4387021481356</v>
      </c>
      <c r="I12" s="8" t="s">
        <v>30</v>
      </c>
    </row>
    <row r="13" customFormat="false" ht="17.15" hidden="false" customHeight="false" outlineLevel="0" collapsed="false">
      <c r="A13" s="0" t="s">
        <v>537</v>
      </c>
      <c r="B13" s="23" t="n">
        <v>34980</v>
      </c>
      <c r="C13" s="7" t="n">
        <v>1</v>
      </c>
      <c r="D13" s="13" t="n">
        <f aca="false">B13/C13</f>
        <v>34980</v>
      </c>
      <c r="E13" s="12" t="n">
        <v>34980</v>
      </c>
      <c r="F13" s="24" t="n">
        <f aca="false">D13/E13-1</f>
        <v>0</v>
      </c>
      <c r="G13" s="13" t="n">
        <f aca="false">Hist!K14</f>
        <v>777.29</v>
      </c>
      <c r="H13" s="20" t="n">
        <f aca="false">D13/G13</f>
        <v>45.0025087161806</v>
      </c>
      <c r="I13" s="8" t="s">
        <v>30</v>
      </c>
      <c r="J13" s="8" t="s">
        <v>538</v>
      </c>
    </row>
    <row r="14" customFormat="false" ht="17.15" hidden="false" customHeight="false" outlineLevel="0" collapsed="false">
      <c r="A14" s="0" t="s">
        <v>539</v>
      </c>
      <c r="B14" s="23" t="n">
        <v>42730</v>
      </c>
      <c r="C14" s="7" t="n">
        <v>1</v>
      </c>
      <c r="D14" s="13" t="n">
        <f aca="false">B14/C14</f>
        <v>42730</v>
      </c>
      <c r="E14" s="12" t="n">
        <v>42730</v>
      </c>
      <c r="F14" s="24" t="n">
        <f aca="false">D14/E14-1</f>
        <v>0</v>
      </c>
      <c r="G14" s="13" t="n">
        <f aca="false">Hist!K15</f>
        <v>1143.26</v>
      </c>
      <c r="H14" s="20" t="n">
        <f aca="false">D14/G14</f>
        <v>37.3755751097738</v>
      </c>
      <c r="I14" s="8" t="s">
        <v>30</v>
      </c>
    </row>
    <row r="15" customFormat="false" ht="17.15" hidden="false" customHeight="false" outlineLevel="0" collapsed="false">
      <c r="A15" s="0" t="s">
        <v>540</v>
      </c>
      <c r="B15" s="23" t="n">
        <v>48170</v>
      </c>
      <c r="C15" s="7" t="n">
        <v>1</v>
      </c>
      <c r="D15" s="13" t="n">
        <f aca="false">B15/C15</f>
        <v>48170</v>
      </c>
      <c r="E15" s="12" t="n">
        <v>48170</v>
      </c>
      <c r="F15" s="24" t="n">
        <f aca="false">D15/E15-1</f>
        <v>0</v>
      </c>
      <c r="G15" s="13" t="n">
        <f aca="false">Hist!K16</f>
        <v>1249.84</v>
      </c>
      <c r="H15" s="20" t="n">
        <f aca="false">D15/G15</f>
        <v>38.5409332394547</v>
      </c>
      <c r="I15" s="8" t="s">
        <v>30</v>
      </c>
    </row>
    <row r="17" customFormat="false" ht="17.15" hidden="false" customHeight="false" outlineLevel="0" collapsed="false">
      <c r="A17" s="5" t="s">
        <v>541</v>
      </c>
    </row>
    <row r="19" customFormat="false" ht="17.15" hidden="false" customHeight="false" outlineLevel="0" collapsed="false">
      <c r="A19" s="1" t="s">
        <v>542</v>
      </c>
    </row>
    <row r="20" customFormat="false" ht="17.15" hidden="false" customHeight="false" outlineLevel="0" collapsed="false">
      <c r="A20" s="6" t="s">
        <v>543</v>
      </c>
      <c r="B20" s="9" t="s">
        <v>528</v>
      </c>
      <c r="C20" s="6" t="s">
        <v>544</v>
      </c>
    </row>
    <row r="21" customFormat="false" ht="17.15" hidden="false" customHeight="false" outlineLevel="0" collapsed="false">
      <c r="A21" s="0" t="s">
        <v>545</v>
      </c>
      <c r="B21" s="20" t="n">
        <f aca="false">PERCENTILE(H6:H15,0.25)</f>
        <v>19.6044878684464</v>
      </c>
      <c r="C21" s="5" t="s">
        <v>546</v>
      </c>
    </row>
    <row r="22" customFormat="false" ht="15" hidden="false" customHeight="false" outlineLevel="0" collapsed="false">
      <c r="A22" s="5" t="s">
        <v>547</v>
      </c>
      <c r="B22" s="20" t="n">
        <f aca="false">PERCENTILE(H6:H15,0.5)</f>
        <v>28.1101671642479</v>
      </c>
      <c r="C22" s="5" t="s">
        <v>548</v>
      </c>
    </row>
    <row r="23" customFormat="false" ht="17.15" hidden="false" customHeight="false" outlineLevel="0" collapsed="false">
      <c r="A23" s="0" t="s">
        <v>549</v>
      </c>
      <c r="B23" s="20" t="n">
        <f aca="false">PERCENTILE(H6:H15,0.75)</f>
        <v>36.445580183622</v>
      </c>
      <c r="C23" s="5" t="s">
        <v>550</v>
      </c>
    </row>
    <row r="24" customFormat="false" ht="15" hidden="false" customHeight="false" outlineLevel="0" collapsed="false">
      <c r="A24" s="5" t="s">
        <v>551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552</v>
      </c>
      <c r="B25" s="20" t="n">
        <f aca="false">PERCENTILE((H6:H12~H14:H15),0.25)</f>
        <v>19.1552089634389</v>
      </c>
      <c r="C25" s="20" t="n">
        <f aca="false">PERCENTILE((H6:H12~H14:H15),0.5)</f>
        <v>24.2065522801665</v>
      </c>
      <c r="D25" s="20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553</v>
      </c>
    </row>
    <row r="28" customFormat="false" ht="17.15" hidden="false" customHeight="false" outlineLevel="0" collapsed="false">
      <c r="A28" s="6" t="s">
        <v>554</v>
      </c>
      <c r="B28" s="9" t="s">
        <v>555</v>
      </c>
      <c r="C28" s="9" t="s">
        <v>556</v>
      </c>
      <c r="D28" s="9" t="s">
        <v>557</v>
      </c>
      <c r="E28" s="9" t="s">
        <v>558</v>
      </c>
      <c r="F28" s="6" t="s">
        <v>559</v>
      </c>
      <c r="G28" s="6" t="s">
        <v>560</v>
      </c>
      <c r="H28" s="6" t="s">
        <v>561</v>
      </c>
    </row>
    <row r="29" customFormat="false" ht="17.15" hidden="false" customHeight="false" outlineLevel="0" collapsed="false">
      <c r="A29" s="0" t="s">
        <v>562</v>
      </c>
      <c r="B29" s="11" t="n">
        <f aca="false">PL!D14</f>
        <v>228.837746398039</v>
      </c>
      <c r="C29" s="11" t="n">
        <f aca="false">PL!E14</f>
        <v>247.68256494767</v>
      </c>
      <c r="D29" s="11" t="n">
        <f aca="false">PL!F14</f>
        <v>266.150980076278</v>
      </c>
      <c r="E29" s="11" t="n">
        <f aca="false">MAX(PL!C14:G14)</f>
        <v>274.499016893924</v>
      </c>
      <c r="F29" s="0" t="str">
        <f aca="false">IF(C29&gt;=E29,"見頂",IF(AND(C29&lt;B29,C29&lt;D29),"谷底","中段"))</f>
        <v>中段</v>
      </c>
      <c r="G29" s="20" t="n">
        <f aca="false">IF(F29="見頂",pe_peak,IF(F29="谷底",pe_trough,pe_mid))</f>
        <v>28.1101671642479</v>
      </c>
      <c r="H29" s="5" t="s">
        <v>563</v>
      </c>
    </row>
    <row r="30" customFormat="false" ht="17.15" hidden="false" customHeight="false" outlineLevel="0" collapsed="false">
      <c r="A30" s="0" t="s">
        <v>564</v>
      </c>
      <c r="B30" s="11" t="n">
        <f aca="false">PL!D29</f>
        <v>222.550958911852</v>
      </c>
      <c r="C30" s="11" t="n">
        <f aca="false">PL!E29</f>
        <v>227.551136197692</v>
      </c>
      <c r="D30" s="11" t="n">
        <f aca="false">PL!F29</f>
        <v>250.875730235371</v>
      </c>
      <c r="E30" s="11" t="n">
        <f aca="false">MAX(PL!C29:G29)</f>
        <v>254.406412924197</v>
      </c>
      <c r="F30" s="0" t="str">
        <f aca="false">IF(C30&gt;=E30,"見頂",IF(AND(C30&lt;B30,C30&lt;D30),"谷底","中段"))</f>
        <v>中段</v>
      </c>
      <c r="G30" s="20" t="n">
        <f aca="false">IF(F30="見頂",pe_peak,IF(F30="谷底",pe_trough,pe_mid))</f>
        <v>28.1101671642479</v>
      </c>
      <c r="H30" s="5" t="s">
        <v>563</v>
      </c>
    </row>
    <row r="31" customFormat="false" ht="17.15" hidden="false" customHeight="false" outlineLevel="0" collapsed="false">
      <c r="A31" s="0" t="s">
        <v>565</v>
      </c>
      <c r="B31" s="11" t="n">
        <f aca="false">PL!D44</f>
        <v>217.190026131945</v>
      </c>
      <c r="C31" s="11" t="n">
        <f aca="false">PL!E44</f>
        <v>201.991042475448</v>
      </c>
      <c r="D31" s="11" t="n">
        <f aca="false">PL!F44</f>
        <v>189.65310222628</v>
      </c>
      <c r="E31" s="11" t="n">
        <f aca="false">MAX(PL!C44:G44)</f>
        <v>217.190026131945</v>
      </c>
      <c r="F31" s="0" t="str">
        <f aca="false">IF(C31&gt;=E31,"見頂",IF(AND(C31&lt;B31,C31&lt;D31),"谷底","中段"))</f>
        <v>中段</v>
      </c>
      <c r="G31" s="20" t="n">
        <f aca="false">IF(F31="見頂",pe_peak,IF(F31="谷底",pe_trough,pe_mid))</f>
        <v>28.1101671642479</v>
      </c>
      <c r="H31" s="5" t="s">
        <v>563</v>
      </c>
    </row>
    <row r="33" customFormat="false" ht="17.15" hidden="false" customHeight="false" outlineLevel="0" collapsed="false">
      <c r="A33" s="1" t="s">
        <v>566</v>
      </c>
    </row>
    <row r="34" customFormat="false" ht="17.15" hidden="false" customHeight="false" outlineLevel="0" collapsed="false">
      <c r="A34" s="6" t="s">
        <v>554</v>
      </c>
      <c r="B34" s="9" t="s">
        <v>567</v>
      </c>
      <c r="C34" s="9" t="s">
        <v>459</v>
      </c>
      <c r="D34" s="6" t="s">
        <v>568</v>
      </c>
      <c r="E34" s="6" t="s">
        <v>560</v>
      </c>
      <c r="F34" s="6" t="s">
        <v>569</v>
      </c>
      <c r="G34" s="6" t="s">
        <v>570</v>
      </c>
      <c r="H34" s="6" t="s">
        <v>571</v>
      </c>
    </row>
    <row r="35" customFormat="false" ht="15" hidden="false" customHeight="false" outlineLevel="0" collapsed="false">
      <c r="A35" s="25" t="s">
        <v>562</v>
      </c>
      <c r="B35" s="25" t="s">
        <v>447</v>
      </c>
      <c r="C35" s="26" t="n">
        <f aca="false">PL!E17</f>
        <v>1672.64172321648</v>
      </c>
      <c r="D35" s="25" t="str">
        <f aca="false">"規則值："&amp;F29</f>
        <v>規則值：中段</v>
      </c>
      <c r="E35" s="27" t="n">
        <f aca="false">G29</f>
        <v>28.1101671642479</v>
      </c>
      <c r="F35" s="26" t="n">
        <f aca="false">C35*E35</f>
        <v>47018.238445511</v>
      </c>
      <c r="G35" s="28" t="n">
        <f aca="false">F35/px-1</f>
        <v>-0.0822127963007809</v>
      </c>
      <c r="H35" s="25"/>
    </row>
    <row r="36" customFormat="false" ht="17.15" hidden="false" customHeight="false" outlineLevel="0" collapsed="false">
      <c r="A36" s="0" t="s">
        <v>562</v>
      </c>
      <c r="B36" s="0" t="s">
        <v>447</v>
      </c>
      <c r="C36" s="21" t="n">
        <f aca="false">PL!E17</f>
        <v>1672.64172321648</v>
      </c>
      <c r="D36" s="5" t="s">
        <v>572</v>
      </c>
      <c r="E36" s="20" t="n">
        <f aca="false">pe_peak</f>
        <v>19.6044878684464</v>
      </c>
      <c r="F36" s="21" t="n">
        <f aca="false">C36*E36</f>
        <v>32791.2843710549</v>
      </c>
      <c r="G36" s="22" t="n">
        <f aca="false">F36/px-1</f>
        <v>-0.35992027384238</v>
      </c>
    </row>
    <row r="37" customFormat="false" ht="15" hidden="false" customHeight="false" outlineLevel="0" collapsed="false">
      <c r="A37" s="0" t="s">
        <v>562</v>
      </c>
      <c r="B37" s="0" t="s">
        <v>447</v>
      </c>
      <c r="C37" s="21" t="n">
        <f aca="false">PL!E17</f>
        <v>1672.64172321648</v>
      </c>
      <c r="D37" s="5" t="s">
        <v>573</v>
      </c>
      <c r="E37" s="20" t="n">
        <f aca="false">pe_mid</f>
        <v>28.1101671642479</v>
      </c>
      <c r="F37" s="21" t="n">
        <f aca="false">C37*E37</f>
        <v>47018.238445511</v>
      </c>
      <c r="G37" s="22" t="n">
        <f aca="false">F37/px-1</f>
        <v>-0.0822127963007809</v>
      </c>
    </row>
    <row r="38" customFormat="false" ht="17.15" hidden="false" customHeight="false" outlineLevel="0" collapsed="false">
      <c r="A38" s="0" t="s">
        <v>562</v>
      </c>
      <c r="B38" s="0" t="s">
        <v>447</v>
      </c>
      <c r="C38" s="21" t="n">
        <f aca="false">PL!E17</f>
        <v>1672.64172321648</v>
      </c>
      <c r="D38" s="5" t="s">
        <v>574</v>
      </c>
      <c r="E38" s="20" t="n">
        <f aca="false">pe_trough</f>
        <v>36.445580183622</v>
      </c>
      <c r="F38" s="21" t="n">
        <f aca="false">C38*E38</f>
        <v>60960.398041958</v>
      </c>
      <c r="G38" s="22" t="n">
        <f aca="false">F38/px-1</f>
        <v>0.189935546397775</v>
      </c>
    </row>
    <row r="39" customFormat="false" ht="17.15" hidden="false" customHeight="false" outlineLevel="0" collapsed="false">
      <c r="A39" s="0" t="s">
        <v>562</v>
      </c>
      <c r="B39" s="0" t="s">
        <v>448</v>
      </c>
      <c r="C39" s="21" t="n">
        <f aca="false">PL!F17</f>
        <v>1797.36201474092</v>
      </c>
      <c r="D39" s="5" t="s">
        <v>575</v>
      </c>
      <c r="E39" s="20" t="n">
        <f aca="false">pe_mid</f>
        <v>28.1101671642479</v>
      </c>
      <c r="F39" s="21" t="n">
        <f aca="false">C39*E39</f>
        <v>50524.1466890366</v>
      </c>
      <c r="G39" s="22" t="n">
        <f aca="false">F39/px-1</f>
        <v>-0.0137781243600127</v>
      </c>
    </row>
    <row r="40" customFormat="false" ht="15" hidden="false" customHeight="false" outlineLevel="0" collapsed="false">
      <c r="A40" s="25" t="s">
        <v>564</v>
      </c>
      <c r="B40" s="25" t="s">
        <v>447</v>
      </c>
      <c r="C40" s="26" t="n">
        <f aca="false">PL!E32</f>
        <v>1536.69082298946</v>
      </c>
      <c r="D40" s="25" t="str">
        <f aca="false">"規則值："&amp;F30</f>
        <v>規則值：中段</v>
      </c>
      <c r="E40" s="27" t="n">
        <f aca="false">G30</f>
        <v>28.1101671642479</v>
      </c>
      <c r="F40" s="26" t="n">
        <f aca="false">C40*E40</f>
        <v>43196.6359139994</v>
      </c>
      <c r="G40" s="28" t="n">
        <f aca="false">F40/px-1</f>
        <v>-0.15680976158502</v>
      </c>
      <c r="H40" s="25"/>
    </row>
    <row r="41" customFormat="false" ht="17.15" hidden="false" customHeight="false" outlineLevel="0" collapsed="false">
      <c r="A41" s="0" t="s">
        <v>564</v>
      </c>
      <c r="B41" s="0" t="s">
        <v>447</v>
      </c>
      <c r="C41" s="21" t="n">
        <f aca="false">PL!E32</f>
        <v>1536.69082298946</v>
      </c>
      <c r="D41" s="5" t="s">
        <v>572</v>
      </c>
      <c r="E41" s="20" t="n">
        <f aca="false">pe_peak</f>
        <v>19.6044878684464</v>
      </c>
      <c r="F41" s="21" t="n">
        <f aca="false">C41*E41</f>
        <v>30126.0365968498</v>
      </c>
      <c r="G41" s="22" t="n">
        <f aca="false">F41/px-1</f>
        <v>-0.411945410953546</v>
      </c>
    </row>
    <row r="42" customFormat="false" ht="15" hidden="false" customHeight="false" outlineLevel="0" collapsed="false">
      <c r="A42" s="0" t="s">
        <v>564</v>
      </c>
      <c r="B42" s="0" t="s">
        <v>447</v>
      </c>
      <c r="C42" s="21" t="n">
        <f aca="false">PL!E32</f>
        <v>1536.69082298946</v>
      </c>
      <c r="D42" s="5" t="s">
        <v>573</v>
      </c>
      <c r="E42" s="20" t="n">
        <f aca="false">pe_mid</f>
        <v>28.1101671642479</v>
      </c>
      <c r="F42" s="21" t="n">
        <f aca="false">C42*E42</f>
        <v>43196.6359139994</v>
      </c>
      <c r="G42" s="22" t="n">
        <f aca="false">F42/px-1</f>
        <v>-0.15680976158502</v>
      </c>
    </row>
    <row r="43" customFormat="false" ht="17.15" hidden="false" customHeight="false" outlineLevel="0" collapsed="false">
      <c r="A43" s="0" t="s">
        <v>564</v>
      </c>
      <c r="B43" s="0" t="s">
        <v>447</v>
      </c>
      <c r="C43" s="21" t="n">
        <f aca="false">PL!E32</f>
        <v>1536.69082298946</v>
      </c>
      <c r="D43" s="5" t="s">
        <v>574</v>
      </c>
      <c r="E43" s="20" t="n">
        <f aca="false">pe_trough</f>
        <v>36.445580183622</v>
      </c>
      <c r="F43" s="21" t="n">
        <f aca="false">C43*E43</f>
        <v>56005.5886066985</v>
      </c>
      <c r="G43" s="22" t="n">
        <f aca="false">F43/px-1</f>
        <v>0.0932185947042457</v>
      </c>
    </row>
    <row r="44" customFormat="false" ht="17.15" hidden="false" customHeight="false" outlineLevel="0" collapsed="false">
      <c r="A44" s="0" t="s">
        <v>564</v>
      </c>
      <c r="B44" s="0" t="s">
        <v>448</v>
      </c>
      <c r="C44" s="21" t="n">
        <f aca="false">PL!F32</f>
        <v>1694.2057016518</v>
      </c>
      <c r="D44" s="5" t="s">
        <v>575</v>
      </c>
      <c r="E44" s="20" t="n">
        <f aca="false">pe_mid</f>
        <v>28.1101671642479</v>
      </c>
      <c r="F44" s="21" t="n">
        <f aca="false">C44*E44</f>
        <v>47624.4054840539</v>
      </c>
      <c r="G44" s="22" t="n">
        <f aca="false">F44/px-1</f>
        <v>-0.0703805292981865</v>
      </c>
    </row>
    <row r="45" customFormat="false" ht="15" hidden="false" customHeight="false" outlineLevel="0" collapsed="false">
      <c r="A45" s="25" t="s">
        <v>565</v>
      </c>
      <c r="B45" s="25" t="s">
        <v>447</v>
      </c>
      <c r="C45" s="26" t="n">
        <f aca="false">PL!E47</f>
        <v>1364.07924163661</v>
      </c>
      <c r="D45" s="25" t="str">
        <f aca="false">"規則值："&amp;F31</f>
        <v>規則值：中段</v>
      </c>
      <c r="E45" s="27" t="n">
        <f aca="false">G31</f>
        <v>28.1101671642479</v>
      </c>
      <c r="F45" s="26" t="n">
        <f aca="false">C45*E45</f>
        <v>38344.4955076855</v>
      </c>
      <c r="G45" s="28" t="n">
        <f aca="false">F45/px-1</f>
        <v>-0.251522633072701</v>
      </c>
      <c r="H45" s="25"/>
    </row>
    <row r="46" customFormat="false" ht="17.15" hidden="false" customHeight="false" outlineLevel="0" collapsed="false">
      <c r="A46" s="0" t="s">
        <v>565</v>
      </c>
      <c r="B46" s="0" t="s">
        <v>447</v>
      </c>
      <c r="C46" s="21" t="n">
        <f aca="false">PL!E47</f>
        <v>1364.07924163661</v>
      </c>
      <c r="D46" s="5" t="s">
        <v>572</v>
      </c>
      <c r="E46" s="20" t="n">
        <f aca="false">pe_peak</f>
        <v>19.6044878684464</v>
      </c>
      <c r="F46" s="21" t="n">
        <f aca="false">C46*E46</f>
        <v>26742.0749442645</v>
      </c>
      <c r="G46" s="22" t="n">
        <f aca="false">F46/px-1</f>
        <v>-0.477999708290758</v>
      </c>
    </row>
    <row r="47" customFormat="false" ht="15" hidden="false" customHeight="false" outlineLevel="0" collapsed="false">
      <c r="A47" s="0" t="s">
        <v>565</v>
      </c>
      <c r="B47" s="0" t="s">
        <v>447</v>
      </c>
      <c r="C47" s="21" t="n">
        <f aca="false">PL!E47</f>
        <v>1364.07924163661</v>
      </c>
      <c r="D47" s="5" t="s">
        <v>573</v>
      </c>
      <c r="E47" s="20" t="n">
        <f aca="false">pe_mid</f>
        <v>28.1101671642479</v>
      </c>
      <c r="F47" s="21" t="n">
        <f aca="false">C47*E47</f>
        <v>38344.4955076855</v>
      </c>
      <c r="G47" s="22" t="n">
        <f aca="false">F47/px-1</f>
        <v>-0.251522633072701</v>
      </c>
    </row>
    <row r="48" customFormat="false" ht="17.15" hidden="false" customHeight="false" outlineLevel="0" collapsed="false">
      <c r="A48" s="0" t="s">
        <v>565</v>
      </c>
      <c r="B48" s="0" t="s">
        <v>447</v>
      </c>
      <c r="C48" s="21" t="n">
        <f aca="false">PL!E47</f>
        <v>1364.07924163661</v>
      </c>
      <c r="D48" s="5" t="s">
        <v>574</v>
      </c>
      <c r="E48" s="20" t="n">
        <f aca="false">pe_trough</f>
        <v>36.445580183622</v>
      </c>
      <c r="F48" s="21" t="n">
        <f aca="false">C48*E48</f>
        <v>49714.6593778813</v>
      </c>
      <c r="G48" s="22" t="n">
        <f aca="false">F48/px-1</f>
        <v>-0.0295791649837737</v>
      </c>
    </row>
    <row r="49" customFormat="false" ht="17.15" hidden="false" customHeight="false" outlineLevel="0" collapsed="false">
      <c r="A49" s="0" t="s">
        <v>565</v>
      </c>
      <c r="B49" s="0" t="s">
        <v>448</v>
      </c>
      <c r="C49" s="21" t="n">
        <f aca="false">PL!F47</f>
        <v>1280.75907074097</v>
      </c>
      <c r="D49" s="5" t="s">
        <v>575</v>
      </c>
      <c r="E49" s="20" t="n">
        <f aca="false">pe_mid</f>
        <v>28.1101671642479</v>
      </c>
      <c r="F49" s="21" t="n">
        <f aca="false">C49*E49</f>
        <v>36002.3515756553</v>
      </c>
      <c r="G49" s="22" t="n">
        <f aca="false">F49/px-1</f>
        <v>-0.297240843731109</v>
      </c>
    </row>
    <row r="51" customFormat="false" ht="17.15" hidden="false" customHeight="false" outlineLevel="0" collapsed="false">
      <c r="A51" s="1" t="s">
        <v>576</v>
      </c>
    </row>
    <row r="52" customFormat="false" ht="15" hidden="false" customHeight="false" outlineLevel="0" collapsed="false">
      <c r="A52" s="6" t="s">
        <v>18</v>
      </c>
      <c r="B52" s="6" t="s">
        <v>577</v>
      </c>
      <c r="C52" s="6" t="s">
        <v>571</v>
      </c>
    </row>
    <row r="53" customFormat="false" ht="17.15" hidden="false" customHeight="false" outlineLevel="0" collapsed="false">
      <c r="A53" s="5" t="s">
        <v>578</v>
      </c>
      <c r="B53" s="21" t="n">
        <f aca="false">px</f>
        <v>51230</v>
      </c>
      <c r="C53" s="8" t="s">
        <v>579</v>
      </c>
    </row>
    <row r="54" customFormat="false" ht="17.15" hidden="false" customHeight="false" outlineLevel="0" collapsed="false">
      <c r="A54" s="0" t="s">
        <v>580</v>
      </c>
      <c r="B54" s="20" t="n">
        <f aca="false">px/a25_eps</f>
        <v>40.9892466235678</v>
      </c>
      <c r="C54" s="5" t="s">
        <v>581</v>
      </c>
    </row>
    <row r="55" customFormat="false" ht="17.15" hidden="false" customHeight="false" outlineLevel="0" collapsed="false">
      <c r="A55" s="0" t="s">
        <v>582</v>
      </c>
      <c r="B55" s="20" t="n">
        <f aca="false">px/(a25_eps-515.7+q26h1_eps)</f>
        <v>34.732674341347</v>
      </c>
      <c r="C55" s="5" t="s">
        <v>583</v>
      </c>
    </row>
    <row r="56" customFormat="false" ht="17.15" hidden="false" customHeight="false" outlineLevel="0" collapsed="false">
      <c r="A56" s="0" t="s">
        <v>584</v>
      </c>
      <c r="B56" s="20" t="n">
        <f aca="false">sa_ttm</f>
        <v>39.95</v>
      </c>
      <c r="C56" s="5" t="s">
        <v>585</v>
      </c>
    </row>
    <row r="57" customFormat="false" ht="17.15" hidden="false" customHeight="false" outlineLevel="0" collapsed="false">
      <c r="A57" s="5" t="s">
        <v>586</v>
      </c>
      <c r="B57" s="20" t="n">
        <f aca="false">sa_fpe</f>
        <v>28.33</v>
      </c>
      <c r="C57" s="5" t="s">
        <v>587</v>
      </c>
    </row>
    <row r="58" customFormat="false" ht="17.15" hidden="false" customHeight="false" outlineLevel="0" collapsed="false">
      <c r="A58" s="5" t="s">
        <v>588</v>
      </c>
      <c r="B58" s="20" t="n">
        <f aca="false">px/PL!D17</f>
        <v>33.1504329208216</v>
      </c>
    </row>
    <row r="59" customFormat="false" ht="17.15" hidden="false" customHeight="false" outlineLevel="0" collapsed="false">
      <c r="A59" s="5" t="s">
        <v>589</v>
      </c>
      <c r="B59" s="20" t="n">
        <f aca="false">px/PL!E17</f>
        <v>30.6281968749918</v>
      </c>
      <c r="C59" s="8" t="s">
        <v>590</v>
      </c>
      <c r="D59" s="20" t="n">
        <f aca="false">px/PL!E32</f>
        <v>33.3378707242734</v>
      </c>
      <c r="E59" s="20" t="n">
        <f aca="false">px/PL!E47</f>
        <v>37.5564691817572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591</v>
      </c>
    </row>
    <row r="3" customFormat="false" ht="17.15" hidden="false" customHeight="false" outlineLevel="0" collapsed="false">
      <c r="A3" s="6" t="s">
        <v>18</v>
      </c>
      <c r="B3" s="6" t="s">
        <v>592</v>
      </c>
      <c r="C3" s="6" t="s">
        <v>593</v>
      </c>
      <c r="D3" s="6" t="s">
        <v>594</v>
      </c>
      <c r="E3" s="6" t="s">
        <v>595</v>
      </c>
      <c r="F3" s="6" t="s">
        <v>596</v>
      </c>
      <c r="G3" s="6" t="s">
        <v>597</v>
      </c>
      <c r="H3" s="6" t="s">
        <v>598</v>
      </c>
      <c r="I3" s="6" t="s">
        <v>599</v>
      </c>
      <c r="J3" s="6" t="s">
        <v>450</v>
      </c>
    </row>
    <row r="4" customFormat="false" ht="17.15" hidden="false" customHeight="false" outlineLevel="0" collapsed="false">
      <c r="A4" s="1" t="s">
        <v>600</v>
      </c>
    </row>
    <row r="5" customFormat="false" ht="17.15" hidden="false" customHeight="false" outlineLevel="0" collapsed="false">
      <c r="A5" s="5" t="s">
        <v>601</v>
      </c>
      <c r="B5" s="11" t="n">
        <f aca="false">q26h1_rev*2</f>
        <v>514.116</v>
      </c>
      <c r="C5" s="11" t="n">
        <f aca="false">PL!D5</f>
        <v>507.306541711218</v>
      </c>
      <c r="D5" s="14" t="n">
        <f aca="false">C5/B5-1</f>
        <v>-0.013244984184079</v>
      </c>
      <c r="E5" s="11" t="n">
        <f aca="false">PL!D20</f>
        <v>496.46158729649</v>
      </c>
      <c r="F5" s="14" t="n">
        <f aca="false">E5/B5-1</f>
        <v>-0.034339356688977</v>
      </c>
      <c r="G5" s="11" t="n">
        <f aca="false">PL!D35</f>
        <v>487.176844647704</v>
      </c>
      <c r="H5" s="14" t="n">
        <f aca="false">G5/B5-1</f>
        <v>-0.0523989826270643</v>
      </c>
      <c r="I5" s="5" t="s">
        <v>602</v>
      </c>
      <c r="J5" s="5" t="s">
        <v>603</v>
      </c>
    </row>
    <row r="6" customFormat="false" ht="17.15" hidden="false" customHeight="false" outlineLevel="0" collapsed="false">
      <c r="A6" s="5" t="s">
        <v>604</v>
      </c>
      <c r="B6" s="11" t="n">
        <f aca="false">g9_rev+g3_rev</f>
        <v>521.942</v>
      </c>
      <c r="C6" s="11" t="n">
        <f aca="false">PL!D5</f>
        <v>507.306541711218</v>
      </c>
      <c r="D6" s="14" t="n">
        <f aca="false">C6/B6-1</f>
        <v>-0.0280403920144039</v>
      </c>
      <c r="E6" s="11" t="n">
        <f aca="false">PL!D20</f>
        <v>496.46158729649</v>
      </c>
      <c r="F6" s="14" t="n">
        <f aca="false">E6/B6-1</f>
        <v>-0.0488184754311976</v>
      </c>
      <c r="G6" s="11" t="n">
        <f aca="false">PL!D35</f>
        <v>487.176844647704</v>
      </c>
      <c r="H6" s="14" t="n">
        <f aca="false">G6/B6-1</f>
        <v>-0.0666073152808087</v>
      </c>
      <c r="I6" s="5" t="s">
        <v>605</v>
      </c>
      <c r="J6" s="8" t="s">
        <v>606</v>
      </c>
    </row>
    <row r="7" customFormat="false" ht="17.15" hidden="false" customHeight="false" outlineLevel="0" collapsed="false">
      <c r="A7" s="5" t="s">
        <v>607</v>
      </c>
      <c r="B7" s="11" t="n">
        <f aca="false">q26h1_oi*2</f>
        <v>233.278</v>
      </c>
      <c r="C7" s="11" t="n">
        <f aca="false">PL!D14</f>
        <v>228.837746398039</v>
      </c>
      <c r="D7" s="14" t="n">
        <f aca="false">C7/B7-1</f>
        <v>-0.0190341721120758</v>
      </c>
      <c r="E7" s="11" t="n">
        <f aca="false">PL!D29</f>
        <v>222.550958911852</v>
      </c>
      <c r="F7" s="14" t="n">
        <f aca="false">E7/B7-1</f>
        <v>-0.0459839379973593</v>
      </c>
      <c r="G7" s="11" t="n">
        <f aca="false">PL!D44</f>
        <v>217.190026131945</v>
      </c>
      <c r="H7" s="14" t="n">
        <f aca="false">G7/B7-1</f>
        <v>-0.0689648139475428</v>
      </c>
      <c r="I7" s="5" t="s">
        <v>608</v>
      </c>
    </row>
    <row r="8" customFormat="false" ht="17.15" hidden="false" customHeight="false" outlineLevel="0" collapsed="false">
      <c r="A8" s="5" t="s">
        <v>609</v>
      </c>
      <c r="B8" s="11" t="n">
        <f aca="false">g9_oi+g3_oi</f>
        <v>232.761</v>
      </c>
      <c r="C8" s="11" t="n">
        <f aca="false">PL!D14</f>
        <v>228.837746398039</v>
      </c>
      <c r="D8" s="14" t="n">
        <f aca="false">C8/B8-1</f>
        <v>-0.0168552876210396</v>
      </c>
      <c r="E8" s="11" t="n">
        <f aca="false">PL!D29</f>
        <v>222.550958911852</v>
      </c>
      <c r="F8" s="14" t="n">
        <f aca="false">E8/B8-1</f>
        <v>-0.0438649133151514</v>
      </c>
      <c r="G8" s="11" t="n">
        <f aca="false">PL!D44</f>
        <v>217.190026131945</v>
      </c>
      <c r="H8" s="14" t="n">
        <f aca="false">G8/B8-1</f>
        <v>-0.0668968335247523</v>
      </c>
      <c r="I8" s="5" t="s">
        <v>101</v>
      </c>
    </row>
    <row r="9" customFormat="false" ht="17.15" hidden="false" customHeight="false" outlineLevel="0" collapsed="false">
      <c r="A9" s="5" t="s">
        <v>610</v>
      </c>
      <c r="B9" s="14" t="n">
        <f aca="false">q26h1_oi/q26h1_rev</f>
        <v>0.453745847240701</v>
      </c>
      <c r="C9" s="14" t="n">
        <f aca="false">PL!D15</f>
        <v>0.451083768062869</v>
      </c>
      <c r="D9" s="14" t="n">
        <f aca="false">C9-B9</f>
        <v>-0.00266207917783168</v>
      </c>
      <c r="E9" s="14" t="n">
        <f aca="false">PL!D30</f>
        <v>0.448274276613758</v>
      </c>
      <c r="F9" s="14" t="n">
        <f aca="false">E9-B9</f>
        <v>-0.0054715706269427</v>
      </c>
      <c r="G9" s="14" t="n">
        <f aca="false">PL!D45</f>
        <v>0.445813524427671</v>
      </c>
      <c r="H9" s="14" t="n">
        <f aca="false">G9-B9</f>
        <v>-0.00793232281302925</v>
      </c>
      <c r="I9" s="5" t="s">
        <v>611</v>
      </c>
    </row>
    <row r="10" customFormat="false" ht="17.15" hidden="false" customHeight="false" outlineLevel="0" collapsed="false">
      <c r="A10" s="5" t="s">
        <v>612</v>
      </c>
      <c r="B10" s="14" t="n">
        <f aca="false">q26h1_gp/q26h1_rev</f>
        <v>0.715468882509006</v>
      </c>
      <c r="C10" s="14" t="n">
        <f aca="false">PL!D13</f>
        <v>0.719463492058136</v>
      </c>
      <c r="D10" s="14" t="n">
        <f aca="false">C10-B10</f>
        <v>0.00399460954913067</v>
      </c>
      <c r="E10" s="14" t="n">
        <f aca="false">PL!D28</f>
        <v>0.717003789789592</v>
      </c>
      <c r="F10" s="14" t="n">
        <f aca="false">E10-B10</f>
        <v>0.00153490728058636</v>
      </c>
      <c r="G10" s="14" t="n">
        <f aca="false">PL!D43</f>
        <v>0.714854877972851</v>
      </c>
      <c r="H10" s="14" t="n">
        <f aca="false">G10-B10</f>
        <v>-0.000614004536155122</v>
      </c>
      <c r="I10" s="5" t="s">
        <v>613</v>
      </c>
    </row>
    <row r="11" customFormat="false" ht="17.15" hidden="false" customHeight="false" outlineLevel="0" collapsed="false">
      <c r="A11" s="5" t="s">
        <v>614</v>
      </c>
      <c r="B11" s="11" t="n">
        <f aca="false">g3_rev</f>
        <v>132.442</v>
      </c>
      <c r="C11" s="11" t="n">
        <f aca="false">(PL!D5-q26h1_rev)/2</f>
        <v>125.124270855609</v>
      </c>
      <c r="D11" s="14" t="n">
        <f aca="false">C11/B11-1</f>
        <v>-0.0552523304117349</v>
      </c>
      <c r="E11" s="11" t="n">
        <f aca="false">(PL!D20-q26h1_rev)/2</f>
        <v>119.701793648245</v>
      </c>
      <c r="F11" s="14" t="n">
        <f aca="false">E11/B11-1</f>
        <v>-0.0961946085966314</v>
      </c>
      <c r="G11" s="11" t="n">
        <f aca="false">(PL!D35-q26h1_rev)/2</f>
        <v>115.059422323852</v>
      </c>
      <c r="H11" s="14" t="n">
        <f aca="false">G11/B11-1</f>
        <v>-0.131246716873408</v>
      </c>
      <c r="I11" s="5" t="s">
        <v>615</v>
      </c>
    </row>
    <row r="12" customFormat="false" ht="17.15" hidden="false" customHeight="false" outlineLevel="0" collapsed="false">
      <c r="A12" s="0" t="s">
        <v>616</v>
      </c>
      <c r="B12" s="11" t="n">
        <f aca="false">q26h1_eps*2</f>
        <v>1481.68</v>
      </c>
      <c r="C12" s="11" t="n">
        <f aca="false">PL!D17</f>
        <v>1545.37951653183</v>
      </c>
      <c r="D12" s="14" t="n">
        <f aca="false">C12/B12-1</f>
        <v>0.0429914128096665</v>
      </c>
      <c r="E12" s="11" t="n">
        <f aca="false">PL!D32</f>
        <v>1502.92379076601</v>
      </c>
      <c r="F12" s="14" t="n">
        <f aca="false">E12/B12-1</f>
        <v>0.0143376375236297</v>
      </c>
      <c r="G12" s="11" t="n">
        <f aca="false">PL!D47</f>
        <v>1466.72051644622</v>
      </c>
      <c r="H12" s="14" t="n">
        <f aca="false">G12/B12-1</f>
        <v>-0.0100962984948061</v>
      </c>
      <c r="I12" s="5" t="s">
        <v>617</v>
      </c>
    </row>
    <row r="13" customFormat="false" ht="17.15" hidden="false" customHeight="false" outlineLevel="0" collapsed="false">
      <c r="A13" s="1" t="s">
        <v>618</v>
      </c>
    </row>
    <row r="14" customFormat="false" ht="17.15" hidden="false" customHeight="false" outlineLevel="0" collapsed="false">
      <c r="A14" s="5" t="s">
        <v>619</v>
      </c>
      <c r="B14" s="11" t="n">
        <f aca="false">cons_rev26</f>
        <v>564.96</v>
      </c>
      <c r="C14" s="11" t="n">
        <f aca="false">PL!D5</f>
        <v>507.306541711218</v>
      </c>
      <c r="D14" s="14" t="n">
        <f aca="false">C14/B14-1</f>
        <v>-0.102048743785015</v>
      </c>
      <c r="E14" s="11" t="n">
        <f aca="false">PL!D20</f>
        <v>496.46158729649</v>
      </c>
      <c r="F14" s="14" t="n">
        <f aca="false">E14/B14-1</f>
        <v>-0.12124471237523</v>
      </c>
      <c r="G14" s="11" t="n">
        <f aca="false">PL!D35</f>
        <v>487.176844647704</v>
      </c>
      <c r="H14" s="14" t="n">
        <f aca="false">G14/B14-1</f>
        <v>-0.137679048697777</v>
      </c>
      <c r="I14" s="8" t="s">
        <v>620</v>
      </c>
      <c r="J14" s="5" t="s">
        <v>621</v>
      </c>
    </row>
    <row r="15" customFormat="false" ht="17.15" hidden="false" customHeight="false" outlineLevel="0" collapsed="false">
      <c r="A15" s="5" t="s">
        <v>622</v>
      </c>
      <c r="B15" s="11" t="n">
        <v>550</v>
      </c>
      <c r="C15" s="11" t="n">
        <f aca="false">PL!D5</f>
        <v>507.306541711218</v>
      </c>
      <c r="D15" s="14" t="n">
        <f aca="false">C15/B15-1</f>
        <v>-0.0776244696159673</v>
      </c>
      <c r="E15" s="11" t="n">
        <f aca="false">PL!D20</f>
        <v>496.46158729649</v>
      </c>
      <c r="F15" s="14" t="n">
        <f aca="false">E15/B15-1</f>
        <v>-0.0973425685518365</v>
      </c>
      <c r="G15" s="11" t="n">
        <f aca="false">PL!D35</f>
        <v>487.176844647704</v>
      </c>
      <c r="H15" s="14" t="n">
        <f aca="false">G15/B15-1</f>
        <v>-0.114223918822356</v>
      </c>
      <c r="I15" s="5" t="s">
        <v>623</v>
      </c>
    </row>
    <row r="16" customFormat="false" ht="17.15" hidden="false" customHeight="false" outlineLevel="0" collapsed="false">
      <c r="A16" s="5" t="s">
        <v>624</v>
      </c>
      <c r="B16" s="11" t="n">
        <f aca="false">cons_oi26</f>
        <v>240</v>
      </c>
      <c r="C16" s="11" t="n">
        <f aca="false">PL!D14</f>
        <v>228.837746398039</v>
      </c>
      <c r="D16" s="14" t="n">
        <f aca="false">C16/B16-1</f>
        <v>-0.0465093900081701</v>
      </c>
      <c r="E16" s="11" t="n">
        <f aca="false">PL!D29</f>
        <v>222.550958911852</v>
      </c>
      <c r="F16" s="14" t="n">
        <f aca="false">E16/B16-1</f>
        <v>-0.0727043378672833</v>
      </c>
      <c r="G16" s="11" t="n">
        <f aca="false">PL!D44</f>
        <v>217.190026131945</v>
      </c>
      <c r="H16" s="14" t="n">
        <f aca="false">G16/B16-1</f>
        <v>-0.0950415577835621</v>
      </c>
      <c r="I16" s="5" t="s">
        <v>625</v>
      </c>
    </row>
    <row r="17" customFormat="false" ht="17.15" hidden="false" customHeight="false" outlineLevel="0" collapsed="false">
      <c r="A17" s="0" t="s">
        <v>626</v>
      </c>
      <c r="B17" s="11" t="n">
        <f aca="false">cons_rev27</f>
        <v>640</v>
      </c>
      <c r="C17" s="11" t="n">
        <f aca="false">PL!E5</f>
        <v>539.549374890105</v>
      </c>
      <c r="D17" s="14" t="n">
        <f aca="false">C17/B17-1</f>
        <v>-0.15695410173421</v>
      </c>
      <c r="E17" s="11" t="n">
        <f aca="false">PL!E20</f>
        <v>505.090821096441</v>
      </c>
      <c r="F17" s="14" t="n">
        <f aca="false">E17/B17-1</f>
        <v>-0.210795592036811</v>
      </c>
      <c r="G17" s="11" t="n">
        <f aca="false">PL!E35</f>
        <v>460.658885979082</v>
      </c>
      <c r="H17" s="14" t="n">
        <f aca="false">G17/B17-1</f>
        <v>-0.280220490657684</v>
      </c>
      <c r="I17" s="5" t="s">
        <v>623</v>
      </c>
    </row>
    <row r="18" customFormat="false" ht="17.15" hidden="false" customHeight="false" outlineLevel="0" collapsed="false">
      <c r="A18" s="1" t="s">
        <v>627</v>
      </c>
    </row>
    <row r="19" customFormat="false" ht="17.15" hidden="false" customHeight="false" outlineLevel="0" collapsed="false">
      <c r="A19" s="5" t="s">
        <v>628</v>
      </c>
      <c r="B19" s="14" t="n">
        <f aca="false">semi_pk/semi_pk_lo-1</f>
        <v>0.0959999999999994</v>
      </c>
      <c r="C19" s="14" t="n">
        <f aca="false">PL!D8/PL!C8-1</f>
        <v>0.0600000000000001</v>
      </c>
      <c r="D19" s="14" t="n">
        <f aca="false">C19-B19</f>
        <v>-0.0359999999999994</v>
      </c>
      <c r="E19" s="14" t="n">
        <f aca="false">PL!D23/PL!C23-1</f>
        <v>0.0600000000000001</v>
      </c>
      <c r="F19" s="14" t="n">
        <f aca="false">E19-B19</f>
        <v>-0.0359999999999994</v>
      </c>
      <c r="G19" s="14" t="n">
        <f aca="false">PL!D38/PL!C38-1</f>
        <v>0.0600000000000001</v>
      </c>
      <c r="H19" s="14" t="n">
        <f aca="false">G19-B19</f>
        <v>-0.0359999999999994</v>
      </c>
      <c r="I19" s="8" t="s">
        <v>629</v>
      </c>
      <c r="J19" s="5" t="s">
        <v>630</v>
      </c>
    </row>
    <row r="20" customFormat="false" ht="17.15" hidden="false" customHeight="false" outlineLevel="0" collapsed="false">
      <c r="A20" s="0" t="s">
        <v>631</v>
      </c>
      <c r="C20" s="14" t="n">
        <f aca="false">PL!C11</f>
        <v>0.276884384673187</v>
      </c>
      <c r="J20" s="8" t="s">
        <v>632</v>
      </c>
    </row>
    <row r="21" customFormat="false" ht="17.15" hidden="false" customHeight="false" outlineLevel="0" collapsed="false">
      <c r="A21" s="0" t="s">
        <v>633</v>
      </c>
      <c r="C21" s="14" t="n">
        <f aca="false">PL!C12</f>
        <v>0.206829299394429</v>
      </c>
    </row>
    <row r="22" customFormat="false" ht="17.15" hidden="false" customHeight="false" outlineLevel="0" collapsed="false">
      <c r="A22" s="0" t="s">
        <v>634</v>
      </c>
      <c r="C22" s="14" t="n">
        <f aca="false">PL!E12</f>
        <v>0.20198483923644</v>
      </c>
      <c r="E22" s="14" t="n">
        <f aca="false">PL!E27</f>
        <v>0.15347045721683</v>
      </c>
      <c r="G22" s="14" t="n">
        <f aca="false">PL!E42</f>
        <v>0.0827420749285875</v>
      </c>
    </row>
    <row r="23" customFormat="false" ht="17.15" hidden="false" customHeight="false" outlineLevel="0" collapsed="false">
      <c r="A23" s="0" t="s">
        <v>635</v>
      </c>
      <c r="C23" s="14" t="n">
        <f aca="false">PL!E11</f>
        <v>0.345226629409388</v>
      </c>
      <c r="E23" s="14" t="n">
        <f aca="false">PL!E26</f>
        <v>0.300556359290091</v>
      </c>
      <c r="G23" s="14" t="n">
        <f aca="false">PL!E41</f>
        <v>0.233092916364813</v>
      </c>
    </row>
    <row r="24" customFormat="false" ht="17.15" hidden="false" customHeight="false" outlineLevel="0" collapsed="false">
      <c r="A24" s="5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637</v>
      </c>
    </row>
    <row r="3" customFormat="false" ht="17.15" hidden="false" customHeight="false" outlineLevel="0" collapsed="false">
      <c r="A3" s="6" t="s">
        <v>638</v>
      </c>
      <c r="B3" s="6" t="s">
        <v>639</v>
      </c>
      <c r="C3" s="9" t="s">
        <v>640</v>
      </c>
      <c r="D3" s="9" t="s">
        <v>641</v>
      </c>
      <c r="E3" s="6" t="s">
        <v>642</v>
      </c>
      <c r="F3" s="9" t="s">
        <v>643</v>
      </c>
      <c r="G3" s="9" t="s">
        <v>644</v>
      </c>
      <c r="H3" s="6" t="s">
        <v>642</v>
      </c>
      <c r="I3" s="9" t="s">
        <v>645</v>
      </c>
    </row>
    <row r="4" customFormat="false" ht="17.15" hidden="false" customHeight="false" outlineLevel="0" collapsed="false">
      <c r="A4" s="5" t="s">
        <v>646</v>
      </c>
      <c r="B4" s="0" t="s">
        <v>647</v>
      </c>
      <c r="C4" s="21" t="n">
        <f aca="false">PL!E78</f>
        <v>539.549374890105</v>
      </c>
      <c r="D4" s="21" t="n">
        <f aca="false">PL!E87</f>
        <v>1672.64172321648</v>
      </c>
      <c r="E4" s="14" t="n">
        <f aca="false">D4/D$4-1</f>
        <v>0</v>
      </c>
      <c r="F4" s="21" t="n">
        <f aca="false">PL!F78</f>
        <v>570.789835683346</v>
      </c>
      <c r="G4" s="21" t="n">
        <f aca="false">PL!F87</f>
        <v>1797.36201474092</v>
      </c>
      <c r="H4" s="14" t="n">
        <f aca="false">G4/G$4-1</f>
        <v>0</v>
      </c>
      <c r="I4" s="14" t="n">
        <f aca="false">PL!E79</f>
        <v>0.345226629409388</v>
      </c>
    </row>
    <row r="5" customFormat="false" ht="17.15" hidden="false" customHeight="false" outlineLevel="0" collapsed="false">
      <c r="A5" s="5" t="s">
        <v>648</v>
      </c>
      <c r="B5" s="0" t="s">
        <v>649</v>
      </c>
      <c r="C5" s="21" t="n">
        <f aca="false">E88</f>
        <v>531.310961431169</v>
      </c>
      <c r="D5" s="21" t="n">
        <f aca="false">E97</f>
        <v>1639.98026138636</v>
      </c>
      <c r="E5" s="14" t="n">
        <f aca="false">D5/D$4-1</f>
        <v>-0.0195268725972693</v>
      </c>
      <c r="F5" s="21" t="n">
        <f aca="false">F88</f>
        <v>557.700718872304</v>
      </c>
      <c r="G5" s="21" t="n">
        <f aca="false">F97</f>
        <v>1744.94250078121</v>
      </c>
      <c r="H5" s="14" t="n">
        <f aca="false">G5/G$4-1</f>
        <v>-0.0291646944409627</v>
      </c>
      <c r="I5" s="14" t="n">
        <f aca="false">E89</f>
        <v>0.33507382974891</v>
      </c>
    </row>
    <row r="6" customFormat="false" ht="17.15" hidden="false" customHeight="false" outlineLevel="0" collapsed="false">
      <c r="A6" s="5" t="s">
        <v>650</v>
      </c>
      <c r="B6" s="0" t="s">
        <v>651</v>
      </c>
      <c r="C6" s="21" t="n">
        <f aca="false">E128</f>
        <v>546.775435530202</v>
      </c>
      <c r="D6" s="21" t="n">
        <f aca="false">E137</f>
        <v>1701.36933353695</v>
      </c>
      <c r="E6" s="14" t="n">
        <f aca="false">D6/D$4-1</f>
        <v>0.0171749932586986</v>
      </c>
      <c r="F6" s="21" t="n">
        <f aca="false">F128</f>
        <v>582.24504693983</v>
      </c>
      <c r="G6" s="21" t="n">
        <f aca="false">F137</f>
        <v>1843.42755202795</v>
      </c>
      <c r="H6" s="14" t="n">
        <f aca="false">G6/G$4-1</f>
        <v>0.0256295264444393</v>
      </c>
      <c r="I6" s="14" t="n">
        <f aca="false">E129</f>
        <v>0.353879966362647</v>
      </c>
    </row>
    <row r="7" customFormat="false" ht="17.15" hidden="false" customHeight="false" outlineLevel="0" collapsed="false">
      <c r="A7" s="0" t="s">
        <v>652</v>
      </c>
      <c r="B7" s="0" t="s">
        <v>653</v>
      </c>
      <c r="C7" s="21" t="n">
        <f aca="false">E168</f>
        <v>538.804307563568</v>
      </c>
      <c r="D7" s="21" t="n">
        <f aca="false">E177</f>
        <v>1669.68387995647</v>
      </c>
      <c r="E7" s="14" t="n">
        <f aca="false">D7/D$4-1</f>
        <v>-0.00176836630281019</v>
      </c>
      <c r="F7" s="21" t="n">
        <f aca="false">F168</f>
        <v>571.532373253049</v>
      </c>
      <c r="G7" s="21" t="n">
        <f aca="false">F177</f>
        <v>1800.34270775062</v>
      </c>
      <c r="H7" s="14" t="n">
        <f aca="false">G7/G$4-1</f>
        <v>0.0016583709821707</v>
      </c>
      <c r="I7" s="14" t="n">
        <f aca="false">E169</f>
        <v>0.325477599671627</v>
      </c>
    </row>
    <row r="8" customFormat="false" ht="17.15" hidden="false" customHeight="false" outlineLevel="0" collapsed="false">
      <c r="A8" s="0" t="s">
        <v>654</v>
      </c>
      <c r="B8" s="0" t="s">
        <v>655</v>
      </c>
      <c r="C8" s="21" t="n">
        <f aca="false">E208</f>
        <v>540.294442216643</v>
      </c>
      <c r="D8" s="21" t="n">
        <f aca="false">E217</f>
        <v>1675.60035735321</v>
      </c>
      <c r="E8" s="14" t="n">
        <f aca="false">D8/D$4-1</f>
        <v>0.00176883913372383</v>
      </c>
      <c r="F8" s="21" t="n">
        <f aca="false">F208</f>
        <v>570.047298113642</v>
      </c>
      <c r="G8" s="21" t="n">
        <f aca="false">F217</f>
        <v>1794.38206425362</v>
      </c>
      <c r="H8" s="14" t="n">
        <f aca="false">G8/G$4-1</f>
        <v>-0.00165795786427814</v>
      </c>
      <c r="I8" s="14" t="n">
        <f aca="false">E209</f>
        <v>0.364921191228774</v>
      </c>
    </row>
    <row r="9" customFormat="false" ht="17.15" hidden="false" customHeight="false" outlineLevel="0" collapsed="false">
      <c r="A9" s="0" t="s">
        <v>656</v>
      </c>
      <c r="B9" s="0" t="s">
        <v>657</v>
      </c>
      <c r="C9" s="21" t="n">
        <f aca="false">E248</f>
        <v>539.542630359065</v>
      </c>
      <c r="D9" s="21" t="n">
        <f aca="false">E257</f>
        <v>1672.61494454951</v>
      </c>
      <c r="E9" s="14" t="n">
        <f aca="false">D9/D$4-1</f>
        <v>-1.60098044929002E-005</v>
      </c>
      <c r="F9" s="21" t="n">
        <f aca="false">F248</f>
        <v>570.685842984569</v>
      </c>
      <c r="G9" s="21" t="n">
        <f aca="false">F257</f>
        <v>1796.94462668706</v>
      </c>
      <c r="H9" s="14" t="n">
        <f aca="false">G9/G$4-1</f>
        <v>-0.000232222585340724</v>
      </c>
      <c r="I9" s="14" t="n">
        <f aca="false">E249</f>
        <v>0.345218444441094</v>
      </c>
    </row>
    <row r="10" customFormat="false" ht="17.15" hidden="false" customHeight="false" outlineLevel="0" collapsed="false">
      <c r="A10" s="0" t="s">
        <v>658</v>
      </c>
      <c r="B10" s="0" t="s">
        <v>659</v>
      </c>
      <c r="C10" s="21" t="n">
        <f aca="false">E288</f>
        <v>539.55836759816</v>
      </c>
      <c r="D10" s="21" t="n">
        <f aca="false">E297</f>
        <v>1672.6774282066</v>
      </c>
      <c r="E10" s="14" t="n">
        <f aca="false">D10/D$4-1</f>
        <v>2.13464662608409E-005</v>
      </c>
      <c r="F10" s="21" t="n">
        <f aca="false">F288</f>
        <v>570.928492615048</v>
      </c>
      <c r="G10" s="21" t="n">
        <f aca="false">F297</f>
        <v>1797.91855480059</v>
      </c>
      <c r="H10" s="14" t="n">
        <f aca="false">G10/G$4-1</f>
        <v>0.000309642718109293</v>
      </c>
      <c r="I10" s="14" t="n">
        <f aca="false">E289</f>
        <v>0.345237542382139</v>
      </c>
    </row>
    <row r="11" customFormat="false" ht="17.15" hidden="false" customHeight="false" outlineLevel="0" collapsed="false">
      <c r="A11" s="5" t="s">
        <v>660</v>
      </c>
      <c r="B11" s="5" t="s">
        <v>661</v>
      </c>
      <c r="C11" s="21" t="n">
        <f aca="false">E328</f>
        <v>538.232760639641</v>
      </c>
      <c r="D11" s="21" t="n">
        <f aca="false">E337</f>
        <v>1667.41543217949</v>
      </c>
      <c r="E11" s="14" t="n">
        <f aca="false">D11/D$4-1</f>
        <v>-0.00312457292225132</v>
      </c>
      <c r="F11" s="21" t="n">
        <f aca="false">F328</f>
        <v>567.964585576917</v>
      </c>
      <c r="G11" s="21" t="n">
        <f aca="false">F337</f>
        <v>1786.02769632001</v>
      </c>
      <c r="H11" s="14" t="n">
        <f aca="false">G11/G$4-1</f>
        <v>-0.00630608543406797</v>
      </c>
      <c r="I11" s="14" t="n">
        <f aca="false">E329</f>
        <v>0.34362493584187</v>
      </c>
    </row>
    <row r="12" customFormat="false" ht="17.15" hidden="false" customHeight="false" outlineLevel="0" collapsed="false">
      <c r="A12" s="5" t="s">
        <v>662</v>
      </c>
      <c r="B12" s="5" t="s">
        <v>663</v>
      </c>
      <c r="C12" s="21" t="n">
        <f aca="false">E368</f>
        <v>535.599532138714</v>
      </c>
      <c r="D12" s="21" t="n">
        <f aca="false">E377</f>
        <v>1656.97028324554</v>
      </c>
      <c r="E12" s="14" t="n">
        <f aca="false">D12/D$4-1</f>
        <v>-0.00936927481445704</v>
      </c>
      <c r="F12" s="21" t="n">
        <f aca="false">F368</f>
        <v>562.34209586176</v>
      </c>
      <c r="G12" s="21" t="n">
        <f aca="false">F377</f>
        <v>1763.50362650206</v>
      </c>
      <c r="H12" s="14" t="n">
        <f aca="false">G12/G$4-1</f>
        <v>-0.0188378234107378</v>
      </c>
      <c r="I12" s="14" t="n">
        <f aca="false">E369</f>
        <v>0.340397924945617</v>
      </c>
    </row>
    <row r="13" customFormat="false" ht="17.15" hidden="false" customHeight="false" outlineLevel="0" collapsed="false">
      <c r="A13" s="5" t="s">
        <v>664</v>
      </c>
      <c r="B13" s="5" t="s">
        <v>665</v>
      </c>
      <c r="C13" s="21" t="n">
        <f aca="false">E408</f>
        <v>542.182603391033</v>
      </c>
      <c r="D13" s="21" t="n">
        <f aca="false">E417</f>
        <v>1683.10170822419</v>
      </c>
      <c r="E13" s="14" t="n">
        <f aca="false">D13/D$4-1</f>
        <v>0.00625357173776098</v>
      </c>
      <c r="F13" s="21" t="n">
        <f aca="false">F408</f>
        <v>576.440335896203</v>
      </c>
      <c r="G13" s="21" t="n">
        <f aca="false">F417</f>
        <v>1820.06284712886</v>
      </c>
      <c r="H13" s="14" t="n">
        <f aca="false">G13/G$4-1</f>
        <v>0.0126300835345141</v>
      </c>
      <c r="I13" s="14" t="n">
        <f aca="false">E409</f>
        <v>0.348406679618126</v>
      </c>
    </row>
    <row r="14" customFormat="false" ht="17.15" hidden="false" customHeight="false" outlineLevel="0" collapsed="false">
      <c r="A14" s="5" t="s">
        <v>666</v>
      </c>
      <c r="B14" s="0" t="s">
        <v>667</v>
      </c>
      <c r="C14" s="21" t="n">
        <f aca="false">E448</f>
        <v>540.813029219156</v>
      </c>
      <c r="D14" s="21" t="n">
        <f aca="false">E457</f>
        <v>1677.66011292914</v>
      </c>
      <c r="E14" s="14" t="n">
        <f aca="false">D14/D$4-1</f>
        <v>0.0030002777301299</v>
      </c>
      <c r="F14" s="21" t="n">
        <f aca="false">F448</f>
        <v>572.411839447819</v>
      </c>
      <c r="G14" s="21" t="n">
        <f aca="false">F457</f>
        <v>1803.87401861852</v>
      </c>
      <c r="H14" s="14" t="n">
        <f aca="false">G14/G$4-1</f>
        <v>0.00362308974162784</v>
      </c>
      <c r="I14" s="14" t="n">
        <f aca="false">E449</f>
        <v>0.346756561492364</v>
      </c>
    </row>
    <row r="15" customFormat="false" ht="17.15" hidden="false" customHeight="false" outlineLevel="0" collapsed="false">
      <c r="A15" s="5" t="s">
        <v>668</v>
      </c>
      <c r="B15" s="0" t="s">
        <v>669</v>
      </c>
      <c r="C15" s="21" t="n">
        <f aca="false">E488</f>
        <v>558.658803969271</v>
      </c>
      <c r="D15" s="21" t="n">
        <f aca="false">E497</f>
        <v>1748.7715127128</v>
      </c>
      <c r="E15" s="14" t="n">
        <f aca="false">D15/D$4-1</f>
        <v>0.0455147019469979</v>
      </c>
      <c r="F15" s="21" t="n">
        <f aca="false">F488</f>
        <v>582.089809518154</v>
      </c>
      <c r="G15" s="21" t="n">
        <f aca="false">F497</f>
        <v>1842.80212063308</v>
      </c>
      <c r="H15" s="14" t="n">
        <f aca="false">G15/G$4-1</f>
        <v>0.0252815545891638</v>
      </c>
      <c r="I15" s="14" t="n">
        <f aca="false">E489</f>
        <v>0.367623744069226</v>
      </c>
    </row>
    <row r="16" customFormat="false" ht="17.15" hidden="false" customHeight="false" outlineLevel="0" collapsed="false">
      <c r="A16" s="5" t="s">
        <v>670</v>
      </c>
      <c r="B16" s="0" t="s">
        <v>671</v>
      </c>
      <c r="C16" s="21" t="n">
        <f aca="false">E528</f>
        <v>537.070001264715</v>
      </c>
      <c r="D16" s="21" t="n">
        <f aca="false">E537</f>
        <v>1662.80192543851</v>
      </c>
      <c r="E16" s="14" t="n">
        <f aca="false">D16/D$4-1</f>
        <v>-0.00588278866980074</v>
      </c>
      <c r="F16" s="21" t="n">
        <f aca="false">F528</f>
        <v>585.022042885014</v>
      </c>
      <c r="G16" s="21" t="n">
        <f aca="false">F537</f>
        <v>1854.62107480411</v>
      </c>
      <c r="H16" s="14" t="n">
        <f aca="false">G16/G$4-1</f>
        <v>0.0318572772727943</v>
      </c>
      <c r="I16" s="14" t="n">
        <f aca="false">E529</f>
        <v>0.342203880378856</v>
      </c>
    </row>
    <row r="17" customFormat="false" ht="17.15" hidden="false" customHeight="false" outlineLevel="0" collapsed="false">
      <c r="A17" s="5" t="s">
        <v>672</v>
      </c>
      <c r="B17" s="0" t="s">
        <v>673</v>
      </c>
      <c r="C17" s="21" t="n">
        <f aca="false">E568</f>
        <v>542.698527688536</v>
      </c>
      <c r="D17" s="21" t="n">
        <f aca="false">E577</f>
        <v>1685.15226979038</v>
      </c>
      <c r="E17" s="14" t="n">
        <f aca="false">D17/D$4-1</f>
        <v>0.00747951363417743</v>
      </c>
      <c r="F17" s="21" t="n">
        <f aca="false">F568</f>
        <v>572.672942387851</v>
      </c>
      <c r="G17" s="21" t="n">
        <f aca="false">F577</f>
        <v>1804.92262239303</v>
      </c>
      <c r="H17" s="14" t="n">
        <f aca="false">G17/G$4-1</f>
        <v>0.00420650241304088</v>
      </c>
      <c r="I17" s="14" t="n">
        <f aca="false">E569</f>
        <v>0.34902612634393</v>
      </c>
    </row>
    <row r="18" customFormat="false" ht="17.15" hidden="false" customHeight="false" outlineLevel="0" collapsed="false">
      <c r="A18" s="5" t="s">
        <v>674</v>
      </c>
      <c r="B18" s="0" t="s">
        <v>675</v>
      </c>
      <c r="C18" s="21" t="n">
        <f aca="false">E608</f>
        <v>537.901558053969</v>
      </c>
      <c r="D18" s="21" t="n">
        <f aca="false">E617</f>
        <v>1666.10111531885</v>
      </c>
      <c r="E18" s="14" t="n">
        <f aca="false">D18/D$4-1</f>
        <v>-0.00391034601543594</v>
      </c>
      <c r="F18" s="21" t="n">
        <f aca="false">F608</f>
        <v>571.463003639956</v>
      </c>
      <c r="G18" s="21" t="n">
        <f aca="false">F617</f>
        <v>1800.06421295359</v>
      </c>
      <c r="H18" s="14" t="n">
        <f aca="false">G18/G$4-1</f>
        <v>0.00150342456917785</v>
      </c>
      <c r="I18" s="14" t="n">
        <f aca="false">E609</f>
        <v>0.343220785463116</v>
      </c>
    </row>
    <row r="19" customFormat="false" ht="17.15" hidden="false" customHeight="false" outlineLevel="0" collapsed="false">
      <c r="A19" s="5" t="s">
        <v>676</v>
      </c>
      <c r="B19" s="0" t="s">
        <v>677</v>
      </c>
      <c r="C19" s="21" t="n">
        <f aca="false">E648</f>
        <v>540.462932013363</v>
      </c>
      <c r="D19" s="21" t="n">
        <f aca="false">E657</f>
        <v>1676.26953348981</v>
      </c>
      <c r="E19" s="14" t="n">
        <f aca="false">D19/D$4-1</f>
        <v>0.00216891054609736</v>
      </c>
      <c r="F19" s="21" t="n">
        <f aca="false">F648</f>
        <v>572.088244240942</v>
      </c>
      <c r="G19" s="21" t="n">
        <f aca="false">F657</f>
        <v>1802.57456950733</v>
      </c>
      <c r="H19" s="14" t="n">
        <f aca="false">G19/G$4-1</f>
        <v>0.0029001140135716</v>
      </c>
      <c r="I19" s="14" t="n">
        <f aca="false">E649</f>
        <v>0.346333408138123</v>
      </c>
    </row>
    <row r="20" customFormat="false" ht="17.15" hidden="false" customHeight="false" outlineLevel="0" collapsed="false">
      <c r="A20" s="5" t="s">
        <v>678</v>
      </c>
      <c r="B20" s="0" t="s">
        <v>679</v>
      </c>
      <c r="C20" s="21" t="n">
        <f aca="false">E688</f>
        <v>538.743712426322</v>
      </c>
      <c r="D20" s="21" t="n">
        <f aca="false">E697</f>
        <v>1669.44335809132</v>
      </c>
      <c r="E20" s="14" t="n">
        <f aca="false">D20/D$4-1</f>
        <v>-0.00191216390263083</v>
      </c>
      <c r="F20" s="21" t="n">
        <f aca="false">F688</f>
        <v>569.650214736796</v>
      </c>
      <c r="G20" s="21" t="n">
        <f aca="false">F697</f>
        <v>1792.78879497808</v>
      </c>
      <c r="H20" s="14" t="n">
        <f aca="false">G20/G$4-1</f>
        <v>-0.00254440659440314</v>
      </c>
      <c r="I20" s="14" t="n">
        <f aca="false">E689</f>
        <v>0.344247450785485</v>
      </c>
    </row>
    <row r="21" customFormat="false" ht="17.15" hidden="false" customHeight="false" outlineLevel="0" collapsed="false">
      <c r="A21" s="0" t="s">
        <v>680</v>
      </c>
      <c r="B21" s="0" t="s">
        <v>681</v>
      </c>
      <c r="C21" s="21" t="n">
        <f aca="false">E728</f>
        <v>539.549374890105</v>
      </c>
      <c r="D21" s="21" t="n">
        <f aca="false">E737</f>
        <v>1672.64172321648</v>
      </c>
      <c r="E21" s="14" t="n">
        <f aca="false">D21/D$4-1</f>
        <v>0</v>
      </c>
      <c r="F21" s="21" t="n">
        <f aca="false">F728</f>
        <v>563.694306297894</v>
      </c>
      <c r="G21" s="21" t="n">
        <f aca="false">F737</f>
        <v>1768.91674161275</v>
      </c>
      <c r="H21" s="14" t="n">
        <f aca="false">G21/G$4-1</f>
        <v>-0.0158261234491887</v>
      </c>
      <c r="I21" s="14" t="n">
        <f aca="false">E729</f>
        <v>0.345226629409388</v>
      </c>
    </row>
    <row r="22" customFormat="false" ht="17.15" hidden="false" customHeight="false" outlineLevel="0" collapsed="false">
      <c r="A22" s="0" t="s">
        <v>682</v>
      </c>
      <c r="B22" s="0" t="s">
        <v>683</v>
      </c>
      <c r="C22" s="21" t="n">
        <f aca="false">E768</f>
        <v>539.549374890105</v>
      </c>
      <c r="D22" s="21" t="n">
        <f aca="false">E777</f>
        <v>1672.64172321648</v>
      </c>
      <c r="E22" s="14" t="n">
        <f aca="false">D22/D$4-1</f>
        <v>0</v>
      </c>
      <c r="F22" s="21" t="n">
        <f aca="false">F768</f>
        <v>581.352853284153</v>
      </c>
      <c r="G22" s="21" t="n">
        <f aca="false">F777</f>
        <v>1839.8334540371</v>
      </c>
      <c r="H22" s="14" t="n">
        <f aca="false">G22/G$4-1</f>
        <v>0.0236298747541415</v>
      </c>
      <c r="I22" s="14" t="n">
        <f aca="false">E769</f>
        <v>0.345226629409388</v>
      </c>
    </row>
    <row r="23" customFormat="false" ht="17.15" hidden="false" customHeight="false" outlineLevel="0" collapsed="false">
      <c r="A23" s="0" t="s">
        <v>684</v>
      </c>
      <c r="B23" s="0" t="s">
        <v>685</v>
      </c>
      <c r="C23" s="21" t="n">
        <f aca="false">E808</f>
        <v>539.37297339044</v>
      </c>
      <c r="D23" s="21" t="n">
        <f aca="false">E817</f>
        <v>1671.94135529115</v>
      </c>
      <c r="E23" s="14" t="n">
        <f aca="false">D23/D$4-1</f>
        <v>-0.000418719631117059</v>
      </c>
      <c r="F23" s="21" t="n">
        <f aca="false">F808</f>
        <v>571.685104473071</v>
      </c>
      <c r="G23" s="21" t="n">
        <f aca="false">F817</f>
        <v>1800.95589312935</v>
      </c>
      <c r="H23" s="14" t="n">
        <f aca="false">G23/G$4-1</f>
        <v>0.00199952950988891</v>
      </c>
      <c r="I23" s="14" t="n">
        <f aca="false">E809</f>
        <v>0.345012486302092</v>
      </c>
    </row>
    <row r="24" customFormat="false" ht="17.15" hidden="false" customHeight="false" outlineLevel="0" collapsed="false">
      <c r="A24" s="5" t="s">
        <v>686</v>
      </c>
      <c r="B24" s="0" t="s">
        <v>687</v>
      </c>
      <c r="C24" s="21" t="n">
        <f aca="false">E848</f>
        <v>510.38108832625</v>
      </c>
      <c r="D24" s="21" t="n">
        <f aca="false">E857</f>
        <v>1557.4483132929</v>
      </c>
      <c r="E24" s="14" t="n">
        <f aca="false">D24/D$4-1</f>
        <v>-0.0688691477228426</v>
      </c>
      <c r="F24" s="21" t="n">
        <f aca="false">F848</f>
        <v>525.71208951602</v>
      </c>
      <c r="G24" s="21" t="n">
        <f aca="false">F857</f>
        <v>1617.83930100077</v>
      </c>
      <c r="H24" s="14" t="n">
        <f aca="false">G24/G$4-1</f>
        <v>-0.0998812216280316</v>
      </c>
      <c r="I24" s="14" t="n">
        <f aca="false">E849</f>
        <v>0.364956336262574</v>
      </c>
    </row>
    <row r="25" customFormat="false" ht="17.15" hidden="false" customHeight="false" outlineLevel="0" collapsed="false">
      <c r="A25" s="5" t="s">
        <v>688</v>
      </c>
      <c r="B25" s="0" t="s">
        <v>689</v>
      </c>
      <c r="C25" s="21" t="n">
        <f aca="false">E888</f>
        <v>570.416784943117</v>
      </c>
      <c r="D25" s="21" t="n">
        <f aca="false">E897</f>
        <v>1795.86479528339</v>
      </c>
      <c r="E25" s="14" t="n">
        <f aca="false">D25/D$4-1</f>
        <v>0.0736697347414916</v>
      </c>
      <c r="F25" s="21" t="n">
        <f aca="false">F888</f>
        <v>621.270794546189</v>
      </c>
      <c r="G25" s="21" t="n">
        <f aca="false">F897</f>
        <v>2001.64482422225</v>
      </c>
      <c r="H25" s="14" t="n">
        <f aca="false">G25/G$4-1</f>
        <v>0.113657019457365</v>
      </c>
      <c r="I25" s="14" t="n">
        <f aca="false">E889</f>
        <v>0.326545110540231</v>
      </c>
    </row>
    <row r="26" customFormat="false" ht="17.15" hidden="false" customHeight="false" outlineLevel="0" collapsed="false">
      <c r="A26" s="5" t="s">
        <v>690</v>
      </c>
      <c r="B26" s="0" t="s">
        <v>691</v>
      </c>
      <c r="C26" s="21" t="n">
        <f aca="false">E928</f>
        <v>531.356356721625</v>
      </c>
      <c r="D26" s="21" t="n">
        <f aca="false">E937</f>
        <v>1640.15996485496</v>
      </c>
      <c r="E26" s="14" t="n">
        <f aca="false">D26/D$4-1</f>
        <v>-0.0194194356811014</v>
      </c>
      <c r="F26" s="21" t="n">
        <f aca="false">F928</f>
        <v>558.190572377914</v>
      </c>
      <c r="G26" s="21" t="n">
        <f aca="false">F937</f>
        <v>1746.90005508591</v>
      </c>
      <c r="H26" s="14" t="n">
        <f aca="false">G26/G$4-1</f>
        <v>-0.0280755681054486</v>
      </c>
      <c r="I26" s="14" t="n">
        <f aca="false">E929</f>
        <v>0.350549701225909</v>
      </c>
    </row>
    <row r="27" customFormat="false" ht="17.15" hidden="false" customHeight="false" outlineLevel="0" collapsed="false">
      <c r="A27" s="5" t="s">
        <v>692</v>
      </c>
      <c r="B27" s="0" t="s">
        <v>693</v>
      </c>
      <c r="C27" s="21" t="n">
        <f aca="false">E968</f>
        <v>548.142052481438</v>
      </c>
      <c r="D27" s="21" t="n">
        <f aca="false">E977</f>
        <v>1706.81068014078</v>
      </c>
      <c r="E27" s="14" t="n">
        <f aca="false">D27/D$4-1</f>
        <v>0.0204281385846274</v>
      </c>
      <c r="F27" s="21" t="n">
        <f aca="false">F968</f>
        <v>584.648026170763</v>
      </c>
      <c r="G27" s="21" t="n">
        <f aca="false">F977</f>
        <v>1853.11289570069</v>
      </c>
      <c r="H27" s="14" t="n">
        <f aca="false">G27/G$4-1</f>
        <v>0.0310181702420185</v>
      </c>
      <c r="I27" s="14" t="n">
        <f aca="false">E969</f>
        <v>0.339814855018008</v>
      </c>
    </row>
    <row r="28" customFormat="false" ht="17.15" hidden="false" customHeight="false" outlineLevel="0" collapsed="false">
      <c r="A28" s="0" t="s">
        <v>694</v>
      </c>
      <c r="B28" s="0" t="s">
        <v>695</v>
      </c>
      <c r="C28" s="21" t="n">
        <f aca="false">E1008</f>
        <v>511.732703609914</v>
      </c>
      <c r="D28" s="21" t="n">
        <f aca="false">E1017</f>
        <v>1562.75844158089</v>
      </c>
      <c r="E28" s="14" t="n">
        <f aca="false">D28/D$4-1</f>
        <v>-0.0656944521414258</v>
      </c>
      <c r="F28" s="21" t="n">
        <f aca="false">F1008</f>
        <v>531.460129620335</v>
      </c>
      <c r="G28" s="21" t="n">
        <f aca="false">F1017</f>
        <v>1640.57077526986</v>
      </c>
      <c r="H28" s="14" t="n">
        <f aca="false">G28/G$4-1</f>
        <v>-0.0872340898411947</v>
      </c>
      <c r="I28" s="14" t="n">
        <f aca="false">E1009</f>
        <v>0.267509840125725</v>
      </c>
    </row>
    <row r="29" customFormat="false" ht="17.15" hidden="false" customHeight="false" outlineLevel="0" collapsed="false">
      <c r="A29" s="0" t="s">
        <v>696</v>
      </c>
      <c r="B29" s="0" t="s">
        <v>697</v>
      </c>
      <c r="C29" s="21" t="n">
        <f aca="false">E1048</f>
        <v>558.910420283298</v>
      </c>
      <c r="D29" s="21" t="n">
        <f aca="false">E1057</f>
        <v>1749.77731333016</v>
      </c>
      <c r="E29" s="14" t="n">
        <f aca="false">D29/D$4-1</f>
        <v>0.0461160265483196</v>
      </c>
      <c r="F29" s="21" t="n">
        <f aca="false">F1048</f>
        <v>598.164219077994</v>
      </c>
      <c r="G29" s="21" t="n">
        <f aca="false">F1057</f>
        <v>1907.73123866766</v>
      </c>
      <c r="H29" s="14" t="n">
        <f aca="false">G29/G$4-1</f>
        <v>0.0614062292524014</v>
      </c>
      <c r="I29" s="14" t="n">
        <f aca="false">E1049</f>
        <v>0.394753337333451</v>
      </c>
    </row>
    <row r="30" customFormat="false" ht="17.15" hidden="false" customHeight="false" outlineLevel="0" collapsed="false">
      <c r="A30" s="5" t="s">
        <v>698</v>
      </c>
      <c r="B30" s="0" t="s">
        <v>699</v>
      </c>
      <c r="C30" s="21" t="n">
        <f aca="false">E1088</f>
        <v>512.82519961831</v>
      </c>
      <c r="D30" s="21" t="n">
        <f aca="false">E1097</f>
        <v>1567.05256662878</v>
      </c>
      <c r="E30" s="14" t="n">
        <f aca="false">D30/D$4-1</f>
        <v>-0.0631271808673175</v>
      </c>
      <c r="F30" s="21" t="n">
        <f aca="false">F1088</f>
        <v>529.940156575298</v>
      </c>
      <c r="G30" s="21" t="n">
        <f aca="false">F1097</f>
        <v>1634.55514830345</v>
      </c>
      <c r="H30" s="14" t="n">
        <f aca="false">G30/G$4-1</f>
        <v>-0.090581009892397</v>
      </c>
      <c r="I30" s="14" t="n">
        <f aca="false">E1089</f>
        <v>0.348037635076385</v>
      </c>
    </row>
    <row r="31" customFormat="false" ht="17.15" hidden="false" customHeight="false" outlineLevel="0" collapsed="false">
      <c r="A31" s="5" t="s">
        <v>700</v>
      </c>
      <c r="B31" s="0" t="s">
        <v>701</v>
      </c>
      <c r="C31" s="21" t="n">
        <f aca="false">E1128</f>
        <v>539.549374890105</v>
      </c>
      <c r="D31" s="21" t="n">
        <f aca="false">E1137</f>
        <v>1670.07633508402</v>
      </c>
      <c r="E31" s="14" t="n">
        <f aca="false">D31/D$4-1</f>
        <v>-0.0015337343896541</v>
      </c>
      <c r="F31" s="21" t="n">
        <f aca="false">F1128</f>
        <v>570.789835683346</v>
      </c>
      <c r="G31" s="21" t="n">
        <f aca="false">F1137</f>
        <v>1794.39899241935</v>
      </c>
      <c r="H31" s="14" t="n">
        <f aca="false">G31/G$4-1</f>
        <v>-0.00164853952474175</v>
      </c>
      <c r="I31" s="14" t="n">
        <f aca="false">E1129</f>
        <v>0.345226629409388</v>
      </c>
    </row>
    <row r="32" customFormat="false" ht="17.15" hidden="false" customHeight="false" outlineLevel="0" collapsed="false">
      <c r="A32" s="5" t="s">
        <v>702</v>
      </c>
      <c r="B32" s="0" t="s">
        <v>703</v>
      </c>
      <c r="C32" s="21" t="n">
        <f aca="false">E1168</f>
        <v>539.549374890105</v>
      </c>
      <c r="D32" s="21" t="n">
        <f aca="false">E1177</f>
        <v>1573.15240438758</v>
      </c>
      <c r="E32" s="14" t="n">
        <f aca="false">D32/D$4-1</f>
        <v>-0.0594803522164822</v>
      </c>
      <c r="F32" s="21" t="n">
        <f aca="false">F1168</f>
        <v>570.789835683346</v>
      </c>
      <c r="G32" s="21" t="n">
        <f aca="false">F1177</f>
        <v>1690.4542890436</v>
      </c>
      <c r="H32" s="14" t="n">
        <f aca="false">G32/G$4-1</f>
        <v>-0.0594803522164822</v>
      </c>
      <c r="I32" s="14" t="n">
        <f aca="false">E1169</f>
        <v>0.345226629409388</v>
      </c>
    </row>
    <row r="33" customFormat="false" ht="17.15" hidden="false" customHeight="false" outlineLevel="0" collapsed="false">
      <c r="A33" s="5" t="s">
        <v>704</v>
      </c>
      <c r="B33" s="0" t="s">
        <v>705</v>
      </c>
      <c r="C33" s="21" t="n">
        <f aca="false">E1208</f>
        <v>539.549374890105</v>
      </c>
      <c r="D33" s="21" t="n">
        <f aca="false">E1217</f>
        <v>1695.49857387171</v>
      </c>
      <c r="E33" s="14" t="n">
        <f aca="false">D33/D$4-1</f>
        <v>0.0136651204725857</v>
      </c>
      <c r="F33" s="21" t="n">
        <f aca="false">F1208</f>
        <v>570.789835683346</v>
      </c>
      <c r="G33" s="21" t="n">
        <f aca="false">F1217</f>
        <v>1821.9231832052</v>
      </c>
      <c r="H33" s="14" t="n">
        <f aca="false">G33/G$4-1</f>
        <v>0.0136651204725855</v>
      </c>
      <c r="I33" s="14" t="n">
        <f aca="false">E1209</f>
        <v>0.345226629409388</v>
      </c>
    </row>
    <row r="34" customFormat="false" ht="17.15" hidden="false" customHeight="false" outlineLevel="0" collapsed="false">
      <c r="A34" s="5" t="s">
        <v>706</v>
      </c>
      <c r="B34" s="5" t="s">
        <v>707</v>
      </c>
      <c r="C34" s="21" t="n">
        <f aca="false">PL!E119</f>
        <v>505.090821096441</v>
      </c>
      <c r="D34" s="21" t="n">
        <f aca="false">PL!E128</f>
        <v>1536.69082298946</v>
      </c>
      <c r="E34" s="14" t="n">
        <f aca="false">D34/D$4-1</f>
        <v>-0.0812791516198635</v>
      </c>
      <c r="F34" s="21" t="n">
        <f aca="false">PL!F119</f>
        <v>544.975252722771</v>
      </c>
      <c r="G34" s="21" t="n">
        <f aca="false">PL!F128</f>
        <v>1694.2057016518</v>
      </c>
      <c r="H34" s="14" t="n">
        <f aca="false">G34/G$4-1</f>
        <v>-0.0573931752441031</v>
      </c>
      <c r="I34" s="14" t="n">
        <f aca="false">PL!E120</f>
        <v>0.300556359290091</v>
      </c>
    </row>
    <row r="35" customFormat="false" ht="17.15" hidden="false" customHeight="false" outlineLevel="0" collapsed="false">
      <c r="A35" s="5" t="s">
        <v>708</v>
      </c>
      <c r="B35" s="5" t="s">
        <v>709</v>
      </c>
      <c r="C35" s="21" t="n">
        <f aca="false">PL!E160</f>
        <v>460.658885979082</v>
      </c>
      <c r="D35" s="21" t="n">
        <f aca="false">PL!E169</f>
        <v>1364.07924163661</v>
      </c>
      <c r="E35" s="14" t="n">
        <f aca="false">D35/D$4-1</f>
        <v>-0.184476135742035</v>
      </c>
      <c r="F35" s="21" t="n">
        <f aca="false">PL!F160</f>
        <v>446.808741216217</v>
      </c>
      <c r="G35" s="21" t="n">
        <f aca="false">PL!F169</f>
        <v>1280.75907074097</v>
      </c>
      <c r="H35" s="14" t="n">
        <f aca="false">G35/G$4-1</f>
        <v>-0.287422867381794</v>
      </c>
      <c r="I35" s="14" t="n">
        <f aca="false">PL!E161</f>
        <v>0.233092916364813</v>
      </c>
    </row>
    <row r="37" customFormat="false" ht="17.15" hidden="false" customHeight="false" outlineLevel="0" collapsed="false">
      <c r="A37" s="5" t="s">
        <v>710</v>
      </c>
    </row>
    <row r="60" customFormat="false" ht="17.15" hidden="false" customHeight="false" outlineLevel="0" collapsed="false">
      <c r="A60" s="3" t="s">
        <v>711</v>
      </c>
    </row>
    <row r="61" customFormat="false" ht="17.15" hidden="false" customHeight="false" outlineLevel="0" collapsed="false">
      <c r="A61" s="6" t="s">
        <v>18</v>
      </c>
      <c r="B61" s="6" t="s">
        <v>19</v>
      </c>
      <c r="C61" s="9" t="s">
        <v>464</v>
      </c>
      <c r="D61" s="9" t="s">
        <v>465</v>
      </c>
      <c r="E61" s="9" t="s">
        <v>466</v>
      </c>
      <c r="F61" s="9" t="s">
        <v>467</v>
      </c>
      <c r="G61" s="9" t="s">
        <v>468</v>
      </c>
      <c r="H61" s="9" t="s">
        <v>469</v>
      </c>
      <c r="I61" s="9" t="s">
        <v>470</v>
      </c>
      <c r="J61" s="6" t="s">
        <v>450</v>
      </c>
    </row>
    <row r="62" customFormat="false" ht="17.15" hidden="false" customHeight="false" outlineLevel="0" collapsed="false">
      <c r="A62" s="1" t="s">
        <v>471</v>
      </c>
    </row>
    <row r="63" customFormat="false" ht="17.15" hidden="false" customHeight="false" outlineLevel="0" collapsed="false">
      <c r="A63" s="0" t="s">
        <v>472</v>
      </c>
      <c r="B63" s="0" t="s">
        <v>96</v>
      </c>
      <c r="C63" s="19" t="n">
        <f aca="false">hsA_25</f>
        <v>2.22511470588235</v>
      </c>
      <c r="D63" s="19" t="n">
        <f aca="false">hsA_26</f>
        <v>3.782695</v>
      </c>
      <c r="E63" s="19" t="n">
        <f aca="false">hsA_27</f>
        <v>5.86317725</v>
      </c>
      <c r="F63" s="19" t="n">
        <f aca="false">hsA_28</f>
        <v>8.5016070125</v>
      </c>
      <c r="G63" s="19" t="n">
        <f aca="false">hsA_29</f>
        <v>11.477169466875</v>
      </c>
      <c r="H63" s="19" t="n">
        <f aca="false">G63*(1+g_tail)</f>
        <v>12.6248864135625</v>
      </c>
      <c r="I63" s="19" t="n">
        <f aca="false">H63*(1+g_tail)</f>
        <v>13.8873750549188</v>
      </c>
      <c r="J63" s="8" t="s">
        <v>473</v>
      </c>
    </row>
    <row r="64" customFormat="false" ht="17.15" hidden="false" customHeight="false" outlineLevel="0" collapsed="false">
      <c r="A64" s="0" t="s">
        <v>474</v>
      </c>
      <c r="B64" s="0" t="s">
        <v>475</v>
      </c>
      <c r="C64" s="19" t="n">
        <f aca="false">den_25</f>
        <v>24</v>
      </c>
      <c r="D64" s="19" t="n">
        <f aca="false">den_26</f>
        <v>24</v>
      </c>
      <c r="E64" s="19" t="n">
        <f aca="false">den_27</f>
        <v>26</v>
      </c>
      <c r="F64" s="19" t="n">
        <f aca="false">den_28</f>
        <v>28</v>
      </c>
      <c r="G64" s="19" t="n">
        <f aca="false">den_29</f>
        <v>30</v>
      </c>
      <c r="H64" s="19" t="n">
        <f aca="false">den_30</f>
        <v>32</v>
      </c>
      <c r="I64" s="19" t="n">
        <f aca="false">den_30</f>
        <v>32</v>
      </c>
    </row>
    <row r="65" customFormat="false" ht="15" hidden="false" customHeight="false" outlineLevel="0" collapsed="false">
      <c r="A65" s="5" t="s">
        <v>476</v>
      </c>
      <c r="B65" s="5" t="s">
        <v>148</v>
      </c>
      <c r="C65" s="19" t="n">
        <f aca="false">stk_25</f>
        <v>10</v>
      </c>
      <c r="D65" s="19" t="n">
        <f aca="false">stk_26</f>
        <v>12</v>
      </c>
      <c r="E65" s="19" t="n">
        <f aca="false">stk_27</f>
        <v>12.5</v>
      </c>
      <c r="F65" s="19" t="n">
        <f aca="false">stk_28</f>
        <v>14</v>
      </c>
      <c r="G65" s="19" t="n">
        <f aca="false">stk_29</f>
        <v>15</v>
      </c>
      <c r="H65" s="19" t="n">
        <f aca="false">stk_30</f>
        <v>16</v>
      </c>
      <c r="I65" s="19" t="n">
        <f aca="false">stk_30</f>
        <v>16</v>
      </c>
    </row>
    <row r="66" customFormat="false" ht="17.15" hidden="false" customHeight="false" outlineLevel="0" collapsed="false">
      <c r="A66" s="0" t="s">
        <v>477</v>
      </c>
      <c r="B66" s="5" t="s">
        <v>478</v>
      </c>
      <c r="C66" s="19" t="n">
        <f aca="false">C63*8/C64</f>
        <v>0.741704901960783</v>
      </c>
      <c r="D66" s="19" t="n">
        <f aca="false">D63*8/D64</f>
        <v>1.26089833333333</v>
      </c>
      <c r="E66" s="19" t="n">
        <f aca="false">E63*8/E64</f>
        <v>1.80405453846154</v>
      </c>
      <c r="F66" s="19" t="n">
        <f aca="false">F63*8/F64</f>
        <v>2.429030575</v>
      </c>
      <c r="G66" s="19" t="n">
        <f aca="false">G63*8/G64</f>
        <v>3.0605785245</v>
      </c>
      <c r="H66" s="19" t="n">
        <f aca="false">H63*8/H64</f>
        <v>3.15622160339063</v>
      </c>
      <c r="I66" s="19" t="n">
        <f aca="false">I63*8/I64</f>
        <v>3.47184376372969</v>
      </c>
      <c r="J66" s="8" t="s">
        <v>479</v>
      </c>
    </row>
    <row r="67" customFormat="false" ht="17.15" hidden="false" customHeight="false" outlineLevel="0" collapsed="false">
      <c r="A67" s="0" t="s">
        <v>480</v>
      </c>
      <c r="B67" s="5" t="s">
        <v>481</v>
      </c>
      <c r="C67" s="19" t="n">
        <f aca="false">C66*(1+s_stk/C65)</f>
        <v>0.964216372549018</v>
      </c>
      <c r="D67" s="19" t="n">
        <f aca="false">D66*(1+s_stk/D65)</f>
        <v>1.57612291666667</v>
      </c>
      <c r="E67" s="19" t="n">
        <f aca="false">E66*(1+s_stk/E65)</f>
        <v>2.23702762769231</v>
      </c>
      <c r="F67" s="19" t="n">
        <f aca="false">F66*(1+s_stk/F65)</f>
        <v>2.94953712678571</v>
      </c>
      <c r="G67" s="19" t="n">
        <f aca="false">G66*(1+s_stk/G65)</f>
        <v>3.6726942294</v>
      </c>
      <c r="H67" s="19" t="n">
        <f aca="false">H66*(1+s_stk/H65)</f>
        <v>3.74801315402637</v>
      </c>
      <c r="I67" s="19" t="n">
        <f aca="false">I66*(1+s_stk/I65)</f>
        <v>4.12281446942901</v>
      </c>
      <c r="J67" s="5" t="s">
        <v>482</v>
      </c>
    </row>
    <row r="68" customFormat="false" ht="17.15" hidden="false" customHeight="false" outlineLevel="0" collapsed="false">
      <c r="A68" s="5" t="s">
        <v>483</v>
      </c>
      <c r="B68" s="0" t="s">
        <v>56</v>
      </c>
      <c r="C68" s="22" t="n">
        <f aca="false">hbp_25*hb_on</f>
        <v>0</v>
      </c>
      <c r="D68" s="22" t="n">
        <f aca="false">hbp_26*hb_on</f>
        <v>0</v>
      </c>
      <c r="E68" s="22" t="n">
        <f aca="false">hbp_27*hb_on</f>
        <v>0</v>
      </c>
      <c r="F68" s="22" t="n">
        <f aca="false">hbp_28*hb_on</f>
        <v>0.05</v>
      </c>
      <c r="G68" s="22" t="n">
        <f aca="false">hbp_29*hb_on</f>
        <v>0.15</v>
      </c>
      <c r="H68" s="22" t="n">
        <f aca="false">hbp_30*hb_on</f>
        <v>0.25</v>
      </c>
      <c r="I68" s="22" t="n">
        <f aca="false">hbp_30*hb_on</f>
        <v>0.25</v>
      </c>
    </row>
    <row r="69" customFormat="false" ht="17.15" hidden="false" customHeight="false" outlineLevel="0" collapsed="false">
      <c r="A69" s="0" t="s">
        <v>484</v>
      </c>
      <c r="B69" s="5" t="s">
        <v>481</v>
      </c>
      <c r="C69" s="19" t="n">
        <f aca="false">C67*(1+C68*hb_eff)</f>
        <v>0.964216372549018</v>
      </c>
      <c r="D69" s="19" t="n">
        <f aca="false">D67*(1+D68*hb_eff)</f>
        <v>1.57612291666667</v>
      </c>
      <c r="E69" s="19" t="n">
        <f aca="false">E67*(1+E68*hb_eff)</f>
        <v>2.23702762769231</v>
      </c>
      <c r="F69" s="19" t="n">
        <f aca="false">F67*(1+F68*hb_eff)</f>
        <v>2.96428481241964</v>
      </c>
      <c r="G69" s="19" t="n">
        <f aca="false">G67*(1+G68*hb_eff)</f>
        <v>3.727784642841</v>
      </c>
      <c r="H69" s="19" t="n">
        <f aca="false">H67*(1+H68*hb_eff)</f>
        <v>3.84171348287703</v>
      </c>
      <c r="I69" s="19" t="n">
        <f aca="false">I67*(1+I68*hb_eff)</f>
        <v>4.22588483116473</v>
      </c>
      <c r="J69" s="5" t="s">
        <v>485</v>
      </c>
    </row>
    <row r="70" customFormat="false" ht="17.15" hidden="false" customHeight="false" outlineLevel="0" collapsed="false">
      <c r="A70" s="0" t="s">
        <v>486</v>
      </c>
      <c r="B70" s="5" t="s">
        <v>481</v>
      </c>
      <c r="C70" s="19" t="n">
        <f aca="false">MAX(0,D69-C69)+dlt_lo*C69</f>
        <v>0.660117362745099</v>
      </c>
      <c r="D70" s="19" t="n">
        <f aca="false">MAX(0,E69-D69)+dlt_lo*D69</f>
        <v>0.739710856858974</v>
      </c>
      <c r="E70" s="19" t="n">
        <f aca="false">MAX(0,F69-E69)+dlt_lo*E69</f>
        <v>0.83910856611195</v>
      </c>
      <c r="F70" s="19" t="n">
        <f aca="false">MAX(0,G69-F69)+dlt_lo*F69</f>
        <v>0.91171407104234</v>
      </c>
      <c r="G70" s="19" t="n">
        <f aca="false">MAX(0,H69-G69)+dlt_lo*G69</f>
        <v>0.300318072178077</v>
      </c>
      <c r="H70" s="19" t="n">
        <f aca="false">MAX(0,I69-H69)+dlt_lo*H69</f>
        <v>0.576257022431555</v>
      </c>
      <c r="J70" s="5" t="s">
        <v>487</v>
      </c>
    </row>
    <row r="71" customFormat="false" ht="17.15" hidden="false" customHeight="false" outlineLevel="0" collapsed="false">
      <c r="A71" s="0" t="s">
        <v>488</v>
      </c>
      <c r="B71" s="5" t="s">
        <v>177</v>
      </c>
      <c r="C71" s="21" t="n">
        <f aca="false">cw_25</f>
        <v>670</v>
      </c>
      <c r="D71" s="21" t="n">
        <f aca="false">cw_26</f>
        <v>1107.85762580894</v>
      </c>
      <c r="E71" s="21" t="n">
        <f aca="false">cw_27</f>
        <v>2096.42857142857</v>
      </c>
      <c r="F71" s="21" t="n">
        <f aca="false">cw_28*um28_A</f>
        <v>2620.08928571429</v>
      </c>
      <c r="G71" s="21" t="n">
        <f aca="false">cw_29*um29_A</f>
        <v>3013.32589285714</v>
      </c>
      <c r="H71" s="21" t="n">
        <f aca="false">G71*(1+g_tail)</f>
        <v>3314.65848214285</v>
      </c>
      <c r="I71" s="21" t="n">
        <f aca="false">H71*(1+g_tail)</f>
        <v>3646.12433035714</v>
      </c>
      <c r="J71" s="5" t="s">
        <v>489</v>
      </c>
    </row>
    <row r="72" customFormat="false" ht="15" hidden="false" customHeight="false" outlineLevel="0" collapsed="false">
      <c r="A72" s="5" t="s">
        <v>490</v>
      </c>
      <c r="B72" s="5" t="s">
        <v>177</v>
      </c>
      <c r="C72" s="21" t="n">
        <f aca="false">MAX(0,D71-C71)+dlt_lo*C71</f>
        <v>471.35762580894</v>
      </c>
      <c r="D72" s="21" t="n">
        <f aca="false">MAX(0,E71-D71)+dlt_lo*D71</f>
        <v>1043.96382691008</v>
      </c>
      <c r="E72" s="21" t="n">
        <f aca="false">MAX(0,F71-E71)+dlt_lo*E71</f>
        <v>628.482142857148</v>
      </c>
      <c r="F72" s="21" t="n">
        <f aca="false">MAX(0,G71-F71)+dlt_lo*F71</f>
        <v>524.241071428565</v>
      </c>
      <c r="G72" s="21" t="n">
        <f aca="false">MAX(0,H71-G71)+dlt_lo*G71</f>
        <v>451.998883928571</v>
      </c>
      <c r="H72" s="21" t="n">
        <f aca="false">MAX(0,I71-H71)+dlt_lo*H71</f>
        <v>497.198772321429</v>
      </c>
    </row>
    <row r="73" customFormat="false" ht="17.15" hidden="false" customHeight="false" outlineLevel="0" collapsed="false">
      <c r="A73" s="1" t="s">
        <v>491</v>
      </c>
    </row>
    <row r="74" customFormat="false" ht="17.15" hidden="false" customHeight="false" outlineLevel="0" collapsed="false">
      <c r="A74" s="0" t="s">
        <v>492</v>
      </c>
      <c r="B74" s="0" t="s">
        <v>493</v>
      </c>
      <c r="C74" s="16" t="n">
        <f aca="false">ai25*w_hbm/(0.75*C70+0.25*D70)</f>
        <v>52.9399513565335</v>
      </c>
      <c r="J74" s="5" t="s">
        <v>494</v>
      </c>
    </row>
    <row r="75" customFormat="false" ht="17.15" hidden="false" customHeight="false" outlineLevel="0" collapsed="false">
      <c r="A75" s="5" t="s">
        <v>495</v>
      </c>
      <c r="B75" s="0" t="s">
        <v>496</v>
      </c>
      <c r="C75" s="18" t="n">
        <f aca="false">ai25*(1-w_hbm)/(0.75*C72+0.25*D72)</f>
        <v>0.0634652850076476</v>
      </c>
    </row>
    <row r="76" customFormat="false" ht="17.15" hidden="false" customHeight="false" outlineLevel="0" collapsed="false">
      <c r="A76" s="1" t="s">
        <v>497</v>
      </c>
    </row>
    <row r="77" customFormat="false" ht="17.15" hidden="false" customHeight="false" outlineLevel="0" collapsed="false">
      <c r="A77" s="5" t="s">
        <v>498</v>
      </c>
      <c r="B77" s="0" t="s">
        <v>76</v>
      </c>
      <c r="C77" s="16" t="n">
        <f aca="false">1-sh_loss/sh*0</f>
        <v>1</v>
      </c>
      <c r="D77" s="16" t="n">
        <f aca="false">1-sh_loss/sh*0.25</f>
        <v>1</v>
      </c>
      <c r="E77" s="16" t="n">
        <f aca="false">1-sh_loss/sh*0.5</f>
        <v>1</v>
      </c>
      <c r="F77" s="16" t="n">
        <f aca="false">1-sh_loss/sh*0.75</f>
        <v>1</v>
      </c>
      <c r="G77" s="16" t="n">
        <f aca="false">1-sh_loss/sh*1</f>
        <v>1</v>
      </c>
    </row>
    <row r="78" customFormat="false" ht="17.15" hidden="false" customHeight="false" outlineLevel="0" collapsed="false">
      <c r="A78" s="0" t="s">
        <v>499</v>
      </c>
      <c r="B78" s="0" t="s">
        <v>29</v>
      </c>
      <c r="C78" s="11" t="n">
        <f aca="false">$C$74*(0.75*C70+0.25*D70)*C77</f>
        <v>36</v>
      </c>
      <c r="D78" s="11" t="n">
        <f aca="false">$C$74*(0.75*D70+0.25*E70)*D77</f>
        <v>40.4757842532147</v>
      </c>
      <c r="E78" s="11" t="n">
        <f aca="false">$C$74*(0.75*E70+0.25*F70)*E77</f>
        <v>45.3832996476251</v>
      </c>
      <c r="F78" s="11" t="n">
        <f aca="false">$C$74*(0.75*F70+0.25*G70)*F77</f>
        <v>40.1742799621853</v>
      </c>
      <c r="G78" s="11" t="n">
        <f aca="false">$C$74*(0.75*G70+0.25*H70)*G77</f>
        <v>19.5508727835433</v>
      </c>
    </row>
    <row r="79" customFormat="false" ht="17.15" hidden="false" customHeight="false" outlineLevel="0" collapsed="false">
      <c r="A79" s="5" t="s">
        <v>500</v>
      </c>
      <c r="B79" s="0" t="s">
        <v>29</v>
      </c>
      <c r="C79" s="11" t="n">
        <f aca="false">$C$75*(0.75*C72+0.25*D72)*C77</f>
        <v>39</v>
      </c>
      <c r="D79" s="11" t="n">
        <f aca="false">$C$75*(0.75*D72+0.25*E72)*D77</f>
        <v>59.6632959390534</v>
      </c>
      <c r="E79" s="11" t="n">
        <f aca="false">$C$75*(0.75*E72+0.25*F72)*E77</f>
        <v>38.2328759917166</v>
      </c>
      <c r="F79" s="11" t="n">
        <f aca="false">$C$75*(0.75*F72+0.25*G72)*F77</f>
        <v>32.1248912561127</v>
      </c>
      <c r="G79" s="11" t="n">
        <f aca="false">$C$75*(0.75*G72+0.25*H72)*G77</f>
        <v>29.403393941457</v>
      </c>
    </row>
    <row r="80" customFormat="false" ht="17.15" hidden="false" customHeight="false" outlineLevel="0" collapsed="false">
      <c r="A80" s="0" t="s">
        <v>501</v>
      </c>
      <c r="B80" s="0" t="s">
        <v>29</v>
      </c>
      <c r="C80" s="11" t="n">
        <f aca="false">C78+C79</f>
        <v>75</v>
      </c>
      <c r="D80" s="11" t="n">
        <f aca="false">D78+D79</f>
        <v>100.139080192268</v>
      </c>
      <c r="E80" s="11" t="n">
        <f aca="false">E78+E79</f>
        <v>83.6161756393417</v>
      </c>
      <c r="F80" s="11" t="n">
        <f aca="false">F78+F79</f>
        <v>72.2991712182979</v>
      </c>
      <c r="G80" s="11" t="n">
        <f aca="false">G78+G79</f>
        <v>48.9542667250003</v>
      </c>
    </row>
    <row r="81" customFormat="false" ht="17.15" hidden="false" customHeight="false" outlineLevel="0" collapsed="false">
      <c r="A81" s="5" t="s">
        <v>502</v>
      </c>
      <c r="B81" s="0" t="s">
        <v>29</v>
      </c>
      <c r="C81" s="11" t="n">
        <f aca="false">eq25-ai25</f>
        <v>195.87118</v>
      </c>
      <c r="D81" s="11" t="n">
        <f aca="false">C81*(1+g_non)*D77/C77</f>
        <v>207.6234508</v>
      </c>
      <c r="E81" s="11" t="n">
        <f aca="false">D81*(1+g_non)*E77/D77</f>
        <v>220.080857848</v>
      </c>
      <c r="F81" s="11" t="n">
        <f aca="false">E81*(1+g_non)*F77/E77</f>
        <v>233.28570931888</v>
      </c>
      <c r="G81" s="11" t="n">
        <f aca="false">F81*(1+g_non)*G77/F77</f>
        <v>247.282851878013</v>
      </c>
    </row>
    <row r="82" customFormat="false" ht="15" hidden="false" customHeight="false" outlineLevel="0" collapsed="false">
      <c r="A82" s="5" t="s">
        <v>503</v>
      </c>
      <c r="B82" s="0" t="s">
        <v>29</v>
      </c>
      <c r="C82" s="11" t="n">
        <f aca="false">C80+C81</f>
        <v>270.87118</v>
      </c>
      <c r="D82" s="11" t="n">
        <f aca="false">D80+D81</f>
        <v>307.762530992268</v>
      </c>
      <c r="E82" s="11" t="n">
        <f aca="false">E80+E81</f>
        <v>303.697033487342</v>
      </c>
      <c r="F82" s="11" t="n">
        <f aca="false">F80+F81</f>
        <v>305.584880537178</v>
      </c>
      <c r="G82" s="11" t="n">
        <f aca="false">G80+G81</f>
        <v>296.237118603013</v>
      </c>
    </row>
    <row r="83" customFormat="false" ht="17.15" hidden="false" customHeight="false" outlineLevel="0" collapsed="false">
      <c r="A83" s="0" t="s">
        <v>504</v>
      </c>
      <c r="B83" s="0" t="s">
        <v>76</v>
      </c>
      <c r="C83" s="19" t="n">
        <f aca="false">w_hbm*(0.75*C69+0.25*D69)/(0.75*C69+0.25*D69)+(1-w_hbm)*(0.75*C71+0.25*D71)/(0.75*C71+0.25*D71)</f>
        <v>1</v>
      </c>
      <c r="D83" s="19" t="n">
        <f aca="false">w_hbm*(0.75*D69+0.25*E69)/(0.75*C69+0.25*D69)+(1-w_hbm)*(0.75*D71+0.25*E71)/(0.75*C71+0.25*D71)</f>
        <v>1.65212184085657</v>
      </c>
      <c r="E83" s="19" t="n">
        <f aca="false">w_hbm*(0.75*E69+0.25*F69)/(0.75*C69+0.25*D69)+(1-w_hbm)*(0.75*E71+0.25*F71)/(0.75*C71+0.25*D71)</f>
        <v>2.52516730417954</v>
      </c>
      <c r="F83" s="19" t="n">
        <f aca="false">w_hbm*(0.75*F69+0.25*G69)/(0.75*C69+0.25*D69)+(1-w_hbm)*(0.75*F71+0.25*G71)/(0.75*C71+0.25*D71)</f>
        <v>3.16911970169284</v>
      </c>
      <c r="G83" s="19" t="n">
        <f aca="false">w_hbm*(0.75*G69+0.25*H69)/(0.75*C69+0.25*D69)+(1-w_hbm)*(0.75*G71+0.25*H71)/(0.75*C71+0.25*D71)</f>
        <v>3.67439430985121</v>
      </c>
      <c r="J83" s="8" t="s">
        <v>505</v>
      </c>
    </row>
    <row r="84" customFormat="false" ht="17.15" hidden="false" customHeight="false" outlineLevel="0" collapsed="false">
      <c r="A84" s="0" t="s">
        <v>506</v>
      </c>
      <c r="B84" s="0" t="s">
        <v>29</v>
      </c>
      <c r="C84" s="11" t="n">
        <f aca="false">tl25*w_tlai*C83</f>
        <v>25.4032258064516</v>
      </c>
      <c r="D84" s="11" t="n">
        <f aca="false">tl25*w_tlai*D83</f>
        <v>41.9692241830499</v>
      </c>
      <c r="E84" s="11" t="n">
        <f aca="false">tl25*w_tlai*E83</f>
        <v>64.1473952271414</v>
      </c>
      <c r="F84" s="11" t="n">
        <f aca="false">tl25*w_tlai*F83</f>
        <v>80.5058633897778</v>
      </c>
      <c r="G84" s="11" t="n">
        <f aca="false">tl25*w_tlai*G83</f>
        <v>93.3414683550913</v>
      </c>
      <c r="J84" s="5" t="s">
        <v>507</v>
      </c>
    </row>
    <row r="85" customFormat="false" ht="17.15" hidden="false" customHeight="false" outlineLevel="0" collapsed="false">
      <c r="A85" s="5" t="s">
        <v>508</v>
      </c>
      <c r="B85" s="0" t="s">
        <v>29</v>
      </c>
      <c r="C85" s="11" t="n">
        <f aca="false">tl25*(1-w_tlai)</f>
        <v>66.3434641935484</v>
      </c>
      <c r="D85" s="11" t="n">
        <f aca="false">C85*(1+g_tl)</f>
        <v>69.6606374032258</v>
      </c>
      <c r="E85" s="11" t="n">
        <f aca="false">D85*(1+g_tl)</f>
        <v>73.1436692733871</v>
      </c>
      <c r="F85" s="11" t="n">
        <f aca="false">E85*(1+g_tl)</f>
        <v>76.8008527370565</v>
      </c>
      <c r="G85" s="11" t="n">
        <f aca="false">F85*(1+g_tl)</f>
        <v>80.6408953739093</v>
      </c>
    </row>
    <row r="86" customFormat="false" ht="15" hidden="false" customHeight="false" outlineLevel="0" collapsed="false">
      <c r="A86" s="5" t="s">
        <v>509</v>
      </c>
      <c r="B86" s="0" t="s">
        <v>29</v>
      </c>
      <c r="C86" s="11" t="n">
        <f aca="false">C84+C85</f>
        <v>91.74669</v>
      </c>
      <c r="D86" s="11" t="n">
        <f aca="false">D84+D85</f>
        <v>111.629861586276</v>
      </c>
      <c r="E86" s="11" t="n">
        <f aca="false">E84+E85</f>
        <v>137.291064500529</v>
      </c>
      <c r="F86" s="11" t="n">
        <f aca="false">F84+F85</f>
        <v>157.306716126834</v>
      </c>
      <c r="G86" s="11" t="n">
        <f aca="false">G84+G85</f>
        <v>173.982363729001</v>
      </c>
    </row>
    <row r="87" customFormat="false" ht="15" hidden="false" customHeight="false" outlineLevel="0" collapsed="false">
      <c r="A87" s="5" t="s">
        <v>393</v>
      </c>
      <c r="B87" s="0" t="s">
        <v>29</v>
      </c>
      <c r="C87" s="11" t="n">
        <f aca="false">r_ot*(C82+C86)</f>
        <v>74.27113</v>
      </c>
      <c r="D87" s="11" t="n">
        <f aca="false">r_ot*(D82+D86)</f>
        <v>85.8996466727138</v>
      </c>
      <c r="E87" s="11" t="n">
        <f aca="false">r_ot*(E82+E86)</f>
        <v>90.3228634432988</v>
      </c>
      <c r="F87" s="11" t="n">
        <f aca="false">r_ot*(F82+F86)</f>
        <v>94.8091222082917</v>
      </c>
      <c r="G87" s="11" t="n">
        <f aca="false">r_ot*(G82+G86)</f>
        <v>96.310014453545</v>
      </c>
    </row>
    <row r="88" customFormat="false" ht="15" hidden="false" customHeight="false" outlineLevel="0" collapsed="false">
      <c r="A88" s="5" t="s">
        <v>363</v>
      </c>
      <c r="B88" s="0" t="s">
        <v>29</v>
      </c>
      <c r="C88" s="11" t="n">
        <f aca="false">C82+C86+C87</f>
        <v>436.889</v>
      </c>
      <c r="D88" s="11" t="n">
        <f aca="false">D82+D86+D87</f>
        <v>505.292039251258</v>
      </c>
      <c r="E88" s="11" t="n">
        <f aca="false">E82+E86+E87</f>
        <v>531.310961431169</v>
      </c>
      <c r="F88" s="11" t="n">
        <f aca="false">F82+F86+F87</f>
        <v>557.700718872304</v>
      </c>
      <c r="G88" s="11" t="n">
        <f aca="false">G82+G86+G87</f>
        <v>566.529496785559</v>
      </c>
    </row>
    <row r="89" customFormat="false" ht="17.15" hidden="false" customHeight="false" outlineLevel="0" collapsed="false">
      <c r="A89" s="0" t="s">
        <v>510</v>
      </c>
      <c r="B89" s="0" t="s">
        <v>56</v>
      </c>
      <c r="C89" s="14" t="n">
        <f aca="false">(C80+C84)*(1+r_ot)/C88</f>
        <v>0.276884384673187</v>
      </c>
      <c r="D89" s="14" t="n">
        <f aca="false">(D80+D84)*(1+r_ot)/D88</f>
        <v>0.338843304957431</v>
      </c>
      <c r="E89" s="14" t="n">
        <f aca="false">(E80+E84)*(1+r_ot)/E88</f>
        <v>0.33507382974891</v>
      </c>
      <c r="F89" s="14" t="n">
        <f aca="false">(F80+F84)*(1+r_ot)/F88</f>
        <v>0.330109761571214</v>
      </c>
      <c r="G89" s="14" t="n">
        <f aca="false">(G80+G84)*(1+r_ot)/G88</f>
        <v>0.302615566616653</v>
      </c>
    </row>
    <row r="90" customFormat="false" ht="17.15" hidden="false" customHeight="false" outlineLevel="0" collapsed="false">
      <c r="A90" s="0" t="s">
        <v>511</v>
      </c>
      <c r="B90" s="0" t="s">
        <v>56</v>
      </c>
      <c r="C90" s="14" t="n">
        <f aca="false">C80*(1+r_ot)/C88</f>
        <v>0.206829299394429</v>
      </c>
      <c r="D90" s="14" t="n">
        <f aca="false">D80*(1+r_ot)/D88</f>
        <v>0.238771808846089</v>
      </c>
      <c r="E90" s="14" t="n">
        <f aca="false">E80*(1+r_ot)/E88</f>
        <v>0.189610957803314</v>
      </c>
      <c r="F90" s="14" t="n">
        <f aca="false">F80*(1+r_ot)/F88</f>
        <v>0.15619028675255</v>
      </c>
      <c r="G90" s="14" t="n">
        <f aca="false">G80*(1+r_ot)/G88</f>
        <v>0.104109396918681</v>
      </c>
      <c r="J90" s="5" t="s">
        <v>512</v>
      </c>
    </row>
    <row r="91" customFormat="false" ht="17.15" hidden="false" customHeight="false" outlineLevel="0" collapsed="false">
      <c r="A91" s="5" t="s">
        <v>401</v>
      </c>
      <c r="B91" s="0" t="s">
        <v>56</v>
      </c>
      <c r="C91" s="14" t="n">
        <f aca="false">a25_gp/a25_rev</f>
        <v>0.701498549974936</v>
      </c>
      <c r="D91" s="14" t="n">
        <f aca="false">gm_a+gm_b*LN(D88)+0</f>
        <v>0.719010592002505</v>
      </c>
      <c r="E91" s="14" t="n">
        <f aca="false">gm_a+gm_b*LN(E88)+0</f>
        <v>0.72472589663124</v>
      </c>
      <c r="F91" s="14" t="n">
        <f aca="false">gm_a+gm_b*LN(F88)+0</f>
        <v>0.730243610879628</v>
      </c>
      <c r="G91" s="14" t="n">
        <f aca="false">gm_a+gm_b*LN(G88)+0</f>
        <v>0.73203143824484</v>
      </c>
      <c r="J91" s="8" t="s">
        <v>513</v>
      </c>
    </row>
    <row r="92" customFormat="false" ht="15" hidden="false" customHeight="false" outlineLevel="0" collapsed="false">
      <c r="A92" s="5" t="s">
        <v>398</v>
      </c>
      <c r="B92" s="0" t="s">
        <v>29</v>
      </c>
      <c r="C92" s="11" t="n">
        <f aca="false">C88*C91</f>
        <v>306.477</v>
      </c>
      <c r="D92" s="11" t="n">
        <f aca="false">D88*D91</f>
        <v>363.3103282762</v>
      </c>
      <c r="E92" s="11" t="n">
        <f aca="false">E88*E91</f>
        <v>385.05481291321</v>
      </c>
      <c r="F92" s="11" t="n">
        <f aca="false">F88*F91</f>
        <v>407.257386739476</v>
      </c>
      <c r="G92" s="11" t="n">
        <f aca="false">G88*G91</f>
        <v>414.717402340058</v>
      </c>
    </row>
    <row r="93" customFormat="false" ht="17.15" hidden="false" customHeight="false" outlineLevel="0" collapsed="false">
      <c r="A93" s="5" t="s">
        <v>399</v>
      </c>
      <c r="B93" s="0" t="s">
        <v>29</v>
      </c>
      <c r="C93" s="11" t="n">
        <f aca="false">a25_sga</f>
        <v>121.487</v>
      </c>
      <c r="D93" s="11" t="n">
        <f aca="false">sg_f+sg_v*D88</f>
        <v>135.642395634412</v>
      </c>
      <c r="E93" s="11" t="n">
        <f aca="false">sg_f+sg_v*E88</f>
        <v>142.208713855838</v>
      </c>
      <c r="F93" s="11" t="n">
        <f aca="false">sg_f+sg_v*F88</f>
        <v>148.868618672285</v>
      </c>
      <c r="G93" s="11" t="n">
        <f aca="false">sg_f+sg_v*G88</f>
        <v>151.096711169117</v>
      </c>
      <c r="J93" s="5" t="s">
        <v>514</v>
      </c>
    </row>
    <row r="94" customFormat="false" ht="15" hidden="false" customHeight="false" outlineLevel="0" collapsed="false">
      <c r="A94" s="5" t="s">
        <v>367</v>
      </c>
      <c r="B94" s="0" t="s">
        <v>29</v>
      </c>
      <c r="C94" s="11" t="n">
        <f aca="false">C92-C93</f>
        <v>184.99</v>
      </c>
      <c r="D94" s="11" t="n">
        <f aca="false">D92-D93</f>
        <v>227.667932641788</v>
      </c>
      <c r="E94" s="11" t="n">
        <f aca="false">E92-E93</f>
        <v>242.846099057372</v>
      </c>
      <c r="F94" s="11" t="n">
        <f aca="false">F92-F93</f>
        <v>258.388768067191</v>
      </c>
      <c r="G94" s="11" t="n">
        <f aca="false">G92-G93</f>
        <v>263.620691170941</v>
      </c>
    </row>
    <row r="95" customFormat="false" ht="15" hidden="false" customHeight="false" outlineLevel="0" collapsed="false">
      <c r="A95" s="5" t="s">
        <v>515</v>
      </c>
      <c r="B95" s="0" t="s">
        <v>56</v>
      </c>
      <c r="C95" s="14" t="n">
        <f aca="false">C94/C88</f>
        <v>0.423425629851061</v>
      </c>
      <c r="D95" s="14" t="n">
        <f aca="false">D94/D88</f>
        <v>0.450567028483462</v>
      </c>
      <c r="E95" s="14" t="n">
        <f aca="false">E94/E88</f>
        <v>0.457069619650286</v>
      </c>
      <c r="F95" s="14" t="n">
        <f aca="false">F94/F88</f>
        <v>0.463310803309819</v>
      </c>
      <c r="G95" s="14" t="n">
        <f aca="false">G94/G88</f>
        <v>0.465325623231805</v>
      </c>
    </row>
    <row r="96" customFormat="false" ht="15" hidden="false" customHeight="false" outlineLevel="0" collapsed="false">
      <c r="A96" s="5" t="s">
        <v>370</v>
      </c>
      <c r="B96" s="0" t="s">
        <v>29</v>
      </c>
      <c r="C96" s="11" t="n">
        <f aca="false">a25_ni</f>
        <v>135.521</v>
      </c>
      <c r="D96" s="11" t="n">
        <f aca="false">D94*nioi</f>
        <v>166.787138151716</v>
      </c>
      <c r="E96" s="11" t="n">
        <f aca="false">E94*nioi</f>
        <v>177.906503577802</v>
      </c>
      <c r="F96" s="11" t="n">
        <f aca="false">F94*nioi</f>
        <v>189.292899779088</v>
      </c>
      <c r="G96" s="11" t="n">
        <f aca="false">G94*nioi</f>
        <v>193.125751737547</v>
      </c>
    </row>
    <row r="97" customFormat="false" ht="15" hidden="false" customHeight="false" outlineLevel="0" collapsed="false">
      <c r="A97" s="0" t="s">
        <v>459</v>
      </c>
      <c r="B97" s="0" t="s">
        <v>51</v>
      </c>
      <c r="C97" s="11" t="n">
        <f aca="false">a25_eps</f>
        <v>1249.84</v>
      </c>
      <c r="D97" s="11" t="n">
        <f aca="false">D96*1000/shares</f>
        <v>1537.47956888104</v>
      </c>
      <c r="E97" s="11" t="n">
        <f aca="false">E96*1000/shares</f>
        <v>1639.98026138636</v>
      </c>
      <c r="F97" s="11" t="n">
        <f aca="false">F96*1000/shares</f>
        <v>1744.94250078121</v>
      </c>
      <c r="G97" s="11" t="n">
        <f aca="false">G96*1000/shares</f>
        <v>1780.27455121375</v>
      </c>
    </row>
    <row r="98" customFormat="false" ht="17.15" hidden="false" customHeight="false" outlineLevel="0" collapsed="false">
      <c r="A98" s="5" t="s">
        <v>516</v>
      </c>
      <c r="B98" s="0" t="s">
        <v>29</v>
      </c>
      <c r="C98" s="16" t="n">
        <f aca="false">ABS(C88-a25_rev)+ABS(C94-a25_oi)</f>
        <v>0.000999999999976353</v>
      </c>
    </row>
    <row r="100" customFormat="false" ht="17.15" hidden="false" customHeight="false" outlineLevel="0" collapsed="false">
      <c r="A100" s="3" t="s">
        <v>712</v>
      </c>
    </row>
    <row r="101" customFormat="false" ht="17.15" hidden="false" customHeight="false" outlineLevel="0" collapsed="false">
      <c r="A101" s="6" t="s">
        <v>18</v>
      </c>
      <c r="B101" s="6" t="s">
        <v>19</v>
      </c>
      <c r="C101" s="9" t="s">
        <v>464</v>
      </c>
      <c r="D101" s="9" t="s">
        <v>465</v>
      </c>
      <c r="E101" s="9" t="s">
        <v>466</v>
      </c>
      <c r="F101" s="9" t="s">
        <v>467</v>
      </c>
      <c r="G101" s="9" t="s">
        <v>468</v>
      </c>
      <c r="H101" s="9" t="s">
        <v>469</v>
      </c>
      <c r="I101" s="9" t="s">
        <v>470</v>
      </c>
      <c r="J101" s="6" t="s">
        <v>450</v>
      </c>
    </row>
    <row r="102" customFormat="false" ht="17.15" hidden="false" customHeight="false" outlineLevel="0" collapsed="false">
      <c r="A102" s="1" t="s">
        <v>471</v>
      </c>
    </row>
    <row r="103" customFormat="false" ht="17.15" hidden="false" customHeight="false" outlineLevel="0" collapsed="false">
      <c r="A103" s="0" t="s">
        <v>472</v>
      </c>
      <c r="B103" s="0" t="s">
        <v>96</v>
      </c>
      <c r="C103" s="19" t="n">
        <f aca="false">hsA_25</f>
        <v>2.22511470588235</v>
      </c>
      <c r="D103" s="19" t="n">
        <f aca="false">hsA_26</f>
        <v>3.782695</v>
      </c>
      <c r="E103" s="19" t="n">
        <f aca="false">hsA_27</f>
        <v>5.86317725</v>
      </c>
      <c r="F103" s="19" t="n">
        <f aca="false">hsA_28</f>
        <v>8.5016070125</v>
      </c>
      <c r="G103" s="19" t="n">
        <f aca="false">hsA_29</f>
        <v>11.477169466875</v>
      </c>
      <c r="H103" s="19" t="n">
        <f aca="false">G103*(1+g_tail)</f>
        <v>12.6248864135625</v>
      </c>
      <c r="I103" s="19" t="n">
        <f aca="false">H103*(1+g_tail)</f>
        <v>13.8873750549188</v>
      </c>
      <c r="J103" s="8" t="s">
        <v>473</v>
      </c>
    </row>
    <row r="104" customFormat="false" ht="17.15" hidden="false" customHeight="false" outlineLevel="0" collapsed="false">
      <c r="A104" s="0" t="s">
        <v>474</v>
      </c>
      <c r="B104" s="0" t="s">
        <v>475</v>
      </c>
      <c r="C104" s="19" t="n">
        <f aca="false">den_25</f>
        <v>24</v>
      </c>
      <c r="D104" s="19" t="n">
        <f aca="false">den_26</f>
        <v>24</v>
      </c>
      <c r="E104" s="19" t="n">
        <f aca="false">den_27</f>
        <v>26</v>
      </c>
      <c r="F104" s="19" t="n">
        <f aca="false">den_28</f>
        <v>28</v>
      </c>
      <c r="G104" s="19" t="n">
        <f aca="false">den_29</f>
        <v>30</v>
      </c>
      <c r="H104" s="19" t="n">
        <f aca="false">den_30</f>
        <v>32</v>
      </c>
      <c r="I104" s="19" t="n">
        <f aca="false">den_30</f>
        <v>32</v>
      </c>
    </row>
    <row r="105" customFormat="false" ht="15" hidden="false" customHeight="false" outlineLevel="0" collapsed="false">
      <c r="A105" s="5" t="s">
        <v>476</v>
      </c>
      <c r="B105" s="5" t="s">
        <v>148</v>
      </c>
      <c r="C105" s="19" t="n">
        <f aca="false">stk_25</f>
        <v>10</v>
      </c>
      <c r="D105" s="19" t="n">
        <f aca="false">stk_26</f>
        <v>12</v>
      </c>
      <c r="E105" s="19" t="n">
        <f aca="false">stk_27</f>
        <v>12.5</v>
      </c>
      <c r="F105" s="19" t="n">
        <f aca="false">stk_28</f>
        <v>14</v>
      </c>
      <c r="G105" s="19" t="n">
        <f aca="false">stk_29</f>
        <v>15</v>
      </c>
      <c r="H105" s="19" t="n">
        <f aca="false">stk_30</f>
        <v>16</v>
      </c>
      <c r="I105" s="19" t="n">
        <f aca="false">stk_30</f>
        <v>16</v>
      </c>
    </row>
    <row r="106" customFormat="false" ht="17.15" hidden="false" customHeight="false" outlineLevel="0" collapsed="false">
      <c r="A106" s="0" t="s">
        <v>477</v>
      </c>
      <c r="B106" s="5" t="s">
        <v>478</v>
      </c>
      <c r="C106" s="19" t="n">
        <f aca="false">C103*8/C104</f>
        <v>0.741704901960783</v>
      </c>
      <c r="D106" s="19" t="n">
        <f aca="false">D103*8/D104</f>
        <v>1.26089833333333</v>
      </c>
      <c r="E106" s="19" t="n">
        <f aca="false">E103*8/E104</f>
        <v>1.80405453846154</v>
      </c>
      <c r="F106" s="19" t="n">
        <f aca="false">F103*8/F104</f>
        <v>2.429030575</v>
      </c>
      <c r="G106" s="19" t="n">
        <f aca="false">G103*8/G104</f>
        <v>3.0605785245</v>
      </c>
      <c r="H106" s="19" t="n">
        <f aca="false">H103*8/H104</f>
        <v>3.15622160339063</v>
      </c>
      <c r="I106" s="19" t="n">
        <f aca="false">I103*8/I104</f>
        <v>3.47184376372969</v>
      </c>
      <c r="J106" s="8" t="s">
        <v>479</v>
      </c>
    </row>
    <row r="107" customFormat="false" ht="17.15" hidden="false" customHeight="false" outlineLevel="0" collapsed="false">
      <c r="A107" s="0" t="s">
        <v>480</v>
      </c>
      <c r="B107" s="5" t="s">
        <v>481</v>
      </c>
      <c r="C107" s="19" t="n">
        <f aca="false">C106*(1+s_stk/C105)</f>
        <v>0.964216372549018</v>
      </c>
      <c r="D107" s="19" t="n">
        <f aca="false">D106*(1+s_stk/D105)</f>
        <v>1.57612291666667</v>
      </c>
      <c r="E107" s="19" t="n">
        <f aca="false">E106*(1+s_stk/E105)</f>
        <v>2.23702762769231</v>
      </c>
      <c r="F107" s="19" t="n">
        <f aca="false">F106*(1+s_stk/F105)</f>
        <v>2.94953712678571</v>
      </c>
      <c r="G107" s="19" t="n">
        <f aca="false">G106*(1+s_stk/G105)</f>
        <v>3.6726942294</v>
      </c>
      <c r="H107" s="19" t="n">
        <f aca="false">H106*(1+s_stk/H105)</f>
        <v>3.74801315402637</v>
      </c>
      <c r="I107" s="19" t="n">
        <f aca="false">I106*(1+s_stk/I105)</f>
        <v>4.12281446942901</v>
      </c>
      <c r="J107" s="5" t="s">
        <v>482</v>
      </c>
    </row>
    <row r="108" customFormat="false" ht="17.15" hidden="false" customHeight="false" outlineLevel="0" collapsed="false">
      <c r="A108" s="5" t="s">
        <v>483</v>
      </c>
      <c r="B108" s="0" t="s">
        <v>56</v>
      </c>
      <c r="C108" s="22" t="n">
        <f aca="false">hbp_25*hb_on</f>
        <v>0</v>
      </c>
      <c r="D108" s="22" t="n">
        <f aca="false">hbp_26*hb_on</f>
        <v>0</v>
      </c>
      <c r="E108" s="22" t="n">
        <f aca="false">hbp_27*hb_on</f>
        <v>0</v>
      </c>
      <c r="F108" s="22" t="n">
        <f aca="false">hbp_28*hb_on</f>
        <v>0.05</v>
      </c>
      <c r="G108" s="22" t="n">
        <f aca="false">hbp_29*hb_on</f>
        <v>0.15</v>
      </c>
      <c r="H108" s="22" t="n">
        <f aca="false">hbp_30*hb_on</f>
        <v>0.25</v>
      </c>
      <c r="I108" s="22" t="n">
        <f aca="false">hbp_30*hb_on</f>
        <v>0.25</v>
      </c>
    </row>
    <row r="109" customFormat="false" ht="17.15" hidden="false" customHeight="false" outlineLevel="0" collapsed="false">
      <c r="A109" s="0" t="s">
        <v>484</v>
      </c>
      <c r="B109" s="5" t="s">
        <v>481</v>
      </c>
      <c r="C109" s="19" t="n">
        <f aca="false">C107*(1+C108*hb_eff)</f>
        <v>0.964216372549018</v>
      </c>
      <c r="D109" s="19" t="n">
        <f aca="false">D107*(1+D108*hb_eff)</f>
        <v>1.57612291666667</v>
      </c>
      <c r="E109" s="19" t="n">
        <f aca="false">E107*(1+E108*hb_eff)</f>
        <v>2.23702762769231</v>
      </c>
      <c r="F109" s="19" t="n">
        <f aca="false">F107*(1+F108*hb_eff)</f>
        <v>2.96428481241964</v>
      </c>
      <c r="G109" s="19" t="n">
        <f aca="false">G107*(1+G108*hb_eff)</f>
        <v>3.727784642841</v>
      </c>
      <c r="H109" s="19" t="n">
        <f aca="false">H107*(1+H108*hb_eff)</f>
        <v>3.84171348287703</v>
      </c>
      <c r="I109" s="19" t="n">
        <f aca="false">I107*(1+I108*hb_eff)</f>
        <v>4.22588483116473</v>
      </c>
      <c r="J109" s="5" t="s">
        <v>485</v>
      </c>
    </row>
    <row r="110" customFormat="false" ht="17.15" hidden="false" customHeight="false" outlineLevel="0" collapsed="false">
      <c r="A110" s="0" t="s">
        <v>486</v>
      </c>
      <c r="B110" s="5" t="s">
        <v>481</v>
      </c>
      <c r="C110" s="19" t="n">
        <f aca="false">MAX(0,D109-C109)+dlt_hi*C109</f>
        <v>0.756539000000001</v>
      </c>
      <c r="D110" s="19" t="n">
        <f aca="false">MAX(0,E109-D109)+dlt_hi*D109</f>
        <v>0.897323148525641</v>
      </c>
      <c r="E110" s="19" t="n">
        <f aca="false">MAX(0,F109-E109)+dlt_hi*E109</f>
        <v>1.06281132888118</v>
      </c>
      <c r="F110" s="19" t="n">
        <f aca="false">MAX(0,G109-F109)+dlt_hi*F109</f>
        <v>1.2081425522843</v>
      </c>
      <c r="G110" s="19" t="n">
        <f aca="false">MAX(0,H109-G109)+dlt_hi*G109</f>
        <v>0.673096536462177</v>
      </c>
      <c r="H110" s="19" t="n">
        <f aca="false">MAX(0,I109-H109)+dlt_hi*H109</f>
        <v>0.960428370719257</v>
      </c>
      <c r="J110" s="5" t="s">
        <v>487</v>
      </c>
    </row>
    <row r="111" customFormat="false" ht="17.15" hidden="false" customHeight="false" outlineLevel="0" collapsed="false">
      <c r="A111" s="0" t="s">
        <v>488</v>
      </c>
      <c r="B111" s="5" t="s">
        <v>177</v>
      </c>
      <c r="C111" s="21" t="n">
        <f aca="false">cw_25</f>
        <v>670</v>
      </c>
      <c r="D111" s="21" t="n">
        <f aca="false">cw_26</f>
        <v>1107.85762580894</v>
      </c>
      <c r="E111" s="21" t="n">
        <f aca="false">cw_27</f>
        <v>2096.42857142857</v>
      </c>
      <c r="F111" s="21" t="n">
        <f aca="false">cw_28*um28_A</f>
        <v>2620.08928571429</v>
      </c>
      <c r="G111" s="21" t="n">
        <f aca="false">cw_29*um29_A</f>
        <v>3013.32589285714</v>
      </c>
      <c r="H111" s="21" t="n">
        <f aca="false">G111*(1+g_tail)</f>
        <v>3314.65848214285</v>
      </c>
      <c r="I111" s="21" t="n">
        <f aca="false">H111*(1+g_tail)</f>
        <v>3646.12433035714</v>
      </c>
      <c r="J111" s="5" t="s">
        <v>489</v>
      </c>
    </row>
    <row r="112" customFormat="false" ht="15" hidden="false" customHeight="false" outlineLevel="0" collapsed="false">
      <c r="A112" s="5" t="s">
        <v>490</v>
      </c>
      <c r="B112" s="5" t="s">
        <v>177</v>
      </c>
      <c r="C112" s="21" t="n">
        <f aca="false">MAX(0,D111-C111)+dlt_hi*C111</f>
        <v>538.35762580894</v>
      </c>
      <c r="D112" s="21" t="n">
        <f aca="false">MAX(0,E111-D111)+dlt_hi*D111</f>
        <v>1154.74958949097</v>
      </c>
      <c r="E112" s="21" t="n">
        <f aca="false">MAX(0,F111-E111)+dlt_hi*E111</f>
        <v>838.125000000005</v>
      </c>
      <c r="F112" s="21" t="n">
        <f aca="false">MAX(0,G111-F111)+dlt_hi*F111</f>
        <v>786.249999999994</v>
      </c>
      <c r="G112" s="21" t="n">
        <f aca="false">MAX(0,H111-G111)+dlt_hi*G111</f>
        <v>753.331473214285</v>
      </c>
      <c r="H112" s="21" t="n">
        <f aca="false">MAX(0,I111-H111)+dlt_hi*H111</f>
        <v>828.664620535714</v>
      </c>
    </row>
    <row r="113" customFormat="false" ht="17.15" hidden="false" customHeight="false" outlineLevel="0" collapsed="false">
      <c r="A113" s="1" t="s">
        <v>491</v>
      </c>
    </row>
    <row r="114" customFormat="false" ht="17.15" hidden="false" customHeight="false" outlineLevel="0" collapsed="false">
      <c r="A114" s="0" t="s">
        <v>492</v>
      </c>
      <c r="B114" s="0" t="s">
        <v>493</v>
      </c>
      <c r="C114" s="16" t="n">
        <f aca="false">ai25*w_hbm/(0.75*C110+0.25*D110)</f>
        <v>45.4697573198656</v>
      </c>
      <c r="J114" s="5" t="s">
        <v>494</v>
      </c>
    </row>
    <row r="115" customFormat="false" ht="17.15" hidden="false" customHeight="false" outlineLevel="0" collapsed="false">
      <c r="A115" s="5" t="s">
        <v>495</v>
      </c>
      <c r="B115" s="0" t="s">
        <v>496</v>
      </c>
      <c r="C115" s="18" t="n">
        <f aca="false">ai25*(1-w_hbm)/(0.75*C112+0.25*D112)</f>
        <v>0.0563212992396563</v>
      </c>
    </row>
    <row r="116" customFormat="false" ht="17.15" hidden="false" customHeight="false" outlineLevel="0" collapsed="false">
      <c r="A116" s="1" t="s">
        <v>497</v>
      </c>
    </row>
    <row r="117" customFormat="false" ht="17.15" hidden="false" customHeight="false" outlineLevel="0" collapsed="false">
      <c r="A117" s="5" t="s">
        <v>498</v>
      </c>
      <c r="B117" s="0" t="s">
        <v>76</v>
      </c>
      <c r="C117" s="16" t="n">
        <f aca="false">1-sh_loss/sh*0</f>
        <v>1</v>
      </c>
      <c r="D117" s="16" t="n">
        <f aca="false">1-sh_loss/sh*0.25</f>
        <v>1</v>
      </c>
      <c r="E117" s="16" t="n">
        <f aca="false">1-sh_loss/sh*0.5</f>
        <v>1</v>
      </c>
      <c r="F117" s="16" t="n">
        <f aca="false">1-sh_loss/sh*0.75</f>
        <v>1</v>
      </c>
      <c r="G117" s="16" t="n">
        <f aca="false">1-sh_loss/sh*1</f>
        <v>1</v>
      </c>
    </row>
    <row r="118" customFormat="false" ht="17.15" hidden="false" customHeight="false" outlineLevel="0" collapsed="false">
      <c r="A118" s="0" t="s">
        <v>499</v>
      </c>
      <c r="B118" s="0" t="s">
        <v>29</v>
      </c>
      <c r="C118" s="11" t="n">
        <f aca="false">$C$114*(0.75*C110+0.25*D110)*C117</f>
        <v>36</v>
      </c>
      <c r="D118" s="11" t="n">
        <f aca="false">$C$114*(0.75*D110+0.25*E110)*D117</f>
        <v>42.6822426509767</v>
      </c>
      <c r="E118" s="11" t="n">
        <f aca="false">$C$114*(0.75*E110+0.25*F110)*E117</f>
        <v>49.9778170658159</v>
      </c>
      <c r="F118" s="11" t="n">
        <f aca="false">$C$114*(0.75*F110+0.25*G110)*F117</f>
        <v>48.851845536572</v>
      </c>
      <c r="G118" s="11" t="n">
        <f aca="false">$C$114*(0.75*G110+0.25*H110)*G117</f>
        <v>33.8717633592625</v>
      </c>
    </row>
    <row r="119" customFormat="false" ht="17.15" hidden="false" customHeight="false" outlineLevel="0" collapsed="false">
      <c r="A119" s="5" t="s">
        <v>500</v>
      </c>
      <c r="B119" s="0" t="s">
        <v>29</v>
      </c>
      <c r="C119" s="11" t="n">
        <f aca="false">$C$115*(0.75*C112+0.25*D112)*C117</f>
        <v>39</v>
      </c>
      <c r="D119" s="11" t="n">
        <f aca="false">$C$115*(0.75*D112+0.25*E112)*D117</f>
        <v>60.5788201137528</v>
      </c>
      <c r="E119" s="11" t="n">
        <f aca="false">$C$115*(0.75*E112+0.25*F112)*E117</f>
        <v>46.4738720757228</v>
      </c>
      <c r="F119" s="11" t="n">
        <f aca="false">$C$115*(0.75*F112+0.25*G112)*F117</f>
        <v>43.8191179777728</v>
      </c>
      <c r="G119" s="11" t="n">
        <f aca="false">$C$115*(0.75*G112+0.25*H112)*G117</f>
        <v>43.4893225127917</v>
      </c>
    </row>
    <row r="120" customFormat="false" ht="17.15" hidden="false" customHeight="false" outlineLevel="0" collapsed="false">
      <c r="A120" s="0" t="s">
        <v>501</v>
      </c>
      <c r="B120" s="0" t="s">
        <v>29</v>
      </c>
      <c r="C120" s="11" t="n">
        <f aca="false">C118+C119</f>
        <v>75</v>
      </c>
      <c r="D120" s="11" t="n">
        <f aca="false">D118+D119</f>
        <v>103.261062764729</v>
      </c>
      <c r="E120" s="11" t="n">
        <f aca="false">E118+E119</f>
        <v>96.4516891415387</v>
      </c>
      <c r="F120" s="11" t="n">
        <f aca="false">F118+F119</f>
        <v>92.6709635143448</v>
      </c>
      <c r="G120" s="11" t="n">
        <f aca="false">G118+G119</f>
        <v>77.3610858720543</v>
      </c>
    </row>
    <row r="121" customFormat="false" ht="17.15" hidden="false" customHeight="false" outlineLevel="0" collapsed="false">
      <c r="A121" s="5" t="s">
        <v>502</v>
      </c>
      <c r="B121" s="0" t="s">
        <v>29</v>
      </c>
      <c r="C121" s="11" t="n">
        <f aca="false">eq25-ai25</f>
        <v>195.87118</v>
      </c>
      <c r="D121" s="11" t="n">
        <f aca="false">C121*(1+g_non)*D117/C117</f>
        <v>207.6234508</v>
      </c>
      <c r="E121" s="11" t="n">
        <f aca="false">D121*(1+g_non)*E117/D117</f>
        <v>220.080857848</v>
      </c>
      <c r="F121" s="11" t="n">
        <f aca="false">E121*(1+g_non)*F117/E117</f>
        <v>233.28570931888</v>
      </c>
      <c r="G121" s="11" t="n">
        <f aca="false">F121*(1+g_non)*G117/F117</f>
        <v>247.282851878013</v>
      </c>
    </row>
    <row r="122" customFormat="false" ht="15" hidden="false" customHeight="false" outlineLevel="0" collapsed="false">
      <c r="A122" s="5" t="s">
        <v>503</v>
      </c>
      <c r="B122" s="0" t="s">
        <v>29</v>
      </c>
      <c r="C122" s="11" t="n">
        <f aca="false">C120+C121</f>
        <v>270.87118</v>
      </c>
      <c r="D122" s="11" t="n">
        <f aca="false">D120+D121</f>
        <v>310.88451356473</v>
      </c>
      <c r="E122" s="11" t="n">
        <f aca="false">E120+E121</f>
        <v>316.532546989539</v>
      </c>
      <c r="F122" s="11" t="n">
        <f aca="false">F120+F121</f>
        <v>325.956672833225</v>
      </c>
      <c r="G122" s="11" t="n">
        <f aca="false">G120+G121</f>
        <v>324.643937750067</v>
      </c>
    </row>
    <row r="123" customFormat="false" ht="17.15" hidden="false" customHeight="false" outlineLevel="0" collapsed="false">
      <c r="A123" s="0" t="s">
        <v>504</v>
      </c>
      <c r="B123" s="0" t="s">
        <v>76</v>
      </c>
      <c r="C123" s="19" t="n">
        <f aca="false">w_hbm*(0.75*C109+0.25*D109)/(0.75*C109+0.25*D109)+(1-w_hbm)*(0.75*C111+0.25*D111)/(0.75*C111+0.25*D111)</f>
        <v>1</v>
      </c>
      <c r="D123" s="19" t="n">
        <f aca="false">w_hbm*(0.75*D109+0.25*E109)/(0.75*C109+0.25*D109)+(1-w_hbm)*(0.75*D111+0.25*E111)/(0.75*C111+0.25*D111)</f>
        <v>1.65212184085657</v>
      </c>
      <c r="E123" s="19" t="n">
        <f aca="false">w_hbm*(0.75*E109+0.25*F109)/(0.75*C109+0.25*D109)+(1-w_hbm)*(0.75*E111+0.25*F111)/(0.75*C111+0.25*D111)</f>
        <v>2.52516730417954</v>
      </c>
      <c r="F123" s="19" t="n">
        <f aca="false">w_hbm*(0.75*F109+0.25*G109)/(0.75*C109+0.25*D109)+(1-w_hbm)*(0.75*F111+0.25*G111)/(0.75*C111+0.25*D111)</f>
        <v>3.16911970169284</v>
      </c>
      <c r="G123" s="19" t="n">
        <f aca="false">w_hbm*(0.75*G109+0.25*H109)/(0.75*C109+0.25*D109)+(1-w_hbm)*(0.75*G111+0.25*H111)/(0.75*C111+0.25*D111)</f>
        <v>3.67439430985121</v>
      </c>
      <c r="J123" s="8" t="s">
        <v>505</v>
      </c>
    </row>
    <row r="124" customFormat="false" ht="17.15" hidden="false" customHeight="false" outlineLevel="0" collapsed="false">
      <c r="A124" s="0" t="s">
        <v>506</v>
      </c>
      <c r="B124" s="0" t="s">
        <v>29</v>
      </c>
      <c r="C124" s="11" t="n">
        <f aca="false">tl25*w_tlai*C123</f>
        <v>25.4032258064516</v>
      </c>
      <c r="D124" s="11" t="n">
        <f aca="false">tl25*w_tlai*D123</f>
        <v>41.9692241830499</v>
      </c>
      <c r="E124" s="11" t="n">
        <f aca="false">tl25*w_tlai*E123</f>
        <v>64.1473952271414</v>
      </c>
      <c r="F124" s="11" t="n">
        <f aca="false">tl25*w_tlai*F123</f>
        <v>80.5058633897778</v>
      </c>
      <c r="G124" s="11" t="n">
        <f aca="false">tl25*w_tlai*G123</f>
        <v>93.3414683550913</v>
      </c>
      <c r="J124" s="5" t="s">
        <v>507</v>
      </c>
    </row>
    <row r="125" customFormat="false" ht="17.15" hidden="false" customHeight="false" outlineLevel="0" collapsed="false">
      <c r="A125" s="5" t="s">
        <v>508</v>
      </c>
      <c r="B125" s="0" t="s">
        <v>29</v>
      </c>
      <c r="C125" s="11" t="n">
        <f aca="false">tl25*(1-w_tlai)</f>
        <v>66.3434641935484</v>
      </c>
      <c r="D125" s="11" t="n">
        <f aca="false">C125*(1+g_tl)</f>
        <v>69.6606374032258</v>
      </c>
      <c r="E125" s="11" t="n">
        <f aca="false">D125*(1+g_tl)</f>
        <v>73.1436692733871</v>
      </c>
      <c r="F125" s="11" t="n">
        <f aca="false">E125*(1+g_tl)</f>
        <v>76.8008527370565</v>
      </c>
      <c r="G125" s="11" t="n">
        <f aca="false">F125*(1+g_tl)</f>
        <v>80.6408953739093</v>
      </c>
    </row>
    <row r="126" customFormat="false" ht="15" hidden="false" customHeight="false" outlineLevel="0" collapsed="false">
      <c r="A126" s="5" t="s">
        <v>509</v>
      </c>
      <c r="B126" s="0" t="s">
        <v>29</v>
      </c>
      <c r="C126" s="11" t="n">
        <f aca="false">C124+C125</f>
        <v>91.74669</v>
      </c>
      <c r="D126" s="11" t="n">
        <f aca="false">D124+D125</f>
        <v>111.629861586276</v>
      </c>
      <c r="E126" s="11" t="n">
        <f aca="false">E124+E125</f>
        <v>137.291064500529</v>
      </c>
      <c r="F126" s="11" t="n">
        <f aca="false">F124+F125</f>
        <v>157.306716126834</v>
      </c>
      <c r="G126" s="11" t="n">
        <f aca="false">G124+G125</f>
        <v>173.982363729001</v>
      </c>
    </row>
    <row r="127" customFormat="false" ht="15" hidden="false" customHeight="false" outlineLevel="0" collapsed="false">
      <c r="A127" s="5" t="s">
        <v>393</v>
      </c>
      <c r="B127" s="0" t="s">
        <v>29</v>
      </c>
      <c r="C127" s="11" t="n">
        <f aca="false">r_ot*(C122+C126)</f>
        <v>74.27113</v>
      </c>
      <c r="D127" s="11" t="n">
        <f aca="false">r_ot*(D122+D126)</f>
        <v>86.5390888863505</v>
      </c>
      <c r="E127" s="11" t="n">
        <f aca="false">r_ot*(E122+E126)</f>
        <v>92.9518240401343</v>
      </c>
      <c r="F127" s="11" t="n">
        <f aca="false">r_ot*(F122+F126)</f>
        <v>98.9816579797712</v>
      </c>
      <c r="G127" s="11" t="n">
        <f aca="false">r_ot*(G122+G126)</f>
        <v>102.128278616195</v>
      </c>
    </row>
    <row r="128" customFormat="false" ht="15" hidden="false" customHeight="false" outlineLevel="0" collapsed="false">
      <c r="A128" s="5" t="s">
        <v>363</v>
      </c>
      <c r="B128" s="0" t="s">
        <v>29</v>
      </c>
      <c r="C128" s="11" t="n">
        <f aca="false">C122+C126+C127</f>
        <v>436.889</v>
      </c>
      <c r="D128" s="11" t="n">
        <f aca="false">D122+D126+D127</f>
        <v>509.053464037356</v>
      </c>
      <c r="E128" s="11" t="n">
        <f aca="false">E122+E126+E127</f>
        <v>546.775435530202</v>
      </c>
      <c r="F128" s="11" t="n">
        <f aca="false">F122+F126+F127</f>
        <v>582.24504693983</v>
      </c>
      <c r="G128" s="11" t="n">
        <f aca="false">G122+G126+G127</f>
        <v>600.754580095262</v>
      </c>
    </row>
    <row r="129" customFormat="false" ht="17.15" hidden="false" customHeight="false" outlineLevel="0" collapsed="false">
      <c r="A129" s="0" t="s">
        <v>510</v>
      </c>
      <c r="B129" s="0" t="s">
        <v>56</v>
      </c>
      <c r="C129" s="14" t="n">
        <f aca="false">(C120+C124)*(1+r_ot)/C128</f>
        <v>0.276884384673187</v>
      </c>
      <c r="D129" s="14" t="n">
        <f aca="false">(D120+D124)*(1+r_ot)/D128</f>
        <v>0.343728629104926</v>
      </c>
      <c r="E129" s="14" t="n">
        <f aca="false">(E120+E124)*(1+r_ot)/E128</f>
        <v>0.353879966362647</v>
      </c>
      <c r="F129" s="14" t="n">
        <f aca="false">(F120+F124)*(1+r_ot)/F128</f>
        <v>0.358348740790781</v>
      </c>
      <c r="G129" s="14" t="n">
        <f aca="false">(G120+G124)*(1+r_ot)/G128</f>
        <v>0.342345667929656</v>
      </c>
    </row>
    <row r="130" customFormat="false" ht="17.15" hidden="false" customHeight="false" outlineLevel="0" collapsed="false">
      <c r="A130" s="0" t="s">
        <v>511</v>
      </c>
      <c r="B130" s="0" t="s">
        <v>56</v>
      </c>
      <c r="C130" s="14" t="n">
        <f aca="false">C120*(1+r_ot)/C128</f>
        <v>0.206829299394429</v>
      </c>
      <c r="D130" s="14" t="n">
        <f aca="false">D120*(1+r_ot)/D128</f>
        <v>0.244396566928224</v>
      </c>
      <c r="E130" s="14" t="n">
        <f aca="false">E120*(1+r_ot)/E128</f>
        <v>0.212531227330488</v>
      </c>
      <c r="F130" s="14" t="n">
        <f aca="false">F120*(1+r_ot)/F128</f>
        <v>0.191760778141636</v>
      </c>
      <c r="G130" s="14" t="n">
        <f aca="false">G120*(1+r_ot)/G128</f>
        <v>0.155148426070946</v>
      </c>
      <c r="J130" s="5" t="s">
        <v>512</v>
      </c>
    </row>
    <row r="131" customFormat="false" ht="17.15" hidden="false" customHeight="false" outlineLevel="0" collapsed="false">
      <c r="A131" s="5" t="s">
        <v>401</v>
      </c>
      <c r="B131" s="0" t="s">
        <v>56</v>
      </c>
      <c r="C131" s="14" t="n">
        <f aca="false">a25_gp/a25_rev</f>
        <v>0.701498549974936</v>
      </c>
      <c r="D131" s="14" t="n">
        <f aca="false">gm_a+gm_b*LN(D128)+0</f>
        <v>0.719854781175517</v>
      </c>
      <c r="E131" s="14" t="n">
        <f aca="false">gm_a+gm_b*LN(E128)+0</f>
        <v>0.727991644802638</v>
      </c>
      <c r="F131" s="14" t="n">
        <f aca="false">gm_a+gm_b*LN(F128)+0</f>
        <v>0.735145973089977</v>
      </c>
      <c r="G131" s="14" t="n">
        <f aca="false">gm_a+gm_b*LN(G128)+0</f>
        <v>0.738708167468558</v>
      </c>
      <c r="J131" s="8" t="s">
        <v>513</v>
      </c>
    </row>
    <row r="132" customFormat="false" ht="15" hidden="false" customHeight="false" outlineLevel="0" collapsed="false">
      <c r="A132" s="5" t="s">
        <v>398</v>
      </c>
      <c r="B132" s="0" t="s">
        <v>29</v>
      </c>
      <c r="C132" s="11" t="n">
        <f aca="false">C128*C131</f>
        <v>306.477</v>
      </c>
      <c r="D132" s="11" t="n">
        <f aca="false">D128*D131</f>
        <v>366.44456996125</v>
      </c>
      <c r="E132" s="11" t="n">
        <f aca="false">E128*E131</f>
        <v>398.04794864931</v>
      </c>
      <c r="F132" s="11" t="n">
        <f aca="false">F128*F131</f>
        <v>428.035101609401</v>
      </c>
      <c r="G132" s="11" t="n">
        <f aca="false">G128*G131</f>
        <v>443.782314960514</v>
      </c>
    </row>
    <row r="133" customFormat="false" ht="17.15" hidden="false" customHeight="false" outlineLevel="0" collapsed="false">
      <c r="A133" s="5" t="s">
        <v>399</v>
      </c>
      <c r="B133" s="0" t="s">
        <v>29</v>
      </c>
      <c r="C133" s="11" t="n">
        <f aca="false">a25_sga</f>
        <v>121.487</v>
      </c>
      <c r="D133" s="11" t="n">
        <f aca="false">sg_f+sg_v*D128</f>
        <v>136.591655251728</v>
      </c>
      <c r="E133" s="11" t="n">
        <f aca="false">sg_f+sg_v*E128</f>
        <v>146.111437318367</v>
      </c>
      <c r="F133" s="11" t="n">
        <f aca="false">sg_f+sg_v*F128</f>
        <v>155.062797951044</v>
      </c>
      <c r="G133" s="11" t="n">
        <f aca="false">sg_f+sg_v*G128</f>
        <v>159.733993936343</v>
      </c>
      <c r="J133" s="5" t="s">
        <v>514</v>
      </c>
    </row>
    <row r="134" customFormat="false" ht="15" hidden="false" customHeight="false" outlineLevel="0" collapsed="false">
      <c r="A134" s="5" t="s">
        <v>367</v>
      </c>
      <c r="B134" s="0" t="s">
        <v>29</v>
      </c>
      <c r="C134" s="11" t="n">
        <f aca="false">C132-C133</f>
        <v>184.99</v>
      </c>
      <c r="D134" s="11" t="n">
        <f aca="false">D132-D133</f>
        <v>229.852914709522</v>
      </c>
      <c r="E134" s="11" t="n">
        <f aca="false">E132-E133</f>
        <v>251.936511330943</v>
      </c>
      <c r="F134" s="11" t="n">
        <f aca="false">F132-F133</f>
        <v>272.972303658357</v>
      </c>
      <c r="G134" s="11" t="n">
        <f aca="false">G132-G133</f>
        <v>284.048321024171</v>
      </c>
    </row>
    <row r="135" customFormat="false" ht="15" hidden="false" customHeight="false" outlineLevel="0" collapsed="false">
      <c r="A135" s="5" t="s">
        <v>515</v>
      </c>
      <c r="B135" s="0" t="s">
        <v>56</v>
      </c>
      <c r="C135" s="14" t="n">
        <f aca="false">C134/C128</f>
        <v>0.423425629851061</v>
      </c>
      <c r="D135" s="14" t="n">
        <f aca="false">D134/D128</f>
        <v>0.451530008039892</v>
      </c>
      <c r="E135" s="14" t="n">
        <f aca="false">E134/E128</f>
        <v>0.460767794161498</v>
      </c>
      <c r="F135" s="14" t="n">
        <f aca="false">F134/F128</f>
        <v>0.468827180399468</v>
      </c>
      <c r="G135" s="14" t="n">
        <f aca="false">G134/G128</f>
        <v>0.472819235067886</v>
      </c>
    </row>
    <row r="136" customFormat="false" ht="15" hidden="false" customHeight="false" outlineLevel="0" collapsed="false">
      <c r="A136" s="5" t="s">
        <v>370</v>
      </c>
      <c r="B136" s="0" t="s">
        <v>29</v>
      </c>
      <c r="C136" s="11" t="n">
        <f aca="false">a25_ni</f>
        <v>135.521</v>
      </c>
      <c r="D136" s="11" t="n">
        <f aca="false">D134*nioi</f>
        <v>168.387833083854</v>
      </c>
      <c r="E136" s="11" t="n">
        <f aca="false">E134*nioi</f>
        <v>184.566044208471</v>
      </c>
      <c r="F136" s="11" t="n">
        <f aca="false">F134*nioi</f>
        <v>199.976644903665</v>
      </c>
      <c r="G136" s="11" t="n">
        <f aca="false">G134*nioi</f>
        <v>208.090818986624</v>
      </c>
    </row>
    <row r="137" customFormat="false" ht="15" hidden="false" customHeight="false" outlineLevel="0" collapsed="false">
      <c r="A137" s="0" t="s">
        <v>459</v>
      </c>
      <c r="B137" s="0" t="s">
        <v>51</v>
      </c>
      <c r="C137" s="11" t="n">
        <f aca="false">a25_eps</f>
        <v>1249.84</v>
      </c>
      <c r="D137" s="11" t="n">
        <f aca="false">D136*1000/shares</f>
        <v>1552.23511766884</v>
      </c>
      <c r="E137" s="11" t="n">
        <f aca="false">E136*1000/shares</f>
        <v>1701.36933353695</v>
      </c>
      <c r="F137" s="11" t="n">
        <f aca="false">F136*1000/shares</f>
        <v>1843.42755202795</v>
      </c>
      <c r="G137" s="11" t="n">
        <f aca="false">G136*1000/shares</f>
        <v>1918.22574695558</v>
      </c>
    </row>
    <row r="138" customFormat="false" ht="17.15" hidden="false" customHeight="false" outlineLevel="0" collapsed="false">
      <c r="A138" s="5" t="s">
        <v>516</v>
      </c>
      <c r="B138" s="0" t="s">
        <v>29</v>
      </c>
      <c r="C138" s="16" t="n">
        <f aca="false">ABS(C128-a25_rev)+ABS(C134-a25_oi)</f>
        <v>0.000999999999976353</v>
      </c>
    </row>
    <row r="140" customFormat="false" ht="17.15" hidden="false" customHeight="false" outlineLevel="0" collapsed="false">
      <c r="A140" s="3" t="s">
        <v>713</v>
      </c>
    </row>
    <row r="141" customFormat="false" ht="17.15" hidden="false" customHeight="false" outlineLevel="0" collapsed="false">
      <c r="A141" s="6" t="s">
        <v>18</v>
      </c>
      <c r="B141" s="6" t="s">
        <v>19</v>
      </c>
      <c r="C141" s="9" t="s">
        <v>464</v>
      </c>
      <c r="D141" s="9" t="s">
        <v>465</v>
      </c>
      <c r="E141" s="9" t="s">
        <v>466</v>
      </c>
      <c r="F141" s="9" t="s">
        <v>467</v>
      </c>
      <c r="G141" s="9" t="s">
        <v>468</v>
      </c>
      <c r="H141" s="9" t="s">
        <v>469</v>
      </c>
      <c r="I141" s="9" t="s">
        <v>470</v>
      </c>
      <c r="J141" s="6" t="s">
        <v>450</v>
      </c>
    </row>
    <row r="142" customFormat="false" ht="17.15" hidden="false" customHeight="false" outlineLevel="0" collapsed="false">
      <c r="A142" s="1" t="s">
        <v>471</v>
      </c>
    </row>
    <row r="143" customFormat="false" ht="17.15" hidden="false" customHeight="false" outlineLevel="0" collapsed="false">
      <c r="A143" s="0" t="s">
        <v>472</v>
      </c>
      <c r="B143" s="0" t="s">
        <v>96</v>
      </c>
      <c r="C143" s="19" t="n">
        <f aca="false">hsA_25</f>
        <v>2.22511470588235</v>
      </c>
      <c r="D143" s="19" t="n">
        <f aca="false">hsA_26</f>
        <v>3.782695</v>
      </c>
      <c r="E143" s="19" t="n">
        <f aca="false">hsA_27</f>
        <v>5.86317725</v>
      </c>
      <c r="F143" s="19" t="n">
        <f aca="false">hsA_28</f>
        <v>8.5016070125</v>
      </c>
      <c r="G143" s="19" t="n">
        <f aca="false">hsA_29</f>
        <v>11.477169466875</v>
      </c>
      <c r="H143" s="19" t="n">
        <f aca="false">G143*(1+g_tail)</f>
        <v>12.6248864135625</v>
      </c>
      <c r="I143" s="19" t="n">
        <f aca="false">H143*(1+g_tail)</f>
        <v>13.8873750549188</v>
      </c>
      <c r="J143" s="8" t="s">
        <v>473</v>
      </c>
    </row>
    <row r="144" customFormat="false" ht="17.15" hidden="false" customHeight="false" outlineLevel="0" collapsed="false">
      <c r="A144" s="0" t="s">
        <v>474</v>
      </c>
      <c r="B144" s="0" t="s">
        <v>475</v>
      </c>
      <c r="C144" s="19" t="n">
        <f aca="false">den_25</f>
        <v>24</v>
      </c>
      <c r="D144" s="19" t="n">
        <f aca="false">den_26</f>
        <v>24</v>
      </c>
      <c r="E144" s="19" t="n">
        <f aca="false">den_27</f>
        <v>26</v>
      </c>
      <c r="F144" s="19" t="n">
        <f aca="false">den_28</f>
        <v>28</v>
      </c>
      <c r="G144" s="19" t="n">
        <f aca="false">den_29</f>
        <v>30</v>
      </c>
      <c r="H144" s="19" t="n">
        <f aca="false">den_30</f>
        <v>32</v>
      </c>
      <c r="I144" s="19" t="n">
        <f aca="false">den_30</f>
        <v>32</v>
      </c>
    </row>
    <row r="145" customFormat="false" ht="15" hidden="false" customHeight="false" outlineLevel="0" collapsed="false">
      <c r="A145" s="5" t="s">
        <v>476</v>
      </c>
      <c r="B145" s="5" t="s">
        <v>148</v>
      </c>
      <c r="C145" s="19" t="n">
        <f aca="false">stk_25</f>
        <v>10</v>
      </c>
      <c r="D145" s="19" t="n">
        <f aca="false">stk_26</f>
        <v>12</v>
      </c>
      <c r="E145" s="19" t="n">
        <f aca="false">stk_27</f>
        <v>12.5</v>
      </c>
      <c r="F145" s="19" t="n">
        <f aca="false">stk_28</f>
        <v>14</v>
      </c>
      <c r="G145" s="19" t="n">
        <f aca="false">stk_29</f>
        <v>15</v>
      </c>
      <c r="H145" s="19" t="n">
        <f aca="false">stk_30</f>
        <v>16</v>
      </c>
      <c r="I145" s="19" t="n">
        <f aca="false">stk_30</f>
        <v>16</v>
      </c>
    </row>
    <row r="146" customFormat="false" ht="17.15" hidden="false" customHeight="false" outlineLevel="0" collapsed="false">
      <c r="A146" s="0" t="s">
        <v>477</v>
      </c>
      <c r="B146" s="5" t="s">
        <v>478</v>
      </c>
      <c r="C146" s="19" t="n">
        <f aca="false">C143*8/C144</f>
        <v>0.741704901960783</v>
      </c>
      <c r="D146" s="19" t="n">
        <f aca="false">D143*8/D144</f>
        <v>1.26089833333333</v>
      </c>
      <c r="E146" s="19" t="n">
        <f aca="false">E143*8/E144</f>
        <v>1.80405453846154</v>
      </c>
      <c r="F146" s="19" t="n">
        <f aca="false">F143*8/F144</f>
        <v>2.429030575</v>
      </c>
      <c r="G146" s="19" t="n">
        <f aca="false">G143*8/G144</f>
        <v>3.0605785245</v>
      </c>
      <c r="H146" s="19" t="n">
        <f aca="false">H143*8/H144</f>
        <v>3.15622160339063</v>
      </c>
      <c r="I146" s="19" t="n">
        <f aca="false">I143*8/I144</f>
        <v>3.47184376372969</v>
      </c>
      <c r="J146" s="8" t="s">
        <v>479</v>
      </c>
    </row>
    <row r="147" customFormat="false" ht="17.15" hidden="false" customHeight="false" outlineLevel="0" collapsed="false">
      <c r="A147" s="0" t="s">
        <v>480</v>
      </c>
      <c r="B147" s="5" t="s">
        <v>481</v>
      </c>
      <c r="C147" s="19" t="n">
        <f aca="false">C146*(1+s_stk/C145)</f>
        <v>0.964216372549018</v>
      </c>
      <c r="D147" s="19" t="n">
        <f aca="false">D146*(1+s_stk/D145)</f>
        <v>1.57612291666667</v>
      </c>
      <c r="E147" s="19" t="n">
        <f aca="false">E146*(1+s_stk/E145)</f>
        <v>2.23702762769231</v>
      </c>
      <c r="F147" s="19" t="n">
        <f aca="false">F146*(1+s_stk/F145)</f>
        <v>2.94953712678571</v>
      </c>
      <c r="G147" s="19" t="n">
        <f aca="false">G146*(1+s_stk/G145)</f>
        <v>3.6726942294</v>
      </c>
      <c r="H147" s="19" t="n">
        <f aca="false">H146*(1+s_stk/H145)</f>
        <v>3.74801315402637</v>
      </c>
      <c r="I147" s="19" t="n">
        <f aca="false">I146*(1+s_stk/I145)</f>
        <v>4.12281446942901</v>
      </c>
      <c r="J147" s="5" t="s">
        <v>482</v>
      </c>
    </row>
    <row r="148" customFormat="false" ht="17.15" hidden="false" customHeight="false" outlineLevel="0" collapsed="false">
      <c r="A148" s="5" t="s">
        <v>483</v>
      </c>
      <c r="B148" s="0" t="s">
        <v>56</v>
      </c>
      <c r="C148" s="22" t="n">
        <f aca="false">hbp_25*hb_on</f>
        <v>0</v>
      </c>
      <c r="D148" s="22" t="n">
        <f aca="false">hbp_26*hb_on</f>
        <v>0</v>
      </c>
      <c r="E148" s="22" t="n">
        <f aca="false">hbp_27*hb_on</f>
        <v>0</v>
      </c>
      <c r="F148" s="22" t="n">
        <f aca="false">hbp_28*hb_on</f>
        <v>0.05</v>
      </c>
      <c r="G148" s="22" t="n">
        <f aca="false">hbp_29*hb_on</f>
        <v>0.15</v>
      </c>
      <c r="H148" s="22" t="n">
        <f aca="false">hbp_30*hb_on</f>
        <v>0.25</v>
      </c>
      <c r="I148" s="22" t="n">
        <f aca="false">hbp_30*hb_on</f>
        <v>0.25</v>
      </c>
    </row>
    <row r="149" customFormat="false" ht="17.15" hidden="false" customHeight="false" outlineLevel="0" collapsed="false">
      <c r="A149" s="0" t="s">
        <v>484</v>
      </c>
      <c r="B149" s="5" t="s">
        <v>481</v>
      </c>
      <c r="C149" s="19" t="n">
        <f aca="false">C147*(1+C148*hb_eff)</f>
        <v>0.964216372549018</v>
      </c>
      <c r="D149" s="19" t="n">
        <f aca="false">D147*(1+D148*hb_eff)</f>
        <v>1.57612291666667</v>
      </c>
      <c r="E149" s="19" t="n">
        <f aca="false">E147*(1+E148*hb_eff)</f>
        <v>2.23702762769231</v>
      </c>
      <c r="F149" s="19" t="n">
        <f aca="false">F147*(1+F148*hb_eff)</f>
        <v>2.96428481241964</v>
      </c>
      <c r="G149" s="19" t="n">
        <f aca="false">G147*(1+G148*hb_eff)</f>
        <v>3.727784642841</v>
      </c>
      <c r="H149" s="19" t="n">
        <f aca="false">H147*(1+H148*hb_eff)</f>
        <v>3.84171348287703</v>
      </c>
      <c r="I149" s="19" t="n">
        <f aca="false">I147*(1+I148*hb_eff)</f>
        <v>4.22588483116473</v>
      </c>
      <c r="J149" s="5" t="s">
        <v>485</v>
      </c>
    </row>
    <row r="150" customFormat="false" ht="17.15" hidden="false" customHeight="false" outlineLevel="0" collapsed="false">
      <c r="A150" s="0" t="s">
        <v>486</v>
      </c>
      <c r="B150" s="5" t="s">
        <v>481</v>
      </c>
      <c r="C150" s="19" t="n">
        <f aca="false">MAX(0,D149-C149)+dlt*C149</f>
        <v>0.70832818137255</v>
      </c>
      <c r="D150" s="19" t="n">
        <f aca="false">MAX(0,E149-D149)+dlt*D149</f>
        <v>0.818517002692307</v>
      </c>
      <c r="E150" s="19" t="n">
        <f aca="false">MAX(0,F149-E149)+dlt*E149</f>
        <v>0.950959947496565</v>
      </c>
      <c r="F150" s="19" t="n">
        <f aca="false">MAX(0,G149-F149)+dlt*F149</f>
        <v>1.05992831166332</v>
      </c>
      <c r="G150" s="19" t="n">
        <f aca="false">MAX(0,H149-G149)+dlt*G149</f>
        <v>0.486707304320127</v>
      </c>
      <c r="H150" s="19" t="n">
        <f aca="false">MAX(0,I149-H149)+dlt*H149</f>
        <v>0.768342696575406</v>
      </c>
      <c r="J150" s="5" t="s">
        <v>487</v>
      </c>
    </row>
    <row r="151" customFormat="false" ht="17.15" hidden="false" customHeight="false" outlineLevel="0" collapsed="false">
      <c r="A151" s="0" t="s">
        <v>488</v>
      </c>
      <c r="B151" s="5" t="s">
        <v>177</v>
      </c>
      <c r="C151" s="21" t="n">
        <f aca="false">cw_25</f>
        <v>670</v>
      </c>
      <c r="D151" s="21" t="n">
        <f aca="false">cw_26</f>
        <v>1107.85762580894</v>
      </c>
      <c r="E151" s="21" t="n">
        <f aca="false">cw_27</f>
        <v>2096.42857142857</v>
      </c>
      <c r="F151" s="21" t="n">
        <f aca="false">cw_28*um28_A</f>
        <v>2620.08928571429</v>
      </c>
      <c r="G151" s="21" t="n">
        <f aca="false">cw_29*um29_A</f>
        <v>3013.32589285714</v>
      </c>
      <c r="H151" s="21" t="n">
        <f aca="false">G151*(1+g_tail)</f>
        <v>3314.65848214285</v>
      </c>
      <c r="I151" s="21" t="n">
        <f aca="false">H151*(1+g_tail)</f>
        <v>3646.12433035714</v>
      </c>
      <c r="J151" s="5" t="s">
        <v>489</v>
      </c>
    </row>
    <row r="152" customFormat="false" ht="15" hidden="false" customHeight="false" outlineLevel="0" collapsed="false">
      <c r="A152" s="5" t="s">
        <v>490</v>
      </c>
      <c r="B152" s="5" t="s">
        <v>177</v>
      </c>
      <c r="C152" s="21" t="n">
        <f aca="false">MAX(0,D151-C151)+dlt*C151</f>
        <v>504.85762580894</v>
      </c>
      <c r="D152" s="21" t="n">
        <f aca="false">MAX(0,E151-D151)+dlt*D151</f>
        <v>1099.35670820052</v>
      </c>
      <c r="E152" s="21" t="n">
        <f aca="false">MAX(0,F151-E151)+dlt*E151</f>
        <v>733.303571428577</v>
      </c>
      <c r="F152" s="21" t="n">
        <f aca="false">MAX(0,G151-F151)+dlt*F151</f>
        <v>655.245535714279</v>
      </c>
      <c r="G152" s="21" t="n">
        <f aca="false">MAX(0,H151-G151)+dlt*G151</f>
        <v>602.665178571428</v>
      </c>
      <c r="H152" s="21" t="n">
        <f aca="false">MAX(0,I151-H151)+dlt*H151</f>
        <v>662.931696428571</v>
      </c>
    </row>
    <row r="153" customFormat="false" ht="17.15" hidden="false" customHeight="false" outlineLevel="0" collapsed="false">
      <c r="A153" s="1" t="s">
        <v>491</v>
      </c>
    </row>
    <row r="154" customFormat="false" ht="17.15" hidden="false" customHeight="false" outlineLevel="0" collapsed="false">
      <c r="A154" s="0" t="s">
        <v>492</v>
      </c>
      <c r="B154" s="0" t="s">
        <v>493</v>
      </c>
      <c r="C154" s="16" t="n">
        <f aca="false">ai25_lo*w_hbm/(0.75*C150+0.25*D150)</f>
        <v>44.0291937812824</v>
      </c>
      <c r="J154" s="5" t="s">
        <v>494</v>
      </c>
    </row>
    <row r="155" customFormat="false" ht="17.15" hidden="false" customHeight="false" outlineLevel="0" collapsed="false">
      <c r="A155" s="5" t="s">
        <v>495</v>
      </c>
      <c r="B155" s="0" t="s">
        <v>496</v>
      </c>
      <c r="C155" s="18" t="n">
        <f aca="false">ai25_lo*(1-w_hbm)/(0.75*C152+0.25*D152)</f>
        <v>0.0537122349324127</v>
      </c>
    </row>
    <row r="156" customFormat="false" ht="17.15" hidden="false" customHeight="false" outlineLevel="0" collapsed="false">
      <c r="A156" s="1" t="s">
        <v>497</v>
      </c>
    </row>
    <row r="157" customFormat="false" ht="17.15" hidden="false" customHeight="false" outlineLevel="0" collapsed="false">
      <c r="A157" s="5" t="s">
        <v>498</v>
      </c>
      <c r="B157" s="0" t="s">
        <v>76</v>
      </c>
      <c r="C157" s="16" t="n">
        <f aca="false">1-sh_loss/sh*0</f>
        <v>1</v>
      </c>
      <c r="D157" s="16" t="n">
        <f aca="false">1-sh_loss/sh*0.25</f>
        <v>1</v>
      </c>
      <c r="E157" s="16" t="n">
        <f aca="false">1-sh_loss/sh*0.5</f>
        <v>1</v>
      </c>
      <c r="F157" s="16" t="n">
        <f aca="false">1-sh_loss/sh*0.75</f>
        <v>1</v>
      </c>
      <c r="G157" s="16" t="n">
        <f aca="false">1-sh_loss/sh*1</f>
        <v>1</v>
      </c>
    </row>
    <row r="158" customFormat="false" ht="17.15" hidden="false" customHeight="false" outlineLevel="0" collapsed="false">
      <c r="A158" s="0" t="s">
        <v>499</v>
      </c>
      <c r="B158" s="0" t="s">
        <v>29</v>
      </c>
      <c r="C158" s="11" t="n">
        <f aca="false">$C$154*(0.75*C150+0.25*D150)*C157</f>
        <v>32.4</v>
      </c>
      <c r="D158" s="11" t="n">
        <f aca="false">$C$154*(0.75*D150+0.25*E150)*D157</f>
        <v>37.4964827452516</v>
      </c>
      <c r="E158" s="11" t="n">
        <f aca="false">$C$154*(0.75*E150+0.25*F150)*E157</f>
        <v>43.0694471120462</v>
      </c>
      <c r="F158" s="11" t="n">
        <f aca="false">$C$154*(0.75*F150+0.25*G150)*F157</f>
        <v>40.358174325538</v>
      </c>
      <c r="G158" s="11" t="n">
        <f aca="false">$C$154*(0.75*G150+0.25*H150)*G157</f>
        <v>24.5293750319952</v>
      </c>
    </row>
    <row r="159" customFormat="false" ht="17.15" hidden="false" customHeight="false" outlineLevel="0" collapsed="false">
      <c r="A159" s="5" t="s">
        <v>500</v>
      </c>
      <c r="B159" s="0" t="s">
        <v>29</v>
      </c>
      <c r="C159" s="11" t="n">
        <f aca="false">$C$155*(0.75*C152+0.25*D152)*C157</f>
        <v>35.1</v>
      </c>
      <c r="D159" s="11" t="n">
        <f aca="false">$C$155*(0.75*D152+0.25*E152)*D157</f>
        <v>54.13352276538</v>
      </c>
      <c r="E159" s="11" t="n">
        <f aca="false">$C$155*(0.75*E152+0.25*F152)*E157</f>
        <v>38.3392058171867</v>
      </c>
      <c r="F159" s="11" t="n">
        <f aca="false">$C$155*(0.75*F152+0.25*G152)*F157</f>
        <v>34.4886500287782</v>
      </c>
      <c r="G159" s="11" t="n">
        <f aca="false">$C$155*(0.75*G152+0.25*H152)*G157</f>
        <v>33.1797559984383</v>
      </c>
    </row>
    <row r="160" customFormat="false" ht="17.15" hidden="false" customHeight="false" outlineLevel="0" collapsed="false">
      <c r="A160" s="0" t="s">
        <v>501</v>
      </c>
      <c r="B160" s="0" t="s">
        <v>29</v>
      </c>
      <c r="C160" s="11" t="n">
        <f aca="false">C158+C159</f>
        <v>67.5</v>
      </c>
      <c r="D160" s="11" t="n">
        <f aca="false">D158+D159</f>
        <v>91.6300055106317</v>
      </c>
      <c r="E160" s="11" t="n">
        <f aca="false">E158+E159</f>
        <v>81.408652929233</v>
      </c>
      <c r="F160" s="11" t="n">
        <f aca="false">F158+F159</f>
        <v>74.8468243543162</v>
      </c>
      <c r="G160" s="11" t="n">
        <f aca="false">G158+G159</f>
        <v>57.7091310304335</v>
      </c>
    </row>
    <row r="161" customFormat="false" ht="17.15" hidden="false" customHeight="false" outlineLevel="0" collapsed="false">
      <c r="A161" s="5" t="s">
        <v>502</v>
      </c>
      <c r="B161" s="0" t="s">
        <v>29</v>
      </c>
      <c r="C161" s="11" t="n">
        <f aca="false">eq25-ai25_lo</f>
        <v>203.37118</v>
      </c>
      <c r="D161" s="11" t="n">
        <f aca="false">C161*(1+g_non)*D157/C157</f>
        <v>215.5734508</v>
      </c>
      <c r="E161" s="11" t="n">
        <f aca="false">D161*(1+g_non)*E157/D157</f>
        <v>228.507857848</v>
      </c>
      <c r="F161" s="11" t="n">
        <f aca="false">E161*(1+g_non)*F157/E157</f>
        <v>242.21832931888</v>
      </c>
      <c r="G161" s="11" t="n">
        <f aca="false">F161*(1+g_non)*G157/F157</f>
        <v>256.751429078013</v>
      </c>
    </row>
    <row r="162" customFormat="false" ht="15" hidden="false" customHeight="false" outlineLevel="0" collapsed="false">
      <c r="A162" s="5" t="s">
        <v>503</v>
      </c>
      <c r="B162" s="0" t="s">
        <v>29</v>
      </c>
      <c r="C162" s="11" t="n">
        <f aca="false">C160+C161</f>
        <v>270.87118</v>
      </c>
      <c r="D162" s="11" t="n">
        <f aca="false">D160+D161</f>
        <v>307.203456310632</v>
      </c>
      <c r="E162" s="11" t="n">
        <f aca="false">E160+E161</f>
        <v>309.916510777233</v>
      </c>
      <c r="F162" s="11" t="n">
        <f aca="false">F160+F161</f>
        <v>317.065153673196</v>
      </c>
      <c r="G162" s="11" t="n">
        <f aca="false">G160+G161</f>
        <v>314.460560108446</v>
      </c>
    </row>
    <row r="163" customFormat="false" ht="17.15" hidden="false" customHeight="false" outlineLevel="0" collapsed="false">
      <c r="A163" s="0" t="s">
        <v>504</v>
      </c>
      <c r="B163" s="0" t="s">
        <v>76</v>
      </c>
      <c r="C163" s="19" t="n">
        <f aca="false">w_hbm*(0.75*C149+0.25*D149)/(0.75*C149+0.25*D149)+(1-w_hbm)*(0.75*C151+0.25*D151)/(0.75*C151+0.25*D151)</f>
        <v>1</v>
      </c>
      <c r="D163" s="19" t="n">
        <f aca="false">w_hbm*(0.75*D149+0.25*E149)/(0.75*C149+0.25*D149)+(1-w_hbm)*(0.75*D151+0.25*E151)/(0.75*C151+0.25*D151)</f>
        <v>1.65212184085657</v>
      </c>
      <c r="E163" s="19" t="n">
        <f aca="false">w_hbm*(0.75*E149+0.25*F149)/(0.75*C149+0.25*D149)+(1-w_hbm)*(0.75*E151+0.25*F151)/(0.75*C151+0.25*D151)</f>
        <v>2.52516730417954</v>
      </c>
      <c r="F163" s="19" t="n">
        <f aca="false">w_hbm*(0.75*F149+0.25*G149)/(0.75*C149+0.25*D149)+(1-w_hbm)*(0.75*F151+0.25*G151)/(0.75*C151+0.25*D151)</f>
        <v>3.16911970169284</v>
      </c>
      <c r="G163" s="19" t="n">
        <f aca="false">w_hbm*(0.75*G149+0.25*H149)/(0.75*C149+0.25*D149)+(1-w_hbm)*(0.75*G151+0.25*H151)/(0.75*C151+0.25*D151)</f>
        <v>3.67439430985121</v>
      </c>
      <c r="J163" s="8" t="s">
        <v>505</v>
      </c>
    </row>
    <row r="164" customFormat="false" ht="17.15" hidden="false" customHeight="false" outlineLevel="0" collapsed="false">
      <c r="A164" s="0" t="s">
        <v>506</v>
      </c>
      <c r="B164" s="0" t="s">
        <v>29</v>
      </c>
      <c r="C164" s="11" t="n">
        <f aca="false">tl25*w_tlai*C163</f>
        <v>25.4032258064516</v>
      </c>
      <c r="D164" s="11" t="n">
        <f aca="false">tl25*w_tlai*D163</f>
        <v>41.9692241830499</v>
      </c>
      <c r="E164" s="11" t="n">
        <f aca="false">tl25*w_tlai*E163</f>
        <v>64.1473952271414</v>
      </c>
      <c r="F164" s="11" t="n">
        <f aca="false">tl25*w_tlai*F163</f>
        <v>80.5058633897778</v>
      </c>
      <c r="G164" s="11" t="n">
        <f aca="false">tl25*w_tlai*G163</f>
        <v>93.3414683550913</v>
      </c>
      <c r="J164" s="5" t="s">
        <v>507</v>
      </c>
    </row>
    <row r="165" customFormat="false" ht="17.15" hidden="false" customHeight="false" outlineLevel="0" collapsed="false">
      <c r="A165" s="5" t="s">
        <v>508</v>
      </c>
      <c r="B165" s="0" t="s">
        <v>29</v>
      </c>
      <c r="C165" s="11" t="n">
        <f aca="false">tl25*(1-w_tlai)</f>
        <v>66.3434641935484</v>
      </c>
      <c r="D165" s="11" t="n">
        <f aca="false">C165*(1+g_tl)</f>
        <v>69.6606374032258</v>
      </c>
      <c r="E165" s="11" t="n">
        <f aca="false">D165*(1+g_tl)</f>
        <v>73.1436692733871</v>
      </c>
      <c r="F165" s="11" t="n">
        <f aca="false">E165*(1+g_tl)</f>
        <v>76.8008527370565</v>
      </c>
      <c r="G165" s="11" t="n">
        <f aca="false">F165*(1+g_tl)</f>
        <v>80.6408953739093</v>
      </c>
    </row>
    <row r="166" customFormat="false" ht="15" hidden="false" customHeight="false" outlineLevel="0" collapsed="false">
      <c r="A166" s="5" t="s">
        <v>509</v>
      </c>
      <c r="B166" s="0" t="s">
        <v>29</v>
      </c>
      <c r="C166" s="11" t="n">
        <f aca="false">C164+C165</f>
        <v>91.74669</v>
      </c>
      <c r="D166" s="11" t="n">
        <f aca="false">D164+D165</f>
        <v>111.629861586276</v>
      </c>
      <c r="E166" s="11" t="n">
        <f aca="false">E164+E165</f>
        <v>137.291064500529</v>
      </c>
      <c r="F166" s="11" t="n">
        <f aca="false">F164+F165</f>
        <v>157.306716126834</v>
      </c>
      <c r="G166" s="11" t="n">
        <f aca="false">G164+G165</f>
        <v>173.982363729001</v>
      </c>
    </row>
    <row r="167" customFormat="false" ht="15" hidden="false" customHeight="false" outlineLevel="0" collapsed="false">
      <c r="A167" s="5" t="s">
        <v>393</v>
      </c>
      <c r="B167" s="0" t="s">
        <v>29</v>
      </c>
      <c r="C167" s="11" t="n">
        <f aca="false">r_ot*(C162+C166)</f>
        <v>74.27113</v>
      </c>
      <c r="D167" s="11" t="n">
        <f aca="false">r_ot*(D162+D166)</f>
        <v>85.7851374005714</v>
      </c>
      <c r="E167" s="11" t="n">
        <f aca="false">r_ot*(E162+E166)</f>
        <v>91.5967322858066</v>
      </c>
      <c r="F167" s="11" t="n">
        <f aca="false">r_ot*(F162+F166)</f>
        <v>97.1605034530183</v>
      </c>
      <c r="G167" s="11" t="n">
        <f aca="false">r_ot*(G162+G166)</f>
        <v>100.042526569116</v>
      </c>
    </row>
    <row r="168" customFormat="false" ht="15" hidden="false" customHeight="false" outlineLevel="0" collapsed="false">
      <c r="A168" s="5" t="s">
        <v>363</v>
      </c>
      <c r="B168" s="0" t="s">
        <v>29</v>
      </c>
      <c r="C168" s="11" t="n">
        <f aca="false">C162+C166+C167</f>
        <v>436.889</v>
      </c>
      <c r="D168" s="11" t="n">
        <f aca="false">D162+D166+D167</f>
        <v>504.618455297479</v>
      </c>
      <c r="E168" s="11" t="n">
        <f aca="false">E162+E166+E167</f>
        <v>538.804307563568</v>
      </c>
      <c r="F168" s="11" t="n">
        <f aca="false">F162+F166+F167</f>
        <v>571.532373253049</v>
      </c>
      <c r="G168" s="11" t="n">
        <f aca="false">G162+G166+G167</f>
        <v>588.485450406563</v>
      </c>
    </row>
    <row r="169" customFormat="false" ht="17.15" hidden="false" customHeight="false" outlineLevel="0" collapsed="false">
      <c r="A169" s="0" t="s">
        <v>510</v>
      </c>
      <c r="B169" s="0" t="s">
        <v>56</v>
      </c>
      <c r="C169" s="14" t="n">
        <f aca="false">(C160+C164)*(1+r_ot)/C168</f>
        <v>0.256201454733744</v>
      </c>
      <c r="D169" s="14" t="n">
        <f aca="false">(D160+D164)*(1+r_ot)/D168</f>
        <v>0.31897946983904</v>
      </c>
      <c r="E169" s="14" t="n">
        <f aca="false">(E160+E164)*(1+r_ot)/E168</f>
        <v>0.325477599671627</v>
      </c>
      <c r="F169" s="14" t="n">
        <f aca="false">(F160+F164)*(1+r_ot)/F168</f>
        <v>0.32749135780244</v>
      </c>
      <c r="G169" s="14" t="n">
        <f aca="false">(G160+G164)*(1+r_ot)/G168</f>
        <v>0.30924923264073</v>
      </c>
    </row>
    <row r="170" customFormat="false" ht="17.15" hidden="false" customHeight="false" outlineLevel="0" collapsed="false">
      <c r="A170" s="0" t="s">
        <v>511</v>
      </c>
      <c r="B170" s="0" t="s">
        <v>56</v>
      </c>
      <c r="C170" s="14" t="n">
        <f aca="false">C160*(1+r_ot)/C168</f>
        <v>0.186146369454986</v>
      </c>
      <c r="D170" s="14" t="n">
        <f aca="false">D160*(1+r_ot)/D168</f>
        <v>0.218774394479251</v>
      </c>
      <c r="E170" s="14" t="n">
        <f aca="false">E160*(1+r_ot)/E168</f>
        <v>0.182037732430337</v>
      </c>
      <c r="F170" s="14" t="n">
        <f aca="false">F160*(1+r_ot)/F168</f>
        <v>0.157780908016041</v>
      </c>
      <c r="G170" s="14" t="n">
        <f aca="false">G160*(1+r_ot)/G168</f>
        <v>0.118149180209311</v>
      </c>
      <c r="J170" s="5" t="s">
        <v>512</v>
      </c>
    </row>
    <row r="171" customFormat="false" ht="17.15" hidden="false" customHeight="false" outlineLevel="0" collapsed="false">
      <c r="A171" s="5" t="s">
        <v>401</v>
      </c>
      <c r="B171" s="0" t="s">
        <v>56</v>
      </c>
      <c r="C171" s="14" t="n">
        <f aca="false">a25_gp/a25_rev</f>
        <v>0.701498549974936</v>
      </c>
      <c r="D171" s="14" t="n">
        <f aca="false">gm_a+gm_b*LN(D168)+0</f>
        <v>0.718858754089633</v>
      </c>
      <c r="E171" s="14" t="n">
        <f aca="false">gm_a+gm_b*LN(E168)+0</f>
        <v>0.726320026301431</v>
      </c>
      <c r="F171" s="14" t="n">
        <f aca="false">gm_a+gm_b*LN(F168)+0</f>
        <v>0.733032193818152</v>
      </c>
      <c r="G171" s="14" t="n">
        <f aca="false">gm_a+gm_b*LN(G168)+0</f>
        <v>0.736359449014454</v>
      </c>
      <c r="J171" s="8" t="s">
        <v>513</v>
      </c>
    </row>
    <row r="172" customFormat="false" ht="15" hidden="false" customHeight="false" outlineLevel="0" collapsed="false">
      <c r="A172" s="5" t="s">
        <v>398</v>
      </c>
      <c r="B172" s="0" t="s">
        <v>29</v>
      </c>
      <c r="C172" s="11" t="n">
        <f aca="false">C168*C171</f>
        <v>306.477</v>
      </c>
      <c r="D172" s="11" t="n">
        <f aca="false">D168*D171</f>
        <v>362.749394065781</v>
      </c>
      <c r="E172" s="11" t="n">
        <f aca="false">E168*E171</f>
        <v>391.344358840895</v>
      </c>
      <c r="F172" s="11" t="n">
        <f aca="false">F168*F171</f>
        <v>418.951629403777</v>
      </c>
      <c r="G172" s="11" t="n">
        <f aca="false">G168*G171</f>
        <v>433.336822014399</v>
      </c>
    </row>
    <row r="173" customFormat="false" ht="17.15" hidden="false" customHeight="false" outlineLevel="0" collapsed="false">
      <c r="A173" s="5" t="s">
        <v>399</v>
      </c>
      <c r="B173" s="0" t="s">
        <v>29</v>
      </c>
      <c r="C173" s="11" t="n">
        <f aca="false">a25_sga</f>
        <v>121.487</v>
      </c>
      <c r="D173" s="11" t="n">
        <f aca="false">sg_f+sg_v*D168</f>
        <v>135.472405249769</v>
      </c>
      <c r="E173" s="11" t="n">
        <f aca="false">sg_f+sg_v*E168</f>
        <v>144.099787394872</v>
      </c>
      <c r="F173" s="11" t="n">
        <f aca="false">sg_f+sg_v*F168</f>
        <v>152.359272265264</v>
      </c>
      <c r="G173" s="11" t="n">
        <f aca="false">sg_f+sg_v*G168</f>
        <v>156.637670065627</v>
      </c>
      <c r="J173" s="5" t="s">
        <v>514</v>
      </c>
    </row>
    <row r="174" customFormat="false" ht="15" hidden="false" customHeight="false" outlineLevel="0" collapsed="false">
      <c r="A174" s="5" t="s">
        <v>367</v>
      </c>
      <c r="B174" s="0" t="s">
        <v>29</v>
      </c>
      <c r="C174" s="11" t="n">
        <f aca="false">C172-C173</f>
        <v>184.99</v>
      </c>
      <c r="D174" s="11" t="n">
        <f aca="false">D172-D173</f>
        <v>227.276988816012</v>
      </c>
      <c r="E174" s="11" t="n">
        <f aca="false">E172-E173</f>
        <v>247.244571446023</v>
      </c>
      <c r="F174" s="11" t="n">
        <f aca="false">F172-F173</f>
        <v>266.592357138513</v>
      </c>
      <c r="G174" s="11" t="n">
        <f aca="false">G172-G173</f>
        <v>276.699151948772</v>
      </c>
    </row>
    <row r="175" customFormat="false" ht="15" hidden="false" customHeight="false" outlineLevel="0" collapsed="false">
      <c r="A175" s="5" t="s">
        <v>515</v>
      </c>
      <c r="B175" s="0" t="s">
        <v>56</v>
      </c>
      <c r="C175" s="14" t="n">
        <f aca="false">C174/C168</f>
        <v>0.423425629851061</v>
      </c>
      <c r="D175" s="14" t="n">
        <f aca="false">D174/D168</f>
        <v>0.450393731006191</v>
      </c>
      <c r="E175" s="14" t="n">
        <f aca="false">E174/E168</f>
        <v>0.458876382343794</v>
      </c>
      <c r="F175" s="14" t="n">
        <f aca="false">F174/F168</f>
        <v>0.466451892516818</v>
      </c>
      <c r="G175" s="14" t="n">
        <f aca="false">G174/G168</f>
        <v>0.470188603231584</v>
      </c>
    </row>
    <row r="176" customFormat="false" ht="15" hidden="false" customHeight="false" outlineLevel="0" collapsed="false">
      <c r="A176" s="5" t="s">
        <v>370</v>
      </c>
      <c r="B176" s="0" t="s">
        <v>29</v>
      </c>
      <c r="C176" s="11" t="n">
        <f aca="false">a25_ni</f>
        <v>135.521</v>
      </c>
      <c r="D176" s="11" t="n">
        <f aca="false">D174*nioi</f>
        <v>166.500736807782</v>
      </c>
      <c r="E176" s="11" t="n">
        <f aca="false">E174*nioi</f>
        <v>181.128778289177</v>
      </c>
      <c r="F176" s="11" t="n">
        <f aca="false">F174*nioi</f>
        <v>195.302763038713</v>
      </c>
      <c r="G176" s="11" t="n">
        <f aca="false">G174*nioi</f>
        <v>202.70689484915</v>
      </c>
    </row>
    <row r="177" customFormat="false" ht="15" hidden="false" customHeight="false" outlineLevel="0" collapsed="false">
      <c r="A177" s="0" t="s">
        <v>459</v>
      </c>
      <c r="B177" s="0" t="s">
        <v>51</v>
      </c>
      <c r="C177" s="11" t="n">
        <f aca="false">a25_eps</f>
        <v>1249.84</v>
      </c>
      <c r="D177" s="11" t="n">
        <f aca="false">D176*1000/shares</f>
        <v>1534.83945993932</v>
      </c>
      <c r="E177" s="11" t="n">
        <f aca="false">E176*1000/shares</f>
        <v>1669.68387995647</v>
      </c>
      <c r="F177" s="11" t="n">
        <f aca="false">F176*1000/shares</f>
        <v>1800.34270775062</v>
      </c>
      <c r="G177" s="11" t="n">
        <f aca="false">G176*1000/shares</f>
        <v>1868.59558090379</v>
      </c>
    </row>
    <row r="178" customFormat="false" ht="17.15" hidden="false" customHeight="false" outlineLevel="0" collapsed="false">
      <c r="A178" s="5" t="s">
        <v>516</v>
      </c>
      <c r="B178" s="0" t="s">
        <v>29</v>
      </c>
      <c r="C178" s="16" t="n">
        <f aca="false">ABS(C168-a25_rev)+ABS(C174-a25_oi)</f>
        <v>0.000999999999976353</v>
      </c>
    </row>
    <row r="180" customFormat="false" ht="17.15" hidden="false" customHeight="false" outlineLevel="0" collapsed="false">
      <c r="A180" s="3" t="s">
        <v>714</v>
      </c>
    </row>
    <row r="181" customFormat="false" ht="17.15" hidden="false" customHeight="false" outlineLevel="0" collapsed="false">
      <c r="A181" s="6" t="s">
        <v>18</v>
      </c>
      <c r="B181" s="6" t="s">
        <v>19</v>
      </c>
      <c r="C181" s="9" t="s">
        <v>464</v>
      </c>
      <c r="D181" s="9" t="s">
        <v>465</v>
      </c>
      <c r="E181" s="9" t="s">
        <v>466</v>
      </c>
      <c r="F181" s="9" t="s">
        <v>467</v>
      </c>
      <c r="G181" s="9" t="s">
        <v>468</v>
      </c>
      <c r="H181" s="9" t="s">
        <v>469</v>
      </c>
      <c r="I181" s="9" t="s">
        <v>470</v>
      </c>
      <c r="J181" s="6" t="s">
        <v>450</v>
      </c>
    </row>
    <row r="182" customFormat="false" ht="17.15" hidden="false" customHeight="false" outlineLevel="0" collapsed="false">
      <c r="A182" s="1" t="s">
        <v>471</v>
      </c>
    </row>
    <row r="183" customFormat="false" ht="17.15" hidden="false" customHeight="false" outlineLevel="0" collapsed="false">
      <c r="A183" s="0" t="s">
        <v>472</v>
      </c>
      <c r="B183" s="0" t="s">
        <v>96</v>
      </c>
      <c r="C183" s="19" t="n">
        <f aca="false">hsA_25</f>
        <v>2.22511470588235</v>
      </c>
      <c r="D183" s="19" t="n">
        <f aca="false">hsA_26</f>
        <v>3.782695</v>
      </c>
      <c r="E183" s="19" t="n">
        <f aca="false">hsA_27</f>
        <v>5.86317725</v>
      </c>
      <c r="F183" s="19" t="n">
        <f aca="false">hsA_28</f>
        <v>8.5016070125</v>
      </c>
      <c r="G183" s="19" t="n">
        <f aca="false">hsA_29</f>
        <v>11.477169466875</v>
      </c>
      <c r="H183" s="19" t="n">
        <f aca="false">G183*(1+g_tail)</f>
        <v>12.6248864135625</v>
      </c>
      <c r="I183" s="19" t="n">
        <f aca="false">H183*(1+g_tail)</f>
        <v>13.8873750549188</v>
      </c>
      <c r="J183" s="8" t="s">
        <v>473</v>
      </c>
    </row>
    <row r="184" customFormat="false" ht="17.15" hidden="false" customHeight="false" outlineLevel="0" collapsed="false">
      <c r="A184" s="0" t="s">
        <v>474</v>
      </c>
      <c r="B184" s="0" t="s">
        <v>475</v>
      </c>
      <c r="C184" s="19" t="n">
        <f aca="false">den_25</f>
        <v>24</v>
      </c>
      <c r="D184" s="19" t="n">
        <f aca="false">den_26</f>
        <v>24</v>
      </c>
      <c r="E184" s="19" t="n">
        <f aca="false">den_27</f>
        <v>26</v>
      </c>
      <c r="F184" s="19" t="n">
        <f aca="false">den_28</f>
        <v>28</v>
      </c>
      <c r="G184" s="19" t="n">
        <f aca="false">den_29</f>
        <v>30</v>
      </c>
      <c r="H184" s="19" t="n">
        <f aca="false">den_30</f>
        <v>32</v>
      </c>
      <c r="I184" s="19" t="n">
        <f aca="false">den_30</f>
        <v>32</v>
      </c>
    </row>
    <row r="185" customFormat="false" ht="15" hidden="false" customHeight="false" outlineLevel="0" collapsed="false">
      <c r="A185" s="5" t="s">
        <v>476</v>
      </c>
      <c r="B185" s="5" t="s">
        <v>148</v>
      </c>
      <c r="C185" s="19" t="n">
        <f aca="false">stk_25</f>
        <v>10</v>
      </c>
      <c r="D185" s="19" t="n">
        <f aca="false">stk_26</f>
        <v>12</v>
      </c>
      <c r="E185" s="19" t="n">
        <f aca="false">stk_27</f>
        <v>12.5</v>
      </c>
      <c r="F185" s="19" t="n">
        <f aca="false">stk_28</f>
        <v>14</v>
      </c>
      <c r="G185" s="19" t="n">
        <f aca="false">stk_29</f>
        <v>15</v>
      </c>
      <c r="H185" s="19" t="n">
        <f aca="false">stk_30</f>
        <v>16</v>
      </c>
      <c r="I185" s="19" t="n">
        <f aca="false">stk_30</f>
        <v>16</v>
      </c>
    </row>
    <row r="186" customFormat="false" ht="17.15" hidden="false" customHeight="false" outlineLevel="0" collapsed="false">
      <c r="A186" s="0" t="s">
        <v>477</v>
      </c>
      <c r="B186" s="5" t="s">
        <v>478</v>
      </c>
      <c r="C186" s="19" t="n">
        <f aca="false">C183*8/C184</f>
        <v>0.741704901960783</v>
      </c>
      <c r="D186" s="19" t="n">
        <f aca="false">D183*8/D184</f>
        <v>1.26089833333333</v>
      </c>
      <c r="E186" s="19" t="n">
        <f aca="false">E183*8/E184</f>
        <v>1.80405453846154</v>
      </c>
      <c r="F186" s="19" t="n">
        <f aca="false">F183*8/F184</f>
        <v>2.429030575</v>
      </c>
      <c r="G186" s="19" t="n">
        <f aca="false">G183*8/G184</f>
        <v>3.0605785245</v>
      </c>
      <c r="H186" s="19" t="n">
        <f aca="false">H183*8/H184</f>
        <v>3.15622160339063</v>
      </c>
      <c r="I186" s="19" t="n">
        <f aca="false">I183*8/I184</f>
        <v>3.47184376372969</v>
      </c>
      <c r="J186" s="8" t="s">
        <v>479</v>
      </c>
    </row>
    <row r="187" customFormat="false" ht="17.15" hidden="false" customHeight="false" outlineLevel="0" collapsed="false">
      <c r="A187" s="0" t="s">
        <v>480</v>
      </c>
      <c r="B187" s="5" t="s">
        <v>481</v>
      </c>
      <c r="C187" s="19" t="n">
        <f aca="false">C186*(1+s_stk/C185)</f>
        <v>0.964216372549018</v>
      </c>
      <c r="D187" s="19" t="n">
        <f aca="false">D186*(1+s_stk/D185)</f>
        <v>1.57612291666667</v>
      </c>
      <c r="E187" s="19" t="n">
        <f aca="false">E186*(1+s_stk/E185)</f>
        <v>2.23702762769231</v>
      </c>
      <c r="F187" s="19" t="n">
        <f aca="false">F186*(1+s_stk/F185)</f>
        <v>2.94953712678571</v>
      </c>
      <c r="G187" s="19" t="n">
        <f aca="false">G186*(1+s_stk/G185)</f>
        <v>3.6726942294</v>
      </c>
      <c r="H187" s="19" t="n">
        <f aca="false">H186*(1+s_stk/H185)</f>
        <v>3.74801315402637</v>
      </c>
      <c r="I187" s="19" t="n">
        <f aca="false">I186*(1+s_stk/I185)</f>
        <v>4.12281446942901</v>
      </c>
      <c r="J187" s="5" t="s">
        <v>482</v>
      </c>
    </row>
    <row r="188" customFormat="false" ht="17.15" hidden="false" customHeight="false" outlineLevel="0" collapsed="false">
      <c r="A188" s="5" t="s">
        <v>483</v>
      </c>
      <c r="B188" s="0" t="s">
        <v>56</v>
      </c>
      <c r="C188" s="22" t="n">
        <f aca="false">hbp_25*hb_on</f>
        <v>0</v>
      </c>
      <c r="D188" s="22" t="n">
        <f aca="false">hbp_26*hb_on</f>
        <v>0</v>
      </c>
      <c r="E188" s="22" t="n">
        <f aca="false">hbp_27*hb_on</f>
        <v>0</v>
      </c>
      <c r="F188" s="22" t="n">
        <f aca="false">hbp_28*hb_on</f>
        <v>0.05</v>
      </c>
      <c r="G188" s="22" t="n">
        <f aca="false">hbp_29*hb_on</f>
        <v>0.15</v>
      </c>
      <c r="H188" s="22" t="n">
        <f aca="false">hbp_30*hb_on</f>
        <v>0.25</v>
      </c>
      <c r="I188" s="22" t="n">
        <f aca="false">hbp_30*hb_on</f>
        <v>0.25</v>
      </c>
    </row>
    <row r="189" customFormat="false" ht="17.15" hidden="false" customHeight="false" outlineLevel="0" collapsed="false">
      <c r="A189" s="0" t="s">
        <v>484</v>
      </c>
      <c r="B189" s="5" t="s">
        <v>481</v>
      </c>
      <c r="C189" s="19" t="n">
        <f aca="false">C187*(1+C188*hb_eff)</f>
        <v>0.964216372549018</v>
      </c>
      <c r="D189" s="19" t="n">
        <f aca="false">D187*(1+D188*hb_eff)</f>
        <v>1.57612291666667</v>
      </c>
      <c r="E189" s="19" t="n">
        <f aca="false">E187*(1+E188*hb_eff)</f>
        <v>2.23702762769231</v>
      </c>
      <c r="F189" s="19" t="n">
        <f aca="false">F187*(1+F188*hb_eff)</f>
        <v>2.96428481241964</v>
      </c>
      <c r="G189" s="19" t="n">
        <f aca="false">G187*(1+G188*hb_eff)</f>
        <v>3.727784642841</v>
      </c>
      <c r="H189" s="19" t="n">
        <f aca="false">H187*(1+H188*hb_eff)</f>
        <v>3.84171348287703</v>
      </c>
      <c r="I189" s="19" t="n">
        <f aca="false">I187*(1+I188*hb_eff)</f>
        <v>4.22588483116473</v>
      </c>
      <c r="J189" s="5" t="s">
        <v>485</v>
      </c>
    </row>
    <row r="190" customFormat="false" ht="17.15" hidden="false" customHeight="false" outlineLevel="0" collapsed="false">
      <c r="A190" s="0" t="s">
        <v>486</v>
      </c>
      <c r="B190" s="5" t="s">
        <v>481</v>
      </c>
      <c r="C190" s="19" t="n">
        <f aca="false">MAX(0,D189-C189)+dlt*C189</f>
        <v>0.70832818137255</v>
      </c>
      <c r="D190" s="19" t="n">
        <f aca="false">MAX(0,E189-D189)+dlt*D189</f>
        <v>0.818517002692307</v>
      </c>
      <c r="E190" s="19" t="n">
        <f aca="false">MAX(0,F189-E189)+dlt*E189</f>
        <v>0.950959947496565</v>
      </c>
      <c r="F190" s="19" t="n">
        <f aca="false">MAX(0,G189-F189)+dlt*F189</f>
        <v>1.05992831166332</v>
      </c>
      <c r="G190" s="19" t="n">
        <f aca="false">MAX(0,H189-G189)+dlt*G189</f>
        <v>0.486707304320127</v>
      </c>
      <c r="H190" s="19" t="n">
        <f aca="false">MAX(0,I189-H189)+dlt*H189</f>
        <v>0.768342696575406</v>
      </c>
      <c r="J190" s="5" t="s">
        <v>487</v>
      </c>
    </row>
    <row r="191" customFormat="false" ht="17.15" hidden="false" customHeight="false" outlineLevel="0" collapsed="false">
      <c r="A191" s="0" t="s">
        <v>488</v>
      </c>
      <c r="B191" s="5" t="s">
        <v>177</v>
      </c>
      <c r="C191" s="21" t="n">
        <f aca="false">cw_25</f>
        <v>670</v>
      </c>
      <c r="D191" s="21" t="n">
        <f aca="false">cw_26</f>
        <v>1107.85762580894</v>
      </c>
      <c r="E191" s="21" t="n">
        <f aca="false">cw_27</f>
        <v>2096.42857142857</v>
      </c>
      <c r="F191" s="21" t="n">
        <f aca="false">cw_28*um28_A</f>
        <v>2620.08928571429</v>
      </c>
      <c r="G191" s="21" t="n">
        <f aca="false">cw_29*um29_A</f>
        <v>3013.32589285714</v>
      </c>
      <c r="H191" s="21" t="n">
        <f aca="false">G191*(1+g_tail)</f>
        <v>3314.65848214285</v>
      </c>
      <c r="I191" s="21" t="n">
        <f aca="false">H191*(1+g_tail)</f>
        <v>3646.12433035714</v>
      </c>
      <c r="J191" s="5" t="s">
        <v>489</v>
      </c>
    </row>
    <row r="192" customFormat="false" ht="15" hidden="false" customHeight="false" outlineLevel="0" collapsed="false">
      <c r="A192" s="5" t="s">
        <v>490</v>
      </c>
      <c r="B192" s="5" t="s">
        <v>177</v>
      </c>
      <c r="C192" s="21" t="n">
        <f aca="false">MAX(0,D191-C191)+dlt*C191</f>
        <v>504.85762580894</v>
      </c>
      <c r="D192" s="21" t="n">
        <f aca="false">MAX(0,E191-D191)+dlt*D191</f>
        <v>1099.35670820052</v>
      </c>
      <c r="E192" s="21" t="n">
        <f aca="false">MAX(0,F191-E191)+dlt*E191</f>
        <v>733.303571428577</v>
      </c>
      <c r="F192" s="21" t="n">
        <f aca="false">MAX(0,G191-F191)+dlt*F191</f>
        <v>655.245535714279</v>
      </c>
      <c r="G192" s="21" t="n">
        <f aca="false">MAX(0,H191-G191)+dlt*G191</f>
        <v>602.665178571428</v>
      </c>
      <c r="H192" s="21" t="n">
        <f aca="false">MAX(0,I191-H191)+dlt*H191</f>
        <v>662.931696428571</v>
      </c>
    </row>
    <row r="193" customFormat="false" ht="17.15" hidden="false" customHeight="false" outlineLevel="0" collapsed="false">
      <c r="A193" s="1" t="s">
        <v>491</v>
      </c>
    </row>
    <row r="194" customFormat="false" ht="17.15" hidden="false" customHeight="false" outlineLevel="0" collapsed="false">
      <c r="A194" s="0" t="s">
        <v>492</v>
      </c>
      <c r="B194" s="0" t="s">
        <v>493</v>
      </c>
      <c r="C194" s="16" t="n">
        <f aca="false">ai25_hi*w_hbm/(0.75*C190+0.25*D190)</f>
        <v>53.8134590660118</v>
      </c>
      <c r="J194" s="5" t="s">
        <v>494</v>
      </c>
    </row>
    <row r="195" customFormat="false" ht="17.15" hidden="false" customHeight="false" outlineLevel="0" collapsed="false">
      <c r="A195" s="5" t="s">
        <v>495</v>
      </c>
      <c r="B195" s="0" t="s">
        <v>496</v>
      </c>
      <c r="C195" s="18" t="n">
        <f aca="false">ai25_hi*(1-w_hbm)/(0.75*C192+0.25*D192)</f>
        <v>0.0656482871396155</v>
      </c>
    </row>
    <row r="196" customFormat="false" ht="17.15" hidden="false" customHeight="false" outlineLevel="0" collapsed="false">
      <c r="A196" s="1" t="s">
        <v>497</v>
      </c>
    </row>
    <row r="197" customFormat="false" ht="17.15" hidden="false" customHeight="false" outlineLevel="0" collapsed="false">
      <c r="A197" s="5" t="s">
        <v>498</v>
      </c>
      <c r="B197" s="0" t="s">
        <v>76</v>
      </c>
      <c r="C197" s="16" t="n">
        <f aca="false">1-sh_loss/sh*0</f>
        <v>1</v>
      </c>
      <c r="D197" s="16" t="n">
        <f aca="false">1-sh_loss/sh*0.25</f>
        <v>1</v>
      </c>
      <c r="E197" s="16" t="n">
        <f aca="false">1-sh_loss/sh*0.5</f>
        <v>1</v>
      </c>
      <c r="F197" s="16" t="n">
        <f aca="false">1-sh_loss/sh*0.75</f>
        <v>1</v>
      </c>
      <c r="G197" s="16" t="n">
        <f aca="false">1-sh_loss/sh*1</f>
        <v>1</v>
      </c>
    </row>
    <row r="198" customFormat="false" ht="17.15" hidden="false" customHeight="false" outlineLevel="0" collapsed="false">
      <c r="A198" s="0" t="s">
        <v>499</v>
      </c>
      <c r="B198" s="0" t="s">
        <v>29</v>
      </c>
      <c r="C198" s="11" t="n">
        <f aca="false">$C$194*(0.75*C190+0.25*D190)*C197</f>
        <v>39.6</v>
      </c>
      <c r="D198" s="11" t="n">
        <f aca="false">$C$194*(0.75*D190+0.25*E190)*D197</f>
        <v>45.8290344664186</v>
      </c>
      <c r="E198" s="11" t="n">
        <f aca="false">$C$194*(0.75*E190+0.25*F190)*E197</f>
        <v>52.6404353591676</v>
      </c>
      <c r="F198" s="11" t="n">
        <f aca="false">$C$194*(0.75*F190+0.25*G190)*F197</f>
        <v>49.3266575089909</v>
      </c>
      <c r="G198" s="11" t="n">
        <f aca="false">$C$194*(0.75*G190+0.25*H190)*G197</f>
        <v>29.9803472613275</v>
      </c>
    </row>
    <row r="199" customFormat="false" ht="17.15" hidden="false" customHeight="false" outlineLevel="0" collapsed="false">
      <c r="A199" s="5" t="s">
        <v>500</v>
      </c>
      <c r="B199" s="0" t="s">
        <v>29</v>
      </c>
      <c r="C199" s="11" t="n">
        <f aca="false">$C$195*(0.75*C192+0.25*D192)*C197</f>
        <v>42.9</v>
      </c>
      <c r="D199" s="11" t="n">
        <f aca="false">$C$195*(0.75*D192+0.25*E192)*D197</f>
        <v>66.1631944910201</v>
      </c>
      <c r="E199" s="11" t="n">
        <f aca="false">$C$195*(0.75*E192+0.25*F192)*E197</f>
        <v>46.8590293321171</v>
      </c>
      <c r="F199" s="11" t="n">
        <f aca="false">$C$195*(0.75*F192+0.25*G192)*F197</f>
        <v>42.1527944796178</v>
      </c>
      <c r="G199" s="11" t="n">
        <f aca="false">$C$195*(0.75*G192+0.25*H192)*G197</f>
        <v>40.5530351092024</v>
      </c>
    </row>
    <row r="200" customFormat="false" ht="17.15" hidden="false" customHeight="false" outlineLevel="0" collapsed="false">
      <c r="A200" s="0" t="s">
        <v>501</v>
      </c>
      <c r="B200" s="0" t="s">
        <v>29</v>
      </c>
      <c r="C200" s="11" t="n">
        <f aca="false">C198+C199</f>
        <v>82.5</v>
      </c>
      <c r="D200" s="11" t="n">
        <f aca="false">D198+D199</f>
        <v>111.992228957439</v>
      </c>
      <c r="E200" s="11" t="n">
        <f aca="false">E198+E199</f>
        <v>99.4994646912847</v>
      </c>
      <c r="F200" s="11" t="n">
        <f aca="false">F198+F199</f>
        <v>91.4794519886087</v>
      </c>
      <c r="G200" s="11" t="n">
        <f aca="false">G198+G199</f>
        <v>70.5333823705299</v>
      </c>
    </row>
    <row r="201" customFormat="false" ht="17.15" hidden="false" customHeight="false" outlineLevel="0" collapsed="false">
      <c r="A201" s="5" t="s">
        <v>502</v>
      </c>
      <c r="B201" s="0" t="s">
        <v>29</v>
      </c>
      <c r="C201" s="11" t="n">
        <f aca="false">eq25-ai25_hi</f>
        <v>188.37118</v>
      </c>
      <c r="D201" s="11" t="n">
        <f aca="false">C201*(1+g_non)*D197/C197</f>
        <v>199.6734508</v>
      </c>
      <c r="E201" s="11" t="n">
        <f aca="false">D201*(1+g_non)*E197/D197</f>
        <v>211.653857848</v>
      </c>
      <c r="F201" s="11" t="n">
        <f aca="false">E201*(1+g_non)*F197/E197</f>
        <v>224.35308931888</v>
      </c>
      <c r="G201" s="11" t="n">
        <f aca="false">F201*(1+g_non)*G197/F197</f>
        <v>237.814274678013</v>
      </c>
    </row>
    <row r="202" customFormat="false" ht="15" hidden="false" customHeight="false" outlineLevel="0" collapsed="false">
      <c r="A202" s="5" t="s">
        <v>503</v>
      </c>
      <c r="B202" s="0" t="s">
        <v>29</v>
      </c>
      <c r="C202" s="11" t="n">
        <f aca="false">C200+C201</f>
        <v>270.87118</v>
      </c>
      <c r="D202" s="11" t="n">
        <f aca="false">D200+D201</f>
        <v>311.665679757439</v>
      </c>
      <c r="E202" s="11" t="n">
        <f aca="false">E200+E201</f>
        <v>311.153322539285</v>
      </c>
      <c r="F202" s="11" t="n">
        <f aca="false">F200+F201</f>
        <v>315.832541307489</v>
      </c>
      <c r="G202" s="11" t="n">
        <f aca="false">G200+G201</f>
        <v>308.347657048543</v>
      </c>
    </row>
    <row r="203" customFormat="false" ht="17.15" hidden="false" customHeight="false" outlineLevel="0" collapsed="false">
      <c r="A203" s="0" t="s">
        <v>504</v>
      </c>
      <c r="B203" s="0" t="s">
        <v>76</v>
      </c>
      <c r="C203" s="19" t="n">
        <f aca="false">w_hbm*(0.75*C189+0.25*D189)/(0.75*C189+0.25*D189)+(1-w_hbm)*(0.75*C191+0.25*D191)/(0.75*C191+0.25*D191)</f>
        <v>1</v>
      </c>
      <c r="D203" s="19" t="n">
        <f aca="false">w_hbm*(0.75*D189+0.25*E189)/(0.75*C189+0.25*D189)+(1-w_hbm)*(0.75*D191+0.25*E191)/(0.75*C191+0.25*D191)</f>
        <v>1.65212184085657</v>
      </c>
      <c r="E203" s="19" t="n">
        <f aca="false">w_hbm*(0.75*E189+0.25*F189)/(0.75*C189+0.25*D189)+(1-w_hbm)*(0.75*E191+0.25*F191)/(0.75*C191+0.25*D191)</f>
        <v>2.52516730417954</v>
      </c>
      <c r="F203" s="19" t="n">
        <f aca="false">w_hbm*(0.75*F189+0.25*G189)/(0.75*C189+0.25*D189)+(1-w_hbm)*(0.75*F191+0.25*G191)/(0.75*C191+0.25*D191)</f>
        <v>3.16911970169284</v>
      </c>
      <c r="G203" s="19" t="n">
        <f aca="false">w_hbm*(0.75*G189+0.25*H189)/(0.75*C189+0.25*D189)+(1-w_hbm)*(0.75*G191+0.25*H191)/(0.75*C191+0.25*D191)</f>
        <v>3.67439430985121</v>
      </c>
      <c r="J203" s="8" t="s">
        <v>505</v>
      </c>
    </row>
    <row r="204" customFormat="false" ht="17.15" hidden="false" customHeight="false" outlineLevel="0" collapsed="false">
      <c r="A204" s="0" t="s">
        <v>506</v>
      </c>
      <c r="B204" s="0" t="s">
        <v>29</v>
      </c>
      <c r="C204" s="11" t="n">
        <f aca="false">tl25*w_tlai*C203</f>
        <v>25.4032258064516</v>
      </c>
      <c r="D204" s="11" t="n">
        <f aca="false">tl25*w_tlai*D203</f>
        <v>41.9692241830499</v>
      </c>
      <c r="E204" s="11" t="n">
        <f aca="false">tl25*w_tlai*E203</f>
        <v>64.1473952271414</v>
      </c>
      <c r="F204" s="11" t="n">
        <f aca="false">tl25*w_tlai*F203</f>
        <v>80.5058633897778</v>
      </c>
      <c r="G204" s="11" t="n">
        <f aca="false">tl25*w_tlai*G203</f>
        <v>93.3414683550913</v>
      </c>
      <c r="J204" s="5" t="s">
        <v>507</v>
      </c>
    </row>
    <row r="205" customFormat="false" ht="17.15" hidden="false" customHeight="false" outlineLevel="0" collapsed="false">
      <c r="A205" s="5" t="s">
        <v>508</v>
      </c>
      <c r="B205" s="0" t="s">
        <v>29</v>
      </c>
      <c r="C205" s="11" t="n">
        <f aca="false">tl25*(1-w_tlai)</f>
        <v>66.3434641935484</v>
      </c>
      <c r="D205" s="11" t="n">
        <f aca="false">C205*(1+g_tl)</f>
        <v>69.6606374032258</v>
      </c>
      <c r="E205" s="11" t="n">
        <f aca="false">D205*(1+g_tl)</f>
        <v>73.1436692733871</v>
      </c>
      <c r="F205" s="11" t="n">
        <f aca="false">E205*(1+g_tl)</f>
        <v>76.8008527370565</v>
      </c>
      <c r="G205" s="11" t="n">
        <f aca="false">F205*(1+g_tl)</f>
        <v>80.6408953739093</v>
      </c>
    </row>
    <row r="206" customFormat="false" ht="15" hidden="false" customHeight="false" outlineLevel="0" collapsed="false">
      <c r="A206" s="5" t="s">
        <v>509</v>
      </c>
      <c r="B206" s="0" t="s">
        <v>29</v>
      </c>
      <c r="C206" s="11" t="n">
        <f aca="false">C204+C205</f>
        <v>91.74669</v>
      </c>
      <c r="D206" s="11" t="n">
        <f aca="false">D204+D205</f>
        <v>111.629861586276</v>
      </c>
      <c r="E206" s="11" t="n">
        <f aca="false">E204+E205</f>
        <v>137.291064500529</v>
      </c>
      <c r="F206" s="11" t="n">
        <f aca="false">F204+F205</f>
        <v>157.306716126834</v>
      </c>
      <c r="G206" s="11" t="n">
        <f aca="false">G204+G205</f>
        <v>173.982363729001</v>
      </c>
    </row>
    <row r="207" customFormat="false" ht="15" hidden="false" customHeight="false" outlineLevel="0" collapsed="false">
      <c r="A207" s="5" t="s">
        <v>393</v>
      </c>
      <c r="B207" s="0" t="s">
        <v>29</v>
      </c>
      <c r="C207" s="11" t="n">
        <f aca="false">r_ot*(C202+C206)</f>
        <v>74.27113</v>
      </c>
      <c r="D207" s="11" t="n">
        <f aca="false">r_ot*(D202+D206)</f>
        <v>86.6990867812427</v>
      </c>
      <c r="E207" s="11" t="n">
        <f aca="false">r_ot*(E202+E206)</f>
        <v>91.8500551768293</v>
      </c>
      <c r="F207" s="11" t="n">
        <f aca="false">r_ot*(F202+F206)</f>
        <v>96.9080406793192</v>
      </c>
      <c r="G207" s="11" t="n">
        <f aca="false">r_ot*(G202+G206)</f>
        <v>98.7904861833523</v>
      </c>
    </row>
    <row r="208" customFormat="false" ht="15" hidden="false" customHeight="false" outlineLevel="0" collapsed="false">
      <c r="A208" s="5" t="s">
        <v>363</v>
      </c>
      <c r="B208" s="0" t="s">
        <v>29</v>
      </c>
      <c r="C208" s="11" t="n">
        <f aca="false">C202+C206+C207</f>
        <v>436.889</v>
      </c>
      <c r="D208" s="11" t="n">
        <f aca="false">D202+D206+D207</f>
        <v>509.994628124957</v>
      </c>
      <c r="E208" s="11" t="n">
        <f aca="false">E202+E206+E207</f>
        <v>540.294442216643</v>
      </c>
      <c r="F208" s="11" t="n">
        <f aca="false">F202+F206+F207</f>
        <v>570.047298113642</v>
      </c>
      <c r="G208" s="11" t="n">
        <f aca="false">G202+G206+G207</f>
        <v>581.120506960896</v>
      </c>
    </row>
    <row r="209" customFormat="false" ht="17.15" hidden="false" customHeight="false" outlineLevel="0" collapsed="false">
      <c r="A209" s="0" t="s">
        <v>510</v>
      </c>
      <c r="B209" s="0" t="s">
        <v>56</v>
      </c>
      <c r="C209" s="14" t="n">
        <f aca="false">(C200+C204)*(1+r_ot)/C208</f>
        <v>0.29756731461263</v>
      </c>
      <c r="D209" s="14" t="n">
        <f aca="false">(D200+D204)*(1+r_ot)/D208</f>
        <v>0.363720942232823</v>
      </c>
      <c r="E209" s="14" t="n">
        <f aca="false">(E200+E204)*(1+r_ot)/E208</f>
        <v>0.364921191228774</v>
      </c>
      <c r="F209" s="14" t="n">
        <f aca="false">(F200+F204)*(1+r_ot)/F208</f>
        <v>0.363498299234364</v>
      </c>
      <c r="G209" s="14" t="n">
        <f aca="false">(G200+G204)*(1+r_ot)/G208</f>
        <v>0.339756688711695</v>
      </c>
    </row>
    <row r="210" customFormat="false" ht="17.15" hidden="false" customHeight="false" outlineLevel="0" collapsed="false">
      <c r="A210" s="0" t="s">
        <v>511</v>
      </c>
      <c r="B210" s="0" t="s">
        <v>56</v>
      </c>
      <c r="C210" s="14" t="n">
        <f aca="false">C200*(1+r_ot)/C208</f>
        <v>0.227512229333872</v>
      </c>
      <c r="D210" s="14" t="n">
        <f aca="false">D200*(1+r_ot)/D208</f>
        <v>0.264572191339245</v>
      </c>
      <c r="E210" s="14" t="n">
        <f aca="false">E200*(1+r_ot)/E208</f>
        <v>0.221876931826668</v>
      </c>
      <c r="F210" s="14" t="n">
        <f aca="false">F200*(1+r_ot)/F208</f>
        <v>0.193345723381043</v>
      </c>
      <c r="G210" s="14" t="n">
        <f aca="false">G200*(1+r_ot)/G208</f>
        <v>0.146234692704439</v>
      </c>
      <c r="J210" s="5" t="s">
        <v>512</v>
      </c>
    </row>
    <row r="211" customFormat="false" ht="17.15" hidden="false" customHeight="false" outlineLevel="0" collapsed="false">
      <c r="A211" s="5" t="s">
        <v>401</v>
      </c>
      <c r="B211" s="0" t="s">
        <v>56</v>
      </c>
      <c r="C211" s="14" t="n">
        <f aca="false">a25_gp/a25_rev</f>
        <v>0.701498549974936</v>
      </c>
      <c r="D211" s="14" t="n">
        <f aca="false">gm_a+gm_b*LN(D208)+0</f>
        <v>0.72006503412841</v>
      </c>
      <c r="E211" s="14" t="n">
        <f aca="false">gm_a+gm_b*LN(E208)+0</f>
        <v>0.726634392551408</v>
      </c>
      <c r="F211" s="14" t="n">
        <f aca="false">gm_a+gm_b*LN(F208)+0</f>
        <v>0.732736042438708</v>
      </c>
      <c r="G211" s="14" t="n">
        <f aca="false">gm_a+gm_b*LN(G208)+0</f>
        <v>0.73492591864378</v>
      </c>
      <c r="J211" s="8" t="s">
        <v>513</v>
      </c>
    </row>
    <row r="212" customFormat="false" ht="15" hidden="false" customHeight="false" outlineLevel="0" collapsed="false">
      <c r="A212" s="5" t="s">
        <v>398</v>
      </c>
      <c r="B212" s="0" t="s">
        <v>29</v>
      </c>
      <c r="C212" s="11" t="n">
        <f aca="false">C208*C211</f>
        <v>306.477</v>
      </c>
      <c r="D212" s="11" t="n">
        <f aca="false">D208*D211</f>
        <v>367.229299306103</v>
      </c>
      <c r="E212" s="11" t="n">
        <f aca="false">E208*E211</f>
        <v>392.596523818992</v>
      </c>
      <c r="F212" s="11" t="n">
        <f aca="false">F208*F211</f>
        <v>417.694201222669</v>
      </c>
      <c r="G212" s="11" t="n">
        <f aca="false">G208*G211</f>
        <v>427.080522420975</v>
      </c>
    </row>
    <row r="213" customFormat="false" ht="17.15" hidden="false" customHeight="false" outlineLevel="0" collapsed="false">
      <c r="A213" s="5" t="s">
        <v>399</v>
      </c>
      <c r="B213" s="0" t="s">
        <v>29</v>
      </c>
      <c r="C213" s="11" t="n">
        <f aca="false">a25_sga</f>
        <v>121.487</v>
      </c>
      <c r="D213" s="11" t="n">
        <f aca="false">sg_f+sg_v*D208</f>
        <v>136.829174041132</v>
      </c>
      <c r="E213" s="11" t="n">
        <f aca="false">sg_f+sg_v*E208</f>
        <v>144.475848257702</v>
      </c>
      <c r="F213" s="11" t="n">
        <f aca="false">sg_f+sg_v*F208</f>
        <v>151.984488256893</v>
      </c>
      <c r="G213" s="11" t="n">
        <f aca="false">sg_f+sg_v*G208</f>
        <v>154.779001131816</v>
      </c>
      <c r="J213" s="5" t="s">
        <v>514</v>
      </c>
    </row>
    <row r="214" customFormat="false" ht="15" hidden="false" customHeight="false" outlineLevel="0" collapsed="false">
      <c r="A214" s="5" t="s">
        <v>367</v>
      </c>
      <c r="B214" s="0" t="s">
        <v>29</v>
      </c>
      <c r="C214" s="11" t="n">
        <f aca="false">C212-C213</f>
        <v>184.99</v>
      </c>
      <c r="D214" s="11" t="n">
        <f aca="false">D212-D213</f>
        <v>230.400125264971</v>
      </c>
      <c r="E214" s="11" t="n">
        <f aca="false">E212-E213</f>
        <v>248.120675561291</v>
      </c>
      <c r="F214" s="11" t="n">
        <f aca="false">F212-F213</f>
        <v>265.709712965776</v>
      </c>
      <c r="G214" s="11" t="n">
        <f aca="false">G212-G213</f>
        <v>272.301521289159</v>
      </c>
    </row>
    <row r="215" customFormat="false" ht="15" hidden="false" customHeight="false" outlineLevel="0" collapsed="false">
      <c r="A215" s="5" t="s">
        <v>515</v>
      </c>
      <c r="B215" s="0" t="s">
        <v>56</v>
      </c>
      <c r="C215" s="14" t="n">
        <f aca="false">C214/C208</f>
        <v>0.423425629851061</v>
      </c>
      <c r="D215" s="14" t="n">
        <f aca="false">D214/D208</f>
        <v>0.451769710030199</v>
      </c>
      <c r="E215" s="14" t="n">
        <f aca="false">E214/E208</f>
        <v>0.459232329955749</v>
      </c>
      <c r="F215" s="14" t="n">
        <f aca="false">F214/F208</f>
        <v>0.46611871303494</v>
      </c>
      <c r="G215" s="14" t="n">
        <f aca="false">G214/G208</f>
        <v>0.468580127576676</v>
      </c>
    </row>
    <row r="216" customFormat="false" ht="15" hidden="false" customHeight="false" outlineLevel="0" collapsed="false">
      <c r="A216" s="5" t="s">
        <v>370</v>
      </c>
      <c r="B216" s="0" t="s">
        <v>29</v>
      </c>
      <c r="C216" s="11" t="n">
        <f aca="false">a25_ni</f>
        <v>135.521</v>
      </c>
      <c r="D216" s="11" t="n">
        <f aca="false">D214*nioi</f>
        <v>168.788713793978</v>
      </c>
      <c r="E216" s="11" t="n">
        <f aca="false">E214*nioi</f>
        <v>181.770602969591</v>
      </c>
      <c r="F216" s="11" t="n">
        <f aca="false">F214*nioi</f>
        <v>194.656147180832</v>
      </c>
      <c r="G216" s="11" t="n">
        <f aca="false">G214*nioi</f>
        <v>199.485236779636</v>
      </c>
    </row>
    <row r="217" customFormat="false" ht="15" hidden="false" customHeight="false" outlineLevel="0" collapsed="false">
      <c r="A217" s="0" t="s">
        <v>459</v>
      </c>
      <c r="B217" s="0" t="s">
        <v>51</v>
      </c>
      <c r="C217" s="11" t="n">
        <f aca="false">a25_eps</f>
        <v>1249.84</v>
      </c>
      <c r="D217" s="11" t="n">
        <f aca="false">D216*1000/shares</f>
        <v>1555.93052193204</v>
      </c>
      <c r="E217" s="11" t="n">
        <f aca="false">E216*1000/shares</f>
        <v>1675.60035735321</v>
      </c>
      <c r="F217" s="11" t="n">
        <f aca="false">F216*1000/shares</f>
        <v>1794.38206425362</v>
      </c>
      <c r="G217" s="11" t="n">
        <f aca="false">G216*1000/shares</f>
        <v>1838.89764667044</v>
      </c>
    </row>
    <row r="218" customFormat="false" ht="17.15" hidden="false" customHeight="false" outlineLevel="0" collapsed="false">
      <c r="A218" s="5" t="s">
        <v>516</v>
      </c>
      <c r="B218" s="0" t="s">
        <v>29</v>
      </c>
      <c r="C218" s="16" t="n">
        <f aca="false">ABS(C208-a25_rev)+ABS(C214-a25_oi)</f>
        <v>0.000999999999976353</v>
      </c>
    </row>
    <row r="220" customFormat="false" ht="17.15" hidden="false" customHeight="false" outlineLevel="0" collapsed="false">
      <c r="A220" s="3" t="s">
        <v>715</v>
      </c>
    </row>
    <row r="221" customFormat="false" ht="17.15" hidden="false" customHeight="false" outlineLevel="0" collapsed="false">
      <c r="A221" s="6" t="s">
        <v>18</v>
      </c>
      <c r="B221" s="6" t="s">
        <v>19</v>
      </c>
      <c r="C221" s="9" t="s">
        <v>464</v>
      </c>
      <c r="D221" s="9" t="s">
        <v>465</v>
      </c>
      <c r="E221" s="9" t="s">
        <v>466</v>
      </c>
      <c r="F221" s="9" t="s">
        <v>467</v>
      </c>
      <c r="G221" s="9" t="s">
        <v>468</v>
      </c>
      <c r="H221" s="9" t="s">
        <v>469</v>
      </c>
      <c r="I221" s="9" t="s">
        <v>470</v>
      </c>
      <c r="J221" s="6" t="s">
        <v>450</v>
      </c>
    </row>
    <row r="222" customFormat="false" ht="17.15" hidden="false" customHeight="false" outlineLevel="0" collapsed="false">
      <c r="A222" s="1" t="s">
        <v>471</v>
      </c>
    </row>
    <row r="223" customFormat="false" ht="17.15" hidden="false" customHeight="false" outlineLevel="0" collapsed="false">
      <c r="A223" s="0" t="s">
        <v>472</v>
      </c>
      <c r="B223" s="0" t="s">
        <v>96</v>
      </c>
      <c r="C223" s="19" t="n">
        <f aca="false">hsA_25</f>
        <v>2.22511470588235</v>
      </c>
      <c r="D223" s="19" t="n">
        <f aca="false">hsA_26</f>
        <v>3.782695</v>
      </c>
      <c r="E223" s="19" t="n">
        <f aca="false">hsA_27</f>
        <v>5.86317725</v>
      </c>
      <c r="F223" s="19" t="n">
        <f aca="false">hsA_28</f>
        <v>8.5016070125</v>
      </c>
      <c r="G223" s="19" t="n">
        <f aca="false">hsA_29</f>
        <v>11.477169466875</v>
      </c>
      <c r="H223" s="19" t="n">
        <f aca="false">G223*(1+g_tail)</f>
        <v>12.6248864135625</v>
      </c>
      <c r="I223" s="19" t="n">
        <f aca="false">H223*(1+g_tail)</f>
        <v>13.8873750549188</v>
      </c>
      <c r="J223" s="8" t="s">
        <v>473</v>
      </c>
    </row>
    <row r="224" customFormat="false" ht="17.15" hidden="false" customHeight="false" outlineLevel="0" collapsed="false">
      <c r="A224" s="0" t="s">
        <v>474</v>
      </c>
      <c r="B224" s="0" t="s">
        <v>475</v>
      </c>
      <c r="C224" s="19" t="n">
        <f aca="false">den_25</f>
        <v>24</v>
      </c>
      <c r="D224" s="19" t="n">
        <f aca="false">den_26</f>
        <v>24</v>
      </c>
      <c r="E224" s="19" t="n">
        <f aca="false">den_27</f>
        <v>26</v>
      </c>
      <c r="F224" s="19" t="n">
        <f aca="false">den_28</f>
        <v>28</v>
      </c>
      <c r="G224" s="19" t="n">
        <f aca="false">den_29</f>
        <v>30</v>
      </c>
      <c r="H224" s="19" t="n">
        <f aca="false">den_30</f>
        <v>32</v>
      </c>
      <c r="I224" s="19" t="n">
        <f aca="false">den_30</f>
        <v>32</v>
      </c>
    </row>
    <row r="225" customFormat="false" ht="15" hidden="false" customHeight="false" outlineLevel="0" collapsed="false">
      <c r="A225" s="5" t="s">
        <v>476</v>
      </c>
      <c r="B225" s="5" t="s">
        <v>148</v>
      </c>
      <c r="C225" s="19" t="n">
        <f aca="false">stk_25</f>
        <v>10</v>
      </c>
      <c r="D225" s="19" t="n">
        <f aca="false">stk_26</f>
        <v>12</v>
      </c>
      <c r="E225" s="19" t="n">
        <f aca="false">stk_27</f>
        <v>12.5</v>
      </c>
      <c r="F225" s="19" t="n">
        <f aca="false">stk_28</f>
        <v>14</v>
      </c>
      <c r="G225" s="19" t="n">
        <f aca="false">stk_29</f>
        <v>15</v>
      </c>
      <c r="H225" s="19" t="n">
        <f aca="false">stk_30</f>
        <v>16</v>
      </c>
      <c r="I225" s="19" t="n">
        <f aca="false">stk_30</f>
        <v>16</v>
      </c>
    </row>
    <row r="226" customFormat="false" ht="17.15" hidden="false" customHeight="false" outlineLevel="0" collapsed="false">
      <c r="A226" s="0" t="s">
        <v>477</v>
      </c>
      <c r="B226" s="5" t="s">
        <v>478</v>
      </c>
      <c r="C226" s="19" t="n">
        <f aca="false">C223*8/C224</f>
        <v>0.741704901960783</v>
      </c>
      <c r="D226" s="19" t="n">
        <f aca="false">D223*8/D224</f>
        <v>1.26089833333333</v>
      </c>
      <c r="E226" s="19" t="n">
        <f aca="false">E223*8/E224</f>
        <v>1.80405453846154</v>
      </c>
      <c r="F226" s="19" t="n">
        <f aca="false">F223*8/F224</f>
        <v>2.429030575</v>
      </c>
      <c r="G226" s="19" t="n">
        <f aca="false">G223*8/G224</f>
        <v>3.0605785245</v>
      </c>
      <c r="H226" s="19" t="n">
        <f aca="false">H223*8/H224</f>
        <v>3.15622160339063</v>
      </c>
      <c r="I226" s="19" t="n">
        <f aca="false">I223*8/I224</f>
        <v>3.47184376372969</v>
      </c>
      <c r="J226" s="8" t="s">
        <v>479</v>
      </c>
    </row>
    <row r="227" customFormat="false" ht="17.15" hidden="false" customHeight="false" outlineLevel="0" collapsed="false">
      <c r="A227" s="0" t="s">
        <v>480</v>
      </c>
      <c r="B227" s="5" t="s">
        <v>481</v>
      </c>
      <c r="C227" s="19" t="n">
        <f aca="false">C226*(1+s_stk/C225)</f>
        <v>0.964216372549018</v>
      </c>
      <c r="D227" s="19" t="n">
        <f aca="false">D226*(1+s_stk/D225)</f>
        <v>1.57612291666667</v>
      </c>
      <c r="E227" s="19" t="n">
        <f aca="false">E226*(1+s_stk/E225)</f>
        <v>2.23702762769231</v>
      </c>
      <c r="F227" s="19" t="n">
        <f aca="false">F226*(1+s_stk/F225)</f>
        <v>2.94953712678571</v>
      </c>
      <c r="G227" s="19" t="n">
        <f aca="false">G226*(1+s_stk/G225)</f>
        <v>3.6726942294</v>
      </c>
      <c r="H227" s="19" t="n">
        <f aca="false">H226*(1+s_stk/H225)</f>
        <v>3.74801315402637</v>
      </c>
      <c r="I227" s="19" t="n">
        <f aca="false">I226*(1+s_stk/I225)</f>
        <v>4.12281446942901</v>
      </c>
      <c r="J227" s="5" t="s">
        <v>482</v>
      </c>
    </row>
    <row r="228" customFormat="false" ht="17.15" hidden="false" customHeight="false" outlineLevel="0" collapsed="false">
      <c r="A228" s="5" t="s">
        <v>483</v>
      </c>
      <c r="B228" s="0" t="s">
        <v>56</v>
      </c>
      <c r="C228" s="22" t="n">
        <f aca="false">hbp_25*hb_on</f>
        <v>0</v>
      </c>
      <c r="D228" s="22" t="n">
        <f aca="false">hbp_26*hb_on</f>
        <v>0</v>
      </c>
      <c r="E228" s="22" t="n">
        <f aca="false">hbp_27*hb_on</f>
        <v>0</v>
      </c>
      <c r="F228" s="22" t="n">
        <f aca="false">hbp_28*hb_on</f>
        <v>0.05</v>
      </c>
      <c r="G228" s="22" t="n">
        <f aca="false">hbp_29*hb_on</f>
        <v>0.15</v>
      </c>
      <c r="H228" s="22" t="n">
        <f aca="false">hbp_30*hb_on</f>
        <v>0.25</v>
      </c>
      <c r="I228" s="22" t="n">
        <f aca="false">hbp_30*hb_on</f>
        <v>0.25</v>
      </c>
    </row>
    <row r="229" customFormat="false" ht="17.15" hidden="false" customHeight="false" outlineLevel="0" collapsed="false">
      <c r="A229" s="0" t="s">
        <v>484</v>
      </c>
      <c r="B229" s="5" t="s">
        <v>481</v>
      </c>
      <c r="C229" s="19" t="n">
        <f aca="false">C227*(1+C228*hb_eff)</f>
        <v>0.964216372549018</v>
      </c>
      <c r="D229" s="19" t="n">
        <f aca="false">D227*(1+D228*hb_eff)</f>
        <v>1.57612291666667</v>
      </c>
      <c r="E229" s="19" t="n">
        <f aca="false">E227*(1+E228*hb_eff)</f>
        <v>2.23702762769231</v>
      </c>
      <c r="F229" s="19" t="n">
        <f aca="false">F227*(1+F228*hb_eff)</f>
        <v>2.96428481241964</v>
      </c>
      <c r="G229" s="19" t="n">
        <f aca="false">G227*(1+G228*hb_eff)</f>
        <v>3.727784642841</v>
      </c>
      <c r="H229" s="19" t="n">
        <f aca="false">H227*(1+H228*hb_eff)</f>
        <v>3.84171348287703</v>
      </c>
      <c r="I229" s="19" t="n">
        <f aca="false">I227*(1+I228*hb_eff)</f>
        <v>4.22588483116473</v>
      </c>
      <c r="J229" s="5" t="s">
        <v>485</v>
      </c>
    </row>
    <row r="230" customFormat="false" ht="17.15" hidden="false" customHeight="false" outlineLevel="0" collapsed="false">
      <c r="A230" s="0" t="s">
        <v>486</v>
      </c>
      <c r="B230" s="5" t="s">
        <v>481</v>
      </c>
      <c r="C230" s="19" t="n">
        <f aca="false">MAX(0,D229-C229)+dlt*C229</f>
        <v>0.70832818137255</v>
      </c>
      <c r="D230" s="19" t="n">
        <f aca="false">MAX(0,E229-D229)+dlt*D229</f>
        <v>0.818517002692307</v>
      </c>
      <c r="E230" s="19" t="n">
        <f aca="false">MAX(0,F229-E229)+dlt*E229</f>
        <v>0.950959947496565</v>
      </c>
      <c r="F230" s="19" t="n">
        <f aca="false">MAX(0,G229-F229)+dlt*F229</f>
        <v>1.05992831166332</v>
      </c>
      <c r="G230" s="19" t="n">
        <f aca="false">MAX(0,H229-G229)+dlt*G229</f>
        <v>0.486707304320127</v>
      </c>
      <c r="H230" s="19" t="n">
        <f aca="false">MAX(0,I229-H229)+dlt*H229</f>
        <v>0.768342696575406</v>
      </c>
      <c r="J230" s="5" t="s">
        <v>487</v>
      </c>
    </row>
    <row r="231" customFormat="false" ht="17.15" hidden="false" customHeight="false" outlineLevel="0" collapsed="false">
      <c r="A231" s="0" t="s">
        <v>488</v>
      </c>
      <c r="B231" s="5" t="s">
        <v>177</v>
      </c>
      <c r="C231" s="21" t="n">
        <f aca="false">cw_25</f>
        <v>670</v>
      </c>
      <c r="D231" s="21" t="n">
        <f aca="false">cw_26</f>
        <v>1107.85762580894</v>
      </c>
      <c r="E231" s="21" t="n">
        <f aca="false">cw_27</f>
        <v>2096.42857142857</v>
      </c>
      <c r="F231" s="21" t="n">
        <f aca="false">cw_28*um28_A</f>
        <v>2620.08928571429</v>
      </c>
      <c r="G231" s="21" t="n">
        <f aca="false">cw_29*um29_A</f>
        <v>3013.32589285714</v>
      </c>
      <c r="H231" s="21" t="n">
        <f aca="false">G231*(1+g_tail)</f>
        <v>3314.65848214285</v>
      </c>
      <c r="I231" s="21" t="n">
        <f aca="false">H231*(1+g_tail)</f>
        <v>3646.12433035714</v>
      </c>
      <c r="J231" s="5" t="s">
        <v>489</v>
      </c>
    </row>
    <row r="232" customFormat="false" ht="15" hidden="false" customHeight="false" outlineLevel="0" collapsed="false">
      <c r="A232" s="5" t="s">
        <v>490</v>
      </c>
      <c r="B232" s="5" t="s">
        <v>177</v>
      </c>
      <c r="C232" s="21" t="n">
        <f aca="false">MAX(0,D231-C231)+dlt*C231</f>
        <v>504.85762580894</v>
      </c>
      <c r="D232" s="21" t="n">
        <f aca="false">MAX(0,E231-D231)+dlt*D231</f>
        <v>1099.35670820052</v>
      </c>
      <c r="E232" s="21" t="n">
        <f aca="false">MAX(0,F231-E231)+dlt*E231</f>
        <v>733.303571428577</v>
      </c>
      <c r="F232" s="21" t="n">
        <f aca="false">MAX(0,G231-F231)+dlt*F231</f>
        <v>655.245535714279</v>
      </c>
      <c r="G232" s="21" t="n">
        <f aca="false">MAX(0,H231-G231)+dlt*G231</f>
        <v>602.665178571428</v>
      </c>
      <c r="H232" s="21" t="n">
        <f aca="false">MAX(0,I231-H231)+dlt*H231</f>
        <v>662.931696428571</v>
      </c>
    </row>
    <row r="233" customFormat="false" ht="17.15" hidden="false" customHeight="false" outlineLevel="0" collapsed="false">
      <c r="A233" s="1" t="s">
        <v>491</v>
      </c>
    </row>
    <row r="234" customFormat="false" ht="17.15" hidden="false" customHeight="false" outlineLevel="0" collapsed="false">
      <c r="A234" s="0" t="s">
        <v>492</v>
      </c>
      <c r="B234" s="0" t="s">
        <v>493</v>
      </c>
      <c r="C234" s="16" t="n">
        <f aca="false">ai25*w_hbm_lo/(0.75*C230+0.25*D230)</f>
        <v>45.8637435221691</v>
      </c>
      <c r="J234" s="5" t="s">
        <v>494</v>
      </c>
    </row>
    <row r="235" customFormat="false" ht="17.15" hidden="false" customHeight="false" outlineLevel="0" collapsed="false">
      <c r="A235" s="5" t="s">
        <v>495</v>
      </c>
      <c r="B235" s="0" t="s">
        <v>496</v>
      </c>
      <c r="C235" s="18" t="n">
        <f aca="false">ai25*(1-w_hbm_lo)/(0.75*C232+0.25*D232)</f>
        <v>0.063123353018861</v>
      </c>
    </row>
    <row r="236" customFormat="false" ht="17.15" hidden="false" customHeight="false" outlineLevel="0" collapsed="false">
      <c r="A236" s="1" t="s">
        <v>497</v>
      </c>
    </row>
    <row r="237" customFormat="false" ht="17.15" hidden="false" customHeight="false" outlineLevel="0" collapsed="false">
      <c r="A237" s="5" t="s">
        <v>498</v>
      </c>
      <c r="B237" s="0" t="s">
        <v>76</v>
      </c>
      <c r="C237" s="16" t="n">
        <f aca="false">1-sh_loss/sh*0</f>
        <v>1</v>
      </c>
      <c r="D237" s="16" t="n">
        <f aca="false">1-sh_loss/sh*0.25</f>
        <v>1</v>
      </c>
      <c r="E237" s="16" t="n">
        <f aca="false">1-sh_loss/sh*0.5</f>
        <v>1</v>
      </c>
      <c r="F237" s="16" t="n">
        <f aca="false">1-sh_loss/sh*0.75</f>
        <v>1</v>
      </c>
      <c r="G237" s="16" t="n">
        <f aca="false">1-sh_loss/sh*1</f>
        <v>1</v>
      </c>
    </row>
    <row r="238" customFormat="false" ht="17.15" hidden="false" customHeight="false" outlineLevel="0" collapsed="false">
      <c r="A238" s="0" t="s">
        <v>499</v>
      </c>
      <c r="B238" s="0" t="s">
        <v>29</v>
      </c>
      <c r="C238" s="11" t="n">
        <f aca="false">$C$234*(0.75*C230+0.25*D230)*C237</f>
        <v>33.75</v>
      </c>
      <c r="D238" s="11" t="n">
        <f aca="false">$C$234*(0.75*D230+0.25*E230)*D237</f>
        <v>39.0588361929704</v>
      </c>
      <c r="E238" s="11" t="n">
        <f aca="false">$C$234*(0.75*E230+0.25*F230)*E237</f>
        <v>44.8640074083815</v>
      </c>
      <c r="F238" s="11" t="n">
        <f aca="false">$C$234*(0.75*F230+0.25*G230)*F237</f>
        <v>42.0397649224354</v>
      </c>
      <c r="G238" s="11" t="n">
        <f aca="false">$C$234*(0.75*G230+0.25*H230)*G237</f>
        <v>25.551432324995</v>
      </c>
    </row>
    <row r="239" customFormat="false" ht="17.15" hidden="false" customHeight="false" outlineLevel="0" collapsed="false">
      <c r="A239" s="5" t="s">
        <v>500</v>
      </c>
      <c r="B239" s="0" t="s">
        <v>29</v>
      </c>
      <c r="C239" s="11" t="n">
        <f aca="false">$C$235*(0.75*C232+0.25*D232)*C237</f>
        <v>41.25</v>
      </c>
      <c r="D239" s="11" t="n">
        <f aca="false">$C$235*(0.75*D232+0.25*E232)*D237</f>
        <v>63.6184562413654</v>
      </c>
      <c r="E239" s="11" t="n">
        <f aca="false">$C$235*(0.75*E232+0.25*F232)*E237</f>
        <v>45.0567589731895</v>
      </c>
      <c r="F239" s="11" t="n">
        <f aca="false">$C$235*(0.75*F232+0.25*G232)*F237</f>
        <v>40.5315331534787</v>
      </c>
      <c r="G239" s="11" t="n">
        <f aca="false">$C$235*(0.75*G232+0.25*H232)*G237</f>
        <v>38.9933029896177</v>
      </c>
    </row>
    <row r="240" customFormat="false" ht="17.15" hidden="false" customHeight="false" outlineLevel="0" collapsed="false">
      <c r="A240" s="0" t="s">
        <v>501</v>
      </c>
      <c r="B240" s="0" t="s">
        <v>29</v>
      </c>
      <c r="C240" s="11" t="n">
        <f aca="false">C238+C239</f>
        <v>75</v>
      </c>
      <c r="D240" s="11" t="n">
        <f aca="false">D238+D239</f>
        <v>102.677292434336</v>
      </c>
      <c r="E240" s="11" t="n">
        <f aca="false">E238+E239</f>
        <v>89.920766381571</v>
      </c>
      <c r="F240" s="11" t="n">
        <f aca="false">F238+F239</f>
        <v>82.5712980759141</v>
      </c>
      <c r="G240" s="11" t="n">
        <f aca="false">G238+G239</f>
        <v>64.5447353146127</v>
      </c>
    </row>
    <row r="241" customFormat="false" ht="17.15" hidden="false" customHeight="false" outlineLevel="0" collapsed="false">
      <c r="A241" s="5" t="s">
        <v>502</v>
      </c>
      <c r="B241" s="0" t="s">
        <v>29</v>
      </c>
      <c r="C241" s="11" t="n">
        <f aca="false">eq25-ai25</f>
        <v>195.87118</v>
      </c>
      <c r="D241" s="11" t="n">
        <f aca="false">C241*(1+g_non)*D237/C237</f>
        <v>207.6234508</v>
      </c>
      <c r="E241" s="11" t="n">
        <f aca="false">D241*(1+g_non)*E237/D237</f>
        <v>220.080857848</v>
      </c>
      <c r="F241" s="11" t="n">
        <f aca="false">E241*(1+g_non)*F237/E237</f>
        <v>233.28570931888</v>
      </c>
      <c r="G241" s="11" t="n">
        <f aca="false">F241*(1+g_non)*G237/F237</f>
        <v>247.282851878013</v>
      </c>
    </row>
    <row r="242" customFormat="false" ht="15" hidden="false" customHeight="false" outlineLevel="0" collapsed="false">
      <c r="A242" s="5" t="s">
        <v>503</v>
      </c>
      <c r="B242" s="0" t="s">
        <v>29</v>
      </c>
      <c r="C242" s="11" t="n">
        <f aca="false">C240+C241</f>
        <v>270.87118</v>
      </c>
      <c r="D242" s="11" t="n">
        <f aca="false">D240+D241</f>
        <v>310.300743234336</v>
      </c>
      <c r="E242" s="11" t="n">
        <f aca="false">E240+E241</f>
        <v>310.001624229571</v>
      </c>
      <c r="F242" s="11" t="n">
        <f aca="false">F240+F241</f>
        <v>315.857007394794</v>
      </c>
      <c r="G242" s="11" t="n">
        <f aca="false">G240+G241</f>
        <v>311.827587192626</v>
      </c>
    </row>
    <row r="243" customFormat="false" ht="17.15" hidden="false" customHeight="false" outlineLevel="0" collapsed="false">
      <c r="A243" s="0" t="s">
        <v>504</v>
      </c>
      <c r="B243" s="0" t="s">
        <v>76</v>
      </c>
      <c r="C243" s="19" t="n">
        <f aca="false">w_hbm_lo*(0.75*C229+0.25*D229)/(0.75*C229+0.25*D229)+(1-w_hbm_lo)*(0.75*C231+0.25*D231)/(0.75*C231+0.25*D231)</f>
        <v>1</v>
      </c>
      <c r="D243" s="19" t="n">
        <f aca="false">w_hbm_lo*(0.75*D229+0.25*E229)/(0.75*C229+0.25*D229)+(1-w_hbm_lo)*(0.75*D231+0.25*E231)/(0.75*C231+0.25*D231)</f>
        <v>1.65751257707776</v>
      </c>
      <c r="E243" s="19" t="n">
        <f aca="false">w_hbm_lo*(0.75*E229+0.25*F229)/(0.75*C229+0.25*D229)+(1-w_hbm_lo)*(0.75*E231+0.25*F231)/(0.75*C231+0.25*D231)</f>
        <v>2.54594003878988</v>
      </c>
      <c r="F243" s="19" t="n">
        <f aca="false">w_hbm_lo*(0.75*F229+0.25*G229)/(0.75*C229+0.25*D229)+(1-w_hbm_lo)*(0.75*F231+0.25*G231)/(0.75*C231+0.25*D231)</f>
        <v>3.18901977892773</v>
      </c>
      <c r="G243" s="19" t="n">
        <f aca="false">w_hbm_lo*(0.75*G229+0.25*H229)/(0.75*C229+0.25*D229)+(1-w_hbm_lo)*(0.75*G231+0.25*H231)/(0.75*C231+0.25*D231)</f>
        <v>3.69240342759602</v>
      </c>
      <c r="J243" s="8" t="s">
        <v>505</v>
      </c>
    </row>
    <row r="244" customFormat="false" ht="17.15" hidden="false" customHeight="false" outlineLevel="0" collapsed="false">
      <c r="A244" s="0" t="s">
        <v>506</v>
      </c>
      <c r="B244" s="0" t="s">
        <v>29</v>
      </c>
      <c r="C244" s="11" t="n">
        <f aca="false">tl25*w_tlai*C243</f>
        <v>25.4032258064516</v>
      </c>
      <c r="D244" s="11" t="n">
        <f aca="false">tl25*w_tlai*D243</f>
        <v>42.1061662725398</v>
      </c>
      <c r="E244" s="11" t="n">
        <f aca="false">tl25*w_tlai*E243</f>
        <v>64.6750896950656</v>
      </c>
      <c r="F244" s="11" t="n">
        <f aca="false">tl25*w_tlai*F243</f>
        <v>81.0113895453414</v>
      </c>
      <c r="G244" s="11" t="n">
        <f aca="false">tl25*w_tlai*G243</f>
        <v>93.7989580397376</v>
      </c>
      <c r="J244" s="5" t="s">
        <v>507</v>
      </c>
    </row>
    <row r="245" customFormat="false" ht="17.15" hidden="false" customHeight="false" outlineLevel="0" collapsed="false">
      <c r="A245" s="5" t="s">
        <v>508</v>
      </c>
      <c r="B245" s="0" t="s">
        <v>29</v>
      </c>
      <c r="C245" s="11" t="n">
        <f aca="false">tl25*(1-w_tlai)</f>
        <v>66.3434641935484</v>
      </c>
      <c r="D245" s="11" t="n">
        <f aca="false">C245*(1+g_tl)</f>
        <v>69.6606374032258</v>
      </c>
      <c r="E245" s="11" t="n">
        <f aca="false">D245*(1+g_tl)</f>
        <v>73.1436692733871</v>
      </c>
      <c r="F245" s="11" t="n">
        <f aca="false">E245*(1+g_tl)</f>
        <v>76.8008527370565</v>
      </c>
      <c r="G245" s="11" t="n">
        <f aca="false">F245*(1+g_tl)</f>
        <v>80.6408953739093</v>
      </c>
    </row>
    <row r="246" customFormat="false" ht="15" hidden="false" customHeight="false" outlineLevel="0" collapsed="false">
      <c r="A246" s="5" t="s">
        <v>509</v>
      </c>
      <c r="B246" s="0" t="s">
        <v>29</v>
      </c>
      <c r="C246" s="11" t="n">
        <f aca="false">C244+C245</f>
        <v>91.74669</v>
      </c>
      <c r="D246" s="11" t="n">
        <f aca="false">D244+D245</f>
        <v>111.766803675766</v>
      </c>
      <c r="E246" s="11" t="n">
        <f aca="false">E244+E245</f>
        <v>137.818758968453</v>
      </c>
      <c r="F246" s="11" t="n">
        <f aca="false">F244+F245</f>
        <v>157.812242282398</v>
      </c>
      <c r="G246" s="11" t="n">
        <f aca="false">G244+G245</f>
        <v>174.439853413647</v>
      </c>
    </row>
    <row r="247" customFormat="false" ht="15" hidden="false" customHeight="false" outlineLevel="0" collapsed="false">
      <c r="A247" s="5" t="s">
        <v>393</v>
      </c>
      <c r="B247" s="0" t="s">
        <v>29</v>
      </c>
      <c r="C247" s="11" t="n">
        <f aca="false">r_ot*(C242+C246)</f>
        <v>74.27113</v>
      </c>
      <c r="D247" s="11" t="n">
        <f aca="false">r_ot*(D242+D246)</f>
        <v>86.447569849057</v>
      </c>
      <c r="E247" s="11" t="n">
        <f aca="false">r_ot*(E242+E246)</f>
        <v>91.722247161041</v>
      </c>
      <c r="F247" s="11" t="n">
        <f aca="false">r_ot*(F242+F246)</f>
        <v>97.0165933073767</v>
      </c>
      <c r="G247" s="11" t="n">
        <f aca="false">r_ot*(G242+G246)</f>
        <v>99.596945666345</v>
      </c>
    </row>
    <row r="248" customFormat="false" ht="15" hidden="false" customHeight="false" outlineLevel="0" collapsed="false">
      <c r="A248" s="5" t="s">
        <v>363</v>
      </c>
      <c r="B248" s="0" t="s">
        <v>29</v>
      </c>
      <c r="C248" s="11" t="n">
        <f aca="false">C242+C246+C247</f>
        <v>436.889</v>
      </c>
      <c r="D248" s="11" t="n">
        <f aca="false">D242+D246+D247</f>
        <v>508.515116759158</v>
      </c>
      <c r="E248" s="11" t="n">
        <f aca="false">E242+E246+E247</f>
        <v>539.542630359065</v>
      </c>
      <c r="F248" s="11" t="n">
        <f aca="false">F242+F246+F247</f>
        <v>570.685842984569</v>
      </c>
      <c r="G248" s="11" t="n">
        <f aca="false">G242+G246+G247</f>
        <v>585.864386272617</v>
      </c>
    </row>
    <row r="249" customFormat="false" ht="17.15" hidden="false" customHeight="false" outlineLevel="0" collapsed="false">
      <c r="A249" s="0" t="s">
        <v>510</v>
      </c>
      <c r="B249" s="0" t="s">
        <v>56</v>
      </c>
      <c r="C249" s="14" t="n">
        <f aca="false">(C240+C244)*(1+r_ot)/C248</f>
        <v>0.276884384673187</v>
      </c>
      <c r="D249" s="14" t="n">
        <f aca="false">(D240+D244)*(1+r_ot)/D248</f>
        <v>0.343033857416462</v>
      </c>
      <c r="E249" s="14" t="n">
        <f aca="false">(E240+E244)*(1+r_ot)/E248</f>
        <v>0.345218444441094</v>
      </c>
      <c r="F249" s="14" t="n">
        <f aca="false">(F240+F244)*(1+r_ot)/F248</f>
        <v>0.345352137029664</v>
      </c>
      <c r="G249" s="14" t="n">
        <f aca="false">(G240+G244)*(1+r_ot)/G248</f>
        <v>0.32563087743841</v>
      </c>
    </row>
    <row r="250" customFormat="false" ht="17.15" hidden="false" customHeight="false" outlineLevel="0" collapsed="false">
      <c r="A250" s="0" t="s">
        <v>511</v>
      </c>
      <c r="B250" s="0" t="s">
        <v>56</v>
      </c>
      <c r="C250" s="14" t="n">
        <f aca="false">C240*(1+r_ot)/C248</f>
        <v>0.206829299394429</v>
      </c>
      <c r="D250" s="14" t="n">
        <f aca="false">D240*(1+r_ot)/D248</f>
        <v>0.243272180450789</v>
      </c>
      <c r="E250" s="14" t="n">
        <f aca="false">E240*(1+r_ot)/E248</f>
        <v>0.200796501801501</v>
      </c>
      <c r="F250" s="14" t="n">
        <f aca="false">F240*(1+r_ot)/F248</f>
        <v>0.174322690637374</v>
      </c>
      <c r="G250" s="14" t="n">
        <f aca="false">G240*(1+r_ot)/G248</f>
        <v>0.132735054673081</v>
      </c>
      <c r="J250" s="5" t="s">
        <v>512</v>
      </c>
    </row>
    <row r="251" customFormat="false" ht="17.15" hidden="false" customHeight="false" outlineLevel="0" collapsed="false">
      <c r="A251" s="5" t="s">
        <v>401</v>
      </c>
      <c r="B251" s="0" t="s">
        <v>56</v>
      </c>
      <c r="C251" s="14" t="n">
        <f aca="false">a25_gp/a25_rev</f>
        <v>0.701498549974936</v>
      </c>
      <c r="D251" s="14" t="n">
        <f aca="false">gm_a+gm_b*LN(D248)+0</f>
        <v>0.71973434133085</v>
      </c>
      <c r="E251" s="14" t="n">
        <f aca="false">gm_a+gm_b*LN(E248)+0</f>
        <v>0.726475895086119</v>
      </c>
      <c r="F251" s="14" t="n">
        <f aca="false">gm_a+gm_b*LN(F248)+0</f>
        <v>0.732863474503645</v>
      </c>
      <c r="G251" s="14" t="n">
        <f aca="false">gm_a+gm_b*LN(G248)+0</f>
        <v>0.735851345509696</v>
      </c>
      <c r="J251" s="8" t="s">
        <v>513</v>
      </c>
    </row>
    <row r="252" customFormat="false" ht="15" hidden="false" customHeight="false" outlineLevel="0" collapsed="false">
      <c r="A252" s="5" t="s">
        <v>398</v>
      </c>
      <c r="B252" s="0" t="s">
        <v>29</v>
      </c>
      <c r="C252" s="11" t="n">
        <f aca="false">C248*C251</f>
        <v>306.477</v>
      </c>
      <c r="D252" s="11" t="n">
        <f aca="false">D248*D251</f>
        <v>365.995792617433</v>
      </c>
      <c r="E252" s="11" t="n">
        <f aca="false">E248*E251</f>
        <v>391.964715327221</v>
      </c>
      <c r="F252" s="11" t="n">
        <f aca="false">F248*F251</f>
        <v>418.234809739713</v>
      </c>
      <c r="G252" s="11" t="n">
        <f aca="false">G248*G251</f>
        <v>431.109096924918</v>
      </c>
    </row>
    <row r="253" customFormat="false" ht="17.15" hidden="false" customHeight="false" outlineLevel="0" collapsed="false">
      <c r="A253" s="5" t="s">
        <v>399</v>
      </c>
      <c r="B253" s="0" t="s">
        <v>29</v>
      </c>
      <c r="C253" s="11" t="n">
        <f aca="false">a25_sga</f>
        <v>121.487</v>
      </c>
      <c r="D253" s="11" t="n">
        <f aca="false">sg_f+sg_v*D248</f>
        <v>136.455794145805</v>
      </c>
      <c r="E253" s="11" t="n">
        <f aca="false">sg_f+sg_v*E248</f>
        <v>144.286115728992</v>
      </c>
      <c r="F253" s="11" t="n">
        <f aca="false">sg_f+sg_v*F248</f>
        <v>152.145635932119</v>
      </c>
      <c r="G253" s="11" t="n">
        <f aca="false">sg_f+sg_v*G248</f>
        <v>155.976199883917</v>
      </c>
      <c r="J253" s="5" t="s">
        <v>514</v>
      </c>
    </row>
    <row r="254" customFormat="false" ht="15" hidden="false" customHeight="false" outlineLevel="0" collapsed="false">
      <c r="A254" s="5" t="s">
        <v>367</v>
      </c>
      <c r="B254" s="0" t="s">
        <v>29</v>
      </c>
      <c r="C254" s="11" t="n">
        <f aca="false">C252-C253</f>
        <v>184.99</v>
      </c>
      <c r="D254" s="11" t="n">
        <f aca="false">D252-D253</f>
        <v>229.539998471628</v>
      </c>
      <c r="E254" s="11" t="n">
        <f aca="false">E252-E253</f>
        <v>247.678599598229</v>
      </c>
      <c r="F254" s="11" t="n">
        <f aca="false">F252-F253</f>
        <v>266.089173807594</v>
      </c>
      <c r="G254" s="11" t="n">
        <f aca="false">G252-G253</f>
        <v>275.132897041001</v>
      </c>
    </row>
    <row r="255" customFormat="false" ht="15" hidden="false" customHeight="false" outlineLevel="0" collapsed="false">
      <c r="A255" s="5" t="s">
        <v>515</v>
      </c>
      <c r="B255" s="0" t="s">
        <v>56</v>
      </c>
      <c r="C255" s="14" t="n">
        <f aca="false">C254/C248</f>
        <v>0.423425629851061</v>
      </c>
      <c r="D255" s="14" t="n">
        <f aca="false">D254/D248</f>
        <v>0.451392674291612</v>
      </c>
      <c r="E255" s="14" t="n">
        <f aca="false">E254/E248</f>
        <v>0.459052882315155</v>
      </c>
      <c r="F255" s="14" t="n">
        <f aca="false">F254/F248</f>
        <v>0.466262089867173</v>
      </c>
      <c r="G255" s="14" t="n">
        <f aca="false">G254/G248</f>
        <v>0.46961874366771</v>
      </c>
    </row>
    <row r="256" customFormat="false" ht="15" hidden="false" customHeight="false" outlineLevel="0" collapsed="false">
      <c r="A256" s="5" t="s">
        <v>370</v>
      </c>
      <c r="B256" s="0" t="s">
        <v>29</v>
      </c>
      <c r="C256" s="11" t="n">
        <f aca="false">a25_ni</f>
        <v>135.521</v>
      </c>
      <c r="D256" s="11" t="n">
        <f aca="false">D254*nioi</f>
        <v>168.158593931928</v>
      </c>
      <c r="E256" s="11" t="n">
        <f aca="false">E254*nioi</f>
        <v>181.446742758497</v>
      </c>
      <c r="F256" s="11" t="n">
        <f aca="false">F254*nioi</f>
        <v>194.934136211229</v>
      </c>
      <c r="G256" s="11" t="n">
        <f aca="false">G254*nioi</f>
        <v>201.559472941058</v>
      </c>
    </row>
    <row r="257" customFormat="false" ht="15" hidden="false" customHeight="false" outlineLevel="0" collapsed="false">
      <c r="A257" s="0" t="s">
        <v>459</v>
      </c>
      <c r="B257" s="0" t="s">
        <v>51</v>
      </c>
      <c r="C257" s="11" t="n">
        <f aca="false">a25_eps</f>
        <v>1249.84</v>
      </c>
      <c r="D257" s="11" t="n">
        <f aca="false">D256*1000/shares</f>
        <v>1550.12194205842</v>
      </c>
      <c r="E257" s="11" t="n">
        <f aca="false">E256*1000/shares</f>
        <v>1672.61494454951</v>
      </c>
      <c r="F257" s="11" t="n">
        <f aca="false">F256*1000/shares</f>
        <v>1796.94462668706</v>
      </c>
      <c r="G257" s="11" t="n">
        <f aca="false">G256*1000/shares</f>
        <v>1858.01839995251</v>
      </c>
    </row>
    <row r="258" customFormat="false" ht="17.15" hidden="false" customHeight="false" outlineLevel="0" collapsed="false">
      <c r="A258" s="5" t="s">
        <v>516</v>
      </c>
      <c r="B258" s="0" t="s">
        <v>29</v>
      </c>
      <c r="C258" s="16" t="n">
        <f aca="false">ABS(C248-a25_rev)+ABS(C254-a25_oi)</f>
        <v>0.000999999999976353</v>
      </c>
    </row>
    <row r="260" customFormat="false" ht="17.15" hidden="false" customHeight="false" outlineLevel="0" collapsed="false">
      <c r="A260" s="3" t="s">
        <v>716</v>
      </c>
    </row>
    <row r="261" customFormat="false" ht="17.15" hidden="false" customHeight="false" outlineLevel="0" collapsed="false">
      <c r="A261" s="6" t="s">
        <v>18</v>
      </c>
      <c r="B261" s="6" t="s">
        <v>19</v>
      </c>
      <c r="C261" s="9" t="s">
        <v>464</v>
      </c>
      <c r="D261" s="9" t="s">
        <v>465</v>
      </c>
      <c r="E261" s="9" t="s">
        <v>466</v>
      </c>
      <c r="F261" s="9" t="s">
        <v>467</v>
      </c>
      <c r="G261" s="9" t="s">
        <v>468</v>
      </c>
      <c r="H261" s="9" t="s">
        <v>469</v>
      </c>
      <c r="I261" s="9" t="s">
        <v>470</v>
      </c>
      <c r="J261" s="6" t="s">
        <v>450</v>
      </c>
    </row>
    <row r="262" customFormat="false" ht="17.15" hidden="false" customHeight="false" outlineLevel="0" collapsed="false">
      <c r="A262" s="1" t="s">
        <v>471</v>
      </c>
    </row>
    <row r="263" customFormat="false" ht="17.15" hidden="false" customHeight="false" outlineLevel="0" collapsed="false">
      <c r="A263" s="0" t="s">
        <v>472</v>
      </c>
      <c r="B263" s="0" t="s">
        <v>96</v>
      </c>
      <c r="C263" s="19" t="n">
        <f aca="false">hsA_25</f>
        <v>2.22511470588235</v>
      </c>
      <c r="D263" s="19" t="n">
        <f aca="false">hsA_26</f>
        <v>3.782695</v>
      </c>
      <c r="E263" s="19" t="n">
        <f aca="false">hsA_27</f>
        <v>5.86317725</v>
      </c>
      <c r="F263" s="19" t="n">
        <f aca="false">hsA_28</f>
        <v>8.5016070125</v>
      </c>
      <c r="G263" s="19" t="n">
        <f aca="false">hsA_29</f>
        <v>11.477169466875</v>
      </c>
      <c r="H263" s="19" t="n">
        <f aca="false">G263*(1+g_tail)</f>
        <v>12.6248864135625</v>
      </c>
      <c r="I263" s="19" t="n">
        <f aca="false">H263*(1+g_tail)</f>
        <v>13.8873750549188</v>
      </c>
      <c r="J263" s="8" t="s">
        <v>473</v>
      </c>
    </row>
    <row r="264" customFormat="false" ht="17.15" hidden="false" customHeight="false" outlineLevel="0" collapsed="false">
      <c r="A264" s="0" t="s">
        <v>474</v>
      </c>
      <c r="B264" s="0" t="s">
        <v>475</v>
      </c>
      <c r="C264" s="19" t="n">
        <f aca="false">den_25</f>
        <v>24</v>
      </c>
      <c r="D264" s="19" t="n">
        <f aca="false">den_26</f>
        <v>24</v>
      </c>
      <c r="E264" s="19" t="n">
        <f aca="false">den_27</f>
        <v>26</v>
      </c>
      <c r="F264" s="19" t="n">
        <f aca="false">den_28</f>
        <v>28</v>
      </c>
      <c r="G264" s="19" t="n">
        <f aca="false">den_29</f>
        <v>30</v>
      </c>
      <c r="H264" s="19" t="n">
        <f aca="false">den_30</f>
        <v>32</v>
      </c>
      <c r="I264" s="19" t="n">
        <f aca="false">den_30</f>
        <v>32</v>
      </c>
    </row>
    <row r="265" customFormat="false" ht="15" hidden="false" customHeight="false" outlineLevel="0" collapsed="false">
      <c r="A265" s="5" t="s">
        <v>476</v>
      </c>
      <c r="B265" s="5" t="s">
        <v>148</v>
      </c>
      <c r="C265" s="19" t="n">
        <f aca="false">stk_25</f>
        <v>10</v>
      </c>
      <c r="D265" s="19" t="n">
        <f aca="false">stk_26</f>
        <v>12</v>
      </c>
      <c r="E265" s="19" t="n">
        <f aca="false">stk_27</f>
        <v>12.5</v>
      </c>
      <c r="F265" s="19" t="n">
        <f aca="false">stk_28</f>
        <v>14</v>
      </c>
      <c r="G265" s="19" t="n">
        <f aca="false">stk_29</f>
        <v>15</v>
      </c>
      <c r="H265" s="19" t="n">
        <f aca="false">stk_30</f>
        <v>16</v>
      </c>
      <c r="I265" s="19" t="n">
        <f aca="false">stk_30</f>
        <v>16</v>
      </c>
    </row>
    <row r="266" customFormat="false" ht="17.15" hidden="false" customHeight="false" outlineLevel="0" collapsed="false">
      <c r="A266" s="0" t="s">
        <v>477</v>
      </c>
      <c r="B266" s="5" t="s">
        <v>478</v>
      </c>
      <c r="C266" s="19" t="n">
        <f aca="false">C263*8/C264</f>
        <v>0.741704901960783</v>
      </c>
      <c r="D266" s="19" t="n">
        <f aca="false">D263*8/D264</f>
        <v>1.26089833333333</v>
      </c>
      <c r="E266" s="19" t="n">
        <f aca="false">E263*8/E264</f>
        <v>1.80405453846154</v>
      </c>
      <c r="F266" s="19" t="n">
        <f aca="false">F263*8/F264</f>
        <v>2.429030575</v>
      </c>
      <c r="G266" s="19" t="n">
        <f aca="false">G263*8/G264</f>
        <v>3.0605785245</v>
      </c>
      <c r="H266" s="19" t="n">
        <f aca="false">H263*8/H264</f>
        <v>3.15622160339063</v>
      </c>
      <c r="I266" s="19" t="n">
        <f aca="false">I263*8/I264</f>
        <v>3.47184376372969</v>
      </c>
      <c r="J266" s="8" t="s">
        <v>479</v>
      </c>
    </row>
    <row r="267" customFormat="false" ht="17.15" hidden="false" customHeight="false" outlineLevel="0" collapsed="false">
      <c r="A267" s="0" t="s">
        <v>480</v>
      </c>
      <c r="B267" s="5" t="s">
        <v>481</v>
      </c>
      <c r="C267" s="19" t="n">
        <f aca="false">C266*(1+s_stk/C265)</f>
        <v>0.964216372549018</v>
      </c>
      <c r="D267" s="19" t="n">
        <f aca="false">D266*(1+s_stk/D265)</f>
        <v>1.57612291666667</v>
      </c>
      <c r="E267" s="19" t="n">
        <f aca="false">E266*(1+s_stk/E265)</f>
        <v>2.23702762769231</v>
      </c>
      <c r="F267" s="19" t="n">
        <f aca="false">F266*(1+s_stk/F265)</f>
        <v>2.94953712678571</v>
      </c>
      <c r="G267" s="19" t="n">
        <f aca="false">G266*(1+s_stk/G265)</f>
        <v>3.6726942294</v>
      </c>
      <c r="H267" s="19" t="n">
        <f aca="false">H266*(1+s_stk/H265)</f>
        <v>3.74801315402637</v>
      </c>
      <c r="I267" s="19" t="n">
        <f aca="false">I266*(1+s_stk/I265)</f>
        <v>4.12281446942901</v>
      </c>
      <c r="J267" s="5" t="s">
        <v>482</v>
      </c>
    </row>
    <row r="268" customFormat="false" ht="17.15" hidden="false" customHeight="false" outlineLevel="0" collapsed="false">
      <c r="A268" s="5" t="s">
        <v>483</v>
      </c>
      <c r="B268" s="0" t="s">
        <v>56</v>
      </c>
      <c r="C268" s="22" t="n">
        <f aca="false">hbp_25*hb_on</f>
        <v>0</v>
      </c>
      <c r="D268" s="22" t="n">
        <f aca="false">hbp_26*hb_on</f>
        <v>0</v>
      </c>
      <c r="E268" s="22" t="n">
        <f aca="false">hbp_27*hb_on</f>
        <v>0</v>
      </c>
      <c r="F268" s="22" t="n">
        <f aca="false">hbp_28*hb_on</f>
        <v>0.05</v>
      </c>
      <c r="G268" s="22" t="n">
        <f aca="false">hbp_29*hb_on</f>
        <v>0.15</v>
      </c>
      <c r="H268" s="22" t="n">
        <f aca="false">hbp_30*hb_on</f>
        <v>0.25</v>
      </c>
      <c r="I268" s="22" t="n">
        <f aca="false">hbp_30*hb_on</f>
        <v>0.25</v>
      </c>
    </row>
    <row r="269" customFormat="false" ht="17.15" hidden="false" customHeight="false" outlineLevel="0" collapsed="false">
      <c r="A269" s="0" t="s">
        <v>484</v>
      </c>
      <c r="B269" s="5" t="s">
        <v>481</v>
      </c>
      <c r="C269" s="19" t="n">
        <f aca="false">C267*(1+C268*hb_eff)</f>
        <v>0.964216372549018</v>
      </c>
      <c r="D269" s="19" t="n">
        <f aca="false">D267*(1+D268*hb_eff)</f>
        <v>1.57612291666667</v>
      </c>
      <c r="E269" s="19" t="n">
        <f aca="false">E267*(1+E268*hb_eff)</f>
        <v>2.23702762769231</v>
      </c>
      <c r="F269" s="19" t="n">
        <f aca="false">F267*(1+F268*hb_eff)</f>
        <v>2.96428481241964</v>
      </c>
      <c r="G269" s="19" t="n">
        <f aca="false">G267*(1+G268*hb_eff)</f>
        <v>3.727784642841</v>
      </c>
      <c r="H269" s="19" t="n">
        <f aca="false">H267*(1+H268*hb_eff)</f>
        <v>3.84171348287703</v>
      </c>
      <c r="I269" s="19" t="n">
        <f aca="false">I267*(1+I268*hb_eff)</f>
        <v>4.22588483116473</v>
      </c>
      <c r="J269" s="5" t="s">
        <v>485</v>
      </c>
    </row>
    <row r="270" customFormat="false" ht="17.15" hidden="false" customHeight="false" outlineLevel="0" collapsed="false">
      <c r="A270" s="0" t="s">
        <v>486</v>
      </c>
      <c r="B270" s="5" t="s">
        <v>481</v>
      </c>
      <c r="C270" s="19" t="n">
        <f aca="false">MAX(0,D269-C269)+dlt*C269</f>
        <v>0.70832818137255</v>
      </c>
      <c r="D270" s="19" t="n">
        <f aca="false">MAX(0,E269-D269)+dlt*D269</f>
        <v>0.818517002692307</v>
      </c>
      <c r="E270" s="19" t="n">
        <f aca="false">MAX(0,F269-E269)+dlt*E269</f>
        <v>0.950959947496565</v>
      </c>
      <c r="F270" s="19" t="n">
        <f aca="false">MAX(0,G269-F269)+dlt*F269</f>
        <v>1.05992831166332</v>
      </c>
      <c r="G270" s="19" t="n">
        <f aca="false">MAX(0,H269-G269)+dlt*G269</f>
        <v>0.486707304320127</v>
      </c>
      <c r="H270" s="19" t="n">
        <f aca="false">MAX(0,I269-H269)+dlt*H269</f>
        <v>0.768342696575406</v>
      </c>
      <c r="J270" s="5" t="s">
        <v>487</v>
      </c>
    </row>
    <row r="271" customFormat="false" ht="17.15" hidden="false" customHeight="false" outlineLevel="0" collapsed="false">
      <c r="A271" s="0" t="s">
        <v>488</v>
      </c>
      <c r="B271" s="5" t="s">
        <v>177</v>
      </c>
      <c r="C271" s="21" t="n">
        <f aca="false">cw_25</f>
        <v>670</v>
      </c>
      <c r="D271" s="21" t="n">
        <f aca="false">cw_26</f>
        <v>1107.85762580894</v>
      </c>
      <c r="E271" s="21" t="n">
        <f aca="false">cw_27</f>
        <v>2096.42857142857</v>
      </c>
      <c r="F271" s="21" t="n">
        <f aca="false">cw_28*um28_A</f>
        <v>2620.08928571429</v>
      </c>
      <c r="G271" s="21" t="n">
        <f aca="false">cw_29*um29_A</f>
        <v>3013.32589285714</v>
      </c>
      <c r="H271" s="21" t="n">
        <f aca="false">G271*(1+g_tail)</f>
        <v>3314.65848214285</v>
      </c>
      <c r="I271" s="21" t="n">
        <f aca="false">H271*(1+g_tail)</f>
        <v>3646.12433035714</v>
      </c>
      <c r="J271" s="5" t="s">
        <v>489</v>
      </c>
    </row>
    <row r="272" customFormat="false" ht="15" hidden="false" customHeight="false" outlineLevel="0" collapsed="false">
      <c r="A272" s="5" t="s">
        <v>490</v>
      </c>
      <c r="B272" s="5" t="s">
        <v>177</v>
      </c>
      <c r="C272" s="21" t="n">
        <f aca="false">MAX(0,D271-C271)+dlt*C271</f>
        <v>504.85762580894</v>
      </c>
      <c r="D272" s="21" t="n">
        <f aca="false">MAX(0,E271-D271)+dlt*D271</f>
        <v>1099.35670820052</v>
      </c>
      <c r="E272" s="21" t="n">
        <f aca="false">MAX(0,F271-E271)+dlt*E271</f>
        <v>733.303571428577</v>
      </c>
      <c r="F272" s="21" t="n">
        <f aca="false">MAX(0,G271-F271)+dlt*F271</f>
        <v>655.245535714279</v>
      </c>
      <c r="G272" s="21" t="n">
        <f aca="false">MAX(0,H271-G271)+dlt*G271</f>
        <v>602.665178571428</v>
      </c>
      <c r="H272" s="21" t="n">
        <f aca="false">MAX(0,I271-H271)+dlt*H271</f>
        <v>662.931696428571</v>
      </c>
    </row>
    <row r="273" customFormat="false" ht="17.15" hidden="false" customHeight="false" outlineLevel="0" collapsed="false">
      <c r="A273" s="1" t="s">
        <v>491</v>
      </c>
    </row>
    <row r="274" customFormat="false" ht="17.15" hidden="false" customHeight="false" outlineLevel="0" collapsed="false">
      <c r="A274" s="0" t="s">
        <v>492</v>
      </c>
      <c r="B274" s="0" t="s">
        <v>493</v>
      </c>
      <c r="C274" s="16" t="n">
        <f aca="false">ai25*w_hbm_hi/(0.75*C270+0.25*D270)</f>
        <v>52.9981036256177</v>
      </c>
      <c r="J274" s="5" t="s">
        <v>494</v>
      </c>
    </row>
    <row r="275" customFormat="false" ht="17.15" hidden="false" customHeight="false" outlineLevel="0" collapsed="false">
      <c r="A275" s="5" t="s">
        <v>495</v>
      </c>
      <c r="B275" s="0" t="s">
        <v>496</v>
      </c>
      <c r="C275" s="18" t="n">
        <f aca="false">ai25*(1-w_hbm_hi)/(0.75*C272+0.25*D272)</f>
        <v>0.0550894717255515</v>
      </c>
    </row>
    <row r="276" customFormat="false" ht="17.15" hidden="false" customHeight="false" outlineLevel="0" collapsed="false">
      <c r="A276" s="1" t="s">
        <v>497</v>
      </c>
    </row>
    <row r="277" customFormat="false" ht="17.15" hidden="false" customHeight="false" outlineLevel="0" collapsed="false">
      <c r="A277" s="5" t="s">
        <v>498</v>
      </c>
      <c r="B277" s="0" t="s">
        <v>76</v>
      </c>
      <c r="C277" s="16" t="n">
        <f aca="false">1-sh_loss/sh*0</f>
        <v>1</v>
      </c>
      <c r="D277" s="16" t="n">
        <f aca="false">1-sh_loss/sh*0.25</f>
        <v>1</v>
      </c>
      <c r="E277" s="16" t="n">
        <f aca="false">1-sh_loss/sh*0.5</f>
        <v>1</v>
      </c>
      <c r="F277" s="16" t="n">
        <f aca="false">1-sh_loss/sh*0.75</f>
        <v>1</v>
      </c>
      <c r="G277" s="16" t="n">
        <f aca="false">1-sh_loss/sh*1</f>
        <v>1</v>
      </c>
    </row>
    <row r="278" customFormat="false" ht="17.15" hidden="false" customHeight="false" outlineLevel="0" collapsed="false">
      <c r="A278" s="0" t="s">
        <v>499</v>
      </c>
      <c r="B278" s="0" t="s">
        <v>29</v>
      </c>
      <c r="C278" s="11" t="n">
        <f aca="false">$C$274*(0.75*C270+0.25*D270)*C277</f>
        <v>39</v>
      </c>
      <c r="D278" s="11" t="n">
        <f aca="false">$C$274*(0.75*D270+0.25*E270)*D277</f>
        <v>45.1346551563214</v>
      </c>
      <c r="E278" s="11" t="n">
        <f aca="false">$C$274*(0.75*E270+0.25*F270)*E277</f>
        <v>51.8428530052409</v>
      </c>
      <c r="F278" s="11" t="n">
        <f aca="false">$C$274*(0.75*F270+0.25*G270)*F277</f>
        <v>48.5792839103698</v>
      </c>
      <c r="G278" s="11" t="n">
        <f aca="false">$C$274*(0.75*G270+0.25*H270)*G277</f>
        <v>29.5260995755498</v>
      </c>
    </row>
    <row r="279" customFormat="false" ht="17.15" hidden="false" customHeight="false" outlineLevel="0" collapsed="false">
      <c r="A279" s="5" t="s">
        <v>500</v>
      </c>
      <c r="B279" s="0" t="s">
        <v>29</v>
      </c>
      <c r="C279" s="11" t="n">
        <f aca="false">$C$275*(0.75*C272+0.25*D272)*C277</f>
        <v>36</v>
      </c>
      <c r="D279" s="11" t="n">
        <f aca="false">$C$275*(0.75*D272+0.25*E272)*D277</f>
        <v>55.5215618106462</v>
      </c>
      <c r="E279" s="11" t="n">
        <f aca="false">$C$275*(0.75*E272+0.25*F272)*E277</f>
        <v>39.3222623766018</v>
      </c>
      <c r="F279" s="11" t="n">
        <f aca="false">$C$275*(0.75*F272+0.25*G272)*F277</f>
        <v>35.3729743884905</v>
      </c>
      <c r="G279" s="11" t="n">
        <f aca="false">$C$275*(0.75*G272+0.25*H272)*G277</f>
        <v>34.0305189727573</v>
      </c>
    </row>
    <row r="280" customFormat="false" ht="17.15" hidden="false" customHeight="false" outlineLevel="0" collapsed="false">
      <c r="A280" s="0" t="s">
        <v>501</v>
      </c>
      <c r="B280" s="0" t="s">
        <v>29</v>
      </c>
      <c r="C280" s="11" t="n">
        <f aca="false">C278+C279</f>
        <v>75</v>
      </c>
      <c r="D280" s="11" t="n">
        <f aca="false">D278+D279</f>
        <v>100.656216966968</v>
      </c>
      <c r="E280" s="11" t="n">
        <f aca="false">E278+E279</f>
        <v>91.1651153818426</v>
      </c>
      <c r="F280" s="11" t="n">
        <f aca="false">F278+F279</f>
        <v>83.9522582988603</v>
      </c>
      <c r="G280" s="11" t="n">
        <f aca="false">G278+G279</f>
        <v>63.556618548307</v>
      </c>
    </row>
    <row r="281" customFormat="false" ht="17.15" hidden="false" customHeight="false" outlineLevel="0" collapsed="false">
      <c r="A281" s="5" t="s">
        <v>502</v>
      </c>
      <c r="B281" s="0" t="s">
        <v>29</v>
      </c>
      <c r="C281" s="11" t="n">
        <f aca="false">eq25-ai25</f>
        <v>195.87118</v>
      </c>
      <c r="D281" s="11" t="n">
        <f aca="false">C281*(1+g_non)*D277/C277</f>
        <v>207.6234508</v>
      </c>
      <c r="E281" s="11" t="n">
        <f aca="false">D281*(1+g_non)*E277/D277</f>
        <v>220.080857848</v>
      </c>
      <c r="F281" s="11" t="n">
        <f aca="false">E281*(1+g_non)*F277/E277</f>
        <v>233.28570931888</v>
      </c>
      <c r="G281" s="11" t="n">
        <f aca="false">F281*(1+g_non)*G277/F277</f>
        <v>247.282851878013</v>
      </c>
    </row>
    <row r="282" customFormat="false" ht="15" hidden="false" customHeight="false" outlineLevel="0" collapsed="false">
      <c r="A282" s="5" t="s">
        <v>503</v>
      </c>
      <c r="B282" s="0" t="s">
        <v>29</v>
      </c>
      <c r="C282" s="11" t="n">
        <f aca="false">C280+C281</f>
        <v>270.87118</v>
      </c>
      <c r="D282" s="11" t="n">
        <f aca="false">D280+D281</f>
        <v>308.279667766968</v>
      </c>
      <c r="E282" s="11" t="n">
        <f aca="false">E280+E281</f>
        <v>311.245973229843</v>
      </c>
      <c r="F282" s="11" t="n">
        <f aca="false">F280+F281</f>
        <v>317.23796761774</v>
      </c>
      <c r="G282" s="11" t="n">
        <f aca="false">G280+G281</f>
        <v>310.83947042632</v>
      </c>
    </row>
    <row r="283" customFormat="false" ht="17.15" hidden="false" customHeight="false" outlineLevel="0" collapsed="false">
      <c r="A283" s="0" t="s">
        <v>504</v>
      </c>
      <c r="B283" s="0" t="s">
        <v>76</v>
      </c>
      <c r="C283" s="19" t="n">
        <f aca="false">w_hbm_hi*(0.75*C269+0.25*D269)/(0.75*C269+0.25*D269)+(1-w_hbm_hi)*(0.75*C271+0.25*D271)/(0.75*C271+0.25*D271)</f>
        <v>1</v>
      </c>
      <c r="D283" s="19" t="n">
        <f aca="false">w_hbm_hi*(0.75*D269+0.25*E269)/(0.75*C269+0.25*D269)+(1-w_hbm_hi)*(0.75*D271+0.25*E271)/(0.75*C271+0.25*D271)</f>
        <v>1.64493419256165</v>
      </c>
      <c r="E283" s="19" t="n">
        <f aca="false">w_hbm_hi*(0.75*E269+0.25*F269)/(0.75*C269+0.25*D269)+(1-w_hbm_hi)*(0.75*E271+0.25*F271)/(0.75*C271+0.25*D271)</f>
        <v>2.49747032469907</v>
      </c>
      <c r="F283" s="19" t="n">
        <f aca="false">w_hbm_hi*(0.75*F269+0.25*G269)/(0.75*C269+0.25*D269)+(1-w_hbm_hi)*(0.75*F271+0.25*G271)/(0.75*C271+0.25*D271)</f>
        <v>3.14258626537966</v>
      </c>
      <c r="G283" s="19" t="n">
        <f aca="false">w_hbm_hi*(0.75*G269+0.25*H269)/(0.75*C269+0.25*D269)+(1-w_hbm_hi)*(0.75*G271+0.25*H271)/(0.75*C271+0.25*D271)</f>
        <v>3.65038215285814</v>
      </c>
      <c r="J283" s="8" t="s">
        <v>505</v>
      </c>
    </row>
    <row r="284" customFormat="false" ht="17.15" hidden="false" customHeight="false" outlineLevel="0" collapsed="false">
      <c r="A284" s="0" t="s">
        <v>506</v>
      </c>
      <c r="B284" s="0" t="s">
        <v>29</v>
      </c>
      <c r="C284" s="11" t="n">
        <f aca="false">tl25*w_tlai*C283</f>
        <v>25.4032258064516</v>
      </c>
      <c r="D284" s="11" t="n">
        <f aca="false">tl25*w_tlai*D283</f>
        <v>41.7866347303968</v>
      </c>
      <c r="E284" s="11" t="n">
        <f aca="false">tl25*w_tlai*E283</f>
        <v>63.4438026032426</v>
      </c>
      <c r="F284" s="11" t="n">
        <f aca="false">tl25*w_tlai*F283</f>
        <v>79.8318285156929</v>
      </c>
      <c r="G284" s="11" t="n">
        <f aca="false">tl25*w_tlai*G283</f>
        <v>92.7314821088963</v>
      </c>
      <c r="J284" s="5" t="s">
        <v>507</v>
      </c>
    </row>
    <row r="285" customFormat="false" ht="17.15" hidden="false" customHeight="false" outlineLevel="0" collapsed="false">
      <c r="A285" s="5" t="s">
        <v>508</v>
      </c>
      <c r="B285" s="0" t="s">
        <v>29</v>
      </c>
      <c r="C285" s="11" t="n">
        <f aca="false">tl25*(1-w_tlai)</f>
        <v>66.3434641935484</v>
      </c>
      <c r="D285" s="11" t="n">
        <f aca="false">C285*(1+g_tl)</f>
        <v>69.6606374032258</v>
      </c>
      <c r="E285" s="11" t="n">
        <f aca="false">D285*(1+g_tl)</f>
        <v>73.1436692733871</v>
      </c>
      <c r="F285" s="11" t="n">
        <f aca="false">E285*(1+g_tl)</f>
        <v>76.8008527370565</v>
      </c>
      <c r="G285" s="11" t="n">
        <f aca="false">F285*(1+g_tl)</f>
        <v>80.6408953739093</v>
      </c>
    </row>
    <row r="286" customFormat="false" ht="15" hidden="false" customHeight="false" outlineLevel="0" collapsed="false">
      <c r="A286" s="5" t="s">
        <v>509</v>
      </c>
      <c r="B286" s="0" t="s">
        <v>29</v>
      </c>
      <c r="C286" s="11" t="n">
        <f aca="false">C284+C285</f>
        <v>91.74669</v>
      </c>
      <c r="D286" s="11" t="n">
        <f aca="false">D284+D285</f>
        <v>111.447272133623</v>
      </c>
      <c r="E286" s="11" t="n">
        <f aca="false">E284+E285</f>
        <v>136.58747187663</v>
      </c>
      <c r="F286" s="11" t="n">
        <f aca="false">F284+F285</f>
        <v>156.632681252749</v>
      </c>
      <c r="G286" s="11" t="n">
        <f aca="false">G284+G285</f>
        <v>173.372377482806</v>
      </c>
    </row>
    <row r="287" customFormat="false" ht="15" hidden="false" customHeight="false" outlineLevel="0" collapsed="false">
      <c r="A287" s="5" t="s">
        <v>393</v>
      </c>
      <c r="B287" s="0" t="s">
        <v>29</v>
      </c>
      <c r="C287" s="11" t="n">
        <f aca="false">r_ot*(C282+C286)</f>
        <v>74.27113</v>
      </c>
      <c r="D287" s="11" t="n">
        <f aca="false">r_ot*(D282+D286)</f>
        <v>85.9681684133739</v>
      </c>
      <c r="E287" s="11" t="n">
        <f aca="false">r_ot*(E282+E286)</f>
        <v>91.7249224916872</v>
      </c>
      <c r="F287" s="11" t="n">
        <f aca="false">r_ot*(F282+F286)</f>
        <v>97.0578437445582</v>
      </c>
      <c r="G287" s="11" t="n">
        <f aca="false">r_ot*(G282+G286)</f>
        <v>99.175920656086</v>
      </c>
    </row>
    <row r="288" customFormat="false" ht="15" hidden="false" customHeight="false" outlineLevel="0" collapsed="false">
      <c r="A288" s="5" t="s">
        <v>363</v>
      </c>
      <c r="B288" s="0" t="s">
        <v>29</v>
      </c>
      <c r="C288" s="11" t="n">
        <f aca="false">C282+C286+C287</f>
        <v>436.889</v>
      </c>
      <c r="D288" s="11" t="n">
        <f aca="false">D282+D286+D287</f>
        <v>505.695108313964</v>
      </c>
      <c r="E288" s="11" t="n">
        <f aca="false">E282+E286+E287</f>
        <v>539.55836759816</v>
      </c>
      <c r="F288" s="11" t="n">
        <f aca="false">F282+F286+F287</f>
        <v>570.928492615048</v>
      </c>
      <c r="G288" s="11" t="n">
        <f aca="false">G282+G286+G287</f>
        <v>583.387768565211</v>
      </c>
    </row>
    <row r="289" customFormat="false" ht="17.15" hidden="false" customHeight="false" outlineLevel="0" collapsed="false">
      <c r="A289" s="0" t="s">
        <v>510</v>
      </c>
      <c r="B289" s="0" t="s">
        <v>56</v>
      </c>
      <c r="C289" s="14" t="n">
        <f aca="false">(C280+C284)*(1+r_ot)/C288</f>
        <v>0.276884384673187</v>
      </c>
      <c r="D289" s="14" t="n">
        <f aca="false">(D280+D284)*(1+r_ot)/D288</f>
        <v>0.339370286146277</v>
      </c>
      <c r="E289" s="14" t="n">
        <f aca="false">(E280+E284)*(1+r_ot)/E288</f>
        <v>0.345237542382139</v>
      </c>
      <c r="F289" s="14" t="n">
        <f aca="false">(F280+F284)*(1+r_ot)/F288</f>
        <v>0.345630368128826</v>
      </c>
      <c r="G289" s="14" t="n">
        <f aca="false">(G280+G284)*(1+r_ot)/G288</f>
        <v>0.322768022575389</v>
      </c>
    </row>
    <row r="290" customFormat="false" ht="17.15" hidden="false" customHeight="false" outlineLevel="0" collapsed="false">
      <c r="A290" s="0" t="s">
        <v>511</v>
      </c>
      <c r="B290" s="0" t="s">
        <v>56</v>
      </c>
      <c r="C290" s="14" t="n">
        <f aca="false">C280*(1+r_ot)/C288</f>
        <v>0.206829299394429</v>
      </c>
      <c r="D290" s="14" t="n">
        <f aca="false">D280*(1+r_ot)/D288</f>
        <v>0.239813572583183</v>
      </c>
      <c r="E290" s="14" t="n">
        <f aca="false">E280*(1+r_ot)/E288</f>
        <v>0.203569242936217</v>
      </c>
      <c r="F290" s="14" t="n">
        <f aca="false">F280*(1+r_ot)/F288</f>
        <v>0.177162815420131</v>
      </c>
      <c r="G290" s="14" t="n">
        <f aca="false">G280*(1+r_ot)/G288</f>
        <v>0.131257875706162</v>
      </c>
      <c r="J290" s="5" t="s">
        <v>512</v>
      </c>
    </row>
    <row r="291" customFormat="false" ht="17.15" hidden="false" customHeight="false" outlineLevel="0" collapsed="false">
      <c r="A291" s="5" t="s">
        <v>401</v>
      </c>
      <c r="B291" s="0" t="s">
        <v>56</v>
      </c>
      <c r="C291" s="14" t="n">
        <f aca="false">a25_gp/a25_rev</f>
        <v>0.701498549974936</v>
      </c>
      <c r="D291" s="14" t="n">
        <f aca="false">gm_a+gm_b*LN(D288)+0</f>
        <v>0.719101354234501</v>
      </c>
      <c r="E291" s="14" t="n">
        <f aca="false">gm_a+gm_b*LN(E288)+0</f>
        <v>0.726479215083663</v>
      </c>
      <c r="F291" s="14" t="n">
        <f aca="false">gm_a+gm_b*LN(F288)+0</f>
        <v>0.732911861820504</v>
      </c>
      <c r="G291" s="14" t="n">
        <f aca="false">gm_a+gm_b*LN(G288)+0</f>
        <v>0.735369150448677</v>
      </c>
      <c r="J291" s="8" t="s">
        <v>513</v>
      </c>
    </row>
    <row r="292" customFormat="false" ht="15" hidden="false" customHeight="false" outlineLevel="0" collapsed="false">
      <c r="A292" s="5" t="s">
        <v>398</v>
      </c>
      <c r="B292" s="0" t="s">
        <v>29</v>
      </c>
      <c r="C292" s="11" t="n">
        <f aca="false">C288*C291</f>
        <v>306.477</v>
      </c>
      <c r="D292" s="11" t="n">
        <f aca="false">D288*D291</f>
        <v>363.646037218334</v>
      </c>
      <c r="E292" s="11" t="n">
        <f aca="false">E288*E291</f>
        <v>391.977939384533</v>
      </c>
      <c r="F292" s="11" t="n">
        <f aca="false">F288*F291</f>
        <v>418.440264488868</v>
      </c>
      <c r="G292" s="11" t="n">
        <f aca="false">G288*G291</f>
        <v>429.005367751949</v>
      </c>
    </row>
    <row r="293" customFormat="false" ht="17.15" hidden="false" customHeight="false" outlineLevel="0" collapsed="false">
      <c r="A293" s="5" t="s">
        <v>399</v>
      </c>
      <c r="B293" s="0" t="s">
        <v>29</v>
      </c>
      <c r="C293" s="11" t="n">
        <f aca="false">a25_sga</f>
        <v>121.487</v>
      </c>
      <c r="D293" s="11" t="n">
        <f aca="false">sg_f+sg_v*D288</f>
        <v>135.744116978311</v>
      </c>
      <c r="E293" s="11" t="n">
        <f aca="false">sg_f+sg_v*E288</f>
        <v>144.290087289347</v>
      </c>
      <c r="F293" s="11" t="n">
        <f aca="false">sg_f+sg_v*F288</f>
        <v>152.206872699692</v>
      </c>
      <c r="G293" s="11" t="n">
        <f aca="false">sg_f+sg_v*G288</f>
        <v>155.351183218461</v>
      </c>
      <c r="J293" s="5" t="s">
        <v>514</v>
      </c>
    </row>
    <row r="294" customFormat="false" ht="15" hidden="false" customHeight="false" outlineLevel="0" collapsed="false">
      <c r="A294" s="5" t="s">
        <v>367</v>
      </c>
      <c r="B294" s="0" t="s">
        <v>29</v>
      </c>
      <c r="C294" s="11" t="n">
        <f aca="false">C292-C293</f>
        <v>184.99</v>
      </c>
      <c r="D294" s="11" t="n">
        <f aca="false">D292-D293</f>
        <v>227.901920240023</v>
      </c>
      <c r="E294" s="11" t="n">
        <f aca="false">E292-E293</f>
        <v>247.687852095186</v>
      </c>
      <c r="F294" s="11" t="n">
        <f aca="false">F292-F293</f>
        <v>266.233391789177</v>
      </c>
      <c r="G294" s="11" t="n">
        <f aca="false">G292-G293</f>
        <v>273.654184533487</v>
      </c>
    </row>
    <row r="295" customFormat="false" ht="15" hidden="false" customHeight="false" outlineLevel="0" collapsed="false">
      <c r="A295" s="5" t="s">
        <v>515</v>
      </c>
      <c r="B295" s="0" t="s">
        <v>56</v>
      </c>
      <c r="C295" s="14" t="n">
        <f aca="false">C294/C288</f>
        <v>0.423425629851061</v>
      </c>
      <c r="D295" s="14" t="n">
        <f aca="false">D294/D288</f>
        <v>0.450670604665072</v>
      </c>
      <c r="E295" s="14" t="n">
        <f aca="false">E294/E288</f>
        <v>0.459056641448759</v>
      </c>
      <c r="F295" s="14" t="n">
        <f aca="false">F294/F288</f>
        <v>0.466316526908189</v>
      </c>
      <c r="G295" s="14" t="n">
        <f aca="false">G294/G288</f>
        <v>0.469077686024365</v>
      </c>
    </row>
    <row r="296" customFormat="false" ht="15" hidden="false" customHeight="false" outlineLevel="0" collapsed="false">
      <c r="A296" s="5" t="s">
        <v>370</v>
      </c>
      <c r="B296" s="0" t="s">
        <v>29</v>
      </c>
      <c r="C296" s="11" t="n">
        <f aca="false">a25_ni</f>
        <v>135.521</v>
      </c>
      <c r="D296" s="11" t="n">
        <f aca="false">D294*nioi</f>
        <v>166.958555010558</v>
      </c>
      <c r="E296" s="11" t="n">
        <f aca="false">E294*nioi</f>
        <v>181.453521040666</v>
      </c>
      <c r="F296" s="11" t="n">
        <f aca="false">F294*nioi</f>
        <v>195.039788791015</v>
      </c>
      <c r="G296" s="11" t="n">
        <f aca="false">G294*nioi</f>
        <v>200.476183676666</v>
      </c>
    </row>
    <row r="297" customFormat="false" ht="15" hidden="false" customHeight="false" outlineLevel="0" collapsed="false">
      <c r="A297" s="0" t="s">
        <v>459</v>
      </c>
      <c r="B297" s="0" t="s">
        <v>51</v>
      </c>
      <c r="C297" s="11" t="n">
        <f aca="false">a25_eps</f>
        <v>1249.84</v>
      </c>
      <c r="D297" s="11" t="n">
        <f aca="false">D296*1000/shares</f>
        <v>1539.05972620704</v>
      </c>
      <c r="E297" s="11" t="n">
        <f aca="false">E296*1000/shares</f>
        <v>1672.6774282066</v>
      </c>
      <c r="F297" s="11" t="n">
        <f aca="false">F296*1000/shares</f>
        <v>1797.91855480059</v>
      </c>
      <c r="G297" s="11" t="n">
        <f aca="false">G296*1000/shares</f>
        <v>1848.03240744944</v>
      </c>
    </row>
    <row r="298" customFormat="false" ht="17.15" hidden="false" customHeight="false" outlineLevel="0" collapsed="false">
      <c r="A298" s="5" t="s">
        <v>516</v>
      </c>
      <c r="B298" s="0" t="s">
        <v>29</v>
      </c>
      <c r="C298" s="16" t="n">
        <f aca="false">ABS(C288-a25_rev)+ABS(C294-a25_oi)</f>
        <v>0.000999999999976353</v>
      </c>
    </row>
    <row r="300" customFormat="false" ht="17.15" hidden="false" customHeight="false" outlineLevel="0" collapsed="false">
      <c r="A300" s="3" t="s">
        <v>717</v>
      </c>
    </row>
    <row r="301" customFormat="false" ht="17.15" hidden="false" customHeight="false" outlineLevel="0" collapsed="false">
      <c r="A301" s="6" t="s">
        <v>18</v>
      </c>
      <c r="B301" s="6" t="s">
        <v>19</v>
      </c>
      <c r="C301" s="9" t="s">
        <v>464</v>
      </c>
      <c r="D301" s="9" t="s">
        <v>465</v>
      </c>
      <c r="E301" s="9" t="s">
        <v>466</v>
      </c>
      <c r="F301" s="9" t="s">
        <v>467</v>
      </c>
      <c r="G301" s="9" t="s">
        <v>468</v>
      </c>
      <c r="H301" s="9" t="s">
        <v>469</v>
      </c>
      <c r="I301" s="9" t="s">
        <v>470</v>
      </c>
      <c r="J301" s="6" t="s">
        <v>450</v>
      </c>
    </row>
    <row r="302" customFormat="false" ht="17.15" hidden="false" customHeight="false" outlineLevel="0" collapsed="false">
      <c r="A302" s="1" t="s">
        <v>471</v>
      </c>
    </row>
    <row r="303" customFormat="false" ht="17.15" hidden="false" customHeight="false" outlineLevel="0" collapsed="false">
      <c r="A303" s="0" t="s">
        <v>472</v>
      </c>
      <c r="B303" s="0" t="s">
        <v>96</v>
      </c>
      <c r="C303" s="19" t="n">
        <f aca="false">hsA_25</f>
        <v>2.22511470588235</v>
      </c>
      <c r="D303" s="19" t="n">
        <f aca="false">hsA_26</f>
        <v>3.782695</v>
      </c>
      <c r="E303" s="19" t="n">
        <f aca="false">hsA_27</f>
        <v>5.86317725</v>
      </c>
      <c r="F303" s="19" t="n">
        <f aca="false">hsA_28</f>
        <v>8.5016070125</v>
      </c>
      <c r="G303" s="19" t="n">
        <f aca="false">hsA_29</f>
        <v>11.477169466875</v>
      </c>
      <c r="H303" s="19" t="n">
        <f aca="false">G303*(1+g_tail)</f>
        <v>12.6248864135625</v>
      </c>
      <c r="I303" s="19" t="n">
        <f aca="false">H303*(1+g_tail)</f>
        <v>13.8873750549188</v>
      </c>
      <c r="J303" s="8" t="s">
        <v>473</v>
      </c>
    </row>
    <row r="304" customFormat="false" ht="17.15" hidden="false" customHeight="false" outlineLevel="0" collapsed="false">
      <c r="A304" s="0" t="s">
        <v>474</v>
      </c>
      <c r="B304" s="0" t="s">
        <v>475</v>
      </c>
      <c r="C304" s="19" t="n">
        <f aca="false">den_25</f>
        <v>24</v>
      </c>
      <c r="D304" s="19" t="n">
        <f aca="false">den_26</f>
        <v>24</v>
      </c>
      <c r="E304" s="19" t="n">
        <f aca="false">den_27</f>
        <v>26</v>
      </c>
      <c r="F304" s="19" t="n">
        <f aca="false">den_28</f>
        <v>28</v>
      </c>
      <c r="G304" s="19" t="n">
        <f aca="false">den_29</f>
        <v>30</v>
      </c>
      <c r="H304" s="19" t="n">
        <f aca="false">den_30</f>
        <v>32</v>
      </c>
      <c r="I304" s="19" t="n">
        <f aca="false">den_30</f>
        <v>32</v>
      </c>
    </row>
    <row r="305" customFormat="false" ht="15" hidden="false" customHeight="false" outlineLevel="0" collapsed="false">
      <c r="A305" s="5" t="s">
        <v>476</v>
      </c>
      <c r="B305" s="5" t="s">
        <v>148</v>
      </c>
      <c r="C305" s="19" t="n">
        <f aca="false">stk_25</f>
        <v>10</v>
      </c>
      <c r="D305" s="19" t="n">
        <f aca="false">stk_26</f>
        <v>12</v>
      </c>
      <c r="E305" s="19" t="n">
        <f aca="false">stk_27</f>
        <v>12.5</v>
      </c>
      <c r="F305" s="19" t="n">
        <f aca="false">stk_28</f>
        <v>14</v>
      </c>
      <c r="G305" s="19" t="n">
        <f aca="false">stk_29</f>
        <v>15</v>
      </c>
      <c r="H305" s="19" t="n">
        <f aca="false">stk_30</f>
        <v>16</v>
      </c>
      <c r="I305" s="19" t="n">
        <f aca="false">stk_30</f>
        <v>16</v>
      </c>
    </row>
    <row r="306" customFormat="false" ht="17.15" hidden="false" customHeight="false" outlineLevel="0" collapsed="false">
      <c r="A306" s="0" t="s">
        <v>477</v>
      </c>
      <c r="B306" s="5" t="s">
        <v>478</v>
      </c>
      <c r="C306" s="19" t="n">
        <f aca="false">C303*8/C304</f>
        <v>0.741704901960783</v>
      </c>
      <c r="D306" s="19" t="n">
        <f aca="false">D303*8/D304</f>
        <v>1.26089833333333</v>
      </c>
      <c r="E306" s="19" t="n">
        <f aca="false">E303*8/E304</f>
        <v>1.80405453846154</v>
      </c>
      <c r="F306" s="19" t="n">
        <f aca="false">F303*8/F304</f>
        <v>2.429030575</v>
      </c>
      <c r="G306" s="19" t="n">
        <f aca="false">G303*8/G304</f>
        <v>3.0605785245</v>
      </c>
      <c r="H306" s="19" t="n">
        <f aca="false">H303*8/H304</f>
        <v>3.15622160339063</v>
      </c>
      <c r="I306" s="19" t="n">
        <f aca="false">I303*8/I304</f>
        <v>3.47184376372969</v>
      </c>
      <c r="J306" s="8" t="s">
        <v>479</v>
      </c>
    </row>
    <row r="307" customFormat="false" ht="17.15" hidden="false" customHeight="false" outlineLevel="0" collapsed="false">
      <c r="A307" s="0" t="s">
        <v>480</v>
      </c>
      <c r="B307" s="5" t="s">
        <v>481</v>
      </c>
      <c r="C307" s="19" t="n">
        <f aca="false">C306*(1+s_stk/C305)</f>
        <v>0.964216372549018</v>
      </c>
      <c r="D307" s="19" t="n">
        <f aca="false">D306*(1+s_stk/D305)</f>
        <v>1.57612291666667</v>
      </c>
      <c r="E307" s="19" t="n">
        <f aca="false">E306*(1+s_stk/E305)</f>
        <v>2.23702762769231</v>
      </c>
      <c r="F307" s="19" t="n">
        <f aca="false">F306*(1+s_stk/F305)</f>
        <v>2.94953712678571</v>
      </c>
      <c r="G307" s="19" t="n">
        <f aca="false">G306*(1+s_stk/G305)</f>
        <v>3.6726942294</v>
      </c>
      <c r="H307" s="19" t="n">
        <f aca="false">H306*(1+s_stk/H305)</f>
        <v>3.74801315402637</v>
      </c>
      <c r="I307" s="19" t="n">
        <f aca="false">I306*(1+s_stk/I305)</f>
        <v>4.12281446942901</v>
      </c>
      <c r="J307" s="5" t="s">
        <v>482</v>
      </c>
    </row>
    <row r="308" customFormat="false" ht="17.15" hidden="false" customHeight="false" outlineLevel="0" collapsed="false">
      <c r="A308" s="5" t="s">
        <v>483</v>
      </c>
      <c r="B308" s="0" t="s">
        <v>56</v>
      </c>
      <c r="C308" s="22" t="n">
        <f aca="false">hbp_25*0</f>
        <v>0</v>
      </c>
      <c r="D308" s="22" t="n">
        <f aca="false">hbp_26*0</f>
        <v>0</v>
      </c>
      <c r="E308" s="22" t="n">
        <f aca="false">hbp_27*0</f>
        <v>0</v>
      </c>
      <c r="F308" s="22" t="n">
        <f aca="false">hbp_28*0</f>
        <v>0</v>
      </c>
      <c r="G308" s="22" t="n">
        <f aca="false">hbp_29*0</f>
        <v>0</v>
      </c>
      <c r="H308" s="22" t="n">
        <f aca="false">hbp_30*0</f>
        <v>0</v>
      </c>
      <c r="I308" s="22" t="n">
        <f aca="false">hbp_30*0</f>
        <v>0</v>
      </c>
    </row>
    <row r="309" customFormat="false" ht="17.15" hidden="false" customHeight="false" outlineLevel="0" collapsed="false">
      <c r="A309" s="0" t="s">
        <v>484</v>
      </c>
      <c r="B309" s="5" t="s">
        <v>481</v>
      </c>
      <c r="C309" s="19" t="n">
        <f aca="false">C307*(1+C308*hb_eff)</f>
        <v>0.964216372549018</v>
      </c>
      <c r="D309" s="19" t="n">
        <f aca="false">D307*(1+D308*hb_eff)</f>
        <v>1.57612291666667</v>
      </c>
      <c r="E309" s="19" t="n">
        <f aca="false">E307*(1+E308*hb_eff)</f>
        <v>2.23702762769231</v>
      </c>
      <c r="F309" s="19" t="n">
        <f aca="false">F307*(1+F308*hb_eff)</f>
        <v>2.94953712678571</v>
      </c>
      <c r="G309" s="19" t="n">
        <f aca="false">G307*(1+G308*hb_eff)</f>
        <v>3.6726942294</v>
      </c>
      <c r="H309" s="19" t="n">
        <f aca="false">H307*(1+H308*hb_eff)</f>
        <v>3.74801315402637</v>
      </c>
      <c r="I309" s="19" t="n">
        <f aca="false">I307*(1+I308*hb_eff)</f>
        <v>4.12281446942901</v>
      </c>
      <c r="J309" s="5" t="s">
        <v>485</v>
      </c>
    </row>
    <row r="310" customFormat="false" ht="17.15" hidden="false" customHeight="false" outlineLevel="0" collapsed="false">
      <c r="A310" s="0" t="s">
        <v>486</v>
      </c>
      <c r="B310" s="5" t="s">
        <v>481</v>
      </c>
      <c r="C310" s="19" t="n">
        <f aca="false">MAX(0,D309-C309)+dlt*C309</f>
        <v>0.70832818137255</v>
      </c>
      <c r="D310" s="19" t="n">
        <f aca="false">MAX(0,E309-D309)+dlt*D309</f>
        <v>0.818517002692307</v>
      </c>
      <c r="E310" s="19" t="n">
        <f aca="false">MAX(0,F309-E309)+dlt*E309</f>
        <v>0.936212261862637</v>
      </c>
      <c r="F310" s="19" t="n">
        <f aca="false">MAX(0,G309-F309)+dlt*F309</f>
        <v>1.01811081529286</v>
      </c>
      <c r="G310" s="19" t="n">
        <f aca="false">MAX(0,H309-G309)+dlt*G309</f>
        <v>0.442588347566367</v>
      </c>
      <c r="H310" s="19" t="n">
        <f aca="false">MAX(0,I309-H309)+dlt*H309</f>
        <v>0.749602630805274</v>
      </c>
      <c r="J310" s="5" t="s">
        <v>487</v>
      </c>
    </row>
    <row r="311" customFormat="false" ht="17.15" hidden="false" customHeight="false" outlineLevel="0" collapsed="false">
      <c r="A311" s="0" t="s">
        <v>488</v>
      </c>
      <c r="B311" s="5" t="s">
        <v>177</v>
      </c>
      <c r="C311" s="21" t="n">
        <f aca="false">cw_25</f>
        <v>670</v>
      </c>
      <c r="D311" s="21" t="n">
        <f aca="false">cw_26</f>
        <v>1107.85762580894</v>
      </c>
      <c r="E311" s="21" t="n">
        <f aca="false">cw_27</f>
        <v>2096.42857142857</v>
      </c>
      <c r="F311" s="21" t="n">
        <f aca="false">cw_28*um28_A</f>
        <v>2620.08928571429</v>
      </c>
      <c r="G311" s="21" t="n">
        <f aca="false">cw_29*um29_A</f>
        <v>3013.32589285714</v>
      </c>
      <c r="H311" s="21" t="n">
        <f aca="false">G311*(1+g_tail)</f>
        <v>3314.65848214285</v>
      </c>
      <c r="I311" s="21" t="n">
        <f aca="false">H311*(1+g_tail)</f>
        <v>3646.12433035714</v>
      </c>
      <c r="J311" s="5" t="s">
        <v>489</v>
      </c>
    </row>
    <row r="312" customFormat="false" ht="15" hidden="false" customHeight="false" outlineLevel="0" collapsed="false">
      <c r="A312" s="5" t="s">
        <v>490</v>
      </c>
      <c r="B312" s="5" t="s">
        <v>177</v>
      </c>
      <c r="C312" s="21" t="n">
        <f aca="false">MAX(0,D311-C311)+dlt*C311</f>
        <v>504.85762580894</v>
      </c>
      <c r="D312" s="21" t="n">
        <f aca="false">MAX(0,E311-D311)+dlt*D311</f>
        <v>1099.35670820052</v>
      </c>
      <c r="E312" s="21" t="n">
        <f aca="false">MAX(0,F311-E311)+dlt*E311</f>
        <v>733.303571428577</v>
      </c>
      <c r="F312" s="21" t="n">
        <f aca="false">MAX(0,G311-F311)+dlt*F311</f>
        <v>655.245535714279</v>
      </c>
      <c r="G312" s="21" t="n">
        <f aca="false">MAX(0,H311-G311)+dlt*G311</f>
        <v>602.665178571428</v>
      </c>
      <c r="H312" s="21" t="n">
        <f aca="false">MAX(0,I311-H311)+dlt*H311</f>
        <v>662.931696428571</v>
      </c>
    </row>
    <row r="313" customFormat="false" ht="17.15" hidden="false" customHeight="false" outlineLevel="0" collapsed="false">
      <c r="A313" s="1" t="s">
        <v>491</v>
      </c>
    </row>
    <row r="314" customFormat="false" ht="17.15" hidden="false" customHeight="false" outlineLevel="0" collapsed="false">
      <c r="A314" s="0" t="s">
        <v>492</v>
      </c>
      <c r="B314" s="0" t="s">
        <v>493</v>
      </c>
      <c r="C314" s="16" t="n">
        <f aca="false">ai25*w_hbm/(0.75*C310+0.25*D310)</f>
        <v>48.9213264236471</v>
      </c>
      <c r="J314" s="5" t="s">
        <v>494</v>
      </c>
    </row>
    <row r="315" customFormat="false" ht="17.15" hidden="false" customHeight="false" outlineLevel="0" collapsed="false">
      <c r="A315" s="5" t="s">
        <v>495</v>
      </c>
      <c r="B315" s="0" t="s">
        <v>496</v>
      </c>
      <c r="C315" s="18" t="n">
        <f aca="false">ai25*(1-w_hbm)/(0.75*C312+0.25*D312)</f>
        <v>0.0596802610360141</v>
      </c>
    </row>
    <row r="316" customFormat="false" ht="17.15" hidden="false" customHeight="false" outlineLevel="0" collapsed="false">
      <c r="A316" s="1" t="s">
        <v>497</v>
      </c>
    </row>
    <row r="317" customFormat="false" ht="17.15" hidden="false" customHeight="false" outlineLevel="0" collapsed="false">
      <c r="A317" s="5" t="s">
        <v>498</v>
      </c>
      <c r="B317" s="0" t="s">
        <v>76</v>
      </c>
      <c r="C317" s="16" t="n">
        <f aca="false">1-sh_loss/sh*0</f>
        <v>1</v>
      </c>
      <c r="D317" s="16" t="n">
        <f aca="false">1-sh_loss/sh*0.25</f>
        <v>1</v>
      </c>
      <c r="E317" s="16" t="n">
        <f aca="false">1-sh_loss/sh*0.5</f>
        <v>1</v>
      </c>
      <c r="F317" s="16" t="n">
        <f aca="false">1-sh_loss/sh*0.75</f>
        <v>1</v>
      </c>
      <c r="G317" s="16" t="n">
        <f aca="false">1-sh_loss/sh*1</f>
        <v>1</v>
      </c>
    </row>
    <row r="318" customFormat="false" ht="17.15" hidden="false" customHeight="false" outlineLevel="0" collapsed="false">
      <c r="A318" s="0" t="s">
        <v>499</v>
      </c>
      <c r="B318" s="0" t="s">
        <v>29</v>
      </c>
      <c r="C318" s="11" t="n">
        <f aca="false">$C$314*(0.75*C310+0.25*D310)*C317</f>
        <v>36</v>
      </c>
      <c r="D318" s="11" t="n">
        <f aca="false">$C$314*(0.75*D310+0.25*E310)*D317</f>
        <v>41.4823895201124</v>
      </c>
      <c r="E318" s="11" t="n">
        <f aca="false">$C$314*(0.75*E310+0.25*F310)*E317</f>
        <v>46.8023921308991</v>
      </c>
      <c r="F318" s="11" t="n">
        <f aca="false">$C$314*(0.75*F310+0.25*G310)*F317</f>
        <v>42.7685009034397</v>
      </c>
      <c r="G318" s="11" t="n">
        <f aca="false">$C$314*(0.75*G310+0.25*H310)*G317</f>
        <v>25.40689551436</v>
      </c>
    </row>
    <row r="319" customFormat="false" ht="17.15" hidden="false" customHeight="false" outlineLevel="0" collapsed="false">
      <c r="A319" s="5" t="s">
        <v>500</v>
      </c>
      <c r="B319" s="0" t="s">
        <v>29</v>
      </c>
      <c r="C319" s="11" t="n">
        <f aca="false">$C$315*(0.75*C312+0.25*D312)*C317</f>
        <v>39</v>
      </c>
      <c r="D319" s="11" t="n">
        <f aca="false">$C$315*(0.75*D312+0.25*E312)*D317</f>
        <v>60.1483586282001</v>
      </c>
      <c r="E319" s="11" t="n">
        <f aca="false">$C$315*(0.75*E312+0.25*F312)*E317</f>
        <v>42.5991175746519</v>
      </c>
      <c r="F319" s="11" t="n">
        <f aca="false">$C$315*(0.75*F312+0.25*G312)*F317</f>
        <v>38.320722254198</v>
      </c>
      <c r="G319" s="11" t="n">
        <f aca="false">$C$315*(0.75*G312+0.25*H312)*G317</f>
        <v>36.8663955538204</v>
      </c>
    </row>
    <row r="320" customFormat="false" ht="17.15" hidden="false" customHeight="false" outlineLevel="0" collapsed="false">
      <c r="A320" s="0" t="s">
        <v>501</v>
      </c>
      <c r="B320" s="0" t="s">
        <v>29</v>
      </c>
      <c r="C320" s="11" t="n">
        <f aca="false">C318+C319</f>
        <v>75</v>
      </c>
      <c r="D320" s="11" t="n">
        <f aca="false">D318+D319</f>
        <v>101.630748148312</v>
      </c>
      <c r="E320" s="11" t="n">
        <f aca="false">E318+E319</f>
        <v>89.401509705551</v>
      </c>
      <c r="F320" s="11" t="n">
        <f aca="false">F318+F319</f>
        <v>81.0892231576377</v>
      </c>
      <c r="G320" s="11" t="n">
        <f aca="false">G318+G319</f>
        <v>62.2732910681803</v>
      </c>
    </row>
    <row r="321" customFormat="false" ht="17.15" hidden="false" customHeight="false" outlineLevel="0" collapsed="false">
      <c r="A321" s="5" t="s">
        <v>502</v>
      </c>
      <c r="B321" s="0" t="s">
        <v>29</v>
      </c>
      <c r="C321" s="11" t="n">
        <f aca="false">eq25-ai25</f>
        <v>195.87118</v>
      </c>
      <c r="D321" s="11" t="n">
        <f aca="false">C321*(1+g_non)*D317/C317</f>
        <v>207.6234508</v>
      </c>
      <c r="E321" s="11" t="n">
        <f aca="false">D321*(1+g_non)*E317/D317</f>
        <v>220.080857848</v>
      </c>
      <c r="F321" s="11" t="n">
        <f aca="false">E321*(1+g_non)*F317/E317</f>
        <v>233.28570931888</v>
      </c>
      <c r="G321" s="11" t="n">
        <f aca="false">F321*(1+g_non)*G317/F317</f>
        <v>247.282851878013</v>
      </c>
    </row>
    <row r="322" customFormat="false" ht="15" hidden="false" customHeight="false" outlineLevel="0" collapsed="false">
      <c r="A322" s="5" t="s">
        <v>503</v>
      </c>
      <c r="B322" s="0" t="s">
        <v>29</v>
      </c>
      <c r="C322" s="11" t="n">
        <f aca="false">C320+C321</f>
        <v>270.87118</v>
      </c>
      <c r="D322" s="11" t="n">
        <f aca="false">D320+D321</f>
        <v>309.254198948313</v>
      </c>
      <c r="E322" s="11" t="n">
        <f aca="false">E320+E321</f>
        <v>309.482367553551</v>
      </c>
      <c r="F322" s="11" t="n">
        <f aca="false">F320+F321</f>
        <v>314.374932476518</v>
      </c>
      <c r="G322" s="11" t="n">
        <f aca="false">G320+G321</f>
        <v>309.556142946193</v>
      </c>
    </row>
    <row r="323" customFormat="false" ht="17.15" hidden="false" customHeight="false" outlineLevel="0" collapsed="false">
      <c r="A323" s="0" t="s">
        <v>504</v>
      </c>
      <c r="B323" s="0" t="s">
        <v>76</v>
      </c>
      <c r="C323" s="19" t="n">
        <f aca="false">w_hbm*(0.75*C309+0.25*D309)/(0.75*C309+0.25*D309)+(1-w_hbm)*(0.75*C311+0.25*D311)/(0.75*C311+0.25*D311)</f>
        <v>1</v>
      </c>
      <c r="D323" s="19" t="n">
        <f aca="false">w_hbm*(0.75*D309+0.25*E309)/(0.75*C309+0.25*D309)+(1-w_hbm)*(0.75*D311+0.25*E311)/(0.75*C311+0.25*D311)</f>
        <v>1.65212184085657</v>
      </c>
      <c r="E323" s="19" t="n">
        <f aca="false">w_hbm*(0.75*E309+0.25*F309)/(0.75*C309+0.25*D309)+(1-w_hbm)*(0.75*E311+0.25*F311)/(0.75*C311+0.25*D311)</f>
        <v>2.52358322491796</v>
      </c>
      <c r="F323" s="19" t="n">
        <f aca="false">w_hbm*(0.75*F309+0.25*G309)/(0.75*C309+0.25*D309)+(1-w_hbm)*(0.75*F311+0.25*G311)/(0.75*C311+0.25*D311)</f>
        <v>3.1584500892359</v>
      </c>
      <c r="G323" s="19" t="n">
        <f aca="false">w_hbm*(0.75*G309+0.25*H309)/(0.75*C309+0.25*D309)+(1-w_hbm)*(0.75*G311+0.25*H311)/(0.75*C311+0.25*D311)</f>
        <v>3.64657764069717</v>
      </c>
      <c r="J323" s="8" t="s">
        <v>505</v>
      </c>
    </row>
    <row r="324" customFormat="false" ht="17.15" hidden="false" customHeight="false" outlineLevel="0" collapsed="false">
      <c r="A324" s="0" t="s">
        <v>506</v>
      </c>
      <c r="B324" s="0" t="s">
        <v>29</v>
      </c>
      <c r="C324" s="11" t="n">
        <f aca="false">tl25*w_tlai*C323</f>
        <v>25.4032258064516</v>
      </c>
      <c r="D324" s="11" t="n">
        <f aca="false">tl25*w_tlai*D323</f>
        <v>41.9692241830499</v>
      </c>
      <c r="E324" s="11" t="n">
        <f aca="false">tl25*w_tlai*E323</f>
        <v>64.1071545039642</v>
      </c>
      <c r="F324" s="11" t="n">
        <f aca="false">tl25*w_tlai*F323</f>
        <v>80.2348208152668</v>
      </c>
      <c r="G324" s="11" t="n">
        <f aca="false">tl25*w_tlai*G323</f>
        <v>92.6348352273877</v>
      </c>
      <c r="J324" s="5" t="s">
        <v>507</v>
      </c>
    </row>
    <row r="325" customFormat="false" ht="17.15" hidden="false" customHeight="false" outlineLevel="0" collapsed="false">
      <c r="A325" s="5" t="s">
        <v>508</v>
      </c>
      <c r="B325" s="0" t="s">
        <v>29</v>
      </c>
      <c r="C325" s="11" t="n">
        <f aca="false">tl25*(1-w_tlai)</f>
        <v>66.3434641935484</v>
      </c>
      <c r="D325" s="11" t="n">
        <f aca="false">C325*(1+g_tl)</f>
        <v>69.6606374032258</v>
      </c>
      <c r="E325" s="11" t="n">
        <f aca="false">D325*(1+g_tl)</f>
        <v>73.1436692733871</v>
      </c>
      <c r="F325" s="11" t="n">
        <f aca="false">E325*(1+g_tl)</f>
        <v>76.8008527370565</v>
      </c>
      <c r="G325" s="11" t="n">
        <f aca="false">F325*(1+g_tl)</f>
        <v>80.6408953739093</v>
      </c>
    </row>
    <row r="326" customFormat="false" ht="15" hidden="false" customHeight="false" outlineLevel="0" collapsed="false">
      <c r="A326" s="5" t="s">
        <v>509</v>
      </c>
      <c r="B326" s="0" t="s">
        <v>29</v>
      </c>
      <c r="C326" s="11" t="n">
        <f aca="false">C324+C325</f>
        <v>91.74669</v>
      </c>
      <c r="D326" s="11" t="n">
        <f aca="false">D324+D325</f>
        <v>111.629861586276</v>
      </c>
      <c r="E326" s="11" t="n">
        <f aca="false">E324+E325</f>
        <v>137.250823777351</v>
      </c>
      <c r="F326" s="11" t="n">
        <f aca="false">F324+F325</f>
        <v>157.035673552323</v>
      </c>
      <c r="G326" s="11" t="n">
        <f aca="false">G324+G325</f>
        <v>173.275730601297</v>
      </c>
    </row>
    <row r="327" customFormat="false" ht="15" hidden="false" customHeight="false" outlineLevel="0" collapsed="false">
      <c r="A327" s="5" t="s">
        <v>393</v>
      </c>
      <c r="B327" s="0" t="s">
        <v>29</v>
      </c>
      <c r="C327" s="11" t="n">
        <f aca="false">r_ot*(C322+C326)</f>
        <v>74.27113</v>
      </c>
      <c r="D327" s="11" t="n">
        <f aca="false">r_ot*(D322+D326)</f>
        <v>86.2051690251567</v>
      </c>
      <c r="E327" s="11" t="n">
        <f aca="false">r_ot*(E322+E326)</f>
        <v>91.4995693087391</v>
      </c>
      <c r="F327" s="11" t="n">
        <f aca="false">r_ot*(F322+F326)</f>
        <v>96.5539795480759</v>
      </c>
      <c r="G327" s="11" t="n">
        <f aca="false">r_ot*(G322+G326)</f>
        <v>98.8932753049077</v>
      </c>
    </row>
    <row r="328" customFormat="false" ht="15" hidden="false" customHeight="false" outlineLevel="0" collapsed="false">
      <c r="A328" s="5" t="s">
        <v>363</v>
      </c>
      <c r="B328" s="0" t="s">
        <v>29</v>
      </c>
      <c r="C328" s="11" t="n">
        <f aca="false">C322+C326+C327</f>
        <v>436.889</v>
      </c>
      <c r="D328" s="11" t="n">
        <f aca="false">D322+D326+D327</f>
        <v>507.089229559745</v>
      </c>
      <c r="E328" s="11" t="n">
        <f aca="false">E322+E326+E327</f>
        <v>538.232760639641</v>
      </c>
      <c r="F328" s="11" t="n">
        <f aca="false">F322+F326+F327</f>
        <v>567.964585576917</v>
      </c>
      <c r="G328" s="11" t="n">
        <f aca="false">G322+G326+G327</f>
        <v>581.725148852398</v>
      </c>
    </row>
    <row r="329" customFormat="false" ht="17.15" hidden="false" customHeight="false" outlineLevel="0" collapsed="false">
      <c r="A329" s="0" t="s">
        <v>510</v>
      </c>
      <c r="B329" s="0" t="s">
        <v>56</v>
      </c>
      <c r="C329" s="14" t="n">
        <f aca="false">(C320+C324)*(1+r_ot)/C328</f>
        <v>0.276884384673187</v>
      </c>
      <c r="D329" s="14" t="n">
        <f aca="false">(D320+D324)*(1+r_ot)/D328</f>
        <v>0.34118653044016</v>
      </c>
      <c r="E329" s="14" t="n">
        <f aca="false">(E320+E324)*(1+r_ot)/E328</f>
        <v>0.34362493584187</v>
      </c>
      <c r="F329" s="14" t="n">
        <f aca="false">(F320+F324)*(1+r_ot)/F328</f>
        <v>0.342215558813784</v>
      </c>
      <c r="G329" s="14" t="n">
        <f aca="false">(G320+G324)*(1+r_ot)/G328</f>
        <v>0.320832436262789</v>
      </c>
    </row>
    <row r="330" customFormat="false" ht="17.15" hidden="false" customHeight="false" outlineLevel="0" collapsed="false">
      <c r="A330" s="0" t="s">
        <v>511</v>
      </c>
      <c r="B330" s="0" t="s">
        <v>56</v>
      </c>
      <c r="C330" s="14" t="n">
        <f aca="false">C320*(1+r_ot)/C328</f>
        <v>0.206829299394429</v>
      </c>
      <c r="D330" s="14" t="n">
        <f aca="false">D320*(1+r_ot)/D328</f>
        <v>0.241469700751379</v>
      </c>
      <c r="E330" s="14" t="n">
        <f aca="false">E320*(1+r_ot)/E328</f>
        <v>0.200122828212533</v>
      </c>
      <c r="F330" s="14" t="n">
        <f aca="false">F320*(1+r_ot)/F328</f>
        <v>0.172013998243978</v>
      </c>
      <c r="G330" s="14" t="n">
        <f aca="false">G320*(1+r_ot)/G328</f>
        <v>0.128975103923116</v>
      </c>
      <c r="J330" s="5" t="s">
        <v>512</v>
      </c>
    </row>
    <row r="331" customFormat="false" ht="17.15" hidden="false" customHeight="false" outlineLevel="0" collapsed="false">
      <c r="A331" s="5" t="s">
        <v>401</v>
      </c>
      <c r="B331" s="0" t="s">
        <v>56</v>
      </c>
      <c r="C331" s="14" t="n">
        <f aca="false">a25_gp/a25_rev</f>
        <v>0.701498549974936</v>
      </c>
      <c r="D331" s="14" t="n">
        <f aca="false">gm_a+gm_b*LN(D328)+0</f>
        <v>0.719414722603233</v>
      </c>
      <c r="E331" s="14" t="n">
        <f aca="false">gm_a+gm_b*LN(E328)+0</f>
        <v>0.72619921916354</v>
      </c>
      <c r="F331" s="14" t="n">
        <f aca="false">gm_a+gm_b*LN(F328)+0</f>
        <v>0.732319408799324</v>
      </c>
      <c r="G331" s="14" t="n">
        <f aca="false">gm_a+gm_b*LN(G328)+0</f>
        <v>0.7350442902419</v>
      </c>
      <c r="J331" s="8" t="s">
        <v>513</v>
      </c>
    </row>
    <row r="332" customFormat="false" ht="15" hidden="false" customHeight="false" outlineLevel="0" collapsed="false">
      <c r="A332" s="5" t="s">
        <v>398</v>
      </c>
      <c r="B332" s="0" t="s">
        <v>29</v>
      </c>
      <c r="C332" s="11" t="n">
        <f aca="false">C328*C331</f>
        <v>306.477</v>
      </c>
      <c r="D332" s="11" t="n">
        <f aca="false">D328*D331</f>
        <v>364.807457418811</v>
      </c>
      <c r="E332" s="11" t="n">
        <f aca="false">E328*E331</f>
        <v>390.864210504744</v>
      </c>
      <c r="F332" s="11" t="n">
        <f aca="false">F328*F331</f>
        <v>415.931489528641</v>
      </c>
      <c r="G332" s="11" t="n">
        <f aca="false">G328*G331</f>
        <v>427.593749154074</v>
      </c>
    </row>
    <row r="333" customFormat="false" ht="17.15" hidden="false" customHeight="false" outlineLevel="0" collapsed="false">
      <c r="A333" s="5" t="s">
        <v>399</v>
      </c>
      <c r="B333" s="0" t="s">
        <v>29</v>
      </c>
      <c r="C333" s="11" t="n">
        <f aca="false">a25_sga</f>
        <v>121.487</v>
      </c>
      <c r="D333" s="11" t="n">
        <f aca="false">sg_f+sg_v*D328</f>
        <v>136.095947222306</v>
      </c>
      <c r="E333" s="11" t="n">
        <f aca="false">sg_f+sg_v*E328</f>
        <v>143.955547792823</v>
      </c>
      <c r="F333" s="11" t="n">
        <f aca="false">sg_f+sg_v*F328</f>
        <v>151.458880271085</v>
      </c>
      <c r="G333" s="11" t="n">
        <f aca="false">sg_f+sg_v*G328</f>
        <v>154.931592812676</v>
      </c>
      <c r="J333" s="5" t="s">
        <v>514</v>
      </c>
    </row>
    <row r="334" customFormat="false" ht="15" hidden="false" customHeight="false" outlineLevel="0" collapsed="false">
      <c r="A334" s="5" t="s">
        <v>367</v>
      </c>
      <c r="B334" s="0" t="s">
        <v>29</v>
      </c>
      <c r="C334" s="11" t="n">
        <f aca="false">C332-C333</f>
        <v>184.99</v>
      </c>
      <c r="D334" s="11" t="n">
        <f aca="false">D332-D333</f>
        <v>228.711510196505</v>
      </c>
      <c r="E334" s="11" t="n">
        <f aca="false">E332-E333</f>
        <v>246.908662711921</v>
      </c>
      <c r="F334" s="11" t="n">
        <f aca="false">F332-F333</f>
        <v>264.472609257556</v>
      </c>
      <c r="G334" s="11" t="n">
        <f aca="false">G332-G333</f>
        <v>272.662156341398</v>
      </c>
    </row>
    <row r="335" customFormat="false" ht="15" hidden="false" customHeight="false" outlineLevel="0" collapsed="false">
      <c r="A335" s="5" t="s">
        <v>515</v>
      </c>
      <c r="B335" s="0" t="s">
        <v>56</v>
      </c>
      <c r="C335" s="14" t="n">
        <f aca="false">C334/C328</f>
        <v>0.423425629851061</v>
      </c>
      <c r="D335" s="14" t="n">
        <f aca="false">D334/D328</f>
        <v>0.451028136399332</v>
      </c>
      <c r="E335" s="14" t="n">
        <f aca="false">E334/E328</f>
        <v>0.458739565422387</v>
      </c>
      <c r="F335" s="14" t="n">
        <f aca="false">F334/F328</f>
        <v>0.465649823903924</v>
      </c>
      <c r="G335" s="14" t="n">
        <f aca="false">G334/G328</f>
        <v>0.468713028617198</v>
      </c>
    </row>
    <row r="336" customFormat="false" ht="15" hidden="false" customHeight="false" outlineLevel="0" collapsed="false">
      <c r="A336" s="5" t="s">
        <v>370</v>
      </c>
      <c r="B336" s="0" t="s">
        <v>29</v>
      </c>
      <c r="C336" s="11" t="n">
        <f aca="false">a25_ni</f>
        <v>135.521</v>
      </c>
      <c r="D336" s="11" t="n">
        <f aca="false">D334*nioi</f>
        <v>167.551652116291</v>
      </c>
      <c r="E336" s="11" t="n">
        <f aca="false">E334*nioi</f>
        <v>180.882695075827</v>
      </c>
      <c r="F336" s="11" t="n">
        <f aca="false">F334*nioi</f>
        <v>193.749857987195</v>
      </c>
      <c r="G336" s="11" t="n">
        <f aca="false">G334*nioi</f>
        <v>199.749434234158</v>
      </c>
    </row>
    <row r="337" customFormat="false" ht="15" hidden="false" customHeight="false" outlineLevel="0" collapsed="false">
      <c r="A337" s="0" t="s">
        <v>459</v>
      </c>
      <c r="B337" s="0" t="s">
        <v>51</v>
      </c>
      <c r="C337" s="11" t="n">
        <f aca="false">a25_eps</f>
        <v>1249.84</v>
      </c>
      <c r="D337" s="11" t="n">
        <f aca="false">D336*1000/shares</f>
        <v>1544.52702238186</v>
      </c>
      <c r="E337" s="11" t="n">
        <f aca="false">E336*1000/shares</f>
        <v>1667.41543217949</v>
      </c>
      <c r="F337" s="11" t="n">
        <f aca="false">F336*1000/shares</f>
        <v>1786.02769632001</v>
      </c>
      <c r="G337" s="11" t="n">
        <f aca="false">G336*1000/shares</f>
        <v>1841.33307540301</v>
      </c>
    </row>
    <row r="338" customFormat="false" ht="17.15" hidden="false" customHeight="false" outlineLevel="0" collapsed="false">
      <c r="A338" s="5" t="s">
        <v>516</v>
      </c>
      <c r="B338" s="0" t="s">
        <v>29</v>
      </c>
      <c r="C338" s="16" t="n">
        <f aca="false">ABS(C328-a25_rev)+ABS(C334-a25_oi)</f>
        <v>0.000999999999976353</v>
      </c>
    </row>
    <row r="340" customFormat="false" ht="17.15" hidden="false" customHeight="false" outlineLevel="0" collapsed="false">
      <c r="A340" s="3" t="s">
        <v>718</v>
      </c>
    </row>
    <row r="341" customFormat="false" ht="17.15" hidden="false" customHeight="false" outlineLevel="0" collapsed="false">
      <c r="A341" s="6" t="s">
        <v>18</v>
      </c>
      <c r="B341" s="6" t="s">
        <v>19</v>
      </c>
      <c r="C341" s="9" t="s">
        <v>464</v>
      </c>
      <c r="D341" s="9" t="s">
        <v>465</v>
      </c>
      <c r="E341" s="9" t="s">
        <v>466</v>
      </c>
      <c r="F341" s="9" t="s">
        <v>467</v>
      </c>
      <c r="G341" s="9" t="s">
        <v>468</v>
      </c>
      <c r="H341" s="9" t="s">
        <v>469</v>
      </c>
      <c r="I341" s="9" t="s">
        <v>470</v>
      </c>
      <c r="J341" s="6" t="s">
        <v>450</v>
      </c>
    </row>
    <row r="342" customFormat="false" ht="17.15" hidden="false" customHeight="false" outlineLevel="0" collapsed="false">
      <c r="A342" s="1" t="s">
        <v>471</v>
      </c>
    </row>
    <row r="343" customFormat="false" ht="17.15" hidden="false" customHeight="false" outlineLevel="0" collapsed="false">
      <c r="A343" s="0" t="s">
        <v>472</v>
      </c>
      <c r="B343" s="0" t="s">
        <v>96</v>
      </c>
      <c r="C343" s="19" t="n">
        <f aca="false">hsA_25</f>
        <v>2.22511470588235</v>
      </c>
      <c r="D343" s="19" t="n">
        <f aca="false">hsA_26</f>
        <v>3.782695</v>
      </c>
      <c r="E343" s="19" t="n">
        <f aca="false">hsA_27</f>
        <v>5.86317725</v>
      </c>
      <c r="F343" s="19" t="n">
        <f aca="false">hsA_28</f>
        <v>8.5016070125</v>
      </c>
      <c r="G343" s="19" t="n">
        <f aca="false">hsA_29</f>
        <v>11.477169466875</v>
      </c>
      <c r="H343" s="19" t="n">
        <f aca="false">G343*(1+g_tail)</f>
        <v>12.6248864135625</v>
      </c>
      <c r="I343" s="19" t="n">
        <f aca="false">H343*(1+g_tail)</f>
        <v>13.8873750549188</v>
      </c>
      <c r="J343" s="8" t="s">
        <v>473</v>
      </c>
    </row>
    <row r="344" customFormat="false" ht="17.15" hidden="false" customHeight="false" outlineLevel="0" collapsed="false">
      <c r="A344" s="0" t="s">
        <v>474</v>
      </c>
      <c r="B344" s="0" t="s">
        <v>475</v>
      </c>
      <c r="C344" s="19" t="n">
        <f aca="false">den_25</f>
        <v>24</v>
      </c>
      <c r="D344" s="19" t="n">
        <f aca="false">den_26</f>
        <v>24</v>
      </c>
      <c r="E344" s="19" t="n">
        <f aca="false">den_27</f>
        <v>26</v>
      </c>
      <c r="F344" s="19" t="n">
        <f aca="false">den_28</f>
        <v>28</v>
      </c>
      <c r="G344" s="19" t="n">
        <f aca="false">den_29</f>
        <v>30</v>
      </c>
      <c r="H344" s="19" t="n">
        <f aca="false">den_30</f>
        <v>32</v>
      </c>
      <c r="I344" s="19" t="n">
        <f aca="false">den_30</f>
        <v>32</v>
      </c>
    </row>
    <row r="345" customFormat="false" ht="15" hidden="false" customHeight="false" outlineLevel="0" collapsed="false">
      <c r="A345" s="5" t="s">
        <v>476</v>
      </c>
      <c r="B345" s="5" t="s">
        <v>148</v>
      </c>
      <c r="C345" s="19" t="n">
        <f aca="false">stk_25</f>
        <v>10</v>
      </c>
      <c r="D345" s="19" t="n">
        <f aca="false">stk_26</f>
        <v>12</v>
      </c>
      <c r="E345" s="19" t="n">
        <f aca="false">stk_27</f>
        <v>12.5</v>
      </c>
      <c r="F345" s="19" t="n">
        <f aca="false">stk_28</f>
        <v>14</v>
      </c>
      <c r="G345" s="19" t="n">
        <f aca="false">stk_29</f>
        <v>15</v>
      </c>
      <c r="H345" s="19" t="n">
        <f aca="false">stk_30</f>
        <v>16</v>
      </c>
      <c r="I345" s="19" t="n">
        <f aca="false">stk_30</f>
        <v>16</v>
      </c>
    </row>
    <row r="346" customFormat="false" ht="17.15" hidden="false" customHeight="false" outlineLevel="0" collapsed="false">
      <c r="A346" s="0" t="s">
        <v>477</v>
      </c>
      <c r="B346" s="5" t="s">
        <v>478</v>
      </c>
      <c r="C346" s="19" t="n">
        <f aca="false">C343*8/C344</f>
        <v>0.741704901960783</v>
      </c>
      <c r="D346" s="19" t="n">
        <f aca="false">D343*8/D344</f>
        <v>1.26089833333333</v>
      </c>
      <c r="E346" s="19" t="n">
        <f aca="false">E343*8/E344</f>
        <v>1.80405453846154</v>
      </c>
      <c r="F346" s="19" t="n">
        <f aca="false">F343*8/F344</f>
        <v>2.429030575</v>
      </c>
      <c r="G346" s="19" t="n">
        <f aca="false">G343*8/G344</f>
        <v>3.0605785245</v>
      </c>
      <c r="H346" s="19" t="n">
        <f aca="false">H343*8/H344</f>
        <v>3.15622160339063</v>
      </c>
      <c r="I346" s="19" t="n">
        <f aca="false">I343*8/I344</f>
        <v>3.47184376372969</v>
      </c>
      <c r="J346" s="8" t="s">
        <v>479</v>
      </c>
    </row>
    <row r="347" customFormat="false" ht="17.15" hidden="false" customHeight="false" outlineLevel="0" collapsed="false">
      <c r="A347" s="0" t="s">
        <v>480</v>
      </c>
      <c r="B347" s="5" t="s">
        <v>481</v>
      </c>
      <c r="C347" s="19" t="n">
        <f aca="false">C346*(1+s_stk/C345)</f>
        <v>0.964216372549018</v>
      </c>
      <c r="D347" s="19" t="n">
        <f aca="false">D346*(1+s_stk/D345)</f>
        <v>1.57612291666667</v>
      </c>
      <c r="E347" s="19" t="n">
        <f aca="false">E346*(1+s_stk/E345)</f>
        <v>2.23702762769231</v>
      </c>
      <c r="F347" s="19" t="n">
        <f aca="false">F346*(1+s_stk/F345)</f>
        <v>2.94953712678571</v>
      </c>
      <c r="G347" s="19" t="n">
        <f aca="false">G346*(1+s_stk/G345)</f>
        <v>3.6726942294</v>
      </c>
      <c r="H347" s="19" t="n">
        <f aca="false">H346*(1+s_stk/H345)</f>
        <v>3.74801315402637</v>
      </c>
      <c r="I347" s="19" t="n">
        <f aca="false">I346*(1+s_stk/I345)</f>
        <v>4.12281446942901</v>
      </c>
      <c r="J347" s="5" t="s">
        <v>482</v>
      </c>
    </row>
    <row r="348" customFormat="false" ht="17.15" hidden="false" customHeight="false" outlineLevel="0" collapsed="false">
      <c r="A348" s="5" t="s">
        <v>483</v>
      </c>
      <c r="B348" s="0" t="s">
        <v>56</v>
      </c>
      <c r="C348" s="22" t="n">
        <f aca="false">hbp_25*hb_on</f>
        <v>0</v>
      </c>
      <c r="D348" s="22" t="n">
        <f aca="false">hbp_26*hb_on</f>
        <v>0</v>
      </c>
      <c r="E348" s="22" t="n">
        <f aca="false">hbp_27*hb_on</f>
        <v>0</v>
      </c>
      <c r="F348" s="22" t="n">
        <f aca="false">hbp_28*hb_on</f>
        <v>0.05</v>
      </c>
      <c r="G348" s="22" t="n">
        <f aca="false">hbp_29*hb_on</f>
        <v>0.15</v>
      </c>
      <c r="H348" s="22" t="n">
        <f aca="false">hbp_30*hb_on</f>
        <v>0.25</v>
      </c>
      <c r="I348" s="22" t="n">
        <f aca="false">hbp_30*hb_on</f>
        <v>0.25</v>
      </c>
    </row>
    <row r="349" customFormat="false" ht="17.15" hidden="false" customHeight="false" outlineLevel="0" collapsed="false">
      <c r="A349" s="0" t="s">
        <v>484</v>
      </c>
      <c r="B349" s="5" t="s">
        <v>481</v>
      </c>
      <c r="C349" s="19" t="n">
        <f aca="false">C347*(1+C348*hb_eff_lo)</f>
        <v>0.964216372549018</v>
      </c>
      <c r="D349" s="19" t="n">
        <f aca="false">D347*(1+D348*hb_eff_lo)</f>
        <v>1.57612291666667</v>
      </c>
      <c r="E349" s="19" t="n">
        <f aca="false">E347*(1+E348*hb_eff_lo)</f>
        <v>2.23702762769231</v>
      </c>
      <c r="F349" s="19" t="n">
        <f aca="false">F347*(1+F348*hb_eff_lo)</f>
        <v>2.92004175551786</v>
      </c>
      <c r="G349" s="19" t="n">
        <f aca="false">G347*(1+G348*hb_eff_lo)</f>
        <v>3.562513402518</v>
      </c>
      <c r="H349" s="19" t="n">
        <f aca="false">H347*(1+H348*hb_eff_lo)</f>
        <v>3.56061249632505</v>
      </c>
      <c r="I349" s="19" t="n">
        <f aca="false">I347*(1+I348*hb_eff_lo)</f>
        <v>3.91667374595755</v>
      </c>
      <c r="J349" s="5" t="s">
        <v>485</v>
      </c>
    </row>
    <row r="350" customFormat="false" ht="17.15" hidden="false" customHeight="false" outlineLevel="0" collapsed="false">
      <c r="A350" s="0" t="s">
        <v>486</v>
      </c>
      <c r="B350" s="5" t="s">
        <v>481</v>
      </c>
      <c r="C350" s="19" t="n">
        <f aca="false">MAX(0,D349-C349)+dlt*C349</f>
        <v>0.70832818137255</v>
      </c>
      <c r="D350" s="19" t="n">
        <f aca="false">MAX(0,E349-D349)+dlt*D349</f>
        <v>0.818517002692307</v>
      </c>
      <c r="E350" s="19" t="n">
        <f aca="false">MAX(0,F349-E349)+dlt*E349</f>
        <v>0.90671689059478</v>
      </c>
      <c r="F350" s="19" t="n">
        <f aca="false">MAX(0,G349-F349)+dlt*F349</f>
        <v>0.934475822551929</v>
      </c>
      <c r="G350" s="19" t="n">
        <f aca="false">MAX(0,H349-G349)+dlt*G349</f>
        <v>0.3562513402518</v>
      </c>
      <c r="H350" s="19" t="n">
        <f aca="false">MAX(0,I349-H349)+dlt*H349</f>
        <v>0.712122499265011</v>
      </c>
      <c r="J350" s="5" t="s">
        <v>487</v>
      </c>
    </row>
    <row r="351" customFormat="false" ht="17.15" hidden="false" customHeight="false" outlineLevel="0" collapsed="false">
      <c r="A351" s="0" t="s">
        <v>488</v>
      </c>
      <c r="B351" s="5" t="s">
        <v>177</v>
      </c>
      <c r="C351" s="21" t="n">
        <f aca="false">cw_25</f>
        <v>670</v>
      </c>
      <c r="D351" s="21" t="n">
        <f aca="false">cw_26</f>
        <v>1107.85762580894</v>
      </c>
      <c r="E351" s="21" t="n">
        <f aca="false">cw_27</f>
        <v>2096.42857142857</v>
      </c>
      <c r="F351" s="21" t="n">
        <f aca="false">cw_28*um28_A</f>
        <v>2620.08928571429</v>
      </c>
      <c r="G351" s="21" t="n">
        <f aca="false">cw_29*um29_A</f>
        <v>3013.32589285714</v>
      </c>
      <c r="H351" s="21" t="n">
        <f aca="false">G351*(1+g_tail)</f>
        <v>3314.65848214285</v>
      </c>
      <c r="I351" s="21" t="n">
        <f aca="false">H351*(1+g_tail)</f>
        <v>3646.12433035714</v>
      </c>
      <c r="J351" s="5" t="s">
        <v>489</v>
      </c>
    </row>
    <row r="352" customFormat="false" ht="15" hidden="false" customHeight="false" outlineLevel="0" collapsed="false">
      <c r="A352" s="5" t="s">
        <v>490</v>
      </c>
      <c r="B352" s="5" t="s">
        <v>177</v>
      </c>
      <c r="C352" s="21" t="n">
        <f aca="false">MAX(0,D351-C351)+dlt*C351</f>
        <v>504.85762580894</v>
      </c>
      <c r="D352" s="21" t="n">
        <f aca="false">MAX(0,E351-D351)+dlt*D351</f>
        <v>1099.35670820052</v>
      </c>
      <c r="E352" s="21" t="n">
        <f aca="false">MAX(0,F351-E351)+dlt*E351</f>
        <v>733.303571428577</v>
      </c>
      <c r="F352" s="21" t="n">
        <f aca="false">MAX(0,G351-F351)+dlt*F351</f>
        <v>655.245535714279</v>
      </c>
      <c r="G352" s="21" t="n">
        <f aca="false">MAX(0,H351-G351)+dlt*G351</f>
        <v>602.665178571428</v>
      </c>
      <c r="H352" s="21" t="n">
        <f aca="false">MAX(0,I351-H351)+dlt*H351</f>
        <v>662.931696428571</v>
      </c>
    </row>
    <row r="353" customFormat="false" ht="17.15" hidden="false" customHeight="false" outlineLevel="0" collapsed="false">
      <c r="A353" s="1" t="s">
        <v>491</v>
      </c>
    </row>
    <row r="354" customFormat="false" ht="17.15" hidden="false" customHeight="false" outlineLevel="0" collapsed="false">
      <c r="A354" s="0" t="s">
        <v>492</v>
      </c>
      <c r="B354" s="0" t="s">
        <v>493</v>
      </c>
      <c r="C354" s="16" t="n">
        <f aca="false">ai25*w_hbm/(0.75*C350+0.25*D350)</f>
        <v>48.9213264236471</v>
      </c>
      <c r="J354" s="5" t="s">
        <v>494</v>
      </c>
    </row>
    <row r="355" customFormat="false" ht="17.15" hidden="false" customHeight="false" outlineLevel="0" collapsed="false">
      <c r="A355" s="5" t="s">
        <v>495</v>
      </c>
      <c r="B355" s="0" t="s">
        <v>496</v>
      </c>
      <c r="C355" s="18" t="n">
        <f aca="false">ai25*(1-w_hbm)/(0.75*C352+0.25*D352)</f>
        <v>0.0596802610360141</v>
      </c>
    </row>
    <row r="356" customFormat="false" ht="17.15" hidden="false" customHeight="false" outlineLevel="0" collapsed="false">
      <c r="A356" s="1" t="s">
        <v>497</v>
      </c>
    </row>
    <row r="357" customFormat="false" ht="17.15" hidden="false" customHeight="false" outlineLevel="0" collapsed="false">
      <c r="A357" s="5" t="s">
        <v>498</v>
      </c>
      <c r="B357" s="0" t="s">
        <v>76</v>
      </c>
      <c r="C357" s="16" t="n">
        <f aca="false">1-sh_loss/sh*0</f>
        <v>1</v>
      </c>
      <c r="D357" s="16" t="n">
        <f aca="false">1-sh_loss/sh*0.25</f>
        <v>1</v>
      </c>
      <c r="E357" s="16" t="n">
        <f aca="false">1-sh_loss/sh*0.5</f>
        <v>1</v>
      </c>
      <c r="F357" s="16" t="n">
        <f aca="false">1-sh_loss/sh*0.75</f>
        <v>1</v>
      </c>
      <c r="G357" s="16" t="n">
        <f aca="false">1-sh_loss/sh*1</f>
        <v>1</v>
      </c>
    </row>
    <row r="358" customFormat="false" ht="17.15" hidden="false" customHeight="false" outlineLevel="0" collapsed="false">
      <c r="A358" s="0" t="s">
        <v>499</v>
      </c>
      <c r="B358" s="0" t="s">
        <v>29</v>
      </c>
      <c r="C358" s="11" t="n">
        <f aca="false">$C$354*(0.75*C350+0.25*D350)*C357</f>
        <v>36</v>
      </c>
      <c r="D358" s="11" t="n">
        <f aca="false">$C$354*(0.75*D350+0.25*E350)*D357</f>
        <v>41.1216513486671</v>
      </c>
      <c r="E358" s="11" t="n">
        <f aca="false">$C$354*(0.75*E350+0.25*F350)*E357</f>
        <v>44.6972939214834</v>
      </c>
      <c r="F358" s="11" t="n">
        <f aca="false">$C$354*(0.75*F350+0.25*G350)*F357</f>
        <v>38.6439195888818</v>
      </c>
      <c r="G358" s="11" t="n">
        <f aca="false">$C$354*(0.75*G350+0.25*H350)*G357</f>
        <v>21.7807103890318</v>
      </c>
    </row>
    <row r="359" customFormat="false" ht="17.15" hidden="false" customHeight="false" outlineLevel="0" collapsed="false">
      <c r="A359" s="5" t="s">
        <v>500</v>
      </c>
      <c r="B359" s="0" t="s">
        <v>29</v>
      </c>
      <c r="C359" s="11" t="n">
        <f aca="false">$C$355*(0.75*C352+0.25*D352)*C357</f>
        <v>39</v>
      </c>
      <c r="D359" s="11" t="n">
        <f aca="false">$C$355*(0.75*D352+0.25*E352)*D357</f>
        <v>60.1483586282001</v>
      </c>
      <c r="E359" s="11" t="n">
        <f aca="false">$C$355*(0.75*E352+0.25*F352)*E357</f>
        <v>42.5991175746519</v>
      </c>
      <c r="F359" s="11" t="n">
        <f aca="false">$C$355*(0.75*F352+0.25*G352)*F357</f>
        <v>38.320722254198</v>
      </c>
      <c r="G359" s="11" t="n">
        <f aca="false">$C$355*(0.75*G352+0.25*H352)*G357</f>
        <v>36.8663955538204</v>
      </c>
    </row>
    <row r="360" customFormat="false" ht="17.15" hidden="false" customHeight="false" outlineLevel="0" collapsed="false">
      <c r="A360" s="0" t="s">
        <v>501</v>
      </c>
      <c r="B360" s="0" t="s">
        <v>29</v>
      </c>
      <c r="C360" s="11" t="n">
        <f aca="false">C358+C359</f>
        <v>75</v>
      </c>
      <c r="D360" s="11" t="n">
        <f aca="false">D358+D359</f>
        <v>101.270009976867</v>
      </c>
      <c r="E360" s="11" t="n">
        <f aca="false">E358+E359</f>
        <v>87.2964114961353</v>
      </c>
      <c r="F360" s="11" t="n">
        <f aca="false">F358+F359</f>
        <v>76.9646418430798</v>
      </c>
      <c r="G360" s="11" t="n">
        <f aca="false">G358+G359</f>
        <v>58.6471059428521</v>
      </c>
    </row>
    <row r="361" customFormat="false" ht="17.15" hidden="false" customHeight="false" outlineLevel="0" collapsed="false">
      <c r="A361" s="5" t="s">
        <v>502</v>
      </c>
      <c r="B361" s="0" t="s">
        <v>29</v>
      </c>
      <c r="C361" s="11" t="n">
        <f aca="false">eq25-ai25</f>
        <v>195.87118</v>
      </c>
      <c r="D361" s="11" t="n">
        <f aca="false">C361*(1+g_non)*D357/C357</f>
        <v>207.6234508</v>
      </c>
      <c r="E361" s="11" t="n">
        <f aca="false">D361*(1+g_non)*E357/D357</f>
        <v>220.080857848</v>
      </c>
      <c r="F361" s="11" t="n">
        <f aca="false">E361*(1+g_non)*F357/E357</f>
        <v>233.28570931888</v>
      </c>
      <c r="G361" s="11" t="n">
        <f aca="false">F361*(1+g_non)*G357/F357</f>
        <v>247.282851878013</v>
      </c>
    </row>
    <row r="362" customFormat="false" ht="15" hidden="false" customHeight="false" outlineLevel="0" collapsed="false">
      <c r="A362" s="5" t="s">
        <v>503</v>
      </c>
      <c r="B362" s="0" t="s">
        <v>29</v>
      </c>
      <c r="C362" s="11" t="n">
        <f aca="false">C360+C361</f>
        <v>270.87118</v>
      </c>
      <c r="D362" s="11" t="n">
        <f aca="false">D360+D361</f>
        <v>308.893460776867</v>
      </c>
      <c r="E362" s="11" t="n">
        <f aca="false">E360+E361</f>
        <v>307.377269344135</v>
      </c>
      <c r="F362" s="11" t="n">
        <f aca="false">F360+F361</f>
        <v>310.25035116196</v>
      </c>
      <c r="G362" s="11" t="n">
        <f aca="false">G360+G361</f>
        <v>305.929957820865</v>
      </c>
    </row>
    <row r="363" customFormat="false" ht="17.15" hidden="false" customHeight="false" outlineLevel="0" collapsed="false">
      <c r="A363" s="0" t="s">
        <v>504</v>
      </c>
      <c r="B363" s="0" t="s">
        <v>76</v>
      </c>
      <c r="C363" s="19" t="n">
        <f aca="false">w_hbm*(0.75*C349+0.25*D349)/(0.75*C349+0.25*D349)+(1-w_hbm)*(0.75*C351+0.25*D351)/(0.75*C351+0.25*D351)</f>
        <v>1</v>
      </c>
      <c r="D363" s="19" t="n">
        <f aca="false">w_hbm*(0.75*D349+0.25*E349)/(0.75*C349+0.25*D349)+(1-w_hbm)*(0.75*D351+0.25*E351)/(0.75*C351+0.25*D351)</f>
        <v>1.65212184085657</v>
      </c>
      <c r="E363" s="19" t="n">
        <f aca="false">w_hbm*(0.75*E349+0.25*F349)/(0.75*C349+0.25*D349)+(1-w_hbm)*(0.75*E351+0.25*F351)/(0.75*C351+0.25*D351)</f>
        <v>2.5204150663948</v>
      </c>
      <c r="F363" s="19" t="n">
        <f aca="false">w_hbm*(0.75*F349+0.25*G349)/(0.75*C349+0.25*D349)+(1-w_hbm)*(0.75*F351+0.25*G351)/(0.75*C351+0.25*D351)</f>
        <v>3.13711086432202</v>
      </c>
      <c r="G363" s="19" t="n">
        <f aca="false">w_hbm*(0.75*G349+0.25*H349)/(0.75*C349+0.25*D349)+(1-w_hbm)*(0.75*G351+0.25*H351)/(0.75*C351+0.25*D351)</f>
        <v>3.59094430238908</v>
      </c>
      <c r="J363" s="8" t="s">
        <v>505</v>
      </c>
    </row>
    <row r="364" customFormat="false" ht="17.15" hidden="false" customHeight="false" outlineLevel="0" collapsed="false">
      <c r="A364" s="0" t="s">
        <v>506</v>
      </c>
      <c r="B364" s="0" t="s">
        <v>29</v>
      </c>
      <c r="C364" s="11" t="n">
        <f aca="false">tl25*w_tlai*C363</f>
        <v>25.4032258064516</v>
      </c>
      <c r="D364" s="11" t="n">
        <f aca="false">tl25*w_tlai*D363</f>
        <v>41.9692241830499</v>
      </c>
      <c r="E364" s="11" t="n">
        <f aca="false">tl25*w_tlai*E363</f>
        <v>64.0266730576097</v>
      </c>
      <c r="F364" s="11" t="n">
        <f aca="false">tl25*w_tlai*F363</f>
        <v>79.6927356662449</v>
      </c>
      <c r="G364" s="11" t="n">
        <f aca="false">tl25*w_tlai*G363</f>
        <v>91.2215689719806</v>
      </c>
      <c r="J364" s="5" t="s">
        <v>507</v>
      </c>
    </row>
    <row r="365" customFormat="false" ht="17.15" hidden="false" customHeight="false" outlineLevel="0" collapsed="false">
      <c r="A365" s="5" t="s">
        <v>508</v>
      </c>
      <c r="B365" s="0" t="s">
        <v>29</v>
      </c>
      <c r="C365" s="11" t="n">
        <f aca="false">tl25*(1-w_tlai)</f>
        <v>66.3434641935484</v>
      </c>
      <c r="D365" s="11" t="n">
        <f aca="false">C365*(1+g_tl)</f>
        <v>69.6606374032258</v>
      </c>
      <c r="E365" s="11" t="n">
        <f aca="false">D365*(1+g_tl)</f>
        <v>73.1436692733871</v>
      </c>
      <c r="F365" s="11" t="n">
        <f aca="false">E365*(1+g_tl)</f>
        <v>76.8008527370565</v>
      </c>
      <c r="G365" s="11" t="n">
        <f aca="false">F365*(1+g_tl)</f>
        <v>80.6408953739093</v>
      </c>
    </row>
    <row r="366" customFormat="false" ht="15" hidden="false" customHeight="false" outlineLevel="0" collapsed="false">
      <c r="A366" s="5" t="s">
        <v>509</v>
      </c>
      <c r="B366" s="0" t="s">
        <v>29</v>
      </c>
      <c r="C366" s="11" t="n">
        <f aca="false">C364+C365</f>
        <v>91.74669</v>
      </c>
      <c r="D366" s="11" t="n">
        <f aca="false">D364+D365</f>
        <v>111.629861586276</v>
      </c>
      <c r="E366" s="11" t="n">
        <f aca="false">E364+E365</f>
        <v>137.170342330997</v>
      </c>
      <c r="F366" s="11" t="n">
        <f aca="false">F364+F365</f>
        <v>156.493588403301</v>
      </c>
      <c r="G366" s="11" t="n">
        <f aca="false">G364+G365</f>
        <v>171.86246434589</v>
      </c>
    </row>
    <row r="367" customFormat="false" ht="15" hidden="false" customHeight="false" outlineLevel="0" collapsed="false">
      <c r="A367" s="5" t="s">
        <v>393</v>
      </c>
      <c r="B367" s="0" t="s">
        <v>29</v>
      </c>
      <c r="C367" s="11" t="n">
        <f aca="false">r_ot*(C362+C366)</f>
        <v>74.27113</v>
      </c>
      <c r="D367" s="11" t="n">
        <f aca="false">r_ot*(D362+D366)</f>
        <v>86.1312828936558</v>
      </c>
      <c r="E367" s="11" t="n">
        <f aca="false">r_ot*(E362+E366)</f>
        <v>91.0519204635813</v>
      </c>
      <c r="F367" s="11" t="n">
        <f aca="false">r_ot*(F362+F366)</f>
        <v>95.5981562964993</v>
      </c>
      <c r="G367" s="11" t="n">
        <f aca="false">r_ot*(G362+G366)</f>
        <v>97.8610985160824</v>
      </c>
    </row>
    <row r="368" customFormat="false" ht="15" hidden="false" customHeight="false" outlineLevel="0" collapsed="false">
      <c r="A368" s="5" t="s">
        <v>363</v>
      </c>
      <c r="B368" s="0" t="s">
        <v>29</v>
      </c>
      <c r="C368" s="11" t="n">
        <f aca="false">C362+C366+C367</f>
        <v>436.889</v>
      </c>
      <c r="D368" s="11" t="n">
        <f aca="false">D362+D366+D367</f>
        <v>506.654605256799</v>
      </c>
      <c r="E368" s="11" t="n">
        <f aca="false">E362+E366+E367</f>
        <v>535.599532138714</v>
      </c>
      <c r="F368" s="11" t="n">
        <f aca="false">F362+F366+F367</f>
        <v>562.34209586176</v>
      </c>
      <c r="G368" s="11" t="n">
        <f aca="false">G362+G366+G367</f>
        <v>575.653520682837</v>
      </c>
    </row>
    <row r="369" customFormat="false" ht="17.15" hidden="false" customHeight="false" outlineLevel="0" collapsed="false">
      <c r="A369" s="0" t="s">
        <v>510</v>
      </c>
      <c r="B369" s="0" t="s">
        <v>56</v>
      </c>
      <c r="C369" s="14" t="n">
        <f aca="false">(C360+C364)*(1+r_ot)/C368</f>
        <v>0.276884384673187</v>
      </c>
      <c r="D369" s="14" t="n">
        <f aca="false">(D360+D364)*(1+r_ot)/D368</f>
        <v>0.340621379463522</v>
      </c>
      <c r="E369" s="14" t="n">
        <f aca="false">(E360+E364)*(1+r_ot)/E368</f>
        <v>0.340397924945617</v>
      </c>
      <c r="F369" s="14" t="n">
        <f aca="false">(F360+F364)*(1+r_ot)/F368</f>
        <v>0.335638803698747</v>
      </c>
      <c r="G369" s="14" t="n">
        <f aca="false">(G360+G364)*(1+r_ot)/G368</f>
        <v>0.313669007631366</v>
      </c>
    </row>
    <row r="370" customFormat="false" ht="17.15" hidden="false" customHeight="false" outlineLevel="0" collapsed="false">
      <c r="A370" s="0" t="s">
        <v>511</v>
      </c>
      <c r="B370" s="0" t="s">
        <v>56</v>
      </c>
      <c r="C370" s="14" t="n">
        <f aca="false">C360*(1+r_ot)/C368</f>
        <v>0.206829299394429</v>
      </c>
      <c r="D370" s="14" t="n">
        <f aca="false">D360*(1+r_ot)/D368</f>
        <v>0.24081900953264</v>
      </c>
      <c r="E370" s="14" t="n">
        <f aca="false">E360*(1+r_ot)/E368</f>
        <v>0.196371342919125</v>
      </c>
      <c r="F370" s="14" t="n">
        <f aca="false">F360*(1+r_ot)/F368</f>
        <v>0.164896928098878</v>
      </c>
      <c r="G370" s="14" t="n">
        <f aca="false">G360*(1+r_ot)/G368</f>
        <v>0.12274599433137</v>
      </c>
      <c r="J370" s="5" t="s">
        <v>512</v>
      </c>
    </row>
    <row r="371" customFormat="false" ht="17.15" hidden="false" customHeight="false" outlineLevel="0" collapsed="false">
      <c r="A371" s="5" t="s">
        <v>401</v>
      </c>
      <c r="B371" s="0" t="s">
        <v>56</v>
      </c>
      <c r="C371" s="14" t="n">
        <f aca="false">a25_gp/a25_rev</f>
        <v>0.701498549974936</v>
      </c>
      <c r="D371" s="14" t="n">
        <f aca="false">gm_a+gm_b*LN(D368)+0</f>
        <v>0.719317120961877</v>
      </c>
      <c r="E371" s="14" t="n">
        <f aca="false">gm_a+gm_b*LN(E368)+0</f>
        <v>0.725640974897575</v>
      </c>
      <c r="F371" s="14" t="n">
        <f aca="false">gm_a+gm_b*LN(F368)+0</f>
        <v>0.731186989478752</v>
      </c>
      <c r="G371" s="14" t="n">
        <f aca="false">gm_a+gm_b*LN(G368)+0</f>
        <v>0.733850013455911</v>
      </c>
      <c r="J371" s="8" t="s">
        <v>513</v>
      </c>
    </row>
    <row r="372" customFormat="false" ht="15" hidden="false" customHeight="false" outlineLevel="0" collapsed="false">
      <c r="A372" s="5" t="s">
        <v>398</v>
      </c>
      <c r="B372" s="0" t="s">
        <v>29</v>
      </c>
      <c r="C372" s="11" t="n">
        <f aca="false">C368*C371</f>
        <v>306.477</v>
      </c>
      <c r="D372" s="11" t="n">
        <f aca="false">D368*D371</f>
        <v>364.445331975397</v>
      </c>
      <c r="E372" s="11" t="n">
        <f aca="false">E368*E371</f>
        <v>388.652966655821</v>
      </c>
      <c r="F372" s="11" t="n">
        <f aca="false">F368*F371</f>
        <v>411.177224130332</v>
      </c>
      <c r="G372" s="11" t="n">
        <f aca="false">G368*G371</f>
        <v>422.443343899043</v>
      </c>
    </row>
    <row r="373" customFormat="false" ht="17.15" hidden="false" customHeight="false" outlineLevel="0" collapsed="false">
      <c r="A373" s="5" t="s">
        <v>399</v>
      </c>
      <c r="B373" s="0" t="s">
        <v>29</v>
      </c>
      <c r="C373" s="11" t="n">
        <f aca="false">a25_sga</f>
        <v>121.487</v>
      </c>
      <c r="D373" s="11" t="n">
        <f aca="false">sg_f+sg_v*D368</f>
        <v>135.986262376017</v>
      </c>
      <c r="E373" s="11" t="n">
        <f aca="false">sg_f+sg_v*E368</f>
        <v>143.291007725896</v>
      </c>
      <c r="F373" s="11" t="n">
        <f aca="false">sg_f+sg_v*F368</f>
        <v>150.039949217326</v>
      </c>
      <c r="G373" s="11" t="n">
        <f aca="false">sg_f+sg_v*G368</f>
        <v>153.399314019272</v>
      </c>
      <c r="J373" s="5" t="s">
        <v>514</v>
      </c>
    </row>
    <row r="374" customFormat="false" ht="15" hidden="false" customHeight="false" outlineLevel="0" collapsed="false">
      <c r="A374" s="5" t="s">
        <v>367</v>
      </c>
      <c r="B374" s="0" t="s">
        <v>29</v>
      </c>
      <c r="C374" s="11" t="n">
        <f aca="false">C372-C373</f>
        <v>184.99</v>
      </c>
      <c r="D374" s="11" t="n">
        <f aca="false">D372-D373</f>
        <v>228.45906959938</v>
      </c>
      <c r="E374" s="11" t="n">
        <f aca="false">E372-E373</f>
        <v>245.361958929926</v>
      </c>
      <c r="F374" s="11" t="n">
        <f aca="false">F372-F373</f>
        <v>261.137274913007</v>
      </c>
      <c r="G374" s="11" t="n">
        <f aca="false">G372-G373</f>
        <v>269.04402987977</v>
      </c>
    </row>
    <row r="375" customFormat="false" ht="15" hidden="false" customHeight="false" outlineLevel="0" collapsed="false">
      <c r="A375" s="5" t="s">
        <v>515</v>
      </c>
      <c r="B375" s="0" t="s">
        <v>56</v>
      </c>
      <c r="C375" s="14" t="n">
        <f aca="false">C374/C368</f>
        <v>0.423425629851061</v>
      </c>
      <c r="D375" s="14" t="n">
        <f aca="false">D374/D368</f>
        <v>0.450916792680854</v>
      </c>
      <c r="E375" s="14" t="n">
        <f aca="false">E374/E368</f>
        <v>0.458107119605138</v>
      </c>
      <c r="F375" s="14" t="n">
        <f aca="false">F374/F368</f>
        <v>0.464374402760702</v>
      </c>
      <c r="G375" s="14" t="n">
        <f aca="false">G374/G368</f>
        <v>0.467371466017669</v>
      </c>
    </row>
    <row r="376" customFormat="false" ht="15" hidden="false" customHeight="false" outlineLevel="0" collapsed="false">
      <c r="A376" s="5" t="s">
        <v>370</v>
      </c>
      <c r="B376" s="0" t="s">
        <v>29</v>
      </c>
      <c r="C376" s="11" t="n">
        <f aca="false">a25_ni</f>
        <v>135.521</v>
      </c>
      <c r="D376" s="11" t="n">
        <f aca="false">D374*nioi</f>
        <v>167.36671678412</v>
      </c>
      <c r="E376" s="11" t="n">
        <f aca="false">E374*nioi</f>
        <v>179.749596117296</v>
      </c>
      <c r="F376" s="11" t="n">
        <f aca="false">F374*nioi</f>
        <v>191.306427049638</v>
      </c>
      <c r="G376" s="11" t="n">
        <f aca="false">G374*nioi</f>
        <v>197.098832759442</v>
      </c>
    </row>
    <row r="377" customFormat="false" ht="15" hidden="false" customHeight="false" outlineLevel="0" collapsed="false">
      <c r="A377" s="0" t="s">
        <v>459</v>
      </c>
      <c r="B377" s="0" t="s">
        <v>51</v>
      </c>
      <c r="C377" s="11" t="n">
        <f aca="false">a25_eps</f>
        <v>1249.84</v>
      </c>
      <c r="D377" s="11" t="n">
        <f aca="false">D376*1000/shares</f>
        <v>1542.82224887278</v>
      </c>
      <c r="E377" s="11" t="n">
        <f aca="false">E376*1000/shares</f>
        <v>1656.97028324554</v>
      </c>
      <c r="F377" s="11" t="n">
        <f aca="false">F376*1000/shares</f>
        <v>1763.50362650206</v>
      </c>
      <c r="G377" s="11" t="n">
        <f aca="false">G376*1000/shares</f>
        <v>1816.89926319313</v>
      </c>
    </row>
    <row r="378" customFormat="false" ht="17.15" hidden="false" customHeight="false" outlineLevel="0" collapsed="false">
      <c r="A378" s="5" t="s">
        <v>516</v>
      </c>
      <c r="B378" s="0" t="s">
        <v>29</v>
      </c>
      <c r="C378" s="16" t="n">
        <f aca="false">ABS(C368-a25_rev)+ABS(C374-a25_oi)</f>
        <v>0.000999999999976353</v>
      </c>
    </row>
    <row r="380" customFormat="false" ht="17.15" hidden="false" customHeight="false" outlineLevel="0" collapsed="false">
      <c r="A380" s="3" t="s">
        <v>719</v>
      </c>
    </row>
    <row r="381" customFormat="false" ht="17.15" hidden="false" customHeight="false" outlineLevel="0" collapsed="false">
      <c r="A381" s="6" t="s">
        <v>18</v>
      </c>
      <c r="B381" s="6" t="s">
        <v>19</v>
      </c>
      <c r="C381" s="9" t="s">
        <v>464</v>
      </c>
      <c r="D381" s="9" t="s">
        <v>465</v>
      </c>
      <c r="E381" s="9" t="s">
        <v>466</v>
      </c>
      <c r="F381" s="9" t="s">
        <v>467</v>
      </c>
      <c r="G381" s="9" t="s">
        <v>468</v>
      </c>
      <c r="H381" s="9" t="s">
        <v>469</v>
      </c>
      <c r="I381" s="9" t="s">
        <v>470</v>
      </c>
      <c r="J381" s="6" t="s">
        <v>450</v>
      </c>
    </row>
    <row r="382" customFormat="false" ht="17.15" hidden="false" customHeight="false" outlineLevel="0" collapsed="false">
      <c r="A382" s="1" t="s">
        <v>471</v>
      </c>
    </row>
    <row r="383" customFormat="false" ht="17.15" hidden="false" customHeight="false" outlineLevel="0" collapsed="false">
      <c r="A383" s="0" t="s">
        <v>472</v>
      </c>
      <c r="B383" s="0" t="s">
        <v>96</v>
      </c>
      <c r="C383" s="19" t="n">
        <f aca="false">hsA_25</f>
        <v>2.22511470588235</v>
      </c>
      <c r="D383" s="19" t="n">
        <f aca="false">hsA_26</f>
        <v>3.782695</v>
      </c>
      <c r="E383" s="19" t="n">
        <f aca="false">hsA_27</f>
        <v>5.86317725</v>
      </c>
      <c r="F383" s="19" t="n">
        <f aca="false">hsA_28</f>
        <v>8.5016070125</v>
      </c>
      <c r="G383" s="19" t="n">
        <f aca="false">hsA_29</f>
        <v>11.477169466875</v>
      </c>
      <c r="H383" s="19" t="n">
        <f aca="false">G383*(1+g_tail)</f>
        <v>12.6248864135625</v>
      </c>
      <c r="I383" s="19" t="n">
        <f aca="false">H383*(1+g_tail)</f>
        <v>13.8873750549188</v>
      </c>
      <c r="J383" s="8" t="s">
        <v>473</v>
      </c>
    </row>
    <row r="384" customFormat="false" ht="17.15" hidden="false" customHeight="false" outlineLevel="0" collapsed="false">
      <c r="A384" s="0" t="s">
        <v>474</v>
      </c>
      <c r="B384" s="0" t="s">
        <v>475</v>
      </c>
      <c r="C384" s="19" t="n">
        <f aca="false">den_25</f>
        <v>24</v>
      </c>
      <c r="D384" s="19" t="n">
        <f aca="false">den_26</f>
        <v>24</v>
      </c>
      <c r="E384" s="19" t="n">
        <f aca="false">den_27</f>
        <v>26</v>
      </c>
      <c r="F384" s="19" t="n">
        <f aca="false">den_28</f>
        <v>28</v>
      </c>
      <c r="G384" s="19" t="n">
        <f aca="false">den_29</f>
        <v>30</v>
      </c>
      <c r="H384" s="19" t="n">
        <f aca="false">den_30</f>
        <v>32</v>
      </c>
      <c r="I384" s="19" t="n">
        <f aca="false">den_30</f>
        <v>32</v>
      </c>
    </row>
    <row r="385" customFormat="false" ht="15" hidden="false" customHeight="false" outlineLevel="0" collapsed="false">
      <c r="A385" s="5" t="s">
        <v>476</v>
      </c>
      <c r="B385" s="5" t="s">
        <v>148</v>
      </c>
      <c r="C385" s="19" t="n">
        <f aca="false">stk_25</f>
        <v>10</v>
      </c>
      <c r="D385" s="19" t="n">
        <f aca="false">stk_26</f>
        <v>12</v>
      </c>
      <c r="E385" s="19" t="n">
        <f aca="false">stk_27</f>
        <v>12.5</v>
      </c>
      <c r="F385" s="19" t="n">
        <f aca="false">stk_28</f>
        <v>14</v>
      </c>
      <c r="G385" s="19" t="n">
        <f aca="false">stk_29</f>
        <v>15</v>
      </c>
      <c r="H385" s="19" t="n">
        <f aca="false">stk_30</f>
        <v>16</v>
      </c>
      <c r="I385" s="19" t="n">
        <f aca="false">stk_30</f>
        <v>16</v>
      </c>
    </row>
    <row r="386" customFormat="false" ht="17.15" hidden="false" customHeight="false" outlineLevel="0" collapsed="false">
      <c r="A386" s="0" t="s">
        <v>477</v>
      </c>
      <c r="B386" s="5" t="s">
        <v>478</v>
      </c>
      <c r="C386" s="19" t="n">
        <f aca="false">C383*8/C384</f>
        <v>0.741704901960783</v>
      </c>
      <c r="D386" s="19" t="n">
        <f aca="false">D383*8/D384</f>
        <v>1.26089833333333</v>
      </c>
      <c r="E386" s="19" t="n">
        <f aca="false">E383*8/E384</f>
        <v>1.80405453846154</v>
      </c>
      <c r="F386" s="19" t="n">
        <f aca="false">F383*8/F384</f>
        <v>2.429030575</v>
      </c>
      <c r="G386" s="19" t="n">
        <f aca="false">G383*8/G384</f>
        <v>3.0605785245</v>
      </c>
      <c r="H386" s="19" t="n">
        <f aca="false">H383*8/H384</f>
        <v>3.15622160339063</v>
      </c>
      <c r="I386" s="19" t="n">
        <f aca="false">I383*8/I384</f>
        <v>3.47184376372969</v>
      </c>
      <c r="J386" s="8" t="s">
        <v>479</v>
      </c>
    </row>
    <row r="387" customFormat="false" ht="17.15" hidden="false" customHeight="false" outlineLevel="0" collapsed="false">
      <c r="A387" s="0" t="s">
        <v>480</v>
      </c>
      <c r="B387" s="5" t="s">
        <v>481</v>
      </c>
      <c r="C387" s="19" t="n">
        <f aca="false">C386*(1+s_stk/C385)</f>
        <v>0.964216372549018</v>
      </c>
      <c r="D387" s="19" t="n">
        <f aca="false">D386*(1+s_stk/D385)</f>
        <v>1.57612291666667</v>
      </c>
      <c r="E387" s="19" t="n">
        <f aca="false">E386*(1+s_stk/E385)</f>
        <v>2.23702762769231</v>
      </c>
      <c r="F387" s="19" t="n">
        <f aca="false">F386*(1+s_stk/F385)</f>
        <v>2.94953712678571</v>
      </c>
      <c r="G387" s="19" t="n">
        <f aca="false">G386*(1+s_stk/G385)</f>
        <v>3.6726942294</v>
      </c>
      <c r="H387" s="19" t="n">
        <f aca="false">H386*(1+s_stk/H385)</f>
        <v>3.74801315402637</v>
      </c>
      <c r="I387" s="19" t="n">
        <f aca="false">I386*(1+s_stk/I385)</f>
        <v>4.12281446942901</v>
      </c>
      <c r="J387" s="5" t="s">
        <v>482</v>
      </c>
    </row>
    <row r="388" customFormat="false" ht="17.15" hidden="false" customHeight="false" outlineLevel="0" collapsed="false">
      <c r="A388" s="5" t="s">
        <v>483</v>
      </c>
      <c r="B388" s="0" t="s">
        <v>56</v>
      </c>
      <c r="C388" s="22" t="n">
        <f aca="false">hbp_25*hb_on</f>
        <v>0</v>
      </c>
      <c r="D388" s="22" t="n">
        <f aca="false">hbp_26*hb_on</f>
        <v>0</v>
      </c>
      <c r="E388" s="22" t="n">
        <f aca="false">hbp_27*hb_on</f>
        <v>0</v>
      </c>
      <c r="F388" s="22" t="n">
        <f aca="false">hbp_28*hb_on</f>
        <v>0.05</v>
      </c>
      <c r="G388" s="22" t="n">
        <f aca="false">hbp_29*hb_on</f>
        <v>0.15</v>
      </c>
      <c r="H388" s="22" t="n">
        <f aca="false">hbp_30*hb_on</f>
        <v>0.25</v>
      </c>
      <c r="I388" s="22" t="n">
        <f aca="false">hbp_30*hb_on</f>
        <v>0.25</v>
      </c>
    </row>
    <row r="389" customFormat="false" ht="17.15" hidden="false" customHeight="false" outlineLevel="0" collapsed="false">
      <c r="A389" s="0" t="s">
        <v>484</v>
      </c>
      <c r="B389" s="5" t="s">
        <v>481</v>
      </c>
      <c r="C389" s="19" t="n">
        <f aca="false">C387*(1+C388*hb_eff_hi)</f>
        <v>0.964216372549018</v>
      </c>
      <c r="D389" s="19" t="n">
        <f aca="false">D387*(1+D388*hb_eff_hi)</f>
        <v>1.57612291666667</v>
      </c>
      <c r="E389" s="19" t="n">
        <f aca="false">E387*(1+E388*hb_eff_hi)</f>
        <v>2.23702762769231</v>
      </c>
      <c r="F389" s="19" t="n">
        <f aca="false">F387*(1+F388*hb_eff_hi)</f>
        <v>2.9937801836875</v>
      </c>
      <c r="G389" s="19" t="n">
        <f aca="false">G387*(1+G388*hb_eff_hi)</f>
        <v>3.837965469723</v>
      </c>
      <c r="H389" s="19" t="n">
        <f aca="false">H387*(1+H388*hb_eff_hi)</f>
        <v>4.02911414057835</v>
      </c>
      <c r="I389" s="19" t="n">
        <f aca="false">I387*(1+I388*hb_eff_hi)</f>
        <v>4.43202555463618</v>
      </c>
      <c r="J389" s="5" t="s">
        <v>485</v>
      </c>
    </row>
    <row r="390" customFormat="false" ht="17.15" hidden="false" customHeight="false" outlineLevel="0" collapsed="false">
      <c r="A390" s="0" t="s">
        <v>486</v>
      </c>
      <c r="B390" s="5" t="s">
        <v>481</v>
      </c>
      <c r="C390" s="19" t="n">
        <f aca="false">MAX(0,D389-C389)+dlt*C389</f>
        <v>0.70832818137255</v>
      </c>
      <c r="D390" s="19" t="n">
        <f aca="false">MAX(0,E389-D389)+dlt*D389</f>
        <v>0.818517002692307</v>
      </c>
      <c r="E390" s="19" t="n">
        <f aca="false">MAX(0,F389-E389)+dlt*E389</f>
        <v>0.980455318764423</v>
      </c>
      <c r="F390" s="19" t="n">
        <f aca="false">MAX(0,G389-F389)+dlt*F389</f>
        <v>1.14356330440425</v>
      </c>
      <c r="G390" s="19" t="n">
        <f aca="false">MAX(0,H389-G389)+dlt*G389</f>
        <v>0.574945217827645</v>
      </c>
      <c r="H390" s="19" t="n">
        <f aca="false">MAX(0,I389-H389)+dlt*H389</f>
        <v>0.805822828115669</v>
      </c>
      <c r="J390" s="5" t="s">
        <v>487</v>
      </c>
    </row>
    <row r="391" customFormat="false" ht="17.15" hidden="false" customHeight="false" outlineLevel="0" collapsed="false">
      <c r="A391" s="0" t="s">
        <v>488</v>
      </c>
      <c r="B391" s="5" t="s">
        <v>177</v>
      </c>
      <c r="C391" s="21" t="n">
        <f aca="false">cw_25</f>
        <v>670</v>
      </c>
      <c r="D391" s="21" t="n">
        <f aca="false">cw_26</f>
        <v>1107.85762580894</v>
      </c>
      <c r="E391" s="21" t="n">
        <f aca="false">cw_27</f>
        <v>2096.42857142857</v>
      </c>
      <c r="F391" s="21" t="n">
        <f aca="false">cw_28*um28_A</f>
        <v>2620.08928571429</v>
      </c>
      <c r="G391" s="21" t="n">
        <f aca="false">cw_29*um29_A</f>
        <v>3013.32589285714</v>
      </c>
      <c r="H391" s="21" t="n">
        <f aca="false">G391*(1+g_tail)</f>
        <v>3314.65848214285</v>
      </c>
      <c r="I391" s="21" t="n">
        <f aca="false">H391*(1+g_tail)</f>
        <v>3646.12433035714</v>
      </c>
      <c r="J391" s="5" t="s">
        <v>489</v>
      </c>
    </row>
    <row r="392" customFormat="false" ht="15" hidden="false" customHeight="false" outlineLevel="0" collapsed="false">
      <c r="A392" s="5" t="s">
        <v>490</v>
      </c>
      <c r="B392" s="5" t="s">
        <v>177</v>
      </c>
      <c r="C392" s="21" t="n">
        <f aca="false">MAX(0,D391-C391)+dlt*C391</f>
        <v>504.85762580894</v>
      </c>
      <c r="D392" s="21" t="n">
        <f aca="false">MAX(0,E391-D391)+dlt*D391</f>
        <v>1099.35670820052</v>
      </c>
      <c r="E392" s="21" t="n">
        <f aca="false">MAX(0,F391-E391)+dlt*E391</f>
        <v>733.303571428577</v>
      </c>
      <c r="F392" s="21" t="n">
        <f aca="false">MAX(0,G391-F391)+dlt*F391</f>
        <v>655.245535714279</v>
      </c>
      <c r="G392" s="21" t="n">
        <f aca="false">MAX(0,H391-G391)+dlt*G391</f>
        <v>602.665178571428</v>
      </c>
      <c r="H392" s="21" t="n">
        <f aca="false">MAX(0,I391-H391)+dlt*H391</f>
        <v>662.931696428571</v>
      </c>
    </row>
    <row r="393" customFormat="false" ht="17.15" hidden="false" customHeight="false" outlineLevel="0" collapsed="false">
      <c r="A393" s="1" t="s">
        <v>491</v>
      </c>
    </row>
    <row r="394" customFormat="false" ht="17.15" hidden="false" customHeight="false" outlineLevel="0" collapsed="false">
      <c r="A394" s="0" t="s">
        <v>492</v>
      </c>
      <c r="B394" s="0" t="s">
        <v>493</v>
      </c>
      <c r="C394" s="16" t="n">
        <f aca="false">ai25*w_hbm/(0.75*C390+0.25*D390)</f>
        <v>48.9213264236471</v>
      </c>
      <c r="J394" s="5" t="s">
        <v>494</v>
      </c>
    </row>
    <row r="395" customFormat="false" ht="17.15" hidden="false" customHeight="false" outlineLevel="0" collapsed="false">
      <c r="A395" s="5" t="s">
        <v>495</v>
      </c>
      <c r="B395" s="0" t="s">
        <v>496</v>
      </c>
      <c r="C395" s="18" t="n">
        <f aca="false">ai25*(1-w_hbm)/(0.75*C392+0.25*D392)</f>
        <v>0.0596802610360141</v>
      </c>
    </row>
    <row r="396" customFormat="false" ht="17.15" hidden="false" customHeight="false" outlineLevel="0" collapsed="false">
      <c r="A396" s="1" t="s">
        <v>497</v>
      </c>
    </row>
    <row r="397" customFormat="false" ht="17.15" hidden="false" customHeight="false" outlineLevel="0" collapsed="false">
      <c r="A397" s="5" t="s">
        <v>498</v>
      </c>
      <c r="B397" s="0" t="s">
        <v>76</v>
      </c>
      <c r="C397" s="16" t="n">
        <f aca="false">1-sh_loss/sh*0</f>
        <v>1</v>
      </c>
      <c r="D397" s="16" t="n">
        <f aca="false">1-sh_loss/sh*0.25</f>
        <v>1</v>
      </c>
      <c r="E397" s="16" t="n">
        <f aca="false">1-sh_loss/sh*0.5</f>
        <v>1</v>
      </c>
      <c r="F397" s="16" t="n">
        <f aca="false">1-sh_loss/sh*0.75</f>
        <v>1</v>
      </c>
      <c r="G397" s="16" t="n">
        <f aca="false">1-sh_loss/sh*1</f>
        <v>1</v>
      </c>
    </row>
    <row r="398" customFormat="false" ht="17.15" hidden="false" customHeight="false" outlineLevel="0" collapsed="false">
      <c r="A398" s="0" t="s">
        <v>499</v>
      </c>
      <c r="B398" s="0" t="s">
        <v>29</v>
      </c>
      <c r="C398" s="11" t="n">
        <f aca="false">$C$394*(0.75*C390+0.25*D390)*C397</f>
        <v>36</v>
      </c>
      <c r="D398" s="11" t="n">
        <f aca="false">$C$394*(0.75*D390+0.25*E390)*D397</f>
        <v>42.0234967772805</v>
      </c>
      <c r="E398" s="11" t="n">
        <f aca="false">$C$394*(0.75*E390+0.25*F390)*E397</f>
        <v>49.9600394450226</v>
      </c>
      <c r="F398" s="11" t="n">
        <f aca="false">$C$394*(0.75*F390+0.25*G390)*F397</f>
        <v>48.9902459449139</v>
      </c>
      <c r="G398" s="11" t="n">
        <f aca="false">$C$394*(0.75*G390+0.25*H390)*G397</f>
        <v>30.9507924112641</v>
      </c>
    </row>
    <row r="399" customFormat="false" ht="17.15" hidden="false" customHeight="false" outlineLevel="0" collapsed="false">
      <c r="A399" s="5" t="s">
        <v>500</v>
      </c>
      <c r="B399" s="0" t="s">
        <v>29</v>
      </c>
      <c r="C399" s="11" t="n">
        <f aca="false">$C$395*(0.75*C392+0.25*D392)*C397</f>
        <v>39</v>
      </c>
      <c r="D399" s="11" t="n">
        <f aca="false">$C$395*(0.75*D392+0.25*E392)*D397</f>
        <v>60.1483586282001</v>
      </c>
      <c r="E399" s="11" t="n">
        <f aca="false">$C$395*(0.75*E392+0.25*F392)*E397</f>
        <v>42.5991175746519</v>
      </c>
      <c r="F399" s="11" t="n">
        <f aca="false">$C$395*(0.75*F392+0.25*G392)*F397</f>
        <v>38.320722254198</v>
      </c>
      <c r="G399" s="11" t="n">
        <f aca="false">$C$395*(0.75*G392+0.25*H392)*G397</f>
        <v>36.8663955538204</v>
      </c>
    </row>
    <row r="400" customFormat="false" ht="17.15" hidden="false" customHeight="false" outlineLevel="0" collapsed="false">
      <c r="A400" s="0" t="s">
        <v>501</v>
      </c>
      <c r="B400" s="0" t="s">
        <v>29</v>
      </c>
      <c r="C400" s="11" t="n">
        <f aca="false">C398+C399</f>
        <v>75</v>
      </c>
      <c r="D400" s="11" t="n">
        <f aca="false">D398+D399</f>
        <v>102.171855405481</v>
      </c>
      <c r="E400" s="11" t="n">
        <f aca="false">E398+E399</f>
        <v>92.5591570196746</v>
      </c>
      <c r="F400" s="11" t="n">
        <f aca="false">F398+F399</f>
        <v>87.3109681991119</v>
      </c>
      <c r="G400" s="11" t="n">
        <f aca="false">G398+G399</f>
        <v>67.8171879650844</v>
      </c>
    </row>
    <row r="401" customFormat="false" ht="17.15" hidden="false" customHeight="false" outlineLevel="0" collapsed="false">
      <c r="A401" s="5" t="s">
        <v>502</v>
      </c>
      <c r="B401" s="0" t="s">
        <v>29</v>
      </c>
      <c r="C401" s="11" t="n">
        <f aca="false">eq25-ai25</f>
        <v>195.87118</v>
      </c>
      <c r="D401" s="11" t="n">
        <f aca="false">C401*(1+g_non)*D397/C397</f>
        <v>207.6234508</v>
      </c>
      <c r="E401" s="11" t="n">
        <f aca="false">D401*(1+g_non)*E397/D397</f>
        <v>220.080857848</v>
      </c>
      <c r="F401" s="11" t="n">
        <f aca="false">E401*(1+g_non)*F397/E397</f>
        <v>233.28570931888</v>
      </c>
      <c r="G401" s="11" t="n">
        <f aca="false">F401*(1+g_non)*G397/F397</f>
        <v>247.282851878013</v>
      </c>
    </row>
    <row r="402" customFormat="false" ht="15" hidden="false" customHeight="false" outlineLevel="0" collapsed="false">
      <c r="A402" s="5" t="s">
        <v>503</v>
      </c>
      <c r="B402" s="0" t="s">
        <v>29</v>
      </c>
      <c r="C402" s="11" t="n">
        <f aca="false">C400+C401</f>
        <v>270.87118</v>
      </c>
      <c r="D402" s="11" t="n">
        <f aca="false">D400+D401</f>
        <v>309.795306205481</v>
      </c>
      <c r="E402" s="11" t="n">
        <f aca="false">E400+E401</f>
        <v>312.640014867675</v>
      </c>
      <c r="F402" s="11" t="n">
        <f aca="false">F400+F401</f>
        <v>320.596677517992</v>
      </c>
      <c r="G402" s="11" t="n">
        <f aca="false">G400+G401</f>
        <v>315.100039843097</v>
      </c>
    </row>
    <row r="403" customFormat="false" ht="17.15" hidden="false" customHeight="false" outlineLevel="0" collapsed="false">
      <c r="A403" s="0" t="s">
        <v>504</v>
      </c>
      <c r="B403" s="0" t="s">
        <v>76</v>
      </c>
      <c r="C403" s="19" t="n">
        <f aca="false">w_hbm*(0.75*C389+0.25*D389)/(0.75*C389+0.25*D389)+(1-w_hbm)*(0.75*C391+0.25*D391)/(0.75*C391+0.25*D391)</f>
        <v>1</v>
      </c>
      <c r="D403" s="19" t="n">
        <f aca="false">w_hbm*(0.75*D389+0.25*E389)/(0.75*C389+0.25*D389)+(1-w_hbm)*(0.75*D391+0.25*E391)/(0.75*C391+0.25*D391)</f>
        <v>1.65212184085657</v>
      </c>
      <c r="E403" s="19" t="n">
        <f aca="false">w_hbm*(0.75*E389+0.25*F389)/(0.75*C389+0.25*D389)+(1-w_hbm)*(0.75*E391+0.25*F391)/(0.75*C391+0.25*D391)</f>
        <v>2.5283354627027</v>
      </c>
      <c r="F403" s="19" t="n">
        <f aca="false">w_hbm*(0.75*F389+0.25*G389)/(0.75*C389+0.25*D389)+(1-w_hbm)*(0.75*F391+0.25*G391)/(0.75*C391+0.25*D391)</f>
        <v>3.19045892660672</v>
      </c>
      <c r="G403" s="19" t="n">
        <f aca="false">w_hbm*(0.75*G389+0.25*H389)/(0.75*C389+0.25*D389)+(1-w_hbm)*(0.75*G391+0.25*H391)/(0.75*C391+0.25*D391)</f>
        <v>3.73002764815931</v>
      </c>
      <c r="J403" s="8" t="s">
        <v>505</v>
      </c>
    </row>
    <row r="404" customFormat="false" ht="17.15" hidden="false" customHeight="false" outlineLevel="0" collapsed="false">
      <c r="A404" s="0" t="s">
        <v>506</v>
      </c>
      <c r="B404" s="0" t="s">
        <v>29</v>
      </c>
      <c r="C404" s="11" t="n">
        <f aca="false">tl25*w_tlai*C403</f>
        <v>25.4032258064516</v>
      </c>
      <c r="D404" s="11" t="n">
        <f aca="false">tl25*w_tlai*D403</f>
        <v>41.9692241830499</v>
      </c>
      <c r="E404" s="11" t="n">
        <f aca="false">tl25*w_tlai*E403</f>
        <v>64.2278766734959</v>
      </c>
      <c r="F404" s="11" t="n">
        <f aca="false">tl25*w_tlai*F403</f>
        <v>81.0479485387997</v>
      </c>
      <c r="G404" s="11" t="n">
        <f aca="false">tl25*w_tlai*G403</f>
        <v>94.7547346104985</v>
      </c>
      <c r="J404" s="5" t="s">
        <v>507</v>
      </c>
    </row>
    <row r="405" customFormat="false" ht="17.15" hidden="false" customHeight="false" outlineLevel="0" collapsed="false">
      <c r="A405" s="5" t="s">
        <v>508</v>
      </c>
      <c r="B405" s="0" t="s">
        <v>29</v>
      </c>
      <c r="C405" s="11" t="n">
        <f aca="false">tl25*(1-w_tlai)</f>
        <v>66.3434641935484</v>
      </c>
      <c r="D405" s="11" t="n">
        <f aca="false">C405*(1+g_tl)</f>
        <v>69.6606374032258</v>
      </c>
      <c r="E405" s="11" t="n">
        <f aca="false">D405*(1+g_tl)</f>
        <v>73.1436692733871</v>
      </c>
      <c r="F405" s="11" t="n">
        <f aca="false">E405*(1+g_tl)</f>
        <v>76.8008527370565</v>
      </c>
      <c r="G405" s="11" t="n">
        <f aca="false">F405*(1+g_tl)</f>
        <v>80.6408953739093</v>
      </c>
    </row>
    <row r="406" customFormat="false" ht="15" hidden="false" customHeight="false" outlineLevel="0" collapsed="false">
      <c r="A406" s="5" t="s">
        <v>509</v>
      </c>
      <c r="B406" s="0" t="s">
        <v>29</v>
      </c>
      <c r="C406" s="11" t="n">
        <f aca="false">C404+C405</f>
        <v>91.74669</v>
      </c>
      <c r="D406" s="11" t="n">
        <f aca="false">D404+D405</f>
        <v>111.629861586276</v>
      </c>
      <c r="E406" s="11" t="n">
        <f aca="false">E404+E405</f>
        <v>137.371545946883</v>
      </c>
      <c r="F406" s="11" t="n">
        <f aca="false">F404+F405</f>
        <v>157.848801275856</v>
      </c>
      <c r="G406" s="11" t="n">
        <f aca="false">G404+G405</f>
        <v>175.395629984408</v>
      </c>
    </row>
    <row r="407" customFormat="false" ht="15" hidden="false" customHeight="false" outlineLevel="0" collapsed="false">
      <c r="A407" s="5" t="s">
        <v>393</v>
      </c>
      <c r="B407" s="0" t="s">
        <v>29</v>
      </c>
      <c r="C407" s="11" t="n">
        <f aca="false">r_ot*(C402+C406)</f>
        <v>74.27113</v>
      </c>
      <c r="D407" s="11" t="n">
        <f aca="false">r_ot*(D402+D406)</f>
        <v>86.3159982224079</v>
      </c>
      <c r="E407" s="11" t="n">
        <f aca="false">r_ot*(E402+E406)</f>
        <v>92.1710425764757</v>
      </c>
      <c r="F407" s="11" t="n">
        <f aca="false">r_ot*(F402+F406)</f>
        <v>97.9948571023545</v>
      </c>
      <c r="G407" s="11" t="n">
        <f aca="false">r_ot*(G402+G406)</f>
        <v>100.462968518887</v>
      </c>
    </row>
    <row r="408" customFormat="false" ht="15" hidden="false" customHeight="false" outlineLevel="0" collapsed="false">
      <c r="A408" s="5" t="s">
        <v>363</v>
      </c>
      <c r="B408" s="0" t="s">
        <v>29</v>
      </c>
      <c r="C408" s="11" t="n">
        <f aca="false">C402+C406+C407</f>
        <v>436.889</v>
      </c>
      <c r="D408" s="11" t="n">
        <f aca="false">D402+D406+D407</f>
        <v>507.741166014164</v>
      </c>
      <c r="E408" s="11" t="n">
        <f aca="false">E402+E406+E407</f>
        <v>542.182603391033</v>
      </c>
      <c r="F408" s="11" t="n">
        <f aca="false">F402+F406+F407</f>
        <v>576.440335896203</v>
      </c>
      <c r="G408" s="11" t="n">
        <f aca="false">G402+G406+G407</f>
        <v>590.958638346392</v>
      </c>
    </row>
    <row r="409" customFormat="false" ht="17.15" hidden="false" customHeight="false" outlineLevel="0" collapsed="false">
      <c r="A409" s="0" t="s">
        <v>510</v>
      </c>
      <c r="B409" s="0" t="s">
        <v>56</v>
      </c>
      <c r="C409" s="14" t="n">
        <f aca="false">(C400+C404)*(1+r_ot)/C408</f>
        <v>0.276884384673187</v>
      </c>
      <c r="D409" s="14" t="n">
        <f aca="false">(D400+D404)*(1+r_ot)/D408</f>
        <v>0.342032442779394</v>
      </c>
      <c r="E409" s="14" t="n">
        <f aca="false">(E400+E404)*(1+r_ot)/E408</f>
        <v>0.348406679618126</v>
      </c>
      <c r="F409" s="14" t="n">
        <f aca="false">(F400+F404)*(1+r_ot)/F408</f>
        <v>0.351887360629556</v>
      </c>
      <c r="G409" s="14" t="n">
        <f aca="false">(G400+G404)*(1+r_ot)/G408</f>
        <v>0.331444154507532</v>
      </c>
    </row>
    <row r="410" customFormat="false" ht="17.15" hidden="false" customHeight="false" outlineLevel="0" collapsed="false">
      <c r="A410" s="0" t="s">
        <v>511</v>
      </c>
      <c r="B410" s="0" t="s">
        <v>56</v>
      </c>
      <c r="C410" s="14" t="n">
        <f aca="false">C400*(1+r_ot)/C408</f>
        <v>0.206829299394429</v>
      </c>
      <c r="D410" s="14" t="n">
        <f aca="false">D400*(1+r_ot)/D408</f>
        <v>0.242443648870938</v>
      </c>
      <c r="E410" s="14" t="n">
        <f aca="false">E400*(1+r_ot)/E408</f>
        <v>0.20568173149182</v>
      </c>
      <c r="F410" s="14" t="n">
        <f aca="false">F400*(1+r_ot)/F408</f>
        <v>0.182488856241721</v>
      </c>
      <c r="G410" s="14" t="n">
        <f aca="false">G400*(1+r_ot)/G408</f>
        <v>0.138262562009842</v>
      </c>
      <c r="J410" s="5" t="s">
        <v>512</v>
      </c>
    </row>
    <row r="411" customFormat="false" ht="17.15" hidden="false" customHeight="false" outlineLevel="0" collapsed="false">
      <c r="A411" s="5" t="s">
        <v>401</v>
      </c>
      <c r="B411" s="0" t="s">
        <v>56</v>
      </c>
      <c r="C411" s="14" t="n">
        <f aca="false">a25_gp/a25_rev</f>
        <v>0.701498549974936</v>
      </c>
      <c r="D411" s="14" t="n">
        <f aca="false">gm_a+gm_b*LN(D408)+0</f>
        <v>0.719560968325925</v>
      </c>
      <c r="E411" s="14" t="n">
        <f aca="false">gm_a+gm_b*LN(E408)+0</f>
        <v>0.727031485450823</v>
      </c>
      <c r="F411" s="14" t="n">
        <f aca="false">gm_a+gm_b*LN(F408)+0</f>
        <v>0.734005486917711</v>
      </c>
      <c r="G411" s="14" t="n">
        <f aca="false">gm_a+gm_b*LN(G408)+0</f>
        <v>0.736836815265558</v>
      </c>
      <c r="J411" s="8" t="s">
        <v>513</v>
      </c>
    </row>
    <row r="412" customFormat="false" ht="15" hidden="false" customHeight="false" outlineLevel="0" collapsed="false">
      <c r="A412" s="5" t="s">
        <v>398</v>
      </c>
      <c r="B412" s="0" t="s">
        <v>29</v>
      </c>
      <c r="C412" s="11" t="n">
        <f aca="false">C408*C411</f>
        <v>306.477</v>
      </c>
      <c r="D412" s="11" t="n">
        <f aca="false">D408*D411</f>
        <v>365.350725076086</v>
      </c>
      <c r="E412" s="11" t="n">
        <f aca="false">E408*E411</f>
        <v>394.183823528977</v>
      </c>
      <c r="F412" s="11" t="n">
        <f aca="false">F408*F411</f>
        <v>423.110369428501</v>
      </c>
      <c r="G412" s="11" t="n">
        <f aca="false">G408*G411</f>
        <v>435.440081032826</v>
      </c>
    </row>
    <row r="413" customFormat="false" ht="17.15" hidden="false" customHeight="false" outlineLevel="0" collapsed="false">
      <c r="A413" s="5" t="s">
        <v>399</v>
      </c>
      <c r="B413" s="0" t="s">
        <v>29</v>
      </c>
      <c r="C413" s="11" t="n">
        <f aca="false">a25_sga</f>
        <v>121.487</v>
      </c>
      <c r="D413" s="11" t="n">
        <f aca="false">sg_f+sg_v*D408</f>
        <v>136.260474491739</v>
      </c>
      <c r="E413" s="11" t="n">
        <f aca="false">sg_f+sg_v*E408</f>
        <v>144.952357893215</v>
      </c>
      <c r="F413" s="11" t="n">
        <f aca="false">sg_f+sg_v*F408</f>
        <v>153.597880241066</v>
      </c>
      <c r="G413" s="11" t="n">
        <f aca="false">sg_f+sg_v*G408</f>
        <v>157.261821170812</v>
      </c>
      <c r="J413" s="5" t="s">
        <v>514</v>
      </c>
    </row>
    <row r="414" customFormat="false" ht="15" hidden="false" customHeight="false" outlineLevel="0" collapsed="false">
      <c r="A414" s="5" t="s">
        <v>367</v>
      </c>
      <c r="B414" s="0" t="s">
        <v>29</v>
      </c>
      <c r="C414" s="11" t="n">
        <f aca="false">C412-C413</f>
        <v>184.99</v>
      </c>
      <c r="D414" s="11" t="n">
        <f aca="false">D412-D413</f>
        <v>229.090250584347</v>
      </c>
      <c r="E414" s="11" t="n">
        <f aca="false">E412-E413</f>
        <v>249.231465635763</v>
      </c>
      <c r="F414" s="11" t="n">
        <f aca="false">F412-F413</f>
        <v>269.512489187435</v>
      </c>
      <c r="G414" s="11" t="n">
        <f aca="false">G412-G413</f>
        <v>278.178259862014</v>
      </c>
    </row>
    <row r="415" customFormat="false" ht="15" hidden="false" customHeight="false" outlineLevel="0" collapsed="false">
      <c r="A415" s="5" t="s">
        <v>515</v>
      </c>
      <c r="B415" s="0" t="s">
        <v>56</v>
      </c>
      <c r="C415" s="14" t="n">
        <f aca="false">C414/C408</f>
        <v>0.423425629851061</v>
      </c>
      <c r="D415" s="14" t="n">
        <f aca="false">D414/D408</f>
        <v>0.451194951125858</v>
      </c>
      <c r="E415" s="14" t="n">
        <f aca="false">E414/E408</f>
        <v>0.459681782626308</v>
      </c>
      <c r="F415" s="14" t="n">
        <f aca="false">F414/F408</f>
        <v>0.467546201062454</v>
      </c>
      <c r="G415" s="14" t="n">
        <f aca="false">G414/G408</f>
        <v>0.470723739042729</v>
      </c>
    </row>
    <row r="416" customFormat="false" ht="15" hidden="false" customHeight="false" outlineLevel="0" collapsed="false">
      <c r="A416" s="5" t="s">
        <v>370</v>
      </c>
      <c r="B416" s="0" t="s">
        <v>29</v>
      </c>
      <c r="C416" s="11" t="n">
        <f aca="false">a25_ni</f>
        <v>135.521</v>
      </c>
      <c r="D416" s="11" t="n">
        <f aca="false">D414*nioi</f>
        <v>167.829113349666</v>
      </c>
      <c r="E416" s="11" t="n">
        <f aca="false">E414*nioi</f>
        <v>182.584356120765</v>
      </c>
      <c r="F416" s="11" t="n">
        <f aca="false">F414*nioi</f>
        <v>197.442021131907</v>
      </c>
      <c r="G416" s="11" t="n">
        <f aca="false">G414*nioi</f>
        <v>203.79047378363</v>
      </c>
    </row>
    <row r="417" customFormat="false" ht="15" hidden="false" customHeight="false" outlineLevel="0" collapsed="false">
      <c r="A417" s="0" t="s">
        <v>459</v>
      </c>
      <c r="B417" s="0" t="s">
        <v>51</v>
      </c>
      <c r="C417" s="11" t="n">
        <f aca="false">a25_eps</f>
        <v>1249.84</v>
      </c>
      <c r="D417" s="11" t="n">
        <f aca="false">D416*1000/shares</f>
        <v>1547.08471946928</v>
      </c>
      <c r="E417" s="11" t="n">
        <f aca="false">E416*1000/shares</f>
        <v>1683.10170822419</v>
      </c>
      <c r="F417" s="11" t="n">
        <f aca="false">F416*1000/shares</f>
        <v>1820.06284712886</v>
      </c>
      <c r="G417" s="11" t="n">
        <f aca="false">G416*1000/shares</f>
        <v>1878.58424364778</v>
      </c>
    </row>
    <row r="418" customFormat="false" ht="17.15" hidden="false" customHeight="false" outlineLevel="0" collapsed="false">
      <c r="A418" s="5" t="s">
        <v>516</v>
      </c>
      <c r="B418" s="0" t="s">
        <v>29</v>
      </c>
      <c r="C418" s="16" t="n">
        <f aca="false">ABS(C408-a25_rev)+ABS(C414-a25_oi)</f>
        <v>0.000999999999976353</v>
      </c>
    </row>
    <row r="420" customFormat="false" ht="17.15" hidden="false" customHeight="false" outlineLevel="0" collapsed="false">
      <c r="A420" s="3" t="s">
        <v>720</v>
      </c>
    </row>
    <row r="421" customFormat="false" ht="17.15" hidden="false" customHeight="false" outlineLevel="0" collapsed="false">
      <c r="A421" s="6" t="s">
        <v>18</v>
      </c>
      <c r="B421" s="6" t="s">
        <v>19</v>
      </c>
      <c r="C421" s="9" t="s">
        <v>464</v>
      </c>
      <c r="D421" s="9" t="s">
        <v>465</v>
      </c>
      <c r="E421" s="9" t="s">
        <v>466</v>
      </c>
      <c r="F421" s="9" t="s">
        <v>467</v>
      </c>
      <c r="G421" s="9" t="s">
        <v>468</v>
      </c>
      <c r="H421" s="9" t="s">
        <v>469</v>
      </c>
      <c r="I421" s="9" t="s">
        <v>470</v>
      </c>
      <c r="J421" s="6" t="s">
        <v>450</v>
      </c>
    </row>
    <row r="422" customFormat="false" ht="17.15" hidden="false" customHeight="false" outlineLevel="0" collapsed="false">
      <c r="A422" s="1" t="s">
        <v>471</v>
      </c>
    </row>
    <row r="423" customFormat="false" ht="17.15" hidden="false" customHeight="false" outlineLevel="0" collapsed="false">
      <c r="A423" s="0" t="s">
        <v>472</v>
      </c>
      <c r="B423" s="0" t="s">
        <v>96</v>
      </c>
      <c r="C423" s="19" t="n">
        <f aca="false">hsA_25</f>
        <v>2.22511470588235</v>
      </c>
      <c r="D423" s="19" t="n">
        <f aca="false">hsA_26</f>
        <v>3.782695</v>
      </c>
      <c r="E423" s="19" t="n">
        <f aca="false">hsA_27</f>
        <v>5.86317725</v>
      </c>
      <c r="F423" s="19" t="n">
        <f aca="false">hsA_28</f>
        <v>8.5016070125</v>
      </c>
      <c r="G423" s="19" t="n">
        <f aca="false">hsA_29</f>
        <v>11.477169466875</v>
      </c>
      <c r="H423" s="19" t="n">
        <f aca="false">G423*(1+g_tail)</f>
        <v>12.6248864135625</v>
      </c>
      <c r="I423" s="19" t="n">
        <f aca="false">H423*(1+g_tail)</f>
        <v>13.8873750549188</v>
      </c>
      <c r="J423" s="8" t="s">
        <v>473</v>
      </c>
    </row>
    <row r="424" customFormat="false" ht="17.15" hidden="false" customHeight="false" outlineLevel="0" collapsed="false">
      <c r="A424" s="0" t="s">
        <v>474</v>
      </c>
      <c r="B424" s="0" t="s">
        <v>475</v>
      </c>
      <c r="C424" s="19" t="n">
        <f aca="false">den_25</f>
        <v>24</v>
      </c>
      <c r="D424" s="19" t="n">
        <f aca="false">den_26</f>
        <v>24</v>
      </c>
      <c r="E424" s="19" t="n">
        <f aca="false">den_27</f>
        <v>26</v>
      </c>
      <c r="F424" s="19" t="n">
        <f aca="false">den_28</f>
        <v>28</v>
      </c>
      <c r="G424" s="19" t="n">
        <f aca="false">den_29</f>
        <v>30</v>
      </c>
      <c r="H424" s="19" t="n">
        <f aca="false">den_30</f>
        <v>32</v>
      </c>
      <c r="I424" s="19" t="n">
        <f aca="false">den_30</f>
        <v>32</v>
      </c>
    </row>
    <row r="425" customFormat="false" ht="15" hidden="false" customHeight="false" outlineLevel="0" collapsed="false">
      <c r="A425" s="5" t="s">
        <v>476</v>
      </c>
      <c r="B425" s="5" t="s">
        <v>148</v>
      </c>
      <c r="C425" s="19" t="n">
        <f aca="false">stk_25</f>
        <v>10</v>
      </c>
      <c r="D425" s="19" t="n">
        <f aca="false">stk_26</f>
        <v>12</v>
      </c>
      <c r="E425" s="19" t="n">
        <f aca="false">stk_27</f>
        <v>12.5</v>
      </c>
      <c r="F425" s="19" t="n">
        <f aca="false">stk_28</f>
        <v>14</v>
      </c>
      <c r="G425" s="19" t="n">
        <f aca="false">stk_29</f>
        <v>15</v>
      </c>
      <c r="H425" s="19" t="n">
        <f aca="false">stk_30</f>
        <v>16</v>
      </c>
      <c r="I425" s="19" t="n">
        <f aca="false">stk_30</f>
        <v>16</v>
      </c>
    </row>
    <row r="426" customFormat="false" ht="17.15" hidden="false" customHeight="false" outlineLevel="0" collapsed="false">
      <c r="A426" s="0" t="s">
        <v>477</v>
      </c>
      <c r="B426" s="5" t="s">
        <v>478</v>
      </c>
      <c r="C426" s="19" t="n">
        <f aca="false">C423*8/C424</f>
        <v>0.741704901960783</v>
      </c>
      <c r="D426" s="19" t="n">
        <f aca="false">D423*8/D424</f>
        <v>1.26089833333333</v>
      </c>
      <c r="E426" s="19" t="n">
        <f aca="false">E423*8/E424</f>
        <v>1.80405453846154</v>
      </c>
      <c r="F426" s="19" t="n">
        <f aca="false">F423*8/F424</f>
        <v>2.429030575</v>
      </c>
      <c r="G426" s="19" t="n">
        <f aca="false">G423*8/G424</f>
        <v>3.0605785245</v>
      </c>
      <c r="H426" s="19" t="n">
        <f aca="false">H423*8/H424</f>
        <v>3.15622160339063</v>
      </c>
      <c r="I426" s="19" t="n">
        <f aca="false">I423*8/I424</f>
        <v>3.47184376372969</v>
      </c>
      <c r="J426" s="8" t="s">
        <v>479</v>
      </c>
    </row>
    <row r="427" customFormat="false" ht="17.15" hidden="false" customHeight="false" outlineLevel="0" collapsed="false">
      <c r="A427" s="0" t="s">
        <v>480</v>
      </c>
      <c r="B427" s="5" t="s">
        <v>481</v>
      </c>
      <c r="C427" s="19" t="n">
        <f aca="false">C426*(1+s_stk/C425)</f>
        <v>0.964216372549018</v>
      </c>
      <c r="D427" s="19" t="n">
        <f aca="false">D426*(1+s_stk/D425)</f>
        <v>1.57612291666667</v>
      </c>
      <c r="E427" s="19" t="n">
        <f aca="false">E426*(1+s_stk/E425)</f>
        <v>2.23702762769231</v>
      </c>
      <c r="F427" s="19" t="n">
        <f aca="false">F426*(1+s_stk/F425)</f>
        <v>2.94953712678571</v>
      </c>
      <c r="G427" s="19" t="n">
        <f aca="false">G426*(1+s_stk/G425)</f>
        <v>3.6726942294</v>
      </c>
      <c r="H427" s="19" t="n">
        <f aca="false">H426*(1+s_stk/H425)</f>
        <v>3.74801315402637</v>
      </c>
      <c r="I427" s="19" t="n">
        <f aca="false">I426*(1+s_stk/I425)</f>
        <v>4.12281446942901</v>
      </c>
      <c r="J427" s="5" t="s">
        <v>482</v>
      </c>
    </row>
    <row r="428" customFormat="false" ht="17.15" hidden="false" customHeight="false" outlineLevel="0" collapsed="false">
      <c r="A428" s="5" t="s">
        <v>483</v>
      </c>
      <c r="B428" s="0" t="s">
        <v>56</v>
      </c>
      <c r="C428" s="22" t="n">
        <f aca="false">hbp_25_hi*hb_on</f>
        <v>0</v>
      </c>
      <c r="D428" s="22" t="n">
        <f aca="false">hbp_26_hi*hb_on</f>
        <v>0</v>
      </c>
      <c r="E428" s="22" t="n">
        <f aca="false">hbp_27_hi*hb_on</f>
        <v>0.05</v>
      </c>
      <c r="F428" s="22" t="n">
        <f aca="false">hbp_28_hi*hb_on</f>
        <v>0.15</v>
      </c>
      <c r="G428" s="22" t="n">
        <f aca="false">hbp_29_hi*hb_on</f>
        <v>0.3</v>
      </c>
      <c r="H428" s="22" t="n">
        <f aca="false">hbp_30_hi*hb_on</f>
        <v>0.4</v>
      </c>
      <c r="I428" s="22" t="n">
        <f aca="false">hbp_30_hi*hb_on</f>
        <v>0.4</v>
      </c>
    </row>
    <row r="429" customFormat="false" ht="17.15" hidden="false" customHeight="false" outlineLevel="0" collapsed="false">
      <c r="A429" s="0" t="s">
        <v>484</v>
      </c>
      <c r="B429" s="5" t="s">
        <v>481</v>
      </c>
      <c r="C429" s="19" t="n">
        <f aca="false">C427*(1+C428*hb_eff)</f>
        <v>0.964216372549018</v>
      </c>
      <c r="D429" s="19" t="n">
        <f aca="false">D427*(1+D428*hb_eff)</f>
        <v>1.57612291666667</v>
      </c>
      <c r="E429" s="19" t="n">
        <f aca="false">E427*(1+E428*hb_eff)</f>
        <v>2.24821276583077</v>
      </c>
      <c r="F429" s="19" t="n">
        <f aca="false">F427*(1+F428*hb_eff)</f>
        <v>2.9937801836875</v>
      </c>
      <c r="G429" s="19" t="n">
        <f aca="false">G427*(1+G428*hb_eff)</f>
        <v>3.782875056282</v>
      </c>
      <c r="H429" s="19" t="n">
        <f aca="false">H427*(1+H428*hb_eff)</f>
        <v>3.89793368018742</v>
      </c>
      <c r="I429" s="19" t="n">
        <f aca="false">I427*(1+I428*hb_eff)</f>
        <v>4.28772704820617</v>
      </c>
      <c r="J429" s="5" t="s">
        <v>485</v>
      </c>
    </row>
    <row r="430" customFormat="false" ht="17.15" hidden="false" customHeight="false" outlineLevel="0" collapsed="false">
      <c r="A430" s="0" t="s">
        <v>486</v>
      </c>
      <c r="B430" s="5" t="s">
        <v>481</v>
      </c>
      <c r="C430" s="19" t="n">
        <f aca="false">MAX(0,D429-C429)+dlt*C429</f>
        <v>0.70832818137255</v>
      </c>
      <c r="D430" s="19" t="n">
        <f aca="false">MAX(0,E429-D429)+dlt*D429</f>
        <v>0.829702140830769</v>
      </c>
      <c r="E430" s="19" t="n">
        <f aca="false">MAX(0,F429-E429)+dlt*E429</f>
        <v>0.970388694439807</v>
      </c>
      <c r="F430" s="19" t="n">
        <f aca="false">MAX(0,G429-F429)+dlt*F429</f>
        <v>1.08847289096325</v>
      </c>
      <c r="G430" s="19" t="n">
        <f aca="false">MAX(0,H429-G429)+dlt*G429</f>
        <v>0.493346129533622</v>
      </c>
      <c r="H430" s="19" t="n">
        <f aca="false">MAX(0,I429-H429)+dlt*H429</f>
        <v>0.779586736037485</v>
      </c>
      <c r="J430" s="5" t="s">
        <v>487</v>
      </c>
    </row>
    <row r="431" customFormat="false" ht="17.15" hidden="false" customHeight="false" outlineLevel="0" collapsed="false">
      <c r="A431" s="0" t="s">
        <v>488</v>
      </c>
      <c r="B431" s="5" t="s">
        <v>177</v>
      </c>
      <c r="C431" s="21" t="n">
        <f aca="false">cw_25</f>
        <v>670</v>
      </c>
      <c r="D431" s="21" t="n">
        <f aca="false">cw_26</f>
        <v>1107.85762580894</v>
      </c>
      <c r="E431" s="21" t="n">
        <f aca="false">cw_27</f>
        <v>2096.42857142857</v>
      </c>
      <c r="F431" s="21" t="n">
        <f aca="false">cw_28*um28_A</f>
        <v>2620.08928571429</v>
      </c>
      <c r="G431" s="21" t="n">
        <f aca="false">cw_29*um29_A</f>
        <v>3013.32589285714</v>
      </c>
      <c r="H431" s="21" t="n">
        <f aca="false">G431*(1+g_tail)</f>
        <v>3314.65848214285</v>
      </c>
      <c r="I431" s="21" t="n">
        <f aca="false">H431*(1+g_tail)</f>
        <v>3646.12433035714</v>
      </c>
      <c r="J431" s="5" t="s">
        <v>489</v>
      </c>
    </row>
    <row r="432" customFormat="false" ht="15" hidden="false" customHeight="false" outlineLevel="0" collapsed="false">
      <c r="A432" s="5" t="s">
        <v>490</v>
      </c>
      <c r="B432" s="5" t="s">
        <v>177</v>
      </c>
      <c r="C432" s="21" t="n">
        <f aca="false">MAX(0,D431-C431)+dlt*C431</f>
        <v>504.85762580894</v>
      </c>
      <c r="D432" s="21" t="n">
        <f aca="false">MAX(0,E431-D431)+dlt*D431</f>
        <v>1099.35670820052</v>
      </c>
      <c r="E432" s="21" t="n">
        <f aca="false">MAX(0,F431-E431)+dlt*E431</f>
        <v>733.303571428577</v>
      </c>
      <c r="F432" s="21" t="n">
        <f aca="false">MAX(0,G431-F431)+dlt*F431</f>
        <v>655.245535714279</v>
      </c>
      <c r="G432" s="21" t="n">
        <f aca="false">MAX(0,H431-G431)+dlt*G431</f>
        <v>602.665178571428</v>
      </c>
      <c r="H432" s="21" t="n">
        <f aca="false">MAX(0,I431-H431)+dlt*H431</f>
        <v>662.931696428571</v>
      </c>
    </row>
    <row r="433" customFormat="false" ht="17.15" hidden="false" customHeight="false" outlineLevel="0" collapsed="false">
      <c r="A433" s="1" t="s">
        <v>491</v>
      </c>
    </row>
    <row r="434" customFormat="false" ht="17.15" hidden="false" customHeight="false" outlineLevel="0" collapsed="false">
      <c r="A434" s="0" t="s">
        <v>492</v>
      </c>
      <c r="B434" s="0" t="s">
        <v>493</v>
      </c>
      <c r="C434" s="16" t="n">
        <f aca="false">ai25*w_hbm/(0.75*C430+0.25*D430)</f>
        <v>48.7361318997225</v>
      </c>
      <c r="J434" s="5" t="s">
        <v>494</v>
      </c>
    </row>
    <row r="435" customFormat="false" ht="17.15" hidden="false" customHeight="false" outlineLevel="0" collapsed="false">
      <c r="A435" s="5" t="s">
        <v>495</v>
      </c>
      <c r="B435" s="0" t="s">
        <v>496</v>
      </c>
      <c r="C435" s="18" t="n">
        <f aca="false">ai25*(1-w_hbm)/(0.75*C432+0.25*D432)</f>
        <v>0.0596802610360141</v>
      </c>
    </row>
    <row r="436" customFormat="false" ht="17.15" hidden="false" customHeight="false" outlineLevel="0" collapsed="false">
      <c r="A436" s="1" t="s">
        <v>497</v>
      </c>
    </row>
    <row r="437" customFormat="false" ht="17.15" hidden="false" customHeight="false" outlineLevel="0" collapsed="false">
      <c r="A437" s="5" t="s">
        <v>498</v>
      </c>
      <c r="B437" s="0" t="s">
        <v>76</v>
      </c>
      <c r="C437" s="16" t="n">
        <f aca="false">1-sh_loss/sh*0</f>
        <v>1</v>
      </c>
      <c r="D437" s="16" t="n">
        <f aca="false">1-sh_loss/sh*0.25</f>
        <v>1</v>
      </c>
      <c r="E437" s="16" t="n">
        <f aca="false">1-sh_loss/sh*0.5</f>
        <v>1</v>
      </c>
      <c r="F437" s="16" t="n">
        <f aca="false">1-sh_loss/sh*0.75</f>
        <v>1</v>
      </c>
      <c r="G437" s="16" t="n">
        <f aca="false">1-sh_loss/sh*1</f>
        <v>1</v>
      </c>
    </row>
    <row r="438" customFormat="false" ht="17.15" hidden="false" customHeight="false" outlineLevel="0" collapsed="false">
      <c r="A438" s="0" t="s">
        <v>499</v>
      </c>
      <c r="B438" s="0" t="s">
        <v>29</v>
      </c>
      <c r="C438" s="11" t="n">
        <f aca="false">$C$434*(0.75*C430+0.25*D430)*C437</f>
        <v>36</v>
      </c>
      <c r="D438" s="11" t="n">
        <f aca="false">$C$434*(0.75*D430+0.25*E430)*D437</f>
        <v>42.1506025813124</v>
      </c>
      <c r="E438" s="11" t="n">
        <f aca="false">$C$434*(0.75*E430+0.25*F430)*E437</f>
        <v>48.7317331504778</v>
      </c>
      <c r="F438" s="11" t="n">
        <f aca="false">$C$434*(0.75*F430+0.25*G430)*F437</f>
        <v>45.796914297735</v>
      </c>
      <c r="G438" s="11" t="n">
        <f aca="false">$C$434*(0.75*G430+0.25*H430)*G437</f>
        <v>27.5313470295754</v>
      </c>
    </row>
    <row r="439" customFormat="false" ht="17.15" hidden="false" customHeight="false" outlineLevel="0" collapsed="false">
      <c r="A439" s="5" t="s">
        <v>500</v>
      </c>
      <c r="B439" s="0" t="s">
        <v>29</v>
      </c>
      <c r="C439" s="11" t="n">
        <f aca="false">$C$435*(0.75*C432+0.25*D432)*C437</f>
        <v>39</v>
      </c>
      <c r="D439" s="11" t="n">
        <f aca="false">$C$435*(0.75*D432+0.25*E432)*D437</f>
        <v>60.1483586282001</v>
      </c>
      <c r="E439" s="11" t="n">
        <f aca="false">$C$435*(0.75*E432+0.25*F432)*E437</f>
        <v>42.5991175746519</v>
      </c>
      <c r="F439" s="11" t="n">
        <f aca="false">$C$435*(0.75*F432+0.25*G432)*F437</f>
        <v>38.320722254198</v>
      </c>
      <c r="G439" s="11" t="n">
        <f aca="false">$C$435*(0.75*G432+0.25*H432)*G437</f>
        <v>36.8663955538204</v>
      </c>
    </row>
    <row r="440" customFormat="false" ht="17.15" hidden="false" customHeight="false" outlineLevel="0" collapsed="false">
      <c r="A440" s="0" t="s">
        <v>501</v>
      </c>
      <c r="B440" s="0" t="s">
        <v>29</v>
      </c>
      <c r="C440" s="11" t="n">
        <f aca="false">C438+C439</f>
        <v>75</v>
      </c>
      <c r="D440" s="11" t="n">
        <f aca="false">D438+D439</f>
        <v>102.298961209512</v>
      </c>
      <c r="E440" s="11" t="n">
        <f aca="false">E438+E439</f>
        <v>91.3308507251297</v>
      </c>
      <c r="F440" s="11" t="n">
        <f aca="false">F438+F439</f>
        <v>84.117636551933</v>
      </c>
      <c r="G440" s="11" t="n">
        <f aca="false">G438+G439</f>
        <v>64.3977425833958</v>
      </c>
    </row>
    <row r="441" customFormat="false" ht="17.15" hidden="false" customHeight="false" outlineLevel="0" collapsed="false">
      <c r="A441" s="5" t="s">
        <v>502</v>
      </c>
      <c r="B441" s="0" t="s">
        <v>29</v>
      </c>
      <c r="C441" s="11" t="n">
        <f aca="false">eq25-ai25</f>
        <v>195.87118</v>
      </c>
      <c r="D441" s="11" t="n">
        <f aca="false">C441*(1+g_non)*D437/C437</f>
        <v>207.6234508</v>
      </c>
      <c r="E441" s="11" t="n">
        <f aca="false">D441*(1+g_non)*E437/D437</f>
        <v>220.080857848</v>
      </c>
      <c r="F441" s="11" t="n">
        <f aca="false">E441*(1+g_non)*F437/E437</f>
        <v>233.28570931888</v>
      </c>
      <c r="G441" s="11" t="n">
        <f aca="false">F441*(1+g_non)*G437/F437</f>
        <v>247.282851878013</v>
      </c>
    </row>
    <row r="442" customFormat="false" ht="15" hidden="false" customHeight="false" outlineLevel="0" collapsed="false">
      <c r="A442" s="5" t="s">
        <v>503</v>
      </c>
      <c r="B442" s="0" t="s">
        <v>29</v>
      </c>
      <c r="C442" s="11" t="n">
        <f aca="false">C440+C441</f>
        <v>270.87118</v>
      </c>
      <c r="D442" s="11" t="n">
        <f aca="false">D440+D441</f>
        <v>309.922412009512</v>
      </c>
      <c r="E442" s="11" t="n">
        <f aca="false">E440+E441</f>
        <v>311.41170857313</v>
      </c>
      <c r="F442" s="11" t="n">
        <f aca="false">F440+F441</f>
        <v>317.403345870813</v>
      </c>
      <c r="G442" s="11" t="n">
        <f aca="false">G440+G441</f>
        <v>311.680594461409</v>
      </c>
    </row>
    <row r="443" customFormat="false" ht="17.15" hidden="false" customHeight="false" outlineLevel="0" collapsed="false">
      <c r="A443" s="0" t="s">
        <v>504</v>
      </c>
      <c r="B443" s="0" t="s">
        <v>76</v>
      </c>
      <c r="C443" s="19" t="n">
        <f aca="false">w_hbm*(0.75*C429+0.25*D429)/(0.75*C429+0.25*D429)+(1-w_hbm)*(0.75*C431+0.25*D431)/(0.75*C431+0.25*D431)</f>
        <v>1</v>
      </c>
      <c r="D443" s="19" t="n">
        <f aca="false">w_hbm*(0.75*D429+0.25*E429)/(0.75*C429+0.25*D429)+(1-w_hbm)*(0.75*D431+0.25*E431)/(0.75*C431+0.25*D431)</f>
        <v>1.65332325956069</v>
      </c>
      <c r="E443" s="19" t="n">
        <f aca="false">w_hbm*(0.75*E429+0.25*F429)/(0.75*C429+0.25*D429)+(1-w_hbm)*(0.75*E431+0.25*F431)/(0.75*C431+0.25*D431)</f>
        <v>2.53193971881505</v>
      </c>
      <c r="F443" s="19" t="n">
        <f aca="false">w_hbm*(0.75*F429+0.25*G429)/(0.75*C429+0.25*D429)+(1-w_hbm)*(0.75*F431+0.25*G431)/(0.75*C431+0.25*D431)</f>
        <v>3.18454155193452</v>
      </c>
      <c r="G443" s="19" t="n">
        <f aca="false">w_hbm*(0.75*G429+0.25*H429)/(0.75*C429+0.25*D429)+(1-w_hbm)*(0.75*G431+0.25*H431)/(0.75*C431+0.25*D431)</f>
        <v>3.69818516095028</v>
      </c>
      <c r="J443" s="8" t="s">
        <v>505</v>
      </c>
    </row>
    <row r="444" customFormat="false" ht="17.15" hidden="false" customHeight="false" outlineLevel="0" collapsed="false">
      <c r="A444" s="0" t="s">
        <v>506</v>
      </c>
      <c r="B444" s="0" t="s">
        <v>29</v>
      </c>
      <c r="C444" s="11" t="n">
        <f aca="false">tl25*w_tlai*C443</f>
        <v>25.4032258064516</v>
      </c>
      <c r="D444" s="11" t="n">
        <f aca="false">tl25*w_tlai*D443</f>
        <v>41.9997440936787</v>
      </c>
      <c r="E444" s="11" t="n">
        <f aca="false">tl25*w_tlai*E443</f>
        <v>64.3194364053823</v>
      </c>
      <c r="F444" s="11" t="n">
        <f aca="false">tl25*w_tlai*F443</f>
        <v>80.8976281338205</v>
      </c>
      <c r="G444" s="11" t="n">
        <f aca="false">tl25*w_tlai*G443</f>
        <v>93.9458327176886</v>
      </c>
      <c r="J444" s="5" t="s">
        <v>507</v>
      </c>
    </row>
    <row r="445" customFormat="false" ht="17.15" hidden="false" customHeight="false" outlineLevel="0" collapsed="false">
      <c r="A445" s="5" t="s">
        <v>508</v>
      </c>
      <c r="B445" s="0" t="s">
        <v>29</v>
      </c>
      <c r="C445" s="11" t="n">
        <f aca="false">tl25*(1-w_tlai)</f>
        <v>66.3434641935484</v>
      </c>
      <c r="D445" s="11" t="n">
        <f aca="false">C445*(1+g_tl)</f>
        <v>69.6606374032258</v>
      </c>
      <c r="E445" s="11" t="n">
        <f aca="false">D445*(1+g_tl)</f>
        <v>73.1436692733871</v>
      </c>
      <c r="F445" s="11" t="n">
        <f aca="false">E445*(1+g_tl)</f>
        <v>76.8008527370565</v>
      </c>
      <c r="G445" s="11" t="n">
        <f aca="false">F445*(1+g_tl)</f>
        <v>80.6408953739093</v>
      </c>
    </row>
    <row r="446" customFormat="false" ht="15" hidden="false" customHeight="false" outlineLevel="0" collapsed="false">
      <c r="A446" s="5" t="s">
        <v>509</v>
      </c>
      <c r="B446" s="0" t="s">
        <v>29</v>
      </c>
      <c r="C446" s="11" t="n">
        <f aca="false">C444+C445</f>
        <v>91.74669</v>
      </c>
      <c r="D446" s="11" t="n">
        <f aca="false">D444+D445</f>
        <v>111.660381496905</v>
      </c>
      <c r="E446" s="11" t="n">
        <f aca="false">E444+E445</f>
        <v>137.463105678769</v>
      </c>
      <c r="F446" s="11" t="n">
        <f aca="false">F444+F445</f>
        <v>157.698480870877</v>
      </c>
      <c r="G446" s="11" t="n">
        <f aca="false">G444+G445</f>
        <v>174.586728091598</v>
      </c>
    </row>
    <row r="447" customFormat="false" ht="15" hidden="false" customHeight="false" outlineLevel="0" collapsed="false">
      <c r="A447" s="5" t="s">
        <v>393</v>
      </c>
      <c r="B447" s="0" t="s">
        <v>29</v>
      </c>
      <c r="C447" s="11" t="n">
        <f aca="false">r_ot*(C442+C446)</f>
        <v>74.27113</v>
      </c>
      <c r="D447" s="11" t="n">
        <f aca="false">r_ot*(D442+D446)</f>
        <v>86.3482830073384</v>
      </c>
      <c r="E447" s="11" t="n">
        <f aca="false">r_ot*(E442+E446)</f>
        <v>91.9382149672565</v>
      </c>
      <c r="F447" s="11" t="n">
        <f aca="false">r_ot*(F442+F446)</f>
        <v>97.3100127061293</v>
      </c>
      <c r="G447" s="11" t="n">
        <f aca="false">r_ot*(G442+G446)</f>
        <v>99.5969214867604</v>
      </c>
    </row>
    <row r="448" customFormat="false" ht="15" hidden="false" customHeight="false" outlineLevel="0" collapsed="false">
      <c r="A448" s="5" t="s">
        <v>363</v>
      </c>
      <c r="B448" s="0" t="s">
        <v>29</v>
      </c>
      <c r="C448" s="11" t="n">
        <f aca="false">C442+C446+C447</f>
        <v>436.889</v>
      </c>
      <c r="D448" s="11" t="n">
        <f aca="false">D442+D446+D447</f>
        <v>507.931076513755</v>
      </c>
      <c r="E448" s="11" t="n">
        <f aca="false">E442+E446+E447</f>
        <v>540.813029219156</v>
      </c>
      <c r="F448" s="11" t="n">
        <f aca="false">F442+F446+F447</f>
        <v>572.411839447819</v>
      </c>
      <c r="G448" s="11" t="n">
        <f aca="false">G442+G446+G447</f>
        <v>585.864244039767</v>
      </c>
    </row>
    <row r="449" customFormat="false" ht="17.15" hidden="false" customHeight="false" outlineLevel="0" collapsed="false">
      <c r="A449" s="0" t="s">
        <v>510</v>
      </c>
      <c r="B449" s="0" t="s">
        <v>56</v>
      </c>
      <c r="C449" s="14" t="n">
        <f aca="false">(C440+C444)*(1+r_ot)/C448</f>
        <v>0.276884384673187</v>
      </c>
      <c r="D449" s="14" t="n">
        <f aca="false">(D440+D444)*(1+r_ot)/D448</f>
        <v>0.342278450462886</v>
      </c>
      <c r="E449" s="14" t="n">
        <f aca="false">(E440+E444)*(1+r_ot)/E448</f>
        <v>0.346756561492364</v>
      </c>
      <c r="F449" s="14" t="n">
        <f aca="false">(F440+F444)*(1+r_ot)/F448</f>
        <v>0.347326100211926</v>
      </c>
      <c r="G449" s="14" t="n">
        <f aca="false">(G440+G444)*(1+r_ot)/G448</f>
        <v>0.325630713718839</v>
      </c>
    </row>
    <row r="450" customFormat="false" ht="17.15" hidden="false" customHeight="false" outlineLevel="0" collapsed="false">
      <c r="A450" s="0" t="s">
        <v>511</v>
      </c>
      <c r="B450" s="0" t="s">
        <v>56</v>
      </c>
      <c r="C450" s="14" t="n">
        <f aca="false">C440*(1+r_ot)/C448</f>
        <v>0.206829299394429</v>
      </c>
      <c r="D450" s="14" t="n">
        <f aca="false">D440*(1+r_ot)/D448</f>
        <v>0.24265449820346</v>
      </c>
      <c r="E450" s="14" t="n">
        <f aca="false">E440*(1+r_ot)/E448</f>
        <v>0.203466195530134</v>
      </c>
      <c r="F450" s="14" t="n">
        <f aca="false">F440*(1+r_ot)/F448</f>
        <v>0.177051806196627</v>
      </c>
      <c r="G450" s="14" t="n">
        <f aca="false">G440*(1+r_ot)/G448</f>
        <v>0.132432798990674</v>
      </c>
      <c r="J450" s="5" t="s">
        <v>512</v>
      </c>
    </row>
    <row r="451" customFormat="false" ht="17.15" hidden="false" customHeight="false" outlineLevel="0" collapsed="false">
      <c r="A451" s="5" t="s">
        <v>401</v>
      </c>
      <c r="B451" s="0" t="s">
        <v>56</v>
      </c>
      <c r="C451" s="14" t="n">
        <f aca="false">a25_gp/a25_rev</f>
        <v>0.701498549974936</v>
      </c>
      <c r="D451" s="14" t="n">
        <f aca="false">gm_a+gm_b*LN(D448)+0</f>
        <v>0.719603534705269</v>
      </c>
      <c r="E451" s="14" t="n">
        <f aca="false">gm_a+gm_b*LN(E448)+0</f>
        <v>0.726743592920374</v>
      </c>
      <c r="F451" s="14" t="n">
        <f aca="false">gm_a+gm_b*LN(F448)+0</f>
        <v>0.733207213022049</v>
      </c>
      <c r="G451" s="14" t="n">
        <f aca="false">gm_a+gm_b*LN(G448)+0</f>
        <v>0.735851317875669</v>
      </c>
      <c r="J451" s="8" t="s">
        <v>513</v>
      </c>
    </row>
    <row r="452" customFormat="false" ht="15" hidden="false" customHeight="false" outlineLevel="0" collapsed="false">
      <c r="A452" s="5" t="s">
        <v>398</v>
      </c>
      <c r="B452" s="0" t="s">
        <v>29</v>
      </c>
      <c r="C452" s="11" t="n">
        <f aca="false">C448*C451</f>
        <v>306.477</v>
      </c>
      <c r="D452" s="11" t="n">
        <f aca="false">D448*D451</f>
        <v>365.508998045951</v>
      </c>
      <c r="E452" s="11" t="n">
        <f aca="false">E448*E451</f>
        <v>393.032403952881</v>
      </c>
      <c r="F452" s="11" t="n">
        <f aca="false">F448*F451</f>
        <v>419.69648950236</v>
      </c>
      <c r="G452" s="11" t="n">
        <f aca="false">G448*G451</f>
        <v>431.108976072895</v>
      </c>
    </row>
    <row r="453" customFormat="false" ht="17.15" hidden="false" customHeight="false" outlineLevel="0" collapsed="false">
      <c r="A453" s="5" t="s">
        <v>399</v>
      </c>
      <c r="B453" s="0" t="s">
        <v>29</v>
      </c>
      <c r="C453" s="11" t="n">
        <f aca="false">a25_sga</f>
        <v>121.487</v>
      </c>
      <c r="D453" s="11" t="n">
        <f aca="false">sg_f+sg_v*D448</f>
        <v>136.308401641269</v>
      </c>
      <c r="E453" s="11" t="n">
        <f aca="false">sg_f+sg_v*E448</f>
        <v>144.606722521457</v>
      </c>
      <c r="F453" s="11" t="n">
        <f aca="false">sg_f+sg_v*F448</f>
        <v>152.581220540443</v>
      </c>
      <c r="G453" s="11" t="n">
        <f aca="false">sg_f+sg_v*G448</f>
        <v>155.976163989035</v>
      </c>
      <c r="J453" s="5" t="s">
        <v>514</v>
      </c>
    </row>
    <row r="454" customFormat="false" ht="15" hidden="false" customHeight="false" outlineLevel="0" collapsed="false">
      <c r="A454" s="5" t="s">
        <v>367</v>
      </c>
      <c r="B454" s="0" t="s">
        <v>29</v>
      </c>
      <c r="C454" s="11" t="n">
        <f aca="false">C452-C453</f>
        <v>184.99</v>
      </c>
      <c r="D454" s="11" t="n">
        <f aca="false">D452-D453</f>
        <v>229.200596404682</v>
      </c>
      <c r="E454" s="11" t="n">
        <f aca="false">E452-E453</f>
        <v>248.425681431424</v>
      </c>
      <c r="F454" s="11" t="n">
        <f aca="false">F452-F453</f>
        <v>267.115268961917</v>
      </c>
      <c r="G454" s="11" t="n">
        <f aca="false">G452-G453</f>
        <v>275.13281208386</v>
      </c>
    </row>
    <row r="455" customFormat="false" ht="15" hidden="false" customHeight="false" outlineLevel="0" collapsed="false">
      <c r="A455" s="5" t="s">
        <v>515</v>
      </c>
      <c r="B455" s="0" t="s">
        <v>56</v>
      </c>
      <c r="C455" s="14" t="n">
        <f aca="false">C454/C448</f>
        <v>0.423425629851061</v>
      </c>
      <c r="D455" s="14" t="n">
        <f aca="false">D454/D448</f>
        <v>0.451243499369693</v>
      </c>
      <c r="E455" s="14" t="n">
        <f aca="false">E454/E448</f>
        <v>0.459355947452134</v>
      </c>
      <c r="F455" s="14" t="n">
        <f aca="false">F454/F448</f>
        <v>0.466648749298392</v>
      </c>
      <c r="G455" s="14" t="n">
        <f aca="false">G454/G448</f>
        <v>0.469618712667478</v>
      </c>
    </row>
    <row r="456" customFormat="false" ht="15" hidden="false" customHeight="false" outlineLevel="0" collapsed="false">
      <c r="A456" s="5" t="s">
        <v>370</v>
      </c>
      <c r="B456" s="0" t="s">
        <v>29</v>
      </c>
      <c r="C456" s="11" t="n">
        <f aca="false">a25_ni</f>
        <v>135.521</v>
      </c>
      <c r="D456" s="11" t="n">
        <f aca="false">D454*nioi</f>
        <v>167.909951539599</v>
      </c>
      <c r="E456" s="11" t="n">
        <f aca="false">E454*nioi</f>
        <v>181.994047069112</v>
      </c>
      <c r="F456" s="11" t="n">
        <f aca="false">F454*nioi</f>
        <v>195.685842752747</v>
      </c>
      <c r="G456" s="11" t="n">
        <f aca="false">G454*nioi</f>
        <v>201.559410702349</v>
      </c>
    </row>
    <row r="457" customFormat="false" ht="15" hidden="false" customHeight="false" outlineLevel="0" collapsed="false">
      <c r="A457" s="0" t="s">
        <v>459</v>
      </c>
      <c r="B457" s="0" t="s">
        <v>51</v>
      </c>
      <c r="C457" s="11" t="n">
        <f aca="false">a25_eps</f>
        <v>1249.84</v>
      </c>
      <c r="D457" s="11" t="n">
        <f aca="false">D456*1000/shares</f>
        <v>1547.82990322137</v>
      </c>
      <c r="E457" s="11" t="n">
        <f aca="false">E456*1000/shares</f>
        <v>1677.66011292914</v>
      </c>
      <c r="F457" s="11" t="n">
        <f aca="false">F456*1000/shares</f>
        <v>1803.87401861852</v>
      </c>
      <c r="G457" s="11" t="n">
        <f aca="false">G456*1000/shares</f>
        <v>1858.01782622275</v>
      </c>
    </row>
    <row r="458" customFormat="false" ht="17.15" hidden="false" customHeight="false" outlineLevel="0" collapsed="false">
      <c r="A458" s="5" t="s">
        <v>516</v>
      </c>
      <c r="B458" s="0" t="s">
        <v>29</v>
      </c>
      <c r="C458" s="16" t="n">
        <f aca="false">ABS(C448-a25_rev)+ABS(C454-a25_oi)</f>
        <v>0.000999999999976353</v>
      </c>
    </row>
    <row r="460" customFormat="false" ht="17.15" hidden="false" customHeight="false" outlineLevel="0" collapsed="false">
      <c r="A460" s="3" t="s">
        <v>721</v>
      </c>
    </row>
    <row r="461" customFormat="false" ht="17.15" hidden="false" customHeight="false" outlineLevel="0" collapsed="false">
      <c r="A461" s="6" t="s">
        <v>18</v>
      </c>
      <c r="B461" s="6" t="s">
        <v>19</v>
      </c>
      <c r="C461" s="9" t="s">
        <v>464</v>
      </c>
      <c r="D461" s="9" t="s">
        <v>465</v>
      </c>
      <c r="E461" s="9" t="s">
        <v>466</v>
      </c>
      <c r="F461" s="9" t="s">
        <v>467</v>
      </c>
      <c r="G461" s="9" t="s">
        <v>468</v>
      </c>
      <c r="H461" s="9" t="s">
        <v>469</v>
      </c>
      <c r="I461" s="9" t="s">
        <v>470</v>
      </c>
      <c r="J461" s="6" t="s">
        <v>450</v>
      </c>
    </row>
    <row r="462" customFormat="false" ht="17.15" hidden="false" customHeight="false" outlineLevel="0" collapsed="false">
      <c r="A462" s="1" t="s">
        <v>471</v>
      </c>
    </row>
    <row r="463" customFormat="false" ht="17.15" hidden="false" customHeight="false" outlineLevel="0" collapsed="false">
      <c r="A463" s="0" t="s">
        <v>472</v>
      </c>
      <c r="B463" s="0" t="s">
        <v>96</v>
      </c>
      <c r="C463" s="19" t="n">
        <f aca="false">hsA_25</f>
        <v>2.22511470588235</v>
      </c>
      <c r="D463" s="19" t="n">
        <f aca="false">hsA_26</f>
        <v>3.782695</v>
      </c>
      <c r="E463" s="19" t="n">
        <f aca="false">hsA_27</f>
        <v>5.86317725</v>
      </c>
      <c r="F463" s="19" t="n">
        <f aca="false">hsA_28</f>
        <v>8.5016070125</v>
      </c>
      <c r="G463" s="19" t="n">
        <f aca="false">hsA_29</f>
        <v>11.477169466875</v>
      </c>
      <c r="H463" s="19" t="n">
        <f aca="false">G463*(1+g_tail)</f>
        <v>12.6248864135625</v>
      </c>
      <c r="I463" s="19" t="n">
        <f aca="false">H463*(1+g_tail)</f>
        <v>13.8873750549188</v>
      </c>
      <c r="J463" s="8" t="s">
        <v>473</v>
      </c>
    </row>
    <row r="464" customFormat="false" ht="17.15" hidden="false" customHeight="false" outlineLevel="0" collapsed="false">
      <c r="A464" s="0" t="s">
        <v>474</v>
      </c>
      <c r="B464" s="0" t="s">
        <v>475</v>
      </c>
      <c r="C464" s="19" t="n">
        <f aca="false">den_25_lo</f>
        <v>22</v>
      </c>
      <c r="D464" s="19" t="n">
        <f aca="false">den_26_lo</f>
        <v>24</v>
      </c>
      <c r="E464" s="19" t="n">
        <f aca="false">den_27_lo</f>
        <v>24</v>
      </c>
      <c r="F464" s="19" t="n">
        <f aca="false">den_28_lo</f>
        <v>24</v>
      </c>
      <c r="G464" s="19" t="n">
        <f aca="false">den_29_lo</f>
        <v>26</v>
      </c>
      <c r="H464" s="19" t="n">
        <f aca="false">den_30_lo</f>
        <v>28</v>
      </c>
      <c r="I464" s="19" t="n">
        <f aca="false">den_30_lo</f>
        <v>28</v>
      </c>
    </row>
    <row r="465" customFormat="false" ht="15" hidden="false" customHeight="false" outlineLevel="0" collapsed="false">
      <c r="A465" s="5" t="s">
        <v>476</v>
      </c>
      <c r="B465" s="5" t="s">
        <v>148</v>
      </c>
      <c r="C465" s="19" t="n">
        <f aca="false">stk_25</f>
        <v>10</v>
      </c>
      <c r="D465" s="19" t="n">
        <f aca="false">stk_26</f>
        <v>12</v>
      </c>
      <c r="E465" s="19" t="n">
        <f aca="false">stk_27</f>
        <v>12.5</v>
      </c>
      <c r="F465" s="19" t="n">
        <f aca="false">stk_28</f>
        <v>14</v>
      </c>
      <c r="G465" s="19" t="n">
        <f aca="false">stk_29</f>
        <v>15</v>
      </c>
      <c r="H465" s="19" t="n">
        <f aca="false">stk_30</f>
        <v>16</v>
      </c>
      <c r="I465" s="19" t="n">
        <f aca="false">stk_30</f>
        <v>16</v>
      </c>
    </row>
    <row r="466" customFormat="false" ht="17.15" hidden="false" customHeight="false" outlineLevel="0" collapsed="false">
      <c r="A466" s="0" t="s">
        <v>477</v>
      </c>
      <c r="B466" s="5" t="s">
        <v>478</v>
      </c>
      <c r="C466" s="19" t="n">
        <f aca="false">C463*8/C464</f>
        <v>0.809132620320855</v>
      </c>
      <c r="D466" s="19" t="n">
        <f aca="false">D463*8/D464</f>
        <v>1.26089833333333</v>
      </c>
      <c r="E466" s="19" t="n">
        <f aca="false">E463*8/E464</f>
        <v>1.95439241666667</v>
      </c>
      <c r="F466" s="19" t="n">
        <f aca="false">F463*8/F464</f>
        <v>2.83386900416667</v>
      </c>
      <c r="G466" s="19" t="n">
        <f aca="false">G463*8/G464</f>
        <v>3.53143675903846</v>
      </c>
      <c r="H466" s="19" t="n">
        <f aca="false">H463*8/H464</f>
        <v>3.607110403875</v>
      </c>
      <c r="I466" s="19" t="n">
        <f aca="false">I463*8/I464</f>
        <v>3.9678214442625</v>
      </c>
      <c r="J466" s="8" t="s">
        <v>479</v>
      </c>
    </row>
    <row r="467" customFormat="false" ht="17.15" hidden="false" customHeight="false" outlineLevel="0" collapsed="false">
      <c r="A467" s="0" t="s">
        <v>480</v>
      </c>
      <c r="B467" s="5" t="s">
        <v>481</v>
      </c>
      <c r="C467" s="19" t="n">
        <f aca="false">C466*(1+s_stk/C465)</f>
        <v>1.05187240641711</v>
      </c>
      <c r="D467" s="19" t="n">
        <f aca="false">D466*(1+s_stk/D465)</f>
        <v>1.57612291666667</v>
      </c>
      <c r="E467" s="19" t="n">
        <f aca="false">E466*(1+s_stk/E465)</f>
        <v>2.42344659666667</v>
      </c>
      <c r="F467" s="19" t="n">
        <f aca="false">F466*(1+s_stk/F465)</f>
        <v>3.44112664791667</v>
      </c>
      <c r="G467" s="19" t="n">
        <f aca="false">G466*(1+s_stk/G465)</f>
        <v>4.23772411084615</v>
      </c>
      <c r="H467" s="19" t="n">
        <f aca="false">H466*(1+s_stk/H465)</f>
        <v>4.28344360460156</v>
      </c>
      <c r="I467" s="19" t="n">
        <f aca="false">I466*(1+s_stk/I465)</f>
        <v>4.71178796506172</v>
      </c>
      <c r="J467" s="5" t="s">
        <v>482</v>
      </c>
    </row>
    <row r="468" customFormat="false" ht="17.15" hidden="false" customHeight="false" outlineLevel="0" collapsed="false">
      <c r="A468" s="5" t="s">
        <v>483</v>
      </c>
      <c r="B468" s="0" t="s">
        <v>56</v>
      </c>
      <c r="C468" s="22" t="n">
        <f aca="false">hbp_25*hb_on</f>
        <v>0</v>
      </c>
      <c r="D468" s="22" t="n">
        <f aca="false">hbp_26*hb_on</f>
        <v>0</v>
      </c>
      <c r="E468" s="22" t="n">
        <f aca="false">hbp_27*hb_on</f>
        <v>0</v>
      </c>
      <c r="F468" s="22" t="n">
        <f aca="false">hbp_28*hb_on</f>
        <v>0.05</v>
      </c>
      <c r="G468" s="22" t="n">
        <f aca="false">hbp_29*hb_on</f>
        <v>0.15</v>
      </c>
      <c r="H468" s="22" t="n">
        <f aca="false">hbp_30*hb_on</f>
        <v>0.25</v>
      </c>
      <c r="I468" s="22" t="n">
        <f aca="false">hbp_30*hb_on</f>
        <v>0.25</v>
      </c>
    </row>
    <row r="469" customFormat="false" ht="17.15" hidden="false" customHeight="false" outlineLevel="0" collapsed="false">
      <c r="A469" s="0" t="s">
        <v>484</v>
      </c>
      <c r="B469" s="5" t="s">
        <v>481</v>
      </c>
      <c r="C469" s="19" t="n">
        <f aca="false">C467*(1+C468*hb_eff)</f>
        <v>1.05187240641711</v>
      </c>
      <c r="D469" s="19" t="n">
        <f aca="false">D467*(1+D468*hb_eff)</f>
        <v>1.57612291666667</v>
      </c>
      <c r="E469" s="19" t="n">
        <f aca="false">E467*(1+E468*hb_eff)</f>
        <v>2.42344659666667</v>
      </c>
      <c r="F469" s="19" t="n">
        <f aca="false">F467*(1+F468*hb_eff)</f>
        <v>3.45833228115625</v>
      </c>
      <c r="G469" s="19" t="n">
        <f aca="false">G467*(1+G468*hb_eff)</f>
        <v>4.30128997250885</v>
      </c>
      <c r="H469" s="19" t="n">
        <f aca="false">H467*(1+H468*hb_eff)</f>
        <v>4.3905296947166</v>
      </c>
      <c r="I469" s="19" t="n">
        <f aca="false">I467*(1+I468*hb_eff)</f>
        <v>4.82958266418826</v>
      </c>
      <c r="J469" s="5" t="s">
        <v>485</v>
      </c>
    </row>
    <row r="470" customFormat="false" ht="17.15" hidden="false" customHeight="false" outlineLevel="0" collapsed="false">
      <c r="A470" s="0" t="s">
        <v>486</v>
      </c>
      <c r="B470" s="5" t="s">
        <v>481</v>
      </c>
      <c r="C470" s="19" t="n">
        <f aca="false">MAX(0,D469-C469)+dlt*C469</f>
        <v>0.629437750891267</v>
      </c>
      <c r="D470" s="19" t="n">
        <f aca="false">MAX(0,E469-D469)+dlt*D469</f>
        <v>1.00493597166667</v>
      </c>
      <c r="E470" s="19" t="n">
        <f aca="false">MAX(0,F469-E469)+dlt*E469</f>
        <v>1.27723034415625</v>
      </c>
      <c r="F470" s="19" t="n">
        <f aca="false">MAX(0,G469-F469)+dlt*F469</f>
        <v>1.18879091946822</v>
      </c>
      <c r="G470" s="19" t="n">
        <f aca="false">MAX(0,H469-G469)+dlt*G469</f>
        <v>0.519368719458641</v>
      </c>
      <c r="H470" s="19" t="n">
        <f aca="false">MAX(0,I469-H469)+dlt*H469</f>
        <v>0.87810593894332</v>
      </c>
      <c r="J470" s="5" t="s">
        <v>487</v>
      </c>
    </row>
    <row r="471" customFormat="false" ht="17.15" hidden="false" customHeight="false" outlineLevel="0" collapsed="false">
      <c r="A471" s="0" t="s">
        <v>488</v>
      </c>
      <c r="B471" s="5" t="s">
        <v>177</v>
      </c>
      <c r="C471" s="21" t="n">
        <f aca="false">cw_25</f>
        <v>670</v>
      </c>
      <c r="D471" s="21" t="n">
        <f aca="false">cw_26</f>
        <v>1107.85762580894</v>
      </c>
      <c r="E471" s="21" t="n">
        <f aca="false">cw_27</f>
        <v>2096.42857142857</v>
      </c>
      <c r="F471" s="21" t="n">
        <f aca="false">cw_28*um28_A</f>
        <v>2620.08928571429</v>
      </c>
      <c r="G471" s="21" t="n">
        <f aca="false">cw_29*um29_A</f>
        <v>3013.32589285714</v>
      </c>
      <c r="H471" s="21" t="n">
        <f aca="false">G471*(1+g_tail)</f>
        <v>3314.65848214285</v>
      </c>
      <c r="I471" s="21" t="n">
        <f aca="false">H471*(1+g_tail)</f>
        <v>3646.12433035714</v>
      </c>
      <c r="J471" s="5" t="s">
        <v>489</v>
      </c>
    </row>
    <row r="472" customFormat="false" ht="15" hidden="false" customHeight="false" outlineLevel="0" collapsed="false">
      <c r="A472" s="5" t="s">
        <v>490</v>
      </c>
      <c r="B472" s="5" t="s">
        <v>177</v>
      </c>
      <c r="C472" s="21" t="n">
        <f aca="false">MAX(0,D471-C471)+dlt*C471</f>
        <v>504.85762580894</v>
      </c>
      <c r="D472" s="21" t="n">
        <f aca="false">MAX(0,E471-D471)+dlt*D471</f>
        <v>1099.35670820052</v>
      </c>
      <c r="E472" s="21" t="n">
        <f aca="false">MAX(0,F471-E471)+dlt*E471</f>
        <v>733.303571428577</v>
      </c>
      <c r="F472" s="21" t="n">
        <f aca="false">MAX(0,G471-F471)+dlt*F471</f>
        <v>655.245535714279</v>
      </c>
      <c r="G472" s="21" t="n">
        <f aca="false">MAX(0,H471-G471)+dlt*G471</f>
        <v>602.665178571428</v>
      </c>
      <c r="H472" s="21" t="n">
        <f aca="false">MAX(0,I471-H471)+dlt*H471</f>
        <v>662.931696428571</v>
      </c>
    </row>
    <row r="473" customFormat="false" ht="17.15" hidden="false" customHeight="false" outlineLevel="0" collapsed="false">
      <c r="A473" s="1" t="s">
        <v>491</v>
      </c>
    </row>
    <row r="474" customFormat="false" ht="17.15" hidden="false" customHeight="false" outlineLevel="0" collapsed="false">
      <c r="A474" s="0" t="s">
        <v>492</v>
      </c>
      <c r="B474" s="0" t="s">
        <v>493</v>
      </c>
      <c r="C474" s="16" t="n">
        <f aca="false">ai25*w_hbm/(0.75*C470+0.25*D470)</f>
        <v>49.7710320937961</v>
      </c>
      <c r="J474" s="5" t="s">
        <v>494</v>
      </c>
    </row>
    <row r="475" customFormat="false" ht="17.15" hidden="false" customHeight="false" outlineLevel="0" collapsed="false">
      <c r="A475" s="5" t="s">
        <v>495</v>
      </c>
      <c r="B475" s="0" t="s">
        <v>496</v>
      </c>
      <c r="C475" s="18" t="n">
        <f aca="false">ai25*(1-w_hbm)/(0.75*C472+0.25*D472)</f>
        <v>0.0596802610360141</v>
      </c>
    </row>
    <row r="476" customFormat="false" ht="17.15" hidden="false" customHeight="false" outlineLevel="0" collapsed="false">
      <c r="A476" s="1" t="s">
        <v>497</v>
      </c>
    </row>
    <row r="477" customFormat="false" ht="17.15" hidden="false" customHeight="false" outlineLevel="0" collapsed="false">
      <c r="A477" s="5" t="s">
        <v>498</v>
      </c>
      <c r="B477" s="0" t="s">
        <v>76</v>
      </c>
      <c r="C477" s="16" t="n">
        <f aca="false">1-sh_loss/sh*0</f>
        <v>1</v>
      </c>
      <c r="D477" s="16" t="n">
        <f aca="false">1-sh_loss/sh*0.25</f>
        <v>1</v>
      </c>
      <c r="E477" s="16" t="n">
        <f aca="false">1-sh_loss/sh*0.5</f>
        <v>1</v>
      </c>
      <c r="F477" s="16" t="n">
        <f aca="false">1-sh_loss/sh*0.75</f>
        <v>1</v>
      </c>
      <c r="G477" s="16" t="n">
        <f aca="false">1-sh_loss/sh*1</f>
        <v>1</v>
      </c>
    </row>
    <row r="478" customFormat="false" ht="17.15" hidden="false" customHeight="false" outlineLevel="0" collapsed="false">
      <c r="A478" s="0" t="s">
        <v>499</v>
      </c>
      <c r="B478" s="0" t="s">
        <v>29</v>
      </c>
      <c r="C478" s="11" t="n">
        <f aca="false">$C$474*(0.75*C470+0.25*D470)*C477</f>
        <v>36</v>
      </c>
      <c r="D478" s="11" t="n">
        <f aca="false">$C$474*(0.75*D470+0.25*E470)*D477</f>
        <v>53.4047934860666</v>
      </c>
      <c r="E478" s="11" t="n">
        <f aca="false">$C$474*(0.75*E470+0.25*F470)*E477</f>
        <v>62.4686420890447</v>
      </c>
      <c r="F478" s="11" t="n">
        <f aca="false">$C$474*(0.75*F470+0.25*G470)*F477</f>
        <v>50.8378925554221</v>
      </c>
      <c r="G478" s="11" t="n">
        <f aca="false">$C$474*(0.75*G470+0.25*H470)*G477</f>
        <v>30.3131976207426</v>
      </c>
    </row>
    <row r="479" customFormat="false" ht="17.15" hidden="false" customHeight="false" outlineLevel="0" collapsed="false">
      <c r="A479" s="5" t="s">
        <v>500</v>
      </c>
      <c r="B479" s="0" t="s">
        <v>29</v>
      </c>
      <c r="C479" s="11" t="n">
        <f aca="false">$C$475*(0.75*C472+0.25*D472)*C477</f>
        <v>39</v>
      </c>
      <c r="D479" s="11" t="n">
        <f aca="false">$C$475*(0.75*D472+0.25*E472)*D477</f>
        <v>60.1483586282001</v>
      </c>
      <c r="E479" s="11" t="n">
        <f aca="false">$C$475*(0.75*E472+0.25*F472)*E477</f>
        <v>42.5991175746519</v>
      </c>
      <c r="F479" s="11" t="n">
        <f aca="false">$C$475*(0.75*F472+0.25*G472)*F477</f>
        <v>38.320722254198</v>
      </c>
      <c r="G479" s="11" t="n">
        <f aca="false">$C$475*(0.75*G472+0.25*H472)*G477</f>
        <v>36.8663955538204</v>
      </c>
    </row>
    <row r="480" customFormat="false" ht="17.15" hidden="false" customHeight="false" outlineLevel="0" collapsed="false">
      <c r="A480" s="0" t="s">
        <v>501</v>
      </c>
      <c r="B480" s="0" t="s">
        <v>29</v>
      </c>
      <c r="C480" s="11" t="n">
        <f aca="false">C478+C479</f>
        <v>75</v>
      </c>
      <c r="D480" s="11" t="n">
        <f aca="false">D478+D479</f>
        <v>113.553152114267</v>
      </c>
      <c r="E480" s="11" t="n">
        <f aca="false">E478+E479</f>
        <v>105.067759663697</v>
      </c>
      <c r="F480" s="11" t="n">
        <f aca="false">F478+F479</f>
        <v>89.1586148096201</v>
      </c>
      <c r="G480" s="11" t="n">
        <f aca="false">G478+G479</f>
        <v>67.1795931745629</v>
      </c>
    </row>
    <row r="481" customFormat="false" ht="17.15" hidden="false" customHeight="false" outlineLevel="0" collapsed="false">
      <c r="A481" s="5" t="s">
        <v>502</v>
      </c>
      <c r="B481" s="0" t="s">
        <v>29</v>
      </c>
      <c r="C481" s="11" t="n">
        <f aca="false">eq25-ai25</f>
        <v>195.87118</v>
      </c>
      <c r="D481" s="11" t="n">
        <f aca="false">C481*(1+g_non)*D477/C477</f>
        <v>207.6234508</v>
      </c>
      <c r="E481" s="11" t="n">
        <f aca="false">D481*(1+g_non)*E477/D477</f>
        <v>220.080857848</v>
      </c>
      <c r="F481" s="11" t="n">
        <f aca="false">E481*(1+g_non)*F477/E477</f>
        <v>233.28570931888</v>
      </c>
      <c r="G481" s="11" t="n">
        <f aca="false">F481*(1+g_non)*G477/F477</f>
        <v>247.282851878013</v>
      </c>
    </row>
    <row r="482" customFormat="false" ht="15" hidden="false" customHeight="false" outlineLevel="0" collapsed="false">
      <c r="A482" s="5" t="s">
        <v>503</v>
      </c>
      <c r="B482" s="0" t="s">
        <v>29</v>
      </c>
      <c r="C482" s="11" t="n">
        <f aca="false">C480+C481</f>
        <v>270.87118</v>
      </c>
      <c r="D482" s="11" t="n">
        <f aca="false">D480+D481</f>
        <v>321.176602914267</v>
      </c>
      <c r="E482" s="11" t="n">
        <f aca="false">E480+E481</f>
        <v>325.148617511697</v>
      </c>
      <c r="F482" s="11" t="n">
        <f aca="false">F480+F481</f>
        <v>322.4443241285</v>
      </c>
      <c r="G482" s="11" t="n">
        <f aca="false">G480+G481</f>
        <v>314.462445052576</v>
      </c>
    </row>
    <row r="483" customFormat="false" ht="17.15" hidden="false" customHeight="false" outlineLevel="0" collapsed="false">
      <c r="A483" s="0" t="s">
        <v>504</v>
      </c>
      <c r="B483" s="0" t="s">
        <v>76</v>
      </c>
      <c r="C483" s="19" t="n">
        <f aca="false">w_hbm*(0.75*C469+0.25*D469)/(0.75*C469+0.25*D469)+(1-w_hbm)*(0.75*C471+0.25*D471)/(0.75*C471+0.25*D471)</f>
        <v>1</v>
      </c>
      <c r="D483" s="19" t="n">
        <f aca="false">w_hbm*(0.75*D469+0.25*E469)/(0.75*C469+0.25*D469)+(1-w_hbm)*(0.75*D471+0.25*E471)/(0.75*C471+0.25*D471)</f>
        <v>1.62945299297263</v>
      </c>
      <c r="E483" s="19" t="n">
        <f aca="false">w_hbm*(0.75*E469+0.25*F469)/(0.75*C469+0.25*D469)+(1-w_hbm)*(0.75*E471+0.25*F471)/(0.75*C471+0.25*D471)</f>
        <v>2.57426048989429</v>
      </c>
      <c r="F483" s="19" t="n">
        <f aca="false">w_hbm*(0.75*F469+0.25*G469)/(0.75*C469+0.25*D469)+(1-w_hbm)*(0.75*F471+0.25*G471)/(0.75*C471+0.25*D471)</f>
        <v>3.30231151246966</v>
      </c>
      <c r="G483" s="19" t="n">
        <f aca="false">w_hbm*(0.75*G469+0.25*H469)/(0.75*C469+0.25*D469)+(1-w_hbm)*(0.75*G471+0.25*H471)/(0.75*C471+0.25*D471)</f>
        <v>3.81490968277695</v>
      </c>
      <c r="J483" s="8" t="s">
        <v>505</v>
      </c>
    </row>
    <row r="484" customFormat="false" ht="17.15" hidden="false" customHeight="false" outlineLevel="0" collapsed="false">
      <c r="A484" s="0" t="s">
        <v>506</v>
      </c>
      <c r="B484" s="0" t="s">
        <v>29</v>
      </c>
      <c r="C484" s="11" t="n">
        <f aca="false">tl25*w_tlai*C483</f>
        <v>25.4032258064516</v>
      </c>
      <c r="D484" s="11" t="n">
        <f aca="false">tl25*w_tlai*D483</f>
        <v>41.3933623214822</v>
      </c>
      <c r="E484" s="11" t="n">
        <f aca="false">tl25*w_tlai*E483</f>
        <v>65.3945205094113</v>
      </c>
      <c r="F484" s="11" t="n">
        <f aca="false">tl25*w_tlai*F483</f>
        <v>83.8893650345115</v>
      </c>
      <c r="G484" s="11" t="n">
        <f aca="false">tl25*w_tlai*G483</f>
        <v>96.9110121028016</v>
      </c>
      <c r="J484" s="5" t="s">
        <v>507</v>
      </c>
    </row>
    <row r="485" customFormat="false" ht="17.15" hidden="false" customHeight="false" outlineLevel="0" collapsed="false">
      <c r="A485" s="5" t="s">
        <v>508</v>
      </c>
      <c r="B485" s="0" t="s">
        <v>29</v>
      </c>
      <c r="C485" s="11" t="n">
        <f aca="false">tl25*(1-w_tlai)</f>
        <v>66.3434641935484</v>
      </c>
      <c r="D485" s="11" t="n">
        <f aca="false">C485*(1+g_tl)</f>
        <v>69.6606374032258</v>
      </c>
      <c r="E485" s="11" t="n">
        <f aca="false">D485*(1+g_tl)</f>
        <v>73.1436692733871</v>
      </c>
      <c r="F485" s="11" t="n">
        <f aca="false">E485*(1+g_tl)</f>
        <v>76.8008527370565</v>
      </c>
      <c r="G485" s="11" t="n">
        <f aca="false">F485*(1+g_tl)</f>
        <v>80.6408953739093</v>
      </c>
    </row>
    <row r="486" customFormat="false" ht="15" hidden="false" customHeight="false" outlineLevel="0" collapsed="false">
      <c r="A486" s="5" t="s">
        <v>509</v>
      </c>
      <c r="B486" s="0" t="s">
        <v>29</v>
      </c>
      <c r="C486" s="11" t="n">
        <f aca="false">C484+C485</f>
        <v>91.74669</v>
      </c>
      <c r="D486" s="11" t="n">
        <f aca="false">D484+D485</f>
        <v>111.053999724708</v>
      </c>
      <c r="E486" s="11" t="n">
        <f aca="false">E484+E485</f>
        <v>138.538189782798</v>
      </c>
      <c r="F486" s="11" t="n">
        <f aca="false">F484+F485</f>
        <v>160.690217771568</v>
      </c>
      <c r="G486" s="11" t="n">
        <f aca="false">G484+G485</f>
        <v>177.551907476711</v>
      </c>
    </row>
    <row r="487" customFormat="false" ht="15" hidden="false" customHeight="false" outlineLevel="0" collapsed="false">
      <c r="A487" s="5" t="s">
        <v>393</v>
      </c>
      <c r="B487" s="0" t="s">
        <v>29</v>
      </c>
      <c r="C487" s="11" t="n">
        <f aca="false">r_ot*(C482+C486)</f>
        <v>74.27113</v>
      </c>
      <c r="D487" s="11" t="n">
        <f aca="false">r_ot*(D482+D486)</f>
        <v>88.5291595766575</v>
      </c>
      <c r="E487" s="11" t="n">
        <f aca="false">r_ot*(E482+E486)</f>
        <v>94.9719966747761</v>
      </c>
      <c r="F487" s="11" t="n">
        <f aca="false">r_ot*(F482+F486)</f>
        <v>98.9552676180863</v>
      </c>
      <c r="G487" s="11" t="n">
        <f aca="false">r_ot*(G482+G486)</f>
        <v>100.774024012023</v>
      </c>
    </row>
    <row r="488" customFormat="false" ht="15" hidden="false" customHeight="false" outlineLevel="0" collapsed="false">
      <c r="A488" s="5" t="s">
        <v>363</v>
      </c>
      <c r="B488" s="0" t="s">
        <v>29</v>
      </c>
      <c r="C488" s="11" t="n">
        <f aca="false">C482+C486+C487</f>
        <v>436.889</v>
      </c>
      <c r="D488" s="11" t="n">
        <f aca="false">D482+D486+D487</f>
        <v>520.759762215632</v>
      </c>
      <c r="E488" s="11" t="n">
        <f aca="false">E482+E486+E487</f>
        <v>558.658803969271</v>
      </c>
      <c r="F488" s="11" t="n">
        <f aca="false">F482+F486+F487</f>
        <v>582.089809518154</v>
      </c>
      <c r="G488" s="11" t="n">
        <f aca="false">G482+G486+G487</f>
        <v>592.788376541309</v>
      </c>
    </row>
    <row r="489" customFormat="false" ht="17.15" hidden="false" customHeight="false" outlineLevel="0" collapsed="false">
      <c r="A489" s="0" t="s">
        <v>510</v>
      </c>
      <c r="B489" s="0" t="s">
        <v>56</v>
      </c>
      <c r="C489" s="14" t="n">
        <f aca="false">(C480+C484)*(1+r_ot)/C488</f>
        <v>0.276884384673187</v>
      </c>
      <c r="D489" s="14" t="n">
        <f aca="false">(D480+D484)*(1+r_ot)/D488</f>
        <v>0.358481129030953</v>
      </c>
      <c r="E489" s="14" t="n">
        <f aca="false">(E480+E484)*(1+r_ot)/E488</f>
        <v>0.367623744069226</v>
      </c>
      <c r="F489" s="14" t="n">
        <f aca="false">(F480+F484)*(1+r_ot)/F488</f>
        <v>0.358177618937304</v>
      </c>
      <c r="G489" s="14" t="n">
        <f aca="false">(G480+G484)*(1+r_ot)/G488</f>
        <v>0.333507761376935</v>
      </c>
    </row>
    <row r="490" customFormat="false" ht="17.15" hidden="false" customHeight="false" outlineLevel="0" collapsed="false">
      <c r="A490" s="0" t="s">
        <v>511</v>
      </c>
      <c r="B490" s="0" t="s">
        <v>56</v>
      </c>
      <c r="C490" s="14" t="n">
        <f aca="false">C480*(1+r_ot)/C488</f>
        <v>0.206829299394429</v>
      </c>
      <c r="D490" s="14" t="n">
        <f aca="false">D480*(1+r_ot)/D488</f>
        <v>0.262714281267847</v>
      </c>
      <c r="E490" s="14" t="n">
        <f aca="false">E480*(1+r_ot)/E488</f>
        <v>0.22659208330024</v>
      </c>
      <c r="F490" s="14" t="n">
        <f aca="false">F480*(1+r_ot)/F488</f>
        <v>0.184542000369044</v>
      </c>
      <c r="G490" s="14" t="n">
        <f aca="false">G480*(1+r_ot)/G488</f>
        <v>0.136539905450348</v>
      </c>
      <c r="J490" s="5" t="s">
        <v>512</v>
      </c>
    </row>
    <row r="491" customFormat="false" ht="17.15" hidden="false" customHeight="false" outlineLevel="0" collapsed="false">
      <c r="A491" s="5" t="s">
        <v>401</v>
      </c>
      <c r="B491" s="0" t="s">
        <v>56</v>
      </c>
      <c r="C491" s="14" t="n">
        <f aca="false">a25_gp/a25_rev</f>
        <v>0.701498549974936</v>
      </c>
      <c r="D491" s="14" t="n">
        <f aca="false">gm_a+gm_b*LN(D488)+0</f>
        <v>0.722442702906842</v>
      </c>
      <c r="E491" s="14" t="n">
        <f aca="false">gm_a+gm_b*LN(E488)+0</f>
        <v>0.730438986973905</v>
      </c>
      <c r="F491" s="14" t="n">
        <f aca="false">gm_a+gm_b*LN(F488)+0</f>
        <v>0.73511562091355</v>
      </c>
      <c r="G491" s="14" t="n">
        <f aca="false">gm_a+gm_b*LN(G488)+0</f>
        <v>0.737188701045055</v>
      </c>
      <c r="J491" s="8" t="s">
        <v>513</v>
      </c>
    </row>
    <row r="492" customFormat="false" ht="15" hidden="false" customHeight="false" outlineLevel="0" collapsed="false">
      <c r="A492" s="5" t="s">
        <v>398</v>
      </c>
      <c r="B492" s="0" t="s">
        <v>29</v>
      </c>
      <c r="C492" s="11" t="n">
        <f aca="false">C488*C491</f>
        <v>306.477</v>
      </c>
      <c r="D492" s="11" t="n">
        <f aca="false">D488*D491</f>
        <v>376.219090180185</v>
      </c>
      <c r="E492" s="11" t="n">
        <f aca="false">E488*E491</f>
        <v>408.066170835368</v>
      </c>
      <c r="F492" s="11" t="n">
        <f aca="false">F488*F491</f>
        <v>427.903311751388</v>
      </c>
      <c r="G492" s="11" t="n">
        <f aca="false">G488*G491</f>
        <v>436.996893297095</v>
      </c>
    </row>
    <row r="493" customFormat="false" ht="17.15" hidden="false" customHeight="false" outlineLevel="0" collapsed="false">
      <c r="A493" s="5" t="s">
        <v>399</v>
      </c>
      <c r="B493" s="0" t="s">
        <v>29</v>
      </c>
      <c r="C493" s="11" t="n">
        <f aca="false">a25_sga</f>
        <v>121.487</v>
      </c>
      <c r="D493" s="11" t="n">
        <f aca="false">sg_f+sg_v*D488</f>
        <v>139.545939003451</v>
      </c>
      <c r="E493" s="11" t="n">
        <f aca="false">sg_f+sg_v*E488</f>
        <v>149.110407766637</v>
      </c>
      <c r="F493" s="11" t="n">
        <f aca="false">sg_f+sg_v*F488</f>
        <v>155.023621143352</v>
      </c>
      <c r="G493" s="11" t="n">
        <f aca="false">sg_f+sg_v*G488</f>
        <v>157.723586772272</v>
      </c>
      <c r="J493" s="5" t="s">
        <v>514</v>
      </c>
    </row>
    <row r="494" customFormat="false" ht="15" hidden="false" customHeight="false" outlineLevel="0" collapsed="false">
      <c r="A494" s="5" t="s">
        <v>367</v>
      </c>
      <c r="B494" s="0" t="s">
        <v>29</v>
      </c>
      <c r="C494" s="11" t="n">
        <f aca="false">C492-C493</f>
        <v>184.99</v>
      </c>
      <c r="D494" s="11" t="n">
        <f aca="false">D492-D493</f>
        <v>236.673151176734</v>
      </c>
      <c r="E494" s="11" t="n">
        <f aca="false">E492-E493</f>
        <v>258.955763068731</v>
      </c>
      <c r="F494" s="11" t="n">
        <f aca="false">F492-F493</f>
        <v>272.879690608036</v>
      </c>
      <c r="G494" s="11" t="n">
        <f aca="false">G492-G493</f>
        <v>279.273306524823</v>
      </c>
    </row>
    <row r="495" customFormat="false" ht="15" hidden="false" customHeight="false" outlineLevel="0" collapsed="false">
      <c r="A495" s="5" t="s">
        <v>515</v>
      </c>
      <c r="B495" s="0" t="s">
        <v>56</v>
      </c>
      <c r="C495" s="14" t="n">
        <f aca="false">C494/C488</f>
        <v>0.423425629851061</v>
      </c>
      <c r="D495" s="14" t="n">
        <f aca="false">D494/D488</f>
        <v>0.454476648060866</v>
      </c>
      <c r="E495" s="14" t="n">
        <f aca="false">E494/E488</f>
        <v>0.463531159320949</v>
      </c>
      <c r="F495" s="14" t="n">
        <f aca="false">F494/F488</f>
        <v>0.468793107431175</v>
      </c>
      <c r="G495" s="14" t="n">
        <f aca="false">G494/G488</f>
        <v>0.471118054227505</v>
      </c>
    </row>
    <row r="496" customFormat="false" ht="15" hidden="false" customHeight="false" outlineLevel="0" collapsed="false">
      <c r="A496" s="5" t="s">
        <v>370</v>
      </c>
      <c r="B496" s="0" t="s">
        <v>29</v>
      </c>
      <c r="C496" s="11" t="n">
        <f aca="false">a25_ni</f>
        <v>135.521</v>
      </c>
      <c r="D496" s="11" t="n">
        <f aca="false">D494*nioi</f>
        <v>173.384266743548</v>
      </c>
      <c r="E496" s="11" t="n">
        <f aca="false">E494*nioi</f>
        <v>189.708274366787</v>
      </c>
      <c r="F496" s="11" t="n">
        <f aca="false">F494*nioi</f>
        <v>199.908797554945</v>
      </c>
      <c r="G496" s="11" t="n">
        <f aca="false">G494*nioi</f>
        <v>204.592693476642</v>
      </c>
    </row>
    <row r="497" customFormat="false" ht="15" hidden="false" customHeight="false" outlineLevel="0" collapsed="false">
      <c r="A497" s="0" t="s">
        <v>459</v>
      </c>
      <c r="B497" s="0" t="s">
        <v>51</v>
      </c>
      <c r="C497" s="11" t="n">
        <f aca="false">a25_eps</f>
        <v>1249.84</v>
      </c>
      <c r="D497" s="11" t="n">
        <f aca="false">D496*1000/shares</f>
        <v>1598.29331348764</v>
      </c>
      <c r="E497" s="11" t="n">
        <f aca="false">E496*1000/shares</f>
        <v>1748.7715127128</v>
      </c>
      <c r="F497" s="11" t="n">
        <f aca="false">F496*1000/shares</f>
        <v>1842.80212063308</v>
      </c>
      <c r="G497" s="11" t="n">
        <f aca="false">G496*1000/shares</f>
        <v>1885.97927663071</v>
      </c>
    </row>
    <row r="498" customFormat="false" ht="17.15" hidden="false" customHeight="false" outlineLevel="0" collapsed="false">
      <c r="A498" s="5" t="s">
        <v>516</v>
      </c>
      <c r="B498" s="0" t="s">
        <v>29</v>
      </c>
      <c r="C498" s="16" t="n">
        <f aca="false">ABS(C488-a25_rev)+ABS(C494-a25_oi)</f>
        <v>0.000999999999976353</v>
      </c>
    </row>
    <row r="500" customFormat="false" ht="17.15" hidden="false" customHeight="false" outlineLevel="0" collapsed="false">
      <c r="A500" s="3" t="s">
        <v>722</v>
      </c>
    </row>
    <row r="501" customFormat="false" ht="17.15" hidden="false" customHeight="false" outlineLevel="0" collapsed="false">
      <c r="A501" s="6" t="s">
        <v>18</v>
      </c>
      <c r="B501" s="6" t="s">
        <v>19</v>
      </c>
      <c r="C501" s="9" t="s">
        <v>464</v>
      </c>
      <c r="D501" s="9" t="s">
        <v>465</v>
      </c>
      <c r="E501" s="9" t="s">
        <v>466</v>
      </c>
      <c r="F501" s="9" t="s">
        <v>467</v>
      </c>
      <c r="G501" s="9" t="s">
        <v>468</v>
      </c>
      <c r="H501" s="9" t="s">
        <v>469</v>
      </c>
      <c r="I501" s="9" t="s">
        <v>470</v>
      </c>
      <c r="J501" s="6" t="s">
        <v>450</v>
      </c>
    </row>
    <row r="502" customFormat="false" ht="17.15" hidden="false" customHeight="false" outlineLevel="0" collapsed="false">
      <c r="A502" s="1" t="s">
        <v>471</v>
      </c>
    </row>
    <row r="503" customFormat="false" ht="17.15" hidden="false" customHeight="false" outlineLevel="0" collapsed="false">
      <c r="A503" s="0" t="s">
        <v>472</v>
      </c>
      <c r="B503" s="0" t="s">
        <v>96</v>
      </c>
      <c r="C503" s="19" t="n">
        <f aca="false">hsA_25</f>
        <v>2.22511470588235</v>
      </c>
      <c r="D503" s="19" t="n">
        <f aca="false">hsA_26</f>
        <v>3.782695</v>
      </c>
      <c r="E503" s="19" t="n">
        <f aca="false">hsA_27</f>
        <v>5.86317725</v>
      </c>
      <c r="F503" s="19" t="n">
        <f aca="false">hsA_28</f>
        <v>8.5016070125</v>
      </c>
      <c r="G503" s="19" t="n">
        <f aca="false">hsA_29</f>
        <v>11.477169466875</v>
      </c>
      <c r="H503" s="19" t="n">
        <f aca="false">G503*(1+g_tail)</f>
        <v>12.6248864135625</v>
      </c>
      <c r="I503" s="19" t="n">
        <f aca="false">H503*(1+g_tail)</f>
        <v>13.8873750549188</v>
      </c>
      <c r="J503" s="8" t="s">
        <v>473</v>
      </c>
    </row>
    <row r="504" customFormat="false" ht="17.15" hidden="false" customHeight="false" outlineLevel="0" collapsed="false">
      <c r="A504" s="0" t="s">
        <v>474</v>
      </c>
      <c r="B504" s="0" t="s">
        <v>475</v>
      </c>
      <c r="C504" s="19" t="n">
        <f aca="false">den_25_hi</f>
        <v>24</v>
      </c>
      <c r="D504" s="19" t="n">
        <f aca="false">den_26_hi</f>
        <v>26</v>
      </c>
      <c r="E504" s="19" t="n">
        <f aca="false">den_27_hi</f>
        <v>28</v>
      </c>
      <c r="F504" s="19" t="n">
        <f aca="false">den_28_hi</f>
        <v>32</v>
      </c>
      <c r="G504" s="19" t="n">
        <f aca="false">den_29_hi</f>
        <v>32</v>
      </c>
      <c r="H504" s="19" t="n">
        <f aca="false">den_30_hi</f>
        <v>32</v>
      </c>
      <c r="I504" s="19" t="n">
        <f aca="false">den_30_hi</f>
        <v>32</v>
      </c>
    </row>
    <row r="505" customFormat="false" ht="15" hidden="false" customHeight="false" outlineLevel="0" collapsed="false">
      <c r="A505" s="5" t="s">
        <v>476</v>
      </c>
      <c r="B505" s="5" t="s">
        <v>148</v>
      </c>
      <c r="C505" s="19" t="n">
        <f aca="false">stk_25</f>
        <v>10</v>
      </c>
      <c r="D505" s="19" t="n">
        <f aca="false">stk_26</f>
        <v>12</v>
      </c>
      <c r="E505" s="19" t="n">
        <f aca="false">stk_27</f>
        <v>12.5</v>
      </c>
      <c r="F505" s="19" t="n">
        <f aca="false">stk_28</f>
        <v>14</v>
      </c>
      <c r="G505" s="19" t="n">
        <f aca="false">stk_29</f>
        <v>15</v>
      </c>
      <c r="H505" s="19" t="n">
        <f aca="false">stk_30</f>
        <v>16</v>
      </c>
      <c r="I505" s="19" t="n">
        <f aca="false">stk_30</f>
        <v>16</v>
      </c>
    </row>
    <row r="506" customFormat="false" ht="17.15" hidden="false" customHeight="false" outlineLevel="0" collapsed="false">
      <c r="A506" s="0" t="s">
        <v>477</v>
      </c>
      <c r="B506" s="5" t="s">
        <v>478</v>
      </c>
      <c r="C506" s="19" t="n">
        <f aca="false">C503*8/C504</f>
        <v>0.741704901960783</v>
      </c>
      <c r="D506" s="19" t="n">
        <f aca="false">D503*8/D504</f>
        <v>1.16390615384615</v>
      </c>
      <c r="E506" s="19" t="n">
        <f aca="false">E503*8/E504</f>
        <v>1.6751935</v>
      </c>
      <c r="F506" s="19" t="n">
        <f aca="false">F503*8/F504</f>
        <v>2.125401753125</v>
      </c>
      <c r="G506" s="19" t="n">
        <f aca="false">G503*8/G504</f>
        <v>2.86929236671875</v>
      </c>
      <c r="H506" s="19" t="n">
        <f aca="false">H503*8/H504</f>
        <v>3.15622160339063</v>
      </c>
      <c r="I506" s="19" t="n">
        <f aca="false">I503*8/I504</f>
        <v>3.47184376372969</v>
      </c>
      <c r="J506" s="8" t="s">
        <v>479</v>
      </c>
    </row>
    <row r="507" customFormat="false" ht="17.15" hidden="false" customHeight="false" outlineLevel="0" collapsed="false">
      <c r="A507" s="0" t="s">
        <v>480</v>
      </c>
      <c r="B507" s="5" t="s">
        <v>481</v>
      </c>
      <c r="C507" s="19" t="n">
        <f aca="false">C506*(1+s_stk/C505)</f>
        <v>0.964216372549018</v>
      </c>
      <c r="D507" s="19" t="n">
        <f aca="false">D506*(1+s_stk/D505)</f>
        <v>1.45488269230769</v>
      </c>
      <c r="E507" s="19" t="n">
        <f aca="false">E506*(1+s_stk/E505)</f>
        <v>2.07723994</v>
      </c>
      <c r="F507" s="19" t="n">
        <f aca="false">F506*(1+s_stk/F505)</f>
        <v>2.5808449859375</v>
      </c>
      <c r="G507" s="19" t="n">
        <f aca="false">G506*(1+s_stk/G505)</f>
        <v>3.4431508400625</v>
      </c>
      <c r="H507" s="19" t="n">
        <f aca="false">H506*(1+s_stk/H505)</f>
        <v>3.74801315402637</v>
      </c>
      <c r="I507" s="19" t="n">
        <f aca="false">I506*(1+s_stk/I505)</f>
        <v>4.12281446942901</v>
      </c>
      <c r="J507" s="5" t="s">
        <v>482</v>
      </c>
    </row>
    <row r="508" customFormat="false" ht="17.15" hidden="false" customHeight="false" outlineLevel="0" collapsed="false">
      <c r="A508" s="5" t="s">
        <v>483</v>
      </c>
      <c r="B508" s="0" t="s">
        <v>56</v>
      </c>
      <c r="C508" s="22" t="n">
        <f aca="false">hbp_25*hb_on</f>
        <v>0</v>
      </c>
      <c r="D508" s="22" t="n">
        <f aca="false">hbp_26*hb_on</f>
        <v>0</v>
      </c>
      <c r="E508" s="22" t="n">
        <f aca="false">hbp_27*hb_on</f>
        <v>0</v>
      </c>
      <c r="F508" s="22" t="n">
        <f aca="false">hbp_28*hb_on</f>
        <v>0.05</v>
      </c>
      <c r="G508" s="22" t="n">
        <f aca="false">hbp_29*hb_on</f>
        <v>0.15</v>
      </c>
      <c r="H508" s="22" t="n">
        <f aca="false">hbp_30*hb_on</f>
        <v>0.25</v>
      </c>
      <c r="I508" s="22" t="n">
        <f aca="false">hbp_30*hb_on</f>
        <v>0.25</v>
      </c>
    </row>
    <row r="509" customFormat="false" ht="17.15" hidden="false" customHeight="false" outlineLevel="0" collapsed="false">
      <c r="A509" s="0" t="s">
        <v>484</v>
      </c>
      <c r="B509" s="5" t="s">
        <v>481</v>
      </c>
      <c r="C509" s="19" t="n">
        <f aca="false">C507*(1+C508*hb_eff)</f>
        <v>0.964216372549018</v>
      </c>
      <c r="D509" s="19" t="n">
        <f aca="false">D507*(1+D508*hb_eff)</f>
        <v>1.45488269230769</v>
      </c>
      <c r="E509" s="19" t="n">
        <f aca="false">E507*(1+E508*hb_eff)</f>
        <v>2.07723994</v>
      </c>
      <c r="F509" s="19" t="n">
        <f aca="false">F507*(1+F508*hb_eff)</f>
        <v>2.59374921086719</v>
      </c>
      <c r="G509" s="19" t="n">
        <f aca="false">G507*(1+G508*hb_eff)</f>
        <v>3.49479810266344</v>
      </c>
      <c r="H509" s="19" t="n">
        <f aca="false">H507*(1+H508*hb_eff)</f>
        <v>3.84171348287703</v>
      </c>
      <c r="I509" s="19" t="n">
        <f aca="false">I507*(1+I508*hb_eff)</f>
        <v>4.22588483116473</v>
      </c>
      <c r="J509" s="5" t="s">
        <v>485</v>
      </c>
    </row>
    <row r="510" customFormat="false" ht="17.15" hidden="false" customHeight="false" outlineLevel="0" collapsed="false">
      <c r="A510" s="0" t="s">
        <v>486</v>
      </c>
      <c r="B510" s="5" t="s">
        <v>481</v>
      </c>
      <c r="C510" s="19" t="n">
        <f aca="false">MAX(0,D509-C509)+dlt*C509</f>
        <v>0.587087957013576</v>
      </c>
      <c r="D510" s="19" t="n">
        <f aca="false">MAX(0,E509-D509)+dlt*D509</f>
        <v>0.767845516923077</v>
      </c>
      <c r="E510" s="19" t="n">
        <f aca="false">MAX(0,F509-E509)+dlt*E509</f>
        <v>0.724233264867187</v>
      </c>
      <c r="F510" s="19" t="n">
        <f aca="false">MAX(0,G509-F509)+dlt*F509</f>
        <v>1.16042381288297</v>
      </c>
      <c r="G510" s="19" t="n">
        <f aca="false">MAX(0,H509-G509)+dlt*G509</f>
        <v>0.696395190479933</v>
      </c>
      <c r="H510" s="19" t="n">
        <f aca="false">MAX(0,I509-H509)+dlt*H509</f>
        <v>0.768342696575406</v>
      </c>
      <c r="J510" s="5" t="s">
        <v>487</v>
      </c>
    </row>
    <row r="511" customFormat="false" ht="17.15" hidden="false" customHeight="false" outlineLevel="0" collapsed="false">
      <c r="A511" s="0" t="s">
        <v>488</v>
      </c>
      <c r="B511" s="5" t="s">
        <v>177</v>
      </c>
      <c r="C511" s="21" t="n">
        <f aca="false">cw_25</f>
        <v>670</v>
      </c>
      <c r="D511" s="21" t="n">
        <f aca="false">cw_26</f>
        <v>1107.85762580894</v>
      </c>
      <c r="E511" s="21" t="n">
        <f aca="false">cw_27</f>
        <v>2096.42857142857</v>
      </c>
      <c r="F511" s="21" t="n">
        <f aca="false">cw_28*um28_A</f>
        <v>2620.08928571429</v>
      </c>
      <c r="G511" s="21" t="n">
        <f aca="false">cw_29*um29_A</f>
        <v>3013.32589285714</v>
      </c>
      <c r="H511" s="21" t="n">
        <f aca="false">G511*(1+g_tail)</f>
        <v>3314.65848214285</v>
      </c>
      <c r="I511" s="21" t="n">
        <f aca="false">H511*(1+g_tail)</f>
        <v>3646.12433035714</v>
      </c>
      <c r="J511" s="5" t="s">
        <v>489</v>
      </c>
    </row>
    <row r="512" customFormat="false" ht="15" hidden="false" customHeight="false" outlineLevel="0" collapsed="false">
      <c r="A512" s="5" t="s">
        <v>490</v>
      </c>
      <c r="B512" s="5" t="s">
        <v>177</v>
      </c>
      <c r="C512" s="21" t="n">
        <f aca="false">MAX(0,D511-C511)+dlt*C511</f>
        <v>504.85762580894</v>
      </c>
      <c r="D512" s="21" t="n">
        <f aca="false">MAX(0,E511-D511)+dlt*D511</f>
        <v>1099.35670820052</v>
      </c>
      <c r="E512" s="21" t="n">
        <f aca="false">MAX(0,F511-E511)+dlt*E511</f>
        <v>733.303571428577</v>
      </c>
      <c r="F512" s="21" t="n">
        <f aca="false">MAX(0,G511-F511)+dlt*F511</f>
        <v>655.245535714279</v>
      </c>
      <c r="G512" s="21" t="n">
        <f aca="false">MAX(0,H511-G511)+dlt*G511</f>
        <v>602.665178571428</v>
      </c>
      <c r="H512" s="21" t="n">
        <f aca="false">MAX(0,I511-H511)+dlt*H511</f>
        <v>662.931696428571</v>
      </c>
    </row>
    <row r="513" customFormat="false" ht="17.15" hidden="false" customHeight="false" outlineLevel="0" collapsed="false">
      <c r="A513" s="1" t="s">
        <v>491</v>
      </c>
    </row>
    <row r="514" customFormat="false" ht="17.15" hidden="false" customHeight="false" outlineLevel="0" collapsed="false">
      <c r="A514" s="0" t="s">
        <v>492</v>
      </c>
      <c r="B514" s="0" t="s">
        <v>493</v>
      </c>
      <c r="C514" s="16" t="n">
        <f aca="false">ai25*w_hbm/(0.75*C510+0.25*D510)</f>
        <v>56.9370390562406</v>
      </c>
      <c r="J514" s="5" t="s">
        <v>494</v>
      </c>
    </row>
    <row r="515" customFormat="false" ht="17.15" hidden="false" customHeight="false" outlineLevel="0" collapsed="false">
      <c r="A515" s="5" t="s">
        <v>495</v>
      </c>
      <c r="B515" s="0" t="s">
        <v>496</v>
      </c>
      <c r="C515" s="18" t="n">
        <f aca="false">ai25*(1-w_hbm)/(0.75*C512+0.25*D512)</f>
        <v>0.0596802610360141</v>
      </c>
    </row>
    <row r="516" customFormat="false" ht="17.15" hidden="false" customHeight="false" outlineLevel="0" collapsed="false">
      <c r="A516" s="1" t="s">
        <v>497</v>
      </c>
    </row>
    <row r="517" customFormat="false" ht="17.15" hidden="false" customHeight="false" outlineLevel="0" collapsed="false">
      <c r="A517" s="5" t="s">
        <v>498</v>
      </c>
      <c r="B517" s="0" t="s">
        <v>76</v>
      </c>
      <c r="C517" s="16" t="n">
        <f aca="false">1-sh_loss/sh*0</f>
        <v>1</v>
      </c>
      <c r="D517" s="16" t="n">
        <f aca="false">1-sh_loss/sh*0.25</f>
        <v>1</v>
      </c>
      <c r="E517" s="16" t="n">
        <f aca="false">1-sh_loss/sh*0.5</f>
        <v>1</v>
      </c>
      <c r="F517" s="16" t="n">
        <f aca="false">1-sh_loss/sh*0.75</f>
        <v>1</v>
      </c>
      <c r="G517" s="16" t="n">
        <f aca="false">1-sh_loss/sh*1</f>
        <v>1</v>
      </c>
    </row>
    <row r="518" customFormat="false" ht="17.15" hidden="false" customHeight="false" outlineLevel="0" collapsed="false">
      <c r="A518" s="0" t="s">
        <v>499</v>
      </c>
      <c r="B518" s="0" t="s">
        <v>29</v>
      </c>
      <c r="C518" s="11" t="n">
        <f aca="false">$C$514*(0.75*C510+0.25*D510)*C517</f>
        <v>36</v>
      </c>
      <c r="D518" s="11" t="n">
        <f aca="false">$C$514*(0.75*D510+0.25*E510)*D517</f>
        <v>43.0980620615493</v>
      </c>
      <c r="E518" s="11" t="n">
        <f aca="false">$C$514*(0.75*E510+0.25*F510)*E517</f>
        <v>47.4445472546561</v>
      </c>
      <c r="F518" s="11" t="n">
        <f aca="false">$C$514*(0.75*F510+0.25*G510)*F517</f>
        <v>59.4659920066655</v>
      </c>
      <c r="G518" s="11" t="n">
        <f aca="false">$C$514*(0.75*G510+0.25*H510)*G517</f>
        <v>40.6747996500733</v>
      </c>
    </row>
    <row r="519" customFormat="false" ht="17.15" hidden="false" customHeight="false" outlineLevel="0" collapsed="false">
      <c r="A519" s="5" t="s">
        <v>500</v>
      </c>
      <c r="B519" s="0" t="s">
        <v>29</v>
      </c>
      <c r="C519" s="11" t="n">
        <f aca="false">$C$515*(0.75*C512+0.25*D512)*C517</f>
        <v>39</v>
      </c>
      <c r="D519" s="11" t="n">
        <f aca="false">$C$515*(0.75*D512+0.25*E512)*D517</f>
        <v>60.1483586282001</v>
      </c>
      <c r="E519" s="11" t="n">
        <f aca="false">$C$515*(0.75*E512+0.25*F512)*E517</f>
        <v>42.5991175746519</v>
      </c>
      <c r="F519" s="11" t="n">
        <f aca="false">$C$515*(0.75*F512+0.25*G512)*F517</f>
        <v>38.320722254198</v>
      </c>
      <c r="G519" s="11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501</v>
      </c>
      <c r="B520" s="0" t="s">
        <v>29</v>
      </c>
      <c r="C520" s="11" t="n">
        <f aca="false">C518+C519</f>
        <v>75</v>
      </c>
      <c r="D520" s="11" t="n">
        <f aca="false">D518+D519</f>
        <v>103.246420689749</v>
      </c>
      <c r="E520" s="11" t="n">
        <f aca="false">E518+E519</f>
        <v>90.043664829308</v>
      </c>
      <c r="F520" s="11" t="n">
        <f aca="false">F518+F519</f>
        <v>97.7867142608635</v>
      </c>
      <c r="G520" s="11" t="n">
        <f aca="false">G518+G519</f>
        <v>77.5411952038937</v>
      </c>
    </row>
    <row r="521" customFormat="false" ht="17.15" hidden="false" customHeight="false" outlineLevel="0" collapsed="false">
      <c r="A521" s="5" t="s">
        <v>502</v>
      </c>
      <c r="B521" s="0" t="s">
        <v>29</v>
      </c>
      <c r="C521" s="11" t="n">
        <f aca="false">eq25-ai25</f>
        <v>195.87118</v>
      </c>
      <c r="D521" s="11" t="n">
        <f aca="false">C521*(1+g_non)*D517/C517</f>
        <v>207.6234508</v>
      </c>
      <c r="E521" s="11" t="n">
        <f aca="false">D521*(1+g_non)*E517/D517</f>
        <v>220.080857848</v>
      </c>
      <c r="F521" s="11" t="n">
        <f aca="false">E521*(1+g_non)*F517/E517</f>
        <v>233.28570931888</v>
      </c>
      <c r="G521" s="11" t="n">
        <f aca="false">F521*(1+g_non)*G517/F517</f>
        <v>247.282851878013</v>
      </c>
    </row>
    <row r="522" customFormat="false" ht="15" hidden="false" customHeight="false" outlineLevel="0" collapsed="false">
      <c r="A522" s="5" t="s">
        <v>503</v>
      </c>
      <c r="B522" s="0" t="s">
        <v>29</v>
      </c>
      <c r="C522" s="11" t="n">
        <f aca="false">C520+C521</f>
        <v>270.87118</v>
      </c>
      <c r="D522" s="11" t="n">
        <f aca="false">D520+D521</f>
        <v>310.869871489749</v>
      </c>
      <c r="E522" s="11" t="n">
        <f aca="false">E520+E521</f>
        <v>310.124522677308</v>
      </c>
      <c r="F522" s="11" t="n">
        <f aca="false">F520+F521</f>
        <v>331.072423579744</v>
      </c>
      <c r="G522" s="11" t="n">
        <f aca="false">G520+G521</f>
        <v>324.824047081907</v>
      </c>
    </row>
    <row r="523" customFormat="false" ht="17.15" hidden="false" customHeight="false" outlineLevel="0" collapsed="false">
      <c r="A523" s="0" t="s">
        <v>504</v>
      </c>
      <c r="B523" s="0" t="s">
        <v>76</v>
      </c>
      <c r="C523" s="19" t="n">
        <f aca="false">w_hbm*(0.75*C509+0.25*D509)/(0.75*C509+0.25*D509)+(1-w_hbm)*(0.75*C511+0.25*D511)/(0.75*C511+0.25*D511)</f>
        <v>1</v>
      </c>
      <c r="D523" s="19" t="n">
        <f aca="false">w_hbm*(0.75*D509+0.25*E509)/(0.75*C509+0.25*D509)+(1-w_hbm)*(0.75*D511+0.25*E511)/(0.75*C511+0.25*D511)</f>
        <v>1.6151868585337</v>
      </c>
      <c r="E523" s="19" t="n">
        <f aca="false">w_hbm*(0.75*E509+0.25*F509)/(0.75*C509+0.25*D509)+(1-w_hbm)*(0.75*E511+0.25*F511)/(0.75*C511+0.25*D511)</f>
        <v>2.46031388199309</v>
      </c>
      <c r="F523" s="19" t="n">
        <f aca="false">w_hbm*(0.75*F509+0.25*G509)/(0.75*C509+0.25*D509)+(1-w_hbm)*(0.75*F511+0.25*G511)/(0.75*C511+0.25*D511)</f>
        <v>3.05847060014045</v>
      </c>
      <c r="G523" s="19" t="n">
        <f aca="false">w_hbm*(0.75*G509+0.25*H509)/(0.75*C509+0.25*D509)+(1-w_hbm)*(0.75*G511+0.25*H511)/(0.75*C511+0.25*D511)</f>
        <v>3.64223025682917</v>
      </c>
      <c r="J523" s="8" t="s">
        <v>505</v>
      </c>
    </row>
    <row r="524" customFormat="false" ht="17.15" hidden="false" customHeight="false" outlineLevel="0" collapsed="false">
      <c r="A524" s="0" t="s">
        <v>506</v>
      </c>
      <c r="B524" s="0" t="s">
        <v>29</v>
      </c>
      <c r="C524" s="11" t="n">
        <f aca="false">tl25*w_tlai*C523</f>
        <v>25.4032258064516</v>
      </c>
      <c r="D524" s="11" t="n">
        <f aca="false">tl25*w_tlai*D523</f>
        <v>41.0309564869448</v>
      </c>
      <c r="E524" s="11" t="n">
        <f aca="false">tl25*w_tlai*E523</f>
        <v>62.4999090990181</v>
      </c>
      <c r="F524" s="11" t="n">
        <f aca="false">tl25*w_tlai*F523</f>
        <v>77.6950192777614</v>
      </c>
      <c r="G524" s="11" t="n">
        <f aca="false">tl25*w_tlai*G523</f>
        <v>92.5243976533216</v>
      </c>
      <c r="J524" s="5" t="s">
        <v>507</v>
      </c>
    </row>
    <row r="525" customFormat="false" ht="17.15" hidden="false" customHeight="false" outlineLevel="0" collapsed="false">
      <c r="A525" s="5" t="s">
        <v>508</v>
      </c>
      <c r="B525" s="0" t="s">
        <v>29</v>
      </c>
      <c r="C525" s="11" t="n">
        <f aca="false">tl25*(1-w_tlai)</f>
        <v>66.3434641935484</v>
      </c>
      <c r="D525" s="11" t="n">
        <f aca="false">C525*(1+g_tl)</f>
        <v>69.6606374032258</v>
      </c>
      <c r="E525" s="11" t="n">
        <f aca="false">D525*(1+g_tl)</f>
        <v>73.1436692733871</v>
      </c>
      <c r="F525" s="11" t="n">
        <f aca="false">E525*(1+g_tl)</f>
        <v>76.8008527370565</v>
      </c>
      <c r="G525" s="11" t="n">
        <f aca="false">F525*(1+g_tl)</f>
        <v>80.6408953739093</v>
      </c>
    </row>
    <row r="526" customFormat="false" ht="15" hidden="false" customHeight="false" outlineLevel="0" collapsed="false">
      <c r="A526" s="5" t="s">
        <v>509</v>
      </c>
      <c r="B526" s="0" t="s">
        <v>29</v>
      </c>
      <c r="C526" s="11" t="n">
        <f aca="false">C524+C525</f>
        <v>91.74669</v>
      </c>
      <c r="D526" s="11" t="n">
        <f aca="false">D524+D525</f>
        <v>110.691593890171</v>
      </c>
      <c r="E526" s="11" t="n">
        <f aca="false">E524+E525</f>
        <v>135.643578372405</v>
      </c>
      <c r="F526" s="11" t="n">
        <f aca="false">F524+F525</f>
        <v>154.495872014818</v>
      </c>
      <c r="G526" s="11" t="n">
        <f aca="false">G524+G525</f>
        <v>173.165293027231</v>
      </c>
    </row>
    <row r="527" customFormat="false" ht="15" hidden="false" customHeight="false" outlineLevel="0" collapsed="false">
      <c r="A527" s="5" t="s">
        <v>393</v>
      </c>
      <c r="B527" s="0" t="s">
        <v>29</v>
      </c>
      <c r="C527" s="11" t="n">
        <f aca="false">r_ot*(C522+C526)</f>
        <v>74.27113</v>
      </c>
      <c r="D527" s="11" t="n">
        <f aca="false">r_ot*(D522+D526)</f>
        <v>86.3439145958873</v>
      </c>
      <c r="E527" s="11" t="n">
        <f aca="false">r_ot*(E522+E526)</f>
        <v>91.3019002150015</v>
      </c>
      <c r="F527" s="11" t="n">
        <f aca="false">r_ot*(F522+F526)</f>
        <v>99.4537472904524</v>
      </c>
      <c r="G527" s="11" t="n">
        <f aca="false">r_ot*(G522+G526)</f>
        <v>101.99781664886</v>
      </c>
    </row>
    <row r="528" customFormat="false" ht="15" hidden="false" customHeight="false" outlineLevel="0" collapsed="false">
      <c r="A528" s="5" t="s">
        <v>363</v>
      </c>
      <c r="B528" s="0" t="s">
        <v>29</v>
      </c>
      <c r="C528" s="11" t="n">
        <f aca="false">C522+C526+C527</f>
        <v>436.889</v>
      </c>
      <c r="D528" s="11" t="n">
        <f aca="false">D522+D526+D527</f>
        <v>507.905379975807</v>
      </c>
      <c r="E528" s="11" t="n">
        <f aca="false">E522+E526+E527</f>
        <v>537.070001264715</v>
      </c>
      <c r="F528" s="11" t="n">
        <f aca="false">F522+F526+F527</f>
        <v>585.022042885014</v>
      </c>
      <c r="G528" s="11" t="n">
        <f aca="false">G522+G526+G527</f>
        <v>599.987156757997</v>
      </c>
    </row>
    <row r="529" customFormat="false" ht="17.15" hidden="false" customHeight="false" outlineLevel="0" collapsed="false">
      <c r="A529" s="0" t="s">
        <v>510</v>
      </c>
      <c r="B529" s="0" t="s">
        <v>56</v>
      </c>
      <c r="C529" s="14" t="n">
        <f aca="false">(C520+C524)*(1+r_ot)/C528</f>
        <v>0.276884384673187</v>
      </c>
      <c r="D529" s="14" t="n">
        <f aca="false">(D520+D524)*(1+r_ot)/D528</f>
        <v>0.342245174251561</v>
      </c>
      <c r="E529" s="14" t="n">
        <f aca="false">(E520+E524)*(1+r_ot)/E528</f>
        <v>0.342203880378856</v>
      </c>
      <c r="F529" s="14" t="n">
        <f aca="false">(F520+F524)*(1+r_ot)/F528</f>
        <v>0.361394545588595</v>
      </c>
      <c r="G529" s="14" t="n">
        <f aca="false">(G520+G524)*(1+r_ot)/G528</f>
        <v>0.341504484453311</v>
      </c>
    </row>
    <row r="530" customFormat="false" ht="17.15" hidden="false" customHeight="false" outlineLevel="0" collapsed="false">
      <c r="A530" s="0" t="s">
        <v>511</v>
      </c>
      <c r="B530" s="0" t="s">
        <v>56</v>
      </c>
      <c r="C530" s="14" t="n">
        <f aca="false">C520*(1+r_ot)/C528</f>
        <v>0.206829299394429</v>
      </c>
      <c r="D530" s="14" t="n">
        <f aca="false">D520*(1+r_ot)/D528</f>
        <v>0.244914275067104</v>
      </c>
      <c r="E530" s="14" t="n">
        <f aca="false">E520*(1+r_ot)/E528</f>
        <v>0.201996653904282</v>
      </c>
      <c r="F530" s="14" t="n">
        <f aca="false">F520*(1+r_ot)/F528</f>
        <v>0.201386118385524</v>
      </c>
      <c r="G530" s="14" t="n">
        <f aca="false">G520*(1+r_ot)/G528</f>
        <v>0.155708544256992</v>
      </c>
      <c r="J530" s="5" t="s">
        <v>512</v>
      </c>
    </row>
    <row r="531" customFormat="false" ht="17.15" hidden="false" customHeight="false" outlineLevel="0" collapsed="false">
      <c r="A531" s="5" t="s">
        <v>401</v>
      </c>
      <c r="B531" s="0" t="s">
        <v>56</v>
      </c>
      <c r="C531" s="14" t="n">
        <f aca="false">a25_gp/a25_rev</f>
        <v>0.701498549974936</v>
      </c>
      <c r="D531" s="14" t="n">
        <f aca="false">gm_a+gm_b*LN(D528)+0</f>
        <v>0.719597776036035</v>
      </c>
      <c r="E531" s="14" t="n">
        <f aca="false">gm_a+gm_b*LN(E528)+0</f>
        <v>0.725953051745114</v>
      </c>
      <c r="F531" s="14" t="n">
        <f aca="false">gm_a+gm_b*LN(F528)+0</f>
        <v>0.735687571196474</v>
      </c>
      <c r="G531" s="14" t="n">
        <f aca="false">gm_a+gm_b*LN(G528)+0</f>
        <v>0.738562669554233</v>
      </c>
      <c r="J531" s="8" t="s">
        <v>513</v>
      </c>
    </row>
    <row r="532" customFormat="false" ht="15" hidden="false" customHeight="false" outlineLevel="0" collapsed="false">
      <c r="A532" s="5" t="s">
        <v>398</v>
      </c>
      <c r="B532" s="0" t="s">
        <v>29</v>
      </c>
      <c r="C532" s="11" t="n">
        <f aca="false">C528*C531</f>
        <v>306.477</v>
      </c>
      <c r="D532" s="11" t="n">
        <f aca="false">D528*D531</f>
        <v>365.487581867328</v>
      </c>
      <c r="E532" s="11" t="n">
        <f aca="false">E528*E531</f>
        <v>389.887606418872</v>
      </c>
      <c r="F532" s="11" t="n">
        <f aca="false">F528*F531</f>
        <v>430.393445826475</v>
      </c>
      <c r="G532" s="11" t="n">
        <f aca="false">G528*G531</f>
        <v>443.12811619344</v>
      </c>
    </row>
    <row r="533" customFormat="false" ht="17.15" hidden="false" customHeight="false" outlineLevel="0" collapsed="false">
      <c r="A533" s="5" t="s">
        <v>399</v>
      </c>
      <c r="B533" s="0" t="s">
        <v>29</v>
      </c>
      <c r="C533" s="11" t="n">
        <f aca="false">a25_sga</f>
        <v>121.487</v>
      </c>
      <c r="D533" s="11" t="n">
        <f aca="false">sg_f+sg_v*D528</f>
        <v>136.3019166822</v>
      </c>
      <c r="E533" s="11" t="n">
        <f aca="false">sg_f+sg_v*E528</f>
        <v>143.662105657983</v>
      </c>
      <c r="F533" s="11" t="n">
        <f aca="false">sg_f+sg_v*F528</f>
        <v>155.763620181481</v>
      </c>
      <c r="G533" s="11" t="n">
        <f aca="false">sg_f+sg_v*G528</f>
        <v>159.540321584806</v>
      </c>
      <c r="J533" s="5" t="s">
        <v>514</v>
      </c>
    </row>
    <row r="534" customFormat="false" ht="15" hidden="false" customHeight="false" outlineLevel="0" collapsed="false">
      <c r="A534" s="5" t="s">
        <v>367</v>
      </c>
      <c r="B534" s="0" t="s">
        <v>29</v>
      </c>
      <c r="C534" s="11" t="n">
        <f aca="false">C532-C533</f>
        <v>184.99</v>
      </c>
      <c r="D534" s="11" t="n">
        <f aca="false">D532-D533</f>
        <v>229.185665185129</v>
      </c>
      <c r="E534" s="11" t="n">
        <f aca="false">E532-E533</f>
        <v>246.225500760889</v>
      </c>
      <c r="F534" s="11" t="n">
        <f aca="false">F532-F533</f>
        <v>274.629825644994</v>
      </c>
      <c r="G534" s="11" t="n">
        <f aca="false">G532-G533</f>
        <v>283.587794608634</v>
      </c>
    </row>
    <row r="535" customFormat="false" ht="15" hidden="false" customHeight="false" outlineLevel="0" collapsed="false">
      <c r="A535" s="5" t="s">
        <v>515</v>
      </c>
      <c r="B535" s="0" t="s">
        <v>56</v>
      </c>
      <c r="C535" s="14" t="n">
        <f aca="false">C534/C528</f>
        <v>0.423425629851061</v>
      </c>
      <c r="D535" s="14" t="n">
        <f aca="false">D534/D528</f>
        <v>0.451236931563996</v>
      </c>
      <c r="E535" s="14" t="n">
        <f aca="false">E534/E528</f>
        <v>0.458460722403163</v>
      </c>
      <c r="F535" s="14" t="n">
        <f aca="false">F534/F528</f>
        <v>0.469435005031038</v>
      </c>
      <c r="G535" s="14" t="n">
        <f aca="false">G534/G528</f>
        <v>0.4726564417495</v>
      </c>
    </row>
    <row r="536" customFormat="false" ht="15" hidden="false" customHeight="false" outlineLevel="0" collapsed="false">
      <c r="A536" s="5" t="s">
        <v>370</v>
      </c>
      <c r="B536" s="0" t="s">
        <v>29</v>
      </c>
      <c r="C536" s="11" t="n">
        <f aca="false">a25_ni</f>
        <v>135.521</v>
      </c>
      <c r="D536" s="11" t="n">
        <f aca="false">D534*nioi</f>
        <v>167.899013084853</v>
      </c>
      <c r="E536" s="11" t="n">
        <f aca="false">E534*nioi</f>
        <v>180.382217800066</v>
      </c>
      <c r="F536" s="11" t="n">
        <f aca="false">F534*nioi</f>
        <v>201.190928115916</v>
      </c>
      <c r="G536" s="11" t="n">
        <f aca="false">G534*nioi</f>
        <v>207.753442167679</v>
      </c>
    </row>
    <row r="537" customFormat="false" ht="15" hidden="false" customHeight="false" outlineLevel="0" collapsed="false">
      <c r="A537" s="0" t="s">
        <v>459</v>
      </c>
      <c r="B537" s="0" t="s">
        <v>51</v>
      </c>
      <c r="C537" s="11" t="n">
        <f aca="false">a25_eps</f>
        <v>1249.84</v>
      </c>
      <c r="D537" s="11" t="n">
        <f aca="false">D536*1000/shares</f>
        <v>1547.72907020227</v>
      </c>
      <c r="E537" s="11" t="n">
        <f aca="false">E536*1000/shares</f>
        <v>1662.80192543851</v>
      </c>
      <c r="F537" s="11" t="n">
        <f aca="false">F536*1000/shares</f>
        <v>1854.62107480411</v>
      </c>
      <c r="G537" s="11" t="n">
        <f aca="false">G536*1000/shares</f>
        <v>1915.11573516515</v>
      </c>
    </row>
    <row r="538" customFormat="false" ht="17.15" hidden="false" customHeight="false" outlineLevel="0" collapsed="false">
      <c r="A538" s="5" t="s">
        <v>516</v>
      </c>
      <c r="B538" s="0" t="s">
        <v>29</v>
      </c>
      <c r="C538" s="16" t="n">
        <f aca="false">ABS(C528-a25_rev)+ABS(C534-a25_oi)</f>
        <v>0.000999999999976353</v>
      </c>
    </row>
    <row r="540" customFormat="false" ht="17.15" hidden="false" customHeight="false" outlineLevel="0" collapsed="false">
      <c r="A540" s="3" t="s">
        <v>723</v>
      </c>
    </row>
    <row r="541" customFormat="false" ht="17.15" hidden="false" customHeight="false" outlineLevel="0" collapsed="false">
      <c r="A541" s="6" t="s">
        <v>18</v>
      </c>
      <c r="B541" s="6" t="s">
        <v>19</v>
      </c>
      <c r="C541" s="9" t="s">
        <v>464</v>
      </c>
      <c r="D541" s="9" t="s">
        <v>465</v>
      </c>
      <c r="E541" s="9" t="s">
        <v>466</v>
      </c>
      <c r="F541" s="9" t="s">
        <v>467</v>
      </c>
      <c r="G541" s="9" t="s">
        <v>468</v>
      </c>
      <c r="H541" s="9" t="s">
        <v>469</v>
      </c>
      <c r="I541" s="9" t="s">
        <v>470</v>
      </c>
      <c r="J541" s="6" t="s">
        <v>450</v>
      </c>
    </row>
    <row r="542" customFormat="false" ht="17.15" hidden="false" customHeight="false" outlineLevel="0" collapsed="false">
      <c r="A542" s="1" t="s">
        <v>471</v>
      </c>
    </row>
    <row r="543" customFormat="false" ht="17.15" hidden="false" customHeight="false" outlineLevel="0" collapsed="false">
      <c r="A543" s="0" t="s">
        <v>472</v>
      </c>
      <c r="B543" s="0" t="s">
        <v>96</v>
      </c>
      <c r="C543" s="19" t="n">
        <f aca="false">hsA_25</f>
        <v>2.22511470588235</v>
      </c>
      <c r="D543" s="19" t="n">
        <f aca="false">hsA_26</f>
        <v>3.782695</v>
      </c>
      <c r="E543" s="19" t="n">
        <f aca="false">hsA_27</f>
        <v>5.86317725</v>
      </c>
      <c r="F543" s="19" t="n">
        <f aca="false">hsA_28</f>
        <v>8.5016070125</v>
      </c>
      <c r="G543" s="19" t="n">
        <f aca="false">hsA_29</f>
        <v>11.477169466875</v>
      </c>
      <c r="H543" s="19" t="n">
        <f aca="false">G543*(1+g_tail)</f>
        <v>12.6248864135625</v>
      </c>
      <c r="I543" s="19" t="n">
        <f aca="false">H543*(1+g_tail)</f>
        <v>13.8873750549188</v>
      </c>
      <c r="J543" s="8" t="s">
        <v>473</v>
      </c>
    </row>
    <row r="544" customFormat="false" ht="17.15" hidden="false" customHeight="false" outlineLevel="0" collapsed="false">
      <c r="A544" s="0" t="s">
        <v>474</v>
      </c>
      <c r="B544" s="0" t="s">
        <v>475</v>
      </c>
      <c r="C544" s="19" t="n">
        <f aca="false">den_25</f>
        <v>24</v>
      </c>
      <c r="D544" s="19" t="n">
        <f aca="false">den_26</f>
        <v>24</v>
      </c>
      <c r="E544" s="19" t="n">
        <f aca="false">den_27</f>
        <v>26</v>
      </c>
      <c r="F544" s="19" t="n">
        <f aca="false">den_28</f>
        <v>28</v>
      </c>
      <c r="G544" s="19" t="n">
        <f aca="false">den_29</f>
        <v>30</v>
      </c>
      <c r="H544" s="19" t="n">
        <f aca="false">den_30</f>
        <v>32</v>
      </c>
      <c r="I544" s="19" t="n">
        <f aca="false">den_30</f>
        <v>32</v>
      </c>
    </row>
    <row r="545" customFormat="false" ht="15" hidden="false" customHeight="false" outlineLevel="0" collapsed="false">
      <c r="A545" s="5" t="s">
        <v>476</v>
      </c>
      <c r="B545" s="5" t="s">
        <v>148</v>
      </c>
      <c r="C545" s="19" t="n">
        <f aca="false">stk_25_lo</f>
        <v>8</v>
      </c>
      <c r="D545" s="19" t="n">
        <f aca="false">stk_26_lo</f>
        <v>10</v>
      </c>
      <c r="E545" s="19" t="n">
        <f aca="false">stk_27_lo</f>
        <v>12</v>
      </c>
      <c r="F545" s="19" t="n">
        <f aca="false">stk_28_lo</f>
        <v>12</v>
      </c>
      <c r="G545" s="19" t="n">
        <f aca="false">stk_29_lo</f>
        <v>12</v>
      </c>
      <c r="H545" s="19" t="n">
        <f aca="false">stk_30_lo</f>
        <v>14</v>
      </c>
      <c r="I545" s="19" t="n">
        <f aca="false">stk_30_lo</f>
        <v>14</v>
      </c>
    </row>
    <row r="546" customFormat="false" ht="17.15" hidden="false" customHeight="false" outlineLevel="0" collapsed="false">
      <c r="A546" s="0" t="s">
        <v>477</v>
      </c>
      <c r="B546" s="5" t="s">
        <v>478</v>
      </c>
      <c r="C546" s="19" t="n">
        <f aca="false">C543*8/C544</f>
        <v>0.741704901960783</v>
      </c>
      <c r="D546" s="19" t="n">
        <f aca="false">D543*8/D544</f>
        <v>1.26089833333333</v>
      </c>
      <c r="E546" s="19" t="n">
        <f aca="false">E543*8/E544</f>
        <v>1.80405453846154</v>
      </c>
      <c r="F546" s="19" t="n">
        <f aca="false">F543*8/F544</f>
        <v>2.429030575</v>
      </c>
      <c r="G546" s="19" t="n">
        <f aca="false">G543*8/G544</f>
        <v>3.0605785245</v>
      </c>
      <c r="H546" s="19" t="n">
        <f aca="false">H543*8/H544</f>
        <v>3.15622160339063</v>
      </c>
      <c r="I546" s="19" t="n">
        <f aca="false">I543*8/I544</f>
        <v>3.47184376372969</v>
      </c>
      <c r="J546" s="8" t="s">
        <v>479</v>
      </c>
    </row>
    <row r="547" customFormat="false" ht="17.15" hidden="false" customHeight="false" outlineLevel="0" collapsed="false">
      <c r="A547" s="0" t="s">
        <v>480</v>
      </c>
      <c r="B547" s="5" t="s">
        <v>481</v>
      </c>
      <c r="C547" s="19" t="n">
        <f aca="false">C546*(1+s_stk/C545)</f>
        <v>1.01984424019608</v>
      </c>
      <c r="D547" s="19" t="n">
        <f aca="false">D546*(1+s_stk/D545)</f>
        <v>1.63916783333333</v>
      </c>
      <c r="E547" s="19" t="n">
        <f aca="false">E546*(1+s_stk/E545)</f>
        <v>2.25506817307692</v>
      </c>
      <c r="F547" s="19" t="n">
        <f aca="false">F546*(1+s_stk/F545)</f>
        <v>3.03628821875</v>
      </c>
      <c r="G547" s="19" t="n">
        <f aca="false">G546*(1+s_stk/G545)</f>
        <v>3.825723155625</v>
      </c>
      <c r="H547" s="19" t="n">
        <f aca="false">H546*(1+s_stk/H545)</f>
        <v>3.83255480411719</v>
      </c>
      <c r="I547" s="19" t="n">
        <f aca="false">I546*(1+s_stk/I545)</f>
        <v>4.21581028452891</v>
      </c>
      <c r="J547" s="5" t="s">
        <v>482</v>
      </c>
    </row>
    <row r="548" customFormat="false" ht="17.15" hidden="false" customHeight="false" outlineLevel="0" collapsed="false">
      <c r="A548" s="5" t="s">
        <v>483</v>
      </c>
      <c r="B548" s="0" t="s">
        <v>56</v>
      </c>
      <c r="C548" s="22" t="n">
        <f aca="false">hbp_25*hb_on</f>
        <v>0</v>
      </c>
      <c r="D548" s="22" t="n">
        <f aca="false">hbp_26*hb_on</f>
        <v>0</v>
      </c>
      <c r="E548" s="22" t="n">
        <f aca="false">hbp_27*hb_on</f>
        <v>0</v>
      </c>
      <c r="F548" s="22" t="n">
        <f aca="false">hbp_28*hb_on</f>
        <v>0.05</v>
      </c>
      <c r="G548" s="22" t="n">
        <f aca="false">hbp_29*hb_on</f>
        <v>0.15</v>
      </c>
      <c r="H548" s="22" t="n">
        <f aca="false">hbp_30*hb_on</f>
        <v>0.25</v>
      </c>
      <c r="I548" s="22" t="n">
        <f aca="false">hbp_30*hb_on</f>
        <v>0.25</v>
      </c>
    </row>
    <row r="549" customFormat="false" ht="17.15" hidden="false" customHeight="false" outlineLevel="0" collapsed="false">
      <c r="A549" s="0" t="s">
        <v>484</v>
      </c>
      <c r="B549" s="5" t="s">
        <v>481</v>
      </c>
      <c r="C549" s="19" t="n">
        <f aca="false">C547*(1+C548*hb_eff)</f>
        <v>1.01984424019608</v>
      </c>
      <c r="D549" s="19" t="n">
        <f aca="false">D547*(1+D548*hb_eff)</f>
        <v>1.63916783333333</v>
      </c>
      <c r="E549" s="19" t="n">
        <f aca="false">E547*(1+E548*hb_eff)</f>
        <v>2.25506817307692</v>
      </c>
      <c r="F549" s="19" t="n">
        <f aca="false">F547*(1+F548*hb_eff)</f>
        <v>3.05146965984375</v>
      </c>
      <c r="G549" s="19" t="n">
        <f aca="false">G547*(1+G548*hb_eff)</f>
        <v>3.88310900295938</v>
      </c>
      <c r="H549" s="19" t="n">
        <f aca="false">H547*(1+H548*hb_eff)</f>
        <v>3.92836867422012</v>
      </c>
      <c r="I549" s="19" t="n">
        <f aca="false">I547*(1+I548*hb_eff)</f>
        <v>4.32120554164213</v>
      </c>
      <c r="J549" s="5" t="s">
        <v>485</v>
      </c>
    </row>
    <row r="550" customFormat="false" ht="17.15" hidden="false" customHeight="false" outlineLevel="0" collapsed="false">
      <c r="A550" s="0" t="s">
        <v>486</v>
      </c>
      <c r="B550" s="5" t="s">
        <v>481</v>
      </c>
      <c r="C550" s="19" t="n">
        <f aca="false">MAX(0,D549-C549)+dlt*C549</f>
        <v>0.721308017156864</v>
      </c>
      <c r="D550" s="19" t="n">
        <f aca="false">MAX(0,E549-D549)+dlt*D549</f>
        <v>0.779817123076923</v>
      </c>
      <c r="E550" s="19" t="n">
        <f aca="false">MAX(0,F549-E549)+dlt*E549</f>
        <v>1.02190830407452</v>
      </c>
      <c r="F550" s="19" t="n">
        <f aca="false">MAX(0,G549-F549)+dlt*F549</f>
        <v>1.1367863091</v>
      </c>
      <c r="G550" s="19" t="n">
        <f aca="false">MAX(0,H549-G549)+dlt*G549</f>
        <v>0.433570571556679</v>
      </c>
      <c r="H550" s="19" t="n">
        <f aca="false">MAX(0,I549-H549)+dlt*H549</f>
        <v>0.785673734844023</v>
      </c>
      <c r="J550" s="5" t="s">
        <v>487</v>
      </c>
    </row>
    <row r="551" customFormat="false" ht="17.15" hidden="false" customHeight="false" outlineLevel="0" collapsed="false">
      <c r="A551" s="0" t="s">
        <v>488</v>
      </c>
      <c r="B551" s="5" t="s">
        <v>177</v>
      </c>
      <c r="C551" s="21" t="n">
        <f aca="false">cw_25</f>
        <v>670</v>
      </c>
      <c r="D551" s="21" t="n">
        <f aca="false">cw_26</f>
        <v>1107.85762580894</v>
      </c>
      <c r="E551" s="21" t="n">
        <f aca="false">cw_27</f>
        <v>2096.42857142857</v>
      </c>
      <c r="F551" s="21" t="n">
        <f aca="false">cw_28*um28_A</f>
        <v>2620.08928571429</v>
      </c>
      <c r="G551" s="21" t="n">
        <f aca="false">cw_29*um29_A</f>
        <v>3013.32589285714</v>
      </c>
      <c r="H551" s="21" t="n">
        <f aca="false">G551*(1+g_tail)</f>
        <v>3314.65848214285</v>
      </c>
      <c r="I551" s="21" t="n">
        <f aca="false">H551*(1+g_tail)</f>
        <v>3646.12433035714</v>
      </c>
      <c r="J551" s="5" t="s">
        <v>489</v>
      </c>
    </row>
    <row r="552" customFormat="false" ht="15" hidden="false" customHeight="false" outlineLevel="0" collapsed="false">
      <c r="A552" s="5" t="s">
        <v>490</v>
      </c>
      <c r="B552" s="5" t="s">
        <v>177</v>
      </c>
      <c r="C552" s="21" t="n">
        <f aca="false">MAX(0,D551-C551)+dlt*C551</f>
        <v>504.85762580894</v>
      </c>
      <c r="D552" s="21" t="n">
        <f aca="false">MAX(0,E551-D551)+dlt*D551</f>
        <v>1099.35670820052</v>
      </c>
      <c r="E552" s="21" t="n">
        <f aca="false">MAX(0,F551-E551)+dlt*E551</f>
        <v>733.303571428577</v>
      </c>
      <c r="F552" s="21" t="n">
        <f aca="false">MAX(0,G551-F551)+dlt*F551</f>
        <v>655.245535714279</v>
      </c>
      <c r="G552" s="21" t="n">
        <f aca="false">MAX(0,H551-G551)+dlt*G551</f>
        <v>602.665178571428</v>
      </c>
      <c r="H552" s="21" t="n">
        <f aca="false">MAX(0,I551-H551)+dlt*H551</f>
        <v>662.931696428571</v>
      </c>
    </row>
    <row r="553" customFormat="false" ht="17.15" hidden="false" customHeight="false" outlineLevel="0" collapsed="false">
      <c r="A553" s="1" t="s">
        <v>491</v>
      </c>
    </row>
    <row r="554" customFormat="false" ht="17.15" hidden="false" customHeight="false" outlineLevel="0" collapsed="false">
      <c r="A554" s="0" t="s">
        <v>492</v>
      </c>
      <c r="B554" s="0" t="s">
        <v>493</v>
      </c>
      <c r="C554" s="16" t="n">
        <f aca="false">ai25*w_hbm/(0.75*C550+0.25*D550)</f>
        <v>48.9173441079222</v>
      </c>
      <c r="J554" s="5" t="s">
        <v>494</v>
      </c>
    </row>
    <row r="555" customFormat="false" ht="17.15" hidden="false" customHeight="false" outlineLevel="0" collapsed="false">
      <c r="A555" s="5" t="s">
        <v>495</v>
      </c>
      <c r="B555" s="0" t="s">
        <v>496</v>
      </c>
      <c r="C555" s="18" t="n">
        <f aca="false">ai25*(1-w_hbm)/(0.75*C552+0.25*D552)</f>
        <v>0.0596802610360141</v>
      </c>
    </row>
    <row r="556" customFormat="false" ht="17.15" hidden="false" customHeight="false" outlineLevel="0" collapsed="false">
      <c r="A556" s="1" t="s">
        <v>497</v>
      </c>
    </row>
    <row r="557" customFormat="false" ht="17.15" hidden="false" customHeight="false" outlineLevel="0" collapsed="false">
      <c r="A557" s="5" t="s">
        <v>498</v>
      </c>
      <c r="B557" s="0" t="s">
        <v>76</v>
      </c>
      <c r="C557" s="16" t="n">
        <f aca="false">1-sh_loss/sh*0</f>
        <v>1</v>
      </c>
      <c r="D557" s="16" t="n">
        <f aca="false">1-sh_loss/sh*0.25</f>
        <v>1</v>
      </c>
      <c r="E557" s="16" t="n">
        <f aca="false">1-sh_loss/sh*0.5</f>
        <v>1</v>
      </c>
      <c r="F557" s="16" t="n">
        <f aca="false">1-sh_loss/sh*0.75</f>
        <v>1</v>
      </c>
      <c r="G557" s="16" t="n">
        <f aca="false">1-sh_loss/sh*1</f>
        <v>1</v>
      </c>
    </row>
    <row r="558" customFormat="false" ht="17.15" hidden="false" customHeight="false" outlineLevel="0" collapsed="false">
      <c r="A558" s="0" t="s">
        <v>499</v>
      </c>
      <c r="B558" s="0" t="s">
        <v>29</v>
      </c>
      <c r="C558" s="11" t="n">
        <f aca="false">$C$554*(0.75*C550+0.25*D550)*C557</f>
        <v>36</v>
      </c>
      <c r="D558" s="11" t="n">
        <f aca="false">$C$554*(0.75*D550+0.25*E550)*D557</f>
        <v>41.107196952392</v>
      </c>
      <c r="E558" s="11" t="n">
        <f aca="false">$C$554*(0.75*E550+0.25*F550)*E557</f>
        <v>51.3939218827222</v>
      </c>
      <c r="F558" s="11" t="n">
        <f aca="false">$C$554*(0.75*F550+0.25*G550)*F557</f>
        <v>47.0087055055414</v>
      </c>
      <c r="G558" s="11" t="n">
        <f aca="false">$C$554*(0.75*G550+0.25*H550)*G557</f>
        <v>25.5151087439103</v>
      </c>
    </row>
    <row r="559" customFormat="false" ht="17.15" hidden="false" customHeight="false" outlineLevel="0" collapsed="false">
      <c r="A559" s="5" t="s">
        <v>500</v>
      </c>
      <c r="B559" s="0" t="s">
        <v>29</v>
      </c>
      <c r="C559" s="11" t="n">
        <f aca="false">$C$555*(0.75*C552+0.25*D552)*C557</f>
        <v>39</v>
      </c>
      <c r="D559" s="11" t="n">
        <f aca="false">$C$555*(0.75*D552+0.25*E552)*D557</f>
        <v>60.1483586282001</v>
      </c>
      <c r="E559" s="11" t="n">
        <f aca="false">$C$555*(0.75*E552+0.25*F552)*E557</f>
        <v>42.5991175746519</v>
      </c>
      <c r="F559" s="11" t="n">
        <f aca="false">$C$555*(0.75*F552+0.25*G552)*F557</f>
        <v>38.320722254198</v>
      </c>
      <c r="G559" s="11" t="n">
        <f aca="false">$C$555*(0.75*G552+0.25*H552)*G557</f>
        <v>36.8663955538204</v>
      </c>
    </row>
    <row r="560" customFormat="false" ht="17.15" hidden="false" customHeight="false" outlineLevel="0" collapsed="false">
      <c r="A560" s="0" t="s">
        <v>501</v>
      </c>
      <c r="B560" s="0" t="s">
        <v>29</v>
      </c>
      <c r="C560" s="11" t="n">
        <f aca="false">C558+C559</f>
        <v>75</v>
      </c>
      <c r="D560" s="11" t="n">
        <f aca="false">D558+D559</f>
        <v>101.255555580592</v>
      </c>
      <c r="E560" s="11" t="n">
        <f aca="false">E558+E559</f>
        <v>93.9930394573742</v>
      </c>
      <c r="F560" s="11" t="n">
        <f aca="false">F558+F559</f>
        <v>85.3294277597394</v>
      </c>
      <c r="G560" s="11" t="n">
        <f aca="false">G558+G559</f>
        <v>62.3815042977307</v>
      </c>
    </row>
    <row r="561" customFormat="false" ht="17.15" hidden="false" customHeight="false" outlineLevel="0" collapsed="false">
      <c r="A561" s="5" t="s">
        <v>502</v>
      </c>
      <c r="B561" s="0" t="s">
        <v>29</v>
      </c>
      <c r="C561" s="11" t="n">
        <f aca="false">eq25-ai25</f>
        <v>195.87118</v>
      </c>
      <c r="D561" s="11" t="n">
        <f aca="false">C561*(1+g_non)*D557/C557</f>
        <v>207.6234508</v>
      </c>
      <c r="E561" s="11" t="n">
        <f aca="false">D561*(1+g_non)*E557/D557</f>
        <v>220.080857848</v>
      </c>
      <c r="F561" s="11" t="n">
        <f aca="false">E561*(1+g_non)*F557/E557</f>
        <v>233.28570931888</v>
      </c>
      <c r="G561" s="11" t="n">
        <f aca="false">F561*(1+g_non)*G557/F557</f>
        <v>247.282851878013</v>
      </c>
    </row>
    <row r="562" customFormat="false" ht="15" hidden="false" customHeight="false" outlineLevel="0" collapsed="false">
      <c r="A562" s="5" t="s">
        <v>503</v>
      </c>
      <c r="B562" s="0" t="s">
        <v>29</v>
      </c>
      <c r="C562" s="11" t="n">
        <f aca="false">C560+C561</f>
        <v>270.87118</v>
      </c>
      <c r="D562" s="11" t="n">
        <f aca="false">D560+D561</f>
        <v>308.879006380592</v>
      </c>
      <c r="E562" s="11" t="n">
        <f aca="false">E560+E561</f>
        <v>314.073897305374</v>
      </c>
      <c r="F562" s="11" t="n">
        <f aca="false">F560+F561</f>
        <v>318.615137078619</v>
      </c>
      <c r="G562" s="11" t="n">
        <f aca="false">G560+G561</f>
        <v>309.664356175744</v>
      </c>
    </row>
    <row r="563" customFormat="false" ht="17.15" hidden="false" customHeight="false" outlineLevel="0" collapsed="false">
      <c r="A563" s="0" t="s">
        <v>504</v>
      </c>
      <c r="B563" s="0" t="s">
        <v>76</v>
      </c>
      <c r="C563" s="19" t="n">
        <f aca="false">w_hbm*(0.75*C549+0.25*D549)/(0.75*C549+0.25*D549)+(1-w_hbm)*(0.75*C551+0.25*D551)/(0.75*C551+0.25*D551)</f>
        <v>1</v>
      </c>
      <c r="D563" s="19" t="n">
        <f aca="false">w_hbm*(0.75*D549+0.25*E549)/(0.75*C549+0.25*D549)+(1-w_hbm)*(0.75*D551+0.25*E551)/(0.75*C551+0.25*D551)</f>
        <v>1.63667482173507</v>
      </c>
      <c r="E563" s="19" t="n">
        <f aca="false">w_hbm*(0.75*E549+0.25*F549)/(0.75*C549+0.25*D549)+(1-w_hbm)*(0.75*E551+0.25*F551)/(0.75*C551+0.25*D551)</f>
        <v>2.48874736950403</v>
      </c>
      <c r="F563" s="19" t="n">
        <f aca="false">w_hbm*(0.75*F549+0.25*G549)/(0.75*C549+0.25*D549)+(1-w_hbm)*(0.75*F551+0.25*G551)/(0.75*C551+0.25*D551)</f>
        <v>3.14537031536945</v>
      </c>
      <c r="G563" s="19" t="n">
        <f aca="false">w_hbm*(0.75*G549+0.25*H549)/(0.75*C549+0.25*D549)+(1-w_hbm)*(0.75*G551+0.25*H551)/(0.75*C551+0.25*D551)</f>
        <v>3.65187447651485</v>
      </c>
      <c r="J563" s="8" t="s">
        <v>505</v>
      </c>
    </row>
    <row r="564" customFormat="false" ht="17.15" hidden="false" customHeight="false" outlineLevel="0" collapsed="false">
      <c r="A564" s="0" t="s">
        <v>506</v>
      </c>
      <c r="B564" s="0" t="s">
        <v>29</v>
      </c>
      <c r="C564" s="11" t="n">
        <f aca="false">tl25*w_tlai*C563</f>
        <v>25.4032258064516</v>
      </c>
      <c r="D564" s="11" t="n">
        <f aca="false">tl25*w_tlai*D563</f>
        <v>41.5768200682699</v>
      </c>
      <c r="E564" s="11" t="n">
        <f aca="false">tl25*w_tlai*E563</f>
        <v>63.2222114027233</v>
      </c>
      <c r="F564" s="11" t="n">
        <f aca="false">tl25*w_tlai*F563</f>
        <v>79.90255236624</v>
      </c>
      <c r="G564" s="11" t="n">
        <f aca="false">tl25*w_tlai*G563</f>
        <v>92.769391943724</v>
      </c>
      <c r="J564" s="5" t="s">
        <v>507</v>
      </c>
    </row>
    <row r="565" customFormat="false" ht="17.15" hidden="false" customHeight="false" outlineLevel="0" collapsed="false">
      <c r="A565" s="5" t="s">
        <v>508</v>
      </c>
      <c r="B565" s="0" t="s">
        <v>29</v>
      </c>
      <c r="C565" s="11" t="n">
        <f aca="false">tl25*(1-w_tlai)</f>
        <v>66.3434641935484</v>
      </c>
      <c r="D565" s="11" t="n">
        <f aca="false">C565*(1+g_tl)</f>
        <v>69.6606374032258</v>
      </c>
      <c r="E565" s="11" t="n">
        <f aca="false">D565*(1+g_tl)</f>
        <v>73.1436692733871</v>
      </c>
      <c r="F565" s="11" t="n">
        <f aca="false">E565*(1+g_tl)</f>
        <v>76.8008527370565</v>
      </c>
      <c r="G565" s="11" t="n">
        <f aca="false">F565*(1+g_tl)</f>
        <v>80.6408953739093</v>
      </c>
    </row>
    <row r="566" customFormat="false" ht="15" hidden="false" customHeight="false" outlineLevel="0" collapsed="false">
      <c r="A566" s="5" t="s">
        <v>509</v>
      </c>
      <c r="B566" s="0" t="s">
        <v>29</v>
      </c>
      <c r="C566" s="11" t="n">
        <f aca="false">C564+C565</f>
        <v>91.74669</v>
      </c>
      <c r="D566" s="11" t="n">
        <f aca="false">D564+D565</f>
        <v>111.237457471496</v>
      </c>
      <c r="E566" s="11" t="n">
        <f aca="false">E564+E565</f>
        <v>136.36588067611</v>
      </c>
      <c r="F566" s="11" t="n">
        <f aca="false">F564+F565</f>
        <v>156.703405103296</v>
      </c>
      <c r="G566" s="11" t="n">
        <f aca="false">G564+G565</f>
        <v>173.410287317633</v>
      </c>
    </row>
    <row r="567" customFormat="false" ht="15" hidden="false" customHeight="false" outlineLevel="0" collapsed="false">
      <c r="A567" s="5" t="s">
        <v>393</v>
      </c>
      <c r="B567" s="0" t="s">
        <v>29</v>
      </c>
      <c r="C567" s="11" t="n">
        <f aca="false">r_ot*(C562+C566)</f>
        <v>74.27113</v>
      </c>
      <c r="D567" s="11" t="n">
        <f aca="false">r_ot*(D562+D566)</f>
        <v>86.0479504275361</v>
      </c>
      <c r="E567" s="11" t="n">
        <f aca="false">r_ot*(E562+E566)</f>
        <v>92.2587497070511</v>
      </c>
      <c r="F567" s="11" t="n">
        <f aca="false">r_ot*(F562+F566)</f>
        <v>97.3544002059346</v>
      </c>
      <c r="G567" s="11" t="n">
        <f aca="false">r_ot*(G562+G566)</f>
        <v>98.9429992697278</v>
      </c>
    </row>
    <row r="568" customFormat="false" ht="15" hidden="false" customHeight="false" outlineLevel="0" collapsed="false">
      <c r="A568" s="5" t="s">
        <v>363</v>
      </c>
      <c r="B568" s="0" t="s">
        <v>29</v>
      </c>
      <c r="C568" s="11" t="n">
        <f aca="false">C562+C566+C567</f>
        <v>436.889</v>
      </c>
      <c r="D568" s="11" t="n">
        <f aca="false">D562+D566+D567</f>
        <v>506.164414279624</v>
      </c>
      <c r="E568" s="11" t="n">
        <f aca="false">E562+E566+E567</f>
        <v>542.698527688536</v>
      </c>
      <c r="F568" s="11" t="n">
        <f aca="false">F562+F566+F567</f>
        <v>572.672942387851</v>
      </c>
      <c r="G568" s="11" t="n">
        <f aca="false">G562+G566+G567</f>
        <v>582.017642763105</v>
      </c>
    </row>
    <row r="569" customFormat="false" ht="17.15" hidden="false" customHeight="false" outlineLevel="0" collapsed="false">
      <c r="A569" s="0" t="s">
        <v>510</v>
      </c>
      <c r="B569" s="0" t="s">
        <v>56</v>
      </c>
      <c r="C569" s="14" t="n">
        <f aca="false">(C560+C564)*(1+r_ot)/C568</f>
        <v>0.276884384673187</v>
      </c>
      <c r="D569" s="14" t="n">
        <f aca="false">(D560+D564)*(1+r_ot)/D568</f>
        <v>0.339982809383899</v>
      </c>
      <c r="E569" s="14" t="n">
        <f aca="false">(E560+E564)*(1+r_ot)/E568</f>
        <v>0.34902612634393</v>
      </c>
      <c r="F569" s="14" t="n">
        <f aca="false">(F560+F564)*(1+r_ot)/F568</f>
        <v>0.347623678570362</v>
      </c>
      <c r="G569" s="14" t="n">
        <f aca="false">(G560+G564)*(1+r_ot)/G568</f>
        <v>0.321173753023909</v>
      </c>
    </row>
    <row r="570" customFormat="false" ht="17.15" hidden="false" customHeight="false" outlineLevel="0" collapsed="false">
      <c r="A570" s="0" t="s">
        <v>511</v>
      </c>
      <c r="B570" s="0" t="s">
        <v>56</v>
      </c>
      <c r="C570" s="14" t="n">
        <f aca="false">C560*(1+r_ot)/C568</f>
        <v>0.206829299394429</v>
      </c>
      <c r="D570" s="14" t="n">
        <f aca="false">D560*(1+r_ot)/D568</f>
        <v>0.241017823134495</v>
      </c>
      <c r="E570" s="14" t="n">
        <f aca="false">E560*(1+r_ot)/E568</f>
        <v>0.208669491576825</v>
      </c>
      <c r="F570" s="14" t="n">
        <f aca="false">F560*(1+r_ot)/F568</f>
        <v>0.179520511377572</v>
      </c>
      <c r="G570" s="14" t="n">
        <f aca="false">G560*(1+r_ot)/G568</f>
        <v>0.12913429661018</v>
      </c>
      <c r="J570" s="5" t="s">
        <v>512</v>
      </c>
    </row>
    <row r="571" customFormat="false" ht="17.15" hidden="false" customHeight="false" outlineLevel="0" collapsed="false">
      <c r="A571" s="5" t="s">
        <v>401</v>
      </c>
      <c r="B571" s="0" t="s">
        <v>56</v>
      </c>
      <c r="C571" s="14" t="n">
        <f aca="false">a25_gp/a25_rev</f>
        <v>0.701498549974936</v>
      </c>
      <c r="D571" s="14" t="n">
        <f aca="false">gm_a+gm_b*LN(D568)+0</f>
        <v>0.719206940443295</v>
      </c>
      <c r="E571" s="14" t="n">
        <f aca="false">gm_a+gm_b*LN(E568)+0</f>
        <v>0.727139747232971</v>
      </c>
      <c r="F571" s="14" t="n">
        <f aca="false">gm_a+gm_b*LN(F568)+0</f>
        <v>0.733259122354038</v>
      </c>
      <c r="G571" s="14" t="n">
        <f aca="false">gm_a+gm_b*LN(G568)+0</f>
        <v>0.735101508040908</v>
      </c>
      <c r="J571" s="8" t="s">
        <v>513</v>
      </c>
    </row>
    <row r="572" customFormat="false" ht="15" hidden="false" customHeight="false" outlineLevel="0" collapsed="false">
      <c r="A572" s="5" t="s">
        <v>398</v>
      </c>
      <c r="B572" s="0" t="s">
        <v>29</v>
      </c>
      <c r="C572" s="11" t="n">
        <f aca="false">C568*C571</f>
        <v>306.477</v>
      </c>
      <c r="D572" s="11" t="n">
        <f aca="false">D568*D571</f>
        <v>364.036959755321</v>
      </c>
      <c r="E572" s="11" t="n">
        <f aca="false">E568*E571</f>
        <v>394.617670247148</v>
      </c>
      <c r="F572" s="11" t="n">
        <f aca="false">F568*F571</f>
        <v>419.91765913122</v>
      </c>
      <c r="G572" s="11" t="n">
        <f aca="false">G568*G571</f>
        <v>427.842046901572</v>
      </c>
    </row>
    <row r="573" customFormat="false" ht="17.15" hidden="false" customHeight="false" outlineLevel="0" collapsed="false">
      <c r="A573" s="5" t="s">
        <v>399</v>
      </c>
      <c r="B573" s="0" t="s">
        <v>29</v>
      </c>
      <c r="C573" s="11" t="n">
        <f aca="false">a25_sga</f>
        <v>121.487</v>
      </c>
      <c r="D573" s="11" t="n">
        <f aca="false">sg_f+sg_v*D568</f>
        <v>135.862554332957</v>
      </c>
      <c r="E573" s="11" t="n">
        <f aca="false">sg_f+sg_v*E568</f>
        <v>145.082560178003</v>
      </c>
      <c r="F573" s="11" t="n">
        <f aca="false">sg_f+sg_v*F568</f>
        <v>152.647114315018</v>
      </c>
      <c r="G573" s="11" t="n">
        <f aca="false">sg_f+sg_v*G568</f>
        <v>155.005408633418</v>
      </c>
      <c r="J573" s="5" t="s">
        <v>514</v>
      </c>
    </row>
    <row r="574" customFormat="false" ht="15" hidden="false" customHeight="false" outlineLevel="0" collapsed="false">
      <c r="A574" s="5" t="s">
        <v>367</v>
      </c>
      <c r="B574" s="0" t="s">
        <v>29</v>
      </c>
      <c r="C574" s="11" t="n">
        <f aca="false">C572-C573</f>
        <v>184.99</v>
      </c>
      <c r="D574" s="11" t="n">
        <f aca="false">D572-D573</f>
        <v>228.174405422364</v>
      </c>
      <c r="E574" s="11" t="n">
        <f aca="false">E572-E573</f>
        <v>249.535110069144</v>
      </c>
      <c r="F574" s="11" t="n">
        <f aca="false">F572-F573</f>
        <v>267.270544816202</v>
      </c>
      <c r="G574" s="11" t="n">
        <f aca="false">G572-G573</f>
        <v>272.836638268154</v>
      </c>
    </row>
    <row r="575" customFormat="false" ht="15" hidden="false" customHeight="false" outlineLevel="0" collapsed="false">
      <c r="A575" s="5" t="s">
        <v>515</v>
      </c>
      <c r="B575" s="0" t="s">
        <v>56</v>
      </c>
      <c r="C575" s="14" t="n">
        <f aca="false">C574/C568</f>
        <v>0.423425629851061</v>
      </c>
      <c r="D575" s="14" t="n">
        <f aca="false">D574/D568</f>
        <v>0.450791084843653</v>
      </c>
      <c r="E575" s="14" t="n">
        <f aca="false">E574/E568</f>
        <v>0.459804287901729</v>
      </c>
      <c r="F575" s="14" t="n">
        <f aca="false">F574/F568</f>
        <v>0.466707129032106</v>
      </c>
      <c r="G575" s="14" t="n">
        <f aca="false">G574/G568</f>
        <v>0.468777264161398</v>
      </c>
    </row>
    <row r="576" customFormat="false" ht="15" hidden="false" customHeight="false" outlineLevel="0" collapsed="false">
      <c r="A576" s="5" t="s">
        <v>370</v>
      </c>
      <c r="B576" s="0" t="s">
        <v>29</v>
      </c>
      <c r="C576" s="11" t="n">
        <f aca="false">a25_ni</f>
        <v>135.521</v>
      </c>
      <c r="D576" s="11" t="n">
        <f aca="false">D574*nioi</f>
        <v>167.158174795497</v>
      </c>
      <c r="E576" s="11" t="n">
        <f aca="false">E574*nioi</f>
        <v>182.80680284601</v>
      </c>
      <c r="F576" s="11" t="n">
        <f aca="false">F574*nioi</f>
        <v>195.799596214027</v>
      </c>
      <c r="G576" s="11" t="n">
        <f aca="false">G574*nioi</f>
        <v>199.877257862567</v>
      </c>
    </row>
    <row r="577" customFormat="false" ht="15" hidden="false" customHeight="false" outlineLevel="0" collapsed="false">
      <c r="A577" s="0" t="s">
        <v>459</v>
      </c>
      <c r="B577" s="0" t="s">
        <v>51</v>
      </c>
      <c r="C577" s="11" t="n">
        <f aca="false">a25_eps</f>
        <v>1249.84</v>
      </c>
      <c r="D577" s="11" t="n">
        <f aca="false">D576*1000/shares</f>
        <v>1540.89986414746</v>
      </c>
      <c r="E577" s="11" t="n">
        <f aca="false">E576*1000/shares</f>
        <v>1685.15226979038</v>
      </c>
      <c r="F577" s="11" t="n">
        <f aca="false">F576*1000/shares</f>
        <v>1804.92262239303</v>
      </c>
      <c r="G577" s="11" t="n">
        <f aca="false">G576*1000/shares</f>
        <v>1842.51138099226</v>
      </c>
    </row>
    <row r="578" customFormat="false" ht="17.15" hidden="false" customHeight="false" outlineLevel="0" collapsed="false">
      <c r="A578" s="5" t="s">
        <v>516</v>
      </c>
      <c r="B578" s="0" t="s">
        <v>29</v>
      </c>
      <c r="C578" s="16" t="n">
        <f aca="false">ABS(C568-a25_rev)+ABS(C574-a25_oi)</f>
        <v>0.000999999999976353</v>
      </c>
    </row>
    <row r="580" customFormat="false" ht="17.15" hidden="false" customHeight="false" outlineLevel="0" collapsed="false">
      <c r="A580" s="3" t="s">
        <v>724</v>
      </c>
    </row>
    <row r="581" customFormat="false" ht="17.15" hidden="false" customHeight="false" outlineLevel="0" collapsed="false">
      <c r="A581" s="6" t="s">
        <v>18</v>
      </c>
      <c r="B581" s="6" t="s">
        <v>19</v>
      </c>
      <c r="C581" s="9" t="s">
        <v>464</v>
      </c>
      <c r="D581" s="9" t="s">
        <v>465</v>
      </c>
      <c r="E581" s="9" t="s">
        <v>466</v>
      </c>
      <c r="F581" s="9" t="s">
        <v>467</v>
      </c>
      <c r="G581" s="9" t="s">
        <v>468</v>
      </c>
      <c r="H581" s="9" t="s">
        <v>469</v>
      </c>
      <c r="I581" s="9" t="s">
        <v>470</v>
      </c>
      <c r="J581" s="6" t="s">
        <v>450</v>
      </c>
    </row>
    <row r="582" customFormat="false" ht="17.15" hidden="false" customHeight="false" outlineLevel="0" collapsed="false">
      <c r="A582" s="1" t="s">
        <v>471</v>
      </c>
    </row>
    <row r="583" customFormat="false" ht="17.15" hidden="false" customHeight="false" outlineLevel="0" collapsed="false">
      <c r="A583" s="0" t="s">
        <v>472</v>
      </c>
      <c r="B583" s="0" t="s">
        <v>96</v>
      </c>
      <c r="C583" s="19" t="n">
        <f aca="false">hsA_25</f>
        <v>2.22511470588235</v>
      </c>
      <c r="D583" s="19" t="n">
        <f aca="false">hsA_26</f>
        <v>3.782695</v>
      </c>
      <c r="E583" s="19" t="n">
        <f aca="false">hsA_27</f>
        <v>5.86317725</v>
      </c>
      <c r="F583" s="19" t="n">
        <f aca="false">hsA_28</f>
        <v>8.5016070125</v>
      </c>
      <c r="G583" s="19" t="n">
        <f aca="false">hsA_29</f>
        <v>11.477169466875</v>
      </c>
      <c r="H583" s="19" t="n">
        <f aca="false">G583*(1+g_tail)</f>
        <v>12.6248864135625</v>
      </c>
      <c r="I583" s="19" t="n">
        <f aca="false">H583*(1+g_tail)</f>
        <v>13.8873750549188</v>
      </c>
      <c r="J583" s="8" t="s">
        <v>473</v>
      </c>
    </row>
    <row r="584" customFormat="false" ht="17.15" hidden="false" customHeight="false" outlineLevel="0" collapsed="false">
      <c r="A584" s="0" t="s">
        <v>474</v>
      </c>
      <c r="B584" s="0" t="s">
        <v>475</v>
      </c>
      <c r="C584" s="19" t="n">
        <f aca="false">den_25</f>
        <v>24</v>
      </c>
      <c r="D584" s="19" t="n">
        <f aca="false">den_26</f>
        <v>24</v>
      </c>
      <c r="E584" s="19" t="n">
        <f aca="false">den_27</f>
        <v>26</v>
      </c>
      <c r="F584" s="19" t="n">
        <f aca="false">den_28</f>
        <v>28</v>
      </c>
      <c r="G584" s="19" t="n">
        <f aca="false">den_29</f>
        <v>30</v>
      </c>
      <c r="H584" s="19" t="n">
        <f aca="false">den_30</f>
        <v>32</v>
      </c>
      <c r="I584" s="19" t="n">
        <f aca="false">den_30</f>
        <v>32</v>
      </c>
    </row>
    <row r="585" customFormat="false" ht="15" hidden="false" customHeight="false" outlineLevel="0" collapsed="false">
      <c r="A585" s="5" t="s">
        <v>476</v>
      </c>
      <c r="B585" s="5" t="s">
        <v>148</v>
      </c>
      <c r="C585" s="19" t="n">
        <f aca="false">stk_25_hi</f>
        <v>12</v>
      </c>
      <c r="D585" s="19" t="n">
        <f aca="false">stk_26_hi</f>
        <v>12</v>
      </c>
      <c r="E585" s="19" t="n">
        <f aca="false">stk_27_hi</f>
        <v>14</v>
      </c>
      <c r="F585" s="19" t="n">
        <f aca="false">stk_28_hi</f>
        <v>16</v>
      </c>
      <c r="G585" s="19" t="n">
        <f aca="false">stk_29_hi</f>
        <v>16</v>
      </c>
      <c r="H585" s="19" t="n">
        <f aca="false">stk_30_hi</f>
        <v>16</v>
      </c>
      <c r="I585" s="19" t="n">
        <f aca="false">stk_30_hi</f>
        <v>16</v>
      </c>
    </row>
    <row r="586" customFormat="false" ht="17.15" hidden="false" customHeight="false" outlineLevel="0" collapsed="false">
      <c r="A586" s="0" t="s">
        <v>477</v>
      </c>
      <c r="B586" s="5" t="s">
        <v>478</v>
      </c>
      <c r="C586" s="19" t="n">
        <f aca="false">C583*8/C584</f>
        <v>0.741704901960783</v>
      </c>
      <c r="D586" s="19" t="n">
        <f aca="false">D583*8/D584</f>
        <v>1.26089833333333</v>
      </c>
      <c r="E586" s="19" t="n">
        <f aca="false">E583*8/E584</f>
        <v>1.80405453846154</v>
      </c>
      <c r="F586" s="19" t="n">
        <f aca="false">F583*8/F584</f>
        <v>2.429030575</v>
      </c>
      <c r="G586" s="19" t="n">
        <f aca="false">G583*8/G584</f>
        <v>3.0605785245</v>
      </c>
      <c r="H586" s="19" t="n">
        <f aca="false">H583*8/H584</f>
        <v>3.15622160339063</v>
      </c>
      <c r="I586" s="19" t="n">
        <f aca="false">I583*8/I584</f>
        <v>3.47184376372969</v>
      </c>
      <c r="J586" s="8" t="s">
        <v>479</v>
      </c>
    </row>
    <row r="587" customFormat="false" ht="17.15" hidden="false" customHeight="false" outlineLevel="0" collapsed="false">
      <c r="A587" s="0" t="s">
        <v>480</v>
      </c>
      <c r="B587" s="5" t="s">
        <v>481</v>
      </c>
      <c r="C587" s="19" t="n">
        <f aca="false">C586*(1+s_stk/C585)</f>
        <v>0.927131127450979</v>
      </c>
      <c r="D587" s="19" t="n">
        <f aca="false">D586*(1+s_stk/D585)</f>
        <v>1.57612291666667</v>
      </c>
      <c r="E587" s="19" t="n">
        <f aca="false">E586*(1+s_stk/E585)</f>
        <v>2.19063765384615</v>
      </c>
      <c r="F587" s="19" t="n">
        <f aca="false">F586*(1+s_stk/F585)</f>
        <v>2.8844738078125</v>
      </c>
      <c r="G587" s="19" t="n">
        <f aca="false">G586*(1+s_stk/G585)</f>
        <v>3.63443699784375</v>
      </c>
      <c r="H587" s="19" t="n">
        <f aca="false">H586*(1+s_stk/H585)</f>
        <v>3.74801315402637</v>
      </c>
      <c r="I587" s="19" t="n">
        <f aca="false">I586*(1+s_stk/I585)</f>
        <v>4.12281446942901</v>
      </c>
      <c r="J587" s="5" t="s">
        <v>482</v>
      </c>
    </row>
    <row r="588" customFormat="false" ht="17.15" hidden="false" customHeight="false" outlineLevel="0" collapsed="false">
      <c r="A588" s="5" t="s">
        <v>483</v>
      </c>
      <c r="B588" s="0" t="s">
        <v>56</v>
      </c>
      <c r="C588" s="22" t="n">
        <f aca="false">hbp_25*hb_on</f>
        <v>0</v>
      </c>
      <c r="D588" s="22" t="n">
        <f aca="false">hbp_26*hb_on</f>
        <v>0</v>
      </c>
      <c r="E588" s="22" t="n">
        <f aca="false">hbp_27*hb_on</f>
        <v>0</v>
      </c>
      <c r="F588" s="22" t="n">
        <f aca="false">hbp_28*hb_on</f>
        <v>0.05</v>
      </c>
      <c r="G588" s="22" t="n">
        <f aca="false">hbp_29*hb_on</f>
        <v>0.15</v>
      </c>
      <c r="H588" s="22" t="n">
        <f aca="false">hbp_30*hb_on</f>
        <v>0.25</v>
      </c>
      <c r="I588" s="22" t="n">
        <f aca="false">hbp_30*hb_on</f>
        <v>0.25</v>
      </c>
    </row>
    <row r="589" customFormat="false" ht="17.15" hidden="false" customHeight="false" outlineLevel="0" collapsed="false">
      <c r="A589" s="0" t="s">
        <v>484</v>
      </c>
      <c r="B589" s="5" t="s">
        <v>481</v>
      </c>
      <c r="C589" s="19" t="n">
        <f aca="false">C587*(1+C588*hb_eff)</f>
        <v>0.927131127450979</v>
      </c>
      <c r="D589" s="19" t="n">
        <f aca="false">D587*(1+D588*hb_eff)</f>
        <v>1.57612291666667</v>
      </c>
      <c r="E589" s="19" t="n">
        <f aca="false">E587*(1+E588*hb_eff)</f>
        <v>2.19063765384615</v>
      </c>
      <c r="F589" s="19" t="n">
        <f aca="false">F587*(1+F588*hb_eff)</f>
        <v>2.89889617685156</v>
      </c>
      <c r="G589" s="19" t="n">
        <f aca="false">G587*(1+G588*hb_eff)</f>
        <v>3.68895355281141</v>
      </c>
      <c r="H589" s="19" t="n">
        <f aca="false">H587*(1+H588*hb_eff)</f>
        <v>3.84171348287703</v>
      </c>
      <c r="I589" s="19" t="n">
        <f aca="false">I587*(1+I588*hb_eff)</f>
        <v>4.22588483116473</v>
      </c>
      <c r="J589" s="5" t="s">
        <v>485</v>
      </c>
    </row>
    <row r="590" customFormat="false" ht="17.15" hidden="false" customHeight="false" outlineLevel="0" collapsed="false">
      <c r="A590" s="0" t="s">
        <v>486</v>
      </c>
      <c r="B590" s="5" t="s">
        <v>481</v>
      </c>
      <c r="C590" s="19" t="n">
        <f aca="false">MAX(0,D589-C589)+dlt*C589</f>
        <v>0.741704901960785</v>
      </c>
      <c r="D590" s="19" t="n">
        <f aca="false">MAX(0,E589-D589)+dlt*D589</f>
        <v>0.772127028846154</v>
      </c>
      <c r="E590" s="19" t="n">
        <f aca="false">MAX(0,F589-E589)+dlt*E589</f>
        <v>0.927322288390024</v>
      </c>
      <c r="F590" s="19" t="n">
        <f aca="false">MAX(0,G589-F589)+dlt*F589</f>
        <v>1.079946993645</v>
      </c>
      <c r="G590" s="19" t="n">
        <f aca="false">MAX(0,H589-G589)+dlt*G589</f>
        <v>0.521655285346761</v>
      </c>
      <c r="H590" s="19" t="n">
        <f aca="false">MAX(0,I589-H589)+dlt*H589</f>
        <v>0.768342696575406</v>
      </c>
      <c r="J590" s="5" t="s">
        <v>487</v>
      </c>
    </row>
    <row r="591" customFormat="false" ht="17.15" hidden="false" customHeight="false" outlineLevel="0" collapsed="false">
      <c r="A591" s="0" t="s">
        <v>488</v>
      </c>
      <c r="B591" s="5" t="s">
        <v>177</v>
      </c>
      <c r="C591" s="21" t="n">
        <f aca="false">cw_25</f>
        <v>670</v>
      </c>
      <c r="D591" s="21" t="n">
        <f aca="false">cw_26</f>
        <v>1107.85762580894</v>
      </c>
      <c r="E591" s="21" t="n">
        <f aca="false">cw_27</f>
        <v>2096.42857142857</v>
      </c>
      <c r="F591" s="21" t="n">
        <f aca="false">cw_28*um28_A</f>
        <v>2620.08928571429</v>
      </c>
      <c r="G591" s="21" t="n">
        <f aca="false">cw_29*um29_A</f>
        <v>3013.32589285714</v>
      </c>
      <c r="H591" s="21" t="n">
        <f aca="false">G591*(1+g_tail)</f>
        <v>3314.65848214285</v>
      </c>
      <c r="I591" s="21" t="n">
        <f aca="false">H591*(1+g_tail)</f>
        <v>3646.12433035714</v>
      </c>
      <c r="J591" s="5" t="s">
        <v>489</v>
      </c>
    </row>
    <row r="592" customFormat="false" ht="15" hidden="false" customHeight="false" outlineLevel="0" collapsed="false">
      <c r="A592" s="5" t="s">
        <v>490</v>
      </c>
      <c r="B592" s="5" t="s">
        <v>177</v>
      </c>
      <c r="C592" s="21" t="n">
        <f aca="false">MAX(0,D591-C591)+dlt*C591</f>
        <v>504.85762580894</v>
      </c>
      <c r="D592" s="21" t="n">
        <f aca="false">MAX(0,E591-D591)+dlt*D591</f>
        <v>1099.35670820052</v>
      </c>
      <c r="E592" s="21" t="n">
        <f aca="false">MAX(0,F591-E591)+dlt*E591</f>
        <v>733.303571428577</v>
      </c>
      <c r="F592" s="21" t="n">
        <f aca="false">MAX(0,G591-F591)+dlt*F591</f>
        <v>655.245535714279</v>
      </c>
      <c r="G592" s="21" t="n">
        <f aca="false">MAX(0,H591-G591)+dlt*G591</f>
        <v>602.665178571428</v>
      </c>
      <c r="H592" s="21" t="n">
        <f aca="false">MAX(0,I591-H591)+dlt*H591</f>
        <v>662.931696428571</v>
      </c>
    </row>
    <row r="593" customFormat="false" ht="17.15" hidden="false" customHeight="false" outlineLevel="0" collapsed="false">
      <c r="A593" s="1" t="s">
        <v>491</v>
      </c>
    </row>
    <row r="594" customFormat="false" ht="17.15" hidden="false" customHeight="false" outlineLevel="0" collapsed="false">
      <c r="A594" s="0" t="s">
        <v>492</v>
      </c>
      <c r="B594" s="0" t="s">
        <v>493</v>
      </c>
      <c r="C594" s="16" t="n">
        <f aca="false">ai25*w_hbm/(0.75*C590+0.25*D590)</f>
        <v>48.0441728578304</v>
      </c>
      <c r="J594" s="5" t="s">
        <v>494</v>
      </c>
    </row>
    <row r="595" customFormat="false" ht="17.15" hidden="false" customHeight="false" outlineLevel="0" collapsed="false">
      <c r="A595" s="5" t="s">
        <v>495</v>
      </c>
      <c r="B595" s="0" t="s">
        <v>496</v>
      </c>
      <c r="C595" s="18" t="n">
        <f aca="false">ai25*(1-w_hbm)/(0.75*C592+0.25*D592)</f>
        <v>0.0596802610360141</v>
      </c>
    </row>
    <row r="596" customFormat="false" ht="17.15" hidden="false" customHeight="false" outlineLevel="0" collapsed="false">
      <c r="A596" s="1" t="s">
        <v>497</v>
      </c>
    </row>
    <row r="597" customFormat="false" ht="17.15" hidden="false" customHeight="false" outlineLevel="0" collapsed="false">
      <c r="A597" s="5" t="s">
        <v>498</v>
      </c>
      <c r="B597" s="0" t="s">
        <v>76</v>
      </c>
      <c r="C597" s="16" t="n">
        <f aca="false">1-sh_loss/sh*0</f>
        <v>1</v>
      </c>
      <c r="D597" s="16" t="n">
        <f aca="false">1-sh_loss/sh*0.25</f>
        <v>1</v>
      </c>
      <c r="E597" s="16" t="n">
        <f aca="false">1-sh_loss/sh*0.5</f>
        <v>1</v>
      </c>
      <c r="F597" s="16" t="n">
        <f aca="false">1-sh_loss/sh*0.75</f>
        <v>1</v>
      </c>
      <c r="G597" s="16" t="n">
        <f aca="false">1-sh_loss/sh*1</f>
        <v>1</v>
      </c>
    </row>
    <row r="598" customFormat="false" ht="17.15" hidden="false" customHeight="false" outlineLevel="0" collapsed="false">
      <c r="A598" s="0" t="s">
        <v>499</v>
      </c>
      <c r="B598" s="0" t="s">
        <v>29</v>
      </c>
      <c r="C598" s="11" t="n">
        <f aca="false">$C$594*(0.75*C590+0.25*D590)*C597</f>
        <v>36</v>
      </c>
      <c r="D598" s="11" t="n">
        <f aca="false">$C$594*(0.75*D590+0.25*E590)*D597</f>
        <v>38.960261411148</v>
      </c>
      <c r="E598" s="11" t="n">
        <f aca="false">$C$594*(0.75*E590+0.25*F590)*E597</f>
        <v>46.3856142487405</v>
      </c>
      <c r="F598" s="11" t="n">
        <f aca="false">$C$594*(0.75*F590+0.25*G590)*F597</f>
        <v>45.1794942053312</v>
      </c>
      <c r="G598" s="11" t="n">
        <f aca="false">$C$594*(0.75*G590+0.25*H590)*G597</f>
        <v>28.0254698581306</v>
      </c>
    </row>
    <row r="599" customFormat="false" ht="17.15" hidden="false" customHeight="false" outlineLevel="0" collapsed="false">
      <c r="A599" s="5" t="s">
        <v>500</v>
      </c>
      <c r="B599" s="0" t="s">
        <v>29</v>
      </c>
      <c r="C599" s="11" t="n">
        <f aca="false">$C$595*(0.75*C592+0.25*D592)*C597</f>
        <v>39</v>
      </c>
      <c r="D599" s="11" t="n">
        <f aca="false">$C$595*(0.75*D592+0.25*E592)*D597</f>
        <v>60.1483586282001</v>
      </c>
      <c r="E599" s="11" t="n">
        <f aca="false">$C$595*(0.75*E592+0.25*F592)*E597</f>
        <v>42.5991175746519</v>
      </c>
      <c r="F599" s="11" t="n">
        <f aca="false">$C$595*(0.75*F592+0.25*G592)*F597</f>
        <v>38.320722254198</v>
      </c>
      <c r="G599" s="11" t="n">
        <f aca="false">$C$595*(0.75*G592+0.25*H592)*G597</f>
        <v>36.8663955538204</v>
      </c>
    </row>
    <row r="600" customFormat="false" ht="17.15" hidden="false" customHeight="false" outlineLevel="0" collapsed="false">
      <c r="A600" s="0" t="s">
        <v>501</v>
      </c>
      <c r="B600" s="0" t="s">
        <v>29</v>
      </c>
      <c r="C600" s="11" t="n">
        <f aca="false">C598+C599</f>
        <v>75</v>
      </c>
      <c r="D600" s="11" t="n">
        <f aca="false">D598+D599</f>
        <v>99.1086200393481</v>
      </c>
      <c r="E600" s="11" t="n">
        <f aca="false">E598+E599</f>
        <v>88.9847318233925</v>
      </c>
      <c r="F600" s="11" t="n">
        <f aca="false">F598+F599</f>
        <v>83.5002164595292</v>
      </c>
      <c r="G600" s="11" t="n">
        <f aca="false">G598+G599</f>
        <v>64.8918654119509</v>
      </c>
    </row>
    <row r="601" customFormat="false" ht="17.15" hidden="false" customHeight="false" outlineLevel="0" collapsed="false">
      <c r="A601" s="5" t="s">
        <v>502</v>
      </c>
      <c r="B601" s="0" t="s">
        <v>29</v>
      </c>
      <c r="C601" s="11" t="n">
        <f aca="false">eq25-ai25</f>
        <v>195.87118</v>
      </c>
      <c r="D601" s="11" t="n">
        <f aca="false">C601*(1+g_non)*D597/C597</f>
        <v>207.6234508</v>
      </c>
      <c r="E601" s="11" t="n">
        <f aca="false">D601*(1+g_non)*E597/D597</f>
        <v>220.080857848</v>
      </c>
      <c r="F601" s="11" t="n">
        <f aca="false">E601*(1+g_non)*F597/E597</f>
        <v>233.28570931888</v>
      </c>
      <c r="G601" s="11" t="n">
        <f aca="false">F601*(1+g_non)*G597/F597</f>
        <v>247.282851878013</v>
      </c>
    </row>
    <row r="602" customFormat="false" ht="15" hidden="false" customHeight="false" outlineLevel="0" collapsed="false">
      <c r="A602" s="5" t="s">
        <v>503</v>
      </c>
      <c r="B602" s="0" t="s">
        <v>29</v>
      </c>
      <c r="C602" s="11" t="n">
        <f aca="false">C600+C601</f>
        <v>270.87118</v>
      </c>
      <c r="D602" s="11" t="n">
        <f aca="false">D600+D601</f>
        <v>306.732070839348</v>
      </c>
      <c r="E602" s="11" t="n">
        <f aca="false">E600+E601</f>
        <v>309.065589671392</v>
      </c>
      <c r="F602" s="11" t="n">
        <f aca="false">F600+F601</f>
        <v>316.785925778409</v>
      </c>
      <c r="G602" s="11" t="n">
        <f aca="false">G600+G601</f>
        <v>312.174717289964</v>
      </c>
    </row>
    <row r="603" customFormat="false" ht="17.15" hidden="false" customHeight="false" outlineLevel="0" collapsed="false">
      <c r="A603" s="0" t="s">
        <v>504</v>
      </c>
      <c r="B603" s="0" t="s">
        <v>76</v>
      </c>
      <c r="C603" s="19" t="n">
        <f aca="false">w_hbm*(0.75*C589+0.25*D589)/(0.75*C589+0.25*D589)+(1-w_hbm)*(0.75*C591+0.25*D591)/(0.75*C591+0.25*D591)</f>
        <v>1</v>
      </c>
      <c r="D603" s="19" t="n">
        <f aca="false">w_hbm*(0.75*D589+0.25*E589)/(0.75*C589+0.25*D589)+(1-w_hbm)*(0.75*D591+0.25*E591)/(0.75*C591+0.25*D591)</f>
        <v>1.6661139272164</v>
      </c>
      <c r="E603" s="19" t="n">
        <f aca="false">w_hbm*(0.75*E589+0.25*F589)/(0.75*C589+0.25*D589)+(1-w_hbm)*(0.75*E591+0.25*F591)/(0.75*C591+0.25*D591)</f>
        <v>2.52916833198789</v>
      </c>
      <c r="F603" s="19" t="n">
        <f aca="false">w_hbm*(0.75*F589+0.25*G589)/(0.75*C589+0.25*D589)+(1-w_hbm)*(0.75*F591+0.25*G591)/(0.75*C591+0.25*D591)</f>
        <v>3.17784501546237</v>
      </c>
      <c r="G603" s="19" t="n">
        <f aca="false">w_hbm*(0.75*G589+0.25*H589)/(0.75*C589+0.25*D589)+(1-w_hbm)*(0.75*G591+0.25*H591)/(0.75*C591+0.25*D591)</f>
        <v>3.70276733124079</v>
      </c>
      <c r="J603" s="8" t="s">
        <v>505</v>
      </c>
    </row>
    <row r="604" customFormat="false" ht="17.15" hidden="false" customHeight="false" outlineLevel="0" collapsed="false">
      <c r="A604" s="0" t="s">
        <v>506</v>
      </c>
      <c r="B604" s="0" t="s">
        <v>29</v>
      </c>
      <c r="C604" s="11" t="n">
        <f aca="false">tl25*w_tlai*C603</f>
        <v>25.4032258064516</v>
      </c>
      <c r="D604" s="11" t="n">
        <f aca="false">tl25*w_tlai*D603</f>
        <v>42.3246683123521</v>
      </c>
      <c r="E604" s="11" t="n">
        <f aca="false">tl25*w_tlai*E603</f>
        <v>64.249034240015</v>
      </c>
      <c r="F604" s="11" t="n">
        <f aca="false">tl25*w_tlai*F603</f>
        <v>80.7275145056974</v>
      </c>
      <c r="G604" s="11" t="n">
        <f aca="false">tl25*w_tlai*G603</f>
        <v>94.0622346242621</v>
      </c>
      <c r="J604" s="5" t="s">
        <v>507</v>
      </c>
    </row>
    <row r="605" customFormat="false" ht="17.15" hidden="false" customHeight="false" outlineLevel="0" collapsed="false">
      <c r="A605" s="5" t="s">
        <v>508</v>
      </c>
      <c r="B605" s="0" t="s">
        <v>29</v>
      </c>
      <c r="C605" s="11" t="n">
        <f aca="false">tl25*(1-w_tlai)</f>
        <v>66.3434641935484</v>
      </c>
      <c r="D605" s="11" t="n">
        <f aca="false">C605*(1+g_tl)</f>
        <v>69.6606374032258</v>
      </c>
      <c r="E605" s="11" t="n">
        <f aca="false">D605*(1+g_tl)</f>
        <v>73.1436692733871</v>
      </c>
      <c r="F605" s="11" t="n">
        <f aca="false">E605*(1+g_tl)</f>
        <v>76.8008527370565</v>
      </c>
      <c r="G605" s="11" t="n">
        <f aca="false">F605*(1+g_tl)</f>
        <v>80.6408953739093</v>
      </c>
    </row>
    <row r="606" customFormat="false" ht="15" hidden="false" customHeight="false" outlineLevel="0" collapsed="false">
      <c r="A606" s="5" t="s">
        <v>509</v>
      </c>
      <c r="B606" s="0" t="s">
        <v>29</v>
      </c>
      <c r="C606" s="11" t="n">
        <f aca="false">C604+C605</f>
        <v>91.74669</v>
      </c>
      <c r="D606" s="11" t="n">
        <f aca="false">D604+D605</f>
        <v>111.985305715578</v>
      </c>
      <c r="E606" s="11" t="n">
        <f aca="false">E604+E605</f>
        <v>137.392703513402</v>
      </c>
      <c r="F606" s="11" t="n">
        <f aca="false">F604+F605</f>
        <v>157.528367242754</v>
      </c>
      <c r="G606" s="11" t="n">
        <f aca="false">G604+G605</f>
        <v>174.703129998171</v>
      </c>
    </row>
    <row r="607" customFormat="false" ht="15" hidden="false" customHeight="false" outlineLevel="0" collapsed="false">
      <c r="A607" s="5" t="s">
        <v>393</v>
      </c>
      <c r="B607" s="0" t="s">
        <v>29</v>
      </c>
      <c r="C607" s="11" t="n">
        <f aca="false">r_ot*(C602+C606)</f>
        <v>74.27113</v>
      </c>
      <c r="D607" s="11" t="n">
        <f aca="false">r_ot*(D602+D606)</f>
        <v>85.7613903787198</v>
      </c>
      <c r="E607" s="11" t="n">
        <f aca="false">r_ot*(E602+E606)</f>
        <v>91.4432648691748</v>
      </c>
      <c r="F607" s="11" t="n">
        <f aca="false">r_ot*(F602+F606)</f>
        <v>97.1487106187925</v>
      </c>
      <c r="G607" s="11" t="n">
        <f aca="false">r_ot*(G602+G606)</f>
        <v>99.7219687216663</v>
      </c>
    </row>
    <row r="608" customFormat="false" ht="15" hidden="false" customHeight="false" outlineLevel="0" collapsed="false">
      <c r="A608" s="5" t="s">
        <v>363</v>
      </c>
      <c r="B608" s="0" t="s">
        <v>29</v>
      </c>
      <c r="C608" s="11" t="n">
        <f aca="false">C602+C606+C607</f>
        <v>436.889</v>
      </c>
      <c r="D608" s="11" t="n">
        <f aca="false">D602+D606+D607</f>
        <v>504.478766933646</v>
      </c>
      <c r="E608" s="11" t="n">
        <f aca="false">E602+E606+E607</f>
        <v>537.901558053969</v>
      </c>
      <c r="F608" s="11" t="n">
        <f aca="false">F602+F606+F607</f>
        <v>571.463003639956</v>
      </c>
      <c r="G608" s="11" t="n">
        <f aca="false">G602+G606+G607</f>
        <v>586.599816009801</v>
      </c>
    </row>
    <row r="609" customFormat="false" ht="17.15" hidden="false" customHeight="false" outlineLevel="0" collapsed="false">
      <c r="A609" s="0" t="s">
        <v>510</v>
      </c>
      <c r="B609" s="0" t="s">
        <v>56</v>
      </c>
      <c r="C609" s="14" t="n">
        <f aca="false">(C600+C604)*(1+r_ot)/C608</f>
        <v>0.276884384673187</v>
      </c>
      <c r="D609" s="14" t="n">
        <f aca="false">(D600+D604)*(1+r_ot)/D608</f>
        <v>0.337777451500505</v>
      </c>
      <c r="E609" s="14" t="n">
        <f aca="false">(E600+E604)*(1+r_ot)/E608</f>
        <v>0.343220785463116</v>
      </c>
      <c r="F609" s="14" t="n">
        <f aca="false">(F600+F604)*(1+r_ot)/F608</f>
        <v>0.346242424868059</v>
      </c>
      <c r="G609" s="14" t="n">
        <f aca="false">(G600+G604)*(1+r_ot)/G608</f>
        <v>0.326476344983804</v>
      </c>
    </row>
    <row r="610" customFormat="false" ht="17.15" hidden="false" customHeight="false" outlineLevel="0" collapsed="false">
      <c r="A610" s="0" t="s">
        <v>511</v>
      </c>
      <c r="B610" s="0" t="s">
        <v>56</v>
      </c>
      <c r="C610" s="14" t="n">
        <f aca="false">C600*(1+r_ot)/C608</f>
        <v>0.206829299394429</v>
      </c>
      <c r="D610" s="14" t="n">
        <f aca="false">D600*(1+r_ot)/D608</f>
        <v>0.236695741778816</v>
      </c>
      <c r="E610" s="14" t="n">
        <f aca="false">E600*(1+r_ot)/E608</f>
        <v>0.199312529707138</v>
      </c>
      <c r="F610" s="14" t="n">
        <f aca="false">F600*(1+r_ot)/F608</f>
        <v>0.176044065481711</v>
      </c>
      <c r="G610" s="14" t="n">
        <f aca="false">G600*(1+r_ot)/G608</f>
        <v>0.133281614214721</v>
      </c>
      <c r="J610" s="5" t="s">
        <v>512</v>
      </c>
    </row>
    <row r="611" customFormat="false" ht="17.15" hidden="false" customHeight="false" outlineLevel="0" collapsed="false">
      <c r="A611" s="5" t="s">
        <v>401</v>
      </c>
      <c r="B611" s="0" t="s">
        <v>56</v>
      </c>
      <c r="C611" s="14" t="n">
        <f aca="false">a25_gp/a25_rev</f>
        <v>0.701498549974936</v>
      </c>
      <c r="D611" s="14" t="n">
        <f aca="false">gm_a+gm_b*LN(D608)+0</f>
        <v>0.71882724045206</v>
      </c>
      <c r="E611" s="14" t="n">
        <f aca="false">gm_a+gm_b*LN(E608)+0</f>
        <v>0.726129154576888</v>
      </c>
      <c r="F611" s="14" t="n">
        <f aca="false">gm_a+gm_b*LN(F608)+0</f>
        <v>0.733018377379518</v>
      </c>
      <c r="G611" s="14" t="n">
        <f aca="false">gm_a+gm_b*LN(G608)+0</f>
        <v>0.735994140498045</v>
      </c>
      <c r="J611" s="8" t="s">
        <v>513</v>
      </c>
    </row>
    <row r="612" customFormat="false" ht="15" hidden="false" customHeight="false" outlineLevel="0" collapsed="false">
      <c r="A612" s="5" t="s">
        <v>398</v>
      </c>
      <c r="B612" s="0" t="s">
        <v>29</v>
      </c>
      <c r="C612" s="11" t="n">
        <f aca="false">C608*C611</f>
        <v>306.477</v>
      </c>
      <c r="D612" s="11" t="n">
        <f aca="false">D608*D611</f>
        <v>362.633079901571</v>
      </c>
      <c r="E612" s="11" t="n">
        <f aca="false">E608*E611</f>
        <v>390.58600359532</v>
      </c>
      <c r="F612" s="11" t="n">
        <f aca="false">F608*F611</f>
        <v>418.892883660586</v>
      </c>
      <c r="G612" s="11" t="n">
        <f aca="false">G608*G611</f>
        <v>431.734027400445</v>
      </c>
    </row>
    <row r="613" customFormat="false" ht="17.15" hidden="false" customHeight="false" outlineLevel="0" collapsed="false">
      <c r="A613" s="5" t="s">
        <v>399</v>
      </c>
      <c r="B613" s="0" t="s">
        <v>29</v>
      </c>
      <c r="C613" s="11" t="n">
        <f aca="false">a25_sga</f>
        <v>121.487</v>
      </c>
      <c r="D613" s="11" t="n">
        <f aca="false">sg_f+sg_v*D608</f>
        <v>135.437152511688</v>
      </c>
      <c r="E613" s="11" t="n">
        <f aca="false">sg_f+sg_v*E608</f>
        <v>143.871963178586</v>
      </c>
      <c r="F613" s="11" t="n">
        <f aca="false">sg_f+sg_v*F608</f>
        <v>152.34176566175</v>
      </c>
      <c r="G613" s="11" t="n">
        <f aca="false">sg_f+sg_v*G608</f>
        <v>156.161798105491</v>
      </c>
      <c r="J613" s="5" t="s">
        <v>514</v>
      </c>
    </row>
    <row r="614" customFormat="false" ht="15" hidden="false" customHeight="false" outlineLevel="0" collapsed="false">
      <c r="A614" s="5" t="s">
        <v>367</v>
      </c>
      <c r="B614" s="0" t="s">
        <v>29</v>
      </c>
      <c r="C614" s="11" t="n">
        <f aca="false">C612-C613</f>
        <v>184.99</v>
      </c>
      <c r="D614" s="11" t="n">
        <f aca="false">D612-D613</f>
        <v>227.195927389883</v>
      </c>
      <c r="E614" s="11" t="n">
        <f aca="false">E612-E613</f>
        <v>246.714040416734</v>
      </c>
      <c r="F614" s="11" t="n">
        <f aca="false">F612-F613</f>
        <v>266.551117998836</v>
      </c>
      <c r="G614" s="11" t="n">
        <f aca="false">G612-G613</f>
        <v>275.572229294955</v>
      </c>
    </row>
    <row r="615" customFormat="false" ht="15" hidden="false" customHeight="false" outlineLevel="0" collapsed="false">
      <c r="A615" s="5" t="s">
        <v>515</v>
      </c>
      <c r="B615" s="0" t="s">
        <v>56</v>
      </c>
      <c r="C615" s="14" t="n">
        <f aca="false">C614/C608</f>
        <v>0.423425629851061</v>
      </c>
      <c r="D615" s="14" t="n">
        <f aca="false">D614/D608</f>
        <v>0.450357759893125</v>
      </c>
      <c r="E615" s="14" t="n">
        <f aca="false">E614/E608</f>
        <v>0.458660207844165</v>
      </c>
      <c r="F615" s="14" t="n">
        <f aca="false">F614/F608</f>
        <v>0.466436350736667</v>
      </c>
      <c r="G615" s="14" t="n">
        <f aca="false">G614/G608</f>
        <v>0.469778922144002</v>
      </c>
    </row>
    <row r="616" customFormat="false" ht="15" hidden="false" customHeight="false" outlineLevel="0" collapsed="false">
      <c r="A616" s="5" t="s">
        <v>370</v>
      </c>
      <c r="B616" s="0" t="s">
        <v>29</v>
      </c>
      <c r="C616" s="11" t="n">
        <f aca="false">a25_ni</f>
        <v>135.521</v>
      </c>
      <c r="D616" s="11" t="n">
        <f aca="false">D614*nioi</f>
        <v>166.441352057713</v>
      </c>
      <c r="E616" s="11" t="n">
        <f aca="false">E614*nioi</f>
        <v>180.740116824872</v>
      </c>
      <c r="F616" s="11" t="n">
        <f aca="false">F614*nioi</f>
        <v>195.272551677777</v>
      </c>
      <c r="G616" s="11" t="n">
        <f aca="false">G614*nioi</f>
        <v>201.881323139654</v>
      </c>
    </row>
    <row r="617" customFormat="false" ht="15" hidden="false" customHeight="false" outlineLevel="0" collapsed="false">
      <c r="A617" s="0" t="s">
        <v>459</v>
      </c>
      <c r="B617" s="0" t="s">
        <v>51</v>
      </c>
      <c r="C617" s="11" t="n">
        <f aca="false">a25_eps</f>
        <v>1249.84</v>
      </c>
      <c r="D617" s="11" t="n">
        <f aca="false">D616*1000/shares</f>
        <v>1534.2920385917</v>
      </c>
      <c r="E617" s="11" t="n">
        <f aca="false">E616*1000/shares</f>
        <v>1666.10111531885</v>
      </c>
      <c r="F617" s="11" t="n">
        <f aca="false">F616*1000/shares</f>
        <v>1800.06421295359</v>
      </c>
      <c r="G617" s="11" t="n">
        <f aca="false">G616*1000/shares</f>
        <v>1860.98528403041</v>
      </c>
    </row>
    <row r="618" customFormat="false" ht="17.15" hidden="false" customHeight="false" outlineLevel="0" collapsed="false">
      <c r="A618" s="5" t="s">
        <v>516</v>
      </c>
      <c r="B618" s="0" t="s">
        <v>29</v>
      </c>
      <c r="C618" s="16" t="n">
        <f aca="false">ABS(C608-a25_rev)+ABS(C614-a25_oi)</f>
        <v>0.000999999999976353</v>
      </c>
    </row>
    <row r="620" customFormat="false" ht="17.15" hidden="false" customHeight="false" outlineLevel="0" collapsed="false">
      <c r="A620" s="3" t="s">
        <v>725</v>
      </c>
    </row>
    <row r="621" customFormat="false" ht="17.15" hidden="false" customHeight="false" outlineLevel="0" collapsed="false">
      <c r="A621" s="6" t="s">
        <v>18</v>
      </c>
      <c r="B621" s="6" t="s">
        <v>19</v>
      </c>
      <c r="C621" s="9" t="s">
        <v>464</v>
      </c>
      <c r="D621" s="9" t="s">
        <v>465</v>
      </c>
      <c r="E621" s="9" t="s">
        <v>466</v>
      </c>
      <c r="F621" s="9" t="s">
        <v>467</v>
      </c>
      <c r="G621" s="9" t="s">
        <v>468</v>
      </c>
      <c r="H621" s="9" t="s">
        <v>469</v>
      </c>
      <c r="I621" s="9" t="s">
        <v>470</v>
      </c>
      <c r="J621" s="6" t="s">
        <v>450</v>
      </c>
    </row>
    <row r="622" customFormat="false" ht="17.15" hidden="false" customHeight="false" outlineLevel="0" collapsed="false">
      <c r="A622" s="1" t="s">
        <v>471</v>
      </c>
    </row>
    <row r="623" customFormat="false" ht="17.15" hidden="false" customHeight="false" outlineLevel="0" collapsed="false">
      <c r="A623" s="0" t="s">
        <v>472</v>
      </c>
      <c r="B623" s="0" t="s">
        <v>96</v>
      </c>
      <c r="C623" s="19" t="n">
        <f aca="false">hsA_25</f>
        <v>2.22511470588235</v>
      </c>
      <c r="D623" s="19" t="n">
        <f aca="false">hsA_26</f>
        <v>3.782695</v>
      </c>
      <c r="E623" s="19" t="n">
        <f aca="false">hsA_27</f>
        <v>5.86317725</v>
      </c>
      <c r="F623" s="19" t="n">
        <f aca="false">hsA_28</f>
        <v>8.5016070125</v>
      </c>
      <c r="G623" s="19" t="n">
        <f aca="false">hsA_29</f>
        <v>11.477169466875</v>
      </c>
      <c r="H623" s="19" t="n">
        <f aca="false">G623*(1+g_tail)</f>
        <v>12.6248864135625</v>
      </c>
      <c r="I623" s="19" t="n">
        <f aca="false">H623*(1+g_tail)</f>
        <v>13.8873750549188</v>
      </c>
      <c r="J623" s="8" t="s">
        <v>473</v>
      </c>
    </row>
    <row r="624" customFormat="false" ht="17.15" hidden="false" customHeight="false" outlineLevel="0" collapsed="false">
      <c r="A624" s="0" t="s">
        <v>474</v>
      </c>
      <c r="B624" s="0" t="s">
        <v>475</v>
      </c>
      <c r="C624" s="19" t="n">
        <f aca="false">den_25</f>
        <v>24</v>
      </c>
      <c r="D624" s="19" t="n">
        <f aca="false">den_26</f>
        <v>24</v>
      </c>
      <c r="E624" s="19" t="n">
        <f aca="false">den_27</f>
        <v>26</v>
      </c>
      <c r="F624" s="19" t="n">
        <f aca="false">den_28</f>
        <v>28</v>
      </c>
      <c r="G624" s="19" t="n">
        <f aca="false">den_29</f>
        <v>30</v>
      </c>
      <c r="H624" s="19" t="n">
        <f aca="false">den_30</f>
        <v>32</v>
      </c>
      <c r="I624" s="19" t="n">
        <f aca="false">den_30</f>
        <v>32</v>
      </c>
    </row>
    <row r="625" customFormat="false" ht="15" hidden="false" customHeight="false" outlineLevel="0" collapsed="false">
      <c r="A625" s="5" t="s">
        <v>476</v>
      </c>
      <c r="B625" s="5" t="s">
        <v>148</v>
      </c>
      <c r="C625" s="19" t="n">
        <f aca="false">stk_25</f>
        <v>10</v>
      </c>
      <c r="D625" s="19" t="n">
        <f aca="false">stk_26</f>
        <v>12</v>
      </c>
      <c r="E625" s="19" t="n">
        <f aca="false">stk_27</f>
        <v>12.5</v>
      </c>
      <c r="F625" s="19" t="n">
        <f aca="false">stk_28</f>
        <v>14</v>
      </c>
      <c r="G625" s="19" t="n">
        <f aca="false">stk_29</f>
        <v>15</v>
      </c>
      <c r="H625" s="19" t="n">
        <f aca="false">stk_30</f>
        <v>16</v>
      </c>
      <c r="I625" s="19" t="n">
        <f aca="false">stk_30</f>
        <v>16</v>
      </c>
    </row>
    <row r="626" customFormat="false" ht="17.15" hidden="false" customHeight="false" outlineLevel="0" collapsed="false">
      <c r="A626" s="0" t="s">
        <v>477</v>
      </c>
      <c r="B626" s="5" t="s">
        <v>478</v>
      </c>
      <c r="C626" s="19" t="n">
        <f aca="false">C623*8/C624</f>
        <v>0.741704901960783</v>
      </c>
      <c r="D626" s="19" t="n">
        <f aca="false">D623*8/D624</f>
        <v>1.26089833333333</v>
      </c>
      <c r="E626" s="19" t="n">
        <f aca="false">E623*8/E624</f>
        <v>1.80405453846154</v>
      </c>
      <c r="F626" s="19" t="n">
        <f aca="false">F623*8/F624</f>
        <v>2.429030575</v>
      </c>
      <c r="G626" s="19" t="n">
        <f aca="false">G623*8/G624</f>
        <v>3.0605785245</v>
      </c>
      <c r="H626" s="19" t="n">
        <f aca="false">H623*8/H624</f>
        <v>3.15622160339063</v>
      </c>
      <c r="I626" s="19" t="n">
        <f aca="false">I623*8/I624</f>
        <v>3.47184376372969</v>
      </c>
      <c r="J626" s="8" t="s">
        <v>479</v>
      </c>
    </row>
    <row r="627" customFormat="false" ht="17.15" hidden="false" customHeight="false" outlineLevel="0" collapsed="false">
      <c r="A627" s="0" t="s">
        <v>480</v>
      </c>
      <c r="B627" s="5" t="s">
        <v>481</v>
      </c>
      <c r="C627" s="19" t="n">
        <f aca="false">C626*(1+s_stk_lo/C625)</f>
        <v>0.89004588235294</v>
      </c>
      <c r="D627" s="19" t="n">
        <f aca="false">D626*(1+s_stk_lo/D625)</f>
        <v>1.47104805555556</v>
      </c>
      <c r="E627" s="19" t="n">
        <f aca="false">E626*(1+s_stk_lo/E625)</f>
        <v>2.09270326461538</v>
      </c>
      <c r="F627" s="19" t="n">
        <f aca="false">F626*(1+s_stk_lo/F625)</f>
        <v>2.77603494285714</v>
      </c>
      <c r="G627" s="19" t="n">
        <f aca="false">G626*(1+s_stk_lo/G625)</f>
        <v>3.4686556611</v>
      </c>
      <c r="H627" s="19" t="n">
        <f aca="false">H626*(1+s_stk_lo/H625)</f>
        <v>3.55074930381445</v>
      </c>
      <c r="I627" s="19" t="n">
        <f aca="false">I626*(1+s_stk_lo/I625)</f>
        <v>3.9058242341959</v>
      </c>
      <c r="J627" s="5" t="s">
        <v>482</v>
      </c>
    </row>
    <row r="628" customFormat="false" ht="17.15" hidden="false" customHeight="false" outlineLevel="0" collapsed="false">
      <c r="A628" s="5" t="s">
        <v>483</v>
      </c>
      <c r="B628" s="0" t="s">
        <v>56</v>
      </c>
      <c r="C628" s="22" t="n">
        <f aca="false">hbp_25*hb_on</f>
        <v>0</v>
      </c>
      <c r="D628" s="22" t="n">
        <f aca="false">hbp_26*hb_on</f>
        <v>0</v>
      </c>
      <c r="E628" s="22" t="n">
        <f aca="false">hbp_27*hb_on</f>
        <v>0</v>
      </c>
      <c r="F628" s="22" t="n">
        <f aca="false">hbp_28*hb_on</f>
        <v>0.05</v>
      </c>
      <c r="G628" s="22" t="n">
        <f aca="false">hbp_29*hb_on</f>
        <v>0.15</v>
      </c>
      <c r="H628" s="22" t="n">
        <f aca="false">hbp_30*hb_on</f>
        <v>0.25</v>
      </c>
      <c r="I628" s="22" t="n">
        <f aca="false">hbp_30*hb_on</f>
        <v>0.25</v>
      </c>
    </row>
    <row r="629" customFormat="false" ht="17.15" hidden="false" customHeight="false" outlineLevel="0" collapsed="false">
      <c r="A629" s="0" t="s">
        <v>484</v>
      </c>
      <c r="B629" s="5" t="s">
        <v>481</v>
      </c>
      <c r="C629" s="19" t="n">
        <f aca="false">C627*(1+C628*hb_eff)</f>
        <v>0.89004588235294</v>
      </c>
      <c r="D629" s="19" t="n">
        <f aca="false">D627*(1+D628*hb_eff)</f>
        <v>1.47104805555556</v>
      </c>
      <c r="E629" s="19" t="n">
        <f aca="false">E627*(1+E628*hb_eff)</f>
        <v>2.09270326461538</v>
      </c>
      <c r="F629" s="19" t="n">
        <f aca="false">F627*(1+F628*hb_eff)</f>
        <v>2.78991511757143</v>
      </c>
      <c r="G629" s="19" t="n">
        <f aca="false">G627*(1+G628*hb_eff)</f>
        <v>3.5206854960165</v>
      </c>
      <c r="H629" s="19" t="n">
        <f aca="false">H627*(1+H628*hb_eff)</f>
        <v>3.63951803640982</v>
      </c>
      <c r="I629" s="19" t="n">
        <f aca="false">I627*(1+I628*hb_eff)</f>
        <v>4.0034698400508</v>
      </c>
      <c r="J629" s="5" t="s">
        <v>485</v>
      </c>
    </row>
    <row r="630" customFormat="false" ht="17.15" hidden="false" customHeight="false" outlineLevel="0" collapsed="false">
      <c r="A630" s="0" t="s">
        <v>486</v>
      </c>
      <c r="B630" s="5" t="s">
        <v>481</v>
      </c>
      <c r="C630" s="19" t="n">
        <f aca="false">MAX(0,D629-C629)+dlt*C629</f>
        <v>0.67000676143791</v>
      </c>
      <c r="D630" s="19" t="n">
        <f aca="false">MAX(0,E629-D629)+dlt*D629</f>
        <v>0.768760014615385</v>
      </c>
      <c r="E630" s="19" t="n">
        <f aca="false">MAX(0,F629-E629)+dlt*E629</f>
        <v>0.906482179417582</v>
      </c>
      <c r="F630" s="19" t="n">
        <f aca="false">MAX(0,G629-F629)+dlt*F629</f>
        <v>1.00976189020221</v>
      </c>
      <c r="G630" s="19" t="n">
        <f aca="false">MAX(0,H629-G629)+dlt*G629</f>
        <v>0.470901089994965</v>
      </c>
      <c r="H630" s="19" t="n">
        <f aca="false">MAX(0,I629-H629)+dlt*H629</f>
        <v>0.727903607281963</v>
      </c>
      <c r="J630" s="5" t="s">
        <v>487</v>
      </c>
    </row>
    <row r="631" customFormat="false" ht="17.15" hidden="false" customHeight="false" outlineLevel="0" collapsed="false">
      <c r="A631" s="0" t="s">
        <v>488</v>
      </c>
      <c r="B631" s="5" t="s">
        <v>177</v>
      </c>
      <c r="C631" s="21" t="n">
        <f aca="false">cw_25</f>
        <v>670</v>
      </c>
      <c r="D631" s="21" t="n">
        <f aca="false">cw_26</f>
        <v>1107.85762580894</v>
      </c>
      <c r="E631" s="21" t="n">
        <f aca="false">cw_27</f>
        <v>2096.42857142857</v>
      </c>
      <c r="F631" s="21" t="n">
        <f aca="false">cw_28*um28_A</f>
        <v>2620.08928571429</v>
      </c>
      <c r="G631" s="21" t="n">
        <f aca="false">cw_29*um29_A</f>
        <v>3013.32589285714</v>
      </c>
      <c r="H631" s="21" t="n">
        <f aca="false">G631*(1+g_tail)</f>
        <v>3314.65848214285</v>
      </c>
      <c r="I631" s="21" t="n">
        <f aca="false">H631*(1+g_tail)</f>
        <v>3646.12433035714</v>
      </c>
      <c r="J631" s="5" t="s">
        <v>489</v>
      </c>
    </row>
    <row r="632" customFormat="false" ht="15" hidden="false" customHeight="false" outlineLevel="0" collapsed="false">
      <c r="A632" s="5" t="s">
        <v>490</v>
      </c>
      <c r="B632" s="5" t="s">
        <v>177</v>
      </c>
      <c r="C632" s="21" t="n">
        <f aca="false">MAX(0,D631-C631)+dlt*C631</f>
        <v>504.85762580894</v>
      </c>
      <c r="D632" s="21" t="n">
        <f aca="false">MAX(0,E631-D631)+dlt*D631</f>
        <v>1099.35670820052</v>
      </c>
      <c r="E632" s="21" t="n">
        <f aca="false">MAX(0,F631-E631)+dlt*E631</f>
        <v>733.303571428577</v>
      </c>
      <c r="F632" s="21" t="n">
        <f aca="false">MAX(0,G631-F631)+dlt*F631</f>
        <v>655.245535714279</v>
      </c>
      <c r="G632" s="21" t="n">
        <f aca="false">MAX(0,H631-G631)+dlt*G631</f>
        <v>602.665178571428</v>
      </c>
      <c r="H632" s="21" t="n">
        <f aca="false">MAX(0,I631-H631)+dlt*H631</f>
        <v>662.931696428571</v>
      </c>
    </row>
    <row r="633" customFormat="false" ht="17.15" hidden="false" customHeight="false" outlineLevel="0" collapsed="false">
      <c r="A633" s="1" t="s">
        <v>491</v>
      </c>
    </row>
    <row r="634" customFormat="false" ht="17.15" hidden="false" customHeight="false" outlineLevel="0" collapsed="false">
      <c r="A634" s="0" t="s">
        <v>492</v>
      </c>
      <c r="B634" s="0" t="s">
        <v>493</v>
      </c>
      <c r="C634" s="16" t="n">
        <f aca="false">ai25*w_hbm/(0.75*C630+0.25*D630)</f>
        <v>51.8212972992124</v>
      </c>
      <c r="J634" s="5" t="s">
        <v>494</v>
      </c>
    </row>
    <row r="635" customFormat="false" ht="17.15" hidden="false" customHeight="false" outlineLevel="0" collapsed="false">
      <c r="A635" s="5" t="s">
        <v>495</v>
      </c>
      <c r="B635" s="0" t="s">
        <v>496</v>
      </c>
      <c r="C635" s="18" t="n">
        <f aca="false">ai25*(1-w_hbm)/(0.75*C632+0.25*D632)</f>
        <v>0.0596802610360141</v>
      </c>
    </row>
    <row r="636" customFormat="false" ht="17.15" hidden="false" customHeight="false" outlineLevel="0" collapsed="false">
      <c r="A636" s="1" t="s">
        <v>497</v>
      </c>
    </row>
    <row r="637" customFormat="false" ht="17.15" hidden="false" customHeight="false" outlineLevel="0" collapsed="false">
      <c r="A637" s="5" t="s">
        <v>498</v>
      </c>
      <c r="B637" s="0" t="s">
        <v>76</v>
      </c>
      <c r="C637" s="16" t="n">
        <f aca="false">1-sh_loss/sh*0</f>
        <v>1</v>
      </c>
      <c r="D637" s="16" t="n">
        <f aca="false">1-sh_loss/sh*0.25</f>
        <v>1</v>
      </c>
      <c r="E637" s="16" t="n">
        <f aca="false">1-sh_loss/sh*0.5</f>
        <v>1</v>
      </c>
      <c r="F637" s="16" t="n">
        <f aca="false">1-sh_loss/sh*0.75</f>
        <v>1</v>
      </c>
      <c r="G637" s="16" t="n">
        <f aca="false">1-sh_loss/sh*1</f>
        <v>1</v>
      </c>
    </row>
    <row r="638" customFormat="false" ht="17.15" hidden="false" customHeight="false" outlineLevel="0" collapsed="false">
      <c r="A638" s="0" t="s">
        <v>499</v>
      </c>
      <c r="B638" s="0" t="s">
        <v>29</v>
      </c>
      <c r="C638" s="11" t="n">
        <f aca="false">$C$634*(0.75*C630+0.25*D630)*C637</f>
        <v>36</v>
      </c>
      <c r="D638" s="11" t="n">
        <f aca="false">$C$634*(0.75*D630+0.25*E630)*D637</f>
        <v>41.6223765808572</v>
      </c>
      <c r="E638" s="11" t="n">
        <f aca="false">$C$634*(0.75*E630+0.25*F630)*E637</f>
        <v>48.3131046654233</v>
      </c>
      <c r="F638" s="11" t="n">
        <f aca="false">$C$634*(0.75*F630+0.25*G630)*F637</f>
        <v>45.3460546809758</v>
      </c>
      <c r="G638" s="11" t="n">
        <f aca="false">$C$634*(0.75*G630+0.25*H630)*G637</f>
        <v>27.7322563468962</v>
      </c>
    </row>
    <row r="639" customFormat="false" ht="17.15" hidden="false" customHeight="false" outlineLevel="0" collapsed="false">
      <c r="A639" s="5" t="s">
        <v>500</v>
      </c>
      <c r="B639" s="0" t="s">
        <v>29</v>
      </c>
      <c r="C639" s="11" t="n">
        <f aca="false">$C$635*(0.75*C632+0.25*D632)*C637</f>
        <v>39</v>
      </c>
      <c r="D639" s="11" t="n">
        <f aca="false">$C$635*(0.75*D632+0.25*E632)*D637</f>
        <v>60.1483586282001</v>
      </c>
      <c r="E639" s="11" t="n">
        <f aca="false">$C$635*(0.75*E632+0.25*F632)*E637</f>
        <v>42.5991175746519</v>
      </c>
      <c r="F639" s="11" t="n">
        <f aca="false">$C$635*(0.75*F632+0.25*G632)*F637</f>
        <v>38.320722254198</v>
      </c>
      <c r="G639" s="11" t="n">
        <f aca="false">$C$635*(0.75*G632+0.25*H632)*G637</f>
        <v>36.8663955538204</v>
      </c>
    </row>
    <row r="640" customFormat="false" ht="17.15" hidden="false" customHeight="false" outlineLevel="0" collapsed="false">
      <c r="A640" s="0" t="s">
        <v>501</v>
      </c>
      <c r="B640" s="0" t="s">
        <v>29</v>
      </c>
      <c r="C640" s="11" t="n">
        <f aca="false">C638+C639</f>
        <v>75</v>
      </c>
      <c r="D640" s="11" t="n">
        <f aca="false">D638+D639</f>
        <v>101.770735209057</v>
      </c>
      <c r="E640" s="11" t="n">
        <f aca="false">E638+E639</f>
        <v>90.9122222400752</v>
      </c>
      <c r="F640" s="11" t="n">
        <f aca="false">F638+F639</f>
        <v>83.6667769351738</v>
      </c>
      <c r="G640" s="11" t="n">
        <f aca="false">G638+G639</f>
        <v>64.5986519007165</v>
      </c>
    </row>
    <row r="641" customFormat="false" ht="17.15" hidden="false" customHeight="false" outlineLevel="0" collapsed="false">
      <c r="A641" s="5" t="s">
        <v>502</v>
      </c>
      <c r="B641" s="0" t="s">
        <v>29</v>
      </c>
      <c r="C641" s="11" t="n">
        <f aca="false">eq25-ai25</f>
        <v>195.87118</v>
      </c>
      <c r="D641" s="11" t="n">
        <f aca="false">C641*(1+g_non)*D637/C637</f>
        <v>207.6234508</v>
      </c>
      <c r="E641" s="11" t="n">
        <f aca="false">D641*(1+g_non)*E637/D637</f>
        <v>220.080857848</v>
      </c>
      <c r="F641" s="11" t="n">
        <f aca="false">E641*(1+g_non)*F637/E637</f>
        <v>233.28570931888</v>
      </c>
      <c r="G641" s="11" t="n">
        <f aca="false">F641*(1+g_non)*G637/F637</f>
        <v>247.282851878013</v>
      </c>
    </row>
    <row r="642" customFormat="false" ht="15" hidden="false" customHeight="false" outlineLevel="0" collapsed="false">
      <c r="A642" s="5" t="s">
        <v>503</v>
      </c>
      <c r="B642" s="0" t="s">
        <v>29</v>
      </c>
      <c r="C642" s="11" t="n">
        <f aca="false">C640+C641</f>
        <v>270.87118</v>
      </c>
      <c r="D642" s="11" t="n">
        <f aca="false">D640+D641</f>
        <v>309.394186009057</v>
      </c>
      <c r="E642" s="11" t="n">
        <f aca="false">E640+E641</f>
        <v>310.993080088075</v>
      </c>
      <c r="F642" s="11" t="n">
        <f aca="false">F640+F641</f>
        <v>316.952486254054</v>
      </c>
      <c r="G642" s="11" t="n">
        <f aca="false">G640+G641</f>
        <v>311.881503778729</v>
      </c>
    </row>
    <row r="643" customFormat="false" ht="17.15" hidden="false" customHeight="false" outlineLevel="0" collapsed="false">
      <c r="A643" s="0" t="s">
        <v>504</v>
      </c>
      <c r="B643" s="0" t="s">
        <v>76</v>
      </c>
      <c r="C643" s="19" t="n">
        <f aca="false">w_hbm*(0.75*C629+0.25*D629)/(0.75*C629+0.25*D629)+(1-w_hbm)*(0.75*C631+0.25*D631)/(0.75*C631+0.25*D631)</f>
        <v>1</v>
      </c>
      <c r="D643" s="19" t="n">
        <f aca="false">w_hbm*(0.75*D629+0.25*E629)/(0.75*C629+0.25*D629)+(1-w_hbm)*(0.75*D631+0.25*E631)/(0.75*C631+0.25*D631)</f>
        <v>1.65803946285827</v>
      </c>
      <c r="E643" s="19" t="n">
        <f aca="false">w_hbm*(0.75*E629+0.25*F629)/(0.75*C629+0.25*D629)+(1-w_hbm)*(0.75*E631+0.25*F631)/(0.75*C631+0.25*D631)</f>
        <v>2.53698033079173</v>
      </c>
      <c r="F643" s="19" t="n">
        <f aca="false">w_hbm*(0.75*F629+0.25*G629)/(0.75*C629+0.25*D629)+(1-w_hbm)*(0.75*F631+0.25*G631)/(0.75*C631+0.25*D631)</f>
        <v>3.19171684520003</v>
      </c>
      <c r="G643" s="19" t="n">
        <f aca="false">w_hbm*(0.75*G629+0.25*H629)/(0.75*C629+0.25*D629)+(1-w_hbm)*(0.75*G631+0.25*H631)/(0.75*C631+0.25*D631)</f>
        <v>3.70660882370307</v>
      </c>
      <c r="J643" s="8" t="s">
        <v>505</v>
      </c>
    </row>
    <row r="644" customFormat="false" ht="17.15" hidden="false" customHeight="false" outlineLevel="0" collapsed="false">
      <c r="A644" s="0" t="s">
        <v>506</v>
      </c>
      <c r="B644" s="0" t="s">
        <v>29</v>
      </c>
      <c r="C644" s="11" t="n">
        <f aca="false">tl25*w_tlai*C643</f>
        <v>25.4032258064516</v>
      </c>
      <c r="D644" s="11" t="n">
        <f aca="false">tl25*w_tlai*D643</f>
        <v>42.1195508709965</v>
      </c>
      <c r="E644" s="11" t="n">
        <f aca="false">tl25*w_tlai*E643</f>
        <v>64.4474842096286</v>
      </c>
      <c r="F644" s="11" t="n">
        <f aca="false">tl25*w_tlai*F643</f>
        <v>81.0799037288716</v>
      </c>
      <c r="G644" s="11" t="n">
        <f aca="false">tl25*w_tlai*G643</f>
        <v>94.159820924715</v>
      </c>
      <c r="J644" s="5" t="s">
        <v>507</v>
      </c>
    </row>
    <row r="645" customFormat="false" ht="17.15" hidden="false" customHeight="false" outlineLevel="0" collapsed="false">
      <c r="A645" s="5" t="s">
        <v>508</v>
      </c>
      <c r="B645" s="0" t="s">
        <v>29</v>
      </c>
      <c r="C645" s="11" t="n">
        <f aca="false">tl25*(1-w_tlai)</f>
        <v>66.3434641935484</v>
      </c>
      <c r="D645" s="11" t="n">
        <f aca="false">C645*(1+g_tl)</f>
        <v>69.6606374032258</v>
      </c>
      <c r="E645" s="11" t="n">
        <f aca="false">D645*(1+g_tl)</f>
        <v>73.1436692733871</v>
      </c>
      <c r="F645" s="11" t="n">
        <f aca="false">E645*(1+g_tl)</f>
        <v>76.8008527370565</v>
      </c>
      <c r="G645" s="11" t="n">
        <f aca="false">F645*(1+g_tl)</f>
        <v>80.6408953739093</v>
      </c>
    </row>
    <row r="646" customFormat="false" ht="15" hidden="false" customHeight="false" outlineLevel="0" collapsed="false">
      <c r="A646" s="5" t="s">
        <v>509</v>
      </c>
      <c r="B646" s="0" t="s">
        <v>29</v>
      </c>
      <c r="C646" s="11" t="n">
        <f aca="false">C644+C645</f>
        <v>91.74669</v>
      </c>
      <c r="D646" s="11" t="n">
        <f aca="false">D644+D645</f>
        <v>111.780188274222</v>
      </c>
      <c r="E646" s="11" t="n">
        <f aca="false">E644+E645</f>
        <v>137.591153483016</v>
      </c>
      <c r="F646" s="11" t="n">
        <f aca="false">F644+F645</f>
        <v>157.880756465928</v>
      </c>
      <c r="G646" s="11" t="n">
        <f aca="false">G644+G645</f>
        <v>174.800716298624</v>
      </c>
    </row>
    <row r="647" customFormat="false" ht="15" hidden="false" customHeight="false" outlineLevel="0" collapsed="false">
      <c r="A647" s="5" t="s">
        <v>393</v>
      </c>
      <c r="B647" s="0" t="s">
        <v>29</v>
      </c>
      <c r="C647" s="11" t="n">
        <f aca="false">r_ot*(C642+C646)</f>
        <v>74.27113</v>
      </c>
      <c r="D647" s="11" t="n">
        <f aca="false">r_ot*(D642+D646)</f>
        <v>86.2646308772983</v>
      </c>
      <c r="E647" s="11" t="n">
        <f aca="false">r_ot*(E642+E646)</f>
        <v>91.8786984422717</v>
      </c>
      <c r="F647" s="11" t="n">
        <f aca="false">r_ot*(F642+F646)</f>
        <v>97.2550015209602</v>
      </c>
      <c r="G647" s="11" t="n">
        <f aca="false">r_ot*(G642+G646)</f>
        <v>99.6819004977713</v>
      </c>
    </row>
    <row r="648" customFormat="false" ht="15" hidden="false" customHeight="false" outlineLevel="0" collapsed="false">
      <c r="A648" s="5" t="s">
        <v>363</v>
      </c>
      <c r="B648" s="0" t="s">
        <v>29</v>
      </c>
      <c r="C648" s="11" t="n">
        <f aca="false">C642+C646+C647</f>
        <v>436.889</v>
      </c>
      <c r="D648" s="11" t="n">
        <f aca="false">D642+D646+D647</f>
        <v>507.439005160578</v>
      </c>
      <c r="E648" s="11" t="n">
        <f aca="false">E642+E646+E647</f>
        <v>540.462932013363</v>
      </c>
      <c r="F648" s="11" t="n">
        <f aca="false">F642+F646+F647</f>
        <v>572.088244240942</v>
      </c>
      <c r="G648" s="11" t="n">
        <f aca="false">G642+G646+G647</f>
        <v>586.364120575125</v>
      </c>
    </row>
    <row r="649" customFormat="false" ht="17.15" hidden="false" customHeight="false" outlineLevel="0" collapsed="false">
      <c r="A649" s="0" t="s">
        <v>510</v>
      </c>
      <c r="B649" s="0" t="s">
        <v>56</v>
      </c>
      <c r="C649" s="14" t="n">
        <f aca="false">(C640+C644)*(1+r_ot)/C648</f>
        <v>0.276884384673187</v>
      </c>
      <c r="D649" s="14" t="n">
        <f aca="false">(D640+D644)*(1+r_ot)/D648</f>
        <v>0.341640647831233</v>
      </c>
      <c r="E649" s="14" t="n">
        <f aca="false">(E640+E644)*(1+r_ot)/E648</f>
        <v>0.346333408138123</v>
      </c>
      <c r="F649" s="14" t="n">
        <f aca="false">(F640+F644)*(1+r_ot)/F648</f>
        <v>0.346956922645788</v>
      </c>
      <c r="G649" s="14" t="n">
        <f aca="false">(G640+G644)*(1+r_ot)/G648</f>
        <v>0.326205614826443</v>
      </c>
    </row>
    <row r="650" customFormat="false" ht="17.15" hidden="false" customHeight="false" outlineLevel="0" collapsed="false">
      <c r="A650" s="0" t="s">
        <v>511</v>
      </c>
      <c r="B650" s="0" t="s">
        <v>56</v>
      </c>
      <c r="C650" s="14" t="n">
        <f aca="false">C640*(1+r_ot)/C648</f>
        <v>0.206829299394429</v>
      </c>
      <c r="D650" s="14" t="n">
        <f aca="false">D640*(1+r_ot)/D648</f>
        <v>0.241635629855787</v>
      </c>
      <c r="E650" s="14" t="n">
        <f aca="false">E640*(1+r_ot)/E648</f>
        <v>0.202664773829301</v>
      </c>
      <c r="F650" s="14" t="n">
        <f aca="false">F640*(1+r_ot)/F648</f>
        <v>0.176202442052933</v>
      </c>
      <c r="G650" s="14" t="n">
        <f aca="false">G640*(1+r_ot)/G648</f>
        <v>0.132732713947202</v>
      </c>
      <c r="J650" s="5" t="s">
        <v>512</v>
      </c>
    </row>
    <row r="651" customFormat="false" ht="17.15" hidden="false" customHeight="false" outlineLevel="0" collapsed="false">
      <c r="A651" s="5" t="s">
        <v>401</v>
      </c>
      <c r="B651" s="0" t="s">
        <v>56</v>
      </c>
      <c r="C651" s="14" t="n">
        <f aca="false">a25_gp/a25_rev</f>
        <v>0.701498549974936</v>
      </c>
      <c r="D651" s="14" t="n">
        <f aca="false">gm_a+gm_b*LN(D648)+0</f>
        <v>0.719493209417885</v>
      </c>
      <c r="E651" s="14" t="n">
        <f aca="false">gm_a+gm_b*LN(E648)+0</f>
        <v>0.726669883427154</v>
      </c>
      <c r="F651" s="14" t="n">
        <f aca="false">gm_a+gm_b*LN(F648)+0</f>
        <v>0.73314284686561</v>
      </c>
      <c r="G651" s="14" t="n">
        <f aca="false">gm_a+gm_b*LN(G648)+0</f>
        <v>0.735948396109158</v>
      </c>
      <c r="J651" s="8" t="s">
        <v>513</v>
      </c>
    </row>
    <row r="652" customFormat="false" ht="15" hidden="false" customHeight="false" outlineLevel="0" collapsed="false">
      <c r="A652" s="5" t="s">
        <v>398</v>
      </c>
      <c r="B652" s="0" t="s">
        <v>29</v>
      </c>
      <c r="C652" s="11" t="n">
        <f aca="false">C648*C651</f>
        <v>306.477</v>
      </c>
      <c r="D652" s="11" t="n">
        <f aca="false">D648*D651</f>
        <v>365.098918406803</v>
      </c>
      <c r="E652" s="11" t="n">
        <f aca="false">E648*E651</f>
        <v>392.738135802848</v>
      </c>
      <c r="F652" s="11" t="n">
        <f aca="false">F648*F651</f>
        <v>419.422404041153</v>
      </c>
      <c r="G652" s="11" t="n">
        <f aca="false">G648*G651</f>
        <v>431.53373407322</v>
      </c>
    </row>
    <row r="653" customFormat="false" ht="17.15" hidden="false" customHeight="false" outlineLevel="0" collapsed="false">
      <c r="A653" s="5" t="s">
        <v>399</v>
      </c>
      <c r="B653" s="0" t="s">
        <v>29</v>
      </c>
      <c r="C653" s="11" t="n">
        <f aca="false">a25_sga</f>
        <v>121.487</v>
      </c>
      <c r="D653" s="11" t="n">
        <f aca="false">sg_f+sg_v*D648</f>
        <v>136.184219053294</v>
      </c>
      <c r="E653" s="11" t="n">
        <f aca="false">sg_f+sg_v*E648</f>
        <v>144.518369527979</v>
      </c>
      <c r="F653" s="11" t="n">
        <f aca="false">sg_f+sg_v*F648</f>
        <v>152.499555777829</v>
      </c>
      <c r="G653" s="11" t="n">
        <f aca="false">sg_f+sg_v*G648</f>
        <v>156.102316347687</v>
      </c>
      <c r="J653" s="5" t="s">
        <v>514</v>
      </c>
    </row>
    <row r="654" customFormat="false" ht="15" hidden="false" customHeight="false" outlineLevel="0" collapsed="false">
      <c r="A654" s="5" t="s">
        <v>367</v>
      </c>
      <c r="B654" s="0" t="s">
        <v>29</v>
      </c>
      <c r="C654" s="11" t="n">
        <f aca="false">C652-C653</f>
        <v>184.99</v>
      </c>
      <c r="D654" s="11" t="n">
        <f aca="false">D652-D653</f>
        <v>228.914699353509</v>
      </c>
      <c r="E654" s="11" t="n">
        <f aca="false">E652-E653</f>
        <v>248.219766274869</v>
      </c>
      <c r="F654" s="11" t="n">
        <f aca="false">F652-F653</f>
        <v>266.922848263323</v>
      </c>
      <c r="G654" s="11" t="n">
        <f aca="false">G652-G653</f>
        <v>275.431417725533</v>
      </c>
    </row>
    <row r="655" customFormat="false" ht="15" hidden="false" customHeight="false" outlineLevel="0" collapsed="false">
      <c r="A655" s="5" t="s">
        <v>515</v>
      </c>
      <c r="B655" s="0" t="s">
        <v>56</v>
      </c>
      <c r="C655" s="14" t="n">
        <f aca="false">C654/C648</f>
        <v>0.423425629851061</v>
      </c>
      <c r="D655" s="14" t="n">
        <f aca="false">D654/D648</f>
        <v>0.451117665424772</v>
      </c>
      <c r="E655" s="14" t="n">
        <f aca="false">E654/E648</f>
        <v>0.459272508014911</v>
      </c>
      <c r="F655" s="14" t="n">
        <f aca="false">F654/F648</f>
        <v>0.466576355921247</v>
      </c>
      <c r="G655" s="14" t="n">
        <f aca="false">G654/G648</f>
        <v>0.469727611326869</v>
      </c>
    </row>
    <row r="656" customFormat="false" ht="15" hidden="false" customHeight="false" outlineLevel="0" collapsed="false">
      <c r="A656" s="5" t="s">
        <v>370</v>
      </c>
      <c r="B656" s="0" t="s">
        <v>29</v>
      </c>
      <c r="C656" s="11" t="n">
        <f aca="false">a25_ni</f>
        <v>135.521</v>
      </c>
      <c r="D656" s="11" t="n">
        <f aca="false">D654*nioi</f>
        <v>167.700506360307</v>
      </c>
      <c r="E656" s="11" t="n">
        <f aca="false">E654*nioi</f>
        <v>181.843195786434</v>
      </c>
      <c r="F656" s="11" t="n">
        <f aca="false">F654*nioi</f>
        <v>195.544877368351</v>
      </c>
      <c r="G656" s="11" t="n">
        <f aca="false">G654*nioi</f>
        <v>201.778166061669</v>
      </c>
    </row>
    <row r="657" customFormat="false" ht="15" hidden="false" customHeight="false" outlineLevel="0" collapsed="false">
      <c r="A657" s="0" t="s">
        <v>459</v>
      </c>
      <c r="B657" s="0" t="s">
        <v>51</v>
      </c>
      <c r="C657" s="11" t="n">
        <f aca="false">a25_eps</f>
        <v>1249.84</v>
      </c>
      <c r="D657" s="11" t="n">
        <f aca="false">D656*1000/shares</f>
        <v>1545.89919269099</v>
      </c>
      <c r="E657" s="11" t="n">
        <f aca="false">E656*1000/shares</f>
        <v>1676.26953348981</v>
      </c>
      <c r="F657" s="11" t="n">
        <f aca="false">F656*1000/shares</f>
        <v>1802.57456950733</v>
      </c>
      <c r="G657" s="11" t="n">
        <f aca="false">G656*1000/shares</f>
        <v>1860.03435998707</v>
      </c>
    </row>
    <row r="658" customFormat="false" ht="17.15" hidden="false" customHeight="false" outlineLevel="0" collapsed="false">
      <c r="A658" s="5" t="s">
        <v>516</v>
      </c>
      <c r="B658" s="0" t="s">
        <v>29</v>
      </c>
      <c r="C658" s="16" t="n">
        <f aca="false">ABS(C648-a25_rev)+ABS(C654-a25_oi)</f>
        <v>0.000999999999976353</v>
      </c>
    </row>
    <row r="660" customFormat="false" ht="17.15" hidden="false" customHeight="false" outlineLevel="0" collapsed="false">
      <c r="A660" s="3" t="s">
        <v>726</v>
      </c>
    </row>
    <row r="661" customFormat="false" ht="17.15" hidden="false" customHeight="false" outlineLevel="0" collapsed="false">
      <c r="A661" s="6" t="s">
        <v>18</v>
      </c>
      <c r="B661" s="6" t="s">
        <v>19</v>
      </c>
      <c r="C661" s="9" t="s">
        <v>464</v>
      </c>
      <c r="D661" s="9" t="s">
        <v>465</v>
      </c>
      <c r="E661" s="9" t="s">
        <v>466</v>
      </c>
      <c r="F661" s="9" t="s">
        <v>467</v>
      </c>
      <c r="G661" s="9" t="s">
        <v>468</v>
      </c>
      <c r="H661" s="9" t="s">
        <v>469</v>
      </c>
      <c r="I661" s="9" t="s">
        <v>470</v>
      </c>
      <c r="J661" s="6" t="s">
        <v>450</v>
      </c>
    </row>
    <row r="662" customFormat="false" ht="17.15" hidden="false" customHeight="false" outlineLevel="0" collapsed="false">
      <c r="A662" s="1" t="s">
        <v>471</v>
      </c>
    </row>
    <row r="663" customFormat="false" ht="17.15" hidden="false" customHeight="false" outlineLevel="0" collapsed="false">
      <c r="A663" s="0" t="s">
        <v>472</v>
      </c>
      <c r="B663" s="0" t="s">
        <v>96</v>
      </c>
      <c r="C663" s="19" t="n">
        <f aca="false">hsA_25</f>
        <v>2.22511470588235</v>
      </c>
      <c r="D663" s="19" t="n">
        <f aca="false">hsA_26</f>
        <v>3.782695</v>
      </c>
      <c r="E663" s="19" t="n">
        <f aca="false">hsA_27</f>
        <v>5.86317725</v>
      </c>
      <c r="F663" s="19" t="n">
        <f aca="false">hsA_28</f>
        <v>8.5016070125</v>
      </c>
      <c r="G663" s="19" t="n">
        <f aca="false">hsA_29</f>
        <v>11.477169466875</v>
      </c>
      <c r="H663" s="19" t="n">
        <f aca="false">G663*(1+g_tail)</f>
        <v>12.6248864135625</v>
      </c>
      <c r="I663" s="19" t="n">
        <f aca="false">H663*(1+g_tail)</f>
        <v>13.8873750549188</v>
      </c>
      <c r="J663" s="8" t="s">
        <v>473</v>
      </c>
    </row>
    <row r="664" customFormat="false" ht="17.15" hidden="false" customHeight="false" outlineLevel="0" collapsed="false">
      <c r="A664" s="0" t="s">
        <v>474</v>
      </c>
      <c r="B664" s="0" t="s">
        <v>475</v>
      </c>
      <c r="C664" s="19" t="n">
        <f aca="false">den_25</f>
        <v>24</v>
      </c>
      <c r="D664" s="19" t="n">
        <f aca="false">den_26</f>
        <v>24</v>
      </c>
      <c r="E664" s="19" t="n">
        <f aca="false">den_27</f>
        <v>26</v>
      </c>
      <c r="F664" s="19" t="n">
        <f aca="false">den_28</f>
        <v>28</v>
      </c>
      <c r="G664" s="19" t="n">
        <f aca="false">den_29</f>
        <v>30</v>
      </c>
      <c r="H664" s="19" t="n">
        <f aca="false">den_30</f>
        <v>32</v>
      </c>
      <c r="I664" s="19" t="n">
        <f aca="false">den_30</f>
        <v>32</v>
      </c>
    </row>
    <row r="665" customFormat="false" ht="15" hidden="false" customHeight="false" outlineLevel="0" collapsed="false">
      <c r="A665" s="5" t="s">
        <v>476</v>
      </c>
      <c r="B665" s="5" t="s">
        <v>148</v>
      </c>
      <c r="C665" s="19" t="n">
        <f aca="false">stk_25</f>
        <v>10</v>
      </c>
      <c r="D665" s="19" t="n">
        <f aca="false">stk_26</f>
        <v>12</v>
      </c>
      <c r="E665" s="19" t="n">
        <f aca="false">stk_27</f>
        <v>12.5</v>
      </c>
      <c r="F665" s="19" t="n">
        <f aca="false">stk_28</f>
        <v>14</v>
      </c>
      <c r="G665" s="19" t="n">
        <f aca="false">stk_29</f>
        <v>15</v>
      </c>
      <c r="H665" s="19" t="n">
        <f aca="false">stk_30</f>
        <v>16</v>
      </c>
      <c r="I665" s="19" t="n">
        <f aca="false">stk_30</f>
        <v>16</v>
      </c>
    </row>
    <row r="666" customFormat="false" ht="17.15" hidden="false" customHeight="false" outlineLevel="0" collapsed="false">
      <c r="A666" s="0" t="s">
        <v>477</v>
      </c>
      <c r="B666" s="5" t="s">
        <v>478</v>
      </c>
      <c r="C666" s="19" t="n">
        <f aca="false">C663*8/C664</f>
        <v>0.741704901960783</v>
      </c>
      <c r="D666" s="19" t="n">
        <f aca="false">D663*8/D664</f>
        <v>1.26089833333333</v>
      </c>
      <c r="E666" s="19" t="n">
        <f aca="false">E663*8/E664</f>
        <v>1.80405453846154</v>
      </c>
      <c r="F666" s="19" t="n">
        <f aca="false">F663*8/F664</f>
        <v>2.429030575</v>
      </c>
      <c r="G666" s="19" t="n">
        <f aca="false">G663*8/G664</f>
        <v>3.0605785245</v>
      </c>
      <c r="H666" s="19" t="n">
        <f aca="false">H663*8/H664</f>
        <v>3.15622160339063</v>
      </c>
      <c r="I666" s="19" t="n">
        <f aca="false">I663*8/I664</f>
        <v>3.47184376372969</v>
      </c>
      <c r="J666" s="8" t="s">
        <v>479</v>
      </c>
    </row>
    <row r="667" customFormat="false" ht="17.15" hidden="false" customHeight="false" outlineLevel="0" collapsed="false">
      <c r="A667" s="0" t="s">
        <v>480</v>
      </c>
      <c r="B667" s="5" t="s">
        <v>481</v>
      </c>
      <c r="C667" s="19" t="n">
        <f aca="false">C666*(1+s_stk_hi/C665)</f>
        <v>1.0383868627451</v>
      </c>
      <c r="D667" s="19" t="n">
        <f aca="false">D666*(1+s_stk_hi/D665)</f>
        <v>1.68119777777778</v>
      </c>
      <c r="E667" s="19" t="n">
        <f aca="false">E666*(1+s_stk_hi/E665)</f>
        <v>2.38135199076923</v>
      </c>
      <c r="F667" s="19" t="n">
        <f aca="false">F666*(1+s_stk_hi/F665)</f>
        <v>3.12303931071429</v>
      </c>
      <c r="G667" s="19" t="n">
        <f aca="false">G666*(1+s_stk_hi/G665)</f>
        <v>3.8767327977</v>
      </c>
      <c r="H667" s="19" t="n">
        <f aca="false">H666*(1+s_stk_hi/H665)</f>
        <v>3.94527700423828</v>
      </c>
      <c r="I667" s="19" t="n">
        <f aca="false">I666*(1+s_stk_hi/I665)</f>
        <v>4.33980470466211</v>
      </c>
      <c r="J667" s="5" t="s">
        <v>482</v>
      </c>
    </row>
    <row r="668" customFormat="false" ht="17.15" hidden="false" customHeight="false" outlineLevel="0" collapsed="false">
      <c r="A668" s="5" t="s">
        <v>483</v>
      </c>
      <c r="B668" s="0" t="s">
        <v>56</v>
      </c>
      <c r="C668" s="22" t="n">
        <f aca="false">hbp_25*hb_on</f>
        <v>0</v>
      </c>
      <c r="D668" s="22" t="n">
        <f aca="false">hbp_26*hb_on</f>
        <v>0</v>
      </c>
      <c r="E668" s="22" t="n">
        <f aca="false">hbp_27*hb_on</f>
        <v>0</v>
      </c>
      <c r="F668" s="22" t="n">
        <f aca="false">hbp_28*hb_on</f>
        <v>0.05</v>
      </c>
      <c r="G668" s="22" t="n">
        <f aca="false">hbp_29*hb_on</f>
        <v>0.15</v>
      </c>
      <c r="H668" s="22" t="n">
        <f aca="false">hbp_30*hb_on</f>
        <v>0.25</v>
      </c>
      <c r="I668" s="22" t="n">
        <f aca="false">hbp_30*hb_on</f>
        <v>0.25</v>
      </c>
    </row>
    <row r="669" customFormat="false" ht="17.15" hidden="false" customHeight="false" outlineLevel="0" collapsed="false">
      <c r="A669" s="0" t="s">
        <v>484</v>
      </c>
      <c r="B669" s="5" t="s">
        <v>481</v>
      </c>
      <c r="C669" s="19" t="n">
        <f aca="false">C667*(1+C668*hb_eff)</f>
        <v>1.0383868627451</v>
      </c>
      <c r="D669" s="19" t="n">
        <f aca="false">D667*(1+D668*hb_eff)</f>
        <v>1.68119777777778</v>
      </c>
      <c r="E669" s="19" t="n">
        <f aca="false">E667*(1+E668*hb_eff)</f>
        <v>2.38135199076923</v>
      </c>
      <c r="F669" s="19" t="n">
        <f aca="false">F667*(1+F668*hb_eff)</f>
        <v>3.13865450726786</v>
      </c>
      <c r="G669" s="19" t="n">
        <f aca="false">G667*(1+G668*hb_eff)</f>
        <v>3.9348837896655</v>
      </c>
      <c r="H669" s="19" t="n">
        <f aca="false">H667*(1+H668*hb_eff)</f>
        <v>4.04390892934424</v>
      </c>
      <c r="I669" s="19" t="n">
        <f aca="false">I667*(1+I668*hb_eff)</f>
        <v>4.44829982227866</v>
      </c>
      <c r="J669" s="5" t="s">
        <v>485</v>
      </c>
    </row>
    <row r="670" customFormat="false" ht="17.15" hidden="false" customHeight="false" outlineLevel="0" collapsed="false">
      <c r="A670" s="0" t="s">
        <v>486</v>
      </c>
      <c r="B670" s="5" t="s">
        <v>481</v>
      </c>
      <c r="C670" s="19" t="n">
        <f aca="false">MAX(0,D669-C669)+dlt*C669</f>
        <v>0.746649601307191</v>
      </c>
      <c r="D670" s="19" t="n">
        <f aca="false">MAX(0,E669-D669)+dlt*D669</f>
        <v>0.868273990769231</v>
      </c>
      <c r="E670" s="19" t="n">
        <f aca="false">MAX(0,F669-E669)+dlt*E669</f>
        <v>0.995437715575548</v>
      </c>
      <c r="F670" s="19" t="n">
        <f aca="false">MAX(0,G669-F669)+dlt*F669</f>
        <v>1.11009473312443</v>
      </c>
      <c r="G670" s="19" t="n">
        <f aca="false">MAX(0,H669-G669)+dlt*G669</f>
        <v>0.502513518645288</v>
      </c>
      <c r="H670" s="19" t="n">
        <f aca="false">MAX(0,I669-H669)+dlt*H669</f>
        <v>0.808781785868848</v>
      </c>
      <c r="J670" s="5" t="s">
        <v>487</v>
      </c>
    </row>
    <row r="671" customFormat="false" ht="17.15" hidden="false" customHeight="false" outlineLevel="0" collapsed="false">
      <c r="A671" s="0" t="s">
        <v>488</v>
      </c>
      <c r="B671" s="5" t="s">
        <v>177</v>
      </c>
      <c r="C671" s="21" t="n">
        <f aca="false">cw_25</f>
        <v>670</v>
      </c>
      <c r="D671" s="21" t="n">
        <f aca="false">cw_26</f>
        <v>1107.85762580894</v>
      </c>
      <c r="E671" s="21" t="n">
        <f aca="false">cw_27</f>
        <v>2096.42857142857</v>
      </c>
      <c r="F671" s="21" t="n">
        <f aca="false">cw_28*um28_A</f>
        <v>2620.08928571429</v>
      </c>
      <c r="G671" s="21" t="n">
        <f aca="false">cw_29*um29_A</f>
        <v>3013.32589285714</v>
      </c>
      <c r="H671" s="21" t="n">
        <f aca="false">G671*(1+g_tail)</f>
        <v>3314.65848214285</v>
      </c>
      <c r="I671" s="21" t="n">
        <f aca="false">H671*(1+g_tail)</f>
        <v>3646.12433035714</v>
      </c>
      <c r="J671" s="5" t="s">
        <v>489</v>
      </c>
    </row>
    <row r="672" customFormat="false" ht="15" hidden="false" customHeight="false" outlineLevel="0" collapsed="false">
      <c r="A672" s="5" t="s">
        <v>490</v>
      </c>
      <c r="B672" s="5" t="s">
        <v>177</v>
      </c>
      <c r="C672" s="21" t="n">
        <f aca="false">MAX(0,D671-C671)+dlt*C671</f>
        <v>504.85762580894</v>
      </c>
      <c r="D672" s="21" t="n">
        <f aca="false">MAX(0,E671-D671)+dlt*D671</f>
        <v>1099.35670820052</v>
      </c>
      <c r="E672" s="21" t="n">
        <f aca="false">MAX(0,F671-E671)+dlt*E671</f>
        <v>733.303571428577</v>
      </c>
      <c r="F672" s="21" t="n">
        <f aca="false">MAX(0,G671-F671)+dlt*F671</f>
        <v>655.245535714279</v>
      </c>
      <c r="G672" s="21" t="n">
        <f aca="false">MAX(0,H671-G671)+dlt*G671</f>
        <v>602.665178571428</v>
      </c>
      <c r="H672" s="21" t="n">
        <f aca="false">MAX(0,I671-H671)+dlt*H671</f>
        <v>662.931696428571</v>
      </c>
    </row>
    <row r="673" customFormat="false" ht="17.15" hidden="false" customHeight="false" outlineLevel="0" collapsed="false">
      <c r="A673" s="1" t="s">
        <v>491</v>
      </c>
    </row>
    <row r="674" customFormat="false" ht="17.15" hidden="false" customHeight="false" outlineLevel="0" collapsed="false">
      <c r="A674" s="0" t="s">
        <v>492</v>
      </c>
      <c r="B674" s="0" t="s">
        <v>493</v>
      </c>
      <c r="C674" s="16" t="n">
        <f aca="false">ai25*w_hbm/(0.75*C670+0.25*D670)</f>
        <v>46.3287252914972</v>
      </c>
      <c r="J674" s="5" t="s">
        <v>494</v>
      </c>
    </row>
    <row r="675" customFormat="false" ht="17.15" hidden="false" customHeight="false" outlineLevel="0" collapsed="false">
      <c r="A675" s="5" t="s">
        <v>495</v>
      </c>
      <c r="B675" s="0" t="s">
        <v>496</v>
      </c>
      <c r="C675" s="18" t="n">
        <f aca="false">ai25*(1-w_hbm)/(0.75*C672+0.25*D672)</f>
        <v>0.0596802610360141</v>
      </c>
    </row>
    <row r="676" customFormat="false" ht="17.15" hidden="false" customHeight="false" outlineLevel="0" collapsed="false">
      <c r="A676" s="1" t="s">
        <v>497</v>
      </c>
    </row>
    <row r="677" customFormat="false" ht="17.15" hidden="false" customHeight="false" outlineLevel="0" collapsed="false">
      <c r="A677" s="5" t="s">
        <v>498</v>
      </c>
      <c r="B677" s="0" t="s">
        <v>76</v>
      </c>
      <c r="C677" s="16" t="n">
        <f aca="false">1-sh_loss/sh*0</f>
        <v>1</v>
      </c>
      <c r="D677" s="16" t="n">
        <f aca="false">1-sh_loss/sh*0.25</f>
        <v>1</v>
      </c>
      <c r="E677" s="16" t="n">
        <f aca="false">1-sh_loss/sh*0.5</f>
        <v>1</v>
      </c>
      <c r="F677" s="16" t="n">
        <f aca="false">1-sh_loss/sh*0.75</f>
        <v>1</v>
      </c>
      <c r="G677" s="16" t="n">
        <f aca="false">1-sh_loss/sh*1</f>
        <v>1</v>
      </c>
    </row>
    <row r="678" customFormat="false" ht="17.15" hidden="false" customHeight="false" outlineLevel="0" collapsed="false">
      <c r="A678" s="0" t="s">
        <v>499</v>
      </c>
      <c r="B678" s="0" t="s">
        <v>29</v>
      </c>
      <c r="C678" s="11" t="n">
        <f aca="false">$C$674*(0.75*C670+0.25*D670)*C677</f>
        <v>36</v>
      </c>
      <c r="D678" s="11" t="n">
        <f aca="false">$C$674*(0.75*D670+0.25*E670)*D677</f>
        <v>41.6988605144986</v>
      </c>
      <c r="E678" s="11" t="n">
        <f aca="false">$C$674*(0.75*E670+0.25*F670)*E677</f>
        <v>47.4453388368863</v>
      </c>
      <c r="F678" s="11" t="n">
        <f aca="false">$C$674*(0.75*F670+0.25*G670)*F677</f>
        <v>44.39215814399</v>
      </c>
      <c r="G678" s="11" t="n">
        <f aca="false">$C$674*(0.75*G670+0.25*H670)*G677</f>
        <v>26.828065365007</v>
      </c>
    </row>
    <row r="679" customFormat="false" ht="17.15" hidden="false" customHeight="false" outlineLevel="0" collapsed="false">
      <c r="A679" s="5" t="s">
        <v>500</v>
      </c>
      <c r="B679" s="0" t="s">
        <v>29</v>
      </c>
      <c r="C679" s="11" t="n">
        <f aca="false">$C$675*(0.75*C672+0.25*D672)*C677</f>
        <v>39</v>
      </c>
      <c r="D679" s="11" t="n">
        <f aca="false">$C$675*(0.75*D672+0.25*E672)*D677</f>
        <v>60.1483586282001</v>
      </c>
      <c r="E679" s="11" t="n">
        <f aca="false">$C$675*(0.75*E672+0.25*F672)*E677</f>
        <v>42.5991175746519</v>
      </c>
      <c r="F679" s="11" t="n">
        <f aca="false">$C$675*(0.75*F672+0.25*G672)*F677</f>
        <v>38.320722254198</v>
      </c>
      <c r="G679" s="11" t="n">
        <f aca="false">$C$675*(0.75*G672+0.25*H672)*G677</f>
        <v>36.8663955538204</v>
      </c>
    </row>
    <row r="680" customFormat="false" ht="17.15" hidden="false" customHeight="false" outlineLevel="0" collapsed="false">
      <c r="A680" s="0" t="s">
        <v>501</v>
      </c>
      <c r="B680" s="0" t="s">
        <v>29</v>
      </c>
      <c r="C680" s="11" t="n">
        <f aca="false">C678+C679</f>
        <v>75</v>
      </c>
      <c r="D680" s="11" t="n">
        <f aca="false">D678+D679</f>
        <v>101.847219142699</v>
      </c>
      <c r="E680" s="11" t="n">
        <f aca="false">E678+E679</f>
        <v>90.0444564115382</v>
      </c>
      <c r="F680" s="11" t="n">
        <f aca="false">F678+F679</f>
        <v>82.712880398188</v>
      </c>
      <c r="G680" s="11" t="n">
        <f aca="false">G678+G679</f>
        <v>63.6944609188274</v>
      </c>
    </row>
    <row r="681" customFormat="false" ht="17.15" hidden="false" customHeight="false" outlineLevel="0" collapsed="false">
      <c r="A681" s="5" t="s">
        <v>502</v>
      </c>
      <c r="B681" s="0" t="s">
        <v>29</v>
      </c>
      <c r="C681" s="11" t="n">
        <f aca="false">eq25-ai25</f>
        <v>195.87118</v>
      </c>
      <c r="D681" s="11" t="n">
        <f aca="false">C681*(1+g_non)*D677/C677</f>
        <v>207.6234508</v>
      </c>
      <c r="E681" s="11" t="n">
        <f aca="false">D681*(1+g_non)*E677/D677</f>
        <v>220.080857848</v>
      </c>
      <c r="F681" s="11" t="n">
        <f aca="false">E681*(1+g_non)*F677/E677</f>
        <v>233.28570931888</v>
      </c>
      <c r="G681" s="11" t="n">
        <f aca="false">F681*(1+g_non)*G677/F677</f>
        <v>247.282851878013</v>
      </c>
    </row>
    <row r="682" customFormat="false" ht="15" hidden="false" customHeight="false" outlineLevel="0" collapsed="false">
      <c r="A682" s="5" t="s">
        <v>503</v>
      </c>
      <c r="B682" s="0" t="s">
        <v>29</v>
      </c>
      <c r="C682" s="11" t="n">
        <f aca="false">C680+C681</f>
        <v>270.87118</v>
      </c>
      <c r="D682" s="11" t="n">
        <f aca="false">D680+D681</f>
        <v>309.470669942699</v>
      </c>
      <c r="E682" s="11" t="n">
        <f aca="false">E680+E681</f>
        <v>310.125314259538</v>
      </c>
      <c r="F682" s="11" t="n">
        <f aca="false">F680+F681</f>
        <v>315.998589717068</v>
      </c>
      <c r="G682" s="11" t="n">
        <f aca="false">G680+G681</f>
        <v>310.97731279684</v>
      </c>
    </row>
    <row r="683" customFormat="false" ht="17.15" hidden="false" customHeight="false" outlineLevel="0" collapsed="false">
      <c r="A683" s="0" t="s">
        <v>504</v>
      </c>
      <c r="B683" s="0" t="s">
        <v>76</v>
      </c>
      <c r="C683" s="19" t="n">
        <f aca="false">w_hbm*(0.75*C669+0.25*D669)/(0.75*C669+0.25*D669)+(1-w_hbm)*(0.75*C671+0.25*D671)/(0.75*C671+0.25*D671)</f>
        <v>1</v>
      </c>
      <c r="D683" s="19" t="n">
        <f aca="false">w_hbm*(0.75*D669+0.25*E669)/(0.75*C669+0.25*D669)+(1-w_hbm)*(0.75*D671+0.25*E671)/(0.75*C671+0.25*D671)</f>
        <v>1.64701255381901</v>
      </c>
      <c r="E683" s="19" t="n">
        <f aca="false">w_hbm*(0.75*E669+0.25*F669)/(0.75*C669+0.25*D669)+(1-w_hbm)*(0.75*E671+0.25*F671)/(0.75*C671+0.25*D671)</f>
        <v>2.51496791264581</v>
      </c>
      <c r="F683" s="19" t="n">
        <f aca="false">w_hbm*(0.75*F669+0.25*G669)/(0.75*C669+0.25*D669)+(1-w_hbm)*(0.75*F671+0.25*G671)/(0.75*C671+0.25*D671)</f>
        <v>3.14960928139669</v>
      </c>
      <c r="G683" s="19" t="n">
        <f aca="false">w_hbm*(0.75*G669+0.25*H669)/(0.75*C669+0.25*D669)+(1-w_hbm)*(0.75*G671+0.25*H671)/(0.75*C671+0.25*D671)</f>
        <v>3.64658023216985</v>
      </c>
      <c r="J683" s="8" t="s">
        <v>505</v>
      </c>
    </row>
    <row r="684" customFormat="false" ht="17.15" hidden="false" customHeight="false" outlineLevel="0" collapsed="false">
      <c r="A684" s="0" t="s">
        <v>506</v>
      </c>
      <c r="B684" s="0" t="s">
        <v>29</v>
      </c>
      <c r="C684" s="11" t="n">
        <f aca="false">tl25*w_tlai*C683</f>
        <v>25.4032258064516</v>
      </c>
      <c r="D684" s="11" t="n">
        <f aca="false">tl25*w_tlai*D683</f>
        <v>41.839431810725</v>
      </c>
      <c r="E684" s="11" t="n">
        <f aca="false">tl25*w_tlai*E683</f>
        <v>63.8882977809219</v>
      </c>
      <c r="F684" s="11" t="n">
        <f aca="false">tl25*w_tlai*F683</f>
        <v>80.0102357774158</v>
      </c>
      <c r="G684" s="11" t="n">
        <f aca="false">tl25*w_tlai*G683</f>
        <v>92.6349010591534</v>
      </c>
      <c r="J684" s="5" t="s">
        <v>507</v>
      </c>
    </row>
    <row r="685" customFormat="false" ht="17.15" hidden="false" customHeight="false" outlineLevel="0" collapsed="false">
      <c r="A685" s="5" t="s">
        <v>508</v>
      </c>
      <c r="B685" s="0" t="s">
        <v>29</v>
      </c>
      <c r="C685" s="11" t="n">
        <f aca="false">tl25*(1-w_tlai)</f>
        <v>66.3434641935484</v>
      </c>
      <c r="D685" s="11" t="n">
        <f aca="false">C685*(1+g_tl)</f>
        <v>69.6606374032258</v>
      </c>
      <c r="E685" s="11" t="n">
        <f aca="false">D685*(1+g_tl)</f>
        <v>73.1436692733871</v>
      </c>
      <c r="F685" s="11" t="n">
        <f aca="false">E685*(1+g_tl)</f>
        <v>76.8008527370565</v>
      </c>
      <c r="G685" s="11" t="n">
        <f aca="false">F685*(1+g_tl)</f>
        <v>80.6408953739093</v>
      </c>
    </row>
    <row r="686" customFormat="false" ht="15" hidden="false" customHeight="false" outlineLevel="0" collapsed="false">
      <c r="A686" s="5" t="s">
        <v>509</v>
      </c>
      <c r="B686" s="0" t="s">
        <v>29</v>
      </c>
      <c r="C686" s="11" t="n">
        <f aca="false">C684+C685</f>
        <v>91.74669</v>
      </c>
      <c r="D686" s="11" t="n">
        <f aca="false">D684+D685</f>
        <v>111.500069213951</v>
      </c>
      <c r="E686" s="11" t="n">
        <f aca="false">E684+E685</f>
        <v>137.031967054309</v>
      </c>
      <c r="F686" s="11" t="n">
        <f aca="false">F684+F685</f>
        <v>156.811088514472</v>
      </c>
      <c r="G686" s="11" t="n">
        <f aca="false">G684+G685</f>
        <v>173.275796433063</v>
      </c>
    </row>
    <row r="687" customFormat="false" ht="15" hidden="false" customHeight="false" outlineLevel="0" collapsed="false">
      <c r="A687" s="5" t="s">
        <v>393</v>
      </c>
      <c r="B687" s="0" t="s">
        <v>29</v>
      </c>
      <c r="C687" s="11" t="n">
        <f aca="false">r_ot*(C682+C686)</f>
        <v>74.27113</v>
      </c>
      <c r="D687" s="11" t="n">
        <f aca="false">r_ot*(D682+D686)</f>
        <v>86.222922477868</v>
      </c>
      <c r="E687" s="11" t="n">
        <f aca="false">r_ot*(E682+E686)</f>
        <v>91.5864311124748</v>
      </c>
      <c r="F687" s="11" t="n">
        <f aca="false">r_ot*(F682+F686)</f>
        <v>96.8405365052553</v>
      </c>
      <c r="G687" s="11" t="n">
        <f aca="false">r_ot*(G682+G686)</f>
        <v>99.1843717699802</v>
      </c>
    </row>
    <row r="688" customFormat="false" ht="15" hidden="false" customHeight="false" outlineLevel="0" collapsed="false">
      <c r="A688" s="5" t="s">
        <v>363</v>
      </c>
      <c r="B688" s="0" t="s">
        <v>29</v>
      </c>
      <c r="C688" s="11" t="n">
        <f aca="false">C682+C686+C687</f>
        <v>436.889</v>
      </c>
      <c r="D688" s="11" t="n">
        <f aca="false">D682+D686+D687</f>
        <v>507.193661634517</v>
      </c>
      <c r="E688" s="11" t="n">
        <f aca="false">E682+E686+E687</f>
        <v>538.743712426322</v>
      </c>
      <c r="F688" s="11" t="n">
        <f aca="false">F682+F686+F687</f>
        <v>569.650214736796</v>
      </c>
      <c r="G688" s="11" t="n">
        <f aca="false">G682+G686+G687</f>
        <v>583.437480999883</v>
      </c>
    </row>
    <row r="689" customFormat="false" ht="17.15" hidden="false" customHeight="false" outlineLevel="0" collapsed="false">
      <c r="A689" s="0" t="s">
        <v>510</v>
      </c>
      <c r="B689" s="0" t="s">
        <v>56</v>
      </c>
      <c r="C689" s="14" t="n">
        <f aca="false">(C680+C684)*(1+r_ot)/C688</f>
        <v>0.276884384673187</v>
      </c>
      <c r="D689" s="14" t="n">
        <f aca="false">(D680+D684)*(1+r_ot)/D688</f>
        <v>0.341322181302382</v>
      </c>
      <c r="E689" s="14" t="n">
        <f aca="false">(E680+E684)*(1+r_ot)/E688</f>
        <v>0.344247450785485</v>
      </c>
      <c r="F689" s="14" t="n">
        <f aca="false">(F680+F684)*(1+r_ot)/F688</f>
        <v>0.344161982437078</v>
      </c>
      <c r="G689" s="14" t="n">
        <f aca="false">(G680+G684)*(1+r_ot)/G688</f>
        <v>0.322825726873675</v>
      </c>
    </row>
    <row r="690" customFormat="false" ht="17.15" hidden="false" customHeight="false" outlineLevel="0" collapsed="false">
      <c r="A690" s="0" t="s">
        <v>511</v>
      </c>
      <c r="B690" s="0" t="s">
        <v>56</v>
      </c>
      <c r="C690" s="14" t="n">
        <f aca="false">C680*(1+r_ot)/C688</f>
        <v>0.206829299394429</v>
      </c>
      <c r="D690" s="14" t="n">
        <f aca="false">D680*(1+r_ot)/D688</f>
        <v>0.241934200335952</v>
      </c>
      <c r="E690" s="14" t="n">
        <f aca="false">E680*(1+r_ot)/E688</f>
        <v>0.201370882627624</v>
      </c>
      <c r="F690" s="14" t="n">
        <f aca="false">F680*(1+r_ot)/F688</f>
        <v>0.174939059427803</v>
      </c>
      <c r="G690" s="14" t="n">
        <f aca="false">G680*(1+r_ot)/G688</f>
        <v>0.131531341161896</v>
      </c>
      <c r="J690" s="5" t="s">
        <v>512</v>
      </c>
    </row>
    <row r="691" customFormat="false" ht="17.15" hidden="false" customHeight="false" outlineLevel="0" collapsed="false">
      <c r="A691" s="5" t="s">
        <v>401</v>
      </c>
      <c r="B691" s="0" t="s">
        <v>56</v>
      </c>
      <c r="C691" s="14" t="n">
        <f aca="false">a25_gp/a25_rev</f>
        <v>0.701498549974936</v>
      </c>
      <c r="D691" s="14" t="n">
        <f aca="false">gm_a+gm_b*LN(D688)+0</f>
        <v>0.719438161983313</v>
      </c>
      <c r="E691" s="14" t="n">
        <f aca="false">gm_a+gm_b*LN(E688)+0</f>
        <v>0.726307224459687</v>
      </c>
      <c r="F691" s="14" t="n">
        <f aca="false">gm_a+gm_b*LN(F688)+0</f>
        <v>0.732656725957851</v>
      </c>
      <c r="G691" s="14" t="n">
        <f aca="false">gm_a+gm_b*LN(G688)+0</f>
        <v>0.735378849528387</v>
      </c>
      <c r="J691" s="8" t="s">
        <v>513</v>
      </c>
    </row>
    <row r="692" customFormat="false" ht="15" hidden="false" customHeight="false" outlineLevel="0" collapsed="false">
      <c r="A692" s="5" t="s">
        <v>398</v>
      </c>
      <c r="B692" s="0" t="s">
        <v>29</v>
      </c>
      <c r="C692" s="11" t="n">
        <f aca="false">C688*C691</f>
        <v>306.477</v>
      </c>
      <c r="D692" s="11" t="n">
        <f aca="false">D688*D691</f>
        <v>364.894475695924</v>
      </c>
      <c r="E692" s="11" t="n">
        <f aca="false">E688*E691</f>
        <v>391.29345046747</v>
      </c>
      <c r="F692" s="11" t="n">
        <f aca="false">F688*F691</f>
        <v>417.358061270247</v>
      </c>
      <c r="G692" s="11" t="n">
        <f aca="false">G688*G691</f>
        <v>429.047583549434</v>
      </c>
    </row>
    <row r="693" customFormat="false" ht="17.15" hidden="false" customHeight="false" outlineLevel="0" collapsed="false">
      <c r="A693" s="5" t="s">
        <v>399</v>
      </c>
      <c r="B693" s="0" t="s">
        <v>29</v>
      </c>
      <c r="C693" s="11" t="n">
        <f aca="false">a25_sga</f>
        <v>121.487</v>
      </c>
      <c r="D693" s="11" t="n">
        <f aca="false">sg_f+sg_v*D688</f>
        <v>136.122302435283</v>
      </c>
      <c r="E693" s="11" t="n">
        <f aca="false">sg_f+sg_v*E688</f>
        <v>144.084495179804</v>
      </c>
      <c r="F693" s="11" t="n">
        <f aca="false">sg_f+sg_v*F688</f>
        <v>151.884277502782</v>
      </c>
      <c r="G693" s="11" t="n">
        <f aca="false">sg_f+sg_v*G688</f>
        <v>155.363728998158</v>
      </c>
      <c r="J693" s="5" t="s">
        <v>514</v>
      </c>
    </row>
    <row r="694" customFormat="false" ht="15" hidden="false" customHeight="false" outlineLevel="0" collapsed="false">
      <c r="A694" s="5" t="s">
        <v>367</v>
      </c>
      <c r="B694" s="0" t="s">
        <v>29</v>
      </c>
      <c r="C694" s="11" t="n">
        <f aca="false">C692-C693</f>
        <v>184.99</v>
      </c>
      <c r="D694" s="11" t="n">
        <f aca="false">D692-D693</f>
        <v>228.772173260641</v>
      </c>
      <c r="E694" s="11" t="n">
        <f aca="false">E692-E693</f>
        <v>247.208955287666</v>
      </c>
      <c r="F694" s="11" t="n">
        <f aca="false">F692-F693</f>
        <v>265.473783767465</v>
      </c>
      <c r="G694" s="11" t="n">
        <f aca="false">G692-G693</f>
        <v>273.683854551276</v>
      </c>
    </row>
    <row r="695" customFormat="false" ht="15" hidden="false" customHeight="false" outlineLevel="0" collapsed="false">
      <c r="A695" s="5" t="s">
        <v>515</v>
      </c>
      <c r="B695" s="0" t="s">
        <v>56</v>
      </c>
      <c r="C695" s="14" t="n">
        <f aca="false">C694/C688</f>
        <v>0.423425629851061</v>
      </c>
      <c r="D695" s="14" t="n">
        <f aca="false">D694/D688</f>
        <v>0.451054874233609</v>
      </c>
      <c r="E695" s="14" t="n">
        <f aca="false">E694/E688</f>
        <v>0.458861884762087</v>
      </c>
      <c r="F695" s="14" t="n">
        <f aca="false">F694/F688</f>
        <v>0.466029463168247</v>
      </c>
      <c r="G695" s="14" t="n">
        <f aca="false">G694/G688</f>
        <v>0.469088571550532</v>
      </c>
    </row>
    <row r="696" customFormat="false" ht="15" hidden="false" customHeight="false" outlineLevel="0" collapsed="false">
      <c r="A696" s="5" t="s">
        <v>370</v>
      </c>
      <c r="B696" s="0" t="s">
        <v>29</v>
      </c>
      <c r="C696" s="11" t="n">
        <f aca="false">a25_ni</f>
        <v>135.521</v>
      </c>
      <c r="D696" s="11" t="n">
        <f aca="false">D694*nioi</f>
        <v>167.596093240438</v>
      </c>
      <c r="E696" s="11" t="n">
        <f aca="false">E694*nioi</f>
        <v>181.102686265344</v>
      </c>
      <c r="F696" s="11" t="n">
        <f aca="false">F694*nioi</f>
        <v>194.483307926151</v>
      </c>
      <c r="G696" s="11" t="n">
        <f aca="false">G694*nioi</f>
        <v>200.49791962032</v>
      </c>
    </row>
    <row r="697" customFormat="false" ht="15" hidden="false" customHeight="false" outlineLevel="0" collapsed="false">
      <c r="A697" s="0" t="s">
        <v>459</v>
      </c>
      <c r="B697" s="0" t="s">
        <v>51</v>
      </c>
      <c r="C697" s="11" t="n">
        <f aca="false">a25_eps</f>
        <v>1249.84</v>
      </c>
      <c r="D697" s="11" t="n">
        <f aca="false">D696*1000/shares</f>
        <v>1544.93669018449</v>
      </c>
      <c r="E697" s="11" t="n">
        <f aca="false">E696*1000/shares</f>
        <v>1669.44335809132</v>
      </c>
      <c r="F697" s="11" t="n">
        <f aca="false">F696*1000/shares</f>
        <v>1792.78879497808</v>
      </c>
      <c r="G697" s="11" t="n">
        <f aca="false">G696*1000/shares</f>
        <v>1848.23277403435</v>
      </c>
    </row>
    <row r="698" customFormat="false" ht="17.15" hidden="false" customHeight="false" outlineLevel="0" collapsed="false">
      <c r="A698" s="5" t="s">
        <v>516</v>
      </c>
      <c r="B698" s="0" t="s">
        <v>29</v>
      </c>
      <c r="C698" s="16" t="n">
        <f aca="false">ABS(C688-a25_rev)+ABS(C694-a25_oi)</f>
        <v>0.000999999999976353</v>
      </c>
    </row>
    <row r="700" customFormat="false" ht="17.15" hidden="false" customHeight="false" outlineLevel="0" collapsed="false">
      <c r="A700" s="3" t="s">
        <v>727</v>
      </c>
    </row>
    <row r="701" customFormat="false" ht="17.15" hidden="false" customHeight="false" outlineLevel="0" collapsed="false">
      <c r="A701" s="6" t="s">
        <v>18</v>
      </c>
      <c r="B701" s="6" t="s">
        <v>19</v>
      </c>
      <c r="C701" s="9" t="s">
        <v>464</v>
      </c>
      <c r="D701" s="9" t="s">
        <v>465</v>
      </c>
      <c r="E701" s="9" t="s">
        <v>466</v>
      </c>
      <c r="F701" s="9" t="s">
        <v>467</v>
      </c>
      <c r="G701" s="9" t="s">
        <v>468</v>
      </c>
      <c r="H701" s="9" t="s">
        <v>469</v>
      </c>
      <c r="I701" s="9" t="s">
        <v>470</v>
      </c>
      <c r="J701" s="6" t="s">
        <v>450</v>
      </c>
    </row>
    <row r="702" customFormat="false" ht="17.15" hidden="false" customHeight="false" outlineLevel="0" collapsed="false">
      <c r="A702" s="1" t="s">
        <v>471</v>
      </c>
    </row>
    <row r="703" customFormat="false" ht="17.15" hidden="false" customHeight="false" outlineLevel="0" collapsed="false">
      <c r="A703" s="0" t="s">
        <v>472</v>
      </c>
      <c r="B703" s="0" t="s">
        <v>96</v>
      </c>
      <c r="C703" s="19" t="n">
        <f aca="false">hsA_25</f>
        <v>2.22511470588235</v>
      </c>
      <c r="D703" s="19" t="n">
        <f aca="false">hsA_26</f>
        <v>3.782695</v>
      </c>
      <c r="E703" s="19" t="n">
        <f aca="false">hsA_27</f>
        <v>5.86317725</v>
      </c>
      <c r="F703" s="19" t="n">
        <f aca="false">hsA_28</f>
        <v>8.5016070125</v>
      </c>
      <c r="G703" s="19" t="n">
        <f aca="false">hsA_29</f>
        <v>11.477169466875</v>
      </c>
      <c r="H703" s="19" t="n">
        <f aca="false">G703*(1+g_tail_lo)</f>
        <v>11.477169466875</v>
      </c>
      <c r="I703" s="19" t="n">
        <f aca="false">H703*(1+g_tail_lo)</f>
        <v>11.477169466875</v>
      </c>
      <c r="J703" s="8" t="s">
        <v>473</v>
      </c>
    </row>
    <row r="704" customFormat="false" ht="17.15" hidden="false" customHeight="false" outlineLevel="0" collapsed="false">
      <c r="A704" s="0" t="s">
        <v>474</v>
      </c>
      <c r="B704" s="0" t="s">
        <v>475</v>
      </c>
      <c r="C704" s="19" t="n">
        <f aca="false">den_25</f>
        <v>24</v>
      </c>
      <c r="D704" s="19" t="n">
        <f aca="false">den_26</f>
        <v>24</v>
      </c>
      <c r="E704" s="19" t="n">
        <f aca="false">den_27</f>
        <v>26</v>
      </c>
      <c r="F704" s="19" t="n">
        <f aca="false">den_28</f>
        <v>28</v>
      </c>
      <c r="G704" s="19" t="n">
        <f aca="false">den_29</f>
        <v>30</v>
      </c>
      <c r="H704" s="19" t="n">
        <f aca="false">den_30</f>
        <v>32</v>
      </c>
      <c r="I704" s="19" t="n">
        <f aca="false">den_30</f>
        <v>32</v>
      </c>
    </row>
    <row r="705" customFormat="false" ht="15" hidden="false" customHeight="false" outlineLevel="0" collapsed="false">
      <c r="A705" s="5" t="s">
        <v>476</v>
      </c>
      <c r="B705" s="5" t="s">
        <v>148</v>
      </c>
      <c r="C705" s="19" t="n">
        <f aca="false">stk_25</f>
        <v>10</v>
      </c>
      <c r="D705" s="19" t="n">
        <f aca="false">stk_26</f>
        <v>12</v>
      </c>
      <c r="E705" s="19" t="n">
        <f aca="false">stk_27</f>
        <v>12.5</v>
      </c>
      <c r="F705" s="19" t="n">
        <f aca="false">stk_28</f>
        <v>14</v>
      </c>
      <c r="G705" s="19" t="n">
        <f aca="false">stk_29</f>
        <v>15</v>
      </c>
      <c r="H705" s="19" t="n">
        <f aca="false">stk_30</f>
        <v>16</v>
      </c>
      <c r="I705" s="19" t="n">
        <f aca="false">stk_30</f>
        <v>16</v>
      </c>
    </row>
    <row r="706" customFormat="false" ht="17.15" hidden="false" customHeight="false" outlineLevel="0" collapsed="false">
      <c r="A706" s="0" t="s">
        <v>477</v>
      </c>
      <c r="B706" s="5" t="s">
        <v>478</v>
      </c>
      <c r="C706" s="19" t="n">
        <f aca="false">C703*8/C704</f>
        <v>0.741704901960783</v>
      </c>
      <c r="D706" s="19" t="n">
        <f aca="false">D703*8/D704</f>
        <v>1.26089833333333</v>
      </c>
      <c r="E706" s="19" t="n">
        <f aca="false">E703*8/E704</f>
        <v>1.80405453846154</v>
      </c>
      <c r="F706" s="19" t="n">
        <f aca="false">F703*8/F704</f>
        <v>2.429030575</v>
      </c>
      <c r="G706" s="19" t="n">
        <f aca="false">G703*8/G704</f>
        <v>3.0605785245</v>
      </c>
      <c r="H706" s="19" t="n">
        <f aca="false">H703*8/H704</f>
        <v>2.86929236671875</v>
      </c>
      <c r="I706" s="19" t="n">
        <f aca="false">I703*8/I704</f>
        <v>2.86929236671875</v>
      </c>
      <c r="J706" s="8" t="s">
        <v>479</v>
      </c>
    </row>
    <row r="707" customFormat="false" ht="17.15" hidden="false" customHeight="false" outlineLevel="0" collapsed="false">
      <c r="A707" s="0" t="s">
        <v>480</v>
      </c>
      <c r="B707" s="5" t="s">
        <v>481</v>
      </c>
      <c r="C707" s="19" t="n">
        <f aca="false">C706*(1+s_stk/C705)</f>
        <v>0.964216372549018</v>
      </c>
      <c r="D707" s="19" t="n">
        <f aca="false">D706*(1+s_stk/D705)</f>
        <v>1.57612291666667</v>
      </c>
      <c r="E707" s="19" t="n">
        <f aca="false">E706*(1+s_stk/E705)</f>
        <v>2.23702762769231</v>
      </c>
      <c r="F707" s="19" t="n">
        <f aca="false">F706*(1+s_stk/F705)</f>
        <v>2.94953712678571</v>
      </c>
      <c r="G707" s="19" t="n">
        <f aca="false">G706*(1+s_stk/G705)</f>
        <v>3.6726942294</v>
      </c>
      <c r="H707" s="19" t="n">
        <f aca="false">H706*(1+s_stk/H705)</f>
        <v>3.40728468547852</v>
      </c>
      <c r="I707" s="19" t="n">
        <f aca="false">I706*(1+s_stk/I705)</f>
        <v>3.40728468547852</v>
      </c>
      <c r="J707" s="5" t="s">
        <v>482</v>
      </c>
    </row>
    <row r="708" customFormat="false" ht="17.15" hidden="false" customHeight="false" outlineLevel="0" collapsed="false">
      <c r="A708" s="5" t="s">
        <v>483</v>
      </c>
      <c r="B708" s="0" t="s">
        <v>56</v>
      </c>
      <c r="C708" s="22" t="n">
        <f aca="false">hbp_25*hb_on</f>
        <v>0</v>
      </c>
      <c r="D708" s="22" t="n">
        <f aca="false">hbp_26*hb_on</f>
        <v>0</v>
      </c>
      <c r="E708" s="22" t="n">
        <f aca="false">hbp_27*hb_on</f>
        <v>0</v>
      </c>
      <c r="F708" s="22" t="n">
        <f aca="false">hbp_28*hb_on</f>
        <v>0.05</v>
      </c>
      <c r="G708" s="22" t="n">
        <f aca="false">hbp_29*hb_on</f>
        <v>0.15</v>
      </c>
      <c r="H708" s="22" t="n">
        <f aca="false">hbp_30*hb_on</f>
        <v>0.25</v>
      </c>
      <c r="I708" s="22" t="n">
        <f aca="false">hbp_30*hb_on</f>
        <v>0.25</v>
      </c>
    </row>
    <row r="709" customFormat="false" ht="17.15" hidden="false" customHeight="false" outlineLevel="0" collapsed="false">
      <c r="A709" s="0" t="s">
        <v>484</v>
      </c>
      <c r="B709" s="5" t="s">
        <v>481</v>
      </c>
      <c r="C709" s="19" t="n">
        <f aca="false">C707*(1+C708*hb_eff)</f>
        <v>0.964216372549018</v>
      </c>
      <c r="D709" s="19" t="n">
        <f aca="false">D707*(1+D708*hb_eff)</f>
        <v>1.57612291666667</v>
      </c>
      <c r="E709" s="19" t="n">
        <f aca="false">E707*(1+E708*hb_eff)</f>
        <v>2.23702762769231</v>
      </c>
      <c r="F709" s="19" t="n">
        <f aca="false">F707*(1+F708*hb_eff)</f>
        <v>2.96428481241964</v>
      </c>
      <c r="G709" s="19" t="n">
        <f aca="false">G707*(1+G708*hb_eff)</f>
        <v>3.727784642841</v>
      </c>
      <c r="H709" s="19" t="n">
        <f aca="false">H707*(1+H708*hb_eff)</f>
        <v>3.49246680261548</v>
      </c>
      <c r="I709" s="19" t="n">
        <f aca="false">I707*(1+I708*hb_eff)</f>
        <v>3.49246680261548</v>
      </c>
      <c r="J709" s="5" t="s">
        <v>485</v>
      </c>
    </row>
    <row r="710" customFormat="false" ht="17.15" hidden="false" customHeight="false" outlineLevel="0" collapsed="false">
      <c r="A710" s="0" t="s">
        <v>486</v>
      </c>
      <c r="B710" s="5" t="s">
        <v>481</v>
      </c>
      <c r="C710" s="19" t="n">
        <f aca="false">MAX(0,D709-C709)+dlt*C709</f>
        <v>0.70832818137255</v>
      </c>
      <c r="D710" s="19" t="n">
        <f aca="false">MAX(0,E709-D709)+dlt*D709</f>
        <v>0.818517002692307</v>
      </c>
      <c r="E710" s="19" t="n">
        <f aca="false">MAX(0,F709-E709)+dlt*E709</f>
        <v>0.950959947496565</v>
      </c>
      <c r="F710" s="19" t="n">
        <f aca="false">MAX(0,G709-F709)+dlt*F709</f>
        <v>1.05992831166332</v>
      </c>
      <c r="G710" s="19" t="n">
        <f aca="false">MAX(0,H709-G709)+dlt*G709</f>
        <v>0.3727784642841</v>
      </c>
      <c r="H710" s="19" t="n">
        <f aca="false">MAX(0,I709-H709)+dlt*H709</f>
        <v>0.349246680261548</v>
      </c>
      <c r="J710" s="5" t="s">
        <v>487</v>
      </c>
    </row>
    <row r="711" customFormat="false" ht="17.15" hidden="false" customHeight="false" outlineLevel="0" collapsed="false">
      <c r="A711" s="0" t="s">
        <v>488</v>
      </c>
      <c r="B711" s="5" t="s">
        <v>177</v>
      </c>
      <c r="C711" s="21" t="n">
        <f aca="false">cw_25</f>
        <v>670</v>
      </c>
      <c r="D711" s="21" t="n">
        <f aca="false">cw_26</f>
        <v>1107.85762580894</v>
      </c>
      <c r="E711" s="21" t="n">
        <f aca="false">cw_27</f>
        <v>2096.42857142857</v>
      </c>
      <c r="F711" s="21" t="n">
        <f aca="false">cw_28*um28_A</f>
        <v>2620.08928571429</v>
      </c>
      <c r="G711" s="21" t="n">
        <f aca="false">cw_29*um29_A</f>
        <v>3013.32589285714</v>
      </c>
      <c r="H711" s="21" t="n">
        <f aca="false">G711*(1+g_tail_lo)</f>
        <v>3013.32589285714</v>
      </c>
      <c r="I711" s="21" t="n">
        <f aca="false">H711*(1+g_tail_lo)</f>
        <v>3013.32589285714</v>
      </c>
      <c r="J711" s="5" t="s">
        <v>489</v>
      </c>
    </row>
    <row r="712" customFormat="false" ht="15" hidden="false" customHeight="false" outlineLevel="0" collapsed="false">
      <c r="A712" s="5" t="s">
        <v>490</v>
      </c>
      <c r="B712" s="5" t="s">
        <v>177</v>
      </c>
      <c r="C712" s="21" t="n">
        <f aca="false">MAX(0,D711-C711)+dlt*C711</f>
        <v>504.85762580894</v>
      </c>
      <c r="D712" s="21" t="n">
        <f aca="false">MAX(0,E711-D711)+dlt*D711</f>
        <v>1099.35670820052</v>
      </c>
      <c r="E712" s="21" t="n">
        <f aca="false">MAX(0,F711-E711)+dlt*E711</f>
        <v>733.303571428577</v>
      </c>
      <c r="F712" s="21" t="n">
        <f aca="false">MAX(0,G711-F711)+dlt*F711</f>
        <v>655.245535714279</v>
      </c>
      <c r="G712" s="21" t="n">
        <f aca="false">MAX(0,H711-G711)+dlt*G711</f>
        <v>301.332589285714</v>
      </c>
      <c r="H712" s="21" t="n">
        <f aca="false">MAX(0,I711-H711)+dlt*H711</f>
        <v>301.332589285714</v>
      </c>
    </row>
    <row r="713" customFormat="false" ht="17.15" hidden="false" customHeight="false" outlineLevel="0" collapsed="false">
      <c r="A713" s="1" t="s">
        <v>491</v>
      </c>
    </row>
    <row r="714" customFormat="false" ht="17.15" hidden="false" customHeight="false" outlineLevel="0" collapsed="false">
      <c r="A714" s="0" t="s">
        <v>492</v>
      </c>
      <c r="B714" s="0" t="s">
        <v>493</v>
      </c>
      <c r="C714" s="16" t="n">
        <f aca="false">ai25*w_hbm/(0.75*C710+0.25*D710)</f>
        <v>48.9213264236471</v>
      </c>
      <c r="J714" s="5" t="s">
        <v>494</v>
      </c>
    </row>
    <row r="715" customFormat="false" ht="17.15" hidden="false" customHeight="false" outlineLevel="0" collapsed="false">
      <c r="A715" s="5" t="s">
        <v>495</v>
      </c>
      <c r="B715" s="0" t="s">
        <v>496</v>
      </c>
      <c r="C715" s="18" t="n">
        <f aca="false">ai25*(1-w_hbm)/(0.75*C712+0.25*D712)</f>
        <v>0.0596802610360141</v>
      </c>
    </row>
    <row r="716" customFormat="false" ht="17.15" hidden="false" customHeight="false" outlineLevel="0" collapsed="false">
      <c r="A716" s="1" t="s">
        <v>497</v>
      </c>
    </row>
    <row r="717" customFormat="false" ht="17.15" hidden="false" customHeight="false" outlineLevel="0" collapsed="false">
      <c r="A717" s="5" t="s">
        <v>498</v>
      </c>
      <c r="B717" s="0" t="s">
        <v>76</v>
      </c>
      <c r="C717" s="16" t="n">
        <f aca="false">1-sh_loss/sh*0</f>
        <v>1</v>
      </c>
      <c r="D717" s="16" t="n">
        <f aca="false">1-sh_loss/sh*0.25</f>
        <v>1</v>
      </c>
      <c r="E717" s="16" t="n">
        <f aca="false">1-sh_loss/sh*0.5</f>
        <v>1</v>
      </c>
      <c r="F717" s="16" t="n">
        <f aca="false">1-sh_loss/sh*0.75</f>
        <v>1</v>
      </c>
      <c r="G717" s="16" t="n">
        <f aca="false">1-sh_loss/sh*1</f>
        <v>1</v>
      </c>
    </row>
    <row r="718" customFormat="false" ht="17.15" hidden="false" customHeight="false" outlineLevel="0" collapsed="false">
      <c r="A718" s="0" t="s">
        <v>499</v>
      </c>
      <c r="B718" s="0" t="s">
        <v>29</v>
      </c>
      <c r="C718" s="11" t="n">
        <f aca="false">$C$714*(0.75*C710+0.25*D710)*C717</f>
        <v>36</v>
      </c>
      <c r="D718" s="11" t="n">
        <f aca="false">$C$714*(0.75*D710+0.25*E710)*D717</f>
        <v>41.6627586058351</v>
      </c>
      <c r="E718" s="11" t="n">
        <f aca="false">$C$714*(0.75*E710+0.25*F710)*E717</f>
        <v>47.8549412356069</v>
      </c>
      <c r="F718" s="11" t="n">
        <f aca="false">$C$714*(0.75*F710+0.25*G710)*F717</f>
        <v>43.449028424147</v>
      </c>
      <c r="G718" s="11" t="n">
        <f aca="false">$C$714*(0.75*G710+0.25*H710)*G717</f>
        <v>17.9490154130738</v>
      </c>
    </row>
    <row r="719" customFormat="false" ht="17.15" hidden="false" customHeight="false" outlineLevel="0" collapsed="false">
      <c r="A719" s="5" t="s">
        <v>500</v>
      </c>
      <c r="B719" s="0" t="s">
        <v>29</v>
      </c>
      <c r="C719" s="11" t="n">
        <f aca="false">$C$715*(0.75*C712+0.25*D712)*C717</f>
        <v>39</v>
      </c>
      <c r="D719" s="11" t="n">
        <f aca="false">$C$715*(0.75*D712+0.25*E712)*D717</f>
        <v>60.1483586282001</v>
      </c>
      <c r="E719" s="11" t="n">
        <f aca="false">$C$715*(0.75*E712+0.25*F712)*E717</f>
        <v>42.5991175746519</v>
      </c>
      <c r="F719" s="11" t="n">
        <f aca="false">$C$715*(0.75*F712+0.25*G712)*F717</f>
        <v>33.8248203573907</v>
      </c>
      <c r="G719" s="11" t="n">
        <f aca="false">$C$715*(0.75*G712+0.25*H712)*G717</f>
        <v>17.9836075872294</v>
      </c>
    </row>
    <row r="720" customFormat="false" ht="17.15" hidden="false" customHeight="false" outlineLevel="0" collapsed="false">
      <c r="A720" s="0" t="s">
        <v>501</v>
      </c>
      <c r="B720" s="0" t="s">
        <v>29</v>
      </c>
      <c r="C720" s="11" t="n">
        <f aca="false">C718+C719</f>
        <v>75</v>
      </c>
      <c r="D720" s="11" t="n">
        <f aca="false">D718+D719</f>
        <v>101.811117234035</v>
      </c>
      <c r="E720" s="11" t="n">
        <f aca="false">E718+E719</f>
        <v>90.4540588102588</v>
      </c>
      <c r="F720" s="11" t="n">
        <f aca="false">F718+F719</f>
        <v>77.2738487815376</v>
      </c>
      <c r="G720" s="11" t="n">
        <f aca="false">G718+G719</f>
        <v>35.9326230003032</v>
      </c>
    </row>
    <row r="721" customFormat="false" ht="17.15" hidden="false" customHeight="false" outlineLevel="0" collapsed="false">
      <c r="A721" s="5" t="s">
        <v>502</v>
      </c>
      <c r="B721" s="0" t="s">
        <v>29</v>
      </c>
      <c r="C721" s="11" t="n">
        <f aca="false">eq25-ai25</f>
        <v>195.87118</v>
      </c>
      <c r="D721" s="11" t="n">
        <f aca="false">C721*(1+g_non)*D717/C717</f>
        <v>207.6234508</v>
      </c>
      <c r="E721" s="11" t="n">
        <f aca="false">D721*(1+g_non)*E717/D717</f>
        <v>220.080857848</v>
      </c>
      <c r="F721" s="11" t="n">
        <f aca="false">E721*(1+g_non)*F717/E717</f>
        <v>233.28570931888</v>
      </c>
      <c r="G721" s="11" t="n">
        <f aca="false">F721*(1+g_non)*G717/F717</f>
        <v>247.282851878013</v>
      </c>
    </row>
    <row r="722" customFormat="false" ht="15" hidden="false" customHeight="false" outlineLevel="0" collapsed="false">
      <c r="A722" s="5" t="s">
        <v>503</v>
      </c>
      <c r="B722" s="0" t="s">
        <v>29</v>
      </c>
      <c r="C722" s="11" t="n">
        <f aca="false">C720+C721</f>
        <v>270.87118</v>
      </c>
      <c r="D722" s="11" t="n">
        <f aca="false">D720+D721</f>
        <v>309.434568034035</v>
      </c>
      <c r="E722" s="11" t="n">
        <f aca="false">E720+E721</f>
        <v>310.534916658259</v>
      </c>
      <c r="F722" s="11" t="n">
        <f aca="false">F720+F721</f>
        <v>310.559558100418</v>
      </c>
      <c r="G722" s="11" t="n">
        <f aca="false">G720+G721</f>
        <v>283.215474878316</v>
      </c>
    </row>
    <row r="723" customFormat="false" ht="17.15" hidden="false" customHeight="false" outlineLevel="0" collapsed="false">
      <c r="A723" s="0" t="s">
        <v>504</v>
      </c>
      <c r="B723" s="0" t="s">
        <v>76</v>
      </c>
      <c r="C723" s="19" t="n">
        <f aca="false">w_hbm*(0.75*C709+0.25*D709)/(0.75*C709+0.25*D709)+(1-w_hbm)*(0.75*C711+0.25*D711)/(0.75*C711+0.25*D711)</f>
        <v>1</v>
      </c>
      <c r="D723" s="19" t="n">
        <f aca="false">w_hbm*(0.75*D709+0.25*E709)/(0.75*C709+0.25*D709)+(1-w_hbm)*(0.75*D711+0.25*E711)/(0.75*C711+0.25*D711)</f>
        <v>1.65212184085657</v>
      </c>
      <c r="E723" s="19" t="n">
        <f aca="false">w_hbm*(0.75*E709+0.25*F709)/(0.75*C709+0.25*D709)+(1-w_hbm)*(0.75*E711+0.25*F711)/(0.75*C711+0.25*D711)</f>
        <v>2.52516730417954</v>
      </c>
      <c r="F723" s="19" t="n">
        <f aca="false">w_hbm*(0.75*F709+0.25*G709)/(0.75*C709+0.25*D709)+(1-w_hbm)*(0.75*F711+0.25*G711)/(0.75*C711+0.25*D711)</f>
        <v>3.16911970169284</v>
      </c>
      <c r="G723" s="19" t="n">
        <f aca="false">w_hbm*(0.75*G709+0.25*H709)/(0.75*C709+0.25*D709)+(1-w_hbm)*(0.75*G711+0.25*H711)/(0.75*C711+0.25*D711)</f>
        <v>3.5866243979124</v>
      </c>
      <c r="J723" s="8" t="s">
        <v>505</v>
      </c>
    </row>
    <row r="724" customFormat="false" ht="17.15" hidden="false" customHeight="false" outlineLevel="0" collapsed="false">
      <c r="A724" s="0" t="s">
        <v>506</v>
      </c>
      <c r="B724" s="0" t="s">
        <v>29</v>
      </c>
      <c r="C724" s="11" t="n">
        <f aca="false">tl25*w_tlai*C723</f>
        <v>25.4032258064516</v>
      </c>
      <c r="D724" s="11" t="n">
        <f aca="false">tl25*w_tlai*D723</f>
        <v>41.9692241830499</v>
      </c>
      <c r="E724" s="11" t="n">
        <f aca="false">tl25*w_tlai*E723</f>
        <v>64.1473952271414</v>
      </c>
      <c r="F724" s="11" t="n">
        <f aca="false">tl25*w_tlai*F723</f>
        <v>80.5058633897778</v>
      </c>
      <c r="G724" s="11" t="n">
        <f aca="false">tl25*w_tlai*G723</f>
        <v>91.1118294630973</v>
      </c>
      <c r="J724" s="5" t="s">
        <v>507</v>
      </c>
    </row>
    <row r="725" customFormat="false" ht="17.15" hidden="false" customHeight="false" outlineLevel="0" collapsed="false">
      <c r="A725" s="5" t="s">
        <v>508</v>
      </c>
      <c r="B725" s="0" t="s">
        <v>29</v>
      </c>
      <c r="C725" s="11" t="n">
        <f aca="false">tl25*(1-w_tlai)</f>
        <v>66.3434641935484</v>
      </c>
      <c r="D725" s="11" t="n">
        <f aca="false">C725*(1+g_tl)</f>
        <v>69.6606374032258</v>
      </c>
      <c r="E725" s="11" t="n">
        <f aca="false">D725*(1+g_tl)</f>
        <v>73.1436692733871</v>
      </c>
      <c r="F725" s="11" t="n">
        <f aca="false">E725*(1+g_tl)</f>
        <v>76.8008527370565</v>
      </c>
      <c r="G725" s="11" t="n">
        <f aca="false">F725*(1+g_tl)</f>
        <v>80.6408953739093</v>
      </c>
    </row>
    <row r="726" customFormat="false" ht="15" hidden="false" customHeight="false" outlineLevel="0" collapsed="false">
      <c r="A726" s="5" t="s">
        <v>509</v>
      </c>
      <c r="B726" s="0" t="s">
        <v>29</v>
      </c>
      <c r="C726" s="11" t="n">
        <f aca="false">C724+C725</f>
        <v>91.74669</v>
      </c>
      <c r="D726" s="11" t="n">
        <f aca="false">D724+D725</f>
        <v>111.629861586276</v>
      </c>
      <c r="E726" s="11" t="n">
        <f aca="false">E724+E725</f>
        <v>137.291064500529</v>
      </c>
      <c r="F726" s="11" t="n">
        <f aca="false">F724+F725</f>
        <v>157.306716126834</v>
      </c>
      <c r="G726" s="11" t="n">
        <f aca="false">G724+G725</f>
        <v>171.752724837007</v>
      </c>
    </row>
    <row r="727" customFormat="false" ht="15" hidden="false" customHeight="false" outlineLevel="0" collapsed="false">
      <c r="A727" s="5" t="s">
        <v>393</v>
      </c>
      <c r="B727" s="0" t="s">
        <v>29</v>
      </c>
      <c r="C727" s="11" t="n">
        <f aca="false">r_ot*(C722+C726)</f>
        <v>74.27113</v>
      </c>
      <c r="D727" s="11" t="n">
        <f aca="false">r_ot*(D722+D726)</f>
        <v>86.2421120909071</v>
      </c>
      <c r="E727" s="11" t="n">
        <f aca="false">r_ot*(E722+E726)</f>
        <v>91.7233937313179</v>
      </c>
      <c r="F727" s="11" t="n">
        <f aca="false">r_ot*(F722+F726)</f>
        <v>95.828032070642</v>
      </c>
      <c r="G727" s="11" t="n">
        <f aca="false">r_ot*(G722+G726)</f>
        <v>93.1862577730179</v>
      </c>
    </row>
    <row r="728" customFormat="false" ht="15" hidden="false" customHeight="false" outlineLevel="0" collapsed="false">
      <c r="A728" s="5" t="s">
        <v>363</v>
      </c>
      <c r="B728" s="0" t="s">
        <v>29</v>
      </c>
      <c r="C728" s="11" t="n">
        <f aca="false">C722+C726+C727</f>
        <v>436.889</v>
      </c>
      <c r="D728" s="11" t="n">
        <f aca="false">D722+D726+D727</f>
        <v>507.306541711218</v>
      </c>
      <c r="E728" s="11" t="n">
        <f aca="false">E722+E726+E727</f>
        <v>539.549374890105</v>
      </c>
      <c r="F728" s="11" t="n">
        <f aca="false">F722+F726+F727</f>
        <v>563.694306297894</v>
      </c>
      <c r="G728" s="11" t="n">
        <f aca="false">G722+G726+G727</f>
        <v>548.154457488341</v>
      </c>
    </row>
    <row r="729" customFormat="false" ht="17.15" hidden="false" customHeight="false" outlineLevel="0" collapsed="false">
      <c r="A729" s="0" t="s">
        <v>510</v>
      </c>
      <c r="B729" s="0" t="s">
        <v>56</v>
      </c>
      <c r="C729" s="14" t="n">
        <f aca="false">(C720+C724)*(1+r_ot)/C728</f>
        <v>0.276884384673187</v>
      </c>
      <c r="D729" s="14" t="n">
        <f aca="false">(D720+D724)*(1+r_ot)/D728</f>
        <v>0.341468742792492</v>
      </c>
      <c r="E729" s="14" t="n">
        <f aca="false">(E720+E724)*(1+r_ot)/E728</f>
        <v>0.345226629409388</v>
      </c>
      <c r="F729" s="14" t="n">
        <f aca="false">(F720+F724)*(1+r_ot)/F728</f>
        <v>0.337232497537702</v>
      </c>
      <c r="G729" s="14" t="n">
        <f aca="false">(G720+G724)*(1+r_ot)/G728</f>
        <v>0.279238092998353</v>
      </c>
    </row>
    <row r="730" customFormat="false" ht="17.15" hidden="false" customHeight="false" outlineLevel="0" collapsed="false">
      <c r="A730" s="0" t="s">
        <v>511</v>
      </c>
      <c r="B730" s="0" t="s">
        <v>56</v>
      </c>
      <c r="C730" s="14" t="n">
        <f aca="false">C720*(1+r_ot)/C728</f>
        <v>0.206829299394429</v>
      </c>
      <c r="D730" s="14" t="n">
        <f aca="false">D720*(1+r_ot)/D728</f>
        <v>0.241794628261147</v>
      </c>
      <c r="E730" s="14" t="n">
        <f aca="false">E720*(1+r_ot)/E728</f>
        <v>0.20198483923644</v>
      </c>
      <c r="F730" s="14" t="n">
        <f aca="false">F720*(1+r_ot)/F728</f>
        <v>0.165162254768558</v>
      </c>
      <c r="G730" s="14" t="n">
        <f aca="false">G720*(1+r_ot)/G728</f>
        <v>0.0789783176555781</v>
      </c>
      <c r="J730" s="5" t="s">
        <v>512</v>
      </c>
    </row>
    <row r="731" customFormat="false" ht="17.15" hidden="false" customHeight="false" outlineLevel="0" collapsed="false">
      <c r="A731" s="5" t="s">
        <v>401</v>
      </c>
      <c r="B731" s="0" t="s">
        <v>56</v>
      </c>
      <c r="C731" s="14" t="n">
        <f aca="false">a25_gp/a25_rev</f>
        <v>0.701498549974936</v>
      </c>
      <c r="D731" s="14" t="n">
        <f aca="false">gm_a+gm_b*LN(D728)+0</f>
        <v>0.719463492058136</v>
      </c>
      <c r="E731" s="14" t="n">
        <f aca="false">gm_a+gm_b*LN(E728)+0</f>
        <v>0.726477317954067</v>
      </c>
      <c r="F731" s="14" t="n">
        <f aca="false">gm_a+gm_b*LN(F728)+0</f>
        <v>0.731460367361177</v>
      </c>
      <c r="G731" s="14" t="n">
        <f aca="false">gm_a+gm_b*LN(G728)+0</f>
        <v>0.728278363762077</v>
      </c>
      <c r="J731" s="8" t="s">
        <v>513</v>
      </c>
    </row>
    <row r="732" customFormat="false" ht="15" hidden="false" customHeight="false" outlineLevel="0" collapsed="false">
      <c r="A732" s="5" t="s">
        <v>398</v>
      </c>
      <c r="B732" s="0" t="s">
        <v>29</v>
      </c>
      <c r="C732" s="11" t="n">
        <f aca="false">C728*C731</f>
        <v>306.477</v>
      </c>
      <c r="D732" s="11" t="n">
        <f aca="false">D728*D731</f>
        <v>364.98853604349</v>
      </c>
      <c r="E732" s="11" t="n">
        <f aca="false">E728*E731</f>
        <v>391.970382773957</v>
      </c>
      <c r="F732" s="11" t="n">
        <f aca="false">F728*F731</f>
        <v>412.320044364061</v>
      </c>
      <c r="G732" s="11" t="n">
        <f aca="false">G728*G731</f>
        <v>399.209031388497</v>
      </c>
    </row>
    <row r="733" customFormat="false" ht="17.15" hidden="false" customHeight="false" outlineLevel="0" collapsed="false">
      <c r="A733" s="5" t="s">
        <v>399</v>
      </c>
      <c r="B733" s="0" t="s">
        <v>29</v>
      </c>
      <c r="C733" s="11" t="n">
        <f aca="false">a25_sga</f>
        <v>121.487</v>
      </c>
      <c r="D733" s="11" t="n">
        <f aca="false">sg_f+sg_v*D728</f>
        <v>136.15078964545</v>
      </c>
      <c r="E733" s="11" t="n">
        <f aca="false">sg_f+sg_v*E728</f>
        <v>144.287817826287</v>
      </c>
      <c r="F733" s="11" t="n">
        <f aca="false">sg_f+sg_v*F728</f>
        <v>150.381202554593</v>
      </c>
      <c r="G733" s="11" t="n">
        <f aca="false">sg_f+sg_v*G728</f>
        <v>146.459456999923</v>
      </c>
      <c r="J733" s="5" t="s">
        <v>514</v>
      </c>
    </row>
    <row r="734" customFormat="false" ht="15" hidden="false" customHeight="false" outlineLevel="0" collapsed="false">
      <c r="A734" s="5" t="s">
        <v>367</v>
      </c>
      <c r="B734" s="0" t="s">
        <v>29</v>
      </c>
      <c r="C734" s="11" t="n">
        <f aca="false">C732-C733</f>
        <v>184.99</v>
      </c>
      <c r="D734" s="11" t="n">
        <f aca="false">D732-D733</f>
        <v>228.837746398039</v>
      </c>
      <c r="E734" s="11" t="n">
        <f aca="false">E732-E733</f>
        <v>247.68256494767</v>
      </c>
      <c r="F734" s="11" t="n">
        <f aca="false">F732-F733</f>
        <v>261.938841809469</v>
      </c>
      <c r="G734" s="11" t="n">
        <f aca="false">G732-G733</f>
        <v>252.749574388575</v>
      </c>
    </row>
    <row r="735" customFormat="false" ht="15" hidden="false" customHeight="false" outlineLevel="0" collapsed="false">
      <c r="A735" s="5" t="s">
        <v>515</v>
      </c>
      <c r="B735" s="0" t="s">
        <v>56</v>
      </c>
      <c r="C735" s="14" t="n">
        <f aca="false">C734/C728</f>
        <v>0.423425629851061</v>
      </c>
      <c r="D735" s="14" t="n">
        <f aca="false">D734/D728</f>
        <v>0.451083768062869</v>
      </c>
      <c r="E735" s="14" t="n">
        <f aca="false">E734/E728</f>
        <v>0.459054493387408</v>
      </c>
      <c r="F735" s="14" t="n">
        <f aca="false">F734/F728</f>
        <v>0.464682433160931</v>
      </c>
      <c r="G735" s="14" t="n">
        <f aca="false">G734/G728</f>
        <v>0.461091889221664</v>
      </c>
    </row>
    <row r="736" customFormat="false" ht="15" hidden="false" customHeight="false" outlineLevel="0" collapsed="false">
      <c r="A736" s="5" t="s">
        <v>370</v>
      </c>
      <c r="B736" s="0" t="s">
        <v>29</v>
      </c>
      <c r="C736" s="11" t="n">
        <f aca="false">a25_ni</f>
        <v>135.521</v>
      </c>
      <c r="D736" s="11" t="n">
        <f aca="false">D734*nioi</f>
        <v>167.644131432727</v>
      </c>
      <c r="E736" s="11" t="n">
        <f aca="false">E734*nioi</f>
        <v>181.449647731882</v>
      </c>
      <c r="F736" s="11" t="n">
        <f aca="false">F734*nioi</f>
        <v>191.8936465458</v>
      </c>
      <c r="G736" s="11" t="n">
        <f aca="false">G734*nioi</f>
        <v>185.161685671657</v>
      </c>
    </row>
    <row r="737" customFormat="false" ht="15" hidden="false" customHeight="false" outlineLevel="0" collapsed="false">
      <c r="A737" s="0" t="s">
        <v>459</v>
      </c>
      <c r="B737" s="0" t="s">
        <v>51</v>
      </c>
      <c r="C737" s="11" t="n">
        <f aca="false">a25_eps</f>
        <v>1249.84</v>
      </c>
      <c r="D737" s="11" t="n">
        <f aca="false">D736*1000/shares</f>
        <v>1545.37951653183</v>
      </c>
      <c r="E737" s="11" t="n">
        <f aca="false">E736*1000/shares</f>
        <v>1672.64172321648</v>
      </c>
      <c r="F737" s="11" t="n">
        <f aca="false">F736*1000/shares</f>
        <v>1768.91674161275</v>
      </c>
      <c r="G737" s="11" t="n">
        <f aca="false">G736*1000/shares</f>
        <v>1706.86008414383</v>
      </c>
    </row>
    <row r="738" customFormat="false" ht="17.15" hidden="false" customHeight="false" outlineLevel="0" collapsed="false">
      <c r="A738" s="5" t="s">
        <v>516</v>
      </c>
      <c r="B738" s="0" t="s">
        <v>29</v>
      </c>
      <c r="C738" s="16" t="n">
        <f aca="false">ABS(C728-a25_rev)+ABS(C734-a25_oi)</f>
        <v>0.000999999999976353</v>
      </c>
    </row>
    <row r="740" customFormat="false" ht="17.15" hidden="false" customHeight="false" outlineLevel="0" collapsed="false">
      <c r="A740" s="3" t="s">
        <v>728</v>
      </c>
    </row>
    <row r="741" customFormat="false" ht="17.15" hidden="false" customHeight="false" outlineLevel="0" collapsed="false">
      <c r="A741" s="6" t="s">
        <v>18</v>
      </c>
      <c r="B741" s="6" t="s">
        <v>19</v>
      </c>
      <c r="C741" s="9" t="s">
        <v>464</v>
      </c>
      <c r="D741" s="9" t="s">
        <v>465</v>
      </c>
      <c r="E741" s="9" t="s">
        <v>466</v>
      </c>
      <c r="F741" s="9" t="s">
        <v>467</v>
      </c>
      <c r="G741" s="9" t="s">
        <v>468</v>
      </c>
      <c r="H741" s="9" t="s">
        <v>469</v>
      </c>
      <c r="I741" s="9" t="s">
        <v>470</v>
      </c>
      <c r="J741" s="6" t="s">
        <v>450</v>
      </c>
    </row>
    <row r="742" customFormat="false" ht="17.15" hidden="false" customHeight="false" outlineLevel="0" collapsed="false">
      <c r="A742" s="1" t="s">
        <v>471</v>
      </c>
    </row>
    <row r="743" customFormat="false" ht="17.15" hidden="false" customHeight="false" outlineLevel="0" collapsed="false">
      <c r="A743" s="0" t="s">
        <v>472</v>
      </c>
      <c r="B743" s="0" t="s">
        <v>96</v>
      </c>
      <c r="C743" s="19" t="n">
        <f aca="false">hsA_25</f>
        <v>2.22511470588235</v>
      </c>
      <c r="D743" s="19" t="n">
        <f aca="false">hsA_26</f>
        <v>3.782695</v>
      </c>
      <c r="E743" s="19" t="n">
        <f aca="false">hsA_27</f>
        <v>5.86317725</v>
      </c>
      <c r="F743" s="19" t="n">
        <f aca="false">hsA_28</f>
        <v>8.5016070125</v>
      </c>
      <c r="G743" s="19" t="n">
        <f aca="false">hsA_29</f>
        <v>11.477169466875</v>
      </c>
      <c r="H743" s="19" t="n">
        <f aca="false">G743*(1+g_tail_hi)</f>
        <v>13.77260336025</v>
      </c>
      <c r="I743" s="19" t="n">
        <f aca="false">H743*(1+g_tail_hi)</f>
        <v>16.5271240323</v>
      </c>
      <c r="J743" s="8" t="s">
        <v>473</v>
      </c>
    </row>
    <row r="744" customFormat="false" ht="17.15" hidden="false" customHeight="false" outlineLevel="0" collapsed="false">
      <c r="A744" s="0" t="s">
        <v>474</v>
      </c>
      <c r="B744" s="0" t="s">
        <v>475</v>
      </c>
      <c r="C744" s="19" t="n">
        <f aca="false">den_25</f>
        <v>24</v>
      </c>
      <c r="D744" s="19" t="n">
        <f aca="false">den_26</f>
        <v>24</v>
      </c>
      <c r="E744" s="19" t="n">
        <f aca="false">den_27</f>
        <v>26</v>
      </c>
      <c r="F744" s="19" t="n">
        <f aca="false">den_28</f>
        <v>28</v>
      </c>
      <c r="G744" s="19" t="n">
        <f aca="false">den_29</f>
        <v>30</v>
      </c>
      <c r="H744" s="19" t="n">
        <f aca="false">den_30</f>
        <v>32</v>
      </c>
      <c r="I744" s="19" t="n">
        <f aca="false">den_30</f>
        <v>32</v>
      </c>
    </row>
    <row r="745" customFormat="false" ht="15" hidden="false" customHeight="false" outlineLevel="0" collapsed="false">
      <c r="A745" s="5" t="s">
        <v>476</v>
      </c>
      <c r="B745" s="5" t="s">
        <v>148</v>
      </c>
      <c r="C745" s="19" t="n">
        <f aca="false">stk_25</f>
        <v>10</v>
      </c>
      <c r="D745" s="19" t="n">
        <f aca="false">stk_26</f>
        <v>12</v>
      </c>
      <c r="E745" s="19" t="n">
        <f aca="false">stk_27</f>
        <v>12.5</v>
      </c>
      <c r="F745" s="19" t="n">
        <f aca="false">stk_28</f>
        <v>14</v>
      </c>
      <c r="G745" s="19" t="n">
        <f aca="false">stk_29</f>
        <v>15</v>
      </c>
      <c r="H745" s="19" t="n">
        <f aca="false">stk_30</f>
        <v>16</v>
      </c>
      <c r="I745" s="19" t="n">
        <f aca="false">stk_30</f>
        <v>16</v>
      </c>
    </row>
    <row r="746" customFormat="false" ht="17.15" hidden="false" customHeight="false" outlineLevel="0" collapsed="false">
      <c r="A746" s="0" t="s">
        <v>477</v>
      </c>
      <c r="B746" s="5" t="s">
        <v>478</v>
      </c>
      <c r="C746" s="19" t="n">
        <f aca="false">C743*8/C744</f>
        <v>0.741704901960783</v>
      </c>
      <c r="D746" s="19" t="n">
        <f aca="false">D743*8/D744</f>
        <v>1.26089833333333</v>
      </c>
      <c r="E746" s="19" t="n">
        <f aca="false">E743*8/E744</f>
        <v>1.80405453846154</v>
      </c>
      <c r="F746" s="19" t="n">
        <f aca="false">F743*8/F744</f>
        <v>2.429030575</v>
      </c>
      <c r="G746" s="19" t="n">
        <f aca="false">G743*8/G744</f>
        <v>3.0605785245</v>
      </c>
      <c r="H746" s="19" t="n">
        <f aca="false">H743*8/H744</f>
        <v>3.4431508400625</v>
      </c>
      <c r="I746" s="19" t="n">
        <f aca="false">I743*8/I744</f>
        <v>4.131781008075</v>
      </c>
      <c r="J746" s="8" t="s">
        <v>479</v>
      </c>
    </row>
    <row r="747" customFormat="false" ht="17.15" hidden="false" customHeight="false" outlineLevel="0" collapsed="false">
      <c r="A747" s="0" t="s">
        <v>480</v>
      </c>
      <c r="B747" s="5" t="s">
        <v>481</v>
      </c>
      <c r="C747" s="19" t="n">
        <f aca="false">C746*(1+s_stk/C745)</f>
        <v>0.964216372549018</v>
      </c>
      <c r="D747" s="19" t="n">
        <f aca="false">D746*(1+s_stk/D745)</f>
        <v>1.57612291666667</v>
      </c>
      <c r="E747" s="19" t="n">
        <f aca="false">E746*(1+s_stk/E745)</f>
        <v>2.23702762769231</v>
      </c>
      <c r="F747" s="19" t="n">
        <f aca="false">F746*(1+s_stk/F745)</f>
        <v>2.94953712678571</v>
      </c>
      <c r="G747" s="19" t="n">
        <f aca="false">G746*(1+s_stk/G745)</f>
        <v>3.6726942294</v>
      </c>
      <c r="H747" s="19" t="n">
        <f aca="false">H746*(1+s_stk/H745)</f>
        <v>4.08874162257422</v>
      </c>
      <c r="I747" s="19" t="n">
        <f aca="false">I746*(1+s_stk/I745)</f>
        <v>4.90648994708906</v>
      </c>
      <c r="J747" s="5" t="s">
        <v>482</v>
      </c>
    </row>
    <row r="748" customFormat="false" ht="17.15" hidden="false" customHeight="false" outlineLevel="0" collapsed="false">
      <c r="A748" s="5" t="s">
        <v>483</v>
      </c>
      <c r="B748" s="0" t="s">
        <v>56</v>
      </c>
      <c r="C748" s="22" t="n">
        <f aca="false">hbp_25*hb_on</f>
        <v>0</v>
      </c>
      <c r="D748" s="22" t="n">
        <f aca="false">hbp_26*hb_on</f>
        <v>0</v>
      </c>
      <c r="E748" s="22" t="n">
        <f aca="false">hbp_27*hb_on</f>
        <v>0</v>
      </c>
      <c r="F748" s="22" t="n">
        <f aca="false">hbp_28*hb_on</f>
        <v>0.05</v>
      </c>
      <c r="G748" s="22" t="n">
        <f aca="false">hbp_29*hb_on</f>
        <v>0.15</v>
      </c>
      <c r="H748" s="22" t="n">
        <f aca="false">hbp_30*hb_on</f>
        <v>0.25</v>
      </c>
      <c r="I748" s="22" t="n">
        <f aca="false">hbp_30*hb_on</f>
        <v>0.25</v>
      </c>
    </row>
    <row r="749" customFormat="false" ht="17.15" hidden="false" customHeight="false" outlineLevel="0" collapsed="false">
      <c r="A749" s="0" t="s">
        <v>484</v>
      </c>
      <c r="B749" s="5" t="s">
        <v>481</v>
      </c>
      <c r="C749" s="19" t="n">
        <f aca="false">C747*(1+C748*hb_eff)</f>
        <v>0.964216372549018</v>
      </c>
      <c r="D749" s="19" t="n">
        <f aca="false">D747*(1+D748*hb_eff)</f>
        <v>1.57612291666667</v>
      </c>
      <c r="E749" s="19" t="n">
        <f aca="false">E747*(1+E748*hb_eff)</f>
        <v>2.23702762769231</v>
      </c>
      <c r="F749" s="19" t="n">
        <f aca="false">F747*(1+F748*hb_eff)</f>
        <v>2.96428481241964</v>
      </c>
      <c r="G749" s="19" t="n">
        <f aca="false">G747*(1+G748*hb_eff)</f>
        <v>3.727784642841</v>
      </c>
      <c r="H749" s="19" t="n">
        <f aca="false">H747*(1+H748*hb_eff)</f>
        <v>4.19096016313857</v>
      </c>
      <c r="I749" s="19" t="n">
        <f aca="false">I747*(1+I748*hb_eff)</f>
        <v>5.02915219576629</v>
      </c>
      <c r="J749" s="5" t="s">
        <v>485</v>
      </c>
    </row>
    <row r="750" customFormat="false" ht="17.15" hidden="false" customHeight="false" outlineLevel="0" collapsed="false">
      <c r="A750" s="0" t="s">
        <v>486</v>
      </c>
      <c r="B750" s="5" t="s">
        <v>481</v>
      </c>
      <c r="C750" s="19" t="n">
        <f aca="false">MAX(0,D749-C749)+dlt*C749</f>
        <v>0.70832818137255</v>
      </c>
      <c r="D750" s="19" t="n">
        <f aca="false">MAX(0,E749-D749)+dlt*D749</f>
        <v>0.818517002692307</v>
      </c>
      <c r="E750" s="19" t="n">
        <f aca="false">MAX(0,F749-E749)+dlt*E749</f>
        <v>0.950959947496565</v>
      </c>
      <c r="F750" s="19" t="n">
        <f aca="false">MAX(0,G749-F749)+dlt*F749</f>
        <v>1.05992831166332</v>
      </c>
      <c r="G750" s="19" t="n">
        <f aca="false">MAX(0,H749-G749)+dlt*G749</f>
        <v>0.835953984581674</v>
      </c>
      <c r="H750" s="19" t="n">
        <f aca="false">MAX(0,I749-H749)+dlt*H749</f>
        <v>1.25728804894157</v>
      </c>
      <c r="J750" s="5" t="s">
        <v>487</v>
      </c>
    </row>
    <row r="751" customFormat="false" ht="17.15" hidden="false" customHeight="false" outlineLevel="0" collapsed="false">
      <c r="A751" s="0" t="s">
        <v>488</v>
      </c>
      <c r="B751" s="5" t="s">
        <v>177</v>
      </c>
      <c r="C751" s="21" t="n">
        <f aca="false">cw_25</f>
        <v>670</v>
      </c>
      <c r="D751" s="21" t="n">
        <f aca="false">cw_26</f>
        <v>1107.85762580894</v>
      </c>
      <c r="E751" s="21" t="n">
        <f aca="false">cw_27</f>
        <v>2096.42857142857</v>
      </c>
      <c r="F751" s="21" t="n">
        <f aca="false">cw_28*um28_A</f>
        <v>2620.08928571429</v>
      </c>
      <c r="G751" s="21" t="n">
        <f aca="false">cw_29*um29_A</f>
        <v>3013.32589285714</v>
      </c>
      <c r="H751" s="21" t="n">
        <f aca="false">G751*(1+g_tail_hi)</f>
        <v>3615.99107142857</v>
      </c>
      <c r="I751" s="21" t="n">
        <f aca="false">H751*(1+g_tail_hi)</f>
        <v>4339.18928571428</v>
      </c>
      <c r="J751" s="5" t="s">
        <v>489</v>
      </c>
    </row>
    <row r="752" customFormat="false" ht="15" hidden="false" customHeight="false" outlineLevel="0" collapsed="false">
      <c r="A752" s="5" t="s">
        <v>490</v>
      </c>
      <c r="B752" s="5" t="s">
        <v>177</v>
      </c>
      <c r="C752" s="21" t="n">
        <f aca="false">MAX(0,D751-C751)+dlt*C751</f>
        <v>504.85762580894</v>
      </c>
      <c r="D752" s="21" t="n">
        <f aca="false">MAX(0,E751-D751)+dlt*D751</f>
        <v>1099.35670820052</v>
      </c>
      <c r="E752" s="21" t="n">
        <f aca="false">MAX(0,F751-E751)+dlt*E751</f>
        <v>733.303571428577</v>
      </c>
      <c r="F752" s="21" t="n">
        <f aca="false">MAX(0,G751-F751)+dlt*F751</f>
        <v>655.245535714279</v>
      </c>
      <c r="G752" s="21" t="n">
        <f aca="false">MAX(0,H751-G751)+dlt*G751</f>
        <v>903.997767857142</v>
      </c>
      <c r="H752" s="21" t="n">
        <f aca="false">MAX(0,I751-H751)+dlt*H751</f>
        <v>1084.79732142857</v>
      </c>
    </row>
    <row r="753" customFormat="false" ht="17.15" hidden="false" customHeight="false" outlineLevel="0" collapsed="false">
      <c r="A753" s="1" t="s">
        <v>491</v>
      </c>
    </row>
    <row r="754" customFormat="false" ht="17.15" hidden="false" customHeight="false" outlineLevel="0" collapsed="false">
      <c r="A754" s="0" t="s">
        <v>492</v>
      </c>
      <c r="B754" s="0" t="s">
        <v>493</v>
      </c>
      <c r="C754" s="16" t="n">
        <f aca="false">ai25*w_hbm/(0.75*C750+0.25*D750)</f>
        <v>48.9213264236471</v>
      </c>
      <c r="J754" s="5" t="s">
        <v>494</v>
      </c>
    </row>
    <row r="755" customFormat="false" ht="17.15" hidden="false" customHeight="false" outlineLevel="0" collapsed="false">
      <c r="A755" s="5" t="s">
        <v>495</v>
      </c>
      <c r="B755" s="0" t="s">
        <v>496</v>
      </c>
      <c r="C755" s="18" t="n">
        <f aca="false">ai25*(1-w_hbm)/(0.75*C752+0.25*D752)</f>
        <v>0.0596802610360141</v>
      </c>
    </row>
    <row r="756" customFormat="false" ht="17.15" hidden="false" customHeight="false" outlineLevel="0" collapsed="false">
      <c r="A756" s="1" t="s">
        <v>497</v>
      </c>
    </row>
    <row r="757" customFormat="false" ht="17.15" hidden="false" customHeight="false" outlineLevel="0" collapsed="false">
      <c r="A757" s="5" t="s">
        <v>498</v>
      </c>
      <c r="B757" s="0" t="s">
        <v>76</v>
      </c>
      <c r="C757" s="16" t="n">
        <f aca="false">1-sh_loss/sh*0</f>
        <v>1</v>
      </c>
      <c r="D757" s="16" t="n">
        <f aca="false">1-sh_loss/sh*0.25</f>
        <v>1</v>
      </c>
      <c r="E757" s="16" t="n">
        <f aca="false">1-sh_loss/sh*0.5</f>
        <v>1</v>
      </c>
      <c r="F757" s="16" t="n">
        <f aca="false">1-sh_loss/sh*0.75</f>
        <v>1</v>
      </c>
      <c r="G757" s="16" t="n">
        <f aca="false">1-sh_loss/sh*1</f>
        <v>1</v>
      </c>
    </row>
    <row r="758" customFormat="false" ht="17.15" hidden="false" customHeight="false" outlineLevel="0" collapsed="false">
      <c r="A758" s="0" t="s">
        <v>499</v>
      </c>
      <c r="B758" s="0" t="s">
        <v>29</v>
      </c>
      <c r="C758" s="11" t="n">
        <f aca="false">$C$754*(0.75*C750+0.25*D750)*C757</f>
        <v>36</v>
      </c>
      <c r="D758" s="11" t="n">
        <f aca="false">$C$754*(0.75*D750+0.25*E750)*D757</f>
        <v>41.6627586058351</v>
      </c>
      <c r="E758" s="11" t="n">
        <f aca="false">$C$754*(0.75*E750+0.25*F750)*E757</f>
        <v>47.8549412356069</v>
      </c>
      <c r="F758" s="11" t="n">
        <f aca="false">$C$754*(0.75*F750+0.25*G750)*F757</f>
        <v>49.113818629127</v>
      </c>
      <c r="G758" s="11" t="n">
        <f aca="false">$C$754*(0.75*G750+0.25*H750)*G757</f>
        <v>46.0490330788566</v>
      </c>
    </row>
    <row r="759" customFormat="false" ht="17.15" hidden="false" customHeight="false" outlineLevel="0" collapsed="false">
      <c r="A759" s="5" t="s">
        <v>500</v>
      </c>
      <c r="B759" s="0" t="s">
        <v>29</v>
      </c>
      <c r="C759" s="11" t="n">
        <f aca="false">$C$755*(0.75*C752+0.25*D752)*C757</f>
        <v>39</v>
      </c>
      <c r="D759" s="11" t="n">
        <f aca="false">$C$755*(0.75*D752+0.25*E752)*D757</f>
        <v>60.1483586282001</v>
      </c>
      <c r="E759" s="11" t="n">
        <f aca="false">$C$755*(0.75*E752+0.25*F752)*E757</f>
        <v>42.5991175746519</v>
      </c>
      <c r="F759" s="11" t="n">
        <f aca="false">$C$755*(0.75*F752+0.25*G752)*F757</f>
        <v>42.8166241510054</v>
      </c>
      <c r="G759" s="11" t="n">
        <f aca="false">$C$755*(0.75*G752+0.25*H752)*G757</f>
        <v>56.6483638997727</v>
      </c>
    </row>
    <row r="760" customFormat="false" ht="17.15" hidden="false" customHeight="false" outlineLevel="0" collapsed="false">
      <c r="A760" s="0" t="s">
        <v>501</v>
      </c>
      <c r="B760" s="0" t="s">
        <v>29</v>
      </c>
      <c r="C760" s="11" t="n">
        <f aca="false">C758+C759</f>
        <v>75</v>
      </c>
      <c r="D760" s="11" t="n">
        <f aca="false">D758+D759</f>
        <v>101.811117234035</v>
      </c>
      <c r="E760" s="11" t="n">
        <f aca="false">E758+E759</f>
        <v>90.4540588102588</v>
      </c>
      <c r="F760" s="11" t="n">
        <f aca="false">F758+F759</f>
        <v>91.9304427801324</v>
      </c>
      <c r="G760" s="11" t="n">
        <f aca="false">G758+G759</f>
        <v>102.697396978629</v>
      </c>
    </row>
    <row r="761" customFormat="false" ht="17.15" hidden="false" customHeight="false" outlineLevel="0" collapsed="false">
      <c r="A761" s="5" t="s">
        <v>502</v>
      </c>
      <c r="B761" s="0" t="s">
        <v>29</v>
      </c>
      <c r="C761" s="11" t="n">
        <f aca="false">eq25-ai25</f>
        <v>195.87118</v>
      </c>
      <c r="D761" s="11" t="n">
        <f aca="false">C761*(1+g_non)*D757/C757</f>
        <v>207.6234508</v>
      </c>
      <c r="E761" s="11" t="n">
        <f aca="false">D761*(1+g_non)*E757/D757</f>
        <v>220.080857848</v>
      </c>
      <c r="F761" s="11" t="n">
        <f aca="false">E761*(1+g_non)*F757/E757</f>
        <v>233.28570931888</v>
      </c>
      <c r="G761" s="11" t="n">
        <f aca="false">F761*(1+g_non)*G757/F757</f>
        <v>247.282851878013</v>
      </c>
    </row>
    <row r="762" customFormat="false" ht="15" hidden="false" customHeight="false" outlineLevel="0" collapsed="false">
      <c r="A762" s="5" t="s">
        <v>503</v>
      </c>
      <c r="B762" s="0" t="s">
        <v>29</v>
      </c>
      <c r="C762" s="11" t="n">
        <f aca="false">C760+C761</f>
        <v>270.87118</v>
      </c>
      <c r="D762" s="11" t="n">
        <f aca="false">D760+D761</f>
        <v>309.434568034035</v>
      </c>
      <c r="E762" s="11" t="n">
        <f aca="false">E760+E761</f>
        <v>310.534916658259</v>
      </c>
      <c r="F762" s="11" t="n">
        <f aca="false">F760+F761</f>
        <v>325.216152099012</v>
      </c>
      <c r="G762" s="11" t="n">
        <f aca="false">G760+G761</f>
        <v>349.980248856642</v>
      </c>
    </row>
    <row r="763" customFormat="false" ht="17.15" hidden="false" customHeight="false" outlineLevel="0" collapsed="false">
      <c r="A763" s="0" t="s">
        <v>504</v>
      </c>
      <c r="B763" s="0" t="s">
        <v>76</v>
      </c>
      <c r="C763" s="19" t="n">
        <f aca="false">w_hbm*(0.75*C749+0.25*D749)/(0.75*C749+0.25*D749)+(1-w_hbm)*(0.75*C751+0.25*D751)/(0.75*C751+0.25*D751)</f>
        <v>1</v>
      </c>
      <c r="D763" s="19" t="n">
        <f aca="false">w_hbm*(0.75*D749+0.25*E749)/(0.75*C749+0.25*D749)+(1-w_hbm)*(0.75*D751+0.25*E751)/(0.75*C751+0.25*D751)</f>
        <v>1.65212184085657</v>
      </c>
      <c r="E763" s="19" t="n">
        <f aca="false">w_hbm*(0.75*E749+0.25*F749)/(0.75*C749+0.25*D749)+(1-w_hbm)*(0.75*E751+0.25*F751)/(0.75*C751+0.25*D751)</f>
        <v>2.52516730417954</v>
      </c>
      <c r="F763" s="19" t="n">
        <f aca="false">w_hbm*(0.75*F749+0.25*G749)/(0.75*C749+0.25*D749)+(1-w_hbm)*(0.75*F751+0.25*G751)/(0.75*C751+0.25*D751)</f>
        <v>3.16911970169284</v>
      </c>
      <c r="G763" s="19" t="n">
        <f aca="false">w_hbm*(0.75*G749+0.25*H749)/(0.75*C749+0.25*D749)+(1-w_hbm)*(0.75*G751+0.25*H751)/(0.75*C751+0.25*D751)</f>
        <v>3.76216422179002</v>
      </c>
      <c r="J763" s="8" t="s">
        <v>505</v>
      </c>
    </row>
    <row r="764" customFormat="false" ht="17.15" hidden="false" customHeight="false" outlineLevel="0" collapsed="false">
      <c r="A764" s="0" t="s">
        <v>506</v>
      </c>
      <c r="B764" s="0" t="s">
        <v>29</v>
      </c>
      <c r="C764" s="11" t="n">
        <f aca="false">tl25*w_tlai*C763</f>
        <v>25.4032258064516</v>
      </c>
      <c r="D764" s="11" t="n">
        <f aca="false">tl25*w_tlai*D763</f>
        <v>41.9692241830499</v>
      </c>
      <c r="E764" s="11" t="n">
        <f aca="false">tl25*w_tlai*E763</f>
        <v>64.1473952271414</v>
      </c>
      <c r="F764" s="11" t="n">
        <f aca="false">tl25*w_tlai*F763</f>
        <v>80.5058633897778</v>
      </c>
      <c r="G764" s="11" t="n">
        <f aca="false">tl25*w_tlai*G763</f>
        <v>95.5711072470853</v>
      </c>
      <c r="J764" s="5" t="s">
        <v>507</v>
      </c>
    </row>
    <row r="765" customFormat="false" ht="17.15" hidden="false" customHeight="false" outlineLevel="0" collapsed="false">
      <c r="A765" s="5" t="s">
        <v>508</v>
      </c>
      <c r="B765" s="0" t="s">
        <v>29</v>
      </c>
      <c r="C765" s="11" t="n">
        <f aca="false">tl25*(1-w_tlai)</f>
        <v>66.3434641935484</v>
      </c>
      <c r="D765" s="11" t="n">
        <f aca="false">C765*(1+g_tl)</f>
        <v>69.6606374032258</v>
      </c>
      <c r="E765" s="11" t="n">
        <f aca="false">D765*(1+g_tl)</f>
        <v>73.1436692733871</v>
      </c>
      <c r="F765" s="11" t="n">
        <f aca="false">E765*(1+g_tl)</f>
        <v>76.8008527370565</v>
      </c>
      <c r="G765" s="11" t="n">
        <f aca="false">F765*(1+g_tl)</f>
        <v>80.6408953739093</v>
      </c>
    </row>
    <row r="766" customFormat="false" ht="15" hidden="false" customHeight="false" outlineLevel="0" collapsed="false">
      <c r="A766" s="5" t="s">
        <v>509</v>
      </c>
      <c r="B766" s="0" t="s">
        <v>29</v>
      </c>
      <c r="C766" s="11" t="n">
        <f aca="false">C764+C765</f>
        <v>91.74669</v>
      </c>
      <c r="D766" s="11" t="n">
        <f aca="false">D764+D765</f>
        <v>111.629861586276</v>
      </c>
      <c r="E766" s="11" t="n">
        <f aca="false">E764+E765</f>
        <v>137.291064500529</v>
      </c>
      <c r="F766" s="11" t="n">
        <f aca="false">F764+F765</f>
        <v>157.306716126834</v>
      </c>
      <c r="G766" s="11" t="n">
        <f aca="false">G764+G765</f>
        <v>176.212002620995</v>
      </c>
    </row>
    <row r="767" customFormat="false" ht="15" hidden="false" customHeight="false" outlineLevel="0" collapsed="false">
      <c r="A767" s="5" t="s">
        <v>393</v>
      </c>
      <c r="B767" s="0" t="s">
        <v>29</v>
      </c>
      <c r="C767" s="11" t="n">
        <f aca="false">r_ot*(C762+C766)</f>
        <v>74.27113</v>
      </c>
      <c r="D767" s="11" t="n">
        <f aca="false">r_ot*(D762+D766)</f>
        <v>86.2421120909071</v>
      </c>
      <c r="E767" s="11" t="n">
        <f aca="false">r_ot*(E762+E766)</f>
        <v>91.7233937313179</v>
      </c>
      <c r="F767" s="11" t="n">
        <f aca="false">r_ot*(F762+F766)</f>
        <v>98.829985058306</v>
      </c>
      <c r="G767" s="11" t="n">
        <f aca="false">r_ot*(G762+G766)</f>
        <v>107.774316567709</v>
      </c>
    </row>
    <row r="768" customFormat="false" ht="15" hidden="false" customHeight="false" outlineLevel="0" collapsed="false">
      <c r="A768" s="5" t="s">
        <v>363</v>
      </c>
      <c r="B768" s="0" t="s">
        <v>29</v>
      </c>
      <c r="C768" s="11" t="n">
        <f aca="false">C762+C766+C767</f>
        <v>436.889</v>
      </c>
      <c r="D768" s="11" t="n">
        <f aca="false">D762+D766+D767</f>
        <v>507.306541711218</v>
      </c>
      <c r="E768" s="11" t="n">
        <f aca="false">E762+E766+E767</f>
        <v>539.549374890105</v>
      </c>
      <c r="F768" s="11" t="n">
        <f aca="false">F762+F766+F767</f>
        <v>581.352853284153</v>
      </c>
      <c r="G768" s="11" t="n">
        <f aca="false">G762+G766+G767</f>
        <v>633.966568045346</v>
      </c>
    </row>
    <row r="769" customFormat="false" ht="17.15" hidden="false" customHeight="false" outlineLevel="0" collapsed="false">
      <c r="A769" s="0" t="s">
        <v>510</v>
      </c>
      <c r="B769" s="0" t="s">
        <v>56</v>
      </c>
      <c r="C769" s="14" t="n">
        <f aca="false">(C760+C764)*(1+r_ot)/C768</f>
        <v>0.276884384673187</v>
      </c>
      <c r="D769" s="14" t="n">
        <f aca="false">(D760+D764)*(1+r_ot)/D768</f>
        <v>0.341468742792492</v>
      </c>
      <c r="E769" s="14" t="n">
        <f aca="false">(E760+E764)*(1+r_ot)/E768</f>
        <v>0.345226629409388</v>
      </c>
      <c r="F769" s="14" t="n">
        <f aca="false">(F760+F764)*(1+r_ot)/F768</f>
        <v>0.357364008060237</v>
      </c>
      <c r="G769" s="14" t="n">
        <f aca="false">(G760+G764)*(1+r_ot)/G768</f>
        <v>0.376798601022617</v>
      </c>
    </row>
    <row r="770" customFormat="false" ht="17.15" hidden="false" customHeight="false" outlineLevel="0" collapsed="false">
      <c r="A770" s="0" t="s">
        <v>511</v>
      </c>
      <c r="B770" s="0" t="s">
        <v>56</v>
      </c>
      <c r="C770" s="14" t="n">
        <f aca="false">C760*(1+r_ot)/C768</f>
        <v>0.206829299394429</v>
      </c>
      <c r="D770" s="14" t="n">
        <f aca="false">D760*(1+r_ot)/D768</f>
        <v>0.241794628261147</v>
      </c>
      <c r="E770" s="14" t="n">
        <f aca="false">E760*(1+r_ot)/E768</f>
        <v>0.20198483923644</v>
      </c>
      <c r="F770" s="14" t="n">
        <f aca="false">F760*(1+r_ot)/F768</f>
        <v>0.190520385320067</v>
      </c>
      <c r="G770" s="14" t="n">
        <f aca="false">G760*(1+r_ot)/G768</f>
        <v>0.195170865192784</v>
      </c>
      <c r="J770" s="5" t="s">
        <v>512</v>
      </c>
    </row>
    <row r="771" customFormat="false" ht="17.15" hidden="false" customHeight="false" outlineLevel="0" collapsed="false">
      <c r="A771" s="5" t="s">
        <v>401</v>
      </c>
      <c r="B771" s="0" t="s">
        <v>56</v>
      </c>
      <c r="C771" s="14" t="n">
        <f aca="false">a25_gp/a25_rev</f>
        <v>0.701498549974936</v>
      </c>
      <c r="D771" s="14" t="n">
        <f aca="false">gm_a+gm_b*LN(D768)+0</f>
        <v>0.719463492058136</v>
      </c>
      <c r="E771" s="14" t="n">
        <f aca="false">gm_a+gm_b*LN(E768)+0</f>
        <v>0.726477317954067</v>
      </c>
      <c r="F771" s="14" t="n">
        <f aca="false">gm_a+gm_b*LN(F768)+0</f>
        <v>0.734971419976213</v>
      </c>
      <c r="G771" s="14" t="n">
        <f aca="false">gm_a+gm_b*LN(G768)+0</f>
        <v>0.74483311075646</v>
      </c>
      <c r="J771" s="8" t="s">
        <v>513</v>
      </c>
    </row>
    <row r="772" customFormat="false" ht="15" hidden="false" customHeight="false" outlineLevel="0" collapsed="false">
      <c r="A772" s="5" t="s">
        <v>398</v>
      </c>
      <c r="B772" s="0" t="s">
        <v>29</v>
      </c>
      <c r="C772" s="11" t="n">
        <f aca="false">C768*C771</f>
        <v>306.477</v>
      </c>
      <c r="D772" s="11" t="n">
        <f aca="false">D768*D771</f>
        <v>364.98853604349</v>
      </c>
      <c r="E772" s="11" t="n">
        <f aca="false">E768*E771</f>
        <v>391.970382773957</v>
      </c>
      <c r="F772" s="11" t="n">
        <f aca="false">F768*F771</f>
        <v>427.277732085477</v>
      </c>
      <c r="G772" s="11" t="n">
        <f aca="false">G768*G771</f>
        <v>472.199290992812</v>
      </c>
    </row>
    <row r="773" customFormat="false" ht="17.15" hidden="false" customHeight="false" outlineLevel="0" collapsed="false">
      <c r="A773" s="5" t="s">
        <v>399</v>
      </c>
      <c r="B773" s="0" t="s">
        <v>29</v>
      </c>
      <c r="C773" s="11" t="n">
        <f aca="false">a25_sga</f>
        <v>121.487</v>
      </c>
      <c r="D773" s="11" t="n">
        <f aca="false">sg_f+sg_v*D768</f>
        <v>136.15078964545</v>
      </c>
      <c r="E773" s="11" t="n">
        <f aca="false">sg_f+sg_v*E768</f>
        <v>144.287817826287</v>
      </c>
      <c r="F773" s="11" t="n">
        <f aca="false">sg_f+sg_v*F768</f>
        <v>154.837637684304</v>
      </c>
      <c r="G773" s="11" t="n">
        <f aca="false">sg_f+sg_v*G768</f>
        <v>168.115604832385</v>
      </c>
      <c r="J773" s="5" t="s">
        <v>514</v>
      </c>
    </row>
    <row r="774" customFormat="false" ht="15" hidden="false" customHeight="false" outlineLevel="0" collapsed="false">
      <c r="A774" s="5" t="s">
        <v>367</v>
      </c>
      <c r="B774" s="0" t="s">
        <v>29</v>
      </c>
      <c r="C774" s="11" t="n">
        <f aca="false">C772-C773</f>
        <v>184.99</v>
      </c>
      <c r="D774" s="11" t="n">
        <f aca="false">D772-D773</f>
        <v>228.837746398039</v>
      </c>
      <c r="E774" s="11" t="n">
        <f aca="false">E772-E773</f>
        <v>247.68256494767</v>
      </c>
      <c r="F774" s="11" t="n">
        <f aca="false">F772-F773</f>
        <v>272.440094401173</v>
      </c>
      <c r="G774" s="11" t="n">
        <f aca="false">G772-G773</f>
        <v>304.083686160427</v>
      </c>
    </row>
    <row r="775" customFormat="false" ht="15" hidden="false" customHeight="false" outlineLevel="0" collapsed="false">
      <c r="A775" s="5" t="s">
        <v>515</v>
      </c>
      <c r="B775" s="0" t="s">
        <v>56</v>
      </c>
      <c r="C775" s="14" t="n">
        <f aca="false">C774/C768</f>
        <v>0.423425629851061</v>
      </c>
      <c r="D775" s="14" t="n">
        <f aca="false">D774/D768</f>
        <v>0.451083768062869</v>
      </c>
      <c r="E775" s="14" t="n">
        <f aca="false">E774/E768</f>
        <v>0.459054493387408</v>
      </c>
      <c r="F775" s="14" t="n">
        <f aca="false">F774/F768</f>
        <v>0.468631215727447</v>
      </c>
      <c r="G775" s="14" t="n">
        <f aca="false">G774/G768</f>
        <v>0.479652558175081</v>
      </c>
    </row>
    <row r="776" customFormat="false" ht="15" hidden="false" customHeight="false" outlineLevel="0" collapsed="false">
      <c r="A776" s="5" t="s">
        <v>370</v>
      </c>
      <c r="B776" s="0" t="s">
        <v>29</v>
      </c>
      <c r="C776" s="11" t="n">
        <f aca="false">a25_ni</f>
        <v>135.521</v>
      </c>
      <c r="D776" s="11" t="n">
        <f aca="false">D774*nioi</f>
        <v>167.644131432727</v>
      </c>
      <c r="E776" s="11" t="n">
        <f aca="false">E774*nioi</f>
        <v>181.449647731882</v>
      </c>
      <c r="F776" s="11" t="n">
        <f aca="false">F774*nioi</f>
        <v>199.586753987217</v>
      </c>
      <c r="G776" s="11" t="n">
        <f aca="false">G774*nioi</f>
        <v>222.768517220738</v>
      </c>
    </row>
    <row r="777" customFormat="false" ht="15" hidden="false" customHeight="false" outlineLevel="0" collapsed="false">
      <c r="A777" s="0" t="s">
        <v>459</v>
      </c>
      <c r="B777" s="0" t="s">
        <v>51</v>
      </c>
      <c r="C777" s="11" t="n">
        <f aca="false">a25_eps</f>
        <v>1249.84</v>
      </c>
      <c r="D777" s="11" t="n">
        <f aca="false">D776*1000/shares</f>
        <v>1545.37951653183</v>
      </c>
      <c r="E777" s="11" t="n">
        <f aca="false">E776*1000/shares</f>
        <v>1672.64172321648</v>
      </c>
      <c r="F777" s="11" t="n">
        <f aca="false">F776*1000/shares</f>
        <v>1839.8334540371</v>
      </c>
      <c r="G777" s="11" t="n">
        <f aca="false">G776*1000/shares</f>
        <v>2053.52791355685</v>
      </c>
    </row>
    <row r="778" customFormat="false" ht="17.15" hidden="false" customHeight="false" outlineLevel="0" collapsed="false">
      <c r="A778" s="5" t="s">
        <v>516</v>
      </c>
      <c r="B778" s="0" t="s">
        <v>29</v>
      </c>
      <c r="C778" s="16" t="n">
        <f aca="false">ABS(C768-a25_rev)+ABS(C774-a25_oi)</f>
        <v>0.000999999999976353</v>
      </c>
    </row>
    <row r="780" customFormat="false" ht="17.15" hidden="false" customHeight="false" outlineLevel="0" collapsed="false">
      <c r="A780" s="3" t="s">
        <v>729</v>
      </c>
    </row>
    <row r="781" customFormat="false" ht="17.15" hidden="false" customHeight="false" outlineLevel="0" collapsed="false">
      <c r="A781" s="6" t="s">
        <v>18</v>
      </c>
      <c r="B781" s="6" t="s">
        <v>19</v>
      </c>
      <c r="C781" s="9" t="s">
        <v>464</v>
      </c>
      <c r="D781" s="9" t="s">
        <v>465</v>
      </c>
      <c r="E781" s="9" t="s">
        <v>466</v>
      </c>
      <c r="F781" s="9" t="s">
        <v>467</v>
      </c>
      <c r="G781" s="9" t="s">
        <v>468</v>
      </c>
      <c r="H781" s="9" t="s">
        <v>469</v>
      </c>
      <c r="I781" s="9" t="s">
        <v>470</v>
      </c>
      <c r="J781" s="6" t="s">
        <v>450</v>
      </c>
    </row>
    <row r="782" customFormat="false" ht="17.15" hidden="false" customHeight="false" outlineLevel="0" collapsed="false">
      <c r="A782" s="1" t="s">
        <v>471</v>
      </c>
    </row>
    <row r="783" customFormat="false" ht="17.15" hidden="false" customHeight="false" outlineLevel="0" collapsed="false">
      <c r="A783" s="0" t="s">
        <v>472</v>
      </c>
      <c r="B783" s="0" t="s">
        <v>96</v>
      </c>
      <c r="C783" s="19" t="n">
        <f aca="false">hsA_25</f>
        <v>2.22511470588235</v>
      </c>
      <c r="D783" s="19" t="n">
        <f aca="false">hsA_26</f>
        <v>3.782695</v>
      </c>
      <c r="E783" s="19" t="n">
        <f aca="false">hsA_27</f>
        <v>5.86317725</v>
      </c>
      <c r="F783" s="19" t="n">
        <f aca="false">hsA_28</f>
        <v>8.5016070125</v>
      </c>
      <c r="G783" s="19" t="n">
        <f aca="false">hsA_29</f>
        <v>11.477169466875</v>
      </c>
      <c r="H783" s="19" t="n">
        <f aca="false">G783*(1+g_tail)</f>
        <v>12.6248864135625</v>
      </c>
      <c r="I783" s="19" t="n">
        <f aca="false">H783*(1+g_tail)</f>
        <v>13.8873750549188</v>
      </c>
      <c r="J783" s="8" t="s">
        <v>473</v>
      </c>
    </row>
    <row r="784" customFormat="false" ht="17.15" hidden="false" customHeight="false" outlineLevel="0" collapsed="false">
      <c r="A784" s="0" t="s">
        <v>474</v>
      </c>
      <c r="B784" s="0" t="s">
        <v>475</v>
      </c>
      <c r="C784" s="19" t="n">
        <f aca="false">den_25</f>
        <v>24</v>
      </c>
      <c r="D784" s="19" t="n">
        <f aca="false">den_26</f>
        <v>24</v>
      </c>
      <c r="E784" s="19" t="n">
        <f aca="false">den_27</f>
        <v>26</v>
      </c>
      <c r="F784" s="19" t="n">
        <f aca="false">den_28</f>
        <v>28</v>
      </c>
      <c r="G784" s="19" t="n">
        <f aca="false">den_29</f>
        <v>30</v>
      </c>
      <c r="H784" s="19" t="n">
        <f aca="false">den_30</f>
        <v>32</v>
      </c>
      <c r="I784" s="19" t="n">
        <f aca="false">den_30</f>
        <v>32</v>
      </c>
    </row>
    <row r="785" customFormat="false" ht="15" hidden="false" customHeight="false" outlineLevel="0" collapsed="false">
      <c r="A785" s="5" t="s">
        <v>476</v>
      </c>
      <c r="B785" s="5" t="s">
        <v>148</v>
      </c>
      <c r="C785" s="19" t="n">
        <f aca="false">stk_25</f>
        <v>10</v>
      </c>
      <c r="D785" s="19" t="n">
        <f aca="false">stk_26</f>
        <v>12</v>
      </c>
      <c r="E785" s="19" t="n">
        <f aca="false">stk_27</f>
        <v>12.5</v>
      </c>
      <c r="F785" s="19" t="n">
        <f aca="false">stk_28</f>
        <v>14</v>
      </c>
      <c r="G785" s="19" t="n">
        <f aca="false">stk_29</f>
        <v>15</v>
      </c>
      <c r="H785" s="19" t="n">
        <f aca="false">stk_30</f>
        <v>16</v>
      </c>
      <c r="I785" s="19" t="n">
        <f aca="false">stk_30</f>
        <v>16</v>
      </c>
    </row>
    <row r="786" customFormat="false" ht="17.15" hidden="false" customHeight="false" outlineLevel="0" collapsed="false">
      <c r="A786" s="0" t="s">
        <v>477</v>
      </c>
      <c r="B786" s="5" t="s">
        <v>478</v>
      </c>
      <c r="C786" s="19" t="n">
        <f aca="false">C783*8/C784</f>
        <v>0.741704901960783</v>
      </c>
      <c r="D786" s="19" t="n">
        <f aca="false">D783*8/D784</f>
        <v>1.26089833333333</v>
      </c>
      <c r="E786" s="19" t="n">
        <f aca="false">E783*8/E784</f>
        <v>1.80405453846154</v>
      </c>
      <c r="F786" s="19" t="n">
        <f aca="false">F783*8/F784</f>
        <v>2.429030575</v>
      </c>
      <c r="G786" s="19" t="n">
        <f aca="false">G783*8/G784</f>
        <v>3.0605785245</v>
      </c>
      <c r="H786" s="19" t="n">
        <f aca="false">H783*8/H784</f>
        <v>3.15622160339063</v>
      </c>
      <c r="I786" s="19" t="n">
        <f aca="false">I783*8/I784</f>
        <v>3.47184376372969</v>
      </c>
      <c r="J786" s="8" t="s">
        <v>479</v>
      </c>
    </row>
    <row r="787" customFormat="false" ht="17.15" hidden="false" customHeight="false" outlineLevel="0" collapsed="false">
      <c r="A787" s="0" t="s">
        <v>480</v>
      </c>
      <c r="B787" s="5" t="s">
        <v>481</v>
      </c>
      <c r="C787" s="19" t="n">
        <f aca="false">C786*(1+s_stk/C785)</f>
        <v>0.964216372549018</v>
      </c>
      <c r="D787" s="19" t="n">
        <f aca="false">D786*(1+s_stk/D785)</f>
        <v>1.57612291666667</v>
      </c>
      <c r="E787" s="19" t="n">
        <f aca="false">E786*(1+s_stk/E785)</f>
        <v>2.23702762769231</v>
      </c>
      <c r="F787" s="19" t="n">
        <f aca="false">F786*(1+s_stk/F785)</f>
        <v>2.94953712678571</v>
      </c>
      <c r="G787" s="19" t="n">
        <f aca="false">G786*(1+s_stk/G785)</f>
        <v>3.6726942294</v>
      </c>
      <c r="H787" s="19" t="n">
        <f aca="false">H786*(1+s_stk/H785)</f>
        <v>3.74801315402637</v>
      </c>
      <c r="I787" s="19" t="n">
        <f aca="false">I786*(1+s_stk/I785)</f>
        <v>4.12281446942901</v>
      </c>
      <c r="J787" s="5" t="s">
        <v>482</v>
      </c>
    </row>
    <row r="788" customFormat="false" ht="17.15" hidden="false" customHeight="false" outlineLevel="0" collapsed="false">
      <c r="A788" s="5" t="s">
        <v>483</v>
      </c>
      <c r="B788" s="0" t="s">
        <v>56</v>
      </c>
      <c r="C788" s="22" t="n">
        <f aca="false">hbp_25*hb_on</f>
        <v>0</v>
      </c>
      <c r="D788" s="22" t="n">
        <f aca="false">hbp_26*hb_on</f>
        <v>0</v>
      </c>
      <c r="E788" s="22" t="n">
        <f aca="false">hbp_27*hb_on</f>
        <v>0</v>
      </c>
      <c r="F788" s="22" t="n">
        <f aca="false">hbp_28*hb_on</f>
        <v>0.05</v>
      </c>
      <c r="G788" s="22" t="n">
        <f aca="false">hbp_29*hb_on</f>
        <v>0.15</v>
      </c>
      <c r="H788" s="22" t="n">
        <f aca="false">hbp_30*hb_on</f>
        <v>0.25</v>
      </c>
      <c r="I788" s="22" t="n">
        <f aca="false">hbp_30*hb_on</f>
        <v>0.25</v>
      </c>
    </row>
    <row r="789" customFormat="false" ht="17.15" hidden="false" customHeight="false" outlineLevel="0" collapsed="false">
      <c r="A789" s="0" t="s">
        <v>484</v>
      </c>
      <c r="B789" s="5" t="s">
        <v>481</v>
      </c>
      <c r="C789" s="19" t="n">
        <f aca="false">C787*(1+C788*hb_eff)</f>
        <v>0.964216372549018</v>
      </c>
      <c r="D789" s="19" t="n">
        <f aca="false">D787*(1+D788*hb_eff)</f>
        <v>1.57612291666667</v>
      </c>
      <c r="E789" s="19" t="n">
        <f aca="false">E787*(1+E788*hb_eff)</f>
        <v>2.23702762769231</v>
      </c>
      <c r="F789" s="19" t="n">
        <f aca="false">F787*(1+F788*hb_eff)</f>
        <v>2.96428481241964</v>
      </c>
      <c r="G789" s="19" t="n">
        <f aca="false">G787*(1+G788*hb_eff)</f>
        <v>3.727784642841</v>
      </c>
      <c r="H789" s="19" t="n">
        <f aca="false">H787*(1+H788*hb_eff)</f>
        <v>3.84171348287703</v>
      </c>
      <c r="I789" s="19" t="n">
        <f aca="false">I787*(1+I788*hb_eff)</f>
        <v>4.22588483116473</v>
      </c>
      <c r="J789" s="5" t="s">
        <v>485</v>
      </c>
    </row>
    <row r="790" customFormat="false" ht="17.15" hidden="false" customHeight="false" outlineLevel="0" collapsed="false">
      <c r="A790" s="0" t="s">
        <v>486</v>
      </c>
      <c r="B790" s="5" t="s">
        <v>481</v>
      </c>
      <c r="C790" s="19" t="n">
        <f aca="false">MAX(0,D789-C789)+dlt*C789</f>
        <v>0.70832818137255</v>
      </c>
      <c r="D790" s="19" t="n">
        <f aca="false">MAX(0,E789-D789)+dlt*D789</f>
        <v>0.818517002692307</v>
      </c>
      <c r="E790" s="19" t="n">
        <f aca="false">MAX(0,F789-E789)+dlt*E789</f>
        <v>0.950959947496565</v>
      </c>
      <c r="F790" s="19" t="n">
        <f aca="false">MAX(0,G789-F789)+dlt*F789</f>
        <v>1.05992831166332</v>
      </c>
      <c r="G790" s="19" t="n">
        <f aca="false">MAX(0,H789-G789)+dlt*G789</f>
        <v>0.486707304320127</v>
      </c>
      <c r="H790" s="19" t="n">
        <f aca="false">MAX(0,I789-H789)+dlt*H789</f>
        <v>0.768342696575406</v>
      </c>
      <c r="J790" s="5" t="s">
        <v>487</v>
      </c>
    </row>
    <row r="791" customFormat="false" ht="17.15" hidden="false" customHeight="false" outlineLevel="0" collapsed="false">
      <c r="A791" s="0" t="s">
        <v>488</v>
      </c>
      <c r="B791" s="5" t="s">
        <v>177</v>
      </c>
      <c r="C791" s="21" t="n">
        <f aca="false">cw_25_lo</f>
        <v>600</v>
      </c>
      <c r="D791" s="21" t="n">
        <f aca="false">cw_26</f>
        <v>1107.85762580894</v>
      </c>
      <c r="E791" s="21" t="n">
        <f aca="false">cw_27</f>
        <v>2096.42857142857</v>
      </c>
      <c r="F791" s="21" t="n">
        <f aca="false">cw_28*um28_A</f>
        <v>2620.08928571429</v>
      </c>
      <c r="G791" s="21" t="n">
        <f aca="false">cw_29*um29_A</f>
        <v>3013.32589285714</v>
      </c>
      <c r="H791" s="21" t="n">
        <f aca="false">G791*(1+g_tail)</f>
        <v>3314.65848214285</v>
      </c>
      <c r="I791" s="21" t="n">
        <f aca="false">H791*(1+g_tail)</f>
        <v>3646.12433035714</v>
      </c>
      <c r="J791" s="5" t="s">
        <v>489</v>
      </c>
    </row>
    <row r="792" customFormat="false" ht="15" hidden="false" customHeight="false" outlineLevel="0" collapsed="false">
      <c r="A792" s="5" t="s">
        <v>490</v>
      </c>
      <c r="B792" s="5" t="s">
        <v>177</v>
      </c>
      <c r="C792" s="21" t="n">
        <f aca="false">MAX(0,D791-C791)+dlt*C791</f>
        <v>567.85762580894</v>
      </c>
      <c r="D792" s="21" t="n">
        <f aca="false">MAX(0,E791-D791)+dlt*D791</f>
        <v>1099.35670820052</v>
      </c>
      <c r="E792" s="21" t="n">
        <f aca="false">MAX(0,F791-E791)+dlt*E791</f>
        <v>733.303571428577</v>
      </c>
      <c r="F792" s="21" t="n">
        <f aca="false">MAX(0,G791-F791)+dlt*F791</f>
        <v>655.245535714279</v>
      </c>
      <c r="G792" s="21" t="n">
        <f aca="false">MAX(0,H791-G791)+dlt*G791</f>
        <v>602.665178571428</v>
      </c>
      <c r="H792" s="21" t="n">
        <f aca="false">MAX(0,I791-H791)+dlt*H791</f>
        <v>662.931696428571</v>
      </c>
    </row>
    <row r="793" customFormat="false" ht="17.15" hidden="false" customHeight="false" outlineLevel="0" collapsed="false">
      <c r="A793" s="1" t="s">
        <v>491</v>
      </c>
    </row>
    <row r="794" customFormat="false" ht="17.15" hidden="false" customHeight="false" outlineLevel="0" collapsed="false">
      <c r="A794" s="0" t="s">
        <v>492</v>
      </c>
      <c r="B794" s="0" t="s">
        <v>493</v>
      </c>
      <c r="C794" s="16" t="n">
        <f aca="false">ai25*w_hbm/(0.75*C790+0.25*D790)</f>
        <v>48.9213264236471</v>
      </c>
      <c r="J794" s="5" t="s">
        <v>494</v>
      </c>
    </row>
    <row r="795" customFormat="false" ht="17.15" hidden="false" customHeight="false" outlineLevel="0" collapsed="false">
      <c r="A795" s="5" t="s">
        <v>495</v>
      </c>
      <c r="B795" s="0" t="s">
        <v>496</v>
      </c>
      <c r="C795" s="18" t="n">
        <f aca="false">ai25*(1-w_hbm)/(0.75*C792+0.25*D792)</f>
        <v>0.0556560538658999</v>
      </c>
    </row>
    <row r="796" customFormat="false" ht="17.15" hidden="false" customHeight="false" outlineLevel="0" collapsed="false">
      <c r="A796" s="1" t="s">
        <v>497</v>
      </c>
    </row>
    <row r="797" customFormat="false" ht="17.15" hidden="false" customHeight="false" outlineLevel="0" collapsed="false">
      <c r="A797" s="5" t="s">
        <v>498</v>
      </c>
      <c r="B797" s="0" t="s">
        <v>76</v>
      </c>
      <c r="C797" s="16" t="n">
        <f aca="false">1-sh_loss/sh*0</f>
        <v>1</v>
      </c>
      <c r="D797" s="16" t="n">
        <f aca="false">1-sh_loss/sh*0.25</f>
        <v>1</v>
      </c>
      <c r="E797" s="16" t="n">
        <f aca="false">1-sh_loss/sh*0.5</f>
        <v>1</v>
      </c>
      <c r="F797" s="16" t="n">
        <f aca="false">1-sh_loss/sh*0.75</f>
        <v>1</v>
      </c>
      <c r="G797" s="16" t="n">
        <f aca="false">1-sh_loss/sh*1</f>
        <v>1</v>
      </c>
    </row>
    <row r="798" customFormat="false" ht="17.15" hidden="false" customHeight="false" outlineLevel="0" collapsed="false">
      <c r="A798" s="0" t="s">
        <v>499</v>
      </c>
      <c r="B798" s="0" t="s">
        <v>29</v>
      </c>
      <c r="C798" s="11" t="n">
        <f aca="false">$C$794*(0.75*C790+0.25*D790)*C797</f>
        <v>36</v>
      </c>
      <c r="D798" s="11" t="n">
        <f aca="false">$C$794*(0.75*D790+0.25*E790)*D797</f>
        <v>41.6627586058351</v>
      </c>
      <c r="E798" s="11" t="n">
        <f aca="false">$C$794*(0.75*E790+0.25*F790)*E797</f>
        <v>47.8549412356069</v>
      </c>
      <c r="F798" s="11" t="n">
        <f aca="false">$C$794*(0.75*F790+0.25*G790)*F797</f>
        <v>44.8424159172644</v>
      </c>
      <c r="G798" s="11" t="n">
        <f aca="false">$C$794*(0.75*G790+0.25*H790)*G797</f>
        <v>27.2548611466613</v>
      </c>
    </row>
    <row r="799" customFormat="false" ht="17.15" hidden="false" customHeight="false" outlineLevel="0" collapsed="false">
      <c r="A799" s="5" t="s">
        <v>500</v>
      </c>
      <c r="B799" s="0" t="s">
        <v>29</v>
      </c>
      <c r="C799" s="11" t="n">
        <f aca="false">$C$795*(0.75*C792+0.25*D792)*C797</f>
        <v>39</v>
      </c>
      <c r="D799" s="11" t="n">
        <f aca="false">$C$795*(0.75*D792+0.25*E792)*D797</f>
        <v>56.0925878949565</v>
      </c>
      <c r="E799" s="11" t="n">
        <f aca="false">$C$795*(0.75*E792+0.25*F792)*E797</f>
        <v>39.7266825113903</v>
      </c>
      <c r="F799" s="11" t="n">
        <f aca="false">$C$795*(0.75*F792+0.25*G792)*F797</f>
        <v>35.7367770337467</v>
      </c>
      <c r="G799" s="11" t="n">
        <f aca="false">$C$795*(0.75*G792+0.25*H792)*G797</f>
        <v>34.3805147827155</v>
      </c>
    </row>
    <row r="800" customFormat="false" ht="17.15" hidden="false" customHeight="false" outlineLevel="0" collapsed="false">
      <c r="A800" s="0" t="s">
        <v>501</v>
      </c>
      <c r="B800" s="0" t="s">
        <v>29</v>
      </c>
      <c r="C800" s="11" t="n">
        <f aca="false">C798+C799</f>
        <v>75</v>
      </c>
      <c r="D800" s="11" t="n">
        <f aca="false">D798+D799</f>
        <v>97.7553465007916</v>
      </c>
      <c r="E800" s="11" t="n">
        <f aca="false">E798+E799</f>
        <v>87.5816237469973</v>
      </c>
      <c r="F800" s="11" t="n">
        <f aca="false">F798+F799</f>
        <v>80.5791929510111</v>
      </c>
      <c r="G800" s="11" t="n">
        <f aca="false">G798+G799</f>
        <v>61.6353759293768</v>
      </c>
    </row>
    <row r="801" customFormat="false" ht="17.15" hidden="false" customHeight="false" outlineLevel="0" collapsed="false">
      <c r="A801" s="5" t="s">
        <v>502</v>
      </c>
      <c r="B801" s="0" t="s">
        <v>29</v>
      </c>
      <c r="C801" s="11" t="n">
        <f aca="false">eq25-ai25</f>
        <v>195.87118</v>
      </c>
      <c r="D801" s="11" t="n">
        <f aca="false">C801*(1+g_non)*D797/C797</f>
        <v>207.6234508</v>
      </c>
      <c r="E801" s="11" t="n">
        <f aca="false">D801*(1+g_non)*E797/D797</f>
        <v>220.080857848</v>
      </c>
      <c r="F801" s="11" t="n">
        <f aca="false">E801*(1+g_non)*F797/E797</f>
        <v>233.28570931888</v>
      </c>
      <c r="G801" s="11" t="n">
        <f aca="false">F801*(1+g_non)*G797/F797</f>
        <v>247.282851878013</v>
      </c>
    </row>
    <row r="802" customFormat="false" ht="15" hidden="false" customHeight="false" outlineLevel="0" collapsed="false">
      <c r="A802" s="5" t="s">
        <v>503</v>
      </c>
      <c r="B802" s="0" t="s">
        <v>29</v>
      </c>
      <c r="C802" s="11" t="n">
        <f aca="false">C800+C801</f>
        <v>270.87118</v>
      </c>
      <c r="D802" s="11" t="n">
        <f aca="false">D800+D801</f>
        <v>305.378797300792</v>
      </c>
      <c r="E802" s="11" t="n">
        <f aca="false">E800+E801</f>
        <v>307.662481594997</v>
      </c>
      <c r="F802" s="11" t="n">
        <f aca="false">F800+F801</f>
        <v>313.864902269891</v>
      </c>
      <c r="G802" s="11" t="n">
        <f aca="false">G800+G801</f>
        <v>308.91822780739</v>
      </c>
    </row>
    <row r="803" customFormat="false" ht="17.15" hidden="false" customHeight="false" outlineLevel="0" collapsed="false">
      <c r="A803" s="0" t="s">
        <v>504</v>
      </c>
      <c r="B803" s="0" t="s">
        <v>76</v>
      </c>
      <c r="C803" s="19" t="n">
        <f aca="false">w_hbm*(0.75*C789+0.25*D789)/(0.75*C789+0.25*D789)+(1-w_hbm)*(0.75*C791+0.25*D791)/(0.75*C791+0.25*D791)</f>
        <v>1</v>
      </c>
      <c r="D803" s="19" t="n">
        <f aca="false">w_hbm*(0.75*D789+0.25*E789)/(0.75*C789+0.25*D789)+(1-w_hbm)*(0.75*D791+0.25*E791)/(0.75*C791+0.25*D791)</f>
        <v>1.71740371630409</v>
      </c>
      <c r="E803" s="19" t="n">
        <f aca="false">w_hbm*(0.75*E789+0.25*F789)/(0.75*C789+0.25*D789)+(1-w_hbm)*(0.75*E791+0.25*F791)/(0.75*C791+0.25*D791)</f>
        <v>2.63247736941727</v>
      </c>
      <c r="F803" s="19" t="n">
        <f aca="false">w_hbm*(0.75*F789+0.25*G789)/(0.75*C789+0.25*D789)+(1-w_hbm)*(0.75*F791+0.25*G791)/(0.75*C791+0.25*D791)</f>
        <v>3.30008804174825</v>
      </c>
      <c r="G803" s="19" t="n">
        <f aca="false">w_hbm*(0.75*G789+0.25*H789)/(0.75*C789+0.25*D789)+(1-w_hbm)*(0.75*G791+0.25*H791)/(0.75*C791+0.25*D791)</f>
        <v>3.82320124775592</v>
      </c>
      <c r="J803" s="8" t="s">
        <v>505</v>
      </c>
    </row>
    <row r="804" customFormat="false" ht="17.15" hidden="false" customHeight="false" outlineLevel="0" collapsed="false">
      <c r="A804" s="0" t="s">
        <v>506</v>
      </c>
      <c r="B804" s="0" t="s">
        <v>29</v>
      </c>
      <c r="C804" s="11" t="n">
        <f aca="false">tl25*w_tlai*C803</f>
        <v>25.4032258064516</v>
      </c>
      <c r="D804" s="11" t="n">
        <f aca="false">tl25*w_tlai*D803</f>
        <v>43.6275944061121</v>
      </c>
      <c r="E804" s="11" t="n">
        <f aca="false">tl25*w_tlai*E803</f>
        <v>66.8734170456807</v>
      </c>
      <c r="F804" s="11" t="n">
        <f aca="false">tl25*w_tlai*F803</f>
        <v>83.8328817057014</v>
      </c>
      <c r="G804" s="11" t="n">
        <f aca="false">tl25*w_tlai*G803</f>
        <v>97.1216446002512</v>
      </c>
      <c r="J804" s="5" t="s">
        <v>507</v>
      </c>
    </row>
    <row r="805" customFormat="false" ht="17.15" hidden="false" customHeight="false" outlineLevel="0" collapsed="false">
      <c r="A805" s="5" t="s">
        <v>508</v>
      </c>
      <c r="B805" s="0" t="s">
        <v>29</v>
      </c>
      <c r="C805" s="11" t="n">
        <f aca="false">tl25*(1-w_tlai)</f>
        <v>66.3434641935484</v>
      </c>
      <c r="D805" s="11" t="n">
        <f aca="false">C805*(1+g_tl)</f>
        <v>69.6606374032258</v>
      </c>
      <c r="E805" s="11" t="n">
        <f aca="false">D805*(1+g_tl)</f>
        <v>73.1436692733871</v>
      </c>
      <c r="F805" s="11" t="n">
        <f aca="false">E805*(1+g_tl)</f>
        <v>76.8008527370565</v>
      </c>
      <c r="G805" s="11" t="n">
        <f aca="false">F805*(1+g_tl)</f>
        <v>80.6408953739093</v>
      </c>
    </row>
    <row r="806" customFormat="false" ht="15" hidden="false" customHeight="false" outlineLevel="0" collapsed="false">
      <c r="A806" s="5" t="s">
        <v>509</v>
      </c>
      <c r="B806" s="0" t="s">
        <v>29</v>
      </c>
      <c r="C806" s="11" t="n">
        <f aca="false">C804+C805</f>
        <v>91.74669</v>
      </c>
      <c r="D806" s="11" t="n">
        <f aca="false">D804+D805</f>
        <v>113.288231809338</v>
      </c>
      <c r="E806" s="11" t="n">
        <f aca="false">E804+E805</f>
        <v>140.017086319068</v>
      </c>
      <c r="F806" s="11" t="n">
        <f aca="false">F804+F805</f>
        <v>160.633734442758</v>
      </c>
      <c r="G806" s="11" t="n">
        <f aca="false">G804+G805</f>
        <v>177.76253997416</v>
      </c>
    </row>
    <row r="807" customFormat="false" ht="15" hidden="false" customHeight="false" outlineLevel="0" collapsed="false">
      <c r="A807" s="5" t="s">
        <v>393</v>
      </c>
      <c r="B807" s="0" t="s">
        <v>29</v>
      </c>
      <c r="C807" s="11" t="n">
        <f aca="false">r_ot*(C802+C806)</f>
        <v>74.27113</v>
      </c>
      <c r="D807" s="11" t="n">
        <f aca="false">r_ot*(D802+D806)</f>
        <v>85.7510782514724</v>
      </c>
      <c r="E807" s="11" t="n">
        <f aca="false">r_ot*(E802+E806)</f>
        <v>91.6934054763748</v>
      </c>
      <c r="F807" s="11" t="n">
        <f aca="false">r_ot*(F802+F806)</f>
        <v>97.1864677604221</v>
      </c>
      <c r="G807" s="11" t="n">
        <f aca="false">r_ot*(G802+G806)</f>
        <v>99.6816030395946</v>
      </c>
    </row>
    <row r="808" customFormat="false" ht="15" hidden="false" customHeight="false" outlineLevel="0" collapsed="false">
      <c r="A808" s="5" t="s">
        <v>363</v>
      </c>
      <c r="B808" s="0" t="s">
        <v>29</v>
      </c>
      <c r="C808" s="11" t="n">
        <f aca="false">C802+C806+C807</f>
        <v>436.889</v>
      </c>
      <c r="D808" s="11" t="n">
        <f aca="false">D802+D806+D807</f>
        <v>504.418107361602</v>
      </c>
      <c r="E808" s="11" t="n">
        <f aca="false">E802+E806+E807</f>
        <v>539.37297339044</v>
      </c>
      <c r="F808" s="11" t="n">
        <f aca="false">F802+F806+F807</f>
        <v>571.685104473071</v>
      </c>
      <c r="G808" s="11" t="n">
        <f aca="false">G802+G806+G807</f>
        <v>586.362370821145</v>
      </c>
    </row>
    <row r="809" customFormat="false" ht="17.15" hidden="false" customHeight="false" outlineLevel="0" collapsed="false">
      <c r="A809" s="0" t="s">
        <v>510</v>
      </c>
      <c r="B809" s="0" t="s">
        <v>56</v>
      </c>
      <c r="C809" s="14" t="n">
        <f aca="false">(C800+C804)*(1+r_ot)/C808</f>
        <v>0.276884384673187</v>
      </c>
      <c r="D809" s="14" t="n">
        <f aca="false">(D800+D804)*(1+r_ot)/D808</f>
        <v>0.337697814913706</v>
      </c>
      <c r="E809" s="14" t="n">
        <f aca="false">(E800+E804)*(1+r_ot)/E808</f>
        <v>0.345012486302092</v>
      </c>
      <c r="F809" s="14" t="n">
        <f aca="false">(F800+F804)*(1+r_ot)/F808</f>
        <v>0.346496411023998</v>
      </c>
      <c r="G809" s="14" t="n">
        <f aca="false">(G800+G804)*(1+r_ot)/G808</f>
        <v>0.326203604168076</v>
      </c>
    </row>
    <row r="810" customFormat="false" ht="17.15" hidden="false" customHeight="false" outlineLevel="0" collapsed="false">
      <c r="A810" s="0" t="s">
        <v>511</v>
      </c>
      <c r="B810" s="0" t="s">
        <v>56</v>
      </c>
      <c r="C810" s="14" t="n">
        <f aca="false">C800*(1+r_ot)/C808</f>
        <v>0.206829299394429</v>
      </c>
      <c r="D810" s="14" t="n">
        <f aca="false">D800*(1+r_ot)/D808</f>
        <v>0.233491867531506</v>
      </c>
      <c r="E810" s="14" t="n">
        <f aca="false">E800*(1+r_ot)/E808</f>
        <v>0.195634623565865</v>
      </c>
      <c r="F810" s="14" t="n">
        <f aca="false">F800*(1+r_ot)/F808</f>
        <v>0.169819651135919</v>
      </c>
      <c r="G810" s="14" t="n">
        <f aca="false">G800*(1+r_ot)/G808</f>
        <v>0.126644363224647</v>
      </c>
      <c r="J810" s="5" t="s">
        <v>512</v>
      </c>
    </row>
    <row r="811" customFormat="false" ht="17.15" hidden="false" customHeight="false" outlineLevel="0" collapsed="false">
      <c r="A811" s="5" t="s">
        <v>401</v>
      </c>
      <c r="B811" s="0" t="s">
        <v>56</v>
      </c>
      <c r="C811" s="14" t="n">
        <f aca="false">a25_gp/a25_rev</f>
        <v>0.701498549974936</v>
      </c>
      <c r="D811" s="14" t="n">
        <f aca="false">gm_a+gm_b*LN(D808)+0</f>
        <v>0.718813552960025</v>
      </c>
      <c r="E811" s="14" t="n">
        <f aca="false">gm_a+gm_b*LN(E808)+0</f>
        <v>0.72644009735136</v>
      </c>
      <c r="F811" s="14" t="n">
        <f aca="false">gm_a+gm_b*LN(F808)+0</f>
        <v>0.733062607589848</v>
      </c>
      <c r="G811" s="14" t="n">
        <f aca="false">gm_a+gm_b*LN(G808)+0</f>
        <v>0.735948056443556</v>
      </c>
      <c r="J811" s="8" t="s">
        <v>513</v>
      </c>
    </row>
    <row r="812" customFormat="false" ht="15" hidden="false" customHeight="false" outlineLevel="0" collapsed="false">
      <c r="A812" s="5" t="s">
        <v>398</v>
      </c>
      <c r="B812" s="0" t="s">
        <v>29</v>
      </c>
      <c r="C812" s="11" t="n">
        <f aca="false">C808*C811</f>
        <v>306.477</v>
      </c>
      <c r="D812" s="11" t="n">
        <f aca="false">D808*D811</f>
        <v>362.582571929964</v>
      </c>
      <c r="E812" s="11" t="n">
        <f aca="false">E808*E811</f>
        <v>391.822155298444</v>
      </c>
      <c r="F812" s="11" t="n">
        <f aca="false">F808*F811</f>
        <v>419.080973405304</v>
      </c>
      <c r="G812" s="11" t="n">
        <f aca="false">G808*G811</f>
        <v>431.532247177457</v>
      </c>
    </row>
    <row r="813" customFormat="false" ht="17.15" hidden="false" customHeight="false" outlineLevel="0" collapsed="false">
      <c r="A813" s="5" t="s">
        <v>399</v>
      </c>
      <c r="B813" s="0" t="s">
        <v>29</v>
      </c>
      <c r="C813" s="11" t="n">
        <f aca="false">a25_sga</f>
        <v>121.487</v>
      </c>
      <c r="D813" s="11" t="n">
        <f aca="false">sg_f+sg_v*D808</f>
        <v>135.4218440354</v>
      </c>
      <c r="E813" s="11" t="n">
        <f aca="false">sg_f+sg_v*E808</f>
        <v>144.243299903003</v>
      </c>
      <c r="F813" s="11" t="n">
        <f aca="false">sg_f+sg_v*F808</f>
        <v>152.397816590278</v>
      </c>
      <c r="G813" s="11" t="n">
        <f aca="false">sg_f+sg_v*G808</f>
        <v>156.101874767464</v>
      </c>
      <c r="J813" s="5" t="s">
        <v>514</v>
      </c>
    </row>
    <row r="814" customFormat="false" ht="15" hidden="false" customHeight="false" outlineLevel="0" collapsed="false">
      <c r="A814" s="5" t="s">
        <v>367</v>
      </c>
      <c r="B814" s="0" t="s">
        <v>29</v>
      </c>
      <c r="C814" s="11" t="n">
        <f aca="false">C812-C813</f>
        <v>184.99</v>
      </c>
      <c r="D814" s="11" t="n">
        <f aca="false">D812-D813</f>
        <v>227.160727894564</v>
      </c>
      <c r="E814" s="11" t="n">
        <f aca="false">E812-E813</f>
        <v>247.578855395441</v>
      </c>
      <c r="F814" s="11" t="n">
        <f aca="false">F812-F813</f>
        <v>266.683156815027</v>
      </c>
      <c r="G814" s="11" t="n">
        <f aca="false">G812-G813</f>
        <v>275.430372409993</v>
      </c>
    </row>
    <row r="815" customFormat="false" ht="15" hidden="false" customHeight="false" outlineLevel="0" collapsed="false">
      <c r="A815" s="5" t="s">
        <v>515</v>
      </c>
      <c r="B815" s="0" t="s">
        <v>56</v>
      </c>
      <c r="C815" s="14" t="n">
        <f aca="false">C814/C808</f>
        <v>0.423425629851061</v>
      </c>
      <c r="D815" s="14" t="n">
        <f aca="false">D814/D808</f>
        <v>0.450342135976731</v>
      </c>
      <c r="E815" s="14" t="n">
        <f aca="false">E814/E808</f>
        <v>0.459012348800473</v>
      </c>
      <c r="F815" s="14" t="n">
        <f aca="false">F814/F808</f>
        <v>0.466486103500688</v>
      </c>
      <c r="G815" s="14" t="n">
        <f aca="false">G814/G808</f>
        <v>0.469727230320525</v>
      </c>
    </row>
    <row r="816" customFormat="false" ht="15" hidden="false" customHeight="false" outlineLevel="0" collapsed="false">
      <c r="A816" s="5" t="s">
        <v>370</v>
      </c>
      <c r="B816" s="0" t="s">
        <v>29</v>
      </c>
      <c r="C816" s="11" t="n">
        <f aca="false">a25_ni</f>
        <v>135.521</v>
      </c>
      <c r="D816" s="11" t="n">
        <f aca="false">D814*nioi</f>
        <v>166.41556527685</v>
      </c>
      <c r="E816" s="11" t="n">
        <f aca="false">E814*nioi</f>
        <v>181.373671202318</v>
      </c>
      <c r="F816" s="11" t="n">
        <f aca="false">F814*nioi</f>
        <v>195.369281928813</v>
      </c>
      <c r="G816" s="11" t="n">
        <f aca="false">G814*nioi</f>
        <v>201.777400274474</v>
      </c>
    </row>
    <row r="817" customFormat="false" ht="15" hidden="false" customHeight="false" outlineLevel="0" collapsed="false">
      <c r="A817" s="0" t="s">
        <v>459</v>
      </c>
      <c r="B817" s="0" t="s">
        <v>51</v>
      </c>
      <c r="C817" s="11" t="n">
        <f aca="false">a25_eps</f>
        <v>1249.84</v>
      </c>
      <c r="D817" s="11" t="n">
        <f aca="false">D816*1000/shares</f>
        <v>1534.05433052162</v>
      </c>
      <c r="E817" s="11" t="n">
        <f aca="false">E816*1000/shares</f>
        <v>1671.94135529115</v>
      </c>
      <c r="F817" s="11" t="n">
        <f aca="false">F816*1000/shares</f>
        <v>1800.95589312935</v>
      </c>
      <c r="G817" s="11" t="n">
        <f aca="false">G816*1000/shares</f>
        <v>1860.02730079666</v>
      </c>
    </row>
    <row r="818" customFormat="false" ht="17.15" hidden="false" customHeight="false" outlineLevel="0" collapsed="false">
      <c r="A818" s="5" t="s">
        <v>516</v>
      </c>
      <c r="B818" s="0" t="s">
        <v>29</v>
      </c>
      <c r="C818" s="16" t="n">
        <f aca="false">ABS(C808-a25_rev)+ABS(C814-a25_oi)</f>
        <v>0.000999999999976353</v>
      </c>
    </row>
    <row r="820" customFormat="false" ht="17.15" hidden="false" customHeight="false" outlineLevel="0" collapsed="false">
      <c r="A820" s="3" t="s">
        <v>730</v>
      </c>
    </row>
    <row r="821" customFormat="false" ht="17.15" hidden="false" customHeight="false" outlineLevel="0" collapsed="false">
      <c r="A821" s="6" t="s">
        <v>18</v>
      </c>
      <c r="B821" s="6" t="s">
        <v>19</v>
      </c>
      <c r="C821" s="9" t="s">
        <v>464</v>
      </c>
      <c r="D821" s="9" t="s">
        <v>465</v>
      </c>
      <c r="E821" s="9" t="s">
        <v>466</v>
      </c>
      <c r="F821" s="9" t="s">
        <v>467</v>
      </c>
      <c r="G821" s="9" t="s">
        <v>468</v>
      </c>
      <c r="H821" s="9" t="s">
        <v>469</v>
      </c>
      <c r="I821" s="9" t="s">
        <v>470</v>
      </c>
      <c r="J821" s="6" t="s">
        <v>450</v>
      </c>
    </row>
    <row r="822" customFormat="false" ht="17.15" hidden="false" customHeight="false" outlineLevel="0" collapsed="false">
      <c r="A822" s="1" t="s">
        <v>471</v>
      </c>
    </row>
    <row r="823" customFormat="false" ht="17.15" hidden="false" customHeight="false" outlineLevel="0" collapsed="false">
      <c r="A823" s="0" t="s">
        <v>472</v>
      </c>
      <c r="B823" s="0" t="s">
        <v>96</v>
      </c>
      <c r="C823" s="19" t="n">
        <f aca="false">hsA_25</f>
        <v>2.22511470588235</v>
      </c>
      <c r="D823" s="19" t="n">
        <f aca="false">hsA_26</f>
        <v>3.782695</v>
      </c>
      <c r="E823" s="19" t="n">
        <f aca="false">hsA_27</f>
        <v>5.86317725</v>
      </c>
      <c r="F823" s="19" t="n">
        <f aca="false">hsA_28</f>
        <v>8.5016070125</v>
      </c>
      <c r="G823" s="19" t="n">
        <f aca="false">hsA_29</f>
        <v>11.477169466875</v>
      </c>
      <c r="H823" s="19" t="n">
        <f aca="false">G823*(1+g_tail)</f>
        <v>12.6248864135625</v>
      </c>
      <c r="I823" s="19" t="n">
        <f aca="false">H823*(1+g_tail)</f>
        <v>13.8873750549188</v>
      </c>
      <c r="J823" s="8" t="s">
        <v>473</v>
      </c>
    </row>
    <row r="824" customFormat="false" ht="17.15" hidden="false" customHeight="false" outlineLevel="0" collapsed="false">
      <c r="A824" s="0" t="s">
        <v>474</v>
      </c>
      <c r="B824" s="0" t="s">
        <v>475</v>
      </c>
      <c r="C824" s="19" t="n">
        <f aca="false">den_25</f>
        <v>24</v>
      </c>
      <c r="D824" s="19" t="n">
        <f aca="false">den_26</f>
        <v>24</v>
      </c>
      <c r="E824" s="19" t="n">
        <f aca="false">den_27</f>
        <v>26</v>
      </c>
      <c r="F824" s="19" t="n">
        <f aca="false">den_28</f>
        <v>28</v>
      </c>
      <c r="G824" s="19" t="n">
        <f aca="false">den_29</f>
        <v>30</v>
      </c>
      <c r="H824" s="19" t="n">
        <f aca="false">den_30</f>
        <v>32</v>
      </c>
      <c r="I824" s="19" t="n">
        <f aca="false">den_30</f>
        <v>32</v>
      </c>
    </row>
    <row r="825" customFormat="false" ht="15" hidden="false" customHeight="false" outlineLevel="0" collapsed="false">
      <c r="A825" s="5" t="s">
        <v>476</v>
      </c>
      <c r="B825" s="5" t="s">
        <v>148</v>
      </c>
      <c r="C825" s="19" t="n">
        <f aca="false">stk_25</f>
        <v>10</v>
      </c>
      <c r="D825" s="19" t="n">
        <f aca="false">stk_26</f>
        <v>12</v>
      </c>
      <c r="E825" s="19" t="n">
        <f aca="false">stk_27</f>
        <v>12.5</v>
      </c>
      <c r="F825" s="19" t="n">
        <f aca="false">stk_28</f>
        <v>14</v>
      </c>
      <c r="G825" s="19" t="n">
        <f aca="false">stk_29</f>
        <v>15</v>
      </c>
      <c r="H825" s="19" t="n">
        <f aca="false">stk_30</f>
        <v>16</v>
      </c>
      <c r="I825" s="19" t="n">
        <f aca="false">stk_30</f>
        <v>16</v>
      </c>
    </row>
    <row r="826" customFormat="false" ht="17.15" hidden="false" customHeight="false" outlineLevel="0" collapsed="false">
      <c r="A826" s="0" t="s">
        <v>477</v>
      </c>
      <c r="B826" s="5" t="s">
        <v>478</v>
      </c>
      <c r="C826" s="19" t="n">
        <f aca="false">C823*8/C824</f>
        <v>0.741704901960783</v>
      </c>
      <c r="D826" s="19" t="n">
        <f aca="false">D823*8/D824</f>
        <v>1.26089833333333</v>
      </c>
      <c r="E826" s="19" t="n">
        <f aca="false">E823*8/E824</f>
        <v>1.80405453846154</v>
      </c>
      <c r="F826" s="19" t="n">
        <f aca="false">F823*8/F824</f>
        <v>2.429030575</v>
      </c>
      <c r="G826" s="19" t="n">
        <f aca="false">G823*8/G824</f>
        <v>3.0605785245</v>
      </c>
      <c r="H826" s="19" t="n">
        <f aca="false">H823*8/H824</f>
        <v>3.15622160339063</v>
      </c>
      <c r="I826" s="19" t="n">
        <f aca="false">I823*8/I824</f>
        <v>3.47184376372969</v>
      </c>
      <c r="J826" s="8" t="s">
        <v>479</v>
      </c>
    </row>
    <row r="827" customFormat="false" ht="17.15" hidden="false" customHeight="false" outlineLevel="0" collapsed="false">
      <c r="A827" s="0" t="s">
        <v>480</v>
      </c>
      <c r="B827" s="5" t="s">
        <v>481</v>
      </c>
      <c r="C827" s="19" t="n">
        <f aca="false">C826*(1+s_stk/C825)</f>
        <v>0.964216372549018</v>
      </c>
      <c r="D827" s="19" t="n">
        <f aca="false">D826*(1+s_stk/D825)</f>
        <v>1.57612291666667</v>
      </c>
      <c r="E827" s="19" t="n">
        <f aca="false">E826*(1+s_stk/E825)</f>
        <v>2.23702762769231</v>
      </c>
      <c r="F827" s="19" t="n">
        <f aca="false">F826*(1+s_stk/F825)</f>
        <v>2.94953712678571</v>
      </c>
      <c r="G827" s="19" t="n">
        <f aca="false">G826*(1+s_stk/G825)</f>
        <v>3.6726942294</v>
      </c>
      <c r="H827" s="19" t="n">
        <f aca="false">H826*(1+s_stk/H825)</f>
        <v>3.74801315402637</v>
      </c>
      <c r="I827" s="19" t="n">
        <f aca="false">I826*(1+s_stk/I825)</f>
        <v>4.12281446942901</v>
      </c>
      <c r="J827" s="5" t="s">
        <v>482</v>
      </c>
    </row>
    <row r="828" customFormat="false" ht="17.15" hidden="false" customHeight="false" outlineLevel="0" collapsed="false">
      <c r="A828" s="5" t="s">
        <v>483</v>
      </c>
      <c r="B828" s="0" t="s">
        <v>56</v>
      </c>
      <c r="C828" s="22" t="n">
        <f aca="false">hbp_25*hb_on</f>
        <v>0</v>
      </c>
      <c r="D828" s="22" t="n">
        <f aca="false">hbp_26*hb_on</f>
        <v>0</v>
      </c>
      <c r="E828" s="22" t="n">
        <f aca="false">hbp_27*hb_on</f>
        <v>0</v>
      </c>
      <c r="F828" s="22" t="n">
        <f aca="false">hbp_28*hb_on</f>
        <v>0.05</v>
      </c>
      <c r="G828" s="22" t="n">
        <f aca="false">hbp_29*hb_on</f>
        <v>0.15</v>
      </c>
      <c r="H828" s="22" t="n">
        <f aca="false">hbp_30*hb_on</f>
        <v>0.25</v>
      </c>
      <c r="I828" s="22" t="n">
        <f aca="false">hbp_30*hb_on</f>
        <v>0.25</v>
      </c>
    </row>
    <row r="829" customFormat="false" ht="17.15" hidden="false" customHeight="false" outlineLevel="0" collapsed="false">
      <c r="A829" s="0" t="s">
        <v>484</v>
      </c>
      <c r="B829" s="5" t="s">
        <v>481</v>
      </c>
      <c r="C829" s="19" t="n">
        <f aca="false">C827*(1+C828*hb_eff)</f>
        <v>0.964216372549018</v>
      </c>
      <c r="D829" s="19" t="n">
        <f aca="false">D827*(1+D828*hb_eff)</f>
        <v>1.57612291666667</v>
      </c>
      <c r="E829" s="19" t="n">
        <f aca="false">E827*(1+E828*hb_eff)</f>
        <v>2.23702762769231</v>
      </c>
      <c r="F829" s="19" t="n">
        <f aca="false">F827*(1+F828*hb_eff)</f>
        <v>2.96428481241964</v>
      </c>
      <c r="G829" s="19" t="n">
        <f aca="false">G827*(1+G828*hb_eff)</f>
        <v>3.727784642841</v>
      </c>
      <c r="H829" s="19" t="n">
        <f aca="false">H827*(1+H828*hb_eff)</f>
        <v>3.84171348287703</v>
      </c>
      <c r="I829" s="19" t="n">
        <f aca="false">I827*(1+I828*hb_eff)</f>
        <v>4.22588483116473</v>
      </c>
      <c r="J829" s="5" t="s">
        <v>485</v>
      </c>
    </row>
    <row r="830" customFormat="false" ht="17.15" hidden="false" customHeight="false" outlineLevel="0" collapsed="false">
      <c r="A830" s="0" t="s">
        <v>486</v>
      </c>
      <c r="B830" s="5" t="s">
        <v>481</v>
      </c>
      <c r="C830" s="19" t="n">
        <f aca="false">MAX(0,D829-C829)+dlt*C829</f>
        <v>0.70832818137255</v>
      </c>
      <c r="D830" s="19" t="n">
        <f aca="false">MAX(0,E829-D829)+dlt*D829</f>
        <v>0.818517002692307</v>
      </c>
      <c r="E830" s="19" t="n">
        <f aca="false">MAX(0,F829-E829)+dlt*E829</f>
        <v>0.950959947496565</v>
      </c>
      <c r="F830" s="19" t="n">
        <f aca="false">MAX(0,G829-F829)+dlt*F829</f>
        <v>1.05992831166332</v>
      </c>
      <c r="G830" s="19" t="n">
        <f aca="false">MAX(0,H829-G829)+dlt*G829</f>
        <v>0.486707304320127</v>
      </c>
      <c r="H830" s="19" t="n">
        <f aca="false">MAX(0,I829-H829)+dlt*H829</f>
        <v>0.768342696575406</v>
      </c>
      <c r="J830" s="5" t="s">
        <v>487</v>
      </c>
    </row>
    <row r="831" customFormat="false" ht="17.15" hidden="false" customHeight="false" outlineLevel="0" collapsed="false">
      <c r="A831" s="0" t="s">
        <v>488</v>
      </c>
      <c r="B831" s="5" t="s">
        <v>177</v>
      </c>
      <c r="C831" s="21" t="n">
        <f aca="false">cw_25</f>
        <v>670</v>
      </c>
      <c r="D831" s="21" t="n">
        <f aca="false">cw_26</f>
        <v>1107.85762580894</v>
      </c>
      <c r="E831" s="21" t="n">
        <f aca="false">cw_27</f>
        <v>2096.42857142857</v>
      </c>
      <c r="F831" s="21" t="n">
        <f aca="false">cw_28*um28_A</f>
        <v>2620.08928571429</v>
      </c>
      <c r="G831" s="21" t="n">
        <f aca="false">cw_29*um29_A</f>
        <v>3013.32589285714</v>
      </c>
      <c r="H831" s="21" t="n">
        <f aca="false">G831*(1+g_tail)</f>
        <v>3314.65848214285</v>
      </c>
      <c r="I831" s="21" t="n">
        <f aca="false">H831*(1+g_tail)</f>
        <v>3646.12433035714</v>
      </c>
      <c r="J831" s="5" t="s">
        <v>489</v>
      </c>
    </row>
    <row r="832" customFormat="false" ht="15" hidden="false" customHeight="false" outlineLevel="0" collapsed="false">
      <c r="A832" s="5" t="s">
        <v>490</v>
      </c>
      <c r="B832" s="5" t="s">
        <v>177</v>
      </c>
      <c r="C832" s="21" t="n">
        <f aca="false">MAX(0,D831-C831)+dlt*C831</f>
        <v>504.85762580894</v>
      </c>
      <c r="D832" s="21" t="n">
        <f aca="false">MAX(0,E831-D831)+dlt*D831</f>
        <v>1099.35670820052</v>
      </c>
      <c r="E832" s="21" t="n">
        <f aca="false">MAX(0,F831-E831)+dlt*E831</f>
        <v>733.303571428577</v>
      </c>
      <c r="F832" s="21" t="n">
        <f aca="false">MAX(0,G831-F831)+dlt*F831</f>
        <v>655.245535714279</v>
      </c>
      <c r="G832" s="21" t="n">
        <f aca="false">MAX(0,H831-G831)+dlt*G831</f>
        <v>602.665178571428</v>
      </c>
      <c r="H832" s="21" t="n">
        <f aca="false">MAX(0,I831-H831)+dlt*H831</f>
        <v>662.931696428571</v>
      </c>
    </row>
    <row r="833" customFormat="false" ht="17.15" hidden="false" customHeight="false" outlineLevel="0" collapsed="false">
      <c r="A833" s="1" t="s">
        <v>491</v>
      </c>
    </row>
    <row r="834" customFormat="false" ht="17.15" hidden="false" customHeight="false" outlineLevel="0" collapsed="false">
      <c r="A834" s="0" t="s">
        <v>492</v>
      </c>
      <c r="B834" s="0" t="s">
        <v>493</v>
      </c>
      <c r="C834" s="16" t="n">
        <f aca="false">ai25*w_hbm/(0.75*C830+0.25*D830)</f>
        <v>48.9213264236471</v>
      </c>
      <c r="J834" s="5" t="s">
        <v>494</v>
      </c>
    </row>
    <row r="835" customFormat="false" ht="17.15" hidden="false" customHeight="false" outlineLevel="0" collapsed="false">
      <c r="A835" s="5" t="s">
        <v>495</v>
      </c>
      <c r="B835" s="0" t="s">
        <v>496</v>
      </c>
      <c r="C835" s="18" t="n">
        <f aca="false">ai25*(1-w_hbm)/(0.75*C832+0.25*D832)</f>
        <v>0.0596802610360141</v>
      </c>
    </row>
    <row r="836" customFormat="false" ht="17.15" hidden="false" customHeight="false" outlineLevel="0" collapsed="false">
      <c r="A836" s="1" t="s">
        <v>497</v>
      </c>
    </row>
    <row r="837" customFormat="false" ht="17.15" hidden="false" customHeight="false" outlineLevel="0" collapsed="false">
      <c r="A837" s="5" t="s">
        <v>498</v>
      </c>
      <c r="B837" s="0" t="s">
        <v>76</v>
      </c>
      <c r="C837" s="16" t="n">
        <f aca="false">1-sh_loss/sh*0</f>
        <v>1</v>
      </c>
      <c r="D837" s="16" t="n">
        <f aca="false">1-sh_loss/sh*0.25</f>
        <v>1</v>
      </c>
      <c r="E837" s="16" t="n">
        <f aca="false">1-sh_loss/sh*0.5</f>
        <v>1</v>
      </c>
      <c r="F837" s="16" t="n">
        <f aca="false">1-sh_loss/sh*0.75</f>
        <v>1</v>
      </c>
      <c r="G837" s="16" t="n">
        <f aca="false">1-sh_loss/sh*1</f>
        <v>1</v>
      </c>
    </row>
    <row r="838" customFormat="false" ht="17.15" hidden="false" customHeight="false" outlineLevel="0" collapsed="false">
      <c r="A838" s="0" t="s">
        <v>499</v>
      </c>
      <c r="B838" s="0" t="s">
        <v>29</v>
      </c>
      <c r="C838" s="11" t="n">
        <f aca="false">$C$834*(0.75*C830+0.25*D830)*C837</f>
        <v>36</v>
      </c>
      <c r="D838" s="11" t="n">
        <f aca="false">$C$834*(0.75*D830+0.25*E830)*D837</f>
        <v>41.6627586058351</v>
      </c>
      <c r="E838" s="11" t="n">
        <f aca="false">$C$834*(0.75*E830+0.25*F830)*E837</f>
        <v>47.8549412356069</v>
      </c>
      <c r="F838" s="11" t="n">
        <f aca="false">$C$834*(0.75*F830+0.25*G830)*F837</f>
        <v>44.8424159172644</v>
      </c>
      <c r="G838" s="11" t="n">
        <f aca="false">$C$834*(0.75*G830+0.25*H830)*G837</f>
        <v>27.2548611466613</v>
      </c>
    </row>
    <row r="839" customFormat="false" ht="17.15" hidden="false" customHeight="false" outlineLevel="0" collapsed="false">
      <c r="A839" s="5" t="s">
        <v>500</v>
      </c>
      <c r="B839" s="0" t="s">
        <v>29</v>
      </c>
      <c r="C839" s="11" t="n">
        <f aca="false">$C$835*(0.75*C832+0.25*D832)*C837</f>
        <v>39</v>
      </c>
      <c r="D839" s="11" t="n">
        <f aca="false">$C$835*(0.75*D832+0.25*E832)*D837</f>
        <v>60.1483586282001</v>
      </c>
      <c r="E839" s="11" t="n">
        <f aca="false">$C$835*(0.75*E832+0.25*F832)*E837</f>
        <v>42.5991175746519</v>
      </c>
      <c r="F839" s="11" t="n">
        <f aca="false">$C$835*(0.75*F832+0.25*G832)*F837</f>
        <v>38.320722254198</v>
      </c>
      <c r="G839" s="11" t="n">
        <f aca="false">$C$835*(0.75*G832+0.25*H832)*G837</f>
        <v>36.8663955538204</v>
      </c>
    </row>
    <row r="840" customFormat="false" ht="17.15" hidden="false" customHeight="false" outlineLevel="0" collapsed="false">
      <c r="A840" s="0" t="s">
        <v>501</v>
      </c>
      <c r="B840" s="0" t="s">
        <v>29</v>
      </c>
      <c r="C840" s="11" t="n">
        <f aca="false">C838+C839</f>
        <v>75</v>
      </c>
      <c r="D840" s="11" t="n">
        <f aca="false">D838+D839</f>
        <v>101.811117234035</v>
      </c>
      <c r="E840" s="11" t="n">
        <f aca="false">E838+E839</f>
        <v>90.4540588102588</v>
      </c>
      <c r="F840" s="11" t="n">
        <f aca="false">F838+F839</f>
        <v>83.1631381714624</v>
      </c>
      <c r="G840" s="11" t="n">
        <f aca="false">G838+G839</f>
        <v>64.1212567004817</v>
      </c>
    </row>
    <row r="841" customFormat="false" ht="17.15" hidden="false" customHeight="false" outlineLevel="0" collapsed="false">
      <c r="A841" s="5" t="s">
        <v>502</v>
      </c>
      <c r="B841" s="0" t="s">
        <v>29</v>
      </c>
      <c r="C841" s="11" t="n">
        <f aca="false">eq25-ai25</f>
        <v>195.87118</v>
      </c>
      <c r="D841" s="11" t="n">
        <f aca="false">C841*(1+g_non_lo)*D837/C837</f>
        <v>195.87118</v>
      </c>
      <c r="E841" s="11" t="n">
        <f aca="false">D841*(1+g_non_lo)*E837/D837</f>
        <v>195.87118</v>
      </c>
      <c r="F841" s="11" t="n">
        <f aca="false">E841*(1+g_non_lo)*F837/E837</f>
        <v>195.87118</v>
      </c>
      <c r="G841" s="11" t="n">
        <f aca="false">F841*(1+g_non_lo)*G837/F837</f>
        <v>195.87118</v>
      </c>
    </row>
    <row r="842" customFormat="false" ht="15" hidden="false" customHeight="false" outlineLevel="0" collapsed="false">
      <c r="A842" s="5" t="s">
        <v>503</v>
      </c>
      <c r="B842" s="0" t="s">
        <v>29</v>
      </c>
      <c r="C842" s="11" t="n">
        <f aca="false">C840+C841</f>
        <v>270.87118</v>
      </c>
      <c r="D842" s="11" t="n">
        <f aca="false">D840+D841</f>
        <v>297.682297234035</v>
      </c>
      <c r="E842" s="11" t="n">
        <f aca="false">E840+E841</f>
        <v>286.325238810259</v>
      </c>
      <c r="F842" s="11" t="n">
        <f aca="false">F840+F841</f>
        <v>279.034318171462</v>
      </c>
      <c r="G842" s="11" t="n">
        <f aca="false">G840+G841</f>
        <v>259.992436700482</v>
      </c>
    </row>
    <row r="843" customFormat="false" ht="17.15" hidden="false" customHeight="false" outlineLevel="0" collapsed="false">
      <c r="A843" s="0" t="s">
        <v>504</v>
      </c>
      <c r="B843" s="0" t="s">
        <v>76</v>
      </c>
      <c r="C843" s="19" t="n">
        <f aca="false">w_hbm*(0.75*C829+0.25*D829)/(0.75*C829+0.25*D829)+(1-w_hbm)*(0.75*C831+0.25*D831)/(0.75*C831+0.25*D831)</f>
        <v>1</v>
      </c>
      <c r="D843" s="19" t="n">
        <f aca="false">w_hbm*(0.75*D829+0.25*E829)/(0.75*C829+0.25*D829)+(1-w_hbm)*(0.75*D831+0.25*E831)/(0.75*C831+0.25*D831)</f>
        <v>1.65212184085657</v>
      </c>
      <c r="E843" s="19" t="n">
        <f aca="false">w_hbm*(0.75*E829+0.25*F829)/(0.75*C829+0.25*D829)+(1-w_hbm)*(0.75*E831+0.25*F831)/(0.75*C831+0.25*D831)</f>
        <v>2.52516730417954</v>
      </c>
      <c r="F843" s="19" t="n">
        <f aca="false">w_hbm*(0.75*F829+0.25*G829)/(0.75*C829+0.25*D829)+(1-w_hbm)*(0.75*F831+0.25*G831)/(0.75*C831+0.25*D831)</f>
        <v>3.16911970169284</v>
      </c>
      <c r="G843" s="19" t="n">
        <f aca="false">w_hbm*(0.75*G829+0.25*H829)/(0.75*C829+0.25*D829)+(1-w_hbm)*(0.75*G831+0.25*H831)/(0.75*C831+0.25*D831)</f>
        <v>3.67439430985121</v>
      </c>
      <c r="J843" s="8" t="s">
        <v>505</v>
      </c>
    </row>
    <row r="844" customFormat="false" ht="17.15" hidden="false" customHeight="false" outlineLevel="0" collapsed="false">
      <c r="A844" s="0" t="s">
        <v>506</v>
      </c>
      <c r="B844" s="0" t="s">
        <v>29</v>
      </c>
      <c r="C844" s="11" t="n">
        <f aca="false">tl25*w_tlai*C843</f>
        <v>25.4032258064516</v>
      </c>
      <c r="D844" s="11" t="n">
        <f aca="false">tl25*w_tlai*D843</f>
        <v>41.9692241830499</v>
      </c>
      <c r="E844" s="11" t="n">
        <f aca="false">tl25*w_tlai*E843</f>
        <v>64.1473952271414</v>
      </c>
      <c r="F844" s="11" t="n">
        <f aca="false">tl25*w_tlai*F843</f>
        <v>80.5058633897778</v>
      </c>
      <c r="G844" s="11" t="n">
        <f aca="false">tl25*w_tlai*G843</f>
        <v>93.3414683550913</v>
      </c>
      <c r="J844" s="5" t="s">
        <v>507</v>
      </c>
    </row>
    <row r="845" customFormat="false" ht="17.15" hidden="false" customHeight="false" outlineLevel="0" collapsed="false">
      <c r="A845" s="5" t="s">
        <v>508</v>
      </c>
      <c r="B845" s="0" t="s">
        <v>29</v>
      </c>
      <c r="C845" s="11" t="n">
        <f aca="false">tl25*(1-w_tlai)</f>
        <v>66.3434641935484</v>
      </c>
      <c r="D845" s="11" t="n">
        <f aca="false">C845*(1+g_tl)</f>
        <v>69.6606374032258</v>
      </c>
      <c r="E845" s="11" t="n">
        <f aca="false">D845*(1+g_tl)</f>
        <v>73.1436692733871</v>
      </c>
      <c r="F845" s="11" t="n">
        <f aca="false">E845*(1+g_tl)</f>
        <v>76.8008527370565</v>
      </c>
      <c r="G845" s="11" t="n">
        <f aca="false">F845*(1+g_tl)</f>
        <v>80.6408953739093</v>
      </c>
    </row>
    <row r="846" customFormat="false" ht="15" hidden="false" customHeight="false" outlineLevel="0" collapsed="false">
      <c r="A846" s="5" t="s">
        <v>509</v>
      </c>
      <c r="B846" s="0" t="s">
        <v>29</v>
      </c>
      <c r="C846" s="11" t="n">
        <f aca="false">C844+C845</f>
        <v>91.74669</v>
      </c>
      <c r="D846" s="11" t="n">
        <f aca="false">D844+D845</f>
        <v>111.629861586276</v>
      </c>
      <c r="E846" s="11" t="n">
        <f aca="false">E844+E845</f>
        <v>137.291064500529</v>
      </c>
      <c r="F846" s="11" t="n">
        <f aca="false">F844+F845</f>
        <v>157.306716126834</v>
      </c>
      <c r="G846" s="11" t="n">
        <f aca="false">G844+G845</f>
        <v>173.982363729001</v>
      </c>
    </row>
    <row r="847" customFormat="false" ht="15" hidden="false" customHeight="false" outlineLevel="0" collapsed="false">
      <c r="A847" s="5" t="s">
        <v>393</v>
      </c>
      <c r="B847" s="0" t="s">
        <v>29</v>
      </c>
      <c r="C847" s="11" t="n">
        <f aca="false">r_ot*(C842+C846)</f>
        <v>74.27113</v>
      </c>
      <c r="D847" s="11" t="n">
        <f aca="false">r_ot*(D842+D846)</f>
        <v>83.8350204812685</v>
      </c>
      <c r="E847" s="11" t="n">
        <f aca="false">r_ot*(E842+E846)</f>
        <v>86.7647850154625</v>
      </c>
      <c r="F847" s="11" t="n">
        <f aca="false">r_ot*(F842+F846)</f>
        <v>89.3710552177235</v>
      </c>
      <c r="G847" s="11" t="n">
        <f aca="false">r_ot*(G842+G846)</f>
        <v>88.8864049072434</v>
      </c>
    </row>
    <row r="848" customFormat="false" ht="15" hidden="false" customHeight="false" outlineLevel="0" collapsed="false">
      <c r="A848" s="5" t="s">
        <v>363</v>
      </c>
      <c r="B848" s="0" t="s">
        <v>29</v>
      </c>
      <c r="C848" s="11" t="n">
        <f aca="false">C842+C846+C847</f>
        <v>436.889</v>
      </c>
      <c r="D848" s="11" t="n">
        <f aca="false">D842+D846+D847</f>
        <v>493.147179301579</v>
      </c>
      <c r="E848" s="11" t="n">
        <f aca="false">E842+E846+E847</f>
        <v>510.38108832625</v>
      </c>
      <c r="F848" s="11" t="n">
        <f aca="false">F842+F846+F847</f>
        <v>525.71208951602</v>
      </c>
      <c r="G848" s="11" t="n">
        <f aca="false">G842+G846+G847</f>
        <v>522.861205336726</v>
      </c>
    </row>
    <row r="849" customFormat="false" ht="17.15" hidden="false" customHeight="false" outlineLevel="0" collapsed="false">
      <c r="A849" s="0" t="s">
        <v>510</v>
      </c>
      <c r="B849" s="0" t="s">
        <v>56</v>
      </c>
      <c r="C849" s="14" t="n">
        <f aca="false">(C840+C844)*(1+r_ot)/C848</f>
        <v>0.276884384673187</v>
      </c>
      <c r="D849" s="14" t="n">
        <f aca="false">(D840+D844)*(1+r_ot)/D848</f>
        <v>0.351273076840615</v>
      </c>
      <c r="E849" s="14" t="n">
        <f aca="false">(E840+E844)*(1+r_ot)/E848</f>
        <v>0.364956336262574</v>
      </c>
      <c r="F849" s="14" t="n">
        <f aca="false">(F840+F844)*(1+r_ot)/F848</f>
        <v>0.375094223774863</v>
      </c>
      <c r="G849" s="14" t="n">
        <f aca="false">(G840+G844)*(1+r_ot)/G848</f>
        <v>0.362838406515172</v>
      </c>
    </row>
    <row r="850" customFormat="false" ht="17.15" hidden="false" customHeight="false" outlineLevel="0" collapsed="false">
      <c r="A850" s="0" t="s">
        <v>511</v>
      </c>
      <c r="B850" s="0" t="s">
        <v>56</v>
      </c>
      <c r="C850" s="14" t="n">
        <f aca="false">C840*(1+r_ot)/C848</f>
        <v>0.206829299394429</v>
      </c>
      <c r="D850" s="14" t="n">
        <f aca="false">D840*(1+r_ot)/D848</f>
        <v>0.248737094757868</v>
      </c>
      <c r="E850" s="14" t="n">
        <f aca="false">E840*(1+r_ot)/E848</f>
        <v>0.213528275713923</v>
      </c>
      <c r="F850" s="14" t="n">
        <f aca="false">F840*(1+r_ot)/F848</f>
        <v>0.190592063625649</v>
      </c>
      <c r="G850" s="14" t="n">
        <f aca="false">G840*(1+r_ot)/G848</f>
        <v>0.147753410191154</v>
      </c>
      <c r="J850" s="5" t="s">
        <v>512</v>
      </c>
    </row>
    <row r="851" customFormat="false" ht="17.15" hidden="false" customHeight="false" outlineLevel="0" collapsed="false">
      <c r="A851" s="5" t="s">
        <v>401</v>
      </c>
      <c r="B851" s="0" t="s">
        <v>56</v>
      </c>
      <c r="C851" s="14" t="n">
        <f aca="false">a25_gp/a25_rev</f>
        <v>0.701498549974936</v>
      </c>
      <c r="D851" s="14" t="n">
        <f aca="false">gm_a+gm_b*LN(D848)+0</f>
        <v>0.716241332762671</v>
      </c>
      <c r="E851" s="14" t="n">
        <f aca="false">gm_a+gm_b*LN(E848)+0</f>
        <v>0.72015125571209</v>
      </c>
      <c r="F851" s="14" t="n">
        <f aca="false">gm_a+gm_b*LN(F848)+0</f>
        <v>0.723520051736208</v>
      </c>
      <c r="G851" s="14" t="n">
        <f aca="false">gm_a+gm_b*LN(G848)+0</f>
        <v>0.722901105160451</v>
      </c>
      <c r="J851" s="8" t="s">
        <v>513</v>
      </c>
    </row>
    <row r="852" customFormat="false" ht="15" hidden="false" customHeight="false" outlineLevel="0" collapsed="false">
      <c r="A852" s="5" t="s">
        <v>398</v>
      </c>
      <c r="B852" s="0" t="s">
        <v>29</v>
      </c>
      <c r="C852" s="11" t="n">
        <f aca="false">C848*C851</f>
        <v>306.477</v>
      </c>
      <c r="D852" s="11" t="n">
        <f aca="false">D848*D851</f>
        <v>353.212392951115</v>
      </c>
      <c r="E852" s="11" t="n">
        <f aca="false">E848*E851</f>
        <v>367.551581649852</v>
      </c>
      <c r="F852" s="11" t="n">
        <f aca="false">F848*F851</f>
        <v>380.363238204981</v>
      </c>
      <c r="G852" s="11" t="n">
        <f aca="false">G848*G851</f>
        <v>377.976943183445</v>
      </c>
    </row>
    <row r="853" customFormat="false" ht="17.15" hidden="false" customHeight="false" outlineLevel="0" collapsed="false">
      <c r="A853" s="5" t="s">
        <v>399</v>
      </c>
      <c r="B853" s="0" t="s">
        <v>29</v>
      </c>
      <c r="C853" s="11" t="n">
        <f aca="false">a25_sga</f>
        <v>121.487</v>
      </c>
      <c r="D853" s="11" t="n">
        <f aca="false">sg_f+sg_v*D848</f>
        <v>132.577433349163</v>
      </c>
      <c r="E853" s="11" t="n">
        <f aca="false">sg_f+sg_v*E848</f>
        <v>136.926703855936</v>
      </c>
      <c r="F853" s="11" t="n">
        <f aca="false">sg_f+sg_v*F848</f>
        <v>140.795743156219</v>
      </c>
      <c r="G853" s="11" t="n">
        <f aca="false">sg_f+sg_v*G848</f>
        <v>140.076273971284</v>
      </c>
      <c r="J853" s="5" t="s">
        <v>514</v>
      </c>
    </row>
    <row r="854" customFormat="false" ht="15" hidden="false" customHeight="false" outlineLevel="0" collapsed="false">
      <c r="A854" s="5" t="s">
        <v>367</v>
      </c>
      <c r="B854" s="0" t="s">
        <v>29</v>
      </c>
      <c r="C854" s="11" t="n">
        <f aca="false">C852-C853</f>
        <v>184.99</v>
      </c>
      <c r="D854" s="11" t="n">
        <f aca="false">D852-D853</f>
        <v>220.634959601952</v>
      </c>
      <c r="E854" s="11" t="n">
        <f aca="false">E852-E853</f>
        <v>230.624877793916</v>
      </c>
      <c r="F854" s="11" t="n">
        <f aca="false">F852-F853</f>
        <v>239.567495048762</v>
      </c>
      <c r="G854" s="11" t="n">
        <f aca="false">G852-G853</f>
        <v>237.900669212161</v>
      </c>
    </row>
    <row r="855" customFormat="false" ht="15" hidden="false" customHeight="false" outlineLevel="0" collapsed="false">
      <c r="A855" s="5" t="s">
        <v>515</v>
      </c>
      <c r="B855" s="0" t="s">
        <v>56</v>
      </c>
      <c r="C855" s="14" t="n">
        <f aca="false">C854/C848</f>
        <v>0.423425629851061</v>
      </c>
      <c r="D855" s="14" t="n">
        <f aca="false">D854/D848</f>
        <v>0.447401848499725</v>
      </c>
      <c r="E855" s="14" t="n">
        <f aca="false">E854/E848</f>
        <v>0.451867992503857</v>
      </c>
      <c r="F855" s="14" t="n">
        <f aca="false">F854/F848</f>
        <v>0.455700943208881</v>
      </c>
      <c r="G855" s="14" t="n">
        <f aca="false">G854/G848</f>
        <v>0.454997744686281</v>
      </c>
    </row>
    <row r="856" customFormat="false" ht="15" hidden="false" customHeight="false" outlineLevel="0" collapsed="false">
      <c r="A856" s="5" t="s">
        <v>370</v>
      </c>
      <c r="B856" s="0" t="s">
        <v>29</v>
      </c>
      <c r="C856" s="11" t="n">
        <f aca="false">a25_ni</f>
        <v>135.521</v>
      </c>
      <c r="D856" s="11" t="n">
        <f aca="false">D854*nioi</f>
        <v>161.63485591152</v>
      </c>
      <c r="E856" s="11" t="n">
        <f aca="false">E854*nioi</f>
        <v>168.953365137978</v>
      </c>
      <c r="F856" s="11" t="n">
        <f aca="false">F854*nioi</f>
        <v>175.504632688988</v>
      </c>
      <c r="G856" s="11" t="n">
        <f aca="false">G854*nioi</f>
        <v>174.283533573895</v>
      </c>
    </row>
    <row r="857" customFormat="false" ht="15" hidden="false" customHeight="false" outlineLevel="0" collapsed="false">
      <c r="A857" s="0" t="s">
        <v>459</v>
      </c>
      <c r="B857" s="0" t="s">
        <v>51</v>
      </c>
      <c r="C857" s="11" t="n">
        <f aca="false">a25_eps</f>
        <v>1249.84</v>
      </c>
      <c r="D857" s="11" t="n">
        <f aca="false">D856*1000/shares</f>
        <v>1489.98472746105</v>
      </c>
      <c r="E857" s="11" t="n">
        <f aca="false">E856*1000/shares</f>
        <v>1557.4483132929</v>
      </c>
      <c r="F857" s="11" t="n">
        <f aca="false">F856*1000/shares</f>
        <v>1617.83930100077</v>
      </c>
      <c r="G857" s="11" t="n">
        <f aca="false">G856*1000/shares</f>
        <v>1606.5829477721</v>
      </c>
    </row>
    <row r="858" customFormat="false" ht="17.15" hidden="false" customHeight="false" outlineLevel="0" collapsed="false">
      <c r="A858" s="5" t="s">
        <v>516</v>
      </c>
      <c r="B858" s="0" t="s">
        <v>29</v>
      </c>
      <c r="C858" s="16" t="n">
        <f aca="false">ABS(C848-a25_rev)+ABS(C854-a25_oi)</f>
        <v>0.000999999999976353</v>
      </c>
    </row>
    <row r="860" customFormat="false" ht="17.15" hidden="false" customHeight="false" outlineLevel="0" collapsed="false">
      <c r="A860" s="3" t="s">
        <v>731</v>
      </c>
    </row>
    <row r="861" customFormat="false" ht="17.15" hidden="false" customHeight="false" outlineLevel="0" collapsed="false">
      <c r="A861" s="6" t="s">
        <v>18</v>
      </c>
      <c r="B861" s="6" t="s">
        <v>19</v>
      </c>
      <c r="C861" s="9" t="s">
        <v>464</v>
      </c>
      <c r="D861" s="9" t="s">
        <v>465</v>
      </c>
      <c r="E861" s="9" t="s">
        <v>466</v>
      </c>
      <c r="F861" s="9" t="s">
        <v>467</v>
      </c>
      <c r="G861" s="9" t="s">
        <v>468</v>
      </c>
      <c r="H861" s="9" t="s">
        <v>469</v>
      </c>
      <c r="I861" s="9" t="s">
        <v>470</v>
      </c>
      <c r="J861" s="6" t="s">
        <v>450</v>
      </c>
    </row>
    <row r="862" customFormat="false" ht="17.15" hidden="false" customHeight="false" outlineLevel="0" collapsed="false">
      <c r="A862" s="1" t="s">
        <v>471</v>
      </c>
    </row>
    <row r="863" customFormat="false" ht="17.15" hidden="false" customHeight="false" outlineLevel="0" collapsed="false">
      <c r="A863" s="0" t="s">
        <v>472</v>
      </c>
      <c r="B863" s="0" t="s">
        <v>96</v>
      </c>
      <c r="C863" s="19" t="n">
        <f aca="false">hsA_25</f>
        <v>2.22511470588235</v>
      </c>
      <c r="D863" s="19" t="n">
        <f aca="false">hsA_26</f>
        <v>3.782695</v>
      </c>
      <c r="E863" s="19" t="n">
        <f aca="false">hsA_27</f>
        <v>5.86317725</v>
      </c>
      <c r="F863" s="19" t="n">
        <f aca="false">hsA_28</f>
        <v>8.5016070125</v>
      </c>
      <c r="G863" s="19" t="n">
        <f aca="false">hsA_29</f>
        <v>11.477169466875</v>
      </c>
      <c r="H863" s="19" t="n">
        <f aca="false">G863*(1+g_tail)</f>
        <v>12.6248864135625</v>
      </c>
      <c r="I863" s="19" t="n">
        <f aca="false">H863*(1+g_tail)</f>
        <v>13.8873750549188</v>
      </c>
      <c r="J863" s="8" t="s">
        <v>473</v>
      </c>
    </row>
    <row r="864" customFormat="false" ht="17.15" hidden="false" customHeight="false" outlineLevel="0" collapsed="false">
      <c r="A864" s="0" t="s">
        <v>474</v>
      </c>
      <c r="B864" s="0" t="s">
        <v>475</v>
      </c>
      <c r="C864" s="19" t="n">
        <f aca="false">den_25</f>
        <v>24</v>
      </c>
      <c r="D864" s="19" t="n">
        <f aca="false">den_26</f>
        <v>24</v>
      </c>
      <c r="E864" s="19" t="n">
        <f aca="false">den_27</f>
        <v>26</v>
      </c>
      <c r="F864" s="19" t="n">
        <f aca="false">den_28</f>
        <v>28</v>
      </c>
      <c r="G864" s="19" t="n">
        <f aca="false">den_29</f>
        <v>30</v>
      </c>
      <c r="H864" s="19" t="n">
        <f aca="false">den_30</f>
        <v>32</v>
      </c>
      <c r="I864" s="19" t="n">
        <f aca="false">den_30</f>
        <v>32</v>
      </c>
    </row>
    <row r="865" customFormat="false" ht="15" hidden="false" customHeight="false" outlineLevel="0" collapsed="false">
      <c r="A865" s="5" t="s">
        <v>476</v>
      </c>
      <c r="B865" s="5" t="s">
        <v>148</v>
      </c>
      <c r="C865" s="19" t="n">
        <f aca="false">stk_25</f>
        <v>10</v>
      </c>
      <c r="D865" s="19" t="n">
        <f aca="false">stk_26</f>
        <v>12</v>
      </c>
      <c r="E865" s="19" t="n">
        <f aca="false">stk_27</f>
        <v>12.5</v>
      </c>
      <c r="F865" s="19" t="n">
        <f aca="false">stk_28</f>
        <v>14</v>
      </c>
      <c r="G865" s="19" t="n">
        <f aca="false">stk_29</f>
        <v>15</v>
      </c>
      <c r="H865" s="19" t="n">
        <f aca="false">stk_30</f>
        <v>16</v>
      </c>
      <c r="I865" s="19" t="n">
        <f aca="false">stk_30</f>
        <v>16</v>
      </c>
    </row>
    <row r="866" customFormat="false" ht="17.15" hidden="false" customHeight="false" outlineLevel="0" collapsed="false">
      <c r="A866" s="0" t="s">
        <v>477</v>
      </c>
      <c r="B866" s="5" t="s">
        <v>478</v>
      </c>
      <c r="C866" s="19" t="n">
        <f aca="false">C863*8/C864</f>
        <v>0.741704901960783</v>
      </c>
      <c r="D866" s="19" t="n">
        <f aca="false">D863*8/D864</f>
        <v>1.26089833333333</v>
      </c>
      <c r="E866" s="19" t="n">
        <f aca="false">E863*8/E864</f>
        <v>1.80405453846154</v>
      </c>
      <c r="F866" s="19" t="n">
        <f aca="false">F863*8/F864</f>
        <v>2.429030575</v>
      </c>
      <c r="G866" s="19" t="n">
        <f aca="false">G863*8/G864</f>
        <v>3.0605785245</v>
      </c>
      <c r="H866" s="19" t="n">
        <f aca="false">H863*8/H864</f>
        <v>3.15622160339063</v>
      </c>
      <c r="I866" s="19" t="n">
        <f aca="false">I863*8/I864</f>
        <v>3.47184376372969</v>
      </c>
      <c r="J866" s="8" t="s">
        <v>479</v>
      </c>
    </row>
    <row r="867" customFormat="false" ht="17.15" hidden="false" customHeight="false" outlineLevel="0" collapsed="false">
      <c r="A867" s="0" t="s">
        <v>480</v>
      </c>
      <c r="B867" s="5" t="s">
        <v>481</v>
      </c>
      <c r="C867" s="19" t="n">
        <f aca="false">C866*(1+s_stk/C865)</f>
        <v>0.964216372549018</v>
      </c>
      <c r="D867" s="19" t="n">
        <f aca="false">D866*(1+s_stk/D865)</f>
        <v>1.57612291666667</v>
      </c>
      <c r="E867" s="19" t="n">
        <f aca="false">E866*(1+s_stk/E865)</f>
        <v>2.23702762769231</v>
      </c>
      <c r="F867" s="19" t="n">
        <f aca="false">F866*(1+s_stk/F865)</f>
        <v>2.94953712678571</v>
      </c>
      <c r="G867" s="19" t="n">
        <f aca="false">G866*(1+s_stk/G865)</f>
        <v>3.6726942294</v>
      </c>
      <c r="H867" s="19" t="n">
        <f aca="false">H866*(1+s_stk/H865)</f>
        <v>3.74801315402637</v>
      </c>
      <c r="I867" s="19" t="n">
        <f aca="false">I866*(1+s_stk/I865)</f>
        <v>4.12281446942901</v>
      </c>
      <c r="J867" s="5" t="s">
        <v>482</v>
      </c>
    </row>
    <row r="868" customFormat="false" ht="17.15" hidden="false" customHeight="false" outlineLevel="0" collapsed="false">
      <c r="A868" s="5" t="s">
        <v>483</v>
      </c>
      <c r="B868" s="0" t="s">
        <v>56</v>
      </c>
      <c r="C868" s="22" t="n">
        <f aca="false">hbp_25*hb_on</f>
        <v>0</v>
      </c>
      <c r="D868" s="22" t="n">
        <f aca="false">hbp_26*hb_on</f>
        <v>0</v>
      </c>
      <c r="E868" s="22" t="n">
        <f aca="false">hbp_27*hb_on</f>
        <v>0</v>
      </c>
      <c r="F868" s="22" t="n">
        <f aca="false">hbp_28*hb_on</f>
        <v>0.05</v>
      </c>
      <c r="G868" s="22" t="n">
        <f aca="false">hbp_29*hb_on</f>
        <v>0.15</v>
      </c>
      <c r="H868" s="22" t="n">
        <f aca="false">hbp_30*hb_on</f>
        <v>0.25</v>
      </c>
      <c r="I868" s="22" t="n">
        <f aca="false">hbp_30*hb_on</f>
        <v>0.25</v>
      </c>
    </row>
    <row r="869" customFormat="false" ht="17.15" hidden="false" customHeight="false" outlineLevel="0" collapsed="false">
      <c r="A869" s="0" t="s">
        <v>484</v>
      </c>
      <c r="B869" s="5" t="s">
        <v>481</v>
      </c>
      <c r="C869" s="19" t="n">
        <f aca="false">C867*(1+C868*hb_eff)</f>
        <v>0.964216372549018</v>
      </c>
      <c r="D869" s="19" t="n">
        <f aca="false">D867*(1+D868*hb_eff)</f>
        <v>1.57612291666667</v>
      </c>
      <c r="E869" s="19" t="n">
        <f aca="false">E867*(1+E868*hb_eff)</f>
        <v>2.23702762769231</v>
      </c>
      <c r="F869" s="19" t="n">
        <f aca="false">F867*(1+F868*hb_eff)</f>
        <v>2.96428481241964</v>
      </c>
      <c r="G869" s="19" t="n">
        <f aca="false">G867*(1+G868*hb_eff)</f>
        <v>3.727784642841</v>
      </c>
      <c r="H869" s="19" t="n">
        <f aca="false">H867*(1+H868*hb_eff)</f>
        <v>3.84171348287703</v>
      </c>
      <c r="I869" s="19" t="n">
        <f aca="false">I867*(1+I868*hb_eff)</f>
        <v>4.22588483116473</v>
      </c>
      <c r="J869" s="5" t="s">
        <v>485</v>
      </c>
    </row>
    <row r="870" customFormat="false" ht="17.15" hidden="false" customHeight="false" outlineLevel="0" collapsed="false">
      <c r="A870" s="0" t="s">
        <v>486</v>
      </c>
      <c r="B870" s="5" t="s">
        <v>481</v>
      </c>
      <c r="C870" s="19" t="n">
        <f aca="false">MAX(0,D869-C869)+dlt*C869</f>
        <v>0.70832818137255</v>
      </c>
      <c r="D870" s="19" t="n">
        <f aca="false">MAX(0,E869-D869)+dlt*D869</f>
        <v>0.818517002692307</v>
      </c>
      <c r="E870" s="19" t="n">
        <f aca="false">MAX(0,F869-E869)+dlt*E869</f>
        <v>0.950959947496565</v>
      </c>
      <c r="F870" s="19" t="n">
        <f aca="false">MAX(0,G869-F869)+dlt*F869</f>
        <v>1.05992831166332</v>
      </c>
      <c r="G870" s="19" t="n">
        <f aca="false">MAX(0,H869-G869)+dlt*G869</f>
        <v>0.486707304320127</v>
      </c>
      <c r="H870" s="19" t="n">
        <f aca="false">MAX(0,I869-H869)+dlt*H869</f>
        <v>0.768342696575406</v>
      </c>
      <c r="J870" s="5" t="s">
        <v>487</v>
      </c>
    </row>
    <row r="871" customFormat="false" ht="17.15" hidden="false" customHeight="false" outlineLevel="0" collapsed="false">
      <c r="A871" s="0" t="s">
        <v>488</v>
      </c>
      <c r="B871" s="5" t="s">
        <v>177</v>
      </c>
      <c r="C871" s="21" t="n">
        <f aca="false">cw_25</f>
        <v>670</v>
      </c>
      <c r="D871" s="21" t="n">
        <f aca="false">cw_26</f>
        <v>1107.85762580894</v>
      </c>
      <c r="E871" s="21" t="n">
        <f aca="false">cw_27</f>
        <v>2096.42857142857</v>
      </c>
      <c r="F871" s="21" t="n">
        <f aca="false">cw_28*um28_A</f>
        <v>2620.08928571429</v>
      </c>
      <c r="G871" s="21" t="n">
        <f aca="false">cw_29*um29_A</f>
        <v>3013.32589285714</v>
      </c>
      <c r="H871" s="21" t="n">
        <f aca="false">G871*(1+g_tail)</f>
        <v>3314.65848214285</v>
      </c>
      <c r="I871" s="21" t="n">
        <f aca="false">H871*(1+g_tail)</f>
        <v>3646.12433035714</v>
      </c>
      <c r="J871" s="5" t="s">
        <v>489</v>
      </c>
    </row>
    <row r="872" customFormat="false" ht="15" hidden="false" customHeight="false" outlineLevel="0" collapsed="false">
      <c r="A872" s="5" t="s">
        <v>490</v>
      </c>
      <c r="B872" s="5" t="s">
        <v>177</v>
      </c>
      <c r="C872" s="21" t="n">
        <f aca="false">MAX(0,D871-C871)+dlt*C871</f>
        <v>504.85762580894</v>
      </c>
      <c r="D872" s="21" t="n">
        <f aca="false">MAX(0,E871-D871)+dlt*D871</f>
        <v>1099.35670820052</v>
      </c>
      <c r="E872" s="21" t="n">
        <f aca="false">MAX(0,F871-E871)+dlt*E871</f>
        <v>733.303571428577</v>
      </c>
      <c r="F872" s="21" t="n">
        <f aca="false">MAX(0,G871-F871)+dlt*F871</f>
        <v>655.245535714279</v>
      </c>
      <c r="G872" s="21" t="n">
        <f aca="false">MAX(0,H871-G871)+dlt*G871</f>
        <v>602.665178571428</v>
      </c>
      <c r="H872" s="21" t="n">
        <f aca="false">MAX(0,I871-H871)+dlt*H871</f>
        <v>662.931696428571</v>
      </c>
    </row>
    <row r="873" customFormat="false" ht="17.15" hidden="false" customHeight="false" outlineLevel="0" collapsed="false">
      <c r="A873" s="1" t="s">
        <v>491</v>
      </c>
    </row>
    <row r="874" customFormat="false" ht="17.15" hidden="false" customHeight="false" outlineLevel="0" collapsed="false">
      <c r="A874" s="0" t="s">
        <v>492</v>
      </c>
      <c r="B874" s="0" t="s">
        <v>493</v>
      </c>
      <c r="C874" s="16" t="n">
        <f aca="false">ai25*w_hbm/(0.75*C870+0.25*D870)</f>
        <v>48.9213264236471</v>
      </c>
      <c r="J874" s="5" t="s">
        <v>494</v>
      </c>
    </row>
    <row r="875" customFormat="false" ht="17.15" hidden="false" customHeight="false" outlineLevel="0" collapsed="false">
      <c r="A875" s="5" t="s">
        <v>495</v>
      </c>
      <c r="B875" s="0" t="s">
        <v>496</v>
      </c>
      <c r="C875" s="18" t="n">
        <f aca="false">ai25*(1-w_hbm)/(0.75*C872+0.25*D872)</f>
        <v>0.0596802610360141</v>
      </c>
    </row>
    <row r="876" customFormat="false" ht="17.15" hidden="false" customHeight="false" outlineLevel="0" collapsed="false">
      <c r="A876" s="1" t="s">
        <v>497</v>
      </c>
    </row>
    <row r="877" customFormat="false" ht="17.15" hidden="false" customHeight="false" outlineLevel="0" collapsed="false">
      <c r="A877" s="5" t="s">
        <v>498</v>
      </c>
      <c r="B877" s="0" t="s">
        <v>76</v>
      </c>
      <c r="C877" s="16" t="n">
        <f aca="false">1-sh_loss/sh*0</f>
        <v>1</v>
      </c>
      <c r="D877" s="16" t="n">
        <f aca="false">1-sh_loss/sh*0.25</f>
        <v>1</v>
      </c>
      <c r="E877" s="16" t="n">
        <f aca="false">1-sh_loss/sh*0.5</f>
        <v>1</v>
      </c>
      <c r="F877" s="16" t="n">
        <f aca="false">1-sh_loss/sh*0.75</f>
        <v>1</v>
      </c>
      <c r="G877" s="16" t="n">
        <f aca="false">1-sh_loss/sh*1</f>
        <v>1</v>
      </c>
    </row>
    <row r="878" customFormat="false" ht="17.15" hidden="false" customHeight="false" outlineLevel="0" collapsed="false">
      <c r="A878" s="0" t="s">
        <v>499</v>
      </c>
      <c r="B878" s="0" t="s">
        <v>29</v>
      </c>
      <c r="C878" s="11" t="n">
        <f aca="false">$C$874*(0.75*C870+0.25*D870)*C877</f>
        <v>36</v>
      </c>
      <c r="D878" s="11" t="n">
        <f aca="false">$C$874*(0.75*D870+0.25*E870)*D877</f>
        <v>41.6627586058351</v>
      </c>
      <c r="E878" s="11" t="n">
        <f aca="false">$C$874*(0.75*E870+0.25*F870)*E877</f>
        <v>47.8549412356069</v>
      </c>
      <c r="F878" s="11" t="n">
        <f aca="false">$C$874*(0.75*F870+0.25*G870)*F877</f>
        <v>44.8424159172644</v>
      </c>
      <c r="G878" s="11" t="n">
        <f aca="false">$C$874*(0.75*G870+0.25*H870)*G877</f>
        <v>27.2548611466613</v>
      </c>
    </row>
    <row r="879" customFormat="false" ht="17.15" hidden="false" customHeight="false" outlineLevel="0" collapsed="false">
      <c r="A879" s="5" t="s">
        <v>500</v>
      </c>
      <c r="B879" s="0" t="s">
        <v>29</v>
      </c>
      <c r="C879" s="11" t="n">
        <f aca="false">$C$875*(0.75*C872+0.25*D872)*C877</f>
        <v>39</v>
      </c>
      <c r="D879" s="11" t="n">
        <f aca="false">$C$875*(0.75*D872+0.25*E872)*D877</f>
        <v>60.1483586282001</v>
      </c>
      <c r="E879" s="11" t="n">
        <f aca="false">$C$875*(0.75*E872+0.25*F872)*E877</f>
        <v>42.5991175746519</v>
      </c>
      <c r="F879" s="11" t="n">
        <f aca="false">$C$875*(0.75*F872+0.25*G872)*F877</f>
        <v>38.320722254198</v>
      </c>
      <c r="G879" s="11" t="n">
        <f aca="false">$C$875*(0.75*G872+0.25*H872)*G877</f>
        <v>36.8663955538204</v>
      </c>
    </row>
    <row r="880" customFormat="false" ht="17.15" hidden="false" customHeight="false" outlineLevel="0" collapsed="false">
      <c r="A880" s="0" t="s">
        <v>501</v>
      </c>
      <c r="B880" s="0" t="s">
        <v>29</v>
      </c>
      <c r="C880" s="11" t="n">
        <f aca="false">C878+C879</f>
        <v>75</v>
      </c>
      <c r="D880" s="11" t="n">
        <f aca="false">D878+D879</f>
        <v>101.811117234035</v>
      </c>
      <c r="E880" s="11" t="n">
        <f aca="false">E878+E879</f>
        <v>90.4540588102588</v>
      </c>
      <c r="F880" s="11" t="n">
        <f aca="false">F878+F879</f>
        <v>83.1631381714624</v>
      </c>
      <c r="G880" s="11" t="n">
        <f aca="false">G878+G879</f>
        <v>64.1212567004817</v>
      </c>
    </row>
    <row r="881" customFormat="false" ht="17.15" hidden="false" customHeight="false" outlineLevel="0" collapsed="false">
      <c r="A881" s="5" t="s">
        <v>502</v>
      </c>
      <c r="B881" s="0" t="s">
        <v>29</v>
      </c>
      <c r="C881" s="11" t="n">
        <f aca="false">eq25-ai25</f>
        <v>195.87118</v>
      </c>
      <c r="D881" s="11" t="n">
        <f aca="false">C881*(1+g_non_hi)*D877/C877</f>
        <v>219.3757216</v>
      </c>
      <c r="E881" s="11" t="n">
        <f aca="false">D881*(1+g_non_hi)*E877/D877</f>
        <v>245.700808192</v>
      </c>
      <c r="F881" s="11" t="n">
        <f aca="false">E881*(1+g_non_hi)*F877/E877</f>
        <v>275.18490517504</v>
      </c>
      <c r="G881" s="11" t="n">
        <f aca="false">F881*(1+g_non_hi)*G877/F877</f>
        <v>308.207093796045</v>
      </c>
    </row>
    <row r="882" customFormat="false" ht="15" hidden="false" customHeight="false" outlineLevel="0" collapsed="false">
      <c r="A882" s="5" t="s">
        <v>503</v>
      </c>
      <c r="B882" s="0" t="s">
        <v>29</v>
      </c>
      <c r="C882" s="11" t="n">
        <f aca="false">C880+C881</f>
        <v>270.87118</v>
      </c>
      <c r="D882" s="11" t="n">
        <f aca="false">D880+D881</f>
        <v>321.186838834035</v>
      </c>
      <c r="E882" s="11" t="n">
        <f aca="false">E880+E881</f>
        <v>336.154867002259</v>
      </c>
      <c r="F882" s="11" t="n">
        <f aca="false">F880+F881</f>
        <v>358.348043346503</v>
      </c>
      <c r="G882" s="11" t="n">
        <f aca="false">G880+G881</f>
        <v>372.328350496527</v>
      </c>
    </row>
    <row r="883" customFormat="false" ht="17.15" hidden="false" customHeight="false" outlineLevel="0" collapsed="false">
      <c r="A883" s="0" t="s">
        <v>504</v>
      </c>
      <c r="B883" s="0" t="s">
        <v>76</v>
      </c>
      <c r="C883" s="19" t="n">
        <f aca="false">w_hbm*(0.75*C869+0.25*D869)/(0.75*C869+0.25*D869)+(1-w_hbm)*(0.75*C871+0.25*D871)/(0.75*C871+0.25*D871)</f>
        <v>1</v>
      </c>
      <c r="D883" s="19" t="n">
        <f aca="false">w_hbm*(0.75*D869+0.25*E869)/(0.75*C869+0.25*D869)+(1-w_hbm)*(0.75*D871+0.25*E871)/(0.75*C871+0.25*D871)</f>
        <v>1.65212184085657</v>
      </c>
      <c r="E883" s="19" t="n">
        <f aca="false">w_hbm*(0.75*E869+0.25*F869)/(0.75*C869+0.25*D869)+(1-w_hbm)*(0.75*E871+0.25*F871)/(0.75*C871+0.25*D871)</f>
        <v>2.52516730417954</v>
      </c>
      <c r="F883" s="19" t="n">
        <f aca="false">w_hbm*(0.75*F869+0.25*G869)/(0.75*C869+0.25*D869)+(1-w_hbm)*(0.75*F871+0.25*G871)/(0.75*C871+0.25*D871)</f>
        <v>3.16911970169284</v>
      </c>
      <c r="G883" s="19" t="n">
        <f aca="false">w_hbm*(0.75*G869+0.25*H869)/(0.75*C869+0.25*D869)+(1-w_hbm)*(0.75*G871+0.25*H871)/(0.75*C871+0.25*D871)</f>
        <v>3.67439430985121</v>
      </c>
      <c r="J883" s="8" t="s">
        <v>505</v>
      </c>
    </row>
    <row r="884" customFormat="false" ht="17.15" hidden="false" customHeight="false" outlineLevel="0" collapsed="false">
      <c r="A884" s="0" t="s">
        <v>506</v>
      </c>
      <c r="B884" s="0" t="s">
        <v>29</v>
      </c>
      <c r="C884" s="11" t="n">
        <f aca="false">tl25*w_tlai*C883</f>
        <v>25.4032258064516</v>
      </c>
      <c r="D884" s="11" t="n">
        <f aca="false">tl25*w_tlai*D883</f>
        <v>41.9692241830499</v>
      </c>
      <c r="E884" s="11" t="n">
        <f aca="false">tl25*w_tlai*E883</f>
        <v>64.1473952271414</v>
      </c>
      <c r="F884" s="11" t="n">
        <f aca="false">tl25*w_tlai*F883</f>
        <v>80.5058633897778</v>
      </c>
      <c r="G884" s="11" t="n">
        <f aca="false">tl25*w_tlai*G883</f>
        <v>93.3414683550913</v>
      </c>
      <c r="J884" s="5" t="s">
        <v>507</v>
      </c>
    </row>
    <row r="885" customFormat="false" ht="17.15" hidden="false" customHeight="false" outlineLevel="0" collapsed="false">
      <c r="A885" s="5" t="s">
        <v>508</v>
      </c>
      <c r="B885" s="0" t="s">
        <v>29</v>
      </c>
      <c r="C885" s="11" t="n">
        <f aca="false">tl25*(1-w_tlai)</f>
        <v>66.3434641935484</v>
      </c>
      <c r="D885" s="11" t="n">
        <f aca="false">C885*(1+g_tl)</f>
        <v>69.6606374032258</v>
      </c>
      <c r="E885" s="11" t="n">
        <f aca="false">D885*(1+g_tl)</f>
        <v>73.1436692733871</v>
      </c>
      <c r="F885" s="11" t="n">
        <f aca="false">E885*(1+g_tl)</f>
        <v>76.8008527370565</v>
      </c>
      <c r="G885" s="11" t="n">
        <f aca="false">F885*(1+g_tl)</f>
        <v>80.6408953739093</v>
      </c>
    </row>
    <row r="886" customFormat="false" ht="15" hidden="false" customHeight="false" outlineLevel="0" collapsed="false">
      <c r="A886" s="5" t="s">
        <v>509</v>
      </c>
      <c r="B886" s="0" t="s">
        <v>29</v>
      </c>
      <c r="C886" s="11" t="n">
        <f aca="false">C884+C885</f>
        <v>91.74669</v>
      </c>
      <c r="D886" s="11" t="n">
        <f aca="false">D884+D885</f>
        <v>111.629861586276</v>
      </c>
      <c r="E886" s="11" t="n">
        <f aca="false">E884+E885</f>
        <v>137.291064500529</v>
      </c>
      <c r="F886" s="11" t="n">
        <f aca="false">F884+F885</f>
        <v>157.306716126834</v>
      </c>
      <c r="G886" s="11" t="n">
        <f aca="false">G884+G885</f>
        <v>173.982363729001</v>
      </c>
    </row>
    <row r="887" customFormat="false" ht="15" hidden="false" customHeight="false" outlineLevel="0" collapsed="false">
      <c r="A887" s="5" t="s">
        <v>393</v>
      </c>
      <c r="B887" s="0" t="s">
        <v>29</v>
      </c>
      <c r="C887" s="11" t="n">
        <f aca="false">r_ot*(C882+C886)</f>
        <v>74.27113</v>
      </c>
      <c r="D887" s="11" t="n">
        <f aca="false">r_ot*(D882+D886)</f>
        <v>88.6492037005456</v>
      </c>
      <c r="E887" s="11" t="n">
        <f aca="false">r_ot*(E882+E886)</f>
        <v>96.97085344033</v>
      </c>
      <c r="F887" s="11" t="n">
        <f aca="false">r_ot*(F882+F886)</f>
        <v>105.616035072852</v>
      </c>
      <c r="G887" s="11" t="n">
        <f aca="false">r_ot*(G882+G886)</f>
        <v>111.894965564265</v>
      </c>
    </row>
    <row r="888" customFormat="false" ht="15" hidden="false" customHeight="false" outlineLevel="0" collapsed="false">
      <c r="A888" s="5" t="s">
        <v>363</v>
      </c>
      <c r="B888" s="0" t="s">
        <v>29</v>
      </c>
      <c r="C888" s="11" t="n">
        <f aca="false">C882+C886+C887</f>
        <v>436.889</v>
      </c>
      <c r="D888" s="11" t="n">
        <f aca="false">D882+D886+D887</f>
        <v>521.465904120857</v>
      </c>
      <c r="E888" s="11" t="n">
        <f aca="false">E882+E886+E887</f>
        <v>570.416784943117</v>
      </c>
      <c r="F888" s="11" t="n">
        <f aca="false">F882+F886+F887</f>
        <v>621.270794546189</v>
      </c>
      <c r="G888" s="11" t="n">
        <f aca="false">G882+G886+G887</f>
        <v>658.205679789792</v>
      </c>
    </row>
    <row r="889" customFormat="false" ht="17.15" hidden="false" customHeight="false" outlineLevel="0" collapsed="false">
      <c r="A889" s="0" t="s">
        <v>510</v>
      </c>
      <c r="B889" s="0" t="s">
        <v>56</v>
      </c>
      <c r="C889" s="14" t="n">
        <f aca="false">(C880+C884)*(1+r_ot)/C888</f>
        <v>0.276884384673187</v>
      </c>
      <c r="D889" s="14" t="n">
        <f aca="false">(D880+D884)*(1+r_ot)/D888</f>
        <v>0.332196842860867</v>
      </c>
      <c r="E889" s="14" t="n">
        <f aca="false">(E880+E884)*(1+r_ot)/E888</f>
        <v>0.326545110540231</v>
      </c>
      <c r="F889" s="14" t="n">
        <f aca="false">(F880+F884)*(1+r_ot)/F888</f>
        <v>0.317400350824655</v>
      </c>
      <c r="G889" s="14" t="n">
        <f aca="false">(G880+G884)*(1+r_ot)/G888</f>
        <v>0.288229245657023</v>
      </c>
    </row>
    <row r="890" customFormat="false" ht="17.15" hidden="false" customHeight="false" outlineLevel="0" collapsed="false">
      <c r="A890" s="0" t="s">
        <v>511</v>
      </c>
      <c r="B890" s="0" t="s">
        <v>56</v>
      </c>
      <c r="C890" s="14" t="n">
        <f aca="false">C880*(1+r_ot)/C888</f>
        <v>0.206829299394429</v>
      </c>
      <c r="D890" s="14" t="n">
        <f aca="false">D880*(1+r_ot)/D888</f>
        <v>0.235229179315784</v>
      </c>
      <c r="E890" s="14" t="n">
        <f aca="false">E880*(1+r_ot)/E888</f>
        <v>0.191054675500419</v>
      </c>
      <c r="F890" s="14" t="n">
        <f aca="false">F880*(1+r_ot)/F888</f>
        <v>0.161276778006279</v>
      </c>
      <c r="G890" s="14" t="n">
        <f aca="false">G880*(1+r_ot)/G888</f>
        <v>0.117371406107937</v>
      </c>
      <c r="J890" s="5" t="s">
        <v>512</v>
      </c>
    </row>
    <row r="891" customFormat="false" ht="17.15" hidden="false" customHeight="false" outlineLevel="0" collapsed="false">
      <c r="A891" s="5" t="s">
        <v>401</v>
      </c>
      <c r="B891" s="0" t="s">
        <v>56</v>
      </c>
      <c r="C891" s="14" t="n">
        <f aca="false">a25_gp/a25_rev</f>
        <v>0.701498549974936</v>
      </c>
      <c r="D891" s="14" t="n">
        <f aca="false">gm_a+gm_b*LN(D888)+0</f>
        <v>0.722596944534947</v>
      </c>
      <c r="E891" s="14" t="n">
        <f aca="false">gm_a+gm_b*LN(E888)+0</f>
        <v>0.732809796965098</v>
      </c>
      <c r="F891" s="14" t="n">
        <f aca="false">gm_a+gm_b*LN(F888)+0</f>
        <v>0.742530505820693</v>
      </c>
      <c r="G891" s="14" t="n">
        <f aca="false">gm_a+gm_b*LN(G888)+0</f>
        <v>0.749104002391604</v>
      </c>
      <c r="J891" s="8" t="s">
        <v>513</v>
      </c>
    </row>
    <row r="892" customFormat="false" ht="15" hidden="false" customHeight="false" outlineLevel="0" collapsed="false">
      <c r="A892" s="5" t="s">
        <v>398</v>
      </c>
      <c r="B892" s="0" t="s">
        <v>29</v>
      </c>
      <c r="C892" s="11" t="n">
        <f aca="false">C888*C891</f>
        <v>306.477</v>
      </c>
      <c r="D892" s="11" t="n">
        <f aca="false">D888*D891</f>
        <v>376.809668996885</v>
      </c>
      <c r="E892" s="11" t="n">
        <f aca="false">E888*E891</f>
        <v>418.00700835965</v>
      </c>
      <c r="F892" s="11" t="n">
        <f aca="false">F888*F891</f>
        <v>461.312517326006</v>
      </c>
      <c r="G892" s="11" t="n">
        <f aca="false">G888*G891</f>
        <v>493.064509127419</v>
      </c>
    </row>
    <row r="893" customFormat="false" ht="17.15" hidden="false" customHeight="false" outlineLevel="0" collapsed="false">
      <c r="A893" s="5" t="s">
        <v>399</v>
      </c>
      <c r="B893" s="0" t="s">
        <v>29</v>
      </c>
      <c r="C893" s="11" t="n">
        <f aca="false">a25_sga</f>
        <v>121.487</v>
      </c>
      <c r="D893" s="11" t="n">
        <f aca="false">sg_f+sg_v*D888</f>
        <v>139.724145941737</v>
      </c>
      <c r="E893" s="11" t="n">
        <f aca="false">sg_f+sg_v*E888</f>
        <v>152.077734552193</v>
      </c>
      <c r="F893" s="11" t="n">
        <f aca="false">sg_f+sg_v*F888</f>
        <v>164.911610128601</v>
      </c>
      <c r="G893" s="11" t="n">
        <f aca="false">sg_f+sg_v*G888</f>
        <v>174.232757572925</v>
      </c>
      <c r="J893" s="5" t="s">
        <v>514</v>
      </c>
    </row>
    <row r="894" customFormat="false" ht="15" hidden="false" customHeight="false" outlineLevel="0" collapsed="false">
      <c r="A894" s="5" t="s">
        <v>367</v>
      </c>
      <c r="B894" s="0" t="s">
        <v>29</v>
      </c>
      <c r="C894" s="11" t="n">
        <f aca="false">C892-C893</f>
        <v>184.99</v>
      </c>
      <c r="D894" s="11" t="n">
        <f aca="false">D892-D893</f>
        <v>237.085523055147</v>
      </c>
      <c r="E894" s="11" t="n">
        <f aca="false">E892-E893</f>
        <v>265.929273807457</v>
      </c>
      <c r="F894" s="11" t="n">
        <f aca="false">F892-F893</f>
        <v>296.400907197405</v>
      </c>
      <c r="G894" s="11" t="n">
        <f aca="false">G892-G893</f>
        <v>318.831751554494</v>
      </c>
    </row>
    <row r="895" customFormat="false" ht="15" hidden="false" customHeight="false" outlineLevel="0" collapsed="false">
      <c r="A895" s="5" t="s">
        <v>515</v>
      </c>
      <c r="B895" s="0" t="s">
        <v>56</v>
      </c>
      <c r="C895" s="14" t="n">
        <f aca="false">C894/C888</f>
        <v>0.423425629851061</v>
      </c>
      <c r="D895" s="14" t="n">
        <f aca="false">D894/D888</f>
        <v>0.454652013068528</v>
      </c>
      <c r="E895" s="14" t="n">
        <f aca="false">E894/E888</f>
        <v>0.466201698174039</v>
      </c>
      <c r="F895" s="14" t="n">
        <f aca="false">F894/F888</f>
        <v>0.477088106827736</v>
      </c>
      <c r="G895" s="14" t="n">
        <f aca="false">G894/G888</f>
        <v>0.48439532101321</v>
      </c>
    </row>
    <row r="896" customFormat="false" ht="15" hidden="false" customHeight="false" outlineLevel="0" collapsed="false">
      <c r="A896" s="5" t="s">
        <v>370</v>
      </c>
      <c r="B896" s="0" t="s">
        <v>29</v>
      </c>
      <c r="C896" s="11" t="n">
        <f aca="false">a25_ni</f>
        <v>135.521</v>
      </c>
      <c r="D896" s="11" t="n">
        <f aca="false">D894*nioi</f>
        <v>173.686366053963</v>
      </c>
      <c r="E896" s="11" t="n">
        <f aca="false">E894*nioi</f>
        <v>194.816995149227</v>
      </c>
      <c r="F896" s="11" t="n">
        <f aca="false">F894*nioi</f>
        <v>217.14019398072</v>
      </c>
      <c r="G896" s="11" t="n">
        <f aca="false">G894*nioi</f>
        <v>233.572795152234</v>
      </c>
    </row>
    <row r="897" customFormat="false" ht="15" hidden="false" customHeight="false" outlineLevel="0" collapsed="false">
      <c r="A897" s="0" t="s">
        <v>459</v>
      </c>
      <c r="B897" s="0" t="s">
        <v>51</v>
      </c>
      <c r="C897" s="11" t="n">
        <f aca="false">a25_eps</f>
        <v>1249.84</v>
      </c>
      <c r="D897" s="11" t="n">
        <f aca="false">D896*1000/shares</f>
        <v>1601.07812964723</v>
      </c>
      <c r="E897" s="11" t="n">
        <f aca="false">E896*1000/shares</f>
        <v>1795.86479528339</v>
      </c>
      <c r="F897" s="11" t="n">
        <f aca="false">F896*1000/shares</f>
        <v>2001.64482422225</v>
      </c>
      <c r="G897" s="11" t="n">
        <f aca="false">G896*1000/shares</f>
        <v>2153.12406203849</v>
      </c>
    </row>
    <row r="898" customFormat="false" ht="17.15" hidden="false" customHeight="false" outlineLevel="0" collapsed="false">
      <c r="A898" s="5" t="s">
        <v>516</v>
      </c>
      <c r="B898" s="0" t="s">
        <v>29</v>
      </c>
      <c r="C898" s="16" t="n">
        <f aca="false">ABS(C888-a25_rev)+ABS(C894-a25_oi)</f>
        <v>0.000999999999976353</v>
      </c>
    </row>
    <row r="900" customFormat="false" ht="17.15" hidden="false" customHeight="false" outlineLevel="0" collapsed="false">
      <c r="A900" s="3" t="s">
        <v>732</v>
      </c>
    </row>
    <row r="901" customFormat="false" ht="17.15" hidden="false" customHeight="false" outlineLevel="0" collapsed="false">
      <c r="A901" s="6" t="s">
        <v>18</v>
      </c>
      <c r="B901" s="6" t="s">
        <v>19</v>
      </c>
      <c r="C901" s="9" t="s">
        <v>464</v>
      </c>
      <c r="D901" s="9" t="s">
        <v>465</v>
      </c>
      <c r="E901" s="9" t="s">
        <v>466</v>
      </c>
      <c r="F901" s="9" t="s">
        <v>467</v>
      </c>
      <c r="G901" s="9" t="s">
        <v>468</v>
      </c>
      <c r="H901" s="9" t="s">
        <v>469</v>
      </c>
      <c r="I901" s="9" t="s">
        <v>470</v>
      </c>
      <c r="J901" s="6" t="s">
        <v>450</v>
      </c>
    </row>
    <row r="902" customFormat="false" ht="17.15" hidden="false" customHeight="false" outlineLevel="0" collapsed="false">
      <c r="A902" s="1" t="s">
        <v>471</v>
      </c>
    </row>
    <row r="903" customFormat="false" ht="17.15" hidden="false" customHeight="false" outlineLevel="0" collapsed="false">
      <c r="A903" s="0" t="s">
        <v>472</v>
      </c>
      <c r="B903" s="0" t="s">
        <v>96</v>
      </c>
      <c r="C903" s="19" t="n">
        <f aca="false">hsA_25</f>
        <v>2.22511470588235</v>
      </c>
      <c r="D903" s="19" t="n">
        <f aca="false">hsA_26</f>
        <v>3.782695</v>
      </c>
      <c r="E903" s="19" t="n">
        <f aca="false">hsA_27</f>
        <v>5.86317725</v>
      </c>
      <c r="F903" s="19" t="n">
        <f aca="false">hsA_28</f>
        <v>8.5016070125</v>
      </c>
      <c r="G903" s="19" t="n">
        <f aca="false">hsA_29</f>
        <v>11.477169466875</v>
      </c>
      <c r="H903" s="19" t="n">
        <f aca="false">G903*(1+g_tail)</f>
        <v>12.6248864135625</v>
      </c>
      <c r="I903" s="19" t="n">
        <f aca="false">H903*(1+g_tail)</f>
        <v>13.8873750549188</v>
      </c>
      <c r="J903" s="8" t="s">
        <v>473</v>
      </c>
    </row>
    <row r="904" customFormat="false" ht="17.15" hidden="false" customHeight="false" outlineLevel="0" collapsed="false">
      <c r="A904" s="0" t="s">
        <v>474</v>
      </c>
      <c r="B904" s="0" t="s">
        <v>475</v>
      </c>
      <c r="C904" s="19" t="n">
        <f aca="false">den_25</f>
        <v>24</v>
      </c>
      <c r="D904" s="19" t="n">
        <f aca="false">den_26</f>
        <v>24</v>
      </c>
      <c r="E904" s="19" t="n">
        <f aca="false">den_27</f>
        <v>26</v>
      </c>
      <c r="F904" s="19" t="n">
        <f aca="false">den_28</f>
        <v>28</v>
      </c>
      <c r="G904" s="19" t="n">
        <f aca="false">den_29</f>
        <v>30</v>
      </c>
      <c r="H904" s="19" t="n">
        <f aca="false">den_30</f>
        <v>32</v>
      </c>
      <c r="I904" s="19" t="n">
        <f aca="false">den_30</f>
        <v>32</v>
      </c>
    </row>
    <row r="905" customFormat="false" ht="15" hidden="false" customHeight="false" outlineLevel="0" collapsed="false">
      <c r="A905" s="5" t="s">
        <v>476</v>
      </c>
      <c r="B905" s="5" t="s">
        <v>148</v>
      </c>
      <c r="C905" s="19" t="n">
        <f aca="false">stk_25</f>
        <v>10</v>
      </c>
      <c r="D905" s="19" t="n">
        <f aca="false">stk_26</f>
        <v>12</v>
      </c>
      <c r="E905" s="19" t="n">
        <f aca="false">stk_27</f>
        <v>12.5</v>
      </c>
      <c r="F905" s="19" t="n">
        <f aca="false">stk_28</f>
        <v>14</v>
      </c>
      <c r="G905" s="19" t="n">
        <f aca="false">stk_29</f>
        <v>15</v>
      </c>
      <c r="H905" s="19" t="n">
        <f aca="false">stk_30</f>
        <v>16</v>
      </c>
      <c r="I905" s="19" t="n">
        <f aca="false">stk_30</f>
        <v>16</v>
      </c>
    </row>
    <row r="906" customFormat="false" ht="17.15" hidden="false" customHeight="false" outlineLevel="0" collapsed="false">
      <c r="A906" s="0" t="s">
        <v>477</v>
      </c>
      <c r="B906" s="5" t="s">
        <v>478</v>
      </c>
      <c r="C906" s="19" t="n">
        <f aca="false">C903*8/C904</f>
        <v>0.741704901960783</v>
      </c>
      <c r="D906" s="19" t="n">
        <f aca="false">D903*8/D904</f>
        <v>1.26089833333333</v>
      </c>
      <c r="E906" s="19" t="n">
        <f aca="false">E903*8/E904</f>
        <v>1.80405453846154</v>
      </c>
      <c r="F906" s="19" t="n">
        <f aca="false">F903*8/F904</f>
        <v>2.429030575</v>
      </c>
      <c r="G906" s="19" t="n">
        <f aca="false">G903*8/G904</f>
        <v>3.0605785245</v>
      </c>
      <c r="H906" s="19" t="n">
        <f aca="false">H903*8/H904</f>
        <v>3.15622160339063</v>
      </c>
      <c r="I906" s="19" t="n">
        <f aca="false">I903*8/I904</f>
        <v>3.47184376372969</v>
      </c>
      <c r="J906" s="8" t="s">
        <v>479</v>
      </c>
    </row>
    <row r="907" customFormat="false" ht="17.15" hidden="false" customHeight="false" outlineLevel="0" collapsed="false">
      <c r="A907" s="0" t="s">
        <v>480</v>
      </c>
      <c r="B907" s="5" t="s">
        <v>481</v>
      </c>
      <c r="C907" s="19" t="n">
        <f aca="false">C906*(1+s_stk/C905)</f>
        <v>0.964216372549018</v>
      </c>
      <c r="D907" s="19" t="n">
        <f aca="false">D906*(1+s_stk/D905)</f>
        <v>1.57612291666667</v>
      </c>
      <c r="E907" s="19" t="n">
        <f aca="false">E906*(1+s_stk/E905)</f>
        <v>2.23702762769231</v>
      </c>
      <c r="F907" s="19" t="n">
        <f aca="false">F906*(1+s_stk/F905)</f>
        <v>2.94953712678571</v>
      </c>
      <c r="G907" s="19" t="n">
        <f aca="false">G906*(1+s_stk/G905)</f>
        <v>3.6726942294</v>
      </c>
      <c r="H907" s="19" t="n">
        <f aca="false">H906*(1+s_stk/H905)</f>
        <v>3.74801315402637</v>
      </c>
      <c r="I907" s="19" t="n">
        <f aca="false">I906*(1+s_stk/I905)</f>
        <v>4.12281446942901</v>
      </c>
      <c r="J907" s="5" t="s">
        <v>482</v>
      </c>
    </row>
    <row r="908" customFormat="false" ht="17.15" hidden="false" customHeight="false" outlineLevel="0" collapsed="false">
      <c r="A908" s="5" t="s">
        <v>483</v>
      </c>
      <c r="B908" s="0" t="s">
        <v>56</v>
      </c>
      <c r="C908" s="22" t="n">
        <f aca="false">hbp_25*hb_on</f>
        <v>0</v>
      </c>
      <c r="D908" s="22" t="n">
        <f aca="false">hbp_26*hb_on</f>
        <v>0</v>
      </c>
      <c r="E908" s="22" t="n">
        <f aca="false">hbp_27*hb_on</f>
        <v>0</v>
      </c>
      <c r="F908" s="22" t="n">
        <f aca="false">hbp_28*hb_on</f>
        <v>0.05</v>
      </c>
      <c r="G908" s="22" t="n">
        <f aca="false">hbp_29*hb_on</f>
        <v>0.15</v>
      </c>
      <c r="H908" s="22" t="n">
        <f aca="false">hbp_30*hb_on</f>
        <v>0.25</v>
      </c>
      <c r="I908" s="22" t="n">
        <f aca="false">hbp_30*hb_on</f>
        <v>0.25</v>
      </c>
    </row>
    <row r="909" customFormat="false" ht="17.15" hidden="false" customHeight="false" outlineLevel="0" collapsed="false">
      <c r="A909" s="0" t="s">
        <v>484</v>
      </c>
      <c r="B909" s="5" t="s">
        <v>481</v>
      </c>
      <c r="C909" s="19" t="n">
        <f aca="false">C907*(1+C908*hb_eff)</f>
        <v>0.964216372549018</v>
      </c>
      <c r="D909" s="19" t="n">
        <f aca="false">D907*(1+D908*hb_eff)</f>
        <v>1.57612291666667</v>
      </c>
      <c r="E909" s="19" t="n">
        <f aca="false">E907*(1+E908*hb_eff)</f>
        <v>2.23702762769231</v>
      </c>
      <c r="F909" s="19" t="n">
        <f aca="false">F907*(1+F908*hb_eff)</f>
        <v>2.96428481241964</v>
      </c>
      <c r="G909" s="19" t="n">
        <f aca="false">G907*(1+G908*hb_eff)</f>
        <v>3.727784642841</v>
      </c>
      <c r="H909" s="19" t="n">
        <f aca="false">H907*(1+H908*hb_eff)</f>
        <v>3.84171348287703</v>
      </c>
      <c r="I909" s="19" t="n">
        <f aca="false">I907*(1+I908*hb_eff)</f>
        <v>4.22588483116473</v>
      </c>
      <c r="J909" s="5" t="s">
        <v>485</v>
      </c>
    </row>
    <row r="910" customFormat="false" ht="17.15" hidden="false" customHeight="false" outlineLevel="0" collapsed="false">
      <c r="A910" s="0" t="s">
        <v>486</v>
      </c>
      <c r="B910" s="5" t="s">
        <v>481</v>
      </c>
      <c r="C910" s="19" t="n">
        <f aca="false">MAX(0,D909-C909)+dlt*C909</f>
        <v>0.70832818137255</v>
      </c>
      <c r="D910" s="19" t="n">
        <f aca="false">MAX(0,E909-D909)+dlt*D909</f>
        <v>0.818517002692307</v>
      </c>
      <c r="E910" s="19" t="n">
        <f aca="false">MAX(0,F909-E909)+dlt*E909</f>
        <v>0.950959947496565</v>
      </c>
      <c r="F910" s="19" t="n">
        <f aca="false">MAX(0,G909-F909)+dlt*F909</f>
        <v>1.05992831166332</v>
      </c>
      <c r="G910" s="19" t="n">
        <f aca="false">MAX(0,H909-G909)+dlt*G909</f>
        <v>0.486707304320127</v>
      </c>
      <c r="H910" s="19" t="n">
        <f aca="false">MAX(0,I909-H909)+dlt*H909</f>
        <v>0.768342696575406</v>
      </c>
      <c r="J910" s="5" t="s">
        <v>487</v>
      </c>
    </row>
    <row r="911" customFormat="false" ht="17.15" hidden="false" customHeight="false" outlineLevel="0" collapsed="false">
      <c r="A911" s="0" t="s">
        <v>488</v>
      </c>
      <c r="B911" s="5" t="s">
        <v>177</v>
      </c>
      <c r="C911" s="21" t="n">
        <f aca="false">cw_25</f>
        <v>670</v>
      </c>
      <c r="D911" s="21" t="n">
        <f aca="false">cw_26</f>
        <v>1107.85762580894</v>
      </c>
      <c r="E911" s="21" t="n">
        <f aca="false">cw_27</f>
        <v>2096.42857142857</v>
      </c>
      <c r="F911" s="21" t="n">
        <f aca="false">cw_28*um28_A</f>
        <v>2620.08928571429</v>
      </c>
      <c r="G911" s="21" t="n">
        <f aca="false">cw_29*um29_A</f>
        <v>3013.32589285714</v>
      </c>
      <c r="H911" s="21" t="n">
        <f aca="false">G911*(1+g_tail)</f>
        <v>3314.65848214285</v>
      </c>
      <c r="I911" s="21" t="n">
        <f aca="false">H911*(1+g_tail)</f>
        <v>3646.12433035714</v>
      </c>
      <c r="J911" s="5" t="s">
        <v>489</v>
      </c>
    </row>
    <row r="912" customFormat="false" ht="15" hidden="false" customHeight="false" outlineLevel="0" collapsed="false">
      <c r="A912" s="5" t="s">
        <v>490</v>
      </c>
      <c r="B912" s="5" t="s">
        <v>177</v>
      </c>
      <c r="C912" s="21" t="n">
        <f aca="false">MAX(0,D911-C911)+dlt*C911</f>
        <v>504.85762580894</v>
      </c>
      <c r="D912" s="21" t="n">
        <f aca="false">MAX(0,E911-D911)+dlt*D911</f>
        <v>1099.35670820052</v>
      </c>
      <c r="E912" s="21" t="n">
        <f aca="false">MAX(0,F911-E911)+dlt*E911</f>
        <v>733.303571428577</v>
      </c>
      <c r="F912" s="21" t="n">
        <f aca="false">MAX(0,G911-F911)+dlt*F911</f>
        <v>655.245535714279</v>
      </c>
      <c r="G912" s="21" t="n">
        <f aca="false">MAX(0,H911-G911)+dlt*G911</f>
        <v>602.665178571428</v>
      </c>
      <c r="H912" s="21" t="n">
        <f aca="false">MAX(0,I911-H911)+dlt*H911</f>
        <v>662.931696428571</v>
      </c>
    </row>
    <row r="913" customFormat="false" ht="17.15" hidden="false" customHeight="false" outlineLevel="0" collapsed="false">
      <c r="A913" s="1" t="s">
        <v>491</v>
      </c>
    </row>
    <row r="914" customFormat="false" ht="17.15" hidden="false" customHeight="false" outlineLevel="0" collapsed="false">
      <c r="A914" s="0" t="s">
        <v>492</v>
      </c>
      <c r="B914" s="0" t="s">
        <v>493</v>
      </c>
      <c r="C914" s="16" t="n">
        <f aca="false">ai25*w_hbm/(0.75*C910+0.25*D910)</f>
        <v>48.9213264236471</v>
      </c>
      <c r="J914" s="5" t="s">
        <v>494</v>
      </c>
    </row>
    <row r="915" customFormat="false" ht="17.15" hidden="false" customHeight="false" outlineLevel="0" collapsed="false">
      <c r="A915" s="5" t="s">
        <v>495</v>
      </c>
      <c r="B915" s="0" t="s">
        <v>496</v>
      </c>
      <c r="C915" s="18" t="n">
        <f aca="false">ai25*(1-w_hbm)/(0.75*C912+0.25*D912)</f>
        <v>0.0596802610360141</v>
      </c>
    </row>
    <row r="916" customFormat="false" ht="17.15" hidden="false" customHeight="false" outlineLevel="0" collapsed="false">
      <c r="A916" s="1" t="s">
        <v>497</v>
      </c>
    </row>
    <row r="917" customFormat="false" ht="17.15" hidden="false" customHeight="false" outlineLevel="0" collapsed="false">
      <c r="A917" s="5" t="s">
        <v>498</v>
      </c>
      <c r="B917" s="0" t="s">
        <v>76</v>
      </c>
      <c r="C917" s="16" t="n">
        <f aca="false">1-sh_loss/sh*0</f>
        <v>1</v>
      </c>
      <c r="D917" s="16" t="n">
        <f aca="false">1-sh_loss/sh*0.25</f>
        <v>1</v>
      </c>
      <c r="E917" s="16" t="n">
        <f aca="false">1-sh_loss/sh*0.5</f>
        <v>1</v>
      </c>
      <c r="F917" s="16" t="n">
        <f aca="false">1-sh_loss/sh*0.75</f>
        <v>1</v>
      </c>
      <c r="G917" s="16" t="n">
        <f aca="false">1-sh_loss/sh*1</f>
        <v>1</v>
      </c>
    </row>
    <row r="918" customFormat="false" ht="17.15" hidden="false" customHeight="false" outlineLevel="0" collapsed="false">
      <c r="A918" s="0" t="s">
        <v>499</v>
      </c>
      <c r="B918" s="0" t="s">
        <v>29</v>
      </c>
      <c r="C918" s="11" t="n">
        <f aca="false">$C$914*(0.75*C910+0.25*D910)*C917</f>
        <v>36</v>
      </c>
      <c r="D918" s="11" t="n">
        <f aca="false">$C$914*(0.75*D910+0.25*E910)*D917</f>
        <v>41.6627586058351</v>
      </c>
      <c r="E918" s="11" t="n">
        <f aca="false">$C$914*(0.75*E910+0.25*F910)*E917</f>
        <v>47.8549412356069</v>
      </c>
      <c r="F918" s="11" t="n">
        <f aca="false">$C$914*(0.75*F910+0.25*G910)*F917</f>
        <v>44.8424159172644</v>
      </c>
      <c r="G918" s="11" t="n">
        <f aca="false">$C$914*(0.75*G910+0.25*H910)*G917</f>
        <v>27.2548611466613</v>
      </c>
    </row>
    <row r="919" customFormat="false" ht="17.15" hidden="false" customHeight="false" outlineLevel="0" collapsed="false">
      <c r="A919" s="5" t="s">
        <v>500</v>
      </c>
      <c r="B919" s="0" t="s">
        <v>29</v>
      </c>
      <c r="C919" s="11" t="n">
        <f aca="false">$C$915*(0.75*C912+0.25*D912)*C917</f>
        <v>39</v>
      </c>
      <c r="D919" s="11" t="n">
        <f aca="false">$C$915*(0.75*D912+0.25*E912)*D917</f>
        <v>60.1483586282001</v>
      </c>
      <c r="E919" s="11" t="n">
        <f aca="false">$C$915*(0.75*E912+0.25*F912)*E917</f>
        <v>42.5991175746519</v>
      </c>
      <c r="F919" s="11" t="n">
        <f aca="false">$C$915*(0.75*F912+0.25*G912)*F917</f>
        <v>38.320722254198</v>
      </c>
      <c r="G919" s="11" t="n">
        <f aca="false">$C$915*(0.75*G912+0.25*H912)*G917</f>
        <v>36.8663955538204</v>
      </c>
    </row>
    <row r="920" customFormat="false" ht="17.15" hidden="false" customHeight="false" outlineLevel="0" collapsed="false">
      <c r="A920" s="0" t="s">
        <v>501</v>
      </c>
      <c r="B920" s="0" t="s">
        <v>29</v>
      </c>
      <c r="C920" s="11" t="n">
        <f aca="false">C918+C919</f>
        <v>75</v>
      </c>
      <c r="D920" s="11" t="n">
        <f aca="false">D918+D919</f>
        <v>101.811117234035</v>
      </c>
      <c r="E920" s="11" t="n">
        <f aca="false">E918+E919</f>
        <v>90.4540588102588</v>
      </c>
      <c r="F920" s="11" t="n">
        <f aca="false">F918+F919</f>
        <v>83.1631381714624</v>
      </c>
      <c r="G920" s="11" t="n">
        <f aca="false">G918+G919</f>
        <v>64.1212567004817</v>
      </c>
    </row>
    <row r="921" customFormat="false" ht="17.15" hidden="false" customHeight="false" outlineLevel="0" collapsed="false">
      <c r="A921" s="5" t="s">
        <v>502</v>
      </c>
      <c r="B921" s="0" t="s">
        <v>29</v>
      </c>
      <c r="C921" s="11" t="n">
        <f aca="false">eq25-ai25</f>
        <v>195.87118</v>
      </c>
      <c r="D921" s="11" t="n">
        <f aca="false">C921*(1+g_non)*D917/C917</f>
        <v>207.6234508</v>
      </c>
      <c r="E921" s="11" t="n">
        <f aca="false">D921*(1+g_non)*E917/D917</f>
        <v>220.080857848</v>
      </c>
      <c r="F921" s="11" t="n">
        <f aca="false">E921*(1+g_non)*F917/E917</f>
        <v>233.28570931888</v>
      </c>
      <c r="G921" s="11" t="n">
        <f aca="false">F921*(1+g_non)*G917/F917</f>
        <v>247.282851878013</v>
      </c>
    </row>
    <row r="922" customFormat="false" ht="15" hidden="false" customHeight="false" outlineLevel="0" collapsed="false">
      <c r="A922" s="5" t="s">
        <v>503</v>
      </c>
      <c r="B922" s="0" t="s">
        <v>29</v>
      </c>
      <c r="C922" s="11" t="n">
        <f aca="false">C920+C921</f>
        <v>270.87118</v>
      </c>
      <c r="D922" s="11" t="n">
        <f aca="false">D920+D921</f>
        <v>309.434568034035</v>
      </c>
      <c r="E922" s="11" t="n">
        <f aca="false">E920+E921</f>
        <v>310.534916658259</v>
      </c>
      <c r="F922" s="11" t="n">
        <f aca="false">F920+F921</f>
        <v>316.448847490343</v>
      </c>
      <c r="G922" s="11" t="n">
        <f aca="false">G920+G921</f>
        <v>311.404108578495</v>
      </c>
    </row>
    <row r="923" customFormat="false" ht="17.15" hidden="false" customHeight="false" outlineLevel="0" collapsed="false">
      <c r="A923" s="0" t="s">
        <v>504</v>
      </c>
      <c r="B923" s="0" t="s">
        <v>76</v>
      </c>
      <c r="C923" s="19" t="n">
        <f aca="false">w_hbm*(0.75*C909+0.25*D909)/(0.75*C909+0.25*D909)+(1-w_hbm)*(0.75*C911+0.25*D911)/(0.75*C911+0.25*D911)</f>
        <v>1</v>
      </c>
      <c r="D923" s="19" t="n">
        <f aca="false">w_hbm*(0.75*D909+0.25*E909)/(0.75*C909+0.25*D909)+(1-w_hbm)*(0.75*D911+0.25*E911)/(0.75*C911+0.25*D911)</f>
        <v>1.65212184085657</v>
      </c>
      <c r="E923" s="19" t="n">
        <f aca="false">w_hbm*(0.75*E909+0.25*F909)/(0.75*C909+0.25*D909)+(1-w_hbm)*(0.75*E911+0.25*F911)/(0.75*C911+0.25*D911)</f>
        <v>2.52516730417954</v>
      </c>
      <c r="F923" s="19" t="n">
        <f aca="false">w_hbm*(0.75*F909+0.25*G909)/(0.75*C909+0.25*D909)+(1-w_hbm)*(0.75*F911+0.25*G911)/(0.75*C911+0.25*D911)</f>
        <v>3.16911970169284</v>
      </c>
      <c r="G923" s="19" t="n">
        <f aca="false">w_hbm*(0.75*G909+0.25*H909)/(0.75*C909+0.25*D909)+(1-w_hbm)*(0.75*G911+0.25*H911)/(0.75*C911+0.25*D911)</f>
        <v>3.67439430985121</v>
      </c>
      <c r="J923" s="8" t="s">
        <v>505</v>
      </c>
    </row>
    <row r="924" customFormat="false" ht="17.15" hidden="false" customHeight="false" outlineLevel="0" collapsed="false">
      <c r="A924" s="0" t="s">
        <v>506</v>
      </c>
      <c r="B924" s="0" t="s">
        <v>29</v>
      </c>
      <c r="C924" s="11" t="n">
        <f aca="false">tl25*w_tlai*C923</f>
        <v>25.4032258064516</v>
      </c>
      <c r="D924" s="11" t="n">
        <f aca="false">tl25*w_tlai*D923</f>
        <v>41.9692241830499</v>
      </c>
      <c r="E924" s="11" t="n">
        <f aca="false">tl25*w_tlai*E923</f>
        <v>64.1473952271414</v>
      </c>
      <c r="F924" s="11" t="n">
        <f aca="false">tl25*w_tlai*F923</f>
        <v>80.5058633897778</v>
      </c>
      <c r="G924" s="11" t="n">
        <f aca="false">tl25*w_tlai*G923</f>
        <v>93.3414683550913</v>
      </c>
      <c r="J924" s="5" t="s">
        <v>507</v>
      </c>
    </row>
    <row r="925" customFormat="false" ht="17.15" hidden="false" customHeight="false" outlineLevel="0" collapsed="false">
      <c r="A925" s="5" t="s">
        <v>508</v>
      </c>
      <c r="B925" s="0" t="s">
        <v>29</v>
      </c>
      <c r="C925" s="11" t="n">
        <f aca="false">tl25*(1-w_tlai)</f>
        <v>66.3434641935484</v>
      </c>
      <c r="D925" s="11" t="n">
        <f aca="false">C925*(1+g_tl_lo)</f>
        <v>66.3434641935484</v>
      </c>
      <c r="E925" s="11" t="n">
        <f aca="false">D925*(1+g_tl_lo)</f>
        <v>66.3434641935484</v>
      </c>
      <c r="F925" s="11" t="n">
        <f aca="false">E925*(1+g_tl_lo)</f>
        <v>66.3434641935484</v>
      </c>
      <c r="G925" s="11" t="n">
        <f aca="false">F925*(1+g_tl_lo)</f>
        <v>66.3434641935484</v>
      </c>
    </row>
    <row r="926" customFormat="false" ht="15" hidden="false" customHeight="false" outlineLevel="0" collapsed="false">
      <c r="A926" s="5" t="s">
        <v>509</v>
      </c>
      <c r="B926" s="0" t="s">
        <v>29</v>
      </c>
      <c r="C926" s="11" t="n">
        <f aca="false">C924+C925</f>
        <v>91.74669</v>
      </c>
      <c r="D926" s="11" t="n">
        <f aca="false">D924+D925</f>
        <v>108.312688376598</v>
      </c>
      <c r="E926" s="11" t="n">
        <f aca="false">E924+E925</f>
        <v>130.49085942069</v>
      </c>
      <c r="F926" s="11" t="n">
        <f aca="false">F924+F925</f>
        <v>146.849327583326</v>
      </c>
      <c r="G926" s="11" t="n">
        <f aca="false">G924+G925</f>
        <v>159.68493254864</v>
      </c>
    </row>
    <row r="927" customFormat="false" ht="15" hidden="false" customHeight="false" outlineLevel="0" collapsed="false">
      <c r="A927" s="5" t="s">
        <v>393</v>
      </c>
      <c r="B927" s="0" t="s">
        <v>29</v>
      </c>
      <c r="C927" s="11" t="n">
        <f aca="false">r_ot*(C922+C926)</f>
        <v>74.27113</v>
      </c>
      <c r="D927" s="11" t="n">
        <f aca="false">r_ot*(D922+D926)</f>
        <v>85.5626910720575</v>
      </c>
      <c r="E927" s="11" t="n">
        <f aca="false">r_ot*(E922+E926)</f>
        <v>90.3305806426763</v>
      </c>
      <c r="F927" s="11" t="n">
        <f aca="false">r_ot*(F922+F926)</f>
        <v>94.8923973042454</v>
      </c>
      <c r="G927" s="11" t="n">
        <f aca="false">r_ot*(G922+G926)</f>
        <v>96.4881168573649</v>
      </c>
    </row>
    <row r="928" customFormat="false" ht="15" hidden="false" customHeight="false" outlineLevel="0" collapsed="false">
      <c r="A928" s="5" t="s">
        <v>363</v>
      </c>
      <c r="B928" s="0" t="s">
        <v>29</v>
      </c>
      <c r="C928" s="11" t="n">
        <f aca="false">C922+C926+C927</f>
        <v>436.889</v>
      </c>
      <c r="D928" s="11" t="n">
        <f aca="false">D922+D926+D927</f>
        <v>503.309947482691</v>
      </c>
      <c r="E928" s="11" t="n">
        <f aca="false">E922+E926+E927</f>
        <v>531.356356721625</v>
      </c>
      <c r="F928" s="11" t="n">
        <f aca="false">F922+F926+F927</f>
        <v>558.190572377914</v>
      </c>
      <c r="G928" s="11" t="n">
        <f aca="false">G922+G926+G927</f>
        <v>567.577157984499</v>
      </c>
    </row>
    <row r="929" customFormat="false" ht="17.15" hidden="false" customHeight="false" outlineLevel="0" collapsed="false">
      <c r="A929" s="0" t="s">
        <v>510</v>
      </c>
      <c r="B929" s="0" t="s">
        <v>56</v>
      </c>
      <c r="C929" s="14" t="n">
        <f aca="false">(C920+C924)*(1+r_ot)/C928</f>
        <v>0.276884384673187</v>
      </c>
      <c r="D929" s="14" t="n">
        <f aca="false">(D920+D924)*(1+r_ot)/D928</f>
        <v>0.344180217130506</v>
      </c>
      <c r="E929" s="14" t="n">
        <f aca="false">(E920+E924)*(1+r_ot)/E928</f>
        <v>0.350549701225909</v>
      </c>
      <c r="F929" s="14" t="n">
        <f aca="false">(F920+F924)*(1+r_ot)/F928</f>
        <v>0.353269255885188</v>
      </c>
      <c r="G929" s="14" t="n">
        <f aca="false">(G920+G924)*(1+r_ot)/G928</f>
        <v>0.334252575009653</v>
      </c>
    </row>
    <row r="930" customFormat="false" ht="17.15" hidden="false" customHeight="false" outlineLevel="0" collapsed="false">
      <c r="A930" s="0" t="s">
        <v>511</v>
      </c>
      <c r="B930" s="0" t="s">
        <v>56</v>
      </c>
      <c r="C930" s="14" t="n">
        <f aca="false">C920*(1+r_ot)/C928</f>
        <v>0.206829299394429</v>
      </c>
      <c r="D930" s="14" t="n">
        <f aca="false">D920*(1+r_ot)/D928</f>
        <v>0.243714628095505</v>
      </c>
      <c r="E930" s="14" t="n">
        <f aca="false">E920*(1+r_ot)/E928</f>
        <v>0.205099256588727</v>
      </c>
      <c r="F930" s="14" t="n">
        <f aca="false">F920*(1+r_ot)/F928</f>
        <v>0.179502408267071</v>
      </c>
      <c r="G930" s="14" t="n">
        <f aca="false">G920*(1+r_ot)/G928</f>
        <v>0.136112817540956</v>
      </c>
      <c r="J930" s="5" t="s">
        <v>512</v>
      </c>
    </row>
    <row r="931" customFormat="false" ht="17.15" hidden="false" customHeight="false" outlineLevel="0" collapsed="false">
      <c r="A931" s="5" t="s">
        <v>401</v>
      </c>
      <c r="B931" s="0" t="s">
        <v>56</v>
      </c>
      <c r="C931" s="14" t="n">
        <f aca="false">a25_gp/a25_rev</f>
        <v>0.701498549974936</v>
      </c>
      <c r="D931" s="14" t="n">
        <f aca="false">gm_a+gm_b*LN(D928)+0</f>
        <v>0.718563212779214</v>
      </c>
      <c r="E931" s="14" t="n">
        <f aca="false">gm_a+gm_b*LN(E928)+0</f>
        <v>0.724735621523278</v>
      </c>
      <c r="F931" s="14" t="n">
        <f aca="false">gm_a+gm_b*LN(F928)+0</f>
        <v>0.730343545432463</v>
      </c>
      <c r="G931" s="14" t="n">
        <f aca="false">gm_a+gm_b*LN(G928)+0</f>
        <v>0.732241737821237</v>
      </c>
      <c r="J931" s="8" t="s">
        <v>513</v>
      </c>
    </row>
    <row r="932" customFormat="false" ht="15" hidden="false" customHeight="false" outlineLevel="0" collapsed="false">
      <c r="A932" s="5" t="s">
        <v>398</v>
      </c>
      <c r="B932" s="0" t="s">
        <v>29</v>
      </c>
      <c r="C932" s="11" t="n">
        <f aca="false">C928*C931</f>
        <v>306.477</v>
      </c>
      <c r="D932" s="11" t="n">
        <f aca="false">D928*D931</f>
        <v>361.6600128869</v>
      </c>
      <c r="E932" s="11" t="n">
        <f aca="false">E928*E931</f>
        <v>385.092879438992</v>
      </c>
      <c r="F932" s="11" t="n">
        <f aca="false">F928*F931</f>
        <v>407.670881657461</v>
      </c>
      <c r="G932" s="11" t="n">
        <f aca="false">G928*G931</f>
        <v>415.603684510208</v>
      </c>
    </row>
    <row r="933" customFormat="false" ht="17.15" hidden="false" customHeight="false" outlineLevel="0" collapsed="false">
      <c r="A933" s="5" t="s">
        <v>399</v>
      </c>
      <c r="B933" s="0" t="s">
        <v>29</v>
      </c>
      <c r="C933" s="11" t="n">
        <f aca="false">a25_sga</f>
        <v>121.487</v>
      </c>
      <c r="D933" s="11" t="n">
        <f aca="false">sg_f+sg_v*D928</f>
        <v>135.142181013434</v>
      </c>
      <c r="E933" s="11" t="n">
        <f aca="false">sg_f+sg_v*E928</f>
        <v>142.220170130653</v>
      </c>
      <c r="F933" s="11" t="n">
        <f aca="false">sg_f+sg_v*F928</f>
        <v>148.992241548647</v>
      </c>
      <c r="G933" s="11" t="n">
        <f aca="false">sg_f+sg_v*G928</f>
        <v>151.361106318652</v>
      </c>
      <c r="J933" s="5" t="s">
        <v>514</v>
      </c>
    </row>
    <row r="934" customFormat="false" ht="15" hidden="false" customHeight="false" outlineLevel="0" collapsed="false">
      <c r="A934" s="5" t="s">
        <v>367</v>
      </c>
      <c r="B934" s="0" t="s">
        <v>29</v>
      </c>
      <c r="C934" s="11" t="n">
        <f aca="false">C932-C933</f>
        <v>184.99</v>
      </c>
      <c r="D934" s="11" t="n">
        <f aca="false">D932-D933</f>
        <v>226.517831873466</v>
      </c>
      <c r="E934" s="11" t="n">
        <f aca="false">E932-E933</f>
        <v>242.872709308339</v>
      </c>
      <c r="F934" s="11" t="n">
        <f aca="false">F932-F933</f>
        <v>258.678640108815</v>
      </c>
      <c r="G934" s="11" t="n">
        <f aca="false">G932-G933</f>
        <v>264.242578191557</v>
      </c>
    </row>
    <row r="935" customFormat="false" ht="15" hidden="false" customHeight="false" outlineLevel="0" collapsed="false">
      <c r="A935" s="5" t="s">
        <v>515</v>
      </c>
      <c r="B935" s="0" t="s">
        <v>56</v>
      </c>
      <c r="C935" s="14" t="n">
        <f aca="false">C934/C928</f>
        <v>0.423425629851061</v>
      </c>
      <c r="D935" s="14" t="n">
        <f aca="false">D934/D928</f>
        <v>0.450056338060468</v>
      </c>
      <c r="E935" s="14" t="n">
        <f aca="false">E934/E928</f>
        <v>0.45708065074599</v>
      </c>
      <c r="F935" s="14" t="n">
        <f aca="false">F934/F928</f>
        <v>0.463423520406003</v>
      </c>
      <c r="G935" s="14" t="n">
        <f aca="false">G934/G928</f>
        <v>0.465562390019179</v>
      </c>
    </row>
    <row r="936" customFormat="false" ht="15" hidden="false" customHeight="false" outlineLevel="0" collapsed="false">
      <c r="A936" s="5" t="s">
        <v>370</v>
      </c>
      <c r="B936" s="0" t="s">
        <v>29</v>
      </c>
      <c r="C936" s="11" t="n">
        <f aca="false">a25_ni</f>
        <v>135.521</v>
      </c>
      <c r="D936" s="11" t="n">
        <f aca="false">D934*nioi</f>
        <v>165.944586398781</v>
      </c>
      <c r="E936" s="11" t="n">
        <f aca="false">E934*nioi</f>
        <v>177.925997968395</v>
      </c>
      <c r="F936" s="11" t="n">
        <f aca="false">F934*nioi</f>
        <v>189.505256994668</v>
      </c>
      <c r="G936" s="11" t="n">
        <f aca="false">G934*nioi</f>
        <v>193.581339642346</v>
      </c>
    </row>
    <row r="937" customFormat="false" ht="15" hidden="false" customHeight="false" outlineLevel="0" collapsed="false">
      <c r="A937" s="0" t="s">
        <v>459</v>
      </c>
      <c r="B937" s="0" t="s">
        <v>51</v>
      </c>
      <c r="C937" s="11" t="n">
        <f aca="false">a25_eps</f>
        <v>1249.84</v>
      </c>
      <c r="D937" s="11" t="n">
        <f aca="false">D936*1000/shares</f>
        <v>1529.71274632975</v>
      </c>
      <c r="E937" s="11" t="n">
        <f aca="false">E936*1000/shares</f>
        <v>1640.15996485496</v>
      </c>
      <c r="F937" s="11" t="n">
        <f aca="false">F936*1000/shares</f>
        <v>1746.90005508591</v>
      </c>
      <c r="G937" s="11" t="n">
        <f aca="false">G936*1000/shares</f>
        <v>1784.47425811693</v>
      </c>
    </row>
    <row r="938" customFormat="false" ht="17.15" hidden="false" customHeight="false" outlineLevel="0" collapsed="false">
      <c r="A938" s="5" t="s">
        <v>516</v>
      </c>
      <c r="B938" s="0" t="s">
        <v>29</v>
      </c>
      <c r="C938" s="16" t="n">
        <f aca="false">ABS(C928-a25_rev)+ABS(C934-a25_oi)</f>
        <v>0.000999999999976353</v>
      </c>
    </row>
    <row r="940" customFormat="false" ht="17.15" hidden="false" customHeight="false" outlineLevel="0" collapsed="false">
      <c r="A940" s="3" t="s">
        <v>733</v>
      </c>
    </row>
    <row r="941" customFormat="false" ht="17.15" hidden="false" customHeight="false" outlineLevel="0" collapsed="false">
      <c r="A941" s="6" t="s">
        <v>18</v>
      </c>
      <c r="B941" s="6" t="s">
        <v>19</v>
      </c>
      <c r="C941" s="9" t="s">
        <v>464</v>
      </c>
      <c r="D941" s="9" t="s">
        <v>465</v>
      </c>
      <c r="E941" s="9" t="s">
        <v>466</v>
      </c>
      <c r="F941" s="9" t="s">
        <v>467</v>
      </c>
      <c r="G941" s="9" t="s">
        <v>468</v>
      </c>
      <c r="H941" s="9" t="s">
        <v>469</v>
      </c>
      <c r="I941" s="9" t="s">
        <v>470</v>
      </c>
      <c r="J941" s="6" t="s">
        <v>450</v>
      </c>
    </row>
    <row r="942" customFormat="false" ht="17.15" hidden="false" customHeight="false" outlineLevel="0" collapsed="false">
      <c r="A942" s="1" t="s">
        <v>471</v>
      </c>
    </row>
    <row r="943" customFormat="false" ht="17.15" hidden="false" customHeight="false" outlineLevel="0" collapsed="false">
      <c r="A943" s="0" t="s">
        <v>472</v>
      </c>
      <c r="B943" s="0" t="s">
        <v>96</v>
      </c>
      <c r="C943" s="19" t="n">
        <f aca="false">hsA_25</f>
        <v>2.22511470588235</v>
      </c>
      <c r="D943" s="19" t="n">
        <f aca="false">hsA_26</f>
        <v>3.782695</v>
      </c>
      <c r="E943" s="19" t="n">
        <f aca="false">hsA_27</f>
        <v>5.86317725</v>
      </c>
      <c r="F943" s="19" t="n">
        <f aca="false">hsA_28</f>
        <v>8.5016070125</v>
      </c>
      <c r="G943" s="19" t="n">
        <f aca="false">hsA_29</f>
        <v>11.477169466875</v>
      </c>
      <c r="H943" s="19" t="n">
        <f aca="false">G943*(1+g_tail)</f>
        <v>12.6248864135625</v>
      </c>
      <c r="I943" s="19" t="n">
        <f aca="false">H943*(1+g_tail)</f>
        <v>13.8873750549188</v>
      </c>
      <c r="J943" s="8" t="s">
        <v>473</v>
      </c>
    </row>
    <row r="944" customFormat="false" ht="17.15" hidden="false" customHeight="false" outlineLevel="0" collapsed="false">
      <c r="A944" s="0" t="s">
        <v>474</v>
      </c>
      <c r="B944" s="0" t="s">
        <v>475</v>
      </c>
      <c r="C944" s="19" t="n">
        <f aca="false">den_25</f>
        <v>24</v>
      </c>
      <c r="D944" s="19" t="n">
        <f aca="false">den_26</f>
        <v>24</v>
      </c>
      <c r="E944" s="19" t="n">
        <f aca="false">den_27</f>
        <v>26</v>
      </c>
      <c r="F944" s="19" t="n">
        <f aca="false">den_28</f>
        <v>28</v>
      </c>
      <c r="G944" s="19" t="n">
        <f aca="false">den_29</f>
        <v>30</v>
      </c>
      <c r="H944" s="19" t="n">
        <f aca="false">den_30</f>
        <v>32</v>
      </c>
      <c r="I944" s="19" t="n">
        <f aca="false">den_30</f>
        <v>32</v>
      </c>
    </row>
    <row r="945" customFormat="false" ht="15" hidden="false" customHeight="false" outlineLevel="0" collapsed="false">
      <c r="A945" s="5" t="s">
        <v>476</v>
      </c>
      <c r="B945" s="5" t="s">
        <v>148</v>
      </c>
      <c r="C945" s="19" t="n">
        <f aca="false">stk_25</f>
        <v>10</v>
      </c>
      <c r="D945" s="19" t="n">
        <f aca="false">stk_26</f>
        <v>12</v>
      </c>
      <c r="E945" s="19" t="n">
        <f aca="false">stk_27</f>
        <v>12.5</v>
      </c>
      <c r="F945" s="19" t="n">
        <f aca="false">stk_28</f>
        <v>14</v>
      </c>
      <c r="G945" s="19" t="n">
        <f aca="false">stk_29</f>
        <v>15</v>
      </c>
      <c r="H945" s="19" t="n">
        <f aca="false">stk_30</f>
        <v>16</v>
      </c>
      <c r="I945" s="19" t="n">
        <f aca="false">stk_30</f>
        <v>16</v>
      </c>
    </row>
    <row r="946" customFormat="false" ht="17.15" hidden="false" customHeight="false" outlineLevel="0" collapsed="false">
      <c r="A946" s="0" t="s">
        <v>477</v>
      </c>
      <c r="B946" s="5" t="s">
        <v>478</v>
      </c>
      <c r="C946" s="19" t="n">
        <f aca="false">C943*8/C944</f>
        <v>0.741704901960783</v>
      </c>
      <c r="D946" s="19" t="n">
        <f aca="false">D943*8/D944</f>
        <v>1.26089833333333</v>
      </c>
      <c r="E946" s="19" t="n">
        <f aca="false">E943*8/E944</f>
        <v>1.80405453846154</v>
      </c>
      <c r="F946" s="19" t="n">
        <f aca="false">F943*8/F944</f>
        <v>2.429030575</v>
      </c>
      <c r="G946" s="19" t="n">
        <f aca="false">G943*8/G944</f>
        <v>3.0605785245</v>
      </c>
      <c r="H946" s="19" t="n">
        <f aca="false">H943*8/H944</f>
        <v>3.15622160339063</v>
      </c>
      <c r="I946" s="19" t="n">
        <f aca="false">I943*8/I944</f>
        <v>3.47184376372969</v>
      </c>
      <c r="J946" s="8" t="s">
        <v>479</v>
      </c>
    </row>
    <row r="947" customFormat="false" ht="17.15" hidden="false" customHeight="false" outlineLevel="0" collapsed="false">
      <c r="A947" s="0" t="s">
        <v>480</v>
      </c>
      <c r="B947" s="5" t="s">
        <v>481</v>
      </c>
      <c r="C947" s="19" t="n">
        <f aca="false">C946*(1+s_stk/C945)</f>
        <v>0.964216372549018</v>
      </c>
      <c r="D947" s="19" t="n">
        <f aca="false">D946*(1+s_stk/D945)</f>
        <v>1.57612291666667</v>
      </c>
      <c r="E947" s="19" t="n">
        <f aca="false">E946*(1+s_stk/E945)</f>
        <v>2.23702762769231</v>
      </c>
      <c r="F947" s="19" t="n">
        <f aca="false">F946*(1+s_stk/F945)</f>
        <v>2.94953712678571</v>
      </c>
      <c r="G947" s="19" t="n">
        <f aca="false">G946*(1+s_stk/G945)</f>
        <v>3.6726942294</v>
      </c>
      <c r="H947" s="19" t="n">
        <f aca="false">H946*(1+s_stk/H945)</f>
        <v>3.74801315402637</v>
      </c>
      <c r="I947" s="19" t="n">
        <f aca="false">I946*(1+s_stk/I945)</f>
        <v>4.12281446942901</v>
      </c>
      <c r="J947" s="5" t="s">
        <v>482</v>
      </c>
    </row>
    <row r="948" customFormat="false" ht="17.15" hidden="false" customHeight="false" outlineLevel="0" collapsed="false">
      <c r="A948" s="5" t="s">
        <v>483</v>
      </c>
      <c r="B948" s="0" t="s">
        <v>56</v>
      </c>
      <c r="C948" s="22" t="n">
        <f aca="false">hbp_25*hb_on</f>
        <v>0</v>
      </c>
      <c r="D948" s="22" t="n">
        <f aca="false">hbp_26*hb_on</f>
        <v>0</v>
      </c>
      <c r="E948" s="22" t="n">
        <f aca="false">hbp_27*hb_on</f>
        <v>0</v>
      </c>
      <c r="F948" s="22" t="n">
        <f aca="false">hbp_28*hb_on</f>
        <v>0.05</v>
      </c>
      <c r="G948" s="22" t="n">
        <f aca="false">hbp_29*hb_on</f>
        <v>0.15</v>
      </c>
      <c r="H948" s="22" t="n">
        <f aca="false">hbp_30*hb_on</f>
        <v>0.25</v>
      </c>
      <c r="I948" s="22" t="n">
        <f aca="false">hbp_30*hb_on</f>
        <v>0.25</v>
      </c>
    </row>
    <row r="949" customFormat="false" ht="17.15" hidden="false" customHeight="false" outlineLevel="0" collapsed="false">
      <c r="A949" s="0" t="s">
        <v>484</v>
      </c>
      <c r="B949" s="5" t="s">
        <v>481</v>
      </c>
      <c r="C949" s="19" t="n">
        <f aca="false">C947*(1+C948*hb_eff)</f>
        <v>0.964216372549018</v>
      </c>
      <c r="D949" s="19" t="n">
        <f aca="false">D947*(1+D948*hb_eff)</f>
        <v>1.57612291666667</v>
      </c>
      <c r="E949" s="19" t="n">
        <f aca="false">E947*(1+E948*hb_eff)</f>
        <v>2.23702762769231</v>
      </c>
      <c r="F949" s="19" t="n">
        <f aca="false">F947*(1+F948*hb_eff)</f>
        <v>2.96428481241964</v>
      </c>
      <c r="G949" s="19" t="n">
        <f aca="false">G947*(1+G948*hb_eff)</f>
        <v>3.727784642841</v>
      </c>
      <c r="H949" s="19" t="n">
        <f aca="false">H947*(1+H948*hb_eff)</f>
        <v>3.84171348287703</v>
      </c>
      <c r="I949" s="19" t="n">
        <f aca="false">I947*(1+I948*hb_eff)</f>
        <v>4.22588483116473</v>
      </c>
      <c r="J949" s="5" t="s">
        <v>485</v>
      </c>
    </row>
    <row r="950" customFormat="false" ht="17.15" hidden="false" customHeight="false" outlineLevel="0" collapsed="false">
      <c r="A950" s="0" t="s">
        <v>486</v>
      </c>
      <c r="B950" s="5" t="s">
        <v>481</v>
      </c>
      <c r="C950" s="19" t="n">
        <f aca="false">MAX(0,D949-C949)+dlt*C949</f>
        <v>0.70832818137255</v>
      </c>
      <c r="D950" s="19" t="n">
        <f aca="false">MAX(0,E949-D949)+dlt*D949</f>
        <v>0.818517002692307</v>
      </c>
      <c r="E950" s="19" t="n">
        <f aca="false">MAX(0,F949-E949)+dlt*E949</f>
        <v>0.950959947496565</v>
      </c>
      <c r="F950" s="19" t="n">
        <f aca="false">MAX(0,G949-F949)+dlt*F949</f>
        <v>1.05992831166332</v>
      </c>
      <c r="G950" s="19" t="n">
        <f aca="false">MAX(0,H949-G949)+dlt*G949</f>
        <v>0.486707304320127</v>
      </c>
      <c r="H950" s="19" t="n">
        <f aca="false">MAX(0,I949-H949)+dlt*H949</f>
        <v>0.768342696575406</v>
      </c>
      <c r="J950" s="5" t="s">
        <v>487</v>
      </c>
    </row>
    <row r="951" customFormat="false" ht="17.15" hidden="false" customHeight="false" outlineLevel="0" collapsed="false">
      <c r="A951" s="0" t="s">
        <v>488</v>
      </c>
      <c r="B951" s="5" t="s">
        <v>177</v>
      </c>
      <c r="C951" s="21" t="n">
        <f aca="false">cw_25</f>
        <v>670</v>
      </c>
      <c r="D951" s="21" t="n">
        <f aca="false">cw_26</f>
        <v>1107.85762580894</v>
      </c>
      <c r="E951" s="21" t="n">
        <f aca="false">cw_27</f>
        <v>2096.42857142857</v>
      </c>
      <c r="F951" s="21" t="n">
        <f aca="false">cw_28*um28_A</f>
        <v>2620.08928571429</v>
      </c>
      <c r="G951" s="21" t="n">
        <f aca="false">cw_29*um29_A</f>
        <v>3013.32589285714</v>
      </c>
      <c r="H951" s="21" t="n">
        <f aca="false">G951*(1+g_tail)</f>
        <v>3314.65848214285</v>
      </c>
      <c r="I951" s="21" t="n">
        <f aca="false">H951*(1+g_tail)</f>
        <v>3646.12433035714</v>
      </c>
      <c r="J951" s="5" t="s">
        <v>489</v>
      </c>
    </row>
    <row r="952" customFormat="false" ht="15" hidden="false" customHeight="false" outlineLevel="0" collapsed="false">
      <c r="A952" s="5" t="s">
        <v>490</v>
      </c>
      <c r="B952" s="5" t="s">
        <v>177</v>
      </c>
      <c r="C952" s="21" t="n">
        <f aca="false">MAX(0,D951-C951)+dlt*C951</f>
        <v>504.85762580894</v>
      </c>
      <c r="D952" s="21" t="n">
        <f aca="false">MAX(0,E951-D951)+dlt*D951</f>
        <v>1099.35670820052</v>
      </c>
      <c r="E952" s="21" t="n">
        <f aca="false">MAX(0,F951-E951)+dlt*E951</f>
        <v>733.303571428577</v>
      </c>
      <c r="F952" s="21" t="n">
        <f aca="false">MAX(0,G951-F951)+dlt*F951</f>
        <v>655.245535714279</v>
      </c>
      <c r="G952" s="21" t="n">
        <f aca="false">MAX(0,H951-G951)+dlt*G951</f>
        <v>602.665178571428</v>
      </c>
      <c r="H952" s="21" t="n">
        <f aca="false">MAX(0,I951-H951)+dlt*H951</f>
        <v>662.931696428571</v>
      </c>
    </row>
    <row r="953" customFormat="false" ht="17.15" hidden="false" customHeight="false" outlineLevel="0" collapsed="false">
      <c r="A953" s="1" t="s">
        <v>491</v>
      </c>
    </row>
    <row r="954" customFormat="false" ht="17.15" hidden="false" customHeight="false" outlineLevel="0" collapsed="false">
      <c r="A954" s="0" t="s">
        <v>492</v>
      </c>
      <c r="B954" s="0" t="s">
        <v>493</v>
      </c>
      <c r="C954" s="16" t="n">
        <f aca="false">ai25*w_hbm/(0.75*C950+0.25*D950)</f>
        <v>48.9213264236471</v>
      </c>
      <c r="J954" s="5" t="s">
        <v>494</v>
      </c>
    </row>
    <row r="955" customFormat="false" ht="17.15" hidden="false" customHeight="false" outlineLevel="0" collapsed="false">
      <c r="A955" s="5" t="s">
        <v>495</v>
      </c>
      <c r="B955" s="0" t="s">
        <v>496</v>
      </c>
      <c r="C955" s="18" t="n">
        <f aca="false">ai25*(1-w_hbm)/(0.75*C952+0.25*D952)</f>
        <v>0.0596802610360141</v>
      </c>
    </row>
    <row r="956" customFormat="false" ht="17.15" hidden="false" customHeight="false" outlineLevel="0" collapsed="false">
      <c r="A956" s="1" t="s">
        <v>497</v>
      </c>
    </row>
    <row r="957" customFormat="false" ht="17.15" hidden="false" customHeight="false" outlineLevel="0" collapsed="false">
      <c r="A957" s="5" t="s">
        <v>498</v>
      </c>
      <c r="B957" s="0" t="s">
        <v>76</v>
      </c>
      <c r="C957" s="16" t="n">
        <f aca="false">1-sh_loss/sh*0</f>
        <v>1</v>
      </c>
      <c r="D957" s="16" t="n">
        <f aca="false">1-sh_loss/sh*0.25</f>
        <v>1</v>
      </c>
      <c r="E957" s="16" t="n">
        <f aca="false">1-sh_loss/sh*0.5</f>
        <v>1</v>
      </c>
      <c r="F957" s="16" t="n">
        <f aca="false">1-sh_loss/sh*0.75</f>
        <v>1</v>
      </c>
      <c r="G957" s="16" t="n">
        <f aca="false">1-sh_loss/sh*1</f>
        <v>1</v>
      </c>
    </row>
    <row r="958" customFormat="false" ht="17.15" hidden="false" customHeight="false" outlineLevel="0" collapsed="false">
      <c r="A958" s="0" t="s">
        <v>499</v>
      </c>
      <c r="B958" s="0" t="s">
        <v>29</v>
      </c>
      <c r="C958" s="11" t="n">
        <f aca="false">$C$954*(0.75*C950+0.25*D950)*C957</f>
        <v>36</v>
      </c>
      <c r="D958" s="11" t="n">
        <f aca="false">$C$954*(0.75*D950+0.25*E950)*D957</f>
        <v>41.6627586058351</v>
      </c>
      <c r="E958" s="11" t="n">
        <f aca="false">$C$954*(0.75*E950+0.25*F950)*E957</f>
        <v>47.8549412356069</v>
      </c>
      <c r="F958" s="11" t="n">
        <f aca="false">$C$954*(0.75*F950+0.25*G950)*F957</f>
        <v>44.8424159172644</v>
      </c>
      <c r="G958" s="11" t="n">
        <f aca="false">$C$954*(0.75*G950+0.25*H950)*G957</f>
        <v>27.2548611466613</v>
      </c>
    </row>
    <row r="959" customFormat="false" ht="17.15" hidden="false" customHeight="false" outlineLevel="0" collapsed="false">
      <c r="A959" s="5" t="s">
        <v>500</v>
      </c>
      <c r="B959" s="0" t="s">
        <v>29</v>
      </c>
      <c r="C959" s="11" t="n">
        <f aca="false">$C$955*(0.75*C952+0.25*D952)*C957</f>
        <v>39</v>
      </c>
      <c r="D959" s="11" t="n">
        <f aca="false">$C$955*(0.75*D952+0.25*E952)*D957</f>
        <v>60.1483586282001</v>
      </c>
      <c r="E959" s="11" t="n">
        <f aca="false">$C$955*(0.75*E952+0.25*F952)*E957</f>
        <v>42.5991175746519</v>
      </c>
      <c r="F959" s="11" t="n">
        <f aca="false">$C$955*(0.75*F952+0.25*G952)*F957</f>
        <v>38.320722254198</v>
      </c>
      <c r="G959" s="11" t="n">
        <f aca="false">$C$955*(0.75*G952+0.25*H952)*G957</f>
        <v>36.8663955538204</v>
      </c>
    </row>
    <row r="960" customFormat="false" ht="17.15" hidden="false" customHeight="false" outlineLevel="0" collapsed="false">
      <c r="A960" s="0" t="s">
        <v>501</v>
      </c>
      <c r="B960" s="0" t="s">
        <v>29</v>
      </c>
      <c r="C960" s="11" t="n">
        <f aca="false">C958+C959</f>
        <v>75</v>
      </c>
      <c r="D960" s="11" t="n">
        <f aca="false">D958+D959</f>
        <v>101.811117234035</v>
      </c>
      <c r="E960" s="11" t="n">
        <f aca="false">E958+E959</f>
        <v>90.4540588102588</v>
      </c>
      <c r="F960" s="11" t="n">
        <f aca="false">F958+F959</f>
        <v>83.1631381714624</v>
      </c>
      <c r="G960" s="11" t="n">
        <f aca="false">G958+G959</f>
        <v>64.1212567004817</v>
      </c>
    </row>
    <row r="961" customFormat="false" ht="17.15" hidden="false" customHeight="false" outlineLevel="0" collapsed="false">
      <c r="A961" s="5" t="s">
        <v>502</v>
      </c>
      <c r="B961" s="0" t="s">
        <v>29</v>
      </c>
      <c r="C961" s="11" t="n">
        <f aca="false">eq25-ai25</f>
        <v>195.87118</v>
      </c>
      <c r="D961" s="11" t="n">
        <f aca="false">C961*(1+g_non)*D957/C957</f>
        <v>207.6234508</v>
      </c>
      <c r="E961" s="11" t="n">
        <f aca="false">D961*(1+g_non)*E957/D957</f>
        <v>220.080857848</v>
      </c>
      <c r="F961" s="11" t="n">
        <f aca="false">E961*(1+g_non)*F957/E957</f>
        <v>233.28570931888</v>
      </c>
      <c r="G961" s="11" t="n">
        <f aca="false">F961*(1+g_non)*G957/F957</f>
        <v>247.282851878013</v>
      </c>
    </row>
    <row r="962" customFormat="false" ht="15" hidden="false" customHeight="false" outlineLevel="0" collapsed="false">
      <c r="A962" s="5" t="s">
        <v>503</v>
      </c>
      <c r="B962" s="0" t="s">
        <v>29</v>
      </c>
      <c r="C962" s="11" t="n">
        <f aca="false">C960+C961</f>
        <v>270.87118</v>
      </c>
      <c r="D962" s="11" t="n">
        <f aca="false">D960+D961</f>
        <v>309.434568034035</v>
      </c>
      <c r="E962" s="11" t="n">
        <f aca="false">E960+E961</f>
        <v>310.534916658259</v>
      </c>
      <c r="F962" s="11" t="n">
        <f aca="false">F960+F961</f>
        <v>316.448847490343</v>
      </c>
      <c r="G962" s="11" t="n">
        <f aca="false">G960+G961</f>
        <v>311.404108578495</v>
      </c>
    </row>
    <row r="963" customFormat="false" ht="17.15" hidden="false" customHeight="false" outlineLevel="0" collapsed="false">
      <c r="A963" s="0" t="s">
        <v>504</v>
      </c>
      <c r="B963" s="0" t="s">
        <v>76</v>
      </c>
      <c r="C963" s="19" t="n">
        <f aca="false">w_hbm*(0.75*C949+0.25*D949)/(0.75*C949+0.25*D949)+(1-w_hbm)*(0.75*C951+0.25*D951)/(0.75*C951+0.25*D951)</f>
        <v>1</v>
      </c>
      <c r="D963" s="19" t="n">
        <f aca="false">w_hbm*(0.75*D949+0.25*E949)/(0.75*C949+0.25*D949)+(1-w_hbm)*(0.75*D951+0.25*E951)/(0.75*C951+0.25*D951)</f>
        <v>1.65212184085657</v>
      </c>
      <c r="E963" s="19" t="n">
        <f aca="false">w_hbm*(0.75*E949+0.25*F949)/(0.75*C949+0.25*D949)+(1-w_hbm)*(0.75*E951+0.25*F951)/(0.75*C951+0.25*D951)</f>
        <v>2.52516730417954</v>
      </c>
      <c r="F963" s="19" t="n">
        <f aca="false">w_hbm*(0.75*F949+0.25*G949)/(0.75*C949+0.25*D949)+(1-w_hbm)*(0.75*F951+0.25*G951)/(0.75*C951+0.25*D951)</f>
        <v>3.16911970169284</v>
      </c>
      <c r="G963" s="19" t="n">
        <f aca="false">w_hbm*(0.75*G949+0.25*H949)/(0.75*C949+0.25*D949)+(1-w_hbm)*(0.75*G951+0.25*H951)/(0.75*C951+0.25*D951)</f>
        <v>3.67439430985121</v>
      </c>
      <c r="J963" s="8" t="s">
        <v>505</v>
      </c>
    </row>
    <row r="964" customFormat="false" ht="17.15" hidden="false" customHeight="false" outlineLevel="0" collapsed="false">
      <c r="A964" s="0" t="s">
        <v>506</v>
      </c>
      <c r="B964" s="0" t="s">
        <v>29</v>
      </c>
      <c r="C964" s="11" t="n">
        <f aca="false">tl25*w_tlai*C963</f>
        <v>25.4032258064516</v>
      </c>
      <c r="D964" s="11" t="n">
        <f aca="false">tl25*w_tlai*D963</f>
        <v>41.9692241830499</v>
      </c>
      <c r="E964" s="11" t="n">
        <f aca="false">tl25*w_tlai*E963</f>
        <v>64.1473952271414</v>
      </c>
      <c r="F964" s="11" t="n">
        <f aca="false">tl25*w_tlai*F963</f>
        <v>80.5058633897778</v>
      </c>
      <c r="G964" s="11" t="n">
        <f aca="false">tl25*w_tlai*G963</f>
        <v>93.3414683550913</v>
      </c>
      <c r="J964" s="5" t="s">
        <v>507</v>
      </c>
    </row>
    <row r="965" customFormat="false" ht="17.15" hidden="false" customHeight="false" outlineLevel="0" collapsed="false">
      <c r="A965" s="5" t="s">
        <v>508</v>
      </c>
      <c r="B965" s="0" t="s">
        <v>29</v>
      </c>
      <c r="C965" s="11" t="n">
        <f aca="false">tl25*(1-w_tlai)</f>
        <v>66.3434641935484</v>
      </c>
      <c r="D965" s="11" t="n">
        <f aca="false">C965*(1+g_tl_hi)</f>
        <v>72.9778106129032</v>
      </c>
      <c r="E965" s="11" t="n">
        <f aca="false">D965*(1+g_tl_hi)</f>
        <v>80.2755916741936</v>
      </c>
      <c r="F965" s="11" t="n">
        <f aca="false">E965*(1+g_tl_hi)</f>
        <v>88.3031508416129</v>
      </c>
      <c r="G965" s="11" t="n">
        <f aca="false">F965*(1+g_tl_hi)</f>
        <v>97.1334659257742</v>
      </c>
    </row>
    <row r="966" customFormat="false" ht="15" hidden="false" customHeight="false" outlineLevel="0" collapsed="false">
      <c r="A966" s="5" t="s">
        <v>509</v>
      </c>
      <c r="B966" s="0" t="s">
        <v>29</v>
      </c>
      <c r="C966" s="11" t="n">
        <f aca="false">C964+C965</f>
        <v>91.74669</v>
      </c>
      <c r="D966" s="11" t="n">
        <f aca="false">D964+D965</f>
        <v>114.947034795953</v>
      </c>
      <c r="E966" s="11" t="n">
        <f aca="false">E964+E965</f>
        <v>144.422986901335</v>
      </c>
      <c r="F966" s="11" t="n">
        <f aca="false">F964+F965</f>
        <v>168.809014231391</v>
      </c>
      <c r="G966" s="11" t="n">
        <f aca="false">G964+G965</f>
        <v>190.474934280866</v>
      </c>
    </row>
    <row r="967" customFormat="false" ht="15" hidden="false" customHeight="false" outlineLevel="0" collapsed="false">
      <c r="A967" s="5" t="s">
        <v>393</v>
      </c>
      <c r="B967" s="0" t="s">
        <v>29</v>
      </c>
      <c r="C967" s="11" t="n">
        <f aca="false">r_ot*(C962+C966)</f>
        <v>74.27113</v>
      </c>
      <c r="D967" s="11" t="n">
        <f aca="false">r_ot*(D962+D966)</f>
        <v>86.9215331097567</v>
      </c>
      <c r="E967" s="11" t="n">
        <f aca="false">r_ot*(E962+E966)</f>
        <v>93.1841489218446</v>
      </c>
      <c r="F967" s="11" t="n">
        <f aca="false">r_ot*(F962+F966)</f>
        <v>99.3901644490297</v>
      </c>
      <c r="G967" s="11" t="n">
        <f aca="false">r_ot*(G962+G966)</f>
        <v>102.794502754327</v>
      </c>
    </row>
    <row r="968" customFormat="false" ht="15" hidden="false" customHeight="false" outlineLevel="0" collapsed="false">
      <c r="A968" s="5" t="s">
        <v>363</v>
      </c>
      <c r="B968" s="0" t="s">
        <v>29</v>
      </c>
      <c r="C968" s="11" t="n">
        <f aca="false">C962+C966+C967</f>
        <v>436.889</v>
      </c>
      <c r="D968" s="11" t="n">
        <f aca="false">D962+D966+D967</f>
        <v>511.303135939745</v>
      </c>
      <c r="E968" s="11" t="n">
        <f aca="false">E962+E966+E967</f>
        <v>548.142052481438</v>
      </c>
      <c r="F968" s="11" t="n">
        <f aca="false">F962+F966+F967</f>
        <v>584.648026170763</v>
      </c>
      <c r="G968" s="11" t="n">
        <f aca="false">G962+G966+G967</f>
        <v>604.673545613687</v>
      </c>
    </row>
    <row r="969" customFormat="false" ht="17.15" hidden="false" customHeight="false" outlineLevel="0" collapsed="false">
      <c r="A969" s="0" t="s">
        <v>510</v>
      </c>
      <c r="B969" s="0" t="s">
        <v>56</v>
      </c>
      <c r="C969" s="14" t="n">
        <f aca="false">(C960+C964)*(1+r_ot)/C968</f>
        <v>0.276884384673187</v>
      </c>
      <c r="D969" s="14" t="n">
        <f aca="false">(D960+D964)*(1+r_ot)/D968</f>
        <v>0.338799656861386</v>
      </c>
      <c r="E969" s="14" t="n">
        <f aca="false">(E960+E964)*(1+r_ot)/E968</f>
        <v>0.339814855018008</v>
      </c>
      <c r="F969" s="14" t="n">
        <f aca="false">(F960+F964)*(1+r_ot)/F968</f>
        <v>0.337282534651844</v>
      </c>
      <c r="G969" s="14" t="n">
        <f aca="false">(G960+G964)*(1+r_ot)/G968</f>
        <v>0.31374636437987</v>
      </c>
    </row>
    <row r="970" customFormat="false" ht="17.15" hidden="false" customHeight="false" outlineLevel="0" collapsed="false">
      <c r="A970" s="0" t="s">
        <v>511</v>
      </c>
      <c r="B970" s="0" t="s">
        <v>56</v>
      </c>
      <c r="C970" s="14" t="n">
        <f aca="false">C960*(1+r_ot)/C968</f>
        <v>0.206829299394429</v>
      </c>
      <c r="D970" s="14" t="n">
        <f aca="false">D960*(1+r_ot)/D968</f>
        <v>0.23990464373363</v>
      </c>
      <c r="E970" s="14" t="n">
        <f aca="false">E960*(1+r_ot)/E968</f>
        <v>0.198818523873408</v>
      </c>
      <c r="F970" s="14" t="n">
        <f aca="false">F960*(1+r_ot)/F968</f>
        <v>0.171379270139783</v>
      </c>
      <c r="G970" s="14" t="n">
        <f aca="false">G960*(1+r_ot)/G968</f>
        <v>0.1277623714574</v>
      </c>
      <c r="J970" s="5" t="s">
        <v>512</v>
      </c>
    </row>
    <row r="971" customFormat="false" ht="17.15" hidden="false" customHeight="false" outlineLevel="0" collapsed="false">
      <c r="A971" s="5" t="s">
        <v>401</v>
      </c>
      <c r="B971" s="0" t="s">
        <v>56</v>
      </c>
      <c r="C971" s="14" t="n">
        <f aca="false">a25_gp/a25_rev</f>
        <v>0.701498549974936</v>
      </c>
      <c r="D971" s="14" t="n">
        <f aca="false">gm_a+gm_b*LN(D968)+0</f>
        <v>0.72035670663284</v>
      </c>
      <c r="E971" s="14" t="n">
        <f aca="false">gm_a+gm_b*LN(E968)+0</f>
        <v>0.728275787795094</v>
      </c>
      <c r="F971" s="14" t="n">
        <f aca="false">gm_a+gm_b*LN(F968)+0</f>
        <v>0.735614776630315</v>
      </c>
      <c r="G971" s="14" t="n">
        <f aca="false">gm_a+gm_b*LN(G968)+0</f>
        <v>0.739448288874969</v>
      </c>
      <c r="J971" s="8" t="s">
        <v>513</v>
      </c>
    </row>
    <row r="972" customFormat="false" ht="15" hidden="false" customHeight="false" outlineLevel="0" collapsed="false">
      <c r="A972" s="5" t="s">
        <v>398</v>
      </c>
      <c r="B972" s="0" t="s">
        <v>29</v>
      </c>
      <c r="C972" s="11" t="n">
        <f aca="false">C968*C971</f>
        <v>306.477</v>
      </c>
      <c r="D972" s="11" t="n">
        <f aca="false">D968*D971</f>
        <v>368.320643096598</v>
      </c>
      <c r="E972" s="11" t="n">
        <f aca="false">E968*E971</f>
        <v>399.198585094539</v>
      </c>
      <c r="F972" s="11" t="n">
        <f aca="false">F968*F971</f>
        <v>430.07572717896</v>
      </c>
      <c r="G972" s="11" t="n">
        <f aca="false">G968*G971</f>
        <v>447.124818632001</v>
      </c>
    </row>
    <row r="973" customFormat="false" ht="17.15" hidden="false" customHeight="false" outlineLevel="0" collapsed="false">
      <c r="A973" s="5" t="s">
        <v>399</v>
      </c>
      <c r="B973" s="0" t="s">
        <v>29</v>
      </c>
      <c r="C973" s="11" t="n">
        <f aca="false">a25_sga</f>
        <v>121.487</v>
      </c>
      <c r="D973" s="11" t="n">
        <f aca="false">sg_f+sg_v*D968</f>
        <v>137.159398277467</v>
      </c>
      <c r="E973" s="11" t="n">
        <f aca="false">sg_f+sg_v*E968</f>
        <v>146.456326385122</v>
      </c>
      <c r="F973" s="11" t="n">
        <f aca="false">sg_f+sg_v*F968</f>
        <v>155.669230692596</v>
      </c>
      <c r="G973" s="11" t="n">
        <f aca="false">sg_f+sg_v*G968</f>
        <v>160.723011641029</v>
      </c>
      <c r="J973" s="5" t="s">
        <v>514</v>
      </c>
    </row>
    <row r="974" customFormat="false" ht="15" hidden="false" customHeight="false" outlineLevel="0" collapsed="false">
      <c r="A974" s="5" t="s">
        <v>367</v>
      </c>
      <c r="B974" s="0" t="s">
        <v>29</v>
      </c>
      <c r="C974" s="11" t="n">
        <f aca="false">C972-C973</f>
        <v>184.99</v>
      </c>
      <c r="D974" s="11" t="n">
        <f aca="false">D972-D973</f>
        <v>231.161244819131</v>
      </c>
      <c r="E974" s="11" t="n">
        <f aca="false">E972-E973</f>
        <v>252.742258709417</v>
      </c>
      <c r="F974" s="11" t="n">
        <f aca="false">F972-F973</f>
        <v>274.406496486364</v>
      </c>
      <c r="G974" s="11" t="n">
        <f aca="false">G972-G973</f>
        <v>286.401806990972</v>
      </c>
    </row>
    <row r="975" customFormat="false" ht="15" hidden="false" customHeight="false" outlineLevel="0" collapsed="false">
      <c r="A975" s="5" t="s">
        <v>515</v>
      </c>
      <c r="B975" s="0" t="s">
        <v>56</v>
      </c>
      <c r="C975" s="14" t="n">
        <f aca="false">C974/C968</f>
        <v>0.423425629851061</v>
      </c>
      <c r="D975" s="14" t="n">
        <f aca="false">D974/D968</f>
        <v>0.45210214561714</v>
      </c>
      <c r="E975" s="14" t="n">
        <f aca="false">E974/E968</f>
        <v>0.461088977875813</v>
      </c>
      <c r="F975" s="14" t="n">
        <f aca="false">F974/F968</f>
        <v>0.469353327477439</v>
      </c>
      <c r="G975" s="14" t="n">
        <f aca="false">G974/G968</f>
        <v>0.473646993602641</v>
      </c>
    </row>
    <row r="976" customFormat="false" ht="15" hidden="false" customHeight="false" outlineLevel="0" collapsed="false">
      <c r="A976" s="5" t="s">
        <v>370</v>
      </c>
      <c r="B976" s="0" t="s">
        <v>29</v>
      </c>
      <c r="C976" s="11" t="n">
        <f aca="false">a25_ni</f>
        <v>135.521</v>
      </c>
      <c r="D976" s="11" t="n">
        <f aca="false">D974*nioi</f>
        <v>169.346301991651</v>
      </c>
      <c r="E976" s="11" t="n">
        <f aca="false">E974*nioi</f>
        <v>185.156326281881</v>
      </c>
      <c r="F976" s="11" t="n">
        <f aca="false">F974*nioi</f>
        <v>201.027319518072</v>
      </c>
      <c r="G976" s="11" t="n">
        <f aca="false">G974*nioi</f>
        <v>209.814958106826</v>
      </c>
    </row>
    <row r="977" customFormat="false" ht="15" hidden="false" customHeight="false" outlineLevel="0" collapsed="false">
      <c r="A977" s="0" t="s">
        <v>459</v>
      </c>
      <c r="B977" s="0" t="s">
        <v>51</v>
      </c>
      <c r="C977" s="11" t="n">
        <f aca="false">a25_eps</f>
        <v>1249.84</v>
      </c>
      <c r="D977" s="11" t="n">
        <f aca="false">D976*1000/shares</f>
        <v>1561.0704893856</v>
      </c>
      <c r="E977" s="11" t="n">
        <f aca="false">E976*1000/shares</f>
        <v>1706.81068014078</v>
      </c>
      <c r="F977" s="11" t="n">
        <f aca="false">F976*1000/shares</f>
        <v>1853.11289570069</v>
      </c>
      <c r="G977" s="11" t="n">
        <f aca="false">G976*1000/shares</f>
        <v>1934.11923071334</v>
      </c>
    </row>
    <row r="978" customFormat="false" ht="17.15" hidden="false" customHeight="false" outlineLevel="0" collapsed="false">
      <c r="A978" s="5" t="s">
        <v>516</v>
      </c>
      <c r="B978" s="0" t="s">
        <v>29</v>
      </c>
      <c r="C978" s="16" t="n">
        <f aca="false">ABS(C968-a25_rev)+ABS(C974-a25_oi)</f>
        <v>0.000999999999976353</v>
      </c>
    </row>
    <row r="980" customFormat="false" ht="17.15" hidden="false" customHeight="false" outlineLevel="0" collapsed="false">
      <c r="A980" s="3" t="s">
        <v>734</v>
      </c>
    </row>
    <row r="981" customFormat="false" ht="17.15" hidden="false" customHeight="false" outlineLevel="0" collapsed="false">
      <c r="A981" s="6" t="s">
        <v>18</v>
      </c>
      <c r="B981" s="6" t="s">
        <v>19</v>
      </c>
      <c r="C981" s="9" t="s">
        <v>464</v>
      </c>
      <c r="D981" s="9" t="s">
        <v>465</v>
      </c>
      <c r="E981" s="9" t="s">
        <v>466</v>
      </c>
      <c r="F981" s="9" t="s">
        <v>467</v>
      </c>
      <c r="G981" s="9" t="s">
        <v>468</v>
      </c>
      <c r="H981" s="9" t="s">
        <v>469</v>
      </c>
      <c r="I981" s="9" t="s">
        <v>470</v>
      </c>
      <c r="J981" s="6" t="s">
        <v>450</v>
      </c>
    </row>
    <row r="982" customFormat="false" ht="17.15" hidden="false" customHeight="false" outlineLevel="0" collapsed="false">
      <c r="A982" s="1" t="s">
        <v>471</v>
      </c>
    </row>
    <row r="983" customFormat="false" ht="17.15" hidden="false" customHeight="false" outlineLevel="0" collapsed="false">
      <c r="A983" s="0" t="s">
        <v>472</v>
      </c>
      <c r="B983" s="0" t="s">
        <v>96</v>
      </c>
      <c r="C983" s="19" t="n">
        <f aca="false">hsA_25</f>
        <v>2.22511470588235</v>
      </c>
      <c r="D983" s="19" t="n">
        <f aca="false">hsA_26</f>
        <v>3.782695</v>
      </c>
      <c r="E983" s="19" t="n">
        <f aca="false">hsA_27</f>
        <v>5.86317725</v>
      </c>
      <c r="F983" s="19" t="n">
        <f aca="false">hsA_28</f>
        <v>8.5016070125</v>
      </c>
      <c r="G983" s="19" t="n">
        <f aca="false">hsA_29</f>
        <v>11.477169466875</v>
      </c>
      <c r="H983" s="19" t="n">
        <f aca="false">G983*(1+g_tail)</f>
        <v>12.6248864135625</v>
      </c>
      <c r="I983" s="19" t="n">
        <f aca="false">H983*(1+g_tail)</f>
        <v>13.8873750549188</v>
      </c>
      <c r="J983" s="8" t="s">
        <v>473</v>
      </c>
    </row>
    <row r="984" customFormat="false" ht="17.15" hidden="false" customHeight="false" outlineLevel="0" collapsed="false">
      <c r="A984" s="0" t="s">
        <v>474</v>
      </c>
      <c r="B984" s="0" t="s">
        <v>475</v>
      </c>
      <c r="C984" s="19" t="n">
        <f aca="false">den_25</f>
        <v>24</v>
      </c>
      <c r="D984" s="19" t="n">
        <f aca="false">den_26</f>
        <v>24</v>
      </c>
      <c r="E984" s="19" t="n">
        <f aca="false">den_27</f>
        <v>26</v>
      </c>
      <c r="F984" s="19" t="n">
        <f aca="false">den_28</f>
        <v>28</v>
      </c>
      <c r="G984" s="19" t="n">
        <f aca="false">den_29</f>
        <v>30</v>
      </c>
      <c r="H984" s="19" t="n">
        <f aca="false">den_30</f>
        <v>32</v>
      </c>
      <c r="I984" s="19" t="n">
        <f aca="false">den_30</f>
        <v>32</v>
      </c>
    </row>
    <row r="985" customFormat="false" ht="15" hidden="false" customHeight="false" outlineLevel="0" collapsed="false">
      <c r="A985" s="5" t="s">
        <v>476</v>
      </c>
      <c r="B985" s="5" t="s">
        <v>148</v>
      </c>
      <c r="C985" s="19" t="n">
        <f aca="false">stk_25</f>
        <v>10</v>
      </c>
      <c r="D985" s="19" t="n">
        <f aca="false">stk_26</f>
        <v>12</v>
      </c>
      <c r="E985" s="19" t="n">
        <f aca="false">stk_27</f>
        <v>12.5</v>
      </c>
      <c r="F985" s="19" t="n">
        <f aca="false">stk_28</f>
        <v>14</v>
      </c>
      <c r="G985" s="19" t="n">
        <f aca="false">stk_29</f>
        <v>15</v>
      </c>
      <c r="H985" s="19" t="n">
        <f aca="false">stk_30</f>
        <v>16</v>
      </c>
      <c r="I985" s="19" t="n">
        <f aca="false">stk_30</f>
        <v>16</v>
      </c>
    </row>
    <row r="986" customFormat="false" ht="17.15" hidden="false" customHeight="false" outlineLevel="0" collapsed="false">
      <c r="A986" s="0" t="s">
        <v>477</v>
      </c>
      <c r="B986" s="5" t="s">
        <v>478</v>
      </c>
      <c r="C986" s="19" t="n">
        <f aca="false">C983*8/C984</f>
        <v>0.741704901960783</v>
      </c>
      <c r="D986" s="19" t="n">
        <f aca="false">D983*8/D984</f>
        <v>1.26089833333333</v>
      </c>
      <c r="E986" s="19" t="n">
        <f aca="false">E983*8/E984</f>
        <v>1.80405453846154</v>
      </c>
      <c r="F986" s="19" t="n">
        <f aca="false">F983*8/F984</f>
        <v>2.429030575</v>
      </c>
      <c r="G986" s="19" t="n">
        <f aca="false">G983*8/G984</f>
        <v>3.0605785245</v>
      </c>
      <c r="H986" s="19" t="n">
        <f aca="false">H983*8/H984</f>
        <v>3.15622160339063</v>
      </c>
      <c r="I986" s="19" t="n">
        <f aca="false">I983*8/I984</f>
        <v>3.47184376372969</v>
      </c>
      <c r="J986" s="8" t="s">
        <v>479</v>
      </c>
    </row>
    <row r="987" customFormat="false" ht="17.15" hidden="false" customHeight="false" outlineLevel="0" collapsed="false">
      <c r="A987" s="0" t="s">
        <v>480</v>
      </c>
      <c r="B987" s="5" t="s">
        <v>481</v>
      </c>
      <c r="C987" s="19" t="n">
        <f aca="false">C986*(1+s_stk/C985)</f>
        <v>0.964216372549018</v>
      </c>
      <c r="D987" s="19" t="n">
        <f aca="false">D986*(1+s_stk/D985)</f>
        <v>1.57612291666667</v>
      </c>
      <c r="E987" s="19" t="n">
        <f aca="false">E986*(1+s_stk/E985)</f>
        <v>2.23702762769231</v>
      </c>
      <c r="F987" s="19" t="n">
        <f aca="false">F986*(1+s_stk/F985)</f>
        <v>2.94953712678571</v>
      </c>
      <c r="G987" s="19" t="n">
        <f aca="false">G986*(1+s_stk/G985)</f>
        <v>3.6726942294</v>
      </c>
      <c r="H987" s="19" t="n">
        <f aca="false">H986*(1+s_stk/H985)</f>
        <v>3.74801315402637</v>
      </c>
      <c r="I987" s="19" t="n">
        <f aca="false">I986*(1+s_stk/I985)</f>
        <v>4.12281446942901</v>
      </c>
      <c r="J987" s="5" t="s">
        <v>482</v>
      </c>
    </row>
    <row r="988" customFormat="false" ht="17.15" hidden="false" customHeight="false" outlineLevel="0" collapsed="false">
      <c r="A988" s="5" t="s">
        <v>483</v>
      </c>
      <c r="B988" s="0" t="s">
        <v>56</v>
      </c>
      <c r="C988" s="22" t="n">
        <f aca="false">hbp_25*hb_on</f>
        <v>0</v>
      </c>
      <c r="D988" s="22" t="n">
        <f aca="false">hbp_26*hb_on</f>
        <v>0</v>
      </c>
      <c r="E988" s="22" t="n">
        <f aca="false">hbp_27*hb_on</f>
        <v>0</v>
      </c>
      <c r="F988" s="22" t="n">
        <f aca="false">hbp_28*hb_on</f>
        <v>0.05</v>
      </c>
      <c r="G988" s="22" t="n">
        <f aca="false">hbp_29*hb_on</f>
        <v>0.15</v>
      </c>
      <c r="H988" s="22" t="n">
        <f aca="false">hbp_30*hb_on</f>
        <v>0.25</v>
      </c>
      <c r="I988" s="22" t="n">
        <f aca="false">hbp_30*hb_on</f>
        <v>0.25</v>
      </c>
    </row>
    <row r="989" customFormat="false" ht="17.15" hidden="false" customHeight="false" outlineLevel="0" collapsed="false">
      <c r="A989" s="0" t="s">
        <v>484</v>
      </c>
      <c r="B989" s="5" t="s">
        <v>481</v>
      </c>
      <c r="C989" s="19" t="n">
        <f aca="false">C987*(1+C988*hb_eff)</f>
        <v>0.964216372549018</v>
      </c>
      <c r="D989" s="19" t="n">
        <f aca="false">D987*(1+D988*hb_eff)</f>
        <v>1.57612291666667</v>
      </c>
      <c r="E989" s="19" t="n">
        <f aca="false">E987*(1+E988*hb_eff)</f>
        <v>2.23702762769231</v>
      </c>
      <c r="F989" s="19" t="n">
        <f aca="false">F987*(1+F988*hb_eff)</f>
        <v>2.96428481241964</v>
      </c>
      <c r="G989" s="19" t="n">
        <f aca="false">G987*(1+G988*hb_eff)</f>
        <v>3.727784642841</v>
      </c>
      <c r="H989" s="19" t="n">
        <f aca="false">H987*(1+H988*hb_eff)</f>
        <v>3.84171348287703</v>
      </c>
      <c r="I989" s="19" t="n">
        <f aca="false">I987*(1+I988*hb_eff)</f>
        <v>4.22588483116473</v>
      </c>
      <c r="J989" s="5" t="s">
        <v>485</v>
      </c>
    </row>
    <row r="990" customFormat="false" ht="17.15" hidden="false" customHeight="false" outlineLevel="0" collapsed="false">
      <c r="A990" s="0" t="s">
        <v>486</v>
      </c>
      <c r="B990" s="5" t="s">
        <v>481</v>
      </c>
      <c r="C990" s="19" t="n">
        <f aca="false">MAX(0,D989-C989)+dlt*C989</f>
        <v>0.70832818137255</v>
      </c>
      <c r="D990" s="19" t="n">
        <f aca="false">MAX(0,E989-D989)+dlt*D989</f>
        <v>0.818517002692307</v>
      </c>
      <c r="E990" s="19" t="n">
        <f aca="false">MAX(0,F989-E989)+dlt*E989</f>
        <v>0.950959947496565</v>
      </c>
      <c r="F990" s="19" t="n">
        <f aca="false">MAX(0,G989-F989)+dlt*F989</f>
        <v>1.05992831166332</v>
      </c>
      <c r="G990" s="19" t="n">
        <f aca="false">MAX(0,H989-G989)+dlt*G989</f>
        <v>0.486707304320127</v>
      </c>
      <c r="H990" s="19" t="n">
        <f aca="false">MAX(0,I989-H989)+dlt*H989</f>
        <v>0.768342696575406</v>
      </c>
      <c r="J990" s="5" t="s">
        <v>487</v>
      </c>
    </row>
    <row r="991" customFormat="false" ht="17.15" hidden="false" customHeight="false" outlineLevel="0" collapsed="false">
      <c r="A991" s="0" t="s">
        <v>488</v>
      </c>
      <c r="B991" s="5" t="s">
        <v>177</v>
      </c>
      <c r="C991" s="21" t="n">
        <f aca="false">cw_25</f>
        <v>670</v>
      </c>
      <c r="D991" s="21" t="n">
        <f aca="false">cw_26</f>
        <v>1107.85762580894</v>
      </c>
      <c r="E991" s="21" t="n">
        <f aca="false">cw_27</f>
        <v>2096.42857142857</v>
      </c>
      <c r="F991" s="21" t="n">
        <f aca="false">cw_28*um28_A</f>
        <v>2620.08928571429</v>
      </c>
      <c r="G991" s="21" t="n">
        <f aca="false">cw_29*um29_A</f>
        <v>3013.32589285714</v>
      </c>
      <c r="H991" s="21" t="n">
        <f aca="false">G991*(1+g_tail)</f>
        <v>3314.65848214285</v>
      </c>
      <c r="I991" s="21" t="n">
        <f aca="false">H991*(1+g_tail)</f>
        <v>3646.12433035714</v>
      </c>
      <c r="J991" s="5" t="s">
        <v>489</v>
      </c>
    </row>
    <row r="992" customFormat="false" ht="15" hidden="false" customHeight="false" outlineLevel="0" collapsed="false">
      <c r="A992" s="5" t="s">
        <v>490</v>
      </c>
      <c r="B992" s="5" t="s">
        <v>177</v>
      </c>
      <c r="C992" s="21" t="n">
        <f aca="false">MAX(0,D991-C991)+dlt*C991</f>
        <v>504.85762580894</v>
      </c>
      <c r="D992" s="21" t="n">
        <f aca="false">MAX(0,E991-D991)+dlt*D991</f>
        <v>1099.35670820052</v>
      </c>
      <c r="E992" s="21" t="n">
        <f aca="false">MAX(0,F991-E991)+dlt*E991</f>
        <v>733.303571428577</v>
      </c>
      <c r="F992" s="21" t="n">
        <f aca="false">MAX(0,G991-F991)+dlt*F991</f>
        <v>655.245535714279</v>
      </c>
      <c r="G992" s="21" t="n">
        <f aca="false">MAX(0,H991-G991)+dlt*G991</f>
        <v>602.665178571428</v>
      </c>
      <c r="H992" s="21" t="n">
        <f aca="false">MAX(0,I991-H991)+dlt*H991</f>
        <v>662.931696428571</v>
      </c>
    </row>
    <row r="993" customFormat="false" ht="17.15" hidden="false" customHeight="false" outlineLevel="0" collapsed="false">
      <c r="A993" s="1" t="s">
        <v>491</v>
      </c>
    </row>
    <row r="994" customFormat="false" ht="17.15" hidden="false" customHeight="false" outlineLevel="0" collapsed="false">
      <c r="A994" s="0" t="s">
        <v>492</v>
      </c>
      <c r="B994" s="0" t="s">
        <v>493</v>
      </c>
      <c r="C994" s="16" t="n">
        <f aca="false">ai25*w_hbm/(0.75*C990+0.25*D990)</f>
        <v>48.9213264236471</v>
      </c>
      <c r="J994" s="5" t="s">
        <v>494</v>
      </c>
    </row>
    <row r="995" customFormat="false" ht="17.15" hidden="false" customHeight="false" outlineLevel="0" collapsed="false">
      <c r="A995" s="5" t="s">
        <v>495</v>
      </c>
      <c r="B995" s="0" t="s">
        <v>496</v>
      </c>
      <c r="C995" s="18" t="n">
        <f aca="false">ai25*(1-w_hbm)/(0.75*C992+0.25*D992)</f>
        <v>0.0596802610360141</v>
      </c>
    </row>
    <row r="996" customFormat="false" ht="17.15" hidden="false" customHeight="false" outlineLevel="0" collapsed="false">
      <c r="A996" s="1" t="s">
        <v>497</v>
      </c>
    </row>
    <row r="997" customFormat="false" ht="17.15" hidden="false" customHeight="false" outlineLevel="0" collapsed="false">
      <c r="A997" s="5" t="s">
        <v>498</v>
      </c>
      <c r="B997" s="0" t="s">
        <v>76</v>
      </c>
      <c r="C997" s="16" t="n">
        <f aca="false">1-sh_loss/sh*0</f>
        <v>1</v>
      </c>
      <c r="D997" s="16" t="n">
        <f aca="false">1-sh_loss/sh*0.25</f>
        <v>1</v>
      </c>
      <c r="E997" s="16" t="n">
        <f aca="false">1-sh_loss/sh*0.5</f>
        <v>1</v>
      </c>
      <c r="F997" s="16" t="n">
        <f aca="false">1-sh_loss/sh*0.75</f>
        <v>1</v>
      </c>
      <c r="G997" s="16" t="n">
        <f aca="false">1-sh_loss/sh*1</f>
        <v>1</v>
      </c>
    </row>
    <row r="998" customFormat="false" ht="17.15" hidden="false" customHeight="false" outlineLevel="0" collapsed="false">
      <c r="A998" s="0" t="s">
        <v>499</v>
      </c>
      <c r="B998" s="0" t="s">
        <v>29</v>
      </c>
      <c r="C998" s="11" t="n">
        <f aca="false">$C$994*(0.75*C990+0.25*D990)*C997</f>
        <v>36</v>
      </c>
      <c r="D998" s="11" t="n">
        <f aca="false">$C$994*(0.75*D990+0.25*E990)*D997</f>
        <v>41.6627586058351</v>
      </c>
      <c r="E998" s="11" t="n">
        <f aca="false">$C$994*(0.75*E990+0.25*F990)*E997</f>
        <v>47.8549412356069</v>
      </c>
      <c r="F998" s="11" t="n">
        <f aca="false">$C$994*(0.75*F990+0.25*G990)*F997</f>
        <v>44.8424159172644</v>
      </c>
      <c r="G998" s="11" t="n">
        <f aca="false">$C$994*(0.75*G990+0.25*H990)*G997</f>
        <v>27.2548611466613</v>
      </c>
    </row>
    <row r="999" customFormat="false" ht="17.15" hidden="false" customHeight="false" outlineLevel="0" collapsed="false">
      <c r="A999" s="5" t="s">
        <v>500</v>
      </c>
      <c r="B999" s="0" t="s">
        <v>29</v>
      </c>
      <c r="C999" s="11" t="n">
        <f aca="false">$C$995*(0.75*C992+0.25*D992)*C997</f>
        <v>39</v>
      </c>
      <c r="D999" s="11" t="n">
        <f aca="false">$C$995*(0.75*D992+0.25*E992)*D997</f>
        <v>60.1483586282001</v>
      </c>
      <c r="E999" s="11" t="n">
        <f aca="false">$C$995*(0.75*E992+0.25*F992)*E997</f>
        <v>42.5991175746519</v>
      </c>
      <c r="F999" s="11" t="n">
        <f aca="false">$C$995*(0.75*F992+0.25*G992)*F997</f>
        <v>38.320722254198</v>
      </c>
      <c r="G999" s="11" t="n">
        <f aca="false">$C$995*(0.75*G992+0.25*H992)*G997</f>
        <v>36.8663955538204</v>
      </c>
    </row>
    <row r="1000" customFormat="false" ht="17.15" hidden="false" customHeight="false" outlineLevel="0" collapsed="false">
      <c r="A1000" s="0" t="s">
        <v>501</v>
      </c>
      <c r="B1000" s="0" t="s">
        <v>29</v>
      </c>
      <c r="C1000" s="11" t="n">
        <f aca="false">C998+C999</f>
        <v>75</v>
      </c>
      <c r="D1000" s="11" t="n">
        <f aca="false">D998+D999</f>
        <v>101.811117234035</v>
      </c>
      <c r="E1000" s="11" t="n">
        <f aca="false">E998+E999</f>
        <v>90.4540588102588</v>
      </c>
      <c r="F1000" s="11" t="n">
        <f aca="false">F998+F999</f>
        <v>83.1631381714624</v>
      </c>
      <c r="G1000" s="11" t="n">
        <f aca="false">G998+G999</f>
        <v>64.1212567004817</v>
      </c>
    </row>
    <row r="1001" customFormat="false" ht="17.15" hidden="false" customHeight="false" outlineLevel="0" collapsed="false">
      <c r="A1001" s="5" t="s">
        <v>502</v>
      </c>
      <c r="B1001" s="0" t="s">
        <v>29</v>
      </c>
      <c r="C1001" s="11" t="n">
        <f aca="false">eq25-ai25</f>
        <v>195.87118</v>
      </c>
      <c r="D1001" s="11" t="n">
        <f aca="false">C1001*(1+g_non)*D997/C997</f>
        <v>207.6234508</v>
      </c>
      <c r="E1001" s="11" t="n">
        <f aca="false">D1001*(1+g_non)*E997/D997</f>
        <v>220.080857848</v>
      </c>
      <c r="F1001" s="11" t="n">
        <f aca="false">E1001*(1+g_non)*F997/E997</f>
        <v>233.28570931888</v>
      </c>
      <c r="G1001" s="11" t="n">
        <f aca="false">F1001*(1+g_non)*G997/F997</f>
        <v>247.282851878013</v>
      </c>
    </row>
    <row r="1002" customFormat="false" ht="15" hidden="false" customHeight="false" outlineLevel="0" collapsed="false">
      <c r="A1002" s="5" t="s">
        <v>503</v>
      </c>
      <c r="B1002" s="0" t="s">
        <v>29</v>
      </c>
      <c r="C1002" s="11" t="n">
        <f aca="false">C1000+C1001</f>
        <v>270.87118</v>
      </c>
      <c r="D1002" s="11" t="n">
        <f aca="false">D1000+D1001</f>
        <v>309.434568034035</v>
      </c>
      <c r="E1002" s="11" t="n">
        <f aca="false">E1000+E1001</f>
        <v>310.534916658259</v>
      </c>
      <c r="F1002" s="11" t="n">
        <f aca="false">F1000+F1001</f>
        <v>316.448847490343</v>
      </c>
      <c r="G1002" s="11" t="n">
        <f aca="false">G1000+G1001</f>
        <v>311.404108578495</v>
      </c>
    </row>
    <row r="1003" customFormat="false" ht="17.15" hidden="false" customHeight="false" outlineLevel="0" collapsed="false">
      <c r="A1003" s="0" t="s">
        <v>504</v>
      </c>
      <c r="B1003" s="0" t="s">
        <v>76</v>
      </c>
      <c r="C1003" s="19" t="n">
        <f aca="false">w_hbm*(0.75*C989+0.25*D989)/(0.75*C989+0.25*D989)+(1-w_hbm)*(0.75*C991+0.25*D991)/(0.75*C991+0.25*D991)</f>
        <v>1</v>
      </c>
      <c r="D1003" s="19" t="n">
        <f aca="false">w_hbm*(0.75*D989+0.25*E989)/(0.75*C989+0.25*D989)+(1-w_hbm)*(0.75*D991+0.25*E991)/(0.75*C991+0.25*D991)</f>
        <v>1.65212184085657</v>
      </c>
      <c r="E1003" s="19" t="n">
        <f aca="false">w_hbm*(0.75*E989+0.25*F989)/(0.75*C989+0.25*D989)+(1-w_hbm)*(0.75*E991+0.25*F991)/(0.75*C991+0.25*D991)</f>
        <v>2.52516730417954</v>
      </c>
      <c r="F1003" s="19" t="n">
        <f aca="false">w_hbm*(0.75*F989+0.25*G989)/(0.75*C989+0.25*D989)+(1-w_hbm)*(0.75*F991+0.25*G991)/(0.75*C991+0.25*D991)</f>
        <v>3.16911970169284</v>
      </c>
      <c r="G1003" s="19" t="n">
        <f aca="false">w_hbm*(0.75*G989+0.25*H989)/(0.75*C989+0.25*D989)+(1-w_hbm)*(0.75*G991+0.25*H991)/(0.75*C991+0.25*D991)</f>
        <v>3.67439430985121</v>
      </c>
      <c r="J1003" s="8" t="s">
        <v>505</v>
      </c>
    </row>
    <row r="1004" customFormat="false" ht="17.15" hidden="false" customHeight="false" outlineLevel="0" collapsed="false">
      <c r="A1004" s="0" t="s">
        <v>506</v>
      </c>
      <c r="B1004" s="0" t="s">
        <v>29</v>
      </c>
      <c r="C1004" s="11" t="n">
        <f aca="false">tl25*w_tlai_lo*C1003</f>
        <v>9.174669</v>
      </c>
      <c r="D1004" s="11" t="n">
        <f aca="false">tl25*w_tlai_lo*D1003</f>
        <v>15.1576710375297</v>
      </c>
      <c r="E1004" s="11" t="n">
        <f aca="false">tl25*w_tlai_lo*E1003</f>
        <v>23.1675741854696</v>
      </c>
      <c r="F1004" s="11" t="n">
        <f aca="false">tl25*w_tlai_lo*F1003</f>
        <v>29.0756242844105</v>
      </c>
      <c r="G1004" s="11" t="n">
        <f aca="false">tl25*w_tlai_lo*G1003</f>
        <v>33.7113515683683</v>
      </c>
      <c r="J1004" s="5" t="s">
        <v>507</v>
      </c>
    </row>
    <row r="1005" customFormat="false" ht="17.15" hidden="false" customHeight="false" outlineLevel="0" collapsed="false">
      <c r="A1005" s="5" t="s">
        <v>508</v>
      </c>
      <c r="B1005" s="0" t="s">
        <v>29</v>
      </c>
      <c r="C1005" s="11" t="n">
        <f aca="false">tl25*(1-w_tlai_lo)</f>
        <v>82.572021</v>
      </c>
      <c r="D1005" s="11" t="n">
        <f aca="false">C1005*(1+g_tl)</f>
        <v>86.70062205</v>
      </c>
      <c r="E1005" s="11" t="n">
        <f aca="false">D1005*(1+g_tl)</f>
        <v>91.0356531525</v>
      </c>
      <c r="F1005" s="11" t="n">
        <f aca="false">E1005*(1+g_tl)</f>
        <v>95.587435810125</v>
      </c>
      <c r="G1005" s="11" t="n">
        <f aca="false">F1005*(1+g_tl)</f>
        <v>100.366807600631</v>
      </c>
    </row>
    <row r="1006" customFormat="false" ht="15" hidden="false" customHeight="false" outlineLevel="0" collapsed="false">
      <c r="A1006" s="5" t="s">
        <v>509</v>
      </c>
      <c r="B1006" s="0" t="s">
        <v>29</v>
      </c>
      <c r="C1006" s="11" t="n">
        <f aca="false">C1004+C1005</f>
        <v>91.74669</v>
      </c>
      <c r="D1006" s="11" t="n">
        <f aca="false">D1004+D1005</f>
        <v>101.85829308753</v>
      </c>
      <c r="E1006" s="11" t="n">
        <f aca="false">E1004+E1005</f>
        <v>114.20322733797</v>
      </c>
      <c r="F1006" s="11" t="n">
        <f aca="false">F1004+F1005</f>
        <v>124.663060094536</v>
      </c>
      <c r="G1006" s="11" t="n">
        <f aca="false">G1004+G1005</f>
        <v>134.078159169</v>
      </c>
    </row>
    <row r="1007" customFormat="false" ht="15" hidden="false" customHeight="false" outlineLevel="0" collapsed="false">
      <c r="A1007" s="5" t="s">
        <v>393</v>
      </c>
      <c r="B1007" s="0" t="s">
        <v>29</v>
      </c>
      <c r="C1007" s="11" t="n">
        <f aca="false">r_ot*(C1002+C1006)</f>
        <v>74.27113</v>
      </c>
      <c r="D1007" s="11" t="n">
        <f aca="false">r_ot*(D1002+D1006)</f>
        <v>84.2407064947784</v>
      </c>
      <c r="E1007" s="11" t="n">
        <f aca="false">r_ot*(E1002+E1006)</f>
        <v>86.9945596136854</v>
      </c>
      <c r="F1007" s="11" t="n">
        <f aca="false">r_ot*(F1002+F1006)</f>
        <v>90.348222035457</v>
      </c>
      <c r="G1007" s="11" t="n">
        <f aca="false">r_ot*(G1002+G1006)</f>
        <v>91.2433560446675</v>
      </c>
    </row>
    <row r="1008" customFormat="false" ht="15" hidden="false" customHeight="false" outlineLevel="0" collapsed="false">
      <c r="A1008" s="5" t="s">
        <v>363</v>
      </c>
      <c r="B1008" s="0" t="s">
        <v>29</v>
      </c>
      <c r="C1008" s="11" t="n">
        <f aca="false">C1002+C1006+C1007</f>
        <v>436.889</v>
      </c>
      <c r="D1008" s="11" t="n">
        <f aca="false">D1002+D1006+D1007</f>
        <v>495.533567616343</v>
      </c>
      <c r="E1008" s="11" t="n">
        <f aca="false">E1002+E1006+E1007</f>
        <v>511.732703609914</v>
      </c>
      <c r="F1008" s="11" t="n">
        <f aca="false">F1002+F1006+F1007</f>
        <v>531.460129620335</v>
      </c>
      <c r="G1008" s="11" t="n">
        <f aca="false">G1002+G1006+G1007</f>
        <v>536.725623792162</v>
      </c>
    </row>
    <row r="1009" customFormat="false" ht="17.15" hidden="false" customHeight="false" outlineLevel="0" collapsed="false">
      <c r="A1009" s="0" t="s">
        <v>510</v>
      </c>
      <c r="B1009" s="0" t="s">
        <v>56</v>
      </c>
      <c r="C1009" s="14" t="n">
        <f aca="false">(C1000+C1004)*(1+r_ot)/C1008</f>
        <v>0.232130504213706</v>
      </c>
      <c r="D1009" s="14" t="n">
        <f aca="false">(D1000+D1004)*(1+r_ot)/D1008</f>
        <v>0.284392945582862</v>
      </c>
      <c r="E1009" s="14" t="n">
        <f aca="false">(E1000+E1004)*(1+r_ot)/E1008</f>
        <v>0.267509840125725</v>
      </c>
      <c r="F1009" s="14" t="n">
        <f aca="false">(F1000+F1004)*(1+r_ot)/F1008</f>
        <v>0.254445097776637</v>
      </c>
      <c r="G1009" s="14" t="n">
        <f aca="false">(G1000+G1004)*(1+r_ot)/G1008</f>
        <v>0.219610555462789</v>
      </c>
    </row>
    <row r="1010" customFormat="false" ht="17.15" hidden="false" customHeight="false" outlineLevel="0" collapsed="false">
      <c r="A1010" s="0" t="s">
        <v>511</v>
      </c>
      <c r="B1010" s="0" t="s">
        <v>56</v>
      </c>
      <c r="C1010" s="14" t="n">
        <f aca="false">C1000*(1+r_ot)/C1008</f>
        <v>0.206829299394429</v>
      </c>
      <c r="D1010" s="14" t="n">
        <f aca="false">D1000*(1+r_ot)/D1008</f>
        <v>0.247539227781401</v>
      </c>
      <c r="E1010" s="14" t="n">
        <f aca="false">E1000*(1+r_ot)/E1008</f>
        <v>0.212964293621489</v>
      </c>
      <c r="F1010" s="14" t="n">
        <f aca="false">F1000*(1+r_ot)/F1008</f>
        <v>0.18853070330109</v>
      </c>
      <c r="G1010" s="14" t="n">
        <f aca="false">G1000*(1+r_ot)/G1008</f>
        <v>0.1439367205898</v>
      </c>
      <c r="J1010" s="5" t="s">
        <v>512</v>
      </c>
    </row>
    <row r="1011" customFormat="false" ht="17.15" hidden="false" customHeight="false" outlineLevel="0" collapsed="false">
      <c r="A1011" s="5" t="s">
        <v>401</v>
      </c>
      <c r="B1011" s="0" t="s">
        <v>56</v>
      </c>
      <c r="C1011" s="14" t="n">
        <f aca="false">a25_gp/a25_rev</f>
        <v>0.701498549974936</v>
      </c>
      <c r="D1011" s="14" t="n">
        <f aca="false">gm_a+gm_b*LN(D1008)+0</f>
        <v>0.716790819473542</v>
      </c>
      <c r="E1011" s="14" t="n">
        <f aca="false">gm_a+gm_b*LN(E1008)+0</f>
        <v>0.720452296548605</v>
      </c>
      <c r="F1011" s="14" t="n">
        <f aca="false">gm_a+gm_b*LN(F1008)+0</f>
        <v>0.724757849348868</v>
      </c>
      <c r="G1011" s="14" t="n">
        <f aca="false">gm_a+gm_b*LN(G1008)+0</f>
        <v>0.725880041394759</v>
      </c>
      <c r="J1011" s="8" t="s">
        <v>513</v>
      </c>
    </row>
    <row r="1012" customFormat="false" ht="15" hidden="false" customHeight="false" outlineLevel="0" collapsed="false">
      <c r="A1012" s="5" t="s">
        <v>398</v>
      </c>
      <c r="B1012" s="0" t="s">
        <v>29</v>
      </c>
      <c r="C1012" s="11" t="n">
        <f aca="false">C1008*C1011</f>
        <v>306.477</v>
      </c>
      <c r="D1012" s="11" t="n">
        <f aca="false">D1008*D1011</f>
        <v>355.193912008367</v>
      </c>
      <c r="E1012" s="11" t="n">
        <f aca="false">E1008*E1011</f>
        <v>368.679001534789</v>
      </c>
      <c r="F1012" s="11" t="n">
        <f aca="false">F1008*F1011</f>
        <v>385.179900558305</v>
      </c>
      <c r="G1012" s="11" t="n">
        <f aca="false">G1008*G1011</f>
        <v>389.598418015882</v>
      </c>
    </row>
    <row r="1013" customFormat="false" ht="17.15" hidden="false" customHeight="false" outlineLevel="0" collapsed="false">
      <c r="A1013" s="5" t="s">
        <v>399</v>
      </c>
      <c r="B1013" s="0" t="s">
        <v>29</v>
      </c>
      <c r="C1013" s="11" t="n">
        <f aca="false">a25_sga</f>
        <v>121.487</v>
      </c>
      <c r="D1013" s="11" t="n">
        <f aca="false">sg_f+sg_v*D1008</f>
        <v>133.179679090408</v>
      </c>
      <c r="E1013" s="11" t="n">
        <f aca="false">sg_f+sg_v*E1008</f>
        <v>137.267806996339</v>
      </c>
      <c r="F1013" s="11" t="n">
        <f aca="false">sg_f+sg_v*F1008</f>
        <v>142.246358989322</v>
      </c>
      <c r="G1013" s="11" t="n">
        <f aca="false">sg_f+sg_v*G1008</f>
        <v>143.575196136619</v>
      </c>
      <c r="J1013" s="5" t="s">
        <v>514</v>
      </c>
    </row>
    <row r="1014" customFormat="false" ht="15" hidden="false" customHeight="false" outlineLevel="0" collapsed="false">
      <c r="A1014" s="5" t="s">
        <v>367</v>
      </c>
      <c r="B1014" s="0" t="s">
        <v>29</v>
      </c>
      <c r="C1014" s="11" t="n">
        <f aca="false">C1012-C1013</f>
        <v>184.99</v>
      </c>
      <c r="D1014" s="11" t="n">
        <f aca="false">D1012-D1013</f>
        <v>222.014232917958</v>
      </c>
      <c r="E1014" s="11" t="n">
        <f aca="false">E1012-E1013</f>
        <v>231.41119453845</v>
      </c>
      <c r="F1014" s="11" t="n">
        <f aca="false">F1012-F1013</f>
        <v>242.933541568982</v>
      </c>
      <c r="G1014" s="11" t="n">
        <f aca="false">G1012-G1013</f>
        <v>246.023221879263</v>
      </c>
    </row>
    <row r="1015" customFormat="false" ht="15" hidden="false" customHeight="false" outlineLevel="0" collapsed="false">
      <c r="A1015" s="5" t="s">
        <v>515</v>
      </c>
      <c r="B1015" s="0" t="s">
        <v>56</v>
      </c>
      <c r="C1015" s="14" t="n">
        <f aca="false">C1014/C1008</f>
        <v>0.423425629851061</v>
      </c>
      <c r="D1015" s="14" t="n">
        <f aca="false">D1014/D1008</f>
        <v>0.448030663161549</v>
      </c>
      <c r="E1015" s="14" t="n">
        <f aca="false">E1014/E1008</f>
        <v>0.452211072120282</v>
      </c>
      <c r="F1015" s="14" t="n">
        <f aca="false">F1014/F1008</f>
        <v>0.457105863693913</v>
      </c>
      <c r="G1015" s="14" t="n">
        <f aca="false">G1014/G1008</f>
        <v>0.45837800726006</v>
      </c>
    </row>
    <row r="1016" customFormat="false" ht="15" hidden="false" customHeight="false" outlineLevel="0" collapsed="false">
      <c r="A1016" s="5" t="s">
        <v>370</v>
      </c>
      <c r="B1016" s="0" t="s">
        <v>29</v>
      </c>
      <c r="C1016" s="11" t="n">
        <f aca="false">a25_ni</f>
        <v>135.521</v>
      </c>
      <c r="D1016" s="11" t="n">
        <f aca="false">D1014*nioi</f>
        <v>162.645297067797</v>
      </c>
      <c r="E1016" s="11" t="n">
        <f aca="false">E1014*nioi</f>
        <v>169.529412532882</v>
      </c>
      <c r="F1016" s="11" t="n">
        <f aca="false">F1014*nioi</f>
        <v>177.970563044127</v>
      </c>
      <c r="G1016" s="11" t="n">
        <f aca="false">G1014*nioi</f>
        <v>180.234030414239</v>
      </c>
    </row>
    <row r="1017" customFormat="false" ht="15" hidden="false" customHeight="false" outlineLevel="0" collapsed="false">
      <c r="A1017" s="0" t="s">
        <v>459</v>
      </c>
      <c r="B1017" s="0" t="s">
        <v>51</v>
      </c>
      <c r="C1017" s="11" t="n">
        <f aca="false">a25_eps</f>
        <v>1249.84</v>
      </c>
      <c r="D1017" s="11" t="n">
        <f aca="false">D1016*1000/shares</f>
        <v>1499.29919049788</v>
      </c>
      <c r="E1017" s="11" t="n">
        <f aca="false">E1016*1000/shares</f>
        <v>1562.75844158089</v>
      </c>
      <c r="F1017" s="11" t="n">
        <f aca="false">F1016*1000/shares</f>
        <v>1640.57077526986</v>
      </c>
      <c r="G1017" s="11" t="n">
        <f aca="false">G1016*1000/shares</f>
        <v>1661.43590237103</v>
      </c>
    </row>
    <row r="1018" customFormat="false" ht="17.15" hidden="false" customHeight="false" outlineLevel="0" collapsed="false">
      <c r="A1018" s="5" t="s">
        <v>516</v>
      </c>
      <c r="B1018" s="0" t="s">
        <v>29</v>
      </c>
      <c r="C1018" s="16" t="n">
        <f aca="false">ABS(C1008-a25_rev)+ABS(C1014-a25_oi)</f>
        <v>0.000999999999976353</v>
      </c>
    </row>
    <row r="1020" customFormat="false" ht="17.15" hidden="false" customHeight="false" outlineLevel="0" collapsed="false">
      <c r="A1020" s="3" t="s">
        <v>735</v>
      </c>
    </row>
    <row r="1021" customFormat="false" ht="17.15" hidden="false" customHeight="false" outlineLevel="0" collapsed="false">
      <c r="A1021" s="6" t="s">
        <v>18</v>
      </c>
      <c r="B1021" s="6" t="s">
        <v>19</v>
      </c>
      <c r="C1021" s="9" t="s">
        <v>464</v>
      </c>
      <c r="D1021" s="9" t="s">
        <v>465</v>
      </c>
      <c r="E1021" s="9" t="s">
        <v>466</v>
      </c>
      <c r="F1021" s="9" t="s">
        <v>467</v>
      </c>
      <c r="G1021" s="9" t="s">
        <v>468</v>
      </c>
      <c r="H1021" s="9" t="s">
        <v>469</v>
      </c>
      <c r="I1021" s="9" t="s">
        <v>470</v>
      </c>
      <c r="J1021" s="6" t="s">
        <v>450</v>
      </c>
    </row>
    <row r="1022" customFormat="false" ht="17.15" hidden="false" customHeight="false" outlineLevel="0" collapsed="false">
      <c r="A1022" s="1" t="s">
        <v>471</v>
      </c>
    </row>
    <row r="1023" customFormat="false" ht="17.15" hidden="false" customHeight="false" outlineLevel="0" collapsed="false">
      <c r="A1023" s="0" t="s">
        <v>472</v>
      </c>
      <c r="B1023" s="0" t="s">
        <v>96</v>
      </c>
      <c r="C1023" s="19" t="n">
        <f aca="false">hsA_25</f>
        <v>2.22511470588235</v>
      </c>
      <c r="D1023" s="19" t="n">
        <f aca="false">hsA_26</f>
        <v>3.782695</v>
      </c>
      <c r="E1023" s="19" t="n">
        <f aca="false">hsA_27</f>
        <v>5.86317725</v>
      </c>
      <c r="F1023" s="19" t="n">
        <f aca="false">hsA_28</f>
        <v>8.5016070125</v>
      </c>
      <c r="G1023" s="19" t="n">
        <f aca="false">hsA_29</f>
        <v>11.477169466875</v>
      </c>
      <c r="H1023" s="19" t="n">
        <f aca="false">G1023*(1+g_tail)</f>
        <v>12.6248864135625</v>
      </c>
      <c r="I1023" s="19" t="n">
        <f aca="false">H1023*(1+g_tail)</f>
        <v>13.8873750549188</v>
      </c>
      <c r="J1023" s="8" t="s">
        <v>473</v>
      </c>
    </row>
    <row r="1024" customFormat="false" ht="17.15" hidden="false" customHeight="false" outlineLevel="0" collapsed="false">
      <c r="A1024" s="0" t="s">
        <v>474</v>
      </c>
      <c r="B1024" s="0" t="s">
        <v>475</v>
      </c>
      <c r="C1024" s="19" t="n">
        <f aca="false">den_25</f>
        <v>24</v>
      </c>
      <c r="D1024" s="19" t="n">
        <f aca="false">den_26</f>
        <v>24</v>
      </c>
      <c r="E1024" s="19" t="n">
        <f aca="false">den_27</f>
        <v>26</v>
      </c>
      <c r="F1024" s="19" t="n">
        <f aca="false">den_28</f>
        <v>28</v>
      </c>
      <c r="G1024" s="19" t="n">
        <f aca="false">den_29</f>
        <v>30</v>
      </c>
      <c r="H1024" s="19" t="n">
        <f aca="false">den_30</f>
        <v>32</v>
      </c>
      <c r="I1024" s="19" t="n">
        <f aca="false">den_30</f>
        <v>32</v>
      </c>
    </row>
    <row r="1025" customFormat="false" ht="15" hidden="false" customHeight="false" outlineLevel="0" collapsed="false">
      <c r="A1025" s="5" t="s">
        <v>476</v>
      </c>
      <c r="B1025" s="5" t="s">
        <v>148</v>
      </c>
      <c r="C1025" s="19" t="n">
        <f aca="false">stk_25</f>
        <v>10</v>
      </c>
      <c r="D1025" s="19" t="n">
        <f aca="false">stk_26</f>
        <v>12</v>
      </c>
      <c r="E1025" s="19" t="n">
        <f aca="false">stk_27</f>
        <v>12.5</v>
      </c>
      <c r="F1025" s="19" t="n">
        <f aca="false">stk_28</f>
        <v>14</v>
      </c>
      <c r="G1025" s="19" t="n">
        <f aca="false">stk_29</f>
        <v>15</v>
      </c>
      <c r="H1025" s="19" t="n">
        <f aca="false">stk_30</f>
        <v>16</v>
      </c>
      <c r="I1025" s="19" t="n">
        <f aca="false">stk_30</f>
        <v>16</v>
      </c>
    </row>
    <row r="1026" customFormat="false" ht="17.15" hidden="false" customHeight="false" outlineLevel="0" collapsed="false">
      <c r="A1026" s="0" t="s">
        <v>477</v>
      </c>
      <c r="B1026" s="5" t="s">
        <v>478</v>
      </c>
      <c r="C1026" s="19" t="n">
        <f aca="false">C1023*8/C1024</f>
        <v>0.741704901960783</v>
      </c>
      <c r="D1026" s="19" t="n">
        <f aca="false">D1023*8/D1024</f>
        <v>1.26089833333333</v>
      </c>
      <c r="E1026" s="19" t="n">
        <f aca="false">E1023*8/E1024</f>
        <v>1.80405453846154</v>
      </c>
      <c r="F1026" s="19" t="n">
        <f aca="false">F1023*8/F1024</f>
        <v>2.429030575</v>
      </c>
      <c r="G1026" s="19" t="n">
        <f aca="false">G1023*8/G1024</f>
        <v>3.0605785245</v>
      </c>
      <c r="H1026" s="19" t="n">
        <f aca="false">H1023*8/H1024</f>
        <v>3.15622160339063</v>
      </c>
      <c r="I1026" s="19" t="n">
        <f aca="false">I1023*8/I1024</f>
        <v>3.47184376372969</v>
      </c>
      <c r="J1026" s="8" t="s">
        <v>479</v>
      </c>
    </row>
    <row r="1027" customFormat="false" ht="17.15" hidden="false" customHeight="false" outlineLevel="0" collapsed="false">
      <c r="A1027" s="0" t="s">
        <v>480</v>
      </c>
      <c r="B1027" s="5" t="s">
        <v>481</v>
      </c>
      <c r="C1027" s="19" t="n">
        <f aca="false">C1026*(1+s_stk/C1025)</f>
        <v>0.964216372549018</v>
      </c>
      <c r="D1027" s="19" t="n">
        <f aca="false">D1026*(1+s_stk/D1025)</f>
        <v>1.57612291666667</v>
      </c>
      <c r="E1027" s="19" t="n">
        <f aca="false">E1026*(1+s_stk/E1025)</f>
        <v>2.23702762769231</v>
      </c>
      <c r="F1027" s="19" t="n">
        <f aca="false">F1026*(1+s_stk/F1025)</f>
        <v>2.94953712678571</v>
      </c>
      <c r="G1027" s="19" t="n">
        <f aca="false">G1026*(1+s_stk/G1025)</f>
        <v>3.6726942294</v>
      </c>
      <c r="H1027" s="19" t="n">
        <f aca="false">H1026*(1+s_stk/H1025)</f>
        <v>3.74801315402637</v>
      </c>
      <c r="I1027" s="19" t="n">
        <f aca="false">I1026*(1+s_stk/I1025)</f>
        <v>4.12281446942901</v>
      </c>
      <c r="J1027" s="5" t="s">
        <v>482</v>
      </c>
    </row>
    <row r="1028" customFormat="false" ht="17.15" hidden="false" customHeight="false" outlineLevel="0" collapsed="false">
      <c r="A1028" s="5" t="s">
        <v>483</v>
      </c>
      <c r="B1028" s="0" t="s">
        <v>56</v>
      </c>
      <c r="C1028" s="22" t="n">
        <f aca="false">hbp_25*hb_on</f>
        <v>0</v>
      </c>
      <c r="D1028" s="22" t="n">
        <f aca="false">hbp_26*hb_on</f>
        <v>0</v>
      </c>
      <c r="E1028" s="22" t="n">
        <f aca="false">hbp_27*hb_on</f>
        <v>0</v>
      </c>
      <c r="F1028" s="22" t="n">
        <f aca="false">hbp_28*hb_on</f>
        <v>0.05</v>
      </c>
      <c r="G1028" s="22" t="n">
        <f aca="false">hbp_29*hb_on</f>
        <v>0.15</v>
      </c>
      <c r="H1028" s="22" t="n">
        <f aca="false">hbp_30*hb_on</f>
        <v>0.25</v>
      </c>
      <c r="I1028" s="22" t="n">
        <f aca="false">hbp_30*hb_on</f>
        <v>0.25</v>
      </c>
    </row>
    <row r="1029" customFormat="false" ht="17.15" hidden="false" customHeight="false" outlineLevel="0" collapsed="false">
      <c r="A1029" s="0" t="s">
        <v>484</v>
      </c>
      <c r="B1029" s="5" t="s">
        <v>481</v>
      </c>
      <c r="C1029" s="19" t="n">
        <f aca="false">C1027*(1+C1028*hb_eff)</f>
        <v>0.964216372549018</v>
      </c>
      <c r="D1029" s="19" t="n">
        <f aca="false">D1027*(1+D1028*hb_eff)</f>
        <v>1.57612291666667</v>
      </c>
      <c r="E1029" s="19" t="n">
        <f aca="false">E1027*(1+E1028*hb_eff)</f>
        <v>2.23702762769231</v>
      </c>
      <c r="F1029" s="19" t="n">
        <f aca="false">F1027*(1+F1028*hb_eff)</f>
        <v>2.96428481241964</v>
      </c>
      <c r="G1029" s="19" t="n">
        <f aca="false">G1027*(1+G1028*hb_eff)</f>
        <v>3.727784642841</v>
      </c>
      <c r="H1029" s="19" t="n">
        <f aca="false">H1027*(1+H1028*hb_eff)</f>
        <v>3.84171348287703</v>
      </c>
      <c r="I1029" s="19" t="n">
        <f aca="false">I1027*(1+I1028*hb_eff)</f>
        <v>4.22588483116473</v>
      </c>
      <c r="J1029" s="5" t="s">
        <v>485</v>
      </c>
    </row>
    <row r="1030" customFormat="false" ht="17.15" hidden="false" customHeight="false" outlineLevel="0" collapsed="false">
      <c r="A1030" s="0" t="s">
        <v>486</v>
      </c>
      <c r="B1030" s="5" t="s">
        <v>481</v>
      </c>
      <c r="C1030" s="19" t="n">
        <f aca="false">MAX(0,D1029-C1029)+dlt*C1029</f>
        <v>0.70832818137255</v>
      </c>
      <c r="D1030" s="19" t="n">
        <f aca="false">MAX(0,E1029-D1029)+dlt*D1029</f>
        <v>0.818517002692307</v>
      </c>
      <c r="E1030" s="19" t="n">
        <f aca="false">MAX(0,F1029-E1029)+dlt*E1029</f>
        <v>0.950959947496565</v>
      </c>
      <c r="F1030" s="19" t="n">
        <f aca="false">MAX(0,G1029-F1029)+dlt*F1029</f>
        <v>1.05992831166332</v>
      </c>
      <c r="G1030" s="19" t="n">
        <f aca="false">MAX(0,H1029-G1029)+dlt*G1029</f>
        <v>0.486707304320127</v>
      </c>
      <c r="H1030" s="19" t="n">
        <f aca="false">MAX(0,I1029-H1029)+dlt*H1029</f>
        <v>0.768342696575406</v>
      </c>
      <c r="J1030" s="5" t="s">
        <v>487</v>
      </c>
    </row>
    <row r="1031" customFormat="false" ht="17.15" hidden="false" customHeight="false" outlineLevel="0" collapsed="false">
      <c r="A1031" s="0" t="s">
        <v>488</v>
      </c>
      <c r="B1031" s="5" t="s">
        <v>177</v>
      </c>
      <c r="C1031" s="21" t="n">
        <f aca="false">cw_25</f>
        <v>670</v>
      </c>
      <c r="D1031" s="21" t="n">
        <f aca="false">cw_26</f>
        <v>1107.85762580894</v>
      </c>
      <c r="E1031" s="21" t="n">
        <f aca="false">cw_27</f>
        <v>2096.42857142857</v>
      </c>
      <c r="F1031" s="21" t="n">
        <f aca="false">cw_28*um28_A</f>
        <v>2620.08928571429</v>
      </c>
      <c r="G1031" s="21" t="n">
        <f aca="false">cw_29*um29_A</f>
        <v>3013.32589285714</v>
      </c>
      <c r="H1031" s="21" t="n">
        <f aca="false">G1031*(1+g_tail)</f>
        <v>3314.65848214285</v>
      </c>
      <c r="I1031" s="21" t="n">
        <f aca="false">H1031*(1+g_tail)</f>
        <v>3646.12433035714</v>
      </c>
      <c r="J1031" s="5" t="s">
        <v>489</v>
      </c>
    </row>
    <row r="1032" customFormat="false" ht="15" hidden="false" customHeight="false" outlineLevel="0" collapsed="false">
      <c r="A1032" s="5" t="s">
        <v>490</v>
      </c>
      <c r="B1032" s="5" t="s">
        <v>177</v>
      </c>
      <c r="C1032" s="21" t="n">
        <f aca="false">MAX(0,D1031-C1031)+dlt*C1031</f>
        <v>504.85762580894</v>
      </c>
      <c r="D1032" s="21" t="n">
        <f aca="false">MAX(0,E1031-D1031)+dlt*D1031</f>
        <v>1099.35670820052</v>
      </c>
      <c r="E1032" s="21" t="n">
        <f aca="false">MAX(0,F1031-E1031)+dlt*E1031</f>
        <v>733.303571428577</v>
      </c>
      <c r="F1032" s="21" t="n">
        <f aca="false">MAX(0,G1031-F1031)+dlt*F1031</f>
        <v>655.245535714279</v>
      </c>
      <c r="G1032" s="21" t="n">
        <f aca="false">MAX(0,H1031-G1031)+dlt*G1031</f>
        <v>602.665178571428</v>
      </c>
      <c r="H1032" s="21" t="n">
        <f aca="false">MAX(0,I1031-H1031)+dlt*H1031</f>
        <v>662.931696428571</v>
      </c>
    </row>
    <row r="1033" customFormat="false" ht="17.15" hidden="false" customHeight="false" outlineLevel="0" collapsed="false">
      <c r="A1033" s="1" t="s">
        <v>491</v>
      </c>
    </row>
    <row r="1034" customFormat="false" ht="17.15" hidden="false" customHeight="false" outlineLevel="0" collapsed="false">
      <c r="A1034" s="0" t="s">
        <v>492</v>
      </c>
      <c r="B1034" s="0" t="s">
        <v>493</v>
      </c>
      <c r="C1034" s="16" t="n">
        <f aca="false">ai25*w_hbm/(0.75*C1030+0.25*D1030)</f>
        <v>48.9213264236471</v>
      </c>
      <c r="J1034" s="5" t="s">
        <v>494</v>
      </c>
    </row>
    <row r="1035" customFormat="false" ht="17.15" hidden="false" customHeight="false" outlineLevel="0" collapsed="false">
      <c r="A1035" s="5" t="s">
        <v>495</v>
      </c>
      <c r="B1035" s="0" t="s">
        <v>496</v>
      </c>
      <c r="C1035" s="18" t="n">
        <f aca="false">ai25*(1-w_hbm)/(0.75*C1032+0.25*D1032)</f>
        <v>0.0596802610360141</v>
      </c>
    </row>
    <row r="1036" customFormat="false" ht="17.15" hidden="false" customHeight="false" outlineLevel="0" collapsed="false">
      <c r="A1036" s="1" t="s">
        <v>497</v>
      </c>
    </row>
    <row r="1037" customFormat="false" ht="17.15" hidden="false" customHeight="false" outlineLevel="0" collapsed="false">
      <c r="A1037" s="5" t="s">
        <v>498</v>
      </c>
      <c r="B1037" s="0" t="s">
        <v>76</v>
      </c>
      <c r="C1037" s="16" t="n">
        <f aca="false">1-sh_loss/sh*0</f>
        <v>1</v>
      </c>
      <c r="D1037" s="16" t="n">
        <f aca="false">1-sh_loss/sh*0.25</f>
        <v>1</v>
      </c>
      <c r="E1037" s="16" t="n">
        <f aca="false">1-sh_loss/sh*0.5</f>
        <v>1</v>
      </c>
      <c r="F1037" s="16" t="n">
        <f aca="false">1-sh_loss/sh*0.75</f>
        <v>1</v>
      </c>
      <c r="G1037" s="16" t="n">
        <f aca="false">1-sh_loss/sh*1</f>
        <v>1</v>
      </c>
    </row>
    <row r="1038" customFormat="false" ht="17.15" hidden="false" customHeight="false" outlineLevel="0" collapsed="false">
      <c r="A1038" s="0" t="s">
        <v>499</v>
      </c>
      <c r="B1038" s="0" t="s">
        <v>29</v>
      </c>
      <c r="C1038" s="11" t="n">
        <f aca="false">$C$1034*(0.75*C1030+0.25*D1030)*C1037</f>
        <v>36</v>
      </c>
      <c r="D1038" s="11" t="n">
        <f aca="false">$C$1034*(0.75*D1030+0.25*E1030)*D1037</f>
        <v>41.6627586058351</v>
      </c>
      <c r="E1038" s="11" t="n">
        <f aca="false">$C$1034*(0.75*E1030+0.25*F1030)*E1037</f>
        <v>47.8549412356069</v>
      </c>
      <c r="F1038" s="11" t="n">
        <f aca="false">$C$1034*(0.75*F1030+0.25*G1030)*F1037</f>
        <v>44.8424159172644</v>
      </c>
      <c r="G1038" s="11" t="n">
        <f aca="false">$C$1034*(0.75*G1030+0.25*H1030)*G1037</f>
        <v>27.2548611466613</v>
      </c>
    </row>
    <row r="1039" customFormat="false" ht="17.15" hidden="false" customHeight="false" outlineLevel="0" collapsed="false">
      <c r="A1039" s="5" t="s">
        <v>500</v>
      </c>
      <c r="B1039" s="0" t="s">
        <v>29</v>
      </c>
      <c r="C1039" s="11" t="n">
        <f aca="false">$C$1035*(0.75*C1032+0.25*D1032)*C1037</f>
        <v>39</v>
      </c>
      <c r="D1039" s="11" t="n">
        <f aca="false">$C$1035*(0.75*D1032+0.25*E1032)*D1037</f>
        <v>60.1483586282001</v>
      </c>
      <c r="E1039" s="11" t="n">
        <f aca="false">$C$1035*(0.75*E1032+0.25*F1032)*E1037</f>
        <v>42.5991175746519</v>
      </c>
      <c r="F1039" s="11" t="n">
        <f aca="false">$C$1035*(0.75*F1032+0.25*G1032)*F1037</f>
        <v>38.320722254198</v>
      </c>
      <c r="G1039" s="11" t="n">
        <f aca="false">$C$1035*(0.75*G1032+0.25*H1032)*G1037</f>
        <v>36.8663955538204</v>
      </c>
    </row>
    <row r="1040" customFormat="false" ht="17.15" hidden="false" customHeight="false" outlineLevel="0" collapsed="false">
      <c r="A1040" s="0" t="s">
        <v>501</v>
      </c>
      <c r="B1040" s="0" t="s">
        <v>29</v>
      </c>
      <c r="C1040" s="11" t="n">
        <f aca="false">C1038+C1039</f>
        <v>75</v>
      </c>
      <c r="D1040" s="11" t="n">
        <f aca="false">D1038+D1039</f>
        <v>101.811117234035</v>
      </c>
      <c r="E1040" s="11" t="n">
        <f aca="false">E1038+E1039</f>
        <v>90.4540588102588</v>
      </c>
      <c r="F1040" s="11" t="n">
        <f aca="false">F1038+F1039</f>
        <v>83.1631381714624</v>
      </c>
      <c r="G1040" s="11" t="n">
        <f aca="false">G1038+G1039</f>
        <v>64.1212567004817</v>
      </c>
    </row>
    <row r="1041" customFormat="false" ht="17.15" hidden="false" customHeight="false" outlineLevel="0" collapsed="false">
      <c r="A1041" s="5" t="s">
        <v>502</v>
      </c>
      <c r="B1041" s="0" t="s">
        <v>29</v>
      </c>
      <c r="C1041" s="11" t="n">
        <f aca="false">eq25-ai25</f>
        <v>195.87118</v>
      </c>
      <c r="D1041" s="11" t="n">
        <f aca="false">C1041*(1+g_non)*D1037/C1037</f>
        <v>207.6234508</v>
      </c>
      <c r="E1041" s="11" t="n">
        <f aca="false">D1041*(1+g_non)*E1037/D1037</f>
        <v>220.080857848</v>
      </c>
      <c r="F1041" s="11" t="n">
        <f aca="false">E1041*(1+g_non)*F1037/E1037</f>
        <v>233.28570931888</v>
      </c>
      <c r="G1041" s="11" t="n">
        <f aca="false">F1041*(1+g_non)*G1037/F1037</f>
        <v>247.282851878013</v>
      </c>
    </row>
    <row r="1042" customFormat="false" ht="15" hidden="false" customHeight="false" outlineLevel="0" collapsed="false">
      <c r="A1042" s="5" t="s">
        <v>503</v>
      </c>
      <c r="B1042" s="0" t="s">
        <v>29</v>
      </c>
      <c r="C1042" s="11" t="n">
        <f aca="false">C1040+C1041</f>
        <v>270.87118</v>
      </c>
      <c r="D1042" s="11" t="n">
        <f aca="false">D1040+D1041</f>
        <v>309.434568034035</v>
      </c>
      <c r="E1042" s="11" t="n">
        <f aca="false">E1040+E1041</f>
        <v>310.534916658259</v>
      </c>
      <c r="F1042" s="11" t="n">
        <f aca="false">F1040+F1041</f>
        <v>316.448847490343</v>
      </c>
      <c r="G1042" s="11" t="n">
        <f aca="false">G1040+G1041</f>
        <v>311.404108578495</v>
      </c>
    </row>
    <row r="1043" customFormat="false" ht="17.15" hidden="false" customHeight="false" outlineLevel="0" collapsed="false">
      <c r="A1043" s="0" t="s">
        <v>504</v>
      </c>
      <c r="B1043" s="0" t="s">
        <v>76</v>
      </c>
      <c r="C1043" s="19" t="n">
        <f aca="false">w_hbm*(0.75*C1029+0.25*D1029)/(0.75*C1029+0.25*D1029)+(1-w_hbm)*(0.75*C1031+0.25*D1031)/(0.75*C1031+0.25*D1031)</f>
        <v>1</v>
      </c>
      <c r="D1043" s="19" t="n">
        <f aca="false">w_hbm*(0.75*D1029+0.25*E1029)/(0.75*C1029+0.25*D1029)+(1-w_hbm)*(0.75*D1031+0.25*E1031)/(0.75*C1031+0.25*D1031)</f>
        <v>1.65212184085657</v>
      </c>
      <c r="E1043" s="19" t="n">
        <f aca="false">w_hbm*(0.75*E1029+0.25*F1029)/(0.75*C1029+0.25*D1029)+(1-w_hbm)*(0.75*E1031+0.25*F1031)/(0.75*C1031+0.25*D1031)</f>
        <v>2.52516730417954</v>
      </c>
      <c r="F1043" s="19" t="n">
        <f aca="false">w_hbm*(0.75*F1029+0.25*G1029)/(0.75*C1029+0.25*D1029)+(1-w_hbm)*(0.75*F1031+0.25*G1031)/(0.75*C1031+0.25*D1031)</f>
        <v>3.16911970169284</v>
      </c>
      <c r="G1043" s="19" t="n">
        <f aca="false">w_hbm*(0.75*G1029+0.25*H1029)/(0.75*C1029+0.25*D1029)+(1-w_hbm)*(0.75*G1031+0.25*H1031)/(0.75*C1031+0.25*D1031)</f>
        <v>3.67439430985121</v>
      </c>
      <c r="J1043" s="8" t="s">
        <v>505</v>
      </c>
    </row>
    <row r="1044" customFormat="false" ht="17.15" hidden="false" customHeight="false" outlineLevel="0" collapsed="false">
      <c r="A1044" s="0" t="s">
        <v>506</v>
      </c>
      <c r="B1044" s="0" t="s">
        <v>29</v>
      </c>
      <c r="C1044" s="11" t="n">
        <f aca="false">tl25*w_tlai_hi*C1043</f>
        <v>36.698676</v>
      </c>
      <c r="D1044" s="11" t="n">
        <f aca="false">tl25*w_tlai_hi*D1043</f>
        <v>60.6306841501188</v>
      </c>
      <c r="E1044" s="11" t="n">
        <f aca="false">tl25*w_tlai_hi*E1043</f>
        <v>92.6702967418782</v>
      </c>
      <c r="F1044" s="11" t="n">
        <f aca="false">tl25*w_tlai_hi*F1043</f>
        <v>116.302497137642</v>
      </c>
      <c r="G1044" s="11" t="n">
        <f aca="false">tl25*w_tlai_hi*G1043</f>
        <v>134.845406273473</v>
      </c>
      <c r="J1044" s="5" t="s">
        <v>507</v>
      </c>
    </row>
    <row r="1045" customFormat="false" ht="17.15" hidden="false" customHeight="false" outlineLevel="0" collapsed="false">
      <c r="A1045" s="5" t="s">
        <v>508</v>
      </c>
      <c r="B1045" s="0" t="s">
        <v>29</v>
      </c>
      <c r="C1045" s="11" t="n">
        <f aca="false">tl25*(1-w_tlai_hi)</f>
        <v>55.048014</v>
      </c>
      <c r="D1045" s="11" t="n">
        <f aca="false">C1045*(1+g_tl)</f>
        <v>57.8004147</v>
      </c>
      <c r="E1045" s="11" t="n">
        <f aca="false">D1045*(1+g_tl)</f>
        <v>60.690435435</v>
      </c>
      <c r="F1045" s="11" t="n">
        <f aca="false">E1045*(1+g_tl)</f>
        <v>63.72495720675</v>
      </c>
      <c r="G1045" s="11" t="n">
        <f aca="false">F1045*(1+g_tl)</f>
        <v>66.9112050670875</v>
      </c>
    </row>
    <row r="1046" customFormat="false" ht="15" hidden="false" customHeight="false" outlineLevel="0" collapsed="false">
      <c r="A1046" s="5" t="s">
        <v>509</v>
      </c>
      <c r="B1046" s="0" t="s">
        <v>29</v>
      </c>
      <c r="C1046" s="11" t="n">
        <f aca="false">C1044+C1045</f>
        <v>91.74669</v>
      </c>
      <c r="D1046" s="11" t="n">
        <f aca="false">D1044+D1045</f>
        <v>118.431098850119</v>
      </c>
      <c r="E1046" s="11" t="n">
        <f aca="false">E1044+E1045</f>
        <v>153.360732176878</v>
      </c>
      <c r="F1046" s="11" t="n">
        <f aca="false">F1044+F1045</f>
        <v>180.027454344392</v>
      </c>
      <c r="G1046" s="11" t="n">
        <f aca="false">G1044+G1045</f>
        <v>201.756611340561</v>
      </c>
    </row>
    <row r="1047" customFormat="false" ht="15" hidden="false" customHeight="false" outlineLevel="0" collapsed="false">
      <c r="A1047" s="5" t="s">
        <v>393</v>
      </c>
      <c r="B1047" s="0" t="s">
        <v>29</v>
      </c>
      <c r="C1047" s="11" t="n">
        <f aca="false">r_ot*(C1042+C1046)</f>
        <v>74.27113</v>
      </c>
      <c r="D1047" s="11" t="n">
        <f aca="false">r_ot*(D1042+D1046)</f>
        <v>87.6351365907304</v>
      </c>
      <c r="E1047" s="11" t="n">
        <f aca="false">r_ot*(E1042+E1046)</f>
        <v>95.0147714481606</v>
      </c>
      <c r="F1047" s="11" t="n">
        <f aca="false">r_ot*(F1042+F1046)</f>
        <v>101.687917243259</v>
      </c>
      <c r="G1047" s="11" t="n">
        <f aca="false">r_ot*(G1042+G1046)</f>
        <v>105.105207694264</v>
      </c>
    </row>
    <row r="1048" customFormat="false" ht="15" hidden="false" customHeight="false" outlineLevel="0" collapsed="false">
      <c r="A1048" s="5" t="s">
        <v>363</v>
      </c>
      <c r="B1048" s="0" t="s">
        <v>29</v>
      </c>
      <c r="C1048" s="11" t="n">
        <f aca="false">C1042+C1046+C1047</f>
        <v>436.889</v>
      </c>
      <c r="D1048" s="11" t="n">
        <f aca="false">D1042+D1046+D1047</f>
        <v>515.500803474884</v>
      </c>
      <c r="E1048" s="11" t="n">
        <f aca="false">E1042+E1046+E1047</f>
        <v>558.910420283298</v>
      </c>
      <c r="F1048" s="11" t="n">
        <f aca="false">F1042+F1046+F1047</f>
        <v>598.164219077994</v>
      </c>
      <c r="G1048" s="11" t="n">
        <f aca="false">G1042+G1046+G1047</f>
        <v>618.26592761332</v>
      </c>
    </row>
    <row r="1049" customFormat="false" ht="17.15" hidden="false" customHeight="false" outlineLevel="0" collapsed="false">
      <c r="A1049" s="0" t="s">
        <v>510</v>
      </c>
      <c r="B1049" s="0" t="s">
        <v>56</v>
      </c>
      <c r="C1049" s="14" t="n">
        <f aca="false">(C1040+C1044)*(1+r_ot)/C1048</f>
        <v>0.308034118671537</v>
      </c>
      <c r="D1049" s="14" t="n">
        <f aca="false">(D1040+D1044)*(1+r_ot)/D1048</f>
        <v>0.379656078897622</v>
      </c>
      <c r="E1049" s="14" t="n">
        <f aca="false">(E1040+E1044)*(1+r_ot)/E1048</f>
        <v>0.394753337333451</v>
      </c>
      <c r="F1049" s="14" t="n">
        <f aca="false">(F1040+F1044)*(1+r_ot)/F1048</f>
        <v>0.40176265125239</v>
      </c>
      <c r="G1049" s="14" t="n">
        <f aca="false">(G1040+G1044)*(1+r_ot)/G1048</f>
        <v>0.387727772705088</v>
      </c>
    </row>
    <row r="1050" customFormat="false" ht="17.15" hidden="false" customHeight="false" outlineLevel="0" collapsed="false">
      <c r="A1050" s="0" t="s">
        <v>511</v>
      </c>
      <c r="B1050" s="0" t="s">
        <v>56</v>
      </c>
      <c r="C1050" s="14" t="n">
        <f aca="false">C1040*(1+r_ot)/C1048</f>
        <v>0.206829299394429</v>
      </c>
      <c r="D1050" s="14" t="n">
        <f aca="false">D1040*(1+r_ot)/D1048</f>
        <v>0.237951126051908</v>
      </c>
      <c r="E1050" s="14" t="n">
        <f aca="false">E1040*(1+r_ot)/E1048</f>
        <v>0.194987944028777</v>
      </c>
      <c r="F1050" s="14" t="n">
        <f aca="false">F1040*(1+r_ot)/F1048</f>
        <v>0.167506762889048</v>
      </c>
      <c r="G1050" s="14" t="n">
        <f aca="false">G1040*(1+r_ot)/G1048</f>
        <v>0.124953555896866</v>
      </c>
      <c r="J1050" s="5" t="s">
        <v>512</v>
      </c>
    </row>
    <row r="1051" customFormat="false" ht="17.15" hidden="false" customHeight="false" outlineLevel="0" collapsed="false">
      <c r="A1051" s="5" t="s">
        <v>401</v>
      </c>
      <c r="B1051" s="0" t="s">
        <v>56</v>
      </c>
      <c r="C1051" s="14" t="n">
        <f aca="false">a25_gp/a25_rev</f>
        <v>0.701498549974936</v>
      </c>
      <c r="D1051" s="14" t="n">
        <f aca="false">gm_a+gm_b*LN(D1048)+0</f>
        <v>0.721287373483597</v>
      </c>
      <c r="E1051" s="14" t="n">
        <f aca="false">gm_a+gm_b*LN(E1048)+0</f>
        <v>0.730490241908442</v>
      </c>
      <c r="F1051" s="14" t="n">
        <f aca="false">gm_a+gm_b*LN(F1048)+0</f>
        <v>0.73821630632531</v>
      </c>
      <c r="G1051" s="14" t="n">
        <f aca="false">gm_a+gm_b*LN(G1048)+0</f>
        <v>0.74197863426411</v>
      </c>
      <c r="J1051" s="8" t="s">
        <v>513</v>
      </c>
    </row>
    <row r="1052" customFormat="false" ht="15" hidden="false" customHeight="false" outlineLevel="0" collapsed="false">
      <c r="A1052" s="5" t="s">
        <v>398</v>
      </c>
      <c r="B1052" s="0" t="s">
        <v>29</v>
      </c>
      <c r="C1052" s="11" t="n">
        <f aca="false">C1048*C1051</f>
        <v>306.477</v>
      </c>
      <c r="D1052" s="11" t="n">
        <f aca="false">D1048*D1051</f>
        <v>371.824220567083</v>
      </c>
      <c r="E1052" s="11" t="n">
        <f aca="false">E1048*E1051</f>
        <v>408.278608117895</v>
      </c>
      <c r="F1052" s="11" t="n">
        <f aca="false">F1048*F1051</f>
        <v>441.57458038372</v>
      </c>
      <c r="G1052" s="11" t="n">
        <f aca="false">G1048*G1051</f>
        <v>458.740108582564</v>
      </c>
    </row>
    <row r="1053" customFormat="false" ht="17.15" hidden="false" customHeight="false" outlineLevel="0" collapsed="false">
      <c r="A1053" s="5" t="s">
        <v>399</v>
      </c>
      <c r="B1053" s="0" t="s">
        <v>29</v>
      </c>
      <c r="C1053" s="11" t="n">
        <f aca="false">a25_sga</f>
        <v>121.487</v>
      </c>
      <c r="D1053" s="11" t="n">
        <f aca="false">sg_f+sg_v*D1048</f>
        <v>138.218751183513</v>
      </c>
      <c r="E1053" s="11" t="n">
        <f aca="false">sg_f+sg_v*E1048</f>
        <v>149.173907429543</v>
      </c>
      <c r="F1053" s="11" t="n">
        <f aca="false">sg_f+sg_v*F1048</f>
        <v>159.080272209127</v>
      </c>
      <c r="G1053" s="11" t="n">
        <f aca="false">sg_f+sg_v*G1048</f>
        <v>164.153280772841</v>
      </c>
      <c r="J1053" s="5" t="s">
        <v>514</v>
      </c>
    </row>
    <row r="1054" customFormat="false" ht="15" hidden="false" customHeight="false" outlineLevel="0" collapsed="false">
      <c r="A1054" s="5" t="s">
        <v>367</v>
      </c>
      <c r="B1054" s="0" t="s">
        <v>29</v>
      </c>
      <c r="C1054" s="11" t="n">
        <f aca="false">C1052-C1053</f>
        <v>184.99</v>
      </c>
      <c r="D1054" s="11" t="n">
        <f aca="false">D1052-D1053</f>
        <v>233.60546938357</v>
      </c>
      <c r="E1054" s="11" t="n">
        <f aca="false">E1052-E1053</f>
        <v>259.104700688353</v>
      </c>
      <c r="F1054" s="11" t="n">
        <f aca="false">F1052-F1053</f>
        <v>282.494308174594</v>
      </c>
      <c r="G1054" s="11" t="n">
        <f aca="false">G1052-G1053</f>
        <v>294.586827809723</v>
      </c>
    </row>
    <row r="1055" customFormat="false" ht="15" hidden="false" customHeight="false" outlineLevel="0" collapsed="false">
      <c r="A1055" s="5" t="s">
        <v>515</v>
      </c>
      <c r="B1055" s="0" t="s">
        <v>56</v>
      </c>
      <c r="C1055" s="14" t="n">
        <f aca="false">C1054/C1048</f>
        <v>0.423425629851061</v>
      </c>
      <c r="D1055" s="14" t="n">
        <f aca="false">D1054/D1048</f>
        <v>0.453162182888725</v>
      </c>
      <c r="E1055" s="14" t="n">
        <f aca="false">E1054/E1048</f>
        <v>0.463588960386566</v>
      </c>
      <c r="F1055" s="14" t="n">
        <f aca="false">F1054/F1048</f>
        <v>0.472268817098469</v>
      </c>
      <c r="G1055" s="14" t="n">
        <f aca="false">G1054/G1048</f>
        <v>0.476472686998798</v>
      </c>
    </row>
    <row r="1056" customFormat="false" ht="15" hidden="false" customHeight="false" outlineLevel="0" collapsed="false">
      <c r="A1056" s="5" t="s">
        <v>370</v>
      </c>
      <c r="B1056" s="0" t="s">
        <v>29</v>
      </c>
      <c r="C1056" s="11" t="n">
        <f aca="false">a25_ni</f>
        <v>135.521</v>
      </c>
      <c r="D1056" s="11" t="n">
        <f aca="false">D1054*nioi</f>
        <v>171.136915256209</v>
      </c>
      <c r="E1056" s="11" t="n">
        <f aca="false">E1054*nioi</f>
        <v>189.817384503869</v>
      </c>
      <c r="F1056" s="11" t="n">
        <f aca="false">F1054*nioi</f>
        <v>206.952365481889</v>
      </c>
      <c r="G1056" s="11" t="n">
        <f aca="false">G1054*nioi</f>
        <v>215.811218459484</v>
      </c>
    </row>
    <row r="1057" customFormat="false" ht="15" hidden="false" customHeight="false" outlineLevel="0" collapsed="false">
      <c r="A1057" s="0" t="s">
        <v>459</v>
      </c>
      <c r="B1057" s="0" t="s">
        <v>51</v>
      </c>
      <c r="C1057" s="11" t="n">
        <f aca="false">a25_eps</f>
        <v>1249.84</v>
      </c>
      <c r="D1057" s="11" t="n">
        <f aca="false">D1056*1000/shares</f>
        <v>1577.57674604623</v>
      </c>
      <c r="E1057" s="11" t="n">
        <f aca="false">E1056*1000/shares</f>
        <v>1749.77731333016</v>
      </c>
      <c r="F1057" s="11" t="n">
        <f aca="false">F1056*1000/shares</f>
        <v>1907.73123866766</v>
      </c>
      <c r="G1057" s="11" t="n">
        <f aca="false">G1056*1000/shares</f>
        <v>1989.39404317231</v>
      </c>
    </row>
    <row r="1058" customFormat="false" ht="17.15" hidden="false" customHeight="false" outlineLevel="0" collapsed="false">
      <c r="A1058" s="5" t="s">
        <v>516</v>
      </c>
      <c r="B1058" s="0" t="s">
        <v>29</v>
      </c>
      <c r="C1058" s="16" t="n">
        <f aca="false">ABS(C1048-a25_rev)+ABS(C1054-a25_oi)</f>
        <v>0.000999999999976353</v>
      </c>
    </row>
    <row r="1060" customFormat="false" ht="17.15" hidden="false" customHeight="false" outlineLevel="0" collapsed="false">
      <c r="A1060" s="3" t="s">
        <v>736</v>
      </c>
    </row>
    <row r="1061" customFormat="false" ht="17.15" hidden="false" customHeight="false" outlineLevel="0" collapsed="false">
      <c r="A1061" s="6" t="s">
        <v>18</v>
      </c>
      <c r="B1061" s="6" t="s">
        <v>19</v>
      </c>
      <c r="C1061" s="9" t="s">
        <v>464</v>
      </c>
      <c r="D1061" s="9" t="s">
        <v>465</v>
      </c>
      <c r="E1061" s="9" t="s">
        <v>466</v>
      </c>
      <c r="F1061" s="9" t="s">
        <v>467</v>
      </c>
      <c r="G1061" s="9" t="s">
        <v>468</v>
      </c>
      <c r="H1061" s="9" t="s">
        <v>469</v>
      </c>
      <c r="I1061" s="9" t="s">
        <v>470</v>
      </c>
      <c r="J1061" s="6" t="s">
        <v>450</v>
      </c>
    </row>
    <row r="1062" customFormat="false" ht="17.15" hidden="false" customHeight="false" outlineLevel="0" collapsed="false">
      <c r="A1062" s="1" t="s">
        <v>471</v>
      </c>
    </row>
    <row r="1063" customFormat="false" ht="17.15" hidden="false" customHeight="false" outlineLevel="0" collapsed="false">
      <c r="A1063" s="0" t="s">
        <v>472</v>
      </c>
      <c r="B1063" s="0" t="s">
        <v>96</v>
      </c>
      <c r="C1063" s="19" t="n">
        <f aca="false">hsA_25</f>
        <v>2.22511470588235</v>
      </c>
      <c r="D1063" s="19" t="n">
        <f aca="false">hsA_26</f>
        <v>3.782695</v>
      </c>
      <c r="E1063" s="19" t="n">
        <f aca="false">hsA_27</f>
        <v>5.86317725</v>
      </c>
      <c r="F1063" s="19" t="n">
        <f aca="false">hsA_28</f>
        <v>8.5016070125</v>
      </c>
      <c r="G1063" s="19" t="n">
        <f aca="false">hsA_29</f>
        <v>11.477169466875</v>
      </c>
      <c r="H1063" s="19" t="n">
        <f aca="false">G1063*(1+g_tail)</f>
        <v>12.6248864135625</v>
      </c>
      <c r="I1063" s="19" t="n">
        <f aca="false">H1063*(1+g_tail)</f>
        <v>13.8873750549188</v>
      </c>
      <c r="J1063" s="8" t="s">
        <v>473</v>
      </c>
    </row>
    <row r="1064" customFormat="false" ht="17.15" hidden="false" customHeight="false" outlineLevel="0" collapsed="false">
      <c r="A1064" s="0" t="s">
        <v>474</v>
      </c>
      <c r="B1064" s="0" t="s">
        <v>475</v>
      </c>
      <c r="C1064" s="19" t="n">
        <f aca="false">den_25</f>
        <v>24</v>
      </c>
      <c r="D1064" s="19" t="n">
        <f aca="false">den_26</f>
        <v>24</v>
      </c>
      <c r="E1064" s="19" t="n">
        <f aca="false">den_27</f>
        <v>26</v>
      </c>
      <c r="F1064" s="19" t="n">
        <f aca="false">den_28</f>
        <v>28</v>
      </c>
      <c r="G1064" s="19" t="n">
        <f aca="false">den_29</f>
        <v>30</v>
      </c>
      <c r="H1064" s="19" t="n">
        <f aca="false">den_30</f>
        <v>32</v>
      </c>
      <c r="I1064" s="19" t="n">
        <f aca="false">den_30</f>
        <v>32</v>
      </c>
    </row>
    <row r="1065" customFormat="false" ht="15" hidden="false" customHeight="false" outlineLevel="0" collapsed="false">
      <c r="A1065" s="5" t="s">
        <v>476</v>
      </c>
      <c r="B1065" s="5" t="s">
        <v>148</v>
      </c>
      <c r="C1065" s="19" t="n">
        <f aca="false">stk_25</f>
        <v>10</v>
      </c>
      <c r="D1065" s="19" t="n">
        <f aca="false">stk_26</f>
        <v>12</v>
      </c>
      <c r="E1065" s="19" t="n">
        <f aca="false">stk_27</f>
        <v>12.5</v>
      </c>
      <c r="F1065" s="19" t="n">
        <f aca="false">stk_28</f>
        <v>14</v>
      </c>
      <c r="G1065" s="19" t="n">
        <f aca="false">stk_29</f>
        <v>15</v>
      </c>
      <c r="H1065" s="19" t="n">
        <f aca="false">stk_30</f>
        <v>16</v>
      </c>
      <c r="I1065" s="19" t="n">
        <f aca="false">stk_30</f>
        <v>16</v>
      </c>
    </row>
    <row r="1066" customFormat="false" ht="17.15" hidden="false" customHeight="false" outlineLevel="0" collapsed="false">
      <c r="A1066" s="0" t="s">
        <v>477</v>
      </c>
      <c r="B1066" s="5" t="s">
        <v>478</v>
      </c>
      <c r="C1066" s="19" t="n">
        <f aca="false">C1063*8/C1064</f>
        <v>0.741704901960783</v>
      </c>
      <c r="D1066" s="19" t="n">
        <f aca="false">D1063*8/D1064</f>
        <v>1.26089833333333</v>
      </c>
      <c r="E1066" s="19" t="n">
        <f aca="false">E1063*8/E1064</f>
        <v>1.80405453846154</v>
      </c>
      <c r="F1066" s="19" t="n">
        <f aca="false">F1063*8/F1064</f>
        <v>2.429030575</v>
      </c>
      <c r="G1066" s="19" t="n">
        <f aca="false">G1063*8/G1064</f>
        <v>3.0605785245</v>
      </c>
      <c r="H1066" s="19" t="n">
        <f aca="false">H1063*8/H1064</f>
        <v>3.15622160339063</v>
      </c>
      <c r="I1066" s="19" t="n">
        <f aca="false">I1063*8/I1064</f>
        <v>3.47184376372969</v>
      </c>
      <c r="J1066" s="8" t="s">
        <v>479</v>
      </c>
    </row>
    <row r="1067" customFormat="false" ht="17.15" hidden="false" customHeight="false" outlineLevel="0" collapsed="false">
      <c r="A1067" s="0" t="s">
        <v>480</v>
      </c>
      <c r="B1067" s="5" t="s">
        <v>481</v>
      </c>
      <c r="C1067" s="19" t="n">
        <f aca="false">C1066*(1+s_stk/C1065)</f>
        <v>0.964216372549018</v>
      </c>
      <c r="D1067" s="19" t="n">
        <f aca="false">D1066*(1+s_stk/D1065)</f>
        <v>1.57612291666667</v>
      </c>
      <c r="E1067" s="19" t="n">
        <f aca="false">E1066*(1+s_stk/E1065)</f>
        <v>2.23702762769231</v>
      </c>
      <c r="F1067" s="19" t="n">
        <f aca="false">F1066*(1+s_stk/F1065)</f>
        <v>2.94953712678571</v>
      </c>
      <c r="G1067" s="19" t="n">
        <f aca="false">G1066*(1+s_stk/G1065)</f>
        <v>3.6726942294</v>
      </c>
      <c r="H1067" s="19" t="n">
        <f aca="false">H1066*(1+s_stk/H1065)</f>
        <v>3.74801315402637</v>
      </c>
      <c r="I1067" s="19" t="n">
        <f aca="false">I1066*(1+s_stk/I1065)</f>
        <v>4.12281446942901</v>
      </c>
      <c r="J1067" s="5" t="s">
        <v>482</v>
      </c>
    </row>
    <row r="1068" customFormat="false" ht="17.15" hidden="false" customHeight="false" outlineLevel="0" collapsed="false">
      <c r="A1068" s="5" t="s">
        <v>483</v>
      </c>
      <c r="B1068" s="0" t="s">
        <v>56</v>
      </c>
      <c r="C1068" s="22" t="n">
        <f aca="false">hbp_25*hb_on</f>
        <v>0</v>
      </c>
      <c r="D1068" s="22" t="n">
        <f aca="false">hbp_26*hb_on</f>
        <v>0</v>
      </c>
      <c r="E1068" s="22" t="n">
        <f aca="false">hbp_27*hb_on</f>
        <v>0</v>
      </c>
      <c r="F1068" s="22" t="n">
        <f aca="false">hbp_28*hb_on</f>
        <v>0.05</v>
      </c>
      <c r="G1068" s="22" t="n">
        <f aca="false">hbp_29*hb_on</f>
        <v>0.15</v>
      </c>
      <c r="H1068" s="22" t="n">
        <f aca="false">hbp_30*hb_on</f>
        <v>0.25</v>
      </c>
      <c r="I1068" s="22" t="n">
        <f aca="false">hbp_30*hb_on</f>
        <v>0.25</v>
      </c>
    </row>
    <row r="1069" customFormat="false" ht="17.15" hidden="false" customHeight="false" outlineLevel="0" collapsed="false">
      <c r="A1069" s="0" t="s">
        <v>484</v>
      </c>
      <c r="B1069" s="5" t="s">
        <v>481</v>
      </c>
      <c r="C1069" s="19" t="n">
        <f aca="false">C1067*(1+C1068*hb_eff)</f>
        <v>0.964216372549018</v>
      </c>
      <c r="D1069" s="19" t="n">
        <f aca="false">D1067*(1+D1068*hb_eff)</f>
        <v>1.57612291666667</v>
      </c>
      <c r="E1069" s="19" t="n">
        <f aca="false">E1067*(1+E1068*hb_eff)</f>
        <v>2.23702762769231</v>
      </c>
      <c r="F1069" s="19" t="n">
        <f aca="false">F1067*(1+F1068*hb_eff)</f>
        <v>2.96428481241964</v>
      </c>
      <c r="G1069" s="19" t="n">
        <f aca="false">G1067*(1+G1068*hb_eff)</f>
        <v>3.727784642841</v>
      </c>
      <c r="H1069" s="19" t="n">
        <f aca="false">H1067*(1+H1068*hb_eff)</f>
        <v>3.84171348287703</v>
      </c>
      <c r="I1069" s="19" t="n">
        <f aca="false">I1067*(1+I1068*hb_eff)</f>
        <v>4.22588483116473</v>
      </c>
      <c r="J1069" s="5" t="s">
        <v>485</v>
      </c>
    </row>
    <row r="1070" customFormat="false" ht="17.15" hidden="false" customHeight="false" outlineLevel="0" collapsed="false">
      <c r="A1070" s="0" t="s">
        <v>486</v>
      </c>
      <c r="B1070" s="5" t="s">
        <v>481</v>
      </c>
      <c r="C1070" s="19" t="n">
        <f aca="false">MAX(0,D1069-C1069)+dlt*C1069</f>
        <v>0.70832818137255</v>
      </c>
      <c r="D1070" s="19" t="n">
        <f aca="false">MAX(0,E1069-D1069)+dlt*D1069</f>
        <v>0.818517002692307</v>
      </c>
      <c r="E1070" s="19" t="n">
        <f aca="false">MAX(0,F1069-E1069)+dlt*E1069</f>
        <v>0.950959947496565</v>
      </c>
      <c r="F1070" s="19" t="n">
        <f aca="false">MAX(0,G1069-F1069)+dlt*F1069</f>
        <v>1.05992831166332</v>
      </c>
      <c r="G1070" s="19" t="n">
        <f aca="false">MAX(0,H1069-G1069)+dlt*G1069</f>
        <v>0.486707304320127</v>
      </c>
      <c r="H1070" s="19" t="n">
        <f aca="false">MAX(0,I1069-H1069)+dlt*H1069</f>
        <v>0.768342696575406</v>
      </c>
      <c r="J1070" s="5" t="s">
        <v>487</v>
      </c>
    </row>
    <row r="1071" customFormat="false" ht="17.15" hidden="false" customHeight="false" outlineLevel="0" collapsed="false">
      <c r="A1071" s="0" t="s">
        <v>488</v>
      </c>
      <c r="B1071" s="5" t="s">
        <v>177</v>
      </c>
      <c r="C1071" s="21" t="n">
        <f aca="false">cw_25</f>
        <v>670</v>
      </c>
      <c r="D1071" s="21" t="n">
        <f aca="false">cw_26</f>
        <v>1107.85762580894</v>
      </c>
      <c r="E1071" s="21" t="n">
        <f aca="false">cw_27</f>
        <v>2096.42857142857</v>
      </c>
      <c r="F1071" s="21" t="n">
        <f aca="false">cw_28*um28_A</f>
        <v>2620.08928571429</v>
      </c>
      <c r="G1071" s="21" t="n">
        <f aca="false">cw_29*um29_A</f>
        <v>3013.32589285714</v>
      </c>
      <c r="H1071" s="21" t="n">
        <f aca="false">G1071*(1+g_tail)</f>
        <v>3314.65848214285</v>
      </c>
      <c r="I1071" s="21" t="n">
        <f aca="false">H1071*(1+g_tail)</f>
        <v>3646.12433035714</v>
      </c>
      <c r="J1071" s="5" t="s">
        <v>489</v>
      </c>
    </row>
    <row r="1072" customFormat="false" ht="15" hidden="false" customHeight="false" outlineLevel="0" collapsed="false">
      <c r="A1072" s="5" t="s">
        <v>490</v>
      </c>
      <c r="B1072" s="5" t="s">
        <v>177</v>
      </c>
      <c r="C1072" s="21" t="n">
        <f aca="false">MAX(0,D1071-C1071)+dlt*C1071</f>
        <v>504.85762580894</v>
      </c>
      <c r="D1072" s="21" t="n">
        <f aca="false">MAX(0,E1071-D1071)+dlt*D1071</f>
        <v>1099.35670820052</v>
      </c>
      <c r="E1072" s="21" t="n">
        <f aca="false">MAX(0,F1071-E1071)+dlt*E1071</f>
        <v>733.303571428577</v>
      </c>
      <c r="F1072" s="21" t="n">
        <f aca="false">MAX(0,G1071-F1071)+dlt*F1071</f>
        <v>655.245535714279</v>
      </c>
      <c r="G1072" s="21" t="n">
        <f aca="false">MAX(0,H1071-G1071)+dlt*G1071</f>
        <v>602.665178571428</v>
      </c>
      <c r="H1072" s="21" t="n">
        <f aca="false">MAX(0,I1071-H1071)+dlt*H1071</f>
        <v>662.931696428571</v>
      </c>
    </row>
    <row r="1073" customFormat="false" ht="17.15" hidden="false" customHeight="false" outlineLevel="0" collapsed="false">
      <c r="A1073" s="1" t="s">
        <v>491</v>
      </c>
    </row>
    <row r="1074" customFormat="false" ht="17.15" hidden="false" customHeight="false" outlineLevel="0" collapsed="false">
      <c r="A1074" s="0" t="s">
        <v>492</v>
      </c>
      <c r="B1074" s="0" t="s">
        <v>493</v>
      </c>
      <c r="C1074" s="16" t="n">
        <f aca="false">ai25*w_hbm/(0.75*C1070+0.25*D1070)</f>
        <v>48.9213264236471</v>
      </c>
      <c r="J1074" s="5" t="s">
        <v>494</v>
      </c>
    </row>
    <row r="1075" customFormat="false" ht="17.15" hidden="false" customHeight="false" outlineLevel="0" collapsed="false">
      <c r="A1075" s="5" t="s">
        <v>495</v>
      </c>
      <c r="B1075" s="0" t="s">
        <v>496</v>
      </c>
      <c r="C1075" s="18" t="n">
        <f aca="false">ai25*(1-w_hbm)/(0.75*C1072+0.25*D1072)</f>
        <v>0.0596802610360141</v>
      </c>
    </row>
    <row r="1076" customFormat="false" ht="17.15" hidden="false" customHeight="false" outlineLevel="0" collapsed="false">
      <c r="A1076" s="1" t="s">
        <v>497</v>
      </c>
    </row>
    <row r="1077" customFormat="false" ht="17.15" hidden="false" customHeight="false" outlineLevel="0" collapsed="false">
      <c r="A1077" s="5" t="s">
        <v>498</v>
      </c>
      <c r="B1077" s="0" t="s">
        <v>76</v>
      </c>
      <c r="C1077" s="16" t="n">
        <f aca="false">1-sh_loss_hi/sh*0</f>
        <v>1</v>
      </c>
      <c r="D1077" s="16" t="n">
        <f aca="false">1-sh_loss_hi/sh*0.25</f>
        <v>0.964285714285714</v>
      </c>
      <c r="E1077" s="16" t="n">
        <f aca="false">1-sh_loss_hi/sh*0.5</f>
        <v>0.928571428571429</v>
      </c>
      <c r="F1077" s="16" t="n">
        <f aca="false">1-sh_loss_hi/sh*0.75</f>
        <v>0.892857142857143</v>
      </c>
      <c r="G1077" s="16" t="n">
        <f aca="false">1-sh_loss_hi/sh*1</f>
        <v>0.857142857142857</v>
      </c>
    </row>
    <row r="1078" customFormat="false" ht="17.15" hidden="false" customHeight="false" outlineLevel="0" collapsed="false">
      <c r="A1078" s="0" t="s">
        <v>499</v>
      </c>
      <c r="B1078" s="0" t="s">
        <v>29</v>
      </c>
      <c r="C1078" s="11" t="n">
        <f aca="false">$C$1074*(0.75*C1070+0.25*D1070)*C1077</f>
        <v>36</v>
      </c>
      <c r="D1078" s="11" t="n">
        <f aca="false">$C$1074*(0.75*D1070+0.25*E1070)*D1077</f>
        <v>40.174802941341</v>
      </c>
      <c r="E1078" s="11" t="n">
        <f aca="false">$C$1074*(0.75*E1070+0.25*F1070)*E1077</f>
        <v>44.4367311473493</v>
      </c>
      <c r="F1078" s="11" t="n">
        <f aca="false">$C$1074*(0.75*F1070+0.25*G1070)*F1077</f>
        <v>40.0378713547004</v>
      </c>
      <c r="G1078" s="11" t="n">
        <f aca="false">$C$1074*(0.75*G1070+0.25*H1070)*G1077</f>
        <v>23.3613095542812</v>
      </c>
    </row>
    <row r="1079" customFormat="false" ht="17.15" hidden="false" customHeight="false" outlineLevel="0" collapsed="false">
      <c r="A1079" s="5" t="s">
        <v>500</v>
      </c>
      <c r="B1079" s="0" t="s">
        <v>29</v>
      </c>
      <c r="C1079" s="11" t="n">
        <f aca="false">$C$1075*(0.75*C1072+0.25*D1072)*C1077</f>
        <v>39</v>
      </c>
      <c r="D1079" s="11" t="n">
        <f aca="false">$C$1075*(0.75*D1072+0.25*E1072)*D1077</f>
        <v>58.0002029629072</v>
      </c>
      <c r="E1079" s="11" t="n">
        <f aca="false">$C$1075*(0.75*E1072+0.25*F1072)*E1077</f>
        <v>39.5563234621768</v>
      </c>
      <c r="F1079" s="11" t="n">
        <f aca="false">$C$1075*(0.75*F1072+0.25*G1072)*F1077</f>
        <v>34.2149305841054</v>
      </c>
      <c r="G1079" s="11" t="n">
        <f aca="false">$C$1075*(0.75*G1072+0.25*H1072)*G1077</f>
        <v>31.5997676175603</v>
      </c>
    </row>
    <row r="1080" customFormat="false" ht="17.15" hidden="false" customHeight="false" outlineLevel="0" collapsed="false">
      <c r="A1080" s="0" t="s">
        <v>501</v>
      </c>
      <c r="B1080" s="0" t="s">
        <v>29</v>
      </c>
      <c r="C1080" s="11" t="n">
        <f aca="false">C1078+C1079</f>
        <v>75</v>
      </c>
      <c r="D1080" s="11" t="n">
        <f aca="false">D1078+D1079</f>
        <v>98.1750059042482</v>
      </c>
      <c r="E1080" s="11" t="n">
        <f aca="false">E1078+E1079</f>
        <v>83.9930546095261</v>
      </c>
      <c r="F1080" s="11" t="n">
        <f aca="false">F1078+F1079</f>
        <v>74.2528019388058</v>
      </c>
      <c r="G1080" s="11" t="n">
        <f aca="false">G1078+G1079</f>
        <v>54.9610771718415</v>
      </c>
    </row>
    <row r="1081" customFormat="false" ht="17.15" hidden="false" customHeight="false" outlineLevel="0" collapsed="false">
      <c r="A1081" s="5" t="s">
        <v>502</v>
      </c>
      <c r="B1081" s="0" t="s">
        <v>29</v>
      </c>
      <c r="C1081" s="11" t="n">
        <f aca="false">eq25-ai25</f>
        <v>195.87118</v>
      </c>
      <c r="D1081" s="11" t="n">
        <f aca="false">C1081*(1+g_non)*D1077/C1077</f>
        <v>200.208327557143</v>
      </c>
      <c r="E1081" s="11" t="n">
        <f aca="false">D1081*(1+g_non)*E1077/D1077</f>
        <v>204.360796573143</v>
      </c>
      <c r="F1081" s="11" t="n">
        <f aca="false">E1081*(1+g_non)*F1077/E1077</f>
        <v>208.290811891857</v>
      </c>
      <c r="G1081" s="11" t="n">
        <f aca="false">F1081*(1+g_non)*G1077/F1077</f>
        <v>211.956730181154</v>
      </c>
    </row>
    <row r="1082" customFormat="false" ht="15" hidden="false" customHeight="false" outlineLevel="0" collapsed="false">
      <c r="A1082" s="5" t="s">
        <v>503</v>
      </c>
      <c r="B1082" s="0" t="s">
        <v>29</v>
      </c>
      <c r="C1082" s="11" t="n">
        <f aca="false">C1080+C1081</f>
        <v>270.87118</v>
      </c>
      <c r="D1082" s="11" t="n">
        <f aca="false">D1080+D1081</f>
        <v>298.383333461391</v>
      </c>
      <c r="E1082" s="11" t="n">
        <f aca="false">E1080+E1081</f>
        <v>288.353851182669</v>
      </c>
      <c r="F1082" s="11" t="n">
        <f aca="false">F1080+F1081</f>
        <v>282.543613830663</v>
      </c>
      <c r="G1082" s="11" t="n">
        <f aca="false">G1080+G1081</f>
        <v>266.917807352995</v>
      </c>
    </row>
    <row r="1083" customFormat="false" ht="17.15" hidden="false" customHeight="false" outlineLevel="0" collapsed="false">
      <c r="A1083" s="0" t="s">
        <v>504</v>
      </c>
      <c r="B1083" s="0" t="s">
        <v>76</v>
      </c>
      <c r="C1083" s="19" t="n">
        <f aca="false">w_hbm*(0.75*C1069+0.25*D1069)/(0.75*C1069+0.25*D1069)+(1-w_hbm)*(0.75*C1071+0.25*D1071)/(0.75*C1071+0.25*D1071)</f>
        <v>1</v>
      </c>
      <c r="D1083" s="19" t="n">
        <f aca="false">w_hbm*(0.75*D1069+0.25*E1069)/(0.75*C1069+0.25*D1069)+(1-w_hbm)*(0.75*D1071+0.25*E1071)/(0.75*C1071+0.25*D1071)</f>
        <v>1.65212184085657</v>
      </c>
      <c r="E1083" s="19" t="n">
        <f aca="false">w_hbm*(0.75*E1069+0.25*F1069)/(0.75*C1069+0.25*D1069)+(1-w_hbm)*(0.75*E1071+0.25*F1071)/(0.75*C1071+0.25*D1071)</f>
        <v>2.52516730417954</v>
      </c>
      <c r="F1083" s="19" t="n">
        <f aca="false">w_hbm*(0.75*F1069+0.25*G1069)/(0.75*C1069+0.25*D1069)+(1-w_hbm)*(0.75*F1071+0.25*G1071)/(0.75*C1071+0.25*D1071)</f>
        <v>3.16911970169284</v>
      </c>
      <c r="G1083" s="19" t="n">
        <f aca="false">w_hbm*(0.75*G1069+0.25*H1069)/(0.75*C1069+0.25*D1069)+(1-w_hbm)*(0.75*G1071+0.25*H1071)/(0.75*C1071+0.25*D1071)</f>
        <v>3.67439430985121</v>
      </c>
      <c r="J1083" s="8" t="s">
        <v>505</v>
      </c>
    </row>
    <row r="1084" customFormat="false" ht="17.15" hidden="false" customHeight="false" outlineLevel="0" collapsed="false">
      <c r="A1084" s="0" t="s">
        <v>506</v>
      </c>
      <c r="B1084" s="0" t="s">
        <v>29</v>
      </c>
      <c r="C1084" s="11" t="n">
        <f aca="false">tl25*w_tlai*C1083</f>
        <v>25.4032258064516</v>
      </c>
      <c r="D1084" s="11" t="n">
        <f aca="false">tl25*w_tlai*D1083</f>
        <v>41.9692241830499</v>
      </c>
      <c r="E1084" s="11" t="n">
        <f aca="false">tl25*w_tlai*E1083</f>
        <v>64.1473952271414</v>
      </c>
      <c r="F1084" s="11" t="n">
        <f aca="false">tl25*w_tlai*F1083</f>
        <v>80.5058633897778</v>
      </c>
      <c r="G1084" s="11" t="n">
        <f aca="false">tl25*w_tlai*G1083</f>
        <v>93.3414683550913</v>
      </c>
      <c r="J1084" s="5" t="s">
        <v>507</v>
      </c>
    </row>
    <row r="1085" customFormat="false" ht="17.15" hidden="false" customHeight="false" outlineLevel="0" collapsed="false">
      <c r="A1085" s="5" t="s">
        <v>508</v>
      </c>
      <c r="B1085" s="0" t="s">
        <v>29</v>
      </c>
      <c r="C1085" s="11" t="n">
        <f aca="false">tl25*(1-w_tlai)</f>
        <v>66.3434641935484</v>
      </c>
      <c r="D1085" s="11" t="n">
        <f aca="false">C1085*(1+g_tl)</f>
        <v>69.6606374032258</v>
      </c>
      <c r="E1085" s="11" t="n">
        <f aca="false">D1085*(1+g_tl)</f>
        <v>73.1436692733871</v>
      </c>
      <c r="F1085" s="11" t="n">
        <f aca="false">E1085*(1+g_tl)</f>
        <v>76.8008527370565</v>
      </c>
      <c r="G1085" s="11" t="n">
        <f aca="false">F1085*(1+g_tl)</f>
        <v>80.6408953739093</v>
      </c>
    </row>
    <row r="1086" customFormat="false" ht="15" hidden="false" customHeight="false" outlineLevel="0" collapsed="false">
      <c r="A1086" s="5" t="s">
        <v>509</v>
      </c>
      <c r="B1086" s="0" t="s">
        <v>29</v>
      </c>
      <c r="C1086" s="11" t="n">
        <f aca="false">C1084+C1085</f>
        <v>91.74669</v>
      </c>
      <c r="D1086" s="11" t="n">
        <f aca="false">D1084+D1085</f>
        <v>111.629861586276</v>
      </c>
      <c r="E1086" s="11" t="n">
        <f aca="false">E1084+E1085</f>
        <v>137.291064500529</v>
      </c>
      <c r="F1086" s="11" t="n">
        <f aca="false">F1084+F1085</f>
        <v>157.306716126834</v>
      </c>
      <c r="G1086" s="11" t="n">
        <f aca="false">G1084+G1085</f>
        <v>173.982363729001</v>
      </c>
    </row>
    <row r="1087" customFormat="false" ht="15" hidden="false" customHeight="false" outlineLevel="0" collapsed="false">
      <c r="A1087" s="5" t="s">
        <v>393</v>
      </c>
      <c r="B1087" s="0" t="s">
        <v>29</v>
      </c>
      <c r="C1087" s="11" t="n">
        <f aca="false">r_ot*(C1082+C1086)</f>
        <v>74.27113</v>
      </c>
      <c r="D1087" s="11" t="n">
        <f aca="false">r_ot*(D1082+D1086)</f>
        <v>83.9786062145824</v>
      </c>
      <c r="E1087" s="11" t="n">
        <f aca="false">r_ot*(E1082+E1086)</f>
        <v>87.1802839351128</v>
      </c>
      <c r="F1087" s="11" t="n">
        <f aca="false">r_ot*(F1082+F1086)</f>
        <v>90.0898266178007</v>
      </c>
      <c r="G1087" s="11" t="n">
        <f aca="false">r_ot*(G1082+G1086)</f>
        <v>90.3048543179992</v>
      </c>
    </row>
    <row r="1088" customFormat="false" ht="15" hidden="false" customHeight="false" outlineLevel="0" collapsed="false">
      <c r="A1088" s="5" t="s">
        <v>363</v>
      </c>
      <c r="B1088" s="0" t="s">
        <v>29</v>
      </c>
      <c r="C1088" s="11" t="n">
        <f aca="false">C1082+C1086+C1087</f>
        <v>436.889</v>
      </c>
      <c r="D1088" s="11" t="n">
        <f aca="false">D1082+D1086+D1087</f>
        <v>493.991801262249</v>
      </c>
      <c r="E1088" s="11" t="n">
        <f aca="false">E1082+E1086+E1087</f>
        <v>512.82519961831</v>
      </c>
      <c r="F1088" s="11" t="n">
        <f aca="false">F1082+F1086+F1087</f>
        <v>529.940156575298</v>
      </c>
      <c r="G1088" s="11" t="n">
        <f aca="false">G1082+G1086+G1087</f>
        <v>531.205025399995</v>
      </c>
    </row>
    <row r="1089" customFormat="false" ht="17.15" hidden="false" customHeight="false" outlineLevel="0" collapsed="false">
      <c r="A1089" s="0" t="s">
        <v>510</v>
      </c>
      <c r="B1089" s="0" t="s">
        <v>56</v>
      </c>
      <c r="C1089" s="14" t="n">
        <f aca="false">(C1080+C1084)*(1+r_ot)/C1088</f>
        <v>0.276884384673187</v>
      </c>
      <c r="D1089" s="14" t="n">
        <f aca="false">(D1080+D1084)*(1+r_ot)/D1088</f>
        <v>0.341804195035736</v>
      </c>
      <c r="E1089" s="14" t="n">
        <f aca="false">(E1080+E1084)*(1+r_ot)/E1088</f>
        <v>0.348037635076385</v>
      </c>
      <c r="F1089" s="14" t="n">
        <f aca="false">(F1080+F1084)*(1+r_ot)/F1088</f>
        <v>0.351843922325892</v>
      </c>
      <c r="G1089" s="14" t="n">
        <f aca="false">(G1080+G1084)*(1+r_ot)/G1088</f>
        <v>0.336363093629538</v>
      </c>
    </row>
    <row r="1090" customFormat="false" ht="17.15" hidden="false" customHeight="false" outlineLevel="0" collapsed="false">
      <c r="A1090" s="0" t="s">
        <v>511</v>
      </c>
      <c r="B1090" s="0" t="s">
        <v>56</v>
      </c>
      <c r="C1090" s="14" t="n">
        <f aca="false">C1080*(1+r_ot)/C1088</f>
        <v>0.206829299394429</v>
      </c>
      <c r="D1090" s="14" t="n">
        <f aca="false">D1080*(1+r_ot)/D1088</f>
        <v>0.239443527891425</v>
      </c>
      <c r="E1090" s="14" t="n">
        <f aca="false">E1080*(1+r_ot)/E1088</f>
        <v>0.197331276645722</v>
      </c>
      <c r="F1090" s="14" t="n">
        <f aca="false">F1080*(1+r_ot)/F1088</f>
        <v>0.168813791604933</v>
      </c>
      <c r="G1090" s="14" t="n">
        <f aca="false">G1080*(1+r_ot)/G1088</f>
        <v>0.124656511329909</v>
      </c>
      <c r="J1090" s="5" t="s">
        <v>512</v>
      </c>
    </row>
    <row r="1091" customFormat="false" ht="17.15" hidden="false" customHeight="false" outlineLevel="0" collapsed="false">
      <c r="A1091" s="5" t="s">
        <v>401</v>
      </c>
      <c r="B1091" s="0" t="s">
        <v>56</v>
      </c>
      <c r="C1091" s="14" t="n">
        <f aca="false">a25_gp/a25_rev</f>
        <v>0.701498549974936</v>
      </c>
      <c r="D1091" s="14" t="n">
        <f aca="false">gm_a+gm_b*LN(D1088)+0</f>
        <v>0.716436117752376</v>
      </c>
      <c r="E1091" s="14" t="n">
        <f aca="false">gm_a+gm_b*LN(E1088)+0</f>
        <v>0.720695044083989</v>
      </c>
      <c r="F1091" s="14" t="n">
        <f aca="false">gm_a+gm_b*LN(F1088)+0</f>
        <v>0.724431841319767</v>
      </c>
      <c r="G1091" s="14" t="n">
        <f aca="false">gm_a+gm_b*LN(G1088)+0</f>
        <v>0.724703199052051</v>
      </c>
      <c r="J1091" s="8" t="s">
        <v>513</v>
      </c>
    </row>
    <row r="1092" customFormat="false" ht="15" hidden="false" customHeight="false" outlineLevel="0" collapsed="false">
      <c r="A1092" s="5" t="s">
        <v>398</v>
      </c>
      <c r="B1092" s="0" t="s">
        <v>29</v>
      </c>
      <c r="C1092" s="11" t="n">
        <f aca="false">C1088*C1091</f>
        <v>306.477</v>
      </c>
      <c r="D1092" s="11" t="n">
        <f aca="false">D1088*D1091</f>
        <v>353.913568297829</v>
      </c>
      <c r="E1092" s="11" t="n">
        <f aca="false">E1088*E1091</f>
        <v>369.590579846299</v>
      </c>
      <c r="F1092" s="11" t="n">
        <f aca="false">F1088*F1091</f>
        <v>383.905523417128</v>
      </c>
      <c r="G1092" s="11" t="n">
        <f aca="false">G1088*G1091</f>
        <v>384.965981259902</v>
      </c>
    </row>
    <row r="1093" customFormat="false" ht="17.15" hidden="false" customHeight="false" outlineLevel="0" collapsed="false">
      <c r="A1093" s="5" t="s">
        <v>399</v>
      </c>
      <c r="B1093" s="0" t="s">
        <v>29</v>
      </c>
      <c r="C1093" s="11" t="n">
        <f aca="false">a25_sga</f>
        <v>121.487</v>
      </c>
      <c r="D1093" s="11" t="n">
        <f aca="false">sg_f+sg_v*D1088</f>
        <v>132.790588088326</v>
      </c>
      <c r="E1093" s="11" t="n">
        <f aca="false">sg_f+sg_v*E1088</f>
        <v>137.543516973761</v>
      </c>
      <c r="F1093" s="11" t="n">
        <f aca="false">sg_f+sg_v*F1088</f>
        <v>141.862767900011</v>
      </c>
      <c r="G1093" s="11" t="n">
        <f aca="false">sg_f+sg_v*G1088</f>
        <v>142.181979093845</v>
      </c>
      <c r="J1093" s="5" t="s">
        <v>514</v>
      </c>
    </row>
    <row r="1094" customFormat="false" ht="15" hidden="false" customHeight="false" outlineLevel="0" collapsed="false">
      <c r="A1094" s="5" t="s">
        <v>367</v>
      </c>
      <c r="B1094" s="0" t="s">
        <v>29</v>
      </c>
      <c r="C1094" s="11" t="n">
        <f aca="false">C1092-C1093</f>
        <v>184.99</v>
      </c>
      <c r="D1094" s="11" t="n">
        <f aca="false">D1092-D1093</f>
        <v>221.122980209503</v>
      </c>
      <c r="E1094" s="11" t="n">
        <f aca="false">E1092-E1093</f>
        <v>232.047062872537</v>
      </c>
      <c r="F1094" s="11" t="n">
        <f aca="false">F1092-F1093</f>
        <v>242.042755517118</v>
      </c>
      <c r="G1094" s="11" t="n">
        <f aca="false">G1092-G1093</f>
        <v>242.784002166057</v>
      </c>
    </row>
    <row r="1095" customFormat="false" ht="15" hidden="false" customHeight="false" outlineLevel="0" collapsed="false">
      <c r="A1095" s="5" t="s">
        <v>515</v>
      </c>
      <c r="B1095" s="0" t="s">
        <v>56</v>
      </c>
      <c r="C1095" s="14" t="n">
        <f aca="false">C1094/C1088</f>
        <v>0.423425629851061</v>
      </c>
      <c r="D1095" s="14" t="n">
        <f aca="false">D1094/D1088</f>
        <v>0.44762479791059</v>
      </c>
      <c r="E1095" s="14" t="n">
        <f aca="false">E1094/E1088</f>
        <v>0.452487637201228</v>
      </c>
      <c r="F1095" s="14" t="n">
        <f aca="false">F1094/F1088</f>
        <v>0.45673601540465</v>
      </c>
      <c r="G1095" s="14" t="n">
        <f aca="false">G1094/G1088</f>
        <v>0.45704387300034</v>
      </c>
    </row>
    <row r="1096" customFormat="false" ht="15" hidden="false" customHeight="false" outlineLevel="0" collapsed="false">
      <c r="A1096" s="5" t="s">
        <v>370</v>
      </c>
      <c r="B1096" s="0" t="s">
        <v>29</v>
      </c>
      <c r="C1096" s="11" t="n">
        <f aca="false">a25_ni</f>
        <v>135.521</v>
      </c>
      <c r="D1096" s="11" t="n">
        <f aca="false">D1094*nioi</f>
        <v>161.992374686992</v>
      </c>
      <c r="E1096" s="11" t="n">
        <f aca="false">E1094*nioi</f>
        <v>169.995243001201</v>
      </c>
      <c r="F1096" s="11" t="n">
        <f aca="false">F1094*nioi</f>
        <v>177.317982531044</v>
      </c>
      <c r="G1096" s="11" t="n">
        <f aca="false">G1094*nioi</f>
        <v>177.861012046912</v>
      </c>
    </row>
    <row r="1097" customFormat="false" ht="15" hidden="false" customHeight="false" outlineLevel="0" collapsed="false">
      <c r="A1097" s="0" t="s">
        <v>459</v>
      </c>
      <c r="B1097" s="0" t="s">
        <v>51</v>
      </c>
      <c r="C1097" s="11" t="n">
        <f aca="false">a25_eps</f>
        <v>1249.84</v>
      </c>
      <c r="D1097" s="11" t="n">
        <f aca="false">D1096*1000/shares</f>
        <v>1493.28041212158</v>
      </c>
      <c r="E1097" s="11" t="n">
        <f aca="false">E1096*1000/shares</f>
        <v>1567.05256662878</v>
      </c>
      <c r="F1097" s="11" t="n">
        <f aca="false">F1096*1000/shares</f>
        <v>1634.55514830345</v>
      </c>
      <c r="G1097" s="11" t="n">
        <f aca="false">G1096*1000/shares</f>
        <v>1639.56091070935</v>
      </c>
    </row>
    <row r="1098" customFormat="false" ht="17.15" hidden="false" customHeight="false" outlineLevel="0" collapsed="false">
      <c r="A1098" s="5" t="s">
        <v>516</v>
      </c>
      <c r="B1098" s="0" t="s">
        <v>29</v>
      </c>
      <c r="C1098" s="16" t="n">
        <f aca="false">ABS(C1088-a25_rev)+ABS(C1094-a25_oi)</f>
        <v>0.000999999999976353</v>
      </c>
    </row>
    <row r="1100" customFormat="false" ht="17.15" hidden="false" customHeight="false" outlineLevel="0" collapsed="false">
      <c r="A1100" s="3" t="s">
        <v>737</v>
      </c>
    </row>
    <row r="1101" customFormat="false" ht="17.15" hidden="false" customHeight="false" outlineLevel="0" collapsed="false">
      <c r="A1101" s="6" t="s">
        <v>18</v>
      </c>
      <c r="B1101" s="6" t="s">
        <v>19</v>
      </c>
      <c r="C1101" s="9" t="s">
        <v>464</v>
      </c>
      <c r="D1101" s="9" t="s">
        <v>465</v>
      </c>
      <c r="E1101" s="9" t="s">
        <v>466</v>
      </c>
      <c r="F1101" s="9" t="s">
        <v>467</v>
      </c>
      <c r="G1101" s="9" t="s">
        <v>468</v>
      </c>
      <c r="H1101" s="9" t="s">
        <v>469</v>
      </c>
      <c r="I1101" s="9" t="s">
        <v>470</v>
      </c>
      <c r="J1101" s="6" t="s">
        <v>450</v>
      </c>
    </row>
    <row r="1102" customFormat="false" ht="17.15" hidden="false" customHeight="false" outlineLevel="0" collapsed="false">
      <c r="A1102" s="1" t="s">
        <v>471</v>
      </c>
    </row>
    <row r="1103" customFormat="false" ht="17.15" hidden="false" customHeight="false" outlineLevel="0" collapsed="false">
      <c r="A1103" s="0" t="s">
        <v>472</v>
      </c>
      <c r="B1103" s="0" t="s">
        <v>96</v>
      </c>
      <c r="C1103" s="19" t="n">
        <f aca="false">hsA_25</f>
        <v>2.22511470588235</v>
      </c>
      <c r="D1103" s="19" t="n">
        <f aca="false">hsA_26</f>
        <v>3.782695</v>
      </c>
      <c r="E1103" s="19" t="n">
        <f aca="false">hsA_27</f>
        <v>5.86317725</v>
      </c>
      <c r="F1103" s="19" t="n">
        <f aca="false">hsA_28</f>
        <v>8.5016070125</v>
      </c>
      <c r="G1103" s="19" t="n">
        <f aca="false">hsA_29</f>
        <v>11.477169466875</v>
      </c>
      <c r="H1103" s="19" t="n">
        <f aca="false">G1103*(1+g_tail)</f>
        <v>12.6248864135625</v>
      </c>
      <c r="I1103" s="19" t="n">
        <f aca="false">H1103*(1+g_tail)</f>
        <v>13.8873750549188</v>
      </c>
      <c r="J1103" s="8" t="s">
        <v>473</v>
      </c>
    </row>
    <row r="1104" customFormat="false" ht="17.15" hidden="false" customHeight="false" outlineLevel="0" collapsed="false">
      <c r="A1104" s="0" t="s">
        <v>474</v>
      </c>
      <c r="B1104" s="0" t="s">
        <v>475</v>
      </c>
      <c r="C1104" s="19" t="n">
        <f aca="false">den_25</f>
        <v>24</v>
      </c>
      <c r="D1104" s="19" t="n">
        <f aca="false">den_26</f>
        <v>24</v>
      </c>
      <c r="E1104" s="19" t="n">
        <f aca="false">den_27</f>
        <v>26</v>
      </c>
      <c r="F1104" s="19" t="n">
        <f aca="false">den_28</f>
        <v>28</v>
      </c>
      <c r="G1104" s="19" t="n">
        <f aca="false">den_29</f>
        <v>30</v>
      </c>
      <c r="H1104" s="19" t="n">
        <f aca="false">den_30</f>
        <v>32</v>
      </c>
      <c r="I1104" s="19" t="n">
        <f aca="false">den_30</f>
        <v>32</v>
      </c>
    </row>
    <row r="1105" customFormat="false" ht="15" hidden="false" customHeight="false" outlineLevel="0" collapsed="false">
      <c r="A1105" s="5" t="s">
        <v>476</v>
      </c>
      <c r="B1105" s="5" t="s">
        <v>148</v>
      </c>
      <c r="C1105" s="19" t="n">
        <f aca="false">stk_25</f>
        <v>10</v>
      </c>
      <c r="D1105" s="19" t="n">
        <f aca="false">stk_26</f>
        <v>12</v>
      </c>
      <c r="E1105" s="19" t="n">
        <f aca="false">stk_27</f>
        <v>12.5</v>
      </c>
      <c r="F1105" s="19" t="n">
        <f aca="false">stk_28</f>
        <v>14</v>
      </c>
      <c r="G1105" s="19" t="n">
        <f aca="false">stk_29</f>
        <v>15</v>
      </c>
      <c r="H1105" s="19" t="n">
        <f aca="false">stk_30</f>
        <v>16</v>
      </c>
      <c r="I1105" s="19" t="n">
        <f aca="false">stk_30</f>
        <v>16</v>
      </c>
    </row>
    <row r="1106" customFormat="false" ht="17.15" hidden="false" customHeight="false" outlineLevel="0" collapsed="false">
      <c r="A1106" s="0" t="s">
        <v>477</v>
      </c>
      <c r="B1106" s="5" t="s">
        <v>478</v>
      </c>
      <c r="C1106" s="19" t="n">
        <f aca="false">C1103*8/C1104</f>
        <v>0.741704901960783</v>
      </c>
      <c r="D1106" s="19" t="n">
        <f aca="false">D1103*8/D1104</f>
        <v>1.26089833333333</v>
      </c>
      <c r="E1106" s="19" t="n">
        <f aca="false">E1103*8/E1104</f>
        <v>1.80405453846154</v>
      </c>
      <c r="F1106" s="19" t="n">
        <f aca="false">F1103*8/F1104</f>
        <v>2.429030575</v>
      </c>
      <c r="G1106" s="19" t="n">
        <f aca="false">G1103*8/G1104</f>
        <v>3.0605785245</v>
      </c>
      <c r="H1106" s="19" t="n">
        <f aca="false">H1103*8/H1104</f>
        <v>3.15622160339063</v>
      </c>
      <c r="I1106" s="19" t="n">
        <f aca="false">I1103*8/I1104</f>
        <v>3.47184376372969</v>
      </c>
      <c r="J1106" s="8" t="s">
        <v>479</v>
      </c>
    </row>
    <row r="1107" customFormat="false" ht="17.15" hidden="false" customHeight="false" outlineLevel="0" collapsed="false">
      <c r="A1107" s="0" t="s">
        <v>480</v>
      </c>
      <c r="B1107" s="5" t="s">
        <v>481</v>
      </c>
      <c r="C1107" s="19" t="n">
        <f aca="false">C1106*(1+s_stk/C1105)</f>
        <v>0.964216372549018</v>
      </c>
      <c r="D1107" s="19" t="n">
        <f aca="false">D1106*(1+s_stk/D1105)</f>
        <v>1.57612291666667</v>
      </c>
      <c r="E1107" s="19" t="n">
        <f aca="false">E1106*(1+s_stk/E1105)</f>
        <v>2.23702762769231</v>
      </c>
      <c r="F1107" s="19" t="n">
        <f aca="false">F1106*(1+s_stk/F1105)</f>
        <v>2.94953712678571</v>
      </c>
      <c r="G1107" s="19" t="n">
        <f aca="false">G1106*(1+s_stk/G1105)</f>
        <v>3.6726942294</v>
      </c>
      <c r="H1107" s="19" t="n">
        <f aca="false">H1106*(1+s_stk/H1105)</f>
        <v>3.74801315402637</v>
      </c>
      <c r="I1107" s="19" t="n">
        <f aca="false">I1106*(1+s_stk/I1105)</f>
        <v>4.12281446942901</v>
      </c>
      <c r="J1107" s="5" t="s">
        <v>482</v>
      </c>
    </row>
    <row r="1108" customFormat="false" ht="17.15" hidden="false" customHeight="false" outlineLevel="0" collapsed="false">
      <c r="A1108" s="5" t="s">
        <v>483</v>
      </c>
      <c r="B1108" s="0" t="s">
        <v>56</v>
      </c>
      <c r="C1108" s="22" t="n">
        <f aca="false">hbp_25*hb_on</f>
        <v>0</v>
      </c>
      <c r="D1108" s="22" t="n">
        <f aca="false">hbp_26*hb_on</f>
        <v>0</v>
      </c>
      <c r="E1108" s="22" t="n">
        <f aca="false">hbp_27*hb_on</f>
        <v>0</v>
      </c>
      <c r="F1108" s="22" t="n">
        <f aca="false">hbp_28*hb_on</f>
        <v>0.05</v>
      </c>
      <c r="G1108" s="22" t="n">
        <f aca="false">hbp_29*hb_on</f>
        <v>0.15</v>
      </c>
      <c r="H1108" s="22" t="n">
        <f aca="false">hbp_30*hb_on</f>
        <v>0.25</v>
      </c>
      <c r="I1108" s="22" t="n">
        <f aca="false">hbp_30*hb_on</f>
        <v>0.25</v>
      </c>
    </row>
    <row r="1109" customFormat="false" ht="17.15" hidden="false" customHeight="false" outlineLevel="0" collapsed="false">
      <c r="A1109" s="0" t="s">
        <v>484</v>
      </c>
      <c r="B1109" s="5" t="s">
        <v>481</v>
      </c>
      <c r="C1109" s="19" t="n">
        <f aca="false">C1107*(1+C1108*hb_eff)</f>
        <v>0.964216372549018</v>
      </c>
      <c r="D1109" s="19" t="n">
        <f aca="false">D1107*(1+D1108*hb_eff)</f>
        <v>1.57612291666667</v>
      </c>
      <c r="E1109" s="19" t="n">
        <f aca="false">E1107*(1+E1108*hb_eff)</f>
        <v>2.23702762769231</v>
      </c>
      <c r="F1109" s="19" t="n">
        <f aca="false">F1107*(1+F1108*hb_eff)</f>
        <v>2.96428481241964</v>
      </c>
      <c r="G1109" s="19" t="n">
        <f aca="false">G1107*(1+G1108*hb_eff)</f>
        <v>3.727784642841</v>
      </c>
      <c r="H1109" s="19" t="n">
        <f aca="false">H1107*(1+H1108*hb_eff)</f>
        <v>3.84171348287703</v>
      </c>
      <c r="I1109" s="19" t="n">
        <f aca="false">I1107*(1+I1108*hb_eff)</f>
        <v>4.22588483116473</v>
      </c>
      <c r="J1109" s="5" t="s">
        <v>485</v>
      </c>
    </row>
    <row r="1110" customFormat="false" ht="17.15" hidden="false" customHeight="false" outlineLevel="0" collapsed="false">
      <c r="A1110" s="0" t="s">
        <v>486</v>
      </c>
      <c r="B1110" s="5" t="s">
        <v>481</v>
      </c>
      <c r="C1110" s="19" t="n">
        <f aca="false">MAX(0,D1109-C1109)+dlt*C1109</f>
        <v>0.70832818137255</v>
      </c>
      <c r="D1110" s="19" t="n">
        <f aca="false">MAX(0,E1109-D1109)+dlt*D1109</f>
        <v>0.818517002692307</v>
      </c>
      <c r="E1110" s="19" t="n">
        <f aca="false">MAX(0,F1109-E1109)+dlt*E1109</f>
        <v>0.950959947496565</v>
      </c>
      <c r="F1110" s="19" t="n">
        <f aca="false">MAX(0,G1109-F1109)+dlt*F1109</f>
        <v>1.05992831166332</v>
      </c>
      <c r="G1110" s="19" t="n">
        <f aca="false">MAX(0,H1109-G1109)+dlt*G1109</f>
        <v>0.486707304320127</v>
      </c>
      <c r="H1110" s="19" t="n">
        <f aca="false">MAX(0,I1109-H1109)+dlt*H1109</f>
        <v>0.768342696575406</v>
      </c>
      <c r="J1110" s="5" t="s">
        <v>487</v>
      </c>
    </row>
    <row r="1111" customFormat="false" ht="17.15" hidden="false" customHeight="false" outlineLevel="0" collapsed="false">
      <c r="A1111" s="0" t="s">
        <v>488</v>
      </c>
      <c r="B1111" s="5" t="s">
        <v>177</v>
      </c>
      <c r="C1111" s="21" t="n">
        <f aca="false">cw_25</f>
        <v>670</v>
      </c>
      <c r="D1111" s="21" t="n">
        <f aca="false">cw_26</f>
        <v>1107.85762580894</v>
      </c>
      <c r="E1111" s="21" t="n">
        <f aca="false">cw_27</f>
        <v>2096.42857142857</v>
      </c>
      <c r="F1111" s="21" t="n">
        <f aca="false">cw_28*um28_A</f>
        <v>2620.08928571429</v>
      </c>
      <c r="G1111" s="21" t="n">
        <f aca="false">cw_29*um29_A</f>
        <v>3013.32589285714</v>
      </c>
      <c r="H1111" s="21" t="n">
        <f aca="false">G1111*(1+g_tail)</f>
        <v>3314.65848214285</v>
      </c>
      <c r="I1111" s="21" t="n">
        <f aca="false">H1111*(1+g_tail)</f>
        <v>3646.12433035714</v>
      </c>
      <c r="J1111" s="5" t="s">
        <v>489</v>
      </c>
    </row>
    <row r="1112" customFormat="false" ht="15" hidden="false" customHeight="false" outlineLevel="0" collapsed="false">
      <c r="A1112" s="5" t="s">
        <v>490</v>
      </c>
      <c r="B1112" s="5" t="s">
        <v>177</v>
      </c>
      <c r="C1112" s="21" t="n">
        <f aca="false">MAX(0,D1111-C1111)+dlt*C1111</f>
        <v>504.85762580894</v>
      </c>
      <c r="D1112" s="21" t="n">
        <f aca="false">MAX(0,E1111-D1111)+dlt*D1111</f>
        <v>1099.35670820052</v>
      </c>
      <c r="E1112" s="21" t="n">
        <f aca="false">MAX(0,F1111-E1111)+dlt*E1111</f>
        <v>733.303571428577</v>
      </c>
      <c r="F1112" s="21" t="n">
        <f aca="false">MAX(0,G1111-F1111)+dlt*F1111</f>
        <v>655.245535714279</v>
      </c>
      <c r="G1112" s="21" t="n">
        <f aca="false">MAX(0,H1111-G1111)+dlt*G1111</f>
        <v>602.665178571428</v>
      </c>
      <c r="H1112" s="21" t="n">
        <f aca="false">MAX(0,I1111-H1111)+dlt*H1111</f>
        <v>662.931696428571</v>
      </c>
    </row>
    <row r="1113" customFormat="false" ht="17.15" hidden="false" customHeight="false" outlineLevel="0" collapsed="false">
      <c r="A1113" s="1" t="s">
        <v>491</v>
      </c>
    </row>
    <row r="1114" customFormat="false" ht="17.15" hidden="false" customHeight="false" outlineLevel="0" collapsed="false">
      <c r="A1114" s="0" t="s">
        <v>492</v>
      </c>
      <c r="B1114" s="0" t="s">
        <v>493</v>
      </c>
      <c r="C1114" s="16" t="n">
        <f aca="false">ai25*w_hbm/(0.75*C1110+0.25*D1110)</f>
        <v>48.9213264236471</v>
      </c>
      <c r="J1114" s="5" t="s">
        <v>494</v>
      </c>
    </row>
    <row r="1115" customFormat="false" ht="17.15" hidden="false" customHeight="false" outlineLevel="0" collapsed="false">
      <c r="A1115" s="5" t="s">
        <v>495</v>
      </c>
      <c r="B1115" s="0" t="s">
        <v>496</v>
      </c>
      <c r="C1115" s="18" t="n">
        <f aca="false">ai25*(1-w_hbm)/(0.75*C1112+0.25*D1112)</f>
        <v>0.0596802610360141</v>
      </c>
    </row>
    <row r="1116" customFormat="false" ht="17.15" hidden="false" customHeight="false" outlineLevel="0" collapsed="false">
      <c r="A1116" s="1" t="s">
        <v>497</v>
      </c>
    </row>
    <row r="1117" customFormat="false" ht="17.15" hidden="false" customHeight="false" outlineLevel="0" collapsed="false">
      <c r="A1117" s="5" t="s">
        <v>498</v>
      </c>
      <c r="B1117" s="0" t="s">
        <v>76</v>
      </c>
      <c r="C1117" s="16" t="n">
        <f aca="false">1-sh_loss/sh*0</f>
        <v>1</v>
      </c>
      <c r="D1117" s="16" t="n">
        <f aca="false">1-sh_loss/sh*0.25</f>
        <v>1</v>
      </c>
      <c r="E1117" s="16" t="n">
        <f aca="false">1-sh_loss/sh*0.5</f>
        <v>1</v>
      </c>
      <c r="F1117" s="16" t="n">
        <f aca="false">1-sh_loss/sh*0.75</f>
        <v>1</v>
      </c>
      <c r="G1117" s="16" t="n">
        <f aca="false">1-sh_loss/sh*1</f>
        <v>1</v>
      </c>
    </row>
    <row r="1118" customFormat="false" ht="17.15" hidden="false" customHeight="false" outlineLevel="0" collapsed="false">
      <c r="A1118" s="0" t="s">
        <v>499</v>
      </c>
      <c r="B1118" s="0" t="s">
        <v>29</v>
      </c>
      <c r="C1118" s="11" t="n">
        <f aca="false">$C$1114*(0.75*C1110+0.25*D1110)*C1117</f>
        <v>36</v>
      </c>
      <c r="D1118" s="11" t="n">
        <f aca="false">$C$1114*(0.75*D1110+0.25*E1110)*D1117</f>
        <v>41.6627586058351</v>
      </c>
      <c r="E1118" s="11" t="n">
        <f aca="false">$C$1114*(0.75*E1110+0.25*F1110)*E1117</f>
        <v>47.8549412356069</v>
      </c>
      <c r="F1118" s="11" t="n">
        <f aca="false">$C$1114*(0.75*F1110+0.25*G1110)*F1117</f>
        <v>44.8424159172644</v>
      </c>
      <c r="G1118" s="11" t="n">
        <f aca="false">$C$1114*(0.75*G1110+0.25*H1110)*G1117</f>
        <v>27.2548611466613</v>
      </c>
    </row>
    <row r="1119" customFormat="false" ht="17.15" hidden="false" customHeight="false" outlineLevel="0" collapsed="false">
      <c r="A1119" s="5" t="s">
        <v>500</v>
      </c>
      <c r="B1119" s="0" t="s">
        <v>29</v>
      </c>
      <c r="C1119" s="11" t="n">
        <f aca="false">$C$1115*(0.75*C1112+0.25*D1112)*C1117</f>
        <v>39</v>
      </c>
      <c r="D1119" s="11" t="n">
        <f aca="false">$C$1115*(0.75*D1112+0.25*E1112)*D1117</f>
        <v>60.1483586282001</v>
      </c>
      <c r="E1119" s="11" t="n">
        <f aca="false">$C$1115*(0.75*E1112+0.25*F1112)*E1117</f>
        <v>42.5991175746519</v>
      </c>
      <c r="F1119" s="11" t="n">
        <f aca="false">$C$1115*(0.75*F1112+0.25*G1112)*F1117</f>
        <v>38.320722254198</v>
      </c>
      <c r="G1119" s="11" t="n">
        <f aca="false">$C$1115*(0.75*G1112+0.25*H1112)*G1117</f>
        <v>36.8663955538204</v>
      </c>
    </row>
    <row r="1120" customFormat="false" ht="17.15" hidden="false" customHeight="false" outlineLevel="0" collapsed="false">
      <c r="A1120" s="0" t="s">
        <v>501</v>
      </c>
      <c r="B1120" s="0" t="s">
        <v>29</v>
      </c>
      <c r="C1120" s="11" t="n">
        <f aca="false">C1118+C1119</f>
        <v>75</v>
      </c>
      <c r="D1120" s="11" t="n">
        <f aca="false">D1118+D1119</f>
        <v>101.811117234035</v>
      </c>
      <c r="E1120" s="11" t="n">
        <f aca="false">E1118+E1119</f>
        <v>90.4540588102588</v>
      </c>
      <c r="F1120" s="11" t="n">
        <f aca="false">F1118+F1119</f>
        <v>83.1631381714624</v>
      </c>
      <c r="G1120" s="11" t="n">
        <f aca="false">G1118+G1119</f>
        <v>64.1212567004817</v>
      </c>
    </row>
    <row r="1121" customFormat="false" ht="17.15" hidden="false" customHeight="false" outlineLevel="0" collapsed="false">
      <c r="A1121" s="5" t="s">
        <v>502</v>
      </c>
      <c r="B1121" s="0" t="s">
        <v>29</v>
      </c>
      <c r="C1121" s="11" t="n">
        <f aca="false">eq25-ai25</f>
        <v>195.87118</v>
      </c>
      <c r="D1121" s="11" t="n">
        <f aca="false">C1121*(1+g_non)*D1117/C1117</f>
        <v>207.6234508</v>
      </c>
      <c r="E1121" s="11" t="n">
        <f aca="false">D1121*(1+g_non)*E1117/D1117</f>
        <v>220.080857848</v>
      </c>
      <c r="F1121" s="11" t="n">
        <f aca="false">E1121*(1+g_non)*F1117/E1117</f>
        <v>233.28570931888</v>
      </c>
      <c r="G1121" s="11" t="n">
        <f aca="false">F1121*(1+g_non)*G1117/F1117</f>
        <v>247.282851878013</v>
      </c>
    </row>
    <row r="1122" customFormat="false" ht="15" hidden="false" customHeight="false" outlineLevel="0" collapsed="false">
      <c r="A1122" s="5" t="s">
        <v>503</v>
      </c>
      <c r="B1122" s="0" t="s">
        <v>29</v>
      </c>
      <c r="C1122" s="11" t="n">
        <f aca="false">C1120+C1121</f>
        <v>270.87118</v>
      </c>
      <c r="D1122" s="11" t="n">
        <f aca="false">D1120+D1121</f>
        <v>309.434568034035</v>
      </c>
      <c r="E1122" s="11" t="n">
        <f aca="false">E1120+E1121</f>
        <v>310.534916658259</v>
      </c>
      <c r="F1122" s="11" t="n">
        <f aca="false">F1120+F1121</f>
        <v>316.448847490343</v>
      </c>
      <c r="G1122" s="11" t="n">
        <f aca="false">G1120+G1121</f>
        <v>311.404108578495</v>
      </c>
    </row>
    <row r="1123" customFormat="false" ht="17.15" hidden="false" customHeight="false" outlineLevel="0" collapsed="false">
      <c r="A1123" s="0" t="s">
        <v>504</v>
      </c>
      <c r="B1123" s="0" t="s">
        <v>76</v>
      </c>
      <c r="C1123" s="19" t="n">
        <f aca="false">w_hbm*(0.75*C1109+0.25*D1109)/(0.75*C1109+0.25*D1109)+(1-w_hbm)*(0.75*C1111+0.25*D1111)/(0.75*C1111+0.25*D1111)</f>
        <v>1</v>
      </c>
      <c r="D1123" s="19" t="n">
        <f aca="false">w_hbm*(0.75*D1109+0.25*E1109)/(0.75*C1109+0.25*D1109)+(1-w_hbm)*(0.75*D1111+0.25*E1111)/(0.75*C1111+0.25*D1111)</f>
        <v>1.65212184085657</v>
      </c>
      <c r="E1123" s="19" t="n">
        <f aca="false">w_hbm*(0.75*E1109+0.25*F1109)/(0.75*C1109+0.25*D1109)+(1-w_hbm)*(0.75*E1111+0.25*F1111)/(0.75*C1111+0.25*D1111)</f>
        <v>2.52516730417954</v>
      </c>
      <c r="F1123" s="19" t="n">
        <f aca="false">w_hbm*(0.75*F1109+0.25*G1109)/(0.75*C1109+0.25*D1109)+(1-w_hbm)*(0.75*F1111+0.25*G1111)/(0.75*C1111+0.25*D1111)</f>
        <v>3.16911970169284</v>
      </c>
      <c r="G1123" s="19" t="n">
        <f aca="false">w_hbm*(0.75*G1109+0.25*H1109)/(0.75*C1109+0.25*D1109)+(1-w_hbm)*(0.75*G1111+0.25*H1111)/(0.75*C1111+0.25*D1111)</f>
        <v>3.67439430985121</v>
      </c>
      <c r="J1123" s="8" t="s">
        <v>505</v>
      </c>
    </row>
    <row r="1124" customFormat="false" ht="17.15" hidden="false" customHeight="false" outlineLevel="0" collapsed="false">
      <c r="A1124" s="0" t="s">
        <v>506</v>
      </c>
      <c r="B1124" s="0" t="s">
        <v>29</v>
      </c>
      <c r="C1124" s="11" t="n">
        <f aca="false">tl25*w_tlai*C1123</f>
        <v>25.4032258064516</v>
      </c>
      <c r="D1124" s="11" t="n">
        <f aca="false">tl25*w_tlai*D1123</f>
        <v>41.9692241830499</v>
      </c>
      <c r="E1124" s="11" t="n">
        <f aca="false">tl25*w_tlai*E1123</f>
        <v>64.1473952271414</v>
      </c>
      <c r="F1124" s="11" t="n">
        <f aca="false">tl25*w_tlai*F1123</f>
        <v>80.5058633897778</v>
      </c>
      <c r="G1124" s="11" t="n">
        <f aca="false">tl25*w_tlai*G1123</f>
        <v>93.3414683550913</v>
      </c>
      <c r="J1124" s="5" t="s">
        <v>507</v>
      </c>
    </row>
    <row r="1125" customFormat="false" ht="17.15" hidden="false" customHeight="false" outlineLevel="0" collapsed="false">
      <c r="A1125" s="5" t="s">
        <v>508</v>
      </c>
      <c r="B1125" s="0" t="s">
        <v>29</v>
      </c>
      <c r="C1125" s="11" t="n">
        <f aca="false">tl25*(1-w_tlai)</f>
        <v>66.3434641935484</v>
      </c>
      <c r="D1125" s="11" t="n">
        <f aca="false">C1125*(1+g_tl)</f>
        <v>69.6606374032258</v>
      </c>
      <c r="E1125" s="11" t="n">
        <f aca="false">D1125*(1+g_tl)</f>
        <v>73.1436692733871</v>
      </c>
      <c r="F1125" s="11" t="n">
        <f aca="false">E1125*(1+g_tl)</f>
        <v>76.8008527370565</v>
      </c>
      <c r="G1125" s="11" t="n">
        <f aca="false">F1125*(1+g_tl)</f>
        <v>80.6408953739093</v>
      </c>
    </row>
    <row r="1126" customFormat="false" ht="15" hidden="false" customHeight="false" outlineLevel="0" collapsed="false">
      <c r="A1126" s="5" t="s">
        <v>509</v>
      </c>
      <c r="B1126" s="0" t="s">
        <v>29</v>
      </c>
      <c r="C1126" s="11" t="n">
        <f aca="false">C1124+C1125</f>
        <v>91.74669</v>
      </c>
      <c r="D1126" s="11" t="n">
        <f aca="false">D1124+D1125</f>
        <v>111.629861586276</v>
      </c>
      <c r="E1126" s="11" t="n">
        <f aca="false">E1124+E1125</f>
        <v>137.291064500529</v>
      </c>
      <c r="F1126" s="11" t="n">
        <f aca="false">F1124+F1125</f>
        <v>157.306716126834</v>
      </c>
      <c r="G1126" s="11" t="n">
        <f aca="false">G1124+G1125</f>
        <v>173.982363729001</v>
      </c>
    </row>
    <row r="1127" customFormat="false" ht="15" hidden="false" customHeight="false" outlineLevel="0" collapsed="false">
      <c r="A1127" s="5" t="s">
        <v>393</v>
      </c>
      <c r="B1127" s="0" t="s">
        <v>29</v>
      </c>
      <c r="C1127" s="11" t="n">
        <f aca="false">r_ot*(C1122+C1126)</f>
        <v>74.27113</v>
      </c>
      <c r="D1127" s="11" t="n">
        <f aca="false">r_ot*(D1122+D1126)</f>
        <v>86.2421120909071</v>
      </c>
      <c r="E1127" s="11" t="n">
        <f aca="false">r_ot*(E1122+E1126)</f>
        <v>91.7233937313179</v>
      </c>
      <c r="F1127" s="11" t="n">
        <f aca="false">r_ot*(F1122+F1126)</f>
        <v>97.0342720661688</v>
      </c>
      <c r="G1127" s="11" t="n">
        <f aca="false">r_ot*(G1122+G1126)</f>
        <v>99.416506376234</v>
      </c>
    </row>
    <row r="1128" customFormat="false" ht="15" hidden="false" customHeight="false" outlineLevel="0" collapsed="false">
      <c r="A1128" s="5" t="s">
        <v>363</v>
      </c>
      <c r="B1128" s="0" t="s">
        <v>29</v>
      </c>
      <c r="C1128" s="11" t="n">
        <f aca="false">C1122+C1126+C1127</f>
        <v>436.889</v>
      </c>
      <c r="D1128" s="11" t="n">
        <f aca="false">D1122+D1126+D1127</f>
        <v>507.306541711218</v>
      </c>
      <c r="E1128" s="11" t="n">
        <f aca="false">E1122+E1126+E1127</f>
        <v>539.549374890105</v>
      </c>
      <c r="F1128" s="11" t="n">
        <f aca="false">F1122+F1126+F1127</f>
        <v>570.789835683346</v>
      </c>
      <c r="G1128" s="11" t="n">
        <f aca="false">G1122+G1126+G1127</f>
        <v>584.802978683729</v>
      </c>
    </row>
    <row r="1129" customFormat="false" ht="17.15" hidden="false" customHeight="false" outlineLevel="0" collapsed="false">
      <c r="A1129" s="0" t="s">
        <v>510</v>
      </c>
      <c r="B1129" s="0" t="s">
        <v>56</v>
      </c>
      <c r="C1129" s="14" t="n">
        <f aca="false">(C1120+C1124)*(1+r_ot)/C1128</f>
        <v>0.276884384673187</v>
      </c>
      <c r="D1129" s="14" t="n">
        <f aca="false">(D1120+D1124)*(1+r_ot)/D1128</f>
        <v>0.341468742792492</v>
      </c>
      <c r="E1129" s="14" t="n">
        <f aca="false">(E1120+E1124)*(1+r_ot)/E1128</f>
        <v>0.345226629409388</v>
      </c>
      <c r="F1129" s="14" t="n">
        <f aca="false">(F1120+F1124)*(1+r_ot)/F1128</f>
        <v>0.345471407895686</v>
      </c>
      <c r="G1129" s="14" t="n">
        <f aca="false">(G1120+G1124)*(1+r_ot)/G1128</f>
        <v>0.324406908801981</v>
      </c>
    </row>
    <row r="1130" customFormat="false" ht="17.15" hidden="false" customHeight="false" outlineLevel="0" collapsed="false">
      <c r="A1130" s="0" t="s">
        <v>511</v>
      </c>
      <c r="B1130" s="0" t="s">
        <v>56</v>
      </c>
      <c r="C1130" s="14" t="n">
        <f aca="false">C1120*(1+r_ot)/C1128</f>
        <v>0.206829299394429</v>
      </c>
      <c r="D1130" s="14" t="n">
        <f aca="false">D1120*(1+r_ot)/D1128</f>
        <v>0.241794628261147</v>
      </c>
      <c r="E1130" s="14" t="n">
        <f aca="false">E1120*(1+r_ot)/E1128</f>
        <v>0.20198483923644</v>
      </c>
      <c r="F1130" s="14" t="n">
        <f aca="false">F1120*(1+r_ot)/F1128</f>
        <v>0.175540182655593</v>
      </c>
      <c r="G1130" s="14" t="n">
        <f aca="false">G1120*(1+r_ot)/G1128</f>
        <v>0.132103510004417</v>
      </c>
      <c r="J1130" s="5" t="s">
        <v>512</v>
      </c>
    </row>
    <row r="1131" customFormat="false" ht="17.15" hidden="false" customHeight="false" outlineLevel="0" collapsed="false">
      <c r="A1131" s="5" t="s">
        <v>401</v>
      </c>
      <c r="B1131" s="0" t="s">
        <v>56</v>
      </c>
      <c r="C1131" s="14" t="n">
        <f aca="false">a25_gp/a25_rev</f>
        <v>0.701498549974936</v>
      </c>
      <c r="D1131" s="14" t="n">
        <f aca="false">gm_a2+gm_b2*LN(D1128)+0</f>
        <v>0.718830168392174</v>
      </c>
      <c r="E1131" s="14" t="n">
        <f aca="false">gm_a2+gm_b2*LN(E1128)+0</f>
        <v>0.725773250290833</v>
      </c>
      <c r="F1131" s="14" t="n">
        <f aca="false">gm_a2+gm_b2*LN(F1128)+0</f>
        <v>0.732115524493993</v>
      </c>
      <c r="G1131" s="14" t="n">
        <f aca="false">gm_a2+gm_b2*LN(G1128)+0</f>
        <v>0.734848404922273</v>
      </c>
      <c r="J1131" s="8" t="s">
        <v>513</v>
      </c>
    </row>
    <row r="1132" customFormat="false" ht="15" hidden="false" customHeight="false" outlineLevel="0" collapsed="false">
      <c r="A1132" s="5" t="s">
        <v>398</v>
      </c>
      <c r="B1132" s="0" t="s">
        <v>29</v>
      </c>
      <c r="C1132" s="11" t="n">
        <f aca="false">C1128*C1131</f>
        <v>306.477</v>
      </c>
      <c r="D1132" s="11" t="n">
        <f aca="false">D1128*D1131</f>
        <v>364.667246804726</v>
      </c>
      <c r="E1132" s="11" t="n">
        <f aca="false">E1128*E1131</f>
        <v>391.590503506379</v>
      </c>
      <c r="F1132" s="11" t="n">
        <f aca="false">F1128*F1131</f>
        <v>417.884099927152</v>
      </c>
      <c r="G1132" s="11" t="n">
        <f aca="false">G1128*G1131</f>
        <v>429.741536079532</v>
      </c>
    </row>
    <row r="1133" customFormat="false" ht="17.15" hidden="false" customHeight="false" outlineLevel="0" collapsed="false">
      <c r="A1133" s="5" t="s">
        <v>399</v>
      </c>
      <c r="B1133" s="0" t="s">
        <v>29</v>
      </c>
      <c r="C1133" s="11" t="n">
        <f aca="false">a25_sga</f>
        <v>121.487</v>
      </c>
      <c r="D1133" s="11" t="n">
        <f aca="false">sg_f+sg_v*D1128</f>
        <v>136.15078964545</v>
      </c>
      <c r="E1133" s="11" t="n">
        <f aca="false">sg_f+sg_v*E1128</f>
        <v>144.287817826287</v>
      </c>
      <c r="F1133" s="11" t="n">
        <f aca="false">sg_f+sg_v*F1128</f>
        <v>152.171880261079</v>
      </c>
      <c r="G1133" s="11" t="n">
        <f aca="false">sg_f+sg_v*G1128</f>
        <v>155.708335598722</v>
      </c>
      <c r="J1133" s="5" t="s">
        <v>514</v>
      </c>
    </row>
    <row r="1134" customFormat="false" ht="15" hidden="false" customHeight="false" outlineLevel="0" collapsed="false">
      <c r="A1134" s="5" t="s">
        <v>367</v>
      </c>
      <c r="B1134" s="0" t="s">
        <v>29</v>
      </c>
      <c r="C1134" s="11" t="n">
        <f aca="false">C1132-C1133</f>
        <v>184.99</v>
      </c>
      <c r="D1134" s="11" t="n">
        <f aca="false">D1132-D1133</f>
        <v>228.516457159276</v>
      </c>
      <c r="E1134" s="11" t="n">
        <f aca="false">E1132-E1133</f>
        <v>247.302685680092</v>
      </c>
      <c r="F1134" s="11" t="n">
        <f aca="false">F1132-F1133</f>
        <v>265.712219666074</v>
      </c>
      <c r="G1134" s="11" t="n">
        <f aca="false">G1132-G1133</f>
        <v>274.03320048081</v>
      </c>
    </row>
    <row r="1135" customFormat="false" ht="15" hidden="false" customHeight="false" outlineLevel="0" collapsed="false">
      <c r="A1135" s="5" t="s">
        <v>515</v>
      </c>
      <c r="B1135" s="0" t="s">
        <v>56</v>
      </c>
      <c r="C1135" s="14" t="n">
        <f aca="false">C1134/C1128</f>
        <v>0.423425629851061</v>
      </c>
      <c r="D1135" s="14" t="n">
        <f aca="false">D1134/D1128</f>
        <v>0.450450444396907</v>
      </c>
      <c r="E1135" s="14" t="n">
        <f aca="false">E1134/E1128</f>
        <v>0.458350425724174</v>
      </c>
      <c r="F1135" s="14" t="n">
        <f aca="false">F1134/F1128</f>
        <v>0.465516733226276</v>
      </c>
      <c r="G1135" s="14" t="n">
        <f aca="false">G1134/G1128</f>
        <v>0.468590637307632</v>
      </c>
    </row>
    <row r="1136" customFormat="false" ht="15" hidden="false" customHeight="false" outlineLevel="0" collapsed="false">
      <c r="A1136" s="5" t="s">
        <v>370</v>
      </c>
      <c r="B1136" s="0" t="s">
        <v>29</v>
      </c>
      <c r="C1136" s="11" t="n">
        <f aca="false">a25_ni</f>
        <v>135.521</v>
      </c>
      <c r="D1136" s="11" t="n">
        <f aca="false">D1134*nioi</f>
        <v>167.408758308236</v>
      </c>
      <c r="E1136" s="11" t="n">
        <f aca="false">E1134*nioi</f>
        <v>181.171352167165</v>
      </c>
      <c r="F1136" s="11" t="n">
        <f aca="false">F1134*nioi</f>
        <v>194.657983563163</v>
      </c>
      <c r="G1136" s="11" t="n">
        <f aca="false">G1134*nioi</f>
        <v>200.753846782024</v>
      </c>
    </row>
    <row r="1137" customFormat="false" ht="15" hidden="false" customHeight="false" outlineLevel="0" collapsed="false">
      <c r="A1137" s="0" t="s">
        <v>459</v>
      </c>
      <c r="B1137" s="0" t="s">
        <v>51</v>
      </c>
      <c r="C1137" s="11" t="n">
        <f aca="false">a25_eps</f>
        <v>1249.84</v>
      </c>
      <c r="D1137" s="11" t="n">
        <f aca="false">D1136*1000/shares</f>
        <v>1543.20979664828</v>
      </c>
      <c r="E1137" s="11" t="n">
        <f aca="false">E1136*1000/shares</f>
        <v>1670.07633508402</v>
      </c>
      <c r="F1137" s="11" t="n">
        <f aca="false">F1136*1000/shares</f>
        <v>1794.39899241935</v>
      </c>
      <c r="G1137" s="11" t="n">
        <f aca="false">G1136*1000/shares</f>
        <v>1850.59196543605</v>
      </c>
    </row>
    <row r="1138" customFormat="false" ht="17.15" hidden="false" customHeight="false" outlineLevel="0" collapsed="false">
      <c r="A1138" s="5" t="s">
        <v>516</v>
      </c>
      <c r="B1138" s="0" t="s">
        <v>29</v>
      </c>
      <c r="C1138" s="16" t="n">
        <f aca="false">ABS(C1128-a25_rev)+ABS(C1134-a25_oi)</f>
        <v>0.000999999999976353</v>
      </c>
    </row>
    <row r="1140" customFormat="false" ht="17.15" hidden="false" customHeight="false" outlineLevel="0" collapsed="false">
      <c r="A1140" s="3" t="s">
        <v>738</v>
      </c>
    </row>
    <row r="1141" customFormat="false" ht="17.15" hidden="false" customHeight="false" outlineLevel="0" collapsed="false">
      <c r="A1141" s="6" t="s">
        <v>18</v>
      </c>
      <c r="B1141" s="6" t="s">
        <v>19</v>
      </c>
      <c r="C1141" s="9" t="s">
        <v>464</v>
      </c>
      <c r="D1141" s="9" t="s">
        <v>465</v>
      </c>
      <c r="E1141" s="9" t="s">
        <v>466</v>
      </c>
      <c r="F1141" s="9" t="s">
        <v>467</v>
      </c>
      <c r="G1141" s="9" t="s">
        <v>468</v>
      </c>
      <c r="H1141" s="9" t="s">
        <v>469</v>
      </c>
      <c r="I1141" s="9" t="s">
        <v>470</v>
      </c>
      <c r="J1141" s="6" t="s">
        <v>450</v>
      </c>
    </row>
    <row r="1142" customFormat="false" ht="17.15" hidden="false" customHeight="false" outlineLevel="0" collapsed="false">
      <c r="A1142" s="1" t="s">
        <v>471</v>
      </c>
    </row>
    <row r="1143" customFormat="false" ht="17.15" hidden="false" customHeight="false" outlineLevel="0" collapsed="false">
      <c r="A1143" s="0" t="s">
        <v>472</v>
      </c>
      <c r="B1143" s="0" t="s">
        <v>96</v>
      </c>
      <c r="C1143" s="19" t="n">
        <f aca="false">hsA_25</f>
        <v>2.22511470588235</v>
      </c>
      <c r="D1143" s="19" t="n">
        <f aca="false">hsA_26</f>
        <v>3.782695</v>
      </c>
      <c r="E1143" s="19" t="n">
        <f aca="false">hsA_27</f>
        <v>5.86317725</v>
      </c>
      <c r="F1143" s="19" t="n">
        <f aca="false">hsA_28</f>
        <v>8.5016070125</v>
      </c>
      <c r="G1143" s="19" t="n">
        <f aca="false">hsA_29</f>
        <v>11.477169466875</v>
      </c>
      <c r="H1143" s="19" t="n">
        <f aca="false">G1143*(1+g_tail)</f>
        <v>12.6248864135625</v>
      </c>
      <c r="I1143" s="19" t="n">
        <f aca="false">H1143*(1+g_tail)</f>
        <v>13.8873750549188</v>
      </c>
      <c r="J1143" s="8" t="s">
        <v>473</v>
      </c>
    </row>
    <row r="1144" customFormat="false" ht="17.15" hidden="false" customHeight="false" outlineLevel="0" collapsed="false">
      <c r="A1144" s="0" t="s">
        <v>474</v>
      </c>
      <c r="B1144" s="0" t="s">
        <v>475</v>
      </c>
      <c r="C1144" s="19" t="n">
        <f aca="false">den_25</f>
        <v>24</v>
      </c>
      <c r="D1144" s="19" t="n">
        <f aca="false">den_26</f>
        <v>24</v>
      </c>
      <c r="E1144" s="19" t="n">
        <f aca="false">den_27</f>
        <v>26</v>
      </c>
      <c r="F1144" s="19" t="n">
        <f aca="false">den_28</f>
        <v>28</v>
      </c>
      <c r="G1144" s="19" t="n">
        <f aca="false">den_29</f>
        <v>30</v>
      </c>
      <c r="H1144" s="19" t="n">
        <f aca="false">den_30</f>
        <v>32</v>
      </c>
      <c r="I1144" s="19" t="n">
        <f aca="false">den_30</f>
        <v>32</v>
      </c>
    </row>
    <row r="1145" customFormat="false" ht="15" hidden="false" customHeight="false" outlineLevel="0" collapsed="false">
      <c r="A1145" s="5" t="s">
        <v>476</v>
      </c>
      <c r="B1145" s="5" t="s">
        <v>148</v>
      </c>
      <c r="C1145" s="19" t="n">
        <f aca="false">stk_25</f>
        <v>10</v>
      </c>
      <c r="D1145" s="19" t="n">
        <f aca="false">stk_26</f>
        <v>12</v>
      </c>
      <c r="E1145" s="19" t="n">
        <f aca="false">stk_27</f>
        <v>12.5</v>
      </c>
      <c r="F1145" s="19" t="n">
        <f aca="false">stk_28</f>
        <v>14</v>
      </c>
      <c r="G1145" s="19" t="n">
        <f aca="false">stk_29</f>
        <v>15</v>
      </c>
      <c r="H1145" s="19" t="n">
        <f aca="false">stk_30</f>
        <v>16</v>
      </c>
      <c r="I1145" s="19" t="n">
        <f aca="false">stk_30</f>
        <v>16</v>
      </c>
    </row>
    <row r="1146" customFormat="false" ht="17.15" hidden="false" customHeight="false" outlineLevel="0" collapsed="false">
      <c r="A1146" s="0" t="s">
        <v>477</v>
      </c>
      <c r="B1146" s="5" t="s">
        <v>478</v>
      </c>
      <c r="C1146" s="19" t="n">
        <f aca="false">C1143*8/C1144</f>
        <v>0.741704901960783</v>
      </c>
      <c r="D1146" s="19" t="n">
        <f aca="false">D1143*8/D1144</f>
        <v>1.26089833333333</v>
      </c>
      <c r="E1146" s="19" t="n">
        <f aca="false">E1143*8/E1144</f>
        <v>1.80405453846154</v>
      </c>
      <c r="F1146" s="19" t="n">
        <f aca="false">F1143*8/F1144</f>
        <v>2.429030575</v>
      </c>
      <c r="G1146" s="19" t="n">
        <f aca="false">G1143*8/G1144</f>
        <v>3.0605785245</v>
      </c>
      <c r="H1146" s="19" t="n">
        <f aca="false">H1143*8/H1144</f>
        <v>3.15622160339063</v>
      </c>
      <c r="I1146" s="19" t="n">
        <f aca="false">I1143*8/I1144</f>
        <v>3.47184376372969</v>
      </c>
      <c r="J1146" s="8" t="s">
        <v>479</v>
      </c>
    </row>
    <row r="1147" customFormat="false" ht="17.15" hidden="false" customHeight="false" outlineLevel="0" collapsed="false">
      <c r="A1147" s="0" t="s">
        <v>480</v>
      </c>
      <c r="B1147" s="5" t="s">
        <v>481</v>
      </c>
      <c r="C1147" s="19" t="n">
        <f aca="false">C1146*(1+s_stk/C1145)</f>
        <v>0.964216372549018</v>
      </c>
      <c r="D1147" s="19" t="n">
        <f aca="false">D1146*(1+s_stk/D1145)</f>
        <v>1.57612291666667</v>
      </c>
      <c r="E1147" s="19" t="n">
        <f aca="false">E1146*(1+s_stk/E1145)</f>
        <v>2.23702762769231</v>
      </c>
      <c r="F1147" s="19" t="n">
        <f aca="false">F1146*(1+s_stk/F1145)</f>
        <v>2.94953712678571</v>
      </c>
      <c r="G1147" s="19" t="n">
        <f aca="false">G1146*(1+s_stk/G1145)</f>
        <v>3.6726942294</v>
      </c>
      <c r="H1147" s="19" t="n">
        <f aca="false">H1146*(1+s_stk/H1145)</f>
        <v>3.74801315402637</v>
      </c>
      <c r="I1147" s="19" t="n">
        <f aca="false">I1146*(1+s_stk/I1145)</f>
        <v>4.12281446942901</v>
      </c>
      <c r="J1147" s="5" t="s">
        <v>482</v>
      </c>
    </row>
    <row r="1148" customFormat="false" ht="17.15" hidden="false" customHeight="false" outlineLevel="0" collapsed="false">
      <c r="A1148" s="5" t="s">
        <v>483</v>
      </c>
      <c r="B1148" s="0" t="s">
        <v>56</v>
      </c>
      <c r="C1148" s="22" t="n">
        <f aca="false">hbp_25*hb_on</f>
        <v>0</v>
      </c>
      <c r="D1148" s="22" t="n">
        <f aca="false">hbp_26*hb_on</f>
        <v>0</v>
      </c>
      <c r="E1148" s="22" t="n">
        <f aca="false">hbp_27*hb_on</f>
        <v>0</v>
      </c>
      <c r="F1148" s="22" t="n">
        <f aca="false">hbp_28*hb_on</f>
        <v>0.05</v>
      </c>
      <c r="G1148" s="22" t="n">
        <f aca="false">hbp_29*hb_on</f>
        <v>0.15</v>
      </c>
      <c r="H1148" s="22" t="n">
        <f aca="false">hbp_30*hb_on</f>
        <v>0.25</v>
      </c>
      <c r="I1148" s="22" t="n">
        <f aca="false">hbp_30*hb_on</f>
        <v>0.25</v>
      </c>
    </row>
    <row r="1149" customFormat="false" ht="17.15" hidden="false" customHeight="false" outlineLevel="0" collapsed="false">
      <c r="A1149" s="0" t="s">
        <v>484</v>
      </c>
      <c r="B1149" s="5" t="s">
        <v>481</v>
      </c>
      <c r="C1149" s="19" t="n">
        <f aca="false">C1147*(1+C1148*hb_eff)</f>
        <v>0.964216372549018</v>
      </c>
      <c r="D1149" s="19" t="n">
        <f aca="false">D1147*(1+D1148*hb_eff)</f>
        <v>1.57612291666667</v>
      </c>
      <c r="E1149" s="19" t="n">
        <f aca="false">E1147*(1+E1148*hb_eff)</f>
        <v>2.23702762769231</v>
      </c>
      <c r="F1149" s="19" t="n">
        <f aca="false">F1147*(1+F1148*hb_eff)</f>
        <v>2.96428481241964</v>
      </c>
      <c r="G1149" s="19" t="n">
        <f aca="false">G1147*(1+G1148*hb_eff)</f>
        <v>3.727784642841</v>
      </c>
      <c r="H1149" s="19" t="n">
        <f aca="false">H1147*(1+H1148*hb_eff)</f>
        <v>3.84171348287703</v>
      </c>
      <c r="I1149" s="19" t="n">
        <f aca="false">I1147*(1+I1148*hb_eff)</f>
        <v>4.22588483116473</v>
      </c>
      <c r="J1149" s="5" t="s">
        <v>485</v>
      </c>
    </row>
    <row r="1150" customFormat="false" ht="17.15" hidden="false" customHeight="false" outlineLevel="0" collapsed="false">
      <c r="A1150" s="0" t="s">
        <v>486</v>
      </c>
      <c r="B1150" s="5" t="s">
        <v>481</v>
      </c>
      <c r="C1150" s="19" t="n">
        <f aca="false">MAX(0,D1149-C1149)+dlt*C1149</f>
        <v>0.70832818137255</v>
      </c>
      <c r="D1150" s="19" t="n">
        <f aca="false">MAX(0,E1149-D1149)+dlt*D1149</f>
        <v>0.818517002692307</v>
      </c>
      <c r="E1150" s="19" t="n">
        <f aca="false">MAX(0,F1149-E1149)+dlt*E1149</f>
        <v>0.950959947496565</v>
      </c>
      <c r="F1150" s="19" t="n">
        <f aca="false">MAX(0,G1149-F1149)+dlt*F1149</f>
        <v>1.05992831166332</v>
      </c>
      <c r="G1150" s="19" t="n">
        <f aca="false">MAX(0,H1149-G1149)+dlt*G1149</f>
        <v>0.486707304320127</v>
      </c>
      <c r="H1150" s="19" t="n">
        <f aca="false">MAX(0,I1149-H1149)+dlt*H1149</f>
        <v>0.768342696575406</v>
      </c>
      <c r="J1150" s="5" t="s">
        <v>487</v>
      </c>
    </row>
    <row r="1151" customFormat="false" ht="17.15" hidden="false" customHeight="false" outlineLevel="0" collapsed="false">
      <c r="A1151" s="0" t="s">
        <v>488</v>
      </c>
      <c r="B1151" s="5" t="s">
        <v>177</v>
      </c>
      <c r="C1151" s="21" t="n">
        <f aca="false">cw_25</f>
        <v>670</v>
      </c>
      <c r="D1151" s="21" t="n">
        <f aca="false">cw_26</f>
        <v>1107.85762580894</v>
      </c>
      <c r="E1151" s="21" t="n">
        <f aca="false">cw_27</f>
        <v>2096.42857142857</v>
      </c>
      <c r="F1151" s="21" t="n">
        <f aca="false">cw_28*um28_A</f>
        <v>2620.08928571429</v>
      </c>
      <c r="G1151" s="21" t="n">
        <f aca="false">cw_29*um29_A</f>
        <v>3013.32589285714</v>
      </c>
      <c r="H1151" s="21" t="n">
        <f aca="false">G1151*(1+g_tail)</f>
        <v>3314.65848214285</v>
      </c>
      <c r="I1151" s="21" t="n">
        <f aca="false">H1151*(1+g_tail)</f>
        <v>3646.12433035714</v>
      </c>
      <c r="J1151" s="5" t="s">
        <v>489</v>
      </c>
    </row>
    <row r="1152" customFormat="false" ht="15" hidden="false" customHeight="false" outlineLevel="0" collapsed="false">
      <c r="A1152" s="5" t="s">
        <v>490</v>
      </c>
      <c r="B1152" s="5" t="s">
        <v>177</v>
      </c>
      <c r="C1152" s="21" t="n">
        <f aca="false">MAX(0,D1151-C1151)+dlt*C1151</f>
        <v>504.85762580894</v>
      </c>
      <c r="D1152" s="21" t="n">
        <f aca="false">MAX(0,E1151-D1151)+dlt*D1151</f>
        <v>1099.35670820052</v>
      </c>
      <c r="E1152" s="21" t="n">
        <f aca="false">MAX(0,F1151-E1151)+dlt*E1151</f>
        <v>733.303571428577</v>
      </c>
      <c r="F1152" s="21" t="n">
        <f aca="false">MAX(0,G1151-F1151)+dlt*F1151</f>
        <v>655.245535714279</v>
      </c>
      <c r="G1152" s="21" t="n">
        <f aca="false">MAX(0,H1151-G1151)+dlt*G1151</f>
        <v>602.665178571428</v>
      </c>
      <c r="H1152" s="21" t="n">
        <f aca="false">MAX(0,I1151-H1151)+dlt*H1151</f>
        <v>662.931696428571</v>
      </c>
    </row>
    <row r="1153" customFormat="false" ht="17.15" hidden="false" customHeight="false" outlineLevel="0" collapsed="false">
      <c r="A1153" s="1" t="s">
        <v>491</v>
      </c>
    </row>
    <row r="1154" customFormat="false" ht="17.15" hidden="false" customHeight="false" outlineLevel="0" collapsed="false">
      <c r="A1154" s="0" t="s">
        <v>492</v>
      </c>
      <c r="B1154" s="0" t="s">
        <v>493</v>
      </c>
      <c r="C1154" s="16" t="n">
        <f aca="false">ai25*w_hbm/(0.75*C1150+0.25*D1150)</f>
        <v>48.9213264236471</v>
      </c>
      <c r="J1154" s="5" t="s">
        <v>494</v>
      </c>
    </row>
    <row r="1155" customFormat="false" ht="17.15" hidden="false" customHeight="false" outlineLevel="0" collapsed="false">
      <c r="A1155" s="5" t="s">
        <v>495</v>
      </c>
      <c r="B1155" s="0" t="s">
        <v>496</v>
      </c>
      <c r="C1155" s="18" t="n">
        <f aca="false">ai25*(1-w_hbm)/(0.75*C1152+0.25*D1152)</f>
        <v>0.0596802610360141</v>
      </c>
    </row>
    <row r="1156" customFormat="false" ht="17.15" hidden="false" customHeight="false" outlineLevel="0" collapsed="false">
      <c r="A1156" s="1" t="s">
        <v>497</v>
      </c>
    </row>
    <row r="1157" customFormat="false" ht="17.15" hidden="false" customHeight="false" outlineLevel="0" collapsed="false">
      <c r="A1157" s="5" t="s">
        <v>498</v>
      </c>
      <c r="B1157" s="0" t="s">
        <v>76</v>
      </c>
      <c r="C1157" s="16" t="n">
        <f aca="false">1-sh_loss/sh*0</f>
        <v>1</v>
      </c>
      <c r="D1157" s="16" t="n">
        <f aca="false">1-sh_loss/sh*0.25</f>
        <v>1</v>
      </c>
      <c r="E1157" s="16" t="n">
        <f aca="false">1-sh_loss/sh*0.5</f>
        <v>1</v>
      </c>
      <c r="F1157" s="16" t="n">
        <f aca="false">1-sh_loss/sh*0.75</f>
        <v>1</v>
      </c>
      <c r="G1157" s="16" t="n">
        <f aca="false">1-sh_loss/sh*1</f>
        <v>1</v>
      </c>
    </row>
    <row r="1158" customFormat="false" ht="17.15" hidden="false" customHeight="false" outlineLevel="0" collapsed="false">
      <c r="A1158" s="0" t="s">
        <v>499</v>
      </c>
      <c r="B1158" s="0" t="s">
        <v>29</v>
      </c>
      <c r="C1158" s="11" t="n">
        <f aca="false">$C$1154*(0.75*C1150+0.25*D1150)*C1157</f>
        <v>36</v>
      </c>
      <c r="D1158" s="11" t="n">
        <f aca="false">$C$1154*(0.75*D1150+0.25*E1150)*D1157</f>
        <v>41.6627586058351</v>
      </c>
      <c r="E1158" s="11" t="n">
        <f aca="false">$C$1154*(0.75*E1150+0.25*F1150)*E1157</f>
        <v>47.8549412356069</v>
      </c>
      <c r="F1158" s="11" t="n">
        <f aca="false">$C$1154*(0.75*F1150+0.25*G1150)*F1157</f>
        <v>44.8424159172644</v>
      </c>
      <c r="G1158" s="11" t="n">
        <f aca="false">$C$1154*(0.75*G1150+0.25*H1150)*G1157</f>
        <v>27.2548611466613</v>
      </c>
    </row>
    <row r="1159" customFormat="false" ht="17.15" hidden="false" customHeight="false" outlineLevel="0" collapsed="false">
      <c r="A1159" s="5" t="s">
        <v>500</v>
      </c>
      <c r="B1159" s="0" t="s">
        <v>29</v>
      </c>
      <c r="C1159" s="11" t="n">
        <f aca="false">$C$1155*(0.75*C1152+0.25*D1152)*C1157</f>
        <v>39</v>
      </c>
      <c r="D1159" s="11" t="n">
        <f aca="false">$C$1155*(0.75*D1152+0.25*E1152)*D1157</f>
        <v>60.1483586282001</v>
      </c>
      <c r="E1159" s="11" t="n">
        <f aca="false">$C$1155*(0.75*E1152+0.25*F1152)*E1157</f>
        <v>42.5991175746519</v>
      </c>
      <c r="F1159" s="11" t="n">
        <f aca="false">$C$1155*(0.75*F1152+0.25*G1152)*F1157</f>
        <v>38.320722254198</v>
      </c>
      <c r="G1159" s="11" t="n">
        <f aca="false">$C$1155*(0.75*G1152+0.25*H1152)*G1157</f>
        <v>36.8663955538204</v>
      </c>
    </row>
    <row r="1160" customFormat="false" ht="17.15" hidden="false" customHeight="false" outlineLevel="0" collapsed="false">
      <c r="A1160" s="0" t="s">
        <v>501</v>
      </c>
      <c r="B1160" s="0" t="s">
        <v>29</v>
      </c>
      <c r="C1160" s="11" t="n">
        <f aca="false">C1158+C1159</f>
        <v>75</v>
      </c>
      <c r="D1160" s="11" t="n">
        <f aca="false">D1158+D1159</f>
        <v>101.811117234035</v>
      </c>
      <c r="E1160" s="11" t="n">
        <f aca="false">E1158+E1159</f>
        <v>90.4540588102588</v>
      </c>
      <c r="F1160" s="11" t="n">
        <f aca="false">F1158+F1159</f>
        <v>83.1631381714624</v>
      </c>
      <c r="G1160" s="11" t="n">
        <f aca="false">G1158+G1159</f>
        <v>64.1212567004817</v>
      </c>
    </row>
    <row r="1161" customFormat="false" ht="17.15" hidden="false" customHeight="false" outlineLevel="0" collapsed="false">
      <c r="A1161" s="5" t="s">
        <v>502</v>
      </c>
      <c r="B1161" s="0" t="s">
        <v>29</v>
      </c>
      <c r="C1161" s="11" t="n">
        <f aca="false">eq25-ai25</f>
        <v>195.87118</v>
      </c>
      <c r="D1161" s="11" t="n">
        <f aca="false">C1161*(1+g_non)*D1157/C1157</f>
        <v>207.6234508</v>
      </c>
      <c r="E1161" s="11" t="n">
        <f aca="false">D1161*(1+g_non)*E1157/D1157</f>
        <v>220.080857848</v>
      </c>
      <c r="F1161" s="11" t="n">
        <f aca="false">E1161*(1+g_non)*F1157/E1157</f>
        <v>233.28570931888</v>
      </c>
      <c r="G1161" s="11" t="n">
        <f aca="false">F1161*(1+g_non)*G1157/F1157</f>
        <v>247.282851878013</v>
      </c>
    </row>
    <row r="1162" customFormat="false" ht="15" hidden="false" customHeight="false" outlineLevel="0" collapsed="false">
      <c r="A1162" s="5" t="s">
        <v>503</v>
      </c>
      <c r="B1162" s="0" t="s">
        <v>29</v>
      </c>
      <c r="C1162" s="11" t="n">
        <f aca="false">C1160+C1161</f>
        <v>270.87118</v>
      </c>
      <c r="D1162" s="11" t="n">
        <f aca="false">D1160+D1161</f>
        <v>309.434568034035</v>
      </c>
      <c r="E1162" s="11" t="n">
        <f aca="false">E1160+E1161</f>
        <v>310.534916658259</v>
      </c>
      <c r="F1162" s="11" t="n">
        <f aca="false">F1160+F1161</f>
        <v>316.448847490343</v>
      </c>
      <c r="G1162" s="11" t="n">
        <f aca="false">G1160+G1161</f>
        <v>311.404108578495</v>
      </c>
    </row>
    <row r="1163" customFormat="false" ht="17.15" hidden="false" customHeight="false" outlineLevel="0" collapsed="false">
      <c r="A1163" s="0" t="s">
        <v>504</v>
      </c>
      <c r="B1163" s="0" t="s">
        <v>76</v>
      </c>
      <c r="C1163" s="19" t="n">
        <f aca="false">w_hbm*(0.75*C1149+0.25*D1149)/(0.75*C1149+0.25*D1149)+(1-w_hbm)*(0.75*C1151+0.25*D1151)/(0.75*C1151+0.25*D1151)</f>
        <v>1</v>
      </c>
      <c r="D1163" s="19" t="n">
        <f aca="false">w_hbm*(0.75*D1149+0.25*E1149)/(0.75*C1149+0.25*D1149)+(1-w_hbm)*(0.75*D1151+0.25*E1151)/(0.75*C1151+0.25*D1151)</f>
        <v>1.65212184085657</v>
      </c>
      <c r="E1163" s="19" t="n">
        <f aca="false">w_hbm*(0.75*E1149+0.25*F1149)/(0.75*C1149+0.25*D1149)+(1-w_hbm)*(0.75*E1151+0.25*F1151)/(0.75*C1151+0.25*D1151)</f>
        <v>2.52516730417954</v>
      </c>
      <c r="F1163" s="19" t="n">
        <f aca="false">w_hbm*(0.75*F1149+0.25*G1149)/(0.75*C1149+0.25*D1149)+(1-w_hbm)*(0.75*F1151+0.25*G1151)/(0.75*C1151+0.25*D1151)</f>
        <v>3.16911970169284</v>
      </c>
      <c r="G1163" s="19" t="n">
        <f aca="false">w_hbm*(0.75*G1149+0.25*H1149)/(0.75*C1149+0.25*D1149)+(1-w_hbm)*(0.75*G1151+0.25*H1151)/(0.75*C1151+0.25*D1151)</f>
        <v>3.67439430985121</v>
      </c>
      <c r="J1163" s="8" t="s">
        <v>505</v>
      </c>
    </row>
    <row r="1164" customFormat="false" ht="17.15" hidden="false" customHeight="false" outlineLevel="0" collapsed="false">
      <c r="A1164" s="0" t="s">
        <v>506</v>
      </c>
      <c r="B1164" s="0" t="s">
        <v>29</v>
      </c>
      <c r="C1164" s="11" t="n">
        <f aca="false">tl25*w_tlai*C1163</f>
        <v>25.4032258064516</v>
      </c>
      <c r="D1164" s="11" t="n">
        <f aca="false">tl25*w_tlai*D1163</f>
        <v>41.9692241830499</v>
      </c>
      <c r="E1164" s="11" t="n">
        <f aca="false">tl25*w_tlai*E1163</f>
        <v>64.1473952271414</v>
      </c>
      <c r="F1164" s="11" t="n">
        <f aca="false">tl25*w_tlai*F1163</f>
        <v>80.5058633897778</v>
      </c>
      <c r="G1164" s="11" t="n">
        <f aca="false">tl25*w_tlai*G1163</f>
        <v>93.3414683550913</v>
      </c>
      <c r="J1164" s="5" t="s">
        <v>507</v>
      </c>
    </row>
    <row r="1165" customFormat="false" ht="17.15" hidden="false" customHeight="false" outlineLevel="0" collapsed="false">
      <c r="A1165" s="5" t="s">
        <v>508</v>
      </c>
      <c r="B1165" s="0" t="s">
        <v>29</v>
      </c>
      <c r="C1165" s="11" t="n">
        <f aca="false">tl25*(1-w_tlai)</f>
        <v>66.3434641935484</v>
      </c>
      <c r="D1165" s="11" t="n">
        <f aca="false">C1165*(1+g_tl)</f>
        <v>69.6606374032258</v>
      </c>
      <c r="E1165" s="11" t="n">
        <f aca="false">D1165*(1+g_tl)</f>
        <v>73.1436692733871</v>
      </c>
      <c r="F1165" s="11" t="n">
        <f aca="false">E1165*(1+g_tl)</f>
        <v>76.8008527370565</v>
      </c>
      <c r="G1165" s="11" t="n">
        <f aca="false">F1165*(1+g_tl)</f>
        <v>80.6408953739093</v>
      </c>
    </row>
    <row r="1166" customFormat="false" ht="15" hidden="false" customHeight="false" outlineLevel="0" collapsed="false">
      <c r="A1166" s="5" t="s">
        <v>509</v>
      </c>
      <c r="B1166" s="0" t="s">
        <v>29</v>
      </c>
      <c r="C1166" s="11" t="n">
        <f aca="false">C1164+C1165</f>
        <v>91.74669</v>
      </c>
      <c r="D1166" s="11" t="n">
        <f aca="false">D1164+D1165</f>
        <v>111.629861586276</v>
      </c>
      <c r="E1166" s="11" t="n">
        <f aca="false">E1164+E1165</f>
        <v>137.291064500529</v>
      </c>
      <c r="F1166" s="11" t="n">
        <f aca="false">F1164+F1165</f>
        <v>157.306716126834</v>
      </c>
      <c r="G1166" s="11" t="n">
        <f aca="false">G1164+G1165</f>
        <v>173.982363729001</v>
      </c>
    </row>
    <row r="1167" customFormat="false" ht="15" hidden="false" customHeight="false" outlineLevel="0" collapsed="false">
      <c r="A1167" s="5" t="s">
        <v>393</v>
      </c>
      <c r="B1167" s="0" t="s">
        <v>29</v>
      </c>
      <c r="C1167" s="11" t="n">
        <f aca="false">r_ot*(C1162+C1166)</f>
        <v>74.27113</v>
      </c>
      <c r="D1167" s="11" t="n">
        <f aca="false">r_ot*(D1162+D1166)</f>
        <v>86.2421120909071</v>
      </c>
      <c r="E1167" s="11" t="n">
        <f aca="false">r_ot*(E1162+E1166)</f>
        <v>91.7233937313179</v>
      </c>
      <c r="F1167" s="11" t="n">
        <f aca="false">r_ot*(F1162+F1166)</f>
        <v>97.0342720661688</v>
      </c>
      <c r="G1167" s="11" t="n">
        <f aca="false">r_ot*(G1162+G1166)</f>
        <v>99.416506376234</v>
      </c>
    </row>
    <row r="1168" customFormat="false" ht="15" hidden="false" customHeight="false" outlineLevel="0" collapsed="false">
      <c r="A1168" s="5" t="s">
        <v>363</v>
      </c>
      <c r="B1168" s="0" t="s">
        <v>29</v>
      </c>
      <c r="C1168" s="11" t="n">
        <f aca="false">C1162+C1166+C1167</f>
        <v>436.889</v>
      </c>
      <c r="D1168" s="11" t="n">
        <f aca="false">D1162+D1166+D1167</f>
        <v>507.306541711218</v>
      </c>
      <c r="E1168" s="11" t="n">
        <f aca="false">E1162+E1166+E1167</f>
        <v>539.549374890105</v>
      </c>
      <c r="F1168" s="11" t="n">
        <f aca="false">F1162+F1166+F1167</f>
        <v>570.789835683346</v>
      </c>
      <c r="G1168" s="11" t="n">
        <f aca="false">G1162+G1166+G1167</f>
        <v>584.802978683729</v>
      </c>
    </row>
    <row r="1169" customFormat="false" ht="17.15" hidden="false" customHeight="false" outlineLevel="0" collapsed="false">
      <c r="A1169" s="0" t="s">
        <v>510</v>
      </c>
      <c r="B1169" s="0" t="s">
        <v>56</v>
      </c>
      <c r="C1169" s="14" t="n">
        <f aca="false">(C1160+C1164)*(1+r_ot)/C1168</f>
        <v>0.276884384673187</v>
      </c>
      <c r="D1169" s="14" t="n">
        <f aca="false">(D1160+D1164)*(1+r_ot)/D1168</f>
        <v>0.341468742792492</v>
      </c>
      <c r="E1169" s="14" t="n">
        <f aca="false">(E1160+E1164)*(1+r_ot)/E1168</f>
        <v>0.345226629409388</v>
      </c>
      <c r="F1169" s="14" t="n">
        <f aca="false">(F1160+F1164)*(1+r_ot)/F1168</f>
        <v>0.345471407895686</v>
      </c>
      <c r="G1169" s="14" t="n">
        <f aca="false">(G1160+G1164)*(1+r_ot)/G1168</f>
        <v>0.324406908801981</v>
      </c>
    </row>
    <row r="1170" customFormat="false" ht="17.15" hidden="false" customHeight="false" outlineLevel="0" collapsed="false">
      <c r="A1170" s="0" t="s">
        <v>511</v>
      </c>
      <c r="B1170" s="0" t="s">
        <v>56</v>
      </c>
      <c r="C1170" s="14" t="n">
        <f aca="false">C1160*(1+r_ot)/C1168</f>
        <v>0.206829299394429</v>
      </c>
      <c r="D1170" s="14" t="n">
        <f aca="false">D1160*(1+r_ot)/D1168</f>
        <v>0.241794628261147</v>
      </c>
      <c r="E1170" s="14" t="n">
        <f aca="false">E1160*(1+r_ot)/E1168</f>
        <v>0.20198483923644</v>
      </c>
      <c r="F1170" s="14" t="n">
        <f aca="false">F1160*(1+r_ot)/F1168</f>
        <v>0.175540182655593</v>
      </c>
      <c r="G1170" s="14" t="n">
        <f aca="false">G1160*(1+r_ot)/G1168</f>
        <v>0.132103510004417</v>
      </c>
      <c r="J1170" s="5" t="s">
        <v>512</v>
      </c>
    </row>
    <row r="1171" customFormat="false" ht="17.15" hidden="false" customHeight="false" outlineLevel="0" collapsed="false">
      <c r="A1171" s="5" t="s">
        <v>401</v>
      </c>
      <c r="B1171" s="0" t="s">
        <v>56</v>
      </c>
      <c r="C1171" s="14" t="n">
        <f aca="false">a25_gp/a25_rev</f>
        <v>0.701498549974936</v>
      </c>
      <c r="D1171" s="14" t="n">
        <f aca="false">gm_a+gm_b*LN(D1168)+0</f>
        <v>0.719463492058136</v>
      </c>
      <c r="E1171" s="14" t="n">
        <f aca="false">gm_a+gm_b*LN(E1168)+0</f>
        <v>0.726477317954067</v>
      </c>
      <c r="F1171" s="14" t="n">
        <f aca="false">gm_a+gm_b*LN(F1168)+0</f>
        <v>0.73288421444391</v>
      </c>
      <c r="G1171" s="14" t="n">
        <f aca="false">gm_a+gm_b*LN(G1168)+0</f>
        <v>0.735644940559218</v>
      </c>
      <c r="J1171" s="8" t="s">
        <v>513</v>
      </c>
    </row>
    <row r="1172" customFormat="false" ht="15" hidden="false" customHeight="false" outlineLevel="0" collapsed="false">
      <c r="A1172" s="5" t="s">
        <v>398</v>
      </c>
      <c r="B1172" s="0" t="s">
        <v>29</v>
      </c>
      <c r="C1172" s="11" t="n">
        <f aca="false">C1168*C1171</f>
        <v>306.477</v>
      </c>
      <c r="D1172" s="11" t="n">
        <f aca="false">D1168*D1171</f>
        <v>364.98853604349</v>
      </c>
      <c r="E1172" s="11" t="n">
        <f aca="false">E1168*E1171</f>
        <v>391.970382773957</v>
      </c>
      <c r="F1172" s="11" t="n">
        <f aca="false">F1168*F1171</f>
        <v>418.322860337357</v>
      </c>
      <c r="G1172" s="11" t="n">
        <f aca="false">G1168*G1171</f>
        <v>430.207352492645</v>
      </c>
    </row>
    <row r="1173" customFormat="false" ht="17.15" hidden="false" customHeight="false" outlineLevel="0" collapsed="false">
      <c r="A1173" s="5" t="s">
        <v>399</v>
      </c>
      <c r="B1173" s="0" t="s">
        <v>29</v>
      </c>
      <c r="C1173" s="11" t="n">
        <f aca="false">a25_sga</f>
        <v>121.487</v>
      </c>
      <c r="D1173" s="11" t="n">
        <f aca="false">sg_f+sg_v*D1168</f>
        <v>136.15078964545</v>
      </c>
      <c r="E1173" s="11" t="n">
        <f aca="false">sg_f+sg_v*E1168</f>
        <v>144.287817826287</v>
      </c>
      <c r="F1173" s="11" t="n">
        <f aca="false">sg_f+sg_v*F1168</f>
        <v>152.171880261079</v>
      </c>
      <c r="G1173" s="11" t="n">
        <f aca="false">sg_f+sg_v*G1168</f>
        <v>155.708335598722</v>
      </c>
      <c r="J1173" s="5" t="s">
        <v>514</v>
      </c>
    </row>
    <row r="1174" customFormat="false" ht="15" hidden="false" customHeight="false" outlineLevel="0" collapsed="false">
      <c r="A1174" s="5" t="s">
        <v>367</v>
      </c>
      <c r="B1174" s="0" t="s">
        <v>29</v>
      </c>
      <c r="C1174" s="11" t="n">
        <f aca="false">C1172-C1173</f>
        <v>184.99</v>
      </c>
      <c r="D1174" s="11" t="n">
        <f aca="false">D1172-D1173</f>
        <v>228.837746398039</v>
      </c>
      <c r="E1174" s="11" t="n">
        <f aca="false">E1172-E1173</f>
        <v>247.68256494767</v>
      </c>
      <c r="F1174" s="11" t="n">
        <f aca="false">F1172-F1173</f>
        <v>266.150980076278</v>
      </c>
      <c r="G1174" s="11" t="n">
        <f aca="false">G1172-G1173</f>
        <v>274.499016893924</v>
      </c>
    </row>
    <row r="1175" customFormat="false" ht="15" hidden="false" customHeight="false" outlineLevel="0" collapsed="false">
      <c r="A1175" s="5" t="s">
        <v>515</v>
      </c>
      <c r="B1175" s="0" t="s">
        <v>56</v>
      </c>
      <c r="C1175" s="14" t="n">
        <f aca="false">C1174/C1168</f>
        <v>0.423425629851061</v>
      </c>
      <c r="D1175" s="14" t="n">
        <f aca="false">D1174/D1168</f>
        <v>0.451083768062869</v>
      </c>
      <c r="E1175" s="14" t="n">
        <f aca="false">E1174/E1168</f>
        <v>0.459054493387408</v>
      </c>
      <c r="F1175" s="14" t="n">
        <f aca="false">F1174/F1168</f>
        <v>0.466285423176193</v>
      </c>
      <c r="G1175" s="14" t="n">
        <f aca="false">G1174/G1168</f>
        <v>0.469387172944577</v>
      </c>
    </row>
    <row r="1176" customFormat="false" ht="15" hidden="false" customHeight="false" outlineLevel="0" collapsed="false">
      <c r="A1176" s="5" t="s">
        <v>370</v>
      </c>
      <c r="B1176" s="0" t="s">
        <v>29</v>
      </c>
      <c r="C1176" s="11" t="n">
        <f aca="false">a25_ni</f>
        <v>135.521</v>
      </c>
      <c r="D1176" s="11" t="n">
        <f aca="false">D1174*nioi_lo</f>
        <v>157.672599448082</v>
      </c>
      <c r="E1176" s="11" t="n">
        <f aca="false">E1174*nioi_lo</f>
        <v>170.656958775233</v>
      </c>
      <c r="F1176" s="11" t="n">
        <f aca="false">F1174*nioi_lo</f>
        <v>183.381970565679</v>
      </c>
      <c r="G1176" s="11" t="n">
        <f aca="false">G1174*nioi_lo</f>
        <v>189.133891680288</v>
      </c>
    </row>
    <row r="1177" customFormat="false" ht="15" hidden="false" customHeight="false" outlineLevel="0" collapsed="false">
      <c r="A1177" s="0" t="s">
        <v>459</v>
      </c>
      <c r="B1177" s="0" t="s">
        <v>51</v>
      </c>
      <c r="C1177" s="11" t="n">
        <f aca="false">a25_eps</f>
        <v>1249.84</v>
      </c>
      <c r="D1177" s="11" t="n">
        <f aca="false">D1176*1000/shares</f>
        <v>1453.45979858038</v>
      </c>
      <c r="E1177" s="11" t="n">
        <f aca="false">E1176*1000/shares</f>
        <v>1573.15240438758</v>
      </c>
      <c r="F1177" s="11" t="n">
        <f aca="false">F1176*1000/shares</f>
        <v>1690.4542890436</v>
      </c>
      <c r="G1177" s="11" t="n">
        <f aca="false">G1176*1000/shares</f>
        <v>1743.4767300635</v>
      </c>
    </row>
    <row r="1178" customFormat="false" ht="17.15" hidden="false" customHeight="false" outlineLevel="0" collapsed="false">
      <c r="A1178" s="5" t="s">
        <v>516</v>
      </c>
      <c r="B1178" s="0" t="s">
        <v>29</v>
      </c>
      <c r="C1178" s="16" t="n">
        <f aca="false">ABS(C1168-a25_rev)+ABS(C1174-a25_oi)</f>
        <v>0.000999999999976353</v>
      </c>
    </row>
    <row r="1180" customFormat="false" ht="17.15" hidden="false" customHeight="false" outlineLevel="0" collapsed="false">
      <c r="A1180" s="3" t="s">
        <v>739</v>
      </c>
    </row>
    <row r="1181" customFormat="false" ht="17.15" hidden="false" customHeight="false" outlineLevel="0" collapsed="false">
      <c r="A1181" s="6" t="s">
        <v>18</v>
      </c>
      <c r="B1181" s="6" t="s">
        <v>19</v>
      </c>
      <c r="C1181" s="9" t="s">
        <v>464</v>
      </c>
      <c r="D1181" s="9" t="s">
        <v>465</v>
      </c>
      <c r="E1181" s="9" t="s">
        <v>466</v>
      </c>
      <c r="F1181" s="9" t="s">
        <v>467</v>
      </c>
      <c r="G1181" s="9" t="s">
        <v>468</v>
      </c>
      <c r="H1181" s="9" t="s">
        <v>469</v>
      </c>
      <c r="I1181" s="9" t="s">
        <v>470</v>
      </c>
      <c r="J1181" s="6" t="s">
        <v>450</v>
      </c>
    </row>
    <row r="1182" customFormat="false" ht="17.15" hidden="false" customHeight="false" outlineLevel="0" collapsed="false">
      <c r="A1182" s="1" t="s">
        <v>471</v>
      </c>
    </row>
    <row r="1183" customFormat="false" ht="17.15" hidden="false" customHeight="false" outlineLevel="0" collapsed="false">
      <c r="A1183" s="0" t="s">
        <v>472</v>
      </c>
      <c r="B1183" s="0" t="s">
        <v>96</v>
      </c>
      <c r="C1183" s="19" t="n">
        <f aca="false">hsA_25</f>
        <v>2.22511470588235</v>
      </c>
      <c r="D1183" s="19" t="n">
        <f aca="false">hsA_26</f>
        <v>3.782695</v>
      </c>
      <c r="E1183" s="19" t="n">
        <f aca="false">hsA_27</f>
        <v>5.86317725</v>
      </c>
      <c r="F1183" s="19" t="n">
        <f aca="false">hsA_28</f>
        <v>8.5016070125</v>
      </c>
      <c r="G1183" s="19" t="n">
        <f aca="false">hsA_29</f>
        <v>11.477169466875</v>
      </c>
      <c r="H1183" s="19" t="n">
        <f aca="false">G1183*(1+g_tail)</f>
        <v>12.6248864135625</v>
      </c>
      <c r="I1183" s="19" t="n">
        <f aca="false">H1183*(1+g_tail)</f>
        <v>13.8873750549188</v>
      </c>
      <c r="J1183" s="8" t="s">
        <v>473</v>
      </c>
    </row>
    <row r="1184" customFormat="false" ht="17.15" hidden="false" customHeight="false" outlineLevel="0" collapsed="false">
      <c r="A1184" s="0" t="s">
        <v>474</v>
      </c>
      <c r="B1184" s="0" t="s">
        <v>475</v>
      </c>
      <c r="C1184" s="19" t="n">
        <f aca="false">den_25</f>
        <v>24</v>
      </c>
      <c r="D1184" s="19" t="n">
        <f aca="false">den_26</f>
        <v>24</v>
      </c>
      <c r="E1184" s="19" t="n">
        <f aca="false">den_27</f>
        <v>26</v>
      </c>
      <c r="F1184" s="19" t="n">
        <f aca="false">den_28</f>
        <v>28</v>
      </c>
      <c r="G1184" s="19" t="n">
        <f aca="false">den_29</f>
        <v>30</v>
      </c>
      <c r="H1184" s="19" t="n">
        <f aca="false">den_30</f>
        <v>32</v>
      </c>
      <c r="I1184" s="19" t="n">
        <f aca="false">den_30</f>
        <v>32</v>
      </c>
    </row>
    <row r="1185" customFormat="false" ht="15" hidden="false" customHeight="false" outlineLevel="0" collapsed="false">
      <c r="A1185" s="5" t="s">
        <v>476</v>
      </c>
      <c r="B1185" s="5" t="s">
        <v>148</v>
      </c>
      <c r="C1185" s="19" t="n">
        <f aca="false">stk_25</f>
        <v>10</v>
      </c>
      <c r="D1185" s="19" t="n">
        <f aca="false">stk_26</f>
        <v>12</v>
      </c>
      <c r="E1185" s="19" t="n">
        <f aca="false">stk_27</f>
        <v>12.5</v>
      </c>
      <c r="F1185" s="19" t="n">
        <f aca="false">stk_28</f>
        <v>14</v>
      </c>
      <c r="G1185" s="19" t="n">
        <f aca="false">stk_29</f>
        <v>15</v>
      </c>
      <c r="H1185" s="19" t="n">
        <f aca="false">stk_30</f>
        <v>16</v>
      </c>
      <c r="I1185" s="19" t="n">
        <f aca="false">stk_30</f>
        <v>16</v>
      </c>
    </row>
    <row r="1186" customFormat="false" ht="17.15" hidden="false" customHeight="false" outlineLevel="0" collapsed="false">
      <c r="A1186" s="0" t="s">
        <v>477</v>
      </c>
      <c r="B1186" s="5" t="s">
        <v>478</v>
      </c>
      <c r="C1186" s="19" t="n">
        <f aca="false">C1183*8/C1184</f>
        <v>0.741704901960783</v>
      </c>
      <c r="D1186" s="19" t="n">
        <f aca="false">D1183*8/D1184</f>
        <v>1.26089833333333</v>
      </c>
      <c r="E1186" s="19" t="n">
        <f aca="false">E1183*8/E1184</f>
        <v>1.80405453846154</v>
      </c>
      <c r="F1186" s="19" t="n">
        <f aca="false">F1183*8/F1184</f>
        <v>2.429030575</v>
      </c>
      <c r="G1186" s="19" t="n">
        <f aca="false">G1183*8/G1184</f>
        <v>3.0605785245</v>
      </c>
      <c r="H1186" s="19" t="n">
        <f aca="false">H1183*8/H1184</f>
        <v>3.15622160339063</v>
      </c>
      <c r="I1186" s="19" t="n">
        <f aca="false">I1183*8/I1184</f>
        <v>3.47184376372969</v>
      </c>
      <c r="J1186" s="8" t="s">
        <v>479</v>
      </c>
    </row>
    <row r="1187" customFormat="false" ht="17.15" hidden="false" customHeight="false" outlineLevel="0" collapsed="false">
      <c r="A1187" s="0" t="s">
        <v>480</v>
      </c>
      <c r="B1187" s="5" t="s">
        <v>481</v>
      </c>
      <c r="C1187" s="19" t="n">
        <f aca="false">C1186*(1+s_stk/C1185)</f>
        <v>0.964216372549018</v>
      </c>
      <c r="D1187" s="19" t="n">
        <f aca="false">D1186*(1+s_stk/D1185)</f>
        <v>1.57612291666667</v>
      </c>
      <c r="E1187" s="19" t="n">
        <f aca="false">E1186*(1+s_stk/E1185)</f>
        <v>2.23702762769231</v>
      </c>
      <c r="F1187" s="19" t="n">
        <f aca="false">F1186*(1+s_stk/F1185)</f>
        <v>2.94953712678571</v>
      </c>
      <c r="G1187" s="19" t="n">
        <f aca="false">G1186*(1+s_stk/G1185)</f>
        <v>3.6726942294</v>
      </c>
      <c r="H1187" s="19" t="n">
        <f aca="false">H1186*(1+s_stk/H1185)</f>
        <v>3.74801315402637</v>
      </c>
      <c r="I1187" s="19" t="n">
        <f aca="false">I1186*(1+s_stk/I1185)</f>
        <v>4.12281446942901</v>
      </c>
      <c r="J1187" s="5" t="s">
        <v>482</v>
      </c>
    </row>
    <row r="1188" customFormat="false" ht="17.15" hidden="false" customHeight="false" outlineLevel="0" collapsed="false">
      <c r="A1188" s="5" t="s">
        <v>483</v>
      </c>
      <c r="B1188" s="0" t="s">
        <v>56</v>
      </c>
      <c r="C1188" s="22" t="n">
        <f aca="false">hbp_25*hb_on</f>
        <v>0</v>
      </c>
      <c r="D1188" s="22" t="n">
        <f aca="false">hbp_26*hb_on</f>
        <v>0</v>
      </c>
      <c r="E1188" s="22" t="n">
        <f aca="false">hbp_27*hb_on</f>
        <v>0</v>
      </c>
      <c r="F1188" s="22" t="n">
        <f aca="false">hbp_28*hb_on</f>
        <v>0.05</v>
      </c>
      <c r="G1188" s="22" t="n">
        <f aca="false">hbp_29*hb_on</f>
        <v>0.15</v>
      </c>
      <c r="H1188" s="22" t="n">
        <f aca="false">hbp_30*hb_on</f>
        <v>0.25</v>
      </c>
      <c r="I1188" s="22" t="n">
        <f aca="false">hbp_30*hb_on</f>
        <v>0.25</v>
      </c>
    </row>
    <row r="1189" customFormat="false" ht="17.15" hidden="false" customHeight="false" outlineLevel="0" collapsed="false">
      <c r="A1189" s="0" t="s">
        <v>484</v>
      </c>
      <c r="B1189" s="5" t="s">
        <v>481</v>
      </c>
      <c r="C1189" s="19" t="n">
        <f aca="false">C1187*(1+C1188*hb_eff)</f>
        <v>0.964216372549018</v>
      </c>
      <c r="D1189" s="19" t="n">
        <f aca="false">D1187*(1+D1188*hb_eff)</f>
        <v>1.57612291666667</v>
      </c>
      <c r="E1189" s="19" t="n">
        <f aca="false">E1187*(1+E1188*hb_eff)</f>
        <v>2.23702762769231</v>
      </c>
      <c r="F1189" s="19" t="n">
        <f aca="false">F1187*(1+F1188*hb_eff)</f>
        <v>2.96428481241964</v>
      </c>
      <c r="G1189" s="19" t="n">
        <f aca="false">G1187*(1+G1188*hb_eff)</f>
        <v>3.727784642841</v>
      </c>
      <c r="H1189" s="19" t="n">
        <f aca="false">H1187*(1+H1188*hb_eff)</f>
        <v>3.84171348287703</v>
      </c>
      <c r="I1189" s="19" t="n">
        <f aca="false">I1187*(1+I1188*hb_eff)</f>
        <v>4.22588483116473</v>
      </c>
      <c r="J1189" s="5" t="s">
        <v>485</v>
      </c>
    </row>
    <row r="1190" customFormat="false" ht="17.15" hidden="false" customHeight="false" outlineLevel="0" collapsed="false">
      <c r="A1190" s="0" t="s">
        <v>486</v>
      </c>
      <c r="B1190" s="5" t="s">
        <v>481</v>
      </c>
      <c r="C1190" s="19" t="n">
        <f aca="false">MAX(0,D1189-C1189)+dlt*C1189</f>
        <v>0.70832818137255</v>
      </c>
      <c r="D1190" s="19" t="n">
        <f aca="false">MAX(0,E1189-D1189)+dlt*D1189</f>
        <v>0.818517002692307</v>
      </c>
      <c r="E1190" s="19" t="n">
        <f aca="false">MAX(0,F1189-E1189)+dlt*E1189</f>
        <v>0.950959947496565</v>
      </c>
      <c r="F1190" s="19" t="n">
        <f aca="false">MAX(0,G1189-F1189)+dlt*F1189</f>
        <v>1.05992831166332</v>
      </c>
      <c r="G1190" s="19" t="n">
        <f aca="false">MAX(0,H1189-G1189)+dlt*G1189</f>
        <v>0.486707304320127</v>
      </c>
      <c r="H1190" s="19" t="n">
        <f aca="false">MAX(0,I1189-H1189)+dlt*H1189</f>
        <v>0.768342696575406</v>
      </c>
      <c r="J1190" s="5" t="s">
        <v>487</v>
      </c>
    </row>
    <row r="1191" customFormat="false" ht="17.15" hidden="false" customHeight="false" outlineLevel="0" collapsed="false">
      <c r="A1191" s="0" t="s">
        <v>488</v>
      </c>
      <c r="B1191" s="5" t="s">
        <v>177</v>
      </c>
      <c r="C1191" s="21" t="n">
        <f aca="false">cw_25</f>
        <v>670</v>
      </c>
      <c r="D1191" s="21" t="n">
        <f aca="false">cw_26</f>
        <v>1107.85762580894</v>
      </c>
      <c r="E1191" s="21" t="n">
        <f aca="false">cw_27</f>
        <v>2096.42857142857</v>
      </c>
      <c r="F1191" s="21" t="n">
        <f aca="false">cw_28*um28_A</f>
        <v>2620.08928571429</v>
      </c>
      <c r="G1191" s="21" t="n">
        <f aca="false">cw_29*um29_A</f>
        <v>3013.32589285714</v>
      </c>
      <c r="H1191" s="21" t="n">
        <f aca="false">G1191*(1+g_tail)</f>
        <v>3314.65848214285</v>
      </c>
      <c r="I1191" s="21" t="n">
        <f aca="false">H1191*(1+g_tail)</f>
        <v>3646.12433035714</v>
      </c>
      <c r="J1191" s="5" t="s">
        <v>489</v>
      </c>
    </row>
    <row r="1192" customFormat="false" ht="15" hidden="false" customHeight="false" outlineLevel="0" collapsed="false">
      <c r="A1192" s="5" t="s">
        <v>490</v>
      </c>
      <c r="B1192" s="5" t="s">
        <v>177</v>
      </c>
      <c r="C1192" s="21" t="n">
        <f aca="false">MAX(0,D1191-C1191)+dlt*C1191</f>
        <v>504.85762580894</v>
      </c>
      <c r="D1192" s="21" t="n">
        <f aca="false">MAX(0,E1191-D1191)+dlt*D1191</f>
        <v>1099.35670820052</v>
      </c>
      <c r="E1192" s="21" t="n">
        <f aca="false">MAX(0,F1191-E1191)+dlt*E1191</f>
        <v>733.303571428577</v>
      </c>
      <c r="F1192" s="21" t="n">
        <f aca="false">MAX(0,G1191-F1191)+dlt*F1191</f>
        <v>655.245535714279</v>
      </c>
      <c r="G1192" s="21" t="n">
        <f aca="false">MAX(0,H1191-G1191)+dlt*G1191</f>
        <v>602.665178571428</v>
      </c>
      <c r="H1192" s="21" t="n">
        <f aca="false">MAX(0,I1191-H1191)+dlt*H1191</f>
        <v>662.931696428571</v>
      </c>
    </row>
    <row r="1193" customFormat="false" ht="17.15" hidden="false" customHeight="false" outlineLevel="0" collapsed="false">
      <c r="A1193" s="1" t="s">
        <v>491</v>
      </c>
    </row>
    <row r="1194" customFormat="false" ht="17.15" hidden="false" customHeight="false" outlineLevel="0" collapsed="false">
      <c r="A1194" s="0" t="s">
        <v>492</v>
      </c>
      <c r="B1194" s="0" t="s">
        <v>493</v>
      </c>
      <c r="C1194" s="16" t="n">
        <f aca="false">ai25*w_hbm/(0.75*C1190+0.25*D1190)</f>
        <v>48.9213264236471</v>
      </c>
      <c r="J1194" s="5" t="s">
        <v>494</v>
      </c>
    </row>
    <row r="1195" customFormat="false" ht="17.15" hidden="false" customHeight="false" outlineLevel="0" collapsed="false">
      <c r="A1195" s="5" t="s">
        <v>495</v>
      </c>
      <c r="B1195" s="0" t="s">
        <v>496</v>
      </c>
      <c r="C1195" s="18" t="n">
        <f aca="false">ai25*(1-w_hbm)/(0.75*C1192+0.25*D1192)</f>
        <v>0.0596802610360141</v>
      </c>
    </row>
    <row r="1196" customFormat="false" ht="17.15" hidden="false" customHeight="false" outlineLevel="0" collapsed="false">
      <c r="A1196" s="1" t="s">
        <v>497</v>
      </c>
    </row>
    <row r="1197" customFormat="false" ht="17.15" hidden="false" customHeight="false" outlineLevel="0" collapsed="false">
      <c r="A1197" s="5" t="s">
        <v>498</v>
      </c>
      <c r="B1197" s="0" t="s">
        <v>76</v>
      </c>
      <c r="C1197" s="16" t="n">
        <f aca="false">1-sh_loss/sh*0</f>
        <v>1</v>
      </c>
      <c r="D1197" s="16" t="n">
        <f aca="false">1-sh_loss/sh*0.25</f>
        <v>1</v>
      </c>
      <c r="E1197" s="16" t="n">
        <f aca="false">1-sh_loss/sh*0.5</f>
        <v>1</v>
      </c>
      <c r="F1197" s="16" t="n">
        <f aca="false">1-sh_loss/sh*0.75</f>
        <v>1</v>
      </c>
      <c r="G1197" s="16" t="n">
        <f aca="false">1-sh_loss/sh*1</f>
        <v>1</v>
      </c>
    </row>
    <row r="1198" customFormat="false" ht="17.15" hidden="false" customHeight="false" outlineLevel="0" collapsed="false">
      <c r="A1198" s="0" t="s">
        <v>499</v>
      </c>
      <c r="B1198" s="0" t="s">
        <v>29</v>
      </c>
      <c r="C1198" s="11" t="n">
        <f aca="false">$C$1194*(0.75*C1190+0.25*D1190)*C1197</f>
        <v>36</v>
      </c>
      <c r="D1198" s="11" t="n">
        <f aca="false">$C$1194*(0.75*D1190+0.25*E1190)*D1197</f>
        <v>41.6627586058351</v>
      </c>
      <c r="E1198" s="11" t="n">
        <f aca="false">$C$1194*(0.75*E1190+0.25*F1190)*E1197</f>
        <v>47.8549412356069</v>
      </c>
      <c r="F1198" s="11" t="n">
        <f aca="false">$C$1194*(0.75*F1190+0.25*G1190)*F1197</f>
        <v>44.8424159172644</v>
      </c>
      <c r="G1198" s="11" t="n">
        <f aca="false">$C$1194*(0.75*G1190+0.25*H1190)*G1197</f>
        <v>27.2548611466613</v>
      </c>
    </row>
    <row r="1199" customFormat="false" ht="17.15" hidden="false" customHeight="false" outlineLevel="0" collapsed="false">
      <c r="A1199" s="5" t="s">
        <v>500</v>
      </c>
      <c r="B1199" s="0" t="s">
        <v>29</v>
      </c>
      <c r="C1199" s="11" t="n">
        <f aca="false">$C$1195*(0.75*C1192+0.25*D1192)*C1197</f>
        <v>39</v>
      </c>
      <c r="D1199" s="11" t="n">
        <f aca="false">$C$1195*(0.75*D1192+0.25*E1192)*D1197</f>
        <v>60.1483586282001</v>
      </c>
      <c r="E1199" s="11" t="n">
        <f aca="false">$C$1195*(0.75*E1192+0.25*F1192)*E1197</f>
        <v>42.5991175746519</v>
      </c>
      <c r="F1199" s="11" t="n">
        <f aca="false">$C$1195*(0.75*F1192+0.25*G1192)*F1197</f>
        <v>38.320722254198</v>
      </c>
      <c r="G1199" s="11" t="n">
        <f aca="false">$C$1195*(0.75*G1192+0.25*H1192)*G1197</f>
        <v>36.8663955538204</v>
      </c>
    </row>
    <row r="1200" customFormat="false" ht="17.15" hidden="false" customHeight="false" outlineLevel="0" collapsed="false">
      <c r="A1200" s="0" t="s">
        <v>501</v>
      </c>
      <c r="B1200" s="0" t="s">
        <v>29</v>
      </c>
      <c r="C1200" s="11" t="n">
        <f aca="false">C1198+C1199</f>
        <v>75</v>
      </c>
      <c r="D1200" s="11" t="n">
        <f aca="false">D1198+D1199</f>
        <v>101.811117234035</v>
      </c>
      <c r="E1200" s="11" t="n">
        <f aca="false">E1198+E1199</f>
        <v>90.4540588102588</v>
      </c>
      <c r="F1200" s="11" t="n">
        <f aca="false">F1198+F1199</f>
        <v>83.1631381714624</v>
      </c>
      <c r="G1200" s="11" t="n">
        <f aca="false">G1198+G1199</f>
        <v>64.1212567004817</v>
      </c>
    </row>
    <row r="1201" customFormat="false" ht="17.15" hidden="false" customHeight="false" outlineLevel="0" collapsed="false">
      <c r="A1201" s="5" t="s">
        <v>502</v>
      </c>
      <c r="B1201" s="0" t="s">
        <v>29</v>
      </c>
      <c r="C1201" s="11" t="n">
        <f aca="false">eq25-ai25</f>
        <v>195.87118</v>
      </c>
      <c r="D1201" s="11" t="n">
        <f aca="false">C1201*(1+g_non)*D1197/C1197</f>
        <v>207.6234508</v>
      </c>
      <c r="E1201" s="11" t="n">
        <f aca="false">D1201*(1+g_non)*E1197/D1197</f>
        <v>220.080857848</v>
      </c>
      <c r="F1201" s="11" t="n">
        <f aca="false">E1201*(1+g_non)*F1197/E1197</f>
        <v>233.28570931888</v>
      </c>
      <c r="G1201" s="11" t="n">
        <f aca="false">F1201*(1+g_non)*G1197/F1197</f>
        <v>247.282851878013</v>
      </c>
    </row>
    <row r="1202" customFormat="false" ht="15" hidden="false" customHeight="false" outlineLevel="0" collapsed="false">
      <c r="A1202" s="5" t="s">
        <v>503</v>
      </c>
      <c r="B1202" s="0" t="s">
        <v>29</v>
      </c>
      <c r="C1202" s="11" t="n">
        <f aca="false">C1200+C1201</f>
        <v>270.87118</v>
      </c>
      <c r="D1202" s="11" t="n">
        <f aca="false">D1200+D1201</f>
        <v>309.434568034035</v>
      </c>
      <c r="E1202" s="11" t="n">
        <f aca="false">E1200+E1201</f>
        <v>310.534916658259</v>
      </c>
      <c r="F1202" s="11" t="n">
        <f aca="false">F1200+F1201</f>
        <v>316.448847490343</v>
      </c>
      <c r="G1202" s="11" t="n">
        <f aca="false">G1200+G1201</f>
        <v>311.404108578495</v>
      </c>
    </row>
    <row r="1203" customFormat="false" ht="17.15" hidden="false" customHeight="false" outlineLevel="0" collapsed="false">
      <c r="A1203" s="0" t="s">
        <v>504</v>
      </c>
      <c r="B1203" s="0" t="s">
        <v>76</v>
      </c>
      <c r="C1203" s="19" t="n">
        <f aca="false">w_hbm*(0.75*C1189+0.25*D1189)/(0.75*C1189+0.25*D1189)+(1-w_hbm)*(0.75*C1191+0.25*D1191)/(0.75*C1191+0.25*D1191)</f>
        <v>1</v>
      </c>
      <c r="D1203" s="19" t="n">
        <f aca="false">w_hbm*(0.75*D1189+0.25*E1189)/(0.75*C1189+0.25*D1189)+(1-w_hbm)*(0.75*D1191+0.25*E1191)/(0.75*C1191+0.25*D1191)</f>
        <v>1.65212184085657</v>
      </c>
      <c r="E1203" s="19" t="n">
        <f aca="false">w_hbm*(0.75*E1189+0.25*F1189)/(0.75*C1189+0.25*D1189)+(1-w_hbm)*(0.75*E1191+0.25*F1191)/(0.75*C1191+0.25*D1191)</f>
        <v>2.52516730417954</v>
      </c>
      <c r="F1203" s="19" t="n">
        <f aca="false">w_hbm*(0.75*F1189+0.25*G1189)/(0.75*C1189+0.25*D1189)+(1-w_hbm)*(0.75*F1191+0.25*G1191)/(0.75*C1191+0.25*D1191)</f>
        <v>3.16911970169284</v>
      </c>
      <c r="G1203" s="19" t="n">
        <f aca="false">w_hbm*(0.75*G1189+0.25*H1189)/(0.75*C1189+0.25*D1189)+(1-w_hbm)*(0.75*G1191+0.25*H1191)/(0.75*C1191+0.25*D1191)</f>
        <v>3.67439430985121</v>
      </c>
      <c r="J1203" s="8" t="s">
        <v>505</v>
      </c>
    </row>
    <row r="1204" customFormat="false" ht="17.15" hidden="false" customHeight="false" outlineLevel="0" collapsed="false">
      <c r="A1204" s="0" t="s">
        <v>506</v>
      </c>
      <c r="B1204" s="0" t="s">
        <v>29</v>
      </c>
      <c r="C1204" s="11" t="n">
        <f aca="false">tl25*w_tlai*C1203</f>
        <v>25.4032258064516</v>
      </c>
      <c r="D1204" s="11" t="n">
        <f aca="false">tl25*w_tlai*D1203</f>
        <v>41.9692241830499</v>
      </c>
      <c r="E1204" s="11" t="n">
        <f aca="false">tl25*w_tlai*E1203</f>
        <v>64.1473952271414</v>
      </c>
      <c r="F1204" s="11" t="n">
        <f aca="false">tl25*w_tlai*F1203</f>
        <v>80.5058633897778</v>
      </c>
      <c r="G1204" s="11" t="n">
        <f aca="false">tl25*w_tlai*G1203</f>
        <v>93.3414683550913</v>
      </c>
      <c r="J1204" s="5" t="s">
        <v>507</v>
      </c>
    </row>
    <row r="1205" customFormat="false" ht="17.15" hidden="false" customHeight="false" outlineLevel="0" collapsed="false">
      <c r="A1205" s="5" t="s">
        <v>508</v>
      </c>
      <c r="B1205" s="0" t="s">
        <v>29</v>
      </c>
      <c r="C1205" s="11" t="n">
        <f aca="false">tl25*(1-w_tlai)</f>
        <v>66.3434641935484</v>
      </c>
      <c r="D1205" s="11" t="n">
        <f aca="false">C1205*(1+g_tl)</f>
        <v>69.6606374032258</v>
      </c>
      <c r="E1205" s="11" t="n">
        <f aca="false">D1205*(1+g_tl)</f>
        <v>73.1436692733871</v>
      </c>
      <c r="F1205" s="11" t="n">
        <f aca="false">E1205*(1+g_tl)</f>
        <v>76.8008527370565</v>
      </c>
      <c r="G1205" s="11" t="n">
        <f aca="false">F1205*(1+g_tl)</f>
        <v>80.6408953739093</v>
      </c>
    </row>
    <row r="1206" customFormat="false" ht="15" hidden="false" customHeight="false" outlineLevel="0" collapsed="false">
      <c r="A1206" s="5" t="s">
        <v>509</v>
      </c>
      <c r="B1206" s="0" t="s">
        <v>29</v>
      </c>
      <c r="C1206" s="11" t="n">
        <f aca="false">C1204+C1205</f>
        <v>91.74669</v>
      </c>
      <c r="D1206" s="11" t="n">
        <f aca="false">D1204+D1205</f>
        <v>111.629861586276</v>
      </c>
      <c r="E1206" s="11" t="n">
        <f aca="false">E1204+E1205</f>
        <v>137.291064500529</v>
      </c>
      <c r="F1206" s="11" t="n">
        <f aca="false">F1204+F1205</f>
        <v>157.306716126834</v>
      </c>
      <c r="G1206" s="11" t="n">
        <f aca="false">G1204+G1205</f>
        <v>173.982363729001</v>
      </c>
    </row>
    <row r="1207" customFormat="false" ht="15" hidden="false" customHeight="false" outlineLevel="0" collapsed="false">
      <c r="A1207" s="5" t="s">
        <v>393</v>
      </c>
      <c r="B1207" s="0" t="s">
        <v>29</v>
      </c>
      <c r="C1207" s="11" t="n">
        <f aca="false">r_ot*(C1202+C1206)</f>
        <v>74.27113</v>
      </c>
      <c r="D1207" s="11" t="n">
        <f aca="false">r_ot*(D1202+D1206)</f>
        <v>86.2421120909071</v>
      </c>
      <c r="E1207" s="11" t="n">
        <f aca="false">r_ot*(E1202+E1206)</f>
        <v>91.7233937313179</v>
      </c>
      <c r="F1207" s="11" t="n">
        <f aca="false">r_ot*(F1202+F1206)</f>
        <v>97.0342720661688</v>
      </c>
      <c r="G1207" s="11" t="n">
        <f aca="false">r_ot*(G1202+G1206)</f>
        <v>99.416506376234</v>
      </c>
    </row>
    <row r="1208" customFormat="false" ht="15" hidden="false" customHeight="false" outlineLevel="0" collapsed="false">
      <c r="A1208" s="5" t="s">
        <v>363</v>
      </c>
      <c r="B1208" s="0" t="s">
        <v>29</v>
      </c>
      <c r="C1208" s="11" t="n">
        <f aca="false">C1202+C1206+C1207</f>
        <v>436.889</v>
      </c>
      <c r="D1208" s="11" t="n">
        <f aca="false">D1202+D1206+D1207</f>
        <v>507.306541711218</v>
      </c>
      <c r="E1208" s="11" t="n">
        <f aca="false">E1202+E1206+E1207</f>
        <v>539.549374890105</v>
      </c>
      <c r="F1208" s="11" t="n">
        <f aca="false">F1202+F1206+F1207</f>
        <v>570.789835683346</v>
      </c>
      <c r="G1208" s="11" t="n">
        <f aca="false">G1202+G1206+G1207</f>
        <v>584.802978683729</v>
      </c>
    </row>
    <row r="1209" customFormat="false" ht="17.15" hidden="false" customHeight="false" outlineLevel="0" collapsed="false">
      <c r="A1209" s="0" t="s">
        <v>510</v>
      </c>
      <c r="B1209" s="0" t="s">
        <v>56</v>
      </c>
      <c r="C1209" s="14" t="n">
        <f aca="false">(C1200+C1204)*(1+r_ot)/C1208</f>
        <v>0.276884384673187</v>
      </c>
      <c r="D1209" s="14" t="n">
        <f aca="false">(D1200+D1204)*(1+r_ot)/D1208</f>
        <v>0.341468742792492</v>
      </c>
      <c r="E1209" s="14" t="n">
        <f aca="false">(E1200+E1204)*(1+r_ot)/E1208</f>
        <v>0.345226629409388</v>
      </c>
      <c r="F1209" s="14" t="n">
        <f aca="false">(F1200+F1204)*(1+r_ot)/F1208</f>
        <v>0.345471407895686</v>
      </c>
      <c r="G1209" s="14" t="n">
        <f aca="false">(G1200+G1204)*(1+r_ot)/G1208</f>
        <v>0.324406908801981</v>
      </c>
    </row>
    <row r="1210" customFormat="false" ht="17.15" hidden="false" customHeight="false" outlineLevel="0" collapsed="false">
      <c r="A1210" s="0" t="s">
        <v>511</v>
      </c>
      <c r="B1210" s="0" t="s">
        <v>56</v>
      </c>
      <c r="C1210" s="14" t="n">
        <f aca="false">C1200*(1+r_ot)/C1208</f>
        <v>0.206829299394429</v>
      </c>
      <c r="D1210" s="14" t="n">
        <f aca="false">D1200*(1+r_ot)/D1208</f>
        <v>0.241794628261147</v>
      </c>
      <c r="E1210" s="14" t="n">
        <f aca="false">E1200*(1+r_ot)/E1208</f>
        <v>0.20198483923644</v>
      </c>
      <c r="F1210" s="14" t="n">
        <f aca="false">F1200*(1+r_ot)/F1208</f>
        <v>0.175540182655593</v>
      </c>
      <c r="G1210" s="14" t="n">
        <f aca="false">G1200*(1+r_ot)/G1208</f>
        <v>0.132103510004417</v>
      </c>
      <c r="J1210" s="5" t="s">
        <v>512</v>
      </c>
    </row>
    <row r="1211" customFormat="false" ht="17.15" hidden="false" customHeight="false" outlineLevel="0" collapsed="false">
      <c r="A1211" s="5" t="s">
        <v>401</v>
      </c>
      <c r="B1211" s="0" t="s">
        <v>56</v>
      </c>
      <c r="C1211" s="14" t="n">
        <f aca="false">a25_gp/a25_rev</f>
        <v>0.701498549974936</v>
      </c>
      <c r="D1211" s="14" t="n">
        <f aca="false">gm_a+gm_b*LN(D1208)+0</f>
        <v>0.719463492058136</v>
      </c>
      <c r="E1211" s="14" t="n">
        <f aca="false">gm_a+gm_b*LN(E1208)+0</f>
        <v>0.726477317954067</v>
      </c>
      <c r="F1211" s="14" t="n">
        <f aca="false">gm_a+gm_b*LN(F1208)+0</f>
        <v>0.73288421444391</v>
      </c>
      <c r="G1211" s="14" t="n">
        <f aca="false">gm_a+gm_b*LN(G1208)+0</f>
        <v>0.735644940559218</v>
      </c>
      <c r="J1211" s="8" t="s">
        <v>513</v>
      </c>
    </row>
    <row r="1212" customFormat="false" ht="15" hidden="false" customHeight="false" outlineLevel="0" collapsed="false">
      <c r="A1212" s="5" t="s">
        <v>398</v>
      </c>
      <c r="B1212" s="0" t="s">
        <v>29</v>
      </c>
      <c r="C1212" s="11" t="n">
        <f aca="false">C1208*C1211</f>
        <v>306.477</v>
      </c>
      <c r="D1212" s="11" t="n">
        <f aca="false">D1208*D1211</f>
        <v>364.98853604349</v>
      </c>
      <c r="E1212" s="11" t="n">
        <f aca="false">E1208*E1211</f>
        <v>391.970382773957</v>
      </c>
      <c r="F1212" s="11" t="n">
        <f aca="false">F1208*F1211</f>
        <v>418.322860337357</v>
      </c>
      <c r="G1212" s="11" t="n">
        <f aca="false">G1208*G1211</f>
        <v>430.207352492645</v>
      </c>
    </row>
    <row r="1213" customFormat="false" ht="17.15" hidden="false" customHeight="false" outlineLevel="0" collapsed="false">
      <c r="A1213" s="5" t="s">
        <v>399</v>
      </c>
      <c r="B1213" s="0" t="s">
        <v>29</v>
      </c>
      <c r="C1213" s="11" t="n">
        <f aca="false">a25_sga</f>
        <v>121.487</v>
      </c>
      <c r="D1213" s="11" t="n">
        <f aca="false">sg_f+sg_v*D1208</f>
        <v>136.15078964545</v>
      </c>
      <c r="E1213" s="11" t="n">
        <f aca="false">sg_f+sg_v*E1208</f>
        <v>144.287817826287</v>
      </c>
      <c r="F1213" s="11" t="n">
        <f aca="false">sg_f+sg_v*F1208</f>
        <v>152.171880261079</v>
      </c>
      <c r="G1213" s="11" t="n">
        <f aca="false">sg_f+sg_v*G1208</f>
        <v>155.708335598722</v>
      </c>
      <c r="J1213" s="5" t="s">
        <v>514</v>
      </c>
    </row>
    <row r="1214" customFormat="false" ht="15" hidden="false" customHeight="false" outlineLevel="0" collapsed="false">
      <c r="A1214" s="5" t="s">
        <v>367</v>
      </c>
      <c r="B1214" s="0" t="s">
        <v>29</v>
      </c>
      <c r="C1214" s="11" t="n">
        <f aca="false">C1212-C1213</f>
        <v>184.99</v>
      </c>
      <c r="D1214" s="11" t="n">
        <f aca="false">D1212-D1213</f>
        <v>228.837746398039</v>
      </c>
      <c r="E1214" s="11" t="n">
        <f aca="false">E1212-E1213</f>
        <v>247.68256494767</v>
      </c>
      <c r="F1214" s="11" t="n">
        <f aca="false">F1212-F1213</f>
        <v>266.150980076278</v>
      </c>
      <c r="G1214" s="11" t="n">
        <f aca="false">G1212-G1213</f>
        <v>274.499016893924</v>
      </c>
    </row>
    <row r="1215" customFormat="false" ht="15" hidden="false" customHeight="false" outlineLevel="0" collapsed="false">
      <c r="A1215" s="5" t="s">
        <v>515</v>
      </c>
      <c r="B1215" s="0" t="s">
        <v>56</v>
      </c>
      <c r="C1215" s="14" t="n">
        <f aca="false">C1214/C1208</f>
        <v>0.423425629851061</v>
      </c>
      <c r="D1215" s="14" t="n">
        <f aca="false">D1214/D1208</f>
        <v>0.451083768062869</v>
      </c>
      <c r="E1215" s="14" t="n">
        <f aca="false">E1214/E1208</f>
        <v>0.459054493387408</v>
      </c>
      <c r="F1215" s="14" t="n">
        <f aca="false">F1214/F1208</f>
        <v>0.466285423176193</v>
      </c>
      <c r="G1215" s="14" t="n">
        <f aca="false">G1214/G1208</f>
        <v>0.469387172944577</v>
      </c>
    </row>
    <row r="1216" customFormat="false" ht="15" hidden="false" customHeight="false" outlineLevel="0" collapsed="false">
      <c r="A1216" s="5" t="s">
        <v>370</v>
      </c>
      <c r="B1216" s="0" t="s">
        <v>29</v>
      </c>
      <c r="C1216" s="11" t="n">
        <f aca="false">a25_ni</f>
        <v>135.521</v>
      </c>
      <c r="D1216" s="11" t="n">
        <f aca="false">D1214*nioi_hi</f>
        <v>169.935008685277</v>
      </c>
      <c r="E1216" s="11" t="n">
        <f aca="false">E1214*nioi_hi</f>
        <v>183.929179027847</v>
      </c>
      <c r="F1216" s="11" t="n">
        <f aca="false">F1214*nioi_hi</f>
        <v>197.643832028425</v>
      </c>
      <c r="G1216" s="11" t="n">
        <f aca="false">G1214*nioi_hi</f>
        <v>203.843087751928</v>
      </c>
    </row>
    <row r="1217" customFormat="false" ht="15" hidden="false" customHeight="false" outlineLevel="0" collapsed="false">
      <c r="A1217" s="0" t="s">
        <v>459</v>
      </c>
      <c r="B1217" s="0" t="s">
        <v>51</v>
      </c>
      <c r="C1217" s="11" t="n">
        <f aca="false">a25_eps</f>
        <v>1249.84</v>
      </c>
      <c r="D1217" s="11" t="n">
        <f aca="false">D1216*1000/shares</f>
        <v>1566.4973138011</v>
      </c>
      <c r="E1217" s="11" t="n">
        <f aca="false">E1216*1000/shares</f>
        <v>1695.49857387171</v>
      </c>
      <c r="F1217" s="11" t="n">
        <f aca="false">F1216*1000/shares</f>
        <v>1821.9231832052</v>
      </c>
      <c r="G1217" s="11" t="n">
        <f aca="false">G1216*1000/shares</f>
        <v>1879.06925047859</v>
      </c>
    </row>
    <row r="1218" customFormat="false" ht="17.15" hidden="false" customHeight="false" outlineLevel="0" collapsed="false">
      <c r="A1218" s="5" t="s">
        <v>516</v>
      </c>
      <c r="B1218" s="0" t="s">
        <v>29</v>
      </c>
      <c r="C1218" s="16" t="n">
        <f aca="false">ABS(C1208-a25_rev)+ABS(C1214-a25_oi)</f>
        <v>0.000999999999976353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740</v>
      </c>
    </row>
    <row r="2" customFormat="false" ht="17.15" hidden="false" customHeight="false" outlineLevel="0" collapsed="false">
      <c r="A2" s="5" t="s">
        <v>741</v>
      </c>
      <c r="B2" s="0" t="s">
        <v>742</v>
      </c>
    </row>
    <row r="3" customFormat="false" ht="17.15" hidden="false" customHeight="false" outlineLevel="0" collapsed="false">
      <c r="A3" s="5" t="s">
        <v>743</v>
      </c>
      <c r="B3" s="0" t="s">
        <v>744</v>
      </c>
    </row>
    <row r="4" customFormat="false" ht="17.15" hidden="false" customHeight="false" outlineLevel="0" collapsed="false">
      <c r="A4" s="5" t="s">
        <v>745</v>
      </c>
      <c r="B4" s="0" t="s">
        <v>746</v>
      </c>
    </row>
    <row r="5" customFormat="false" ht="17.15" hidden="false" customHeight="false" outlineLevel="0" collapsed="false">
      <c r="A5" s="5" t="s">
        <v>747</v>
      </c>
      <c r="B5" s="0" t="s">
        <v>748</v>
      </c>
    </row>
    <row r="6" customFormat="false" ht="17.15" hidden="false" customHeight="false" outlineLevel="0" collapsed="false">
      <c r="A6" s="5" t="s">
        <v>749</v>
      </c>
      <c r="B6" s="0" t="s">
        <v>750</v>
      </c>
    </row>
    <row r="7" customFormat="false" ht="17.15" hidden="false" customHeight="false" outlineLevel="0" collapsed="false">
      <c r="A7" s="5" t="s">
        <v>751</v>
      </c>
      <c r="B7" s="0" t="s">
        <v>752</v>
      </c>
    </row>
    <row r="8" customFormat="false" ht="17.15" hidden="false" customHeight="false" outlineLevel="0" collapsed="false">
      <c r="A8" s="5" t="s">
        <v>753</v>
      </c>
      <c r="B8" s="0" t="s">
        <v>754</v>
      </c>
    </row>
    <row r="9" customFormat="false" ht="17.15" hidden="false" customHeight="false" outlineLevel="0" collapsed="false">
      <c r="A9" s="5" t="s">
        <v>755</v>
      </c>
      <c r="B9" s="0" t="s">
        <v>756</v>
      </c>
    </row>
    <row r="10" customFormat="false" ht="17.15" hidden="false" customHeight="false" outlineLevel="0" collapsed="false">
      <c r="A10" s="5" t="s">
        <v>757</v>
      </c>
      <c r="B10" s="0" t="s">
        <v>758</v>
      </c>
    </row>
    <row r="11" customFormat="false" ht="17.15" hidden="false" customHeight="false" outlineLevel="0" collapsed="false">
      <c r="A11" s="0" t="s">
        <v>759</v>
      </c>
      <c r="B11" s="0" t="s">
        <v>760</v>
      </c>
    </row>
    <row r="12" customFormat="false" ht="15" hidden="false" customHeight="false" outlineLevel="0" collapsed="false">
      <c r="A12" s="5" t="s">
        <v>761</v>
      </c>
      <c r="B12" s="0" t="s">
        <v>762</v>
      </c>
    </row>
    <row r="13" customFormat="false" ht="17.15" hidden="false" customHeight="false" outlineLevel="0" collapsed="false">
      <c r="A13" s="5" t="s">
        <v>763</v>
      </c>
      <c r="B13" s="0" t="s">
        <v>764</v>
      </c>
    </row>
    <row r="14" customFormat="false" ht="17.15" hidden="false" customHeight="false" outlineLevel="0" collapsed="false">
      <c r="A14" s="5" t="s">
        <v>765</v>
      </c>
      <c r="B14" s="0" t="s">
        <v>766</v>
      </c>
    </row>
    <row r="15" customFormat="false" ht="17.15" hidden="false" customHeight="false" outlineLevel="0" collapsed="false">
      <c r="A15" s="0" t="s">
        <v>767</v>
      </c>
      <c r="B15" s="0" t="s">
        <v>768</v>
      </c>
    </row>
    <row r="16" customFormat="false" ht="17.15" hidden="false" customHeight="false" outlineLevel="0" collapsed="false">
      <c r="A16" s="0" t="s">
        <v>769</v>
      </c>
      <c r="B16" s="0" t="s">
        <v>770</v>
      </c>
    </row>
    <row r="17" customFormat="false" ht="17.15" hidden="false" customHeight="false" outlineLevel="0" collapsed="false">
      <c r="A17" s="0" t="s">
        <v>771</v>
      </c>
      <c r="B17" s="0" t="s">
        <v>772</v>
      </c>
    </row>
    <row r="18" customFormat="false" ht="17.15" hidden="false" customHeight="false" outlineLevel="0" collapsed="false">
      <c r="A18" s="0" t="s">
        <v>773</v>
      </c>
      <c r="B18" s="0" t="s">
        <v>774</v>
      </c>
    </row>
    <row r="19" customFormat="false" ht="17.15" hidden="false" customHeight="false" outlineLevel="0" collapsed="false">
      <c r="A19" s="0" t="s">
        <v>775</v>
      </c>
      <c r="B19" s="0" t="s">
        <v>776</v>
      </c>
    </row>
    <row r="20" customFormat="false" ht="17.15" hidden="false" customHeight="false" outlineLevel="0" collapsed="false">
      <c r="A20" s="0" t="s">
        <v>777</v>
      </c>
      <c r="B20" s="0" t="s">
        <v>778</v>
      </c>
    </row>
    <row r="21" customFormat="false" ht="17.15" hidden="false" customHeight="false" outlineLevel="0" collapsed="false">
      <c r="A21" s="0" t="s">
        <v>779</v>
      </c>
      <c r="B21" s="0" t="s">
        <v>780</v>
      </c>
    </row>
    <row r="22" customFormat="false" ht="17.15" hidden="false" customHeight="false" outlineLevel="0" collapsed="false">
      <c r="A22" s="0" t="s">
        <v>781</v>
      </c>
      <c r="B22" s="0" t="s">
        <v>782</v>
      </c>
    </row>
    <row r="23" customFormat="false" ht="17.15" hidden="false" customHeight="false" outlineLevel="0" collapsed="false">
      <c r="A23" s="5" t="s">
        <v>783</v>
      </c>
      <c r="B23" s="0" t="s">
        <v>784</v>
      </c>
    </row>
    <row r="24" customFormat="false" ht="17.15" hidden="false" customHeight="false" outlineLevel="0" collapsed="false">
      <c r="A24" s="0" t="s">
        <v>785</v>
      </c>
      <c r="B24" s="0" t="s">
        <v>786</v>
      </c>
    </row>
    <row r="25" customFormat="false" ht="17.15" hidden="false" customHeight="false" outlineLevel="0" collapsed="false">
      <c r="A25" s="0" t="s">
        <v>787</v>
      </c>
      <c r="B25" s="0" t="s">
        <v>788</v>
      </c>
    </row>
    <row r="26" customFormat="false" ht="17.15" hidden="false" customHeight="false" outlineLevel="0" collapsed="false">
      <c r="A26" s="0" t="s">
        <v>789</v>
      </c>
      <c r="B26" s="0" t="s">
        <v>790</v>
      </c>
    </row>
    <row r="27" customFormat="false" ht="17.15" hidden="false" customHeight="false" outlineLevel="0" collapsed="false">
      <c r="A27" s="0" t="s">
        <v>791</v>
      </c>
      <c r="B27" s="0" t="s">
        <v>792</v>
      </c>
    </row>
    <row r="28" customFormat="false" ht="17.15" hidden="false" customHeight="false" outlineLevel="0" collapsed="false">
      <c r="A28" s="0" t="s">
        <v>793</v>
      </c>
      <c r="B28" s="0" t="s">
        <v>794</v>
      </c>
    </row>
    <row r="29" customFormat="false" ht="17.15" hidden="false" customHeight="false" outlineLevel="0" collapsed="false">
      <c r="A29" s="0" t="s">
        <v>795</v>
      </c>
      <c r="B29" s="0" t="s">
        <v>796</v>
      </c>
    </row>
    <row r="30" customFormat="false" ht="17.15" hidden="false" customHeight="false" outlineLevel="0" collapsed="false">
      <c r="A30" s="0" t="s">
        <v>797</v>
      </c>
      <c r="B30" s="0" t="s">
        <v>798</v>
      </c>
    </row>
    <row r="31" customFormat="false" ht="17.15" hidden="false" customHeight="false" outlineLevel="0" collapsed="false">
      <c r="A31" s="5" t="s">
        <v>799</v>
      </c>
    </row>
    <row r="32" customFormat="false" ht="17.15" hidden="false" customHeight="false" outlineLevel="0" collapsed="false">
      <c r="A32" s="5" t="s">
        <v>800</v>
      </c>
    </row>
    <row r="33" customFormat="false" ht="15" hidden="false" customHeight="false" outlineLevel="0" collapsed="false">
      <c r="A33" s="0" t="s">
        <v>801</v>
      </c>
      <c r="B33" s="5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2026-10-23T06:44:18Z</dcterms:created>
  <dc:creator>openpyxl</dc:creator>
  <dc:description/>
  <dc:language>en-US</dc:language>
  <cp:lastModifiedBy/>
  <dcterms:modified xsi:type="dcterms:W3CDTF">2026-10-23T06:44:19Z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