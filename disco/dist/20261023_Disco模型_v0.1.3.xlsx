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Hist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In!$E$10</definedName>
    <definedName function="false" hidden="false" name="a25_gp" vbProcedure="false">In!$E$6</definedName>
    <definedName function="false" hidden="false" name="a25_ni" vbProcedure="false">In!$E$9</definedName>
    <definedName function="false" hidden="false" name="a25_oi" vbProcedure="false">In!$E$8</definedName>
    <definedName function="false" hidden="false" name="a25_rev" vbProcedure="false">In!$E$5</definedName>
    <definedName function="false" hidden="false" name="a25_sga" vbProcedure="false">In!$E$7</definedName>
    <definedName function="false" hidden="false" name="ai_24" vbProcedure="false">In!$E$20</definedName>
    <definedName function="false" hidden="false" name="ai_25" vbProcedure="false">In!$E$18</definedName>
    <definedName function="false" hidden="false" name="ai_25_hi" vbProcedure="false">In!$F$18</definedName>
    <definedName function="false" hidden="false" name="ai_25_lo" vbProcedure="false">In!$D$18</definedName>
    <definedName function="false" hidden="false" name="anc_carry" vbProcedure="false">In!$E$116</definedName>
    <definedName function="false" hidden="false" name="anc_carry_hi" vbProcedure="false">In!$F$116</definedName>
    <definedName function="false" hidden="false" name="anc_carry_lo" vbProcedure="false">In!$D$116</definedName>
    <definedName function="false" hidden="false" name="cons_oi26" vbProcedure="false">In!$E$118</definedName>
    <definedName function="false" hidden="false" name="cons_rev26" vbProcedure="false">In!$E$117</definedName>
    <definedName function="false" hidden="false" name="cons_rev26_hi" vbProcedure="false">In!$F$117</definedName>
    <definedName function="false" hidden="false" name="cons_rev26_lo" vbProcedure="false">In!$D$117</definedName>
    <definedName function="false" hidden="false" name="cons_rev27" vbProcedure="false">In!$E$119</definedName>
    <definedName function="false" hidden="false" name="cw_25" vbProcedure="false">In!$E$53</definedName>
    <definedName function="false" hidden="false" name="cw_25_hi" vbProcedure="false">In!$F$53</definedName>
    <definedName function="false" hidden="false" name="cw_25_lo" vbProcedure="false">In!$D$53</definedName>
    <definedName function="false" hidden="false" name="cw_26" vbProcedure="false">In!$E$54</definedName>
    <definedName function="false" hidden="false" name="cw_27" vbProcedure="false">In!$E$55</definedName>
    <definedName function="false" hidden="false" name="cw_28" vbProcedure="false">In!$E$56</definedName>
    <definedName function="false" hidden="false" name="cw_29" vbProcedure="false">In!$E$57</definedName>
    <definedName function="false" hidden="false" name="def_t" vbProcedure="false">In!$E$93</definedName>
    <definedName function="false" hidden="false" name="den_25" vbProcedure="false">In!$E$37</definedName>
    <definedName function="false" hidden="false" name="den_25_hi" vbProcedure="false">In!$F$37</definedName>
    <definedName function="false" hidden="false" name="den_25_lo" vbProcedure="false">In!$D$37</definedName>
    <definedName function="false" hidden="false" name="den_26" vbProcedure="false">In!$E$38</definedName>
    <definedName function="false" hidden="false" name="den_26_hi" vbProcedure="false">In!$F$38</definedName>
    <definedName function="false" hidden="false" name="den_26_lo" vbProcedure="false">In!$D$38</definedName>
    <definedName function="false" hidden="false" name="den_27" vbProcedure="false">In!$E$39</definedName>
    <definedName function="false" hidden="false" name="den_27_hi" vbProcedure="false">In!$F$39</definedName>
    <definedName function="false" hidden="false" name="den_27_lo" vbProcedure="false">In!$D$39</definedName>
    <definedName function="false" hidden="false" name="den_28" vbProcedure="false">In!$E$40</definedName>
    <definedName function="false" hidden="false" name="den_28_hi" vbProcedure="false">In!$F$40</definedName>
    <definedName function="false" hidden="false" name="den_28_lo" vbProcedure="false">In!$D$40</definedName>
    <definedName function="false" hidden="false" name="den_29" vbProcedure="false">In!$E$41</definedName>
    <definedName function="false" hidden="false" name="den_29_hi" vbProcedure="false">In!$F$41</definedName>
    <definedName function="false" hidden="false" name="den_29_lo" vbProcedure="false">In!$D$41</definedName>
    <definedName function="false" hidden="false" name="den_30" vbProcedure="false">In!$E$42</definedName>
    <definedName function="false" hidden="false" name="den_30_hi" vbProcedure="false">In!$F$42</definedName>
    <definedName function="false" hidden="false" name="den_30_lo" vbProcedure="false">In!$D$42</definedName>
    <definedName function="false" hidden="false" name="dlt" vbProcedure="false">In!$E$50</definedName>
    <definedName function="false" hidden="false" name="dlt_hi" vbProcedure="false">In!$F$50</definedName>
    <definedName function="false" hidden="false" name="dlt_lo" vbProcedure="false">In!$D$50</definedName>
    <definedName function="false" hidden="false" name="eq_25" vbProcedure="false">In!$E$13</definedName>
    <definedName function="false" hidden="false" name="etr" vbProcedure="false">In!$E$94</definedName>
    <definedName function="false" hidden="false" name="etr_25" vbProcedure="false">In!$E$91</definedName>
    <definedName function="false" hidden="false" name="etr_h1" vbProcedure="false">In!$E$92</definedName>
    <definedName function="false" hidden="false" name="etr_hi" vbProcedure="false">In!$F$94</definedName>
    <definedName function="false" hidden="false" name="etr_lo" vbProcedure="false">In!$D$94</definedName>
    <definedName function="false" hidden="false" name="g3_ni" vbProcedure="false">In!$E$110</definedName>
    <definedName function="false" hidden="false" name="g3_oi" vbProcedure="false">In!$E$109</definedName>
    <definedName function="false" hidden="false" name="g3_rev" vbProcedure="false">In!$E$108</definedName>
    <definedName function="false" hidden="false" name="g9_ni" vbProcedure="false">In!$E$107</definedName>
    <definedName function="false" hidden="false" name="g9_oi" vbProcedure="false">In!$E$106</definedName>
    <definedName function="false" hidden="false" name="g9_rev" vbProcedure="false">In!$E$105</definedName>
    <definedName function="false" hidden="false" name="gm_a" vbProcedure="false">In!$E$85</definedName>
    <definedName function="false" hidden="false" name="gm_a2" vbProcedure="false">In!$E$87</definedName>
    <definedName function="false" hidden="false" name="gm_adjC" vbProcedure="false">In!$E$88</definedName>
    <definedName function="false" hidden="false" name="gm_adjC_hi" vbProcedure="false">In!$F$88</definedName>
    <definedName function="false" hidden="false" name="gm_adjC_lo" vbProcedure="false">In!$D$88</definedName>
    <definedName function="false" hidden="false" name="gm_b" vbProcedure="false">In!$E$84</definedName>
    <definedName function="false" hidden="false" name="gm_b2" vbProcedure="false">In!$E$86</definedName>
    <definedName function="false" hidden="false" name="gm_q3" vbProcedure="false">In!$E$112</definedName>
    <definedName function="false" hidden="false" name="gm_q3_hi" vbProcedure="false">In!$F$112</definedName>
    <definedName function="false" hidden="false" name="gm_q3_lo" vbProcedure="false">In!$D$112</definedName>
    <definedName function="false" hidden="false" name="g_non" vbProcedure="false">In!$E$74</definedName>
    <definedName function="false" hidden="false" name="g_nonB_28" vbProcedure="false">In!$E$75</definedName>
    <definedName function="false" hidden="false" name="g_nonB_28_hi" vbProcedure="false">In!$F$75</definedName>
    <definedName function="false" hidden="false" name="g_nonB_28_lo" vbProcedure="false">In!$D$75</definedName>
    <definedName function="false" hidden="false" name="g_nonC_28" vbProcedure="false">In!$E$76</definedName>
    <definedName function="false" hidden="false" name="g_nonC_28_hi" vbProcedure="false">In!$F$76</definedName>
    <definedName function="false" hidden="false" name="g_nonC_28_lo" vbProcedure="false">In!$D$76</definedName>
    <definedName function="false" hidden="false" name="g_non_hi" vbProcedure="false">In!$F$74</definedName>
    <definedName function="false" hidden="false" name="g_non_lo" vbProcedure="false">In!$D$74</definedName>
    <definedName function="false" hidden="false" name="g_q4" vbProcedure="false">In!$E$114</definedName>
    <definedName function="false" hidden="false" name="g_q4_hi" vbProcedure="false">In!$F$114</definedName>
    <definedName function="false" hidden="false" name="g_q4_lo" vbProcedure="false">In!$D$114</definedName>
    <definedName function="false" hidden="false" name="g_tail" vbProcedure="false">In!$E$51</definedName>
    <definedName function="false" hidden="false" name="g_tail_hi" vbProcedure="false">In!$F$51</definedName>
    <definedName function="false" hidden="false" name="g_tail_lo" vbProcedure="false">In!$D$51</definedName>
    <definedName function="false" hidden="false" name="g_tl" vbProcedure="false">In!$E$77</definedName>
    <definedName function="false" hidden="false" name="g_tlC_28" vbProcedure="false">In!$E$78</definedName>
    <definedName function="false" hidden="false" name="g_tlC_28_hi" vbProcedure="false">In!$F$78</definedName>
    <definedName function="false" hidden="false" name="g_tlC_28_lo" vbProcedure="false">In!$D$78</definedName>
    <definedName function="false" hidden="false" name="g_tl_hi" vbProcedure="false">In!$F$77</definedName>
    <definedName function="false" hidden="false" name="g_tl_lo" vbProcedure="false">In!$D$77</definedName>
    <definedName function="false" hidden="false" name="hbp_25" vbProcedure="false">In!$E$66</definedName>
    <definedName function="false" hidden="false" name="hbp_25_hi" vbProcedure="false">In!$F$66</definedName>
    <definedName function="false" hidden="false" name="hbp_25_lo" vbProcedure="false">In!$D$66</definedName>
    <definedName function="false" hidden="false" name="hbp_26" vbProcedure="false">In!$E$67</definedName>
    <definedName function="false" hidden="false" name="hbp_26_hi" vbProcedure="false">In!$F$67</definedName>
    <definedName function="false" hidden="false" name="hbp_26_lo" vbProcedure="false">In!$D$67</definedName>
    <definedName function="false" hidden="false" name="hbp_27" vbProcedure="false">In!$E$68</definedName>
    <definedName function="false" hidden="false" name="hbp_27_hi" vbProcedure="false">In!$F$68</definedName>
    <definedName function="false" hidden="false" name="hbp_27_lo" vbProcedure="false">In!$D$68</definedName>
    <definedName function="false" hidden="false" name="hbp_28" vbProcedure="false">In!$E$69</definedName>
    <definedName function="false" hidden="false" name="hbp_28_hi" vbProcedure="false">In!$F$69</definedName>
    <definedName function="false" hidden="false" name="hbp_28_lo" vbProcedure="false">In!$D$69</definedName>
    <definedName function="false" hidden="false" name="hbp_29" vbProcedure="false">In!$E$70</definedName>
    <definedName function="false" hidden="false" name="hbp_29_hi" vbProcedure="false">In!$F$70</definedName>
    <definedName function="false" hidden="false" name="hbp_29_lo" vbProcedure="false">In!$D$70</definedName>
    <definedName function="false" hidden="false" name="hbp_30" vbProcedure="false">In!$E$71</definedName>
    <definedName function="false" hidden="false" name="hbp_30_hi" vbProcedure="false">In!$F$71</definedName>
    <definedName function="false" hidden="false" name="hbp_30_lo" vbProcedure="false">In!$D$71</definedName>
    <definedName function="false" hidden="false" name="hb_eff" vbProcedure="false">In!$E$72</definedName>
    <definedName function="false" hidden="false" name="hb_eff_hi" vbProcedure="false">In!$F$72</definedName>
    <definedName function="false" hidden="false" name="hb_eff_lo" vbProcedure="false">In!$D$72</definedName>
    <definedName function="false" hidden="false" name="hb_on" vbProcedure="false">In!$E$65</definedName>
    <definedName function="false" hidden="false" name="hb_on_hi" vbProcedure="false">In!$F$65</definedName>
    <definedName function="false" hidden="false" name="hb_on_lo" vbProcedure="false">In!$D$65</definedName>
    <definedName function="false" hidden="false" name="hsA_25" vbProcedure="false">In!$E$22</definedName>
    <definedName function="false" hidden="false" name="hsA_26" vbProcedure="false">In!$E$23</definedName>
    <definedName function="false" hidden="false" name="hsA_27" vbProcedure="false">In!$E$24</definedName>
    <definedName function="false" hidden="false" name="hsA_28" vbProcedure="false">In!$E$25</definedName>
    <definedName function="false" hidden="false" name="hsA_29" vbProcedure="false">In!$E$26</definedName>
    <definedName function="false" hidden="false" name="hsB_25" vbProcedure="false">In!$E$27</definedName>
    <definedName function="false" hidden="false" name="hsB_26" vbProcedure="false">In!$E$28</definedName>
    <definedName function="false" hidden="false" name="hsB_27" vbProcedure="false">In!$E$29</definedName>
    <definedName function="false" hidden="false" name="hsB_28" vbProcedure="false">In!$E$30</definedName>
    <definedName function="false" hidden="false" name="hsB_29" vbProcedure="false">In!$E$31</definedName>
    <definedName function="false" hidden="false" name="hsC_25" vbProcedure="false">In!$E$32</definedName>
    <definedName function="false" hidden="false" name="hsC_26" vbProcedure="false">In!$E$33</definedName>
    <definedName function="false" hidden="false" name="hsC_27" vbProcedure="false">In!$E$34</definedName>
    <definedName function="false" hidden="false" name="hsC_28" vbProcedure="false">In!$E$35</definedName>
    <definedName function="false" hidden="false" name="hsC_29" vbProcedure="false">In!$E$36</definedName>
    <definedName function="false" hidden="false" name="mix_eq" vbProcedure="false">In!$E$11</definedName>
    <definedName function="false" hidden="false" name="mix_eq_hi" vbProcedure="false">In!$F$11</definedName>
    <definedName function="false" hidden="false" name="mix_eq_lo" vbProcedure="false">In!$D$11</definedName>
    <definedName function="false" hidden="false" name="mix_tl" vbProcedure="false">In!$E$12</definedName>
    <definedName function="false" hidden="false" name="mix_tl_hi" vbProcedure="false">In!$F$12</definedName>
    <definedName function="false" hidden="false" name="mix_tl_lo" vbProcedure="false">In!$D$12</definedName>
    <definedName function="false" hidden="false" name="m_q4" vbProcedure="false">In!$E$115</definedName>
    <definedName function="false" hidden="false" name="m_q4_hi" vbProcedure="false">In!$F$115</definedName>
    <definedName function="false" hidden="false" name="m_q4_lo" vbProcedure="false">In!$D$115</definedName>
    <definedName function="false" hidden="false" name="nioi" vbProcedure="false">In!$E$96</definedName>
    <definedName function="false" hidden="false" name="nioi_hi" vbProcedure="false">In!$F$96</definedName>
    <definedName function="false" hidden="false" name="nioi_lo" vbProcedure="false">In!$D$96</definedName>
    <definedName function="false" hidden="false" name="nioi_v01" vbProcedure="false">In!$E$97</definedName>
    <definedName function="false" hidden="false" name="ot_25" vbProcedure="false">In!$E$15</definedName>
    <definedName function="false" hidden="false" name="pbt_oi" vbProcedure="false">In!$E$95</definedName>
    <definedName function="false" hidden="false" name="pbt_oi_hi" vbProcedure="false">In!$F$95</definedName>
    <definedName function="false" hidden="false" name="pbt_oi_lo" vbProcedure="false">In!$D$95</definedName>
    <definedName function="false" hidden="false" name="pe_mid" vbProcedure="false">Val!$B$22</definedName>
    <definedName function="false" hidden="false" name="pe_peak" vbProcedure="false">Val!$B$21</definedName>
    <definedName function="false" hidden="false" name="pe_trough" vbProcedure="false">Val!$B$23</definedName>
    <definedName function="false" hidden="false" name="pk_A" vbProcedure="false">In!$E$120</definedName>
    <definedName function="false" hidden="false" name="pk_B" vbProcedure="false">In!$E$121</definedName>
    <definedName function="false" hidden="false" name="pk_C" vbProcedure="false">In!$E$122</definedName>
    <definedName function="false" hidden="false" name="px" vbProcedure="false">In!$E$123</definedName>
    <definedName function="false" hidden="false" name="q26h1_eps" vbProcedure="false">In!$E$103</definedName>
    <definedName function="false" hidden="false" name="q26h1_gp" vbProcedure="false">In!$E$104</definedName>
    <definedName function="false" hidden="false" name="q26h1_ni" vbProcedure="false">In!$E$102</definedName>
    <definedName function="false" hidden="false" name="q26h1_oi" vbProcedure="false">In!$E$101</definedName>
    <definedName function="false" hidden="false" name="q26h1_rev" vbProcedure="false">In!$E$100</definedName>
    <definedName function="false" hidden="false" name="q26h1_sga" vbProcedure="false">In!$E$111</definedName>
    <definedName function="false" hidden="false" name="q2_sga" vbProcedure="false">In!$E$113</definedName>
    <definedName function="false" hidden="false" name="r_ot" vbProcedure="false">In!$E$16</definedName>
    <definedName function="false" hidden="false" name="sa_fpe" vbProcedure="false">In!$E$124</definedName>
    <definedName function="false" hidden="false" name="sa_ttm" vbProcedure="false">In!$E$125</definedName>
    <definedName function="false" hidden="false" name="sc_A" vbProcedure="false">PL!$D$102</definedName>
    <definedName function="false" hidden="false" name="semi_pk" vbProcedure="false">In!$E$126</definedName>
    <definedName function="false" hidden="false" name="semi_pk_lo" vbProcedure="false">In!$D$126</definedName>
    <definedName function="false" hidden="false" name="sg_f" vbProcedure="false">In!$E$90</definedName>
    <definedName function="false" hidden="false" name="sg_v" vbProcedure="false">In!$E$89</definedName>
    <definedName function="false" hidden="false" name="sh" vbProcedure="false">In!$E$81</definedName>
    <definedName function="false" hidden="false" name="shares" vbProcedure="false">In!$E$98</definedName>
    <definedName function="false" hidden="false" name="sh_hi" vbProcedure="false">In!$F$81</definedName>
    <definedName function="false" hidden="false" name="sh_lo" vbProcedure="false">In!$D$81</definedName>
    <definedName function="false" hidden="false" name="sh_loss" vbProcedure="false">In!$E$82</definedName>
    <definedName function="false" hidden="false" name="sh_loss_hi" vbProcedure="false">In!$F$82</definedName>
    <definedName function="false" hidden="false" name="sh_loss_lo" vbProcedure="false">In!$D$82</definedName>
    <definedName function="false" hidden="false" name="stk_25" vbProcedure="false">In!$E$43</definedName>
    <definedName function="false" hidden="false" name="stk_25_hi" vbProcedure="false">In!$F$43</definedName>
    <definedName function="false" hidden="false" name="stk_25_lo" vbProcedure="false">In!$D$43</definedName>
    <definedName function="false" hidden="false" name="stk_26" vbProcedure="false">In!$E$44</definedName>
    <definedName function="false" hidden="false" name="stk_26_hi" vbProcedure="false">In!$F$44</definedName>
    <definedName function="false" hidden="false" name="stk_26_lo" vbProcedure="false">In!$D$44</definedName>
    <definedName function="false" hidden="false" name="stk_27" vbProcedure="false">In!$E$45</definedName>
    <definedName function="false" hidden="false" name="stk_27_hi" vbProcedure="false">In!$F$45</definedName>
    <definedName function="false" hidden="false" name="stk_27_lo" vbProcedure="false">In!$D$45</definedName>
    <definedName function="false" hidden="false" name="stk_28" vbProcedure="false">In!$E$46</definedName>
    <definedName function="false" hidden="false" name="stk_28_hi" vbProcedure="false">In!$F$46</definedName>
    <definedName function="false" hidden="false" name="stk_28_lo" vbProcedure="false">In!$D$46</definedName>
    <definedName function="false" hidden="false" name="stk_29" vbProcedure="false">In!$E$47</definedName>
    <definedName function="false" hidden="false" name="stk_29_hi" vbProcedure="false">In!$F$47</definedName>
    <definedName function="false" hidden="false" name="stk_29_lo" vbProcedure="false">In!$D$47</definedName>
    <definedName function="false" hidden="false" name="stk_30" vbProcedure="false">In!$E$48</definedName>
    <definedName function="false" hidden="false" name="stk_30_hi" vbProcedure="false">In!$F$48</definedName>
    <definedName function="false" hidden="false" name="stk_30_lo" vbProcedure="false">In!$D$48</definedName>
    <definedName function="false" hidden="false" name="s_stk" vbProcedure="false">In!$E$49</definedName>
    <definedName function="false" hidden="false" name="s_stk_hi" vbProcedure="false">In!$F$49</definedName>
    <definedName function="false" hidden="false" name="s_stk_lo" vbProcedure="false">In!$D$49</definedName>
    <definedName function="false" hidden="false" name="tl_25" vbProcedure="false">In!$E$14</definedName>
    <definedName function="false" hidden="false" name="um28_A" vbProcedure="false">In!$E$58</definedName>
    <definedName function="false" hidden="false" name="um28_B" vbProcedure="false">In!$E$60</definedName>
    <definedName function="false" hidden="false" name="um28_C" vbProcedure="false">In!$E$62</definedName>
    <definedName function="false" hidden="false" name="um29_A" vbProcedure="false">In!$E$59</definedName>
    <definedName function="false" hidden="false" name="um29_B" vbProcedure="false">In!$E$61</definedName>
    <definedName function="false" hidden="false" name="um29_C" vbProcedure="false">In!$E$63</definedName>
    <definedName function="false" hidden="false" name="w_hbm" vbProcedure="false">In!$E$19</definedName>
    <definedName function="false" hidden="false" name="w_hbm_hi" vbProcedure="false">In!$F$19</definedName>
    <definedName function="false" hidden="false" name="w_hbm_lo" vbProcedure="false">In!$D$19</definedName>
    <definedName function="false" hidden="false" name="w_tlai" vbProcedure="false">In!$E$79</definedName>
    <definedName function="false" hidden="false" name="w_tlai_hi" vbProcedure="false">In!$F$79</definedName>
    <definedName function="false" hidden="false" name="w_tlai_lo" vbProcedure="false">In!$D$79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<sst xmlns="http://schemas.openxmlformats.org/spreadsheetml/2006/main" count="6273" uniqueCount="918">
  <si>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6146.T</t>
    </r>
    <r>
      <rPr>
        <b val="true"/>
        <sz val="11"/>
        <rFont val="WenQuanYi Zen Hei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v0.1.3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WenQuanYi Zen Hei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WenQuanYi Zen Hei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2026-10-23</t>
    </r>
  </si>
  <si>
    <r>
      <rPr>
        <sz val="11"/>
        <rFont val="Cambria"/>
        <family val="0"/>
        <charset val="1"/>
      </rPr>
      <t xml:space="preserve">v0.1.2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2026-10-23</t>
    </r>
    <r>
      <rPr>
        <sz val="11"/>
        <rFont val="WenQuanYi Zen Hei"/>
        <family val="2"/>
      </rPr>
      <t xml:space="preserve">）：引用的上游成品檔名更新（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WenQuanYi Zen Hei"/>
        <family val="2"/>
      </rPr>
      <t xml:space="preserve">海力士 </t>
    </r>
    <r>
      <rPr>
        <sz val="11"/>
        <rFont val="Cambria"/>
        <family val="0"/>
        <charset val="1"/>
      </rPr>
      <t xml:space="preserve">v0.4.1</t>
    </r>
    <r>
      <rPr>
        <sz val="11"/>
        <rFont val="WenQuanYi Zen Hei"/>
        <family val="2"/>
      </rPr>
      <t xml:space="preserve">、美光 </t>
    </r>
    <r>
      <rPr>
        <sz val="11"/>
        <rFont val="Cambria"/>
        <family val="0"/>
        <charset val="1"/>
      </rPr>
      <t xml:space="preserve">v0.3.1</t>
    </r>
    <r>
      <rPr>
        <sz val="11"/>
        <rFont val="WenQuanYi Zen Hei"/>
        <family val="2"/>
      </rPr>
      <t xml:space="preserve">、三星 </t>
    </r>
    <r>
      <rPr>
        <sz val="11"/>
        <rFont val="Cambria"/>
        <family val="0"/>
        <charset val="1"/>
      </rPr>
      <t xml:space="preserve">v0.2.1</t>
    </r>
    <r>
      <rPr>
        <sz val="11"/>
        <rFont val="WenQuanYi Zen Hei"/>
        <family val="2"/>
      </rPr>
      <t xml:space="preserve">、台積電 </t>
    </r>
    <r>
      <rPr>
        <sz val="11"/>
        <rFont val="Cambria"/>
        <family val="0"/>
        <charset val="1"/>
      </rPr>
      <t xml:space="preserve">v0.2.1 </t>
    </r>
    <r>
      <rPr>
        <sz val="11"/>
        <rFont val="WenQuanYi Zen Hei"/>
        <family val="2"/>
      </rPr>
      <t xml:space="preserve">升版）；所有數值不變。</t>
    </r>
  </si>
  <si>
    <r>
      <rPr>
        <sz val="11"/>
        <rFont val="WenQuanYi Zen Hei"/>
        <family val="2"/>
      </rPr>
      <t xml:space="preserve">模型命題：</t>
    </r>
    <r>
      <rPr>
        <sz val="11"/>
        <rFont val="Cambria"/>
        <family val="0"/>
        <charset val="1"/>
      </rPr>
      <t xml:space="preserve">Disco </t>
    </r>
    <r>
      <rPr>
        <sz val="11"/>
        <rFont val="WenQuanYi Zen Hei"/>
        <family val="2"/>
      </rPr>
      <t xml:space="preserve">的營收由需要研削與切割的晶圓次數驅動，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只占約兩成；問題是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堆疊與先進封裝帶來的增量，能否抵過非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後段的循環，撐住目前約 </t>
    </r>
    <r>
      <rPr>
        <sz val="11"/>
        <rFont val="Cambria"/>
        <family val="0"/>
        <charset val="1"/>
      </rPr>
      <t xml:space="preserve">41 </t>
    </r>
    <r>
      <rPr>
        <sz val="11"/>
        <rFont val="WenQuanYi Zen Hei"/>
        <family val="2"/>
      </rPr>
      <t xml:space="preserve">倍的近 </t>
    </r>
    <r>
      <rPr>
        <sz val="11"/>
        <rFont val="Cambria"/>
        <family val="0"/>
        <charset val="1"/>
      </rPr>
      <t xml:space="preserve">12 </t>
    </r>
    <r>
      <rPr>
        <sz val="11"/>
        <rFont val="WenQuanYi Zen Hei"/>
        <family val="2"/>
      </rPr>
      <t xml:space="preserve">月本益比？</t>
    </r>
  </si>
  <si>
    <r>
      <rPr>
        <sz val="11"/>
        <rFont val="WenQuanYi Zen Hei"/>
        <family val="2"/>
      </rPr>
      <t xml:space="preserve">註：</t>
    </r>
    <r>
      <rPr>
        <sz val="11"/>
        <rFont val="Cambria"/>
        <family val="0"/>
        <charset val="1"/>
      </rPr>
      <t xml:space="preserve">41 </t>
    </r>
    <r>
      <rPr>
        <sz val="11"/>
        <rFont val="WenQuanYi Zen Hei"/>
        <family val="2"/>
      </rPr>
      <t xml:space="preserve">倍＝現價 </t>
    </r>
    <r>
      <rPr>
        <sz val="11"/>
        <rFont val="Cambria"/>
        <family val="0"/>
        <charset val="1"/>
      </rPr>
      <t xml:space="preserve">¥51,230 ÷ FY2025 EPS ¥1,249.84</t>
    </r>
    <r>
      <rPr>
        <sz val="11"/>
        <rFont val="WenQuanYi Zen Hei"/>
        <family val="2"/>
      </rPr>
      <t xml:space="preserve">（上一個會計年度）；嚴格的近 </t>
    </r>
    <r>
      <rPr>
        <sz val="11"/>
        <rFont val="Cambria"/>
        <family val="0"/>
        <charset val="1"/>
      </rPr>
      <t xml:space="preserve">12 </t>
    </r>
    <r>
      <rPr>
        <sz val="11"/>
        <rFont val="WenQuanYi Zen Hei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WenQuanYi Zen Hei"/>
        <family val="2"/>
      </rPr>
      <t xml:space="preserve">（含 </t>
    </r>
    <r>
      <rPr>
        <sz val="11"/>
        <rFont val="Cambria"/>
        <family val="0"/>
        <charset val="1"/>
      </rPr>
      <t xml:space="preserve">FY2026 </t>
    </r>
    <r>
      <rPr>
        <sz val="11"/>
        <rFont val="WenQuanYi Zen Hei"/>
        <family val="2"/>
      </rPr>
      <t xml:space="preserve">上半）為 </t>
    </r>
    <r>
      <rPr>
        <sz val="11"/>
        <rFont val="Cambria"/>
        <family val="0"/>
        <charset val="1"/>
      </rPr>
      <t xml:space="preserve">1,474.98</t>
    </r>
    <r>
      <rPr>
        <sz val="11"/>
        <rFont val="WenQuanYi Zen Hei"/>
        <family val="2"/>
      </rPr>
      <t xml:space="preserve">，對應 </t>
    </r>
    <r>
      <rPr>
        <sz val="11"/>
        <rFont val="Cambria"/>
        <family val="0"/>
        <charset val="1"/>
      </rPr>
      <t xml:space="preserve">34.7 </t>
    </r>
    <r>
      <rPr>
        <sz val="11"/>
        <rFont val="WenQuanYi Zen Hei"/>
        <family val="2"/>
      </rPr>
      <t xml:space="preserve">倍（</t>
    </r>
    <r>
      <rPr>
        <sz val="11"/>
        <rFont val="Cambria"/>
        <family val="0"/>
        <charset val="1"/>
      </rPr>
      <t xml:space="preserve">Val </t>
    </r>
    <r>
      <rPr>
        <sz val="11"/>
        <rFont val="WenQuanYi Zen Hei"/>
        <family val="2"/>
      </rPr>
      <t xml:space="preserve">頁）。</t>
    </r>
  </si>
  <si>
    <t xml:space="preserve">驅動因子 → 推導量（因果方向：左邊決定右邊）</t>
  </si>
  <si>
    <t xml:space="preserve">工作表｜輸入 → 推導量 → 去向</t>
  </si>
  <si>
    <r>
      <rPr>
        <sz val="11"/>
        <rFont val="Cambria"/>
        <family val="0"/>
        <charset val="1"/>
      </rPr>
      <t xml:space="preserve">Drv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PL </t>
    </r>
    <r>
      <rPr>
        <sz val="11"/>
        <rFont val="WenQuanYi Zen Hei"/>
        <family val="2"/>
      </rPr>
      <t xml:space="preserve">區塊 </t>
    </r>
    <r>
      <rPr>
        <sz val="11"/>
        <rFont val="Cambria"/>
        <family val="0"/>
        <charset val="1"/>
      </rPr>
      <t xml:space="preserve">A</t>
    </r>
    <r>
      <rPr>
        <sz val="11"/>
        <rFont val="WenQuanYi Zen Hei"/>
        <family val="2"/>
      </rPr>
      <t xml:space="preserve">）｜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出貨位元（</t>
    </r>
    <r>
      <rPr>
        <sz val="11"/>
        <rFont val="Cambria"/>
        <family val="0"/>
        <charset val="1"/>
      </rPr>
      <t xml:space="preserve">markets/memory</t>
    </r>
    <r>
      <rPr>
        <sz val="11"/>
        <rFont val="WenQuanYi Zen Hei"/>
        <family val="2"/>
      </rPr>
      <t xml:space="preserve">，三情境）</t>
    </r>
    <r>
      <rPr>
        <sz val="11"/>
        <rFont val="Cambria"/>
        <family val="0"/>
        <charset val="1"/>
      </rPr>
      <t xml:space="preserve">÷ </t>
    </r>
    <r>
      <rPr>
        <sz val="11"/>
        <rFont val="WenQuanYi Zen Hei"/>
        <family val="2"/>
      </rPr>
      <t xml:space="preserve">晶粒容量 →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晶粒數 </t>
    </r>
    <r>
      <rPr>
        <sz val="11"/>
        <rFont val="Cambria"/>
        <family val="0"/>
        <charset val="1"/>
      </rPr>
      <t xml:space="preserve">×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WenQuanYi Zen Hei"/>
        <family val="2"/>
      </rPr>
      <t xml:space="preserve">＋每堆疊額外工序 </t>
    </r>
    <r>
      <rPr>
        <sz val="11"/>
        <rFont val="Cambria"/>
        <family val="0"/>
        <charset val="1"/>
      </rPr>
      <t xml:space="preserve">÷ </t>
    </r>
    <r>
      <rPr>
        <sz val="11"/>
        <rFont val="WenQuanYi Zen Hei"/>
        <family val="2"/>
      </rPr>
      <t xml:space="preserve">層數）→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研削／切割工序 → </t>
    </r>
    <r>
      <rPr>
        <sz val="11"/>
        <rFont val="Cambria"/>
        <family val="0"/>
        <charset val="1"/>
      </rPr>
      <t xml:space="preserve">×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WenQuanYi Zen Hei"/>
        <family val="2"/>
      </rPr>
      <t xml:space="preserve">＋混合鍵合占比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淨影響）→ 產能需求 → 下一年增量＋汰換 → 新機需求 </t>
    </r>
    <r>
      <rPr>
        <sz val="11"/>
        <rFont val="Cambria"/>
        <family val="0"/>
        <charset val="1"/>
      </rPr>
      <t xml:space="preserve">× kH</t>
    </r>
    <r>
      <rPr>
        <sz val="11"/>
        <rFont val="WenQuanYi Zen Hei"/>
        <family val="2"/>
      </rPr>
      <t xml:space="preserve">（以 </t>
    </r>
    <r>
      <rPr>
        <sz val="11"/>
        <rFont val="Cambria"/>
        <family val="0"/>
        <charset val="1"/>
      </rPr>
      <t xml:space="preserve">FY2025 AI </t>
    </r>
    <r>
      <rPr>
        <sz val="11"/>
        <rFont val="WenQuanYi Zen Hei"/>
        <family val="2"/>
      </rPr>
      <t xml:space="preserve">出貨校準）→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裝置營收</t>
    </r>
  </si>
  <si>
    <r>
      <rPr>
        <sz val="11"/>
        <rFont val="Cambria"/>
        <family val="0"/>
        <charset val="1"/>
      </rPr>
      <t xml:space="preserve">Drv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PL </t>
    </r>
    <r>
      <rPr>
        <sz val="11"/>
        <rFont val="WenQuanYi Zen Hei"/>
        <family val="2"/>
      </rPr>
      <t xml:space="preserve">區塊 </t>
    </r>
    <r>
      <rPr>
        <sz val="11"/>
        <rFont val="Cambria"/>
        <family val="0"/>
        <charset val="1"/>
      </rPr>
      <t xml:space="preserve">A</t>
    </r>
    <r>
      <rPr>
        <sz val="11"/>
        <rFont val="WenQuanYi Zen Hei"/>
        <family val="2"/>
      </rPr>
      <t xml:space="preserve">）｜</t>
    </r>
    <r>
      <rPr>
        <sz val="11"/>
        <rFont val="Cambria"/>
        <family val="0"/>
        <charset val="1"/>
      </rPr>
      <t xml:space="preserve">CoWoS </t>
    </r>
    <r>
      <rPr>
        <sz val="11"/>
        <rFont val="WenQuanYi Zen Hei"/>
        <family val="2"/>
      </rPr>
      <t xml:space="preserve">片數（台積電模型；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× SCEN_UNITS</t>
    </r>
    <r>
      <rPr>
        <sz val="11"/>
        <rFont val="WenQuanYi Zen Hei"/>
        <family val="2"/>
      </rPr>
      <t xml:space="preserve">）→ 下一年增量＋汰換 → 新機需求 </t>
    </r>
    <r>
      <rPr>
        <sz val="11"/>
        <rFont val="Cambria"/>
        <family val="0"/>
        <charset val="1"/>
      </rPr>
      <t xml:space="preserve">× kL</t>
    </r>
    <r>
      <rPr>
        <sz val="11"/>
        <rFont val="WenQuanYi Zen Hei"/>
        <family val="2"/>
      </rPr>
      <t xml:space="preserve">（同一錨點校準）→ 先進封裝裝置營收</t>
    </r>
  </si>
  <si>
    <r>
      <rPr>
        <sz val="11"/>
        <rFont val="Cambria"/>
        <family val="0"/>
        <charset val="1"/>
      </rPr>
      <t xml:space="preserve">PL</t>
    </r>
    <r>
      <rPr>
        <sz val="11"/>
        <rFont val="WenQuanYi Zen Hei"/>
        <family val="2"/>
      </rPr>
      <t xml:space="preserve">｜非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裝置 </t>
    </r>
    <r>
      <rPr>
        <sz val="11"/>
        <rFont val="Cambria"/>
        <family val="0"/>
        <charset val="1"/>
      </rPr>
      <t xml:space="preserve">FY2025</t>
    </r>
    <r>
      <rPr>
        <sz val="11"/>
        <rFont val="WenQuanYi Zen Hei"/>
        <family val="2"/>
      </rPr>
      <t xml:space="preserve">（裝置營收 −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出貨）</t>
    </r>
    <r>
      <rPr>
        <sz val="11"/>
        <rFont val="Cambria"/>
        <family val="0"/>
        <charset val="1"/>
      </rPr>
      <t xml:space="preserve">×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WenQuanYi Zen Hei"/>
        <family val="2"/>
      </rPr>
      <t xml:space="preserve">＋非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年增，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：公司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前歷史）→ 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裝置營收；情境 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只在 </t>
    </r>
    <r>
      <rPr>
        <sz val="11"/>
        <rFont val="Cambria"/>
        <family val="0"/>
        <charset val="1"/>
      </rPr>
      <t xml:space="preserve">FY2028 </t>
    </r>
    <r>
      <rPr>
        <sz val="11"/>
        <rFont val="WenQuanYi Zen Hei"/>
        <family val="2"/>
      </rPr>
      <t xml:space="preserve">不同</t>
    </r>
  </si>
  <si>
    <r>
      <rPr>
        <sz val="11"/>
        <rFont val="Cambria"/>
        <family val="0"/>
        <charset val="1"/>
      </rPr>
      <t xml:space="preserve">PL</t>
    </r>
    <r>
      <rPr>
        <sz val="11"/>
        <rFont val="WenQuanYi Zen Hei"/>
        <family val="2"/>
      </rPr>
      <t xml:space="preserve">｜消耗品＝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部分 </t>
    </r>
    <r>
      <rPr>
        <sz val="11"/>
        <rFont val="Cambria"/>
        <family val="0"/>
        <charset val="1"/>
      </rPr>
      <t xml:space="preserve">× AI </t>
    </r>
    <r>
      <rPr>
        <sz val="11"/>
        <rFont val="WenQuanYi Zen Hei"/>
        <family val="2"/>
      </rPr>
      <t xml:space="preserve">工序量指數（稼動）＋非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部分 </t>
    </r>
    <r>
      <rPr>
        <sz val="11"/>
        <rFont val="Cambria"/>
        <family val="0"/>
        <charset val="1"/>
      </rPr>
      <t xml:space="preserve">×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WenQuanYi Zen Hei"/>
        <family val="2"/>
      </rPr>
      <t xml:space="preserve">＋年增）——消耗品隨稼動、不隨新機；その他＝固定比例 </t>
    </r>
    <r>
      <rPr>
        <sz val="11"/>
        <rFont val="Cambria"/>
        <family val="0"/>
        <charset val="1"/>
      </rPr>
      <t xml:space="preserve">×</t>
    </r>
    <r>
      <rPr>
        <sz val="11"/>
        <rFont val="WenQuanYi Zen Hei"/>
        <family val="2"/>
      </rPr>
      <t xml:space="preserve">（裝置＋消耗品）</t>
    </r>
  </si>
  <si>
    <r>
      <rPr>
        <sz val="11"/>
        <rFont val="Cambria"/>
        <family val="0"/>
        <charset val="1"/>
      </rPr>
      <t xml:space="preserve">Hist → PL</t>
    </r>
    <r>
      <rPr>
        <sz val="11"/>
        <rFont val="WenQuanYi Zen Hei"/>
        <family val="2"/>
      </rPr>
      <t xml:space="preserve">｜毛利率＝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＋ </t>
    </r>
    <r>
      <rPr>
        <sz val="11"/>
        <rFont val="Cambria"/>
        <family val="0"/>
        <charset val="1"/>
      </rPr>
      <t xml:space="preserve">b × ln </t>
    </r>
    <r>
      <rPr>
        <sz val="11"/>
        <rFont val="WenQuanYi Zen Hei"/>
        <family val="2"/>
      </rPr>
      <t xml:space="preserve">營收、銷管費＝固定＋變動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營收（</t>
    </r>
    <r>
      <rPr>
        <sz val="11"/>
        <rFont val="Cambria"/>
        <family val="0"/>
        <charset val="1"/>
      </rPr>
      <t xml:space="preserve">FY2015–FY2025 </t>
    </r>
    <r>
      <rPr>
        <sz val="11"/>
        <rFont val="WenQuanYi Zen Hei"/>
        <family val="2"/>
      </rPr>
      <t xml:space="preserve">迴歸）→ 營業利益與營業利益率是結果，不寫死</t>
    </r>
  </si>
  <si>
    <r>
      <rPr>
        <sz val="11"/>
        <rFont val="Cambria"/>
        <family val="0"/>
        <charset val="1"/>
      </rPr>
      <t xml:space="preserve">PL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D </t>
    </r>
    <r>
      <rPr>
        <sz val="11"/>
        <rFont val="WenQuanYi Zen Hei"/>
        <family val="2"/>
      </rPr>
      <t xml:space="preserve">節）｜</t>
    </r>
    <r>
      <rPr>
        <sz val="11"/>
        <rFont val="Cambria"/>
        <family val="0"/>
        <charset val="1"/>
      </rPr>
      <t xml:space="preserve">FY2026 </t>
    </r>
    <r>
      <rPr>
        <sz val="11"/>
        <rFont val="WenQuanYi Zen Hei"/>
        <family val="2"/>
      </rPr>
      <t xml:space="preserve">錨點：上半實績＋第三季指引（由公司累計指引推得 </t>
    </r>
    <r>
      <rPr>
        <sz val="11"/>
        <rFont val="Cambria"/>
        <family val="0"/>
        <charset val="1"/>
      </rPr>
      <t xml:space="preserve">132.4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58.1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41.5</t>
    </r>
    <r>
      <rPr>
        <sz val="11"/>
        <rFont val="WenQuanYi Zen Hei"/>
        <family val="2"/>
      </rPr>
      <t xml:space="preserve">）＋第四季（＝第三季 </t>
    </r>
    <r>
      <rPr>
        <sz val="11"/>
        <rFont val="Cambria"/>
        <family val="0"/>
        <charset val="1"/>
      </rPr>
      <t xml:space="preserve">×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g_q4</t>
    </r>
    <r>
      <rPr>
        <sz val="11"/>
        <rFont val="WenQuanYi Zen Hei"/>
        <family val="2"/>
      </rPr>
      <t xml:space="preserve">），</t>
    </r>
    <r>
      <rPr>
        <sz val="11"/>
        <rFont val="Cambria"/>
        <family val="0"/>
        <charset val="1"/>
      </rPr>
      <t xml:space="preserve">g_q4 </t>
    </r>
    <r>
      <rPr>
        <sz val="11"/>
        <rFont val="WenQuanYi Zen Hei"/>
        <family val="2"/>
      </rPr>
      <t xml:space="preserve">基準 </t>
    </r>
    <r>
      <rPr>
        <sz val="11"/>
        <rFont val="Cambria"/>
        <family val="0"/>
        <charset val="1"/>
      </rPr>
      <t xml:space="preserve">10%</t>
    </r>
    <r>
      <rPr>
        <sz val="11"/>
        <rFont val="WenQuanYi Zen Hei"/>
        <family val="2"/>
      </rPr>
      <t xml:space="preserve">，</t>
    </r>
    <r>
      <rPr>
        <sz val="11"/>
        <rFont val="Cambria"/>
        <family val="0"/>
        <charset val="1"/>
      </rPr>
      <t xml:space="preserve">Assumed 0–22%</t>
    </r>
    <r>
      <rPr>
        <sz val="11"/>
        <rFont val="WenQuanYi Zen Hei"/>
        <family val="2"/>
      </rPr>
      <t xml:space="preserve">）；各組成同比例縮放成錨點，</t>
    </r>
    <r>
      <rPr>
        <sz val="11"/>
        <rFont val="Cambria"/>
        <family val="0"/>
        <charset val="1"/>
      </rPr>
      <t xml:space="preserve">FY2027 </t>
    </r>
    <r>
      <rPr>
        <sz val="11"/>
        <rFont val="WenQuanYi Zen Hei"/>
        <family val="2"/>
      </rPr>
      <t xml:space="preserve">起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兩項回到驅動推導、非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兩項以錨定水準為基期</t>
    </r>
  </si>
  <si>
    <r>
      <rPr>
        <sz val="11"/>
        <rFont val="Cambria"/>
        <family val="0"/>
        <charset val="1"/>
      </rPr>
      <t xml:space="preserve">Val</t>
    </r>
    <r>
      <rPr>
        <sz val="11"/>
        <rFont val="WenQuanYi Zen Hei"/>
        <family val="2"/>
      </rPr>
      <t xml:space="preserve">｜</t>
    </r>
    <r>
      <rPr>
        <sz val="11"/>
        <rFont val="Cambria"/>
        <family val="0"/>
        <charset val="1"/>
      </rPr>
      <t xml:space="preserve">10 </t>
    </r>
    <r>
      <rPr>
        <sz val="11"/>
        <rFont val="WenQuanYi Zen Hei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WenQuanYi Zen Hei"/>
        <family val="2"/>
      </rPr>
      <t xml:space="preserve">分位 </t>
    </r>
    <r>
      <rPr>
        <sz val="11"/>
        <rFont val="Cambria"/>
        <family val="0"/>
        <charset val="1"/>
      </rPr>
      <t xml:space="preserve">× FY2027 EPS</t>
    </r>
    <r>
      <rPr>
        <sz val="11"/>
        <rFont val="WenQuanYi Zen Hei"/>
        <family val="2"/>
      </rPr>
      <t xml:space="preserve">；循環位置依設備股共用規則（</t>
    </r>
    <r>
      <rPr>
        <sz val="11"/>
        <rFont val="Cambria"/>
        <family val="0"/>
        <charset val="1"/>
      </rPr>
      <t xml:space="preserve">tools/cycle_position.py</t>
    </r>
    <r>
      <rPr>
        <sz val="11"/>
        <rFont val="WenQuanYi Zen Hei"/>
        <family val="2"/>
      </rPr>
      <t xml:space="preserve">：見頂年度讀設備市場模型 </t>
    </r>
    <r>
      <rPr>
        <sz val="11"/>
        <rFont val="Cambria"/>
        <family val="0"/>
        <charset val="1"/>
      </rPr>
      <t xml:space="preserve">A 2029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WenQuanYi Zen Hei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見頂）。</t>
    </r>
    <r>
      <rPr>
        <sz val="11"/>
        <rFont val="Cambria"/>
        <family val="0"/>
        <charset val="1"/>
      </rPr>
      <t xml:space="preserve">Recon</t>
    </r>
    <r>
      <rPr>
        <sz val="11"/>
        <rFont val="WenQuanYi Zen Hei"/>
        <family val="2"/>
      </rPr>
      <t xml:space="preserve">｜錨點恆等式、只用 </t>
    </r>
    <r>
      <rPr>
        <sz val="11"/>
        <rFont val="Cambria"/>
        <family val="0"/>
        <charset val="1"/>
      </rPr>
      <t xml:space="preserve">v0.1 </t>
    </r>
    <r>
      <rPr>
        <sz val="11"/>
        <rFont val="WenQuanYi Zen Hei"/>
        <family val="2"/>
      </rPr>
      <t xml:space="preserve">驅動的對照、共識。</t>
    </r>
    <r>
      <rPr>
        <sz val="11"/>
        <rFont val="Cambria"/>
        <family val="0"/>
        <charset val="1"/>
      </rPr>
      <t xml:space="preserve">Sens</t>
    </r>
    <r>
      <rPr>
        <sz val="11"/>
        <rFont val="WenQuanYi Zen Hei"/>
        <family val="2"/>
      </rPr>
      <t xml:space="preserve">｜一次動一個輸入</t>
    </r>
  </si>
  <si>
    <r>
      <rPr>
        <sz val="11"/>
        <rFont val="Cambria"/>
        <family val="0"/>
        <charset val="1"/>
      </rPr>
      <t xml:space="preserve">v0.1.1 </t>
    </r>
    <r>
      <rPr>
        <sz val="11"/>
        <rFont val="WenQuanYi Zen Hei"/>
        <family val="2"/>
      </rPr>
      <t xml:space="preserve">變更（</t>
    </r>
    <r>
      <rPr>
        <sz val="11"/>
        <rFont val="Cambria"/>
        <family val="0"/>
        <charset val="1"/>
      </rPr>
      <t xml:space="preserve">2026-10-23</t>
    </r>
    <r>
      <rPr>
        <sz val="11"/>
        <rFont val="WenQuanYi Zen Hei"/>
        <family val="2"/>
      </rPr>
      <t xml:space="preserve">）：</t>
    </r>
    <r>
      <rPr>
        <sz val="11"/>
        <rFont val="Cambria"/>
        <family val="0"/>
        <charset val="1"/>
      </rPr>
      <t xml:space="preserve">(1) FY2026 </t>
    </r>
    <r>
      <rPr>
        <sz val="11"/>
        <rFont val="WenQuanYi Zen Hei"/>
        <family val="2"/>
      </rPr>
      <t xml:space="preserve">錨定公司資料；</t>
    </r>
    <r>
      <rPr>
        <sz val="11"/>
        <rFont val="Cambria"/>
        <family val="0"/>
        <charset val="1"/>
      </rPr>
      <t xml:space="preserve">(2) </t>
    </r>
    <r>
      <rPr>
        <sz val="11"/>
        <rFont val="WenQuanYi Zen Hei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WenQuanYi Zen Hei"/>
        <family val="2"/>
      </rPr>
      <t xml:space="preserve">營業利益 </t>
    </r>
    <r>
      <rPr>
        <sz val="11"/>
        <rFont val="Cambria"/>
        <family val="0"/>
        <charset val="1"/>
      </rPr>
      <t xml:space="preserve">0.733 → 0.722</t>
    </r>
    <r>
      <rPr>
        <sz val="11"/>
        <rFont val="WenQuanYi Zen Hei"/>
        <family val="2"/>
      </rPr>
      <t xml:space="preserve">（稅前</t>
    </r>
    <r>
      <rPr>
        <sz val="11"/>
        <rFont val="Cambria"/>
        <family val="0"/>
        <charset val="1"/>
      </rPr>
      <t xml:space="preserve">÷</t>
    </r>
    <r>
      <rPr>
        <sz val="11"/>
        <rFont val="WenQuanYi Zen Hei"/>
        <family val="2"/>
      </rPr>
      <t xml:space="preserve">營業利益 </t>
    </r>
    <r>
      <rPr>
        <sz val="11"/>
        <rFont val="Cambria"/>
        <family val="0"/>
        <charset val="1"/>
      </rPr>
      <t xml:space="preserve">0.99 ×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WenQuanYi Zen Hei"/>
        <family val="2"/>
      </rPr>
      <t xml:space="preserve">有效稅率 </t>
    </r>
    <r>
      <rPr>
        <sz val="11"/>
        <rFont val="Cambria"/>
        <family val="0"/>
        <charset val="1"/>
      </rPr>
      <t xml:space="preserve">27.1%</t>
    </r>
    <r>
      <rPr>
        <sz val="11"/>
        <rFont val="WenQuanYi Zen Hei"/>
        <family val="2"/>
      </rPr>
      <t xml:space="preserve">），含防衛特別法人稅 </t>
    </r>
    <r>
      <rPr>
        <sz val="11"/>
        <rFont val="Cambria"/>
        <family val="0"/>
        <charset val="1"/>
      </rPr>
      <t xml:space="preserve">+0.9pt</t>
    </r>
    <r>
      <rPr>
        <sz val="11"/>
        <rFont val="WenQuanYi Zen Hei"/>
        <family val="2"/>
      </rPr>
      <t xml:space="preserve">；區間 </t>
    </r>
    <r>
      <rPr>
        <sz val="11"/>
        <rFont val="Cambria"/>
        <family val="0"/>
        <charset val="1"/>
      </rPr>
      <t xml:space="preserve">0.687–0.738</t>
    </r>
    <r>
      <rPr>
        <sz val="11"/>
        <rFont val="WenQuanYi Zen Hei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WenQuanYi Zen Hei"/>
        <family val="2"/>
      </rPr>
      <t xml:space="preserve">循環位置改用設備股共用規則（</t>
    </r>
    <r>
      <rPr>
        <sz val="11"/>
        <rFont val="Cambria"/>
        <family val="0"/>
        <charset val="1"/>
      </rPr>
      <t xml:space="preserve">v0.1 </t>
    </r>
    <r>
      <rPr>
        <sz val="11"/>
        <rFont val="WenQuanYi Zen Hei"/>
        <family val="2"/>
      </rPr>
      <t xml:space="preserve">為各自依營業利益路徑判定，三情境皆中段）。前後對照見 </t>
    </r>
    <r>
      <rPr>
        <sz val="11"/>
        <rFont val="Cambria"/>
        <family val="0"/>
        <charset val="1"/>
      </rPr>
      <t xml:space="preserve">disco/README.md</t>
    </r>
  </si>
  <si>
    <r>
      <rPr>
        <sz val="11"/>
        <rFont val="WenQuanYi Zen Hei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WenQuanYi Zen Hei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WenQuanYi Zen Hei"/>
        <family val="2"/>
      </rPr>
      <t xml:space="preserve">月（</t>
    </r>
    <r>
      <rPr>
        <sz val="11"/>
        <rFont val="Cambria"/>
        <family val="0"/>
        <charset val="1"/>
      </rPr>
      <t xml:space="preserve">FY2025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2025-04</t>
    </r>
    <r>
      <rPr>
        <sz val="11"/>
        <rFont val="WenQuanYi Zen Hei"/>
        <family val="2"/>
      </rPr>
      <t xml:space="preserve">～</t>
    </r>
    <r>
      <rPr>
        <sz val="11"/>
        <rFont val="Cambria"/>
        <family val="0"/>
        <charset val="1"/>
      </rPr>
      <t xml:space="preserve">2026-03</t>
    </r>
    <r>
      <rPr>
        <sz val="11"/>
        <rFont val="WenQuanYi Zen Hei"/>
        <family val="2"/>
      </rPr>
      <t xml:space="preserve">，公司「</t>
    </r>
    <r>
      <rPr>
        <sz val="11"/>
        <rFont val="Cambria"/>
        <family val="0"/>
        <charset val="1"/>
      </rPr>
      <t xml:space="preserve">2026</t>
    </r>
    <r>
      <rPr>
        <sz val="11"/>
        <rFont val="WenQuanYi Zen Hei"/>
        <family val="2"/>
      </rPr>
      <t xml:space="preserve">年</t>
    </r>
    <r>
      <rPr>
        <sz val="11"/>
        <rFont val="Cambria"/>
        <family val="0"/>
        <charset val="1"/>
      </rPr>
      <t xml:space="preserve">3</t>
    </r>
    <r>
      <rPr>
        <sz val="11"/>
        <rFont val="WenQuanYi Zen Hei"/>
        <family val="2"/>
      </rPr>
      <t xml:space="preserve">月期」）。日曆年轉會計年度：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3/4 × CY(t)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1/4 × CY(t+1)</t>
    </r>
    <r>
      <rPr>
        <sz val="11"/>
        <rFont val="WenQuanYi Zen Hei"/>
        <family val="2"/>
      </rPr>
      <t xml:space="preserve">。金額為日圓，未建匯率。</t>
    </r>
  </si>
  <si>
    <r>
      <rPr>
        <sz val="11"/>
        <rFont val="WenQuanYi Zen Hei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WenQuanYi Zen Hei"/>
        <family val="2"/>
      </rPr>
      <t xml:space="preserve">未使用。公司原文以網頁擷取讀取（數字已與松井證券交叉）；版面待人工複核。</t>
    </r>
  </si>
  <si>
    <r>
      <rPr>
        <sz val="11"/>
        <rFont val="WenQuanYi Zen Hei"/>
        <family val="2"/>
      </rPr>
      <t xml:space="preserve">可識別性：只有一個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錨點（</t>
    </r>
    <r>
      <rPr>
        <sz val="11"/>
        <rFont val="Cambria"/>
        <family val="0"/>
        <charset val="1"/>
      </rPr>
      <t xml:space="preserve">FY2025 ¥75B</t>
    </r>
    <r>
      <rPr>
        <sz val="11"/>
        <rFont val="WenQuanYi Zen Hei"/>
        <family val="2"/>
      </rPr>
      <t xml:space="preserve">，券商估計）。</t>
    </r>
    <r>
      <rPr>
        <sz val="11"/>
        <rFont val="Cambria"/>
        <family val="0"/>
        <charset val="1"/>
      </rPr>
      <t xml:space="preserve">kH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kL </t>
    </r>
    <r>
      <rPr>
        <sz val="11"/>
        <rFont val="WenQuanYi Zen Hei"/>
        <family val="2"/>
      </rPr>
      <t xml:space="preserve">各由一個點校準，因此「</t>
    </r>
    <r>
      <rPr>
        <sz val="11"/>
        <rFont val="Cambria"/>
        <family val="0"/>
        <charset val="1"/>
      </rPr>
      <t xml:space="preserve">kH × </t>
    </r>
    <r>
      <rPr>
        <sz val="11"/>
        <rFont val="WenQuanYi Zen Hei"/>
        <family val="2"/>
      </rPr>
      <t xml:space="preserve">工序定義」「</t>
    </r>
    <r>
      <rPr>
        <sz val="11"/>
        <rFont val="Cambria"/>
        <family val="0"/>
        <charset val="1"/>
      </rPr>
      <t xml:space="preserve">kL × </t>
    </r>
    <r>
      <rPr>
        <sz val="11"/>
        <rFont val="WenQuanYi Zen Hei"/>
        <family val="2"/>
      </rPr>
      <t xml:space="preserve">片數」只有乘積可識別；汰換比例、每堆疊工序數、晶粒容量與層數只改變路徑形狀，不改變 </t>
    </r>
    <r>
      <rPr>
        <sz val="11"/>
        <rFont val="Cambria"/>
        <family val="0"/>
        <charset val="1"/>
      </rPr>
      <t xml:space="preserve">FY2025 </t>
    </r>
    <r>
      <rPr>
        <sz val="11"/>
        <rFont val="WenQuanYi Zen Hei"/>
        <family val="2"/>
      </rPr>
      <t xml:space="preserve">水準，無法由資料分開，列在 </t>
    </r>
    <r>
      <rPr>
        <sz val="11"/>
        <rFont val="Cambria"/>
        <family val="0"/>
        <charset val="1"/>
      </rPr>
      <t xml:space="preserve">Sens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消耗品比例公司不揭露（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）。市占只透過「變化」進入模型。</t>
    </r>
  </si>
  <si>
    <r>
      <rPr>
        <sz val="11"/>
        <rFont val="WenQuanYi Zen Hei"/>
        <family val="2"/>
      </rPr>
      <t xml:space="preserve">已知限制：見 </t>
    </r>
    <r>
      <rPr>
        <sz val="11"/>
        <rFont val="Cambria"/>
        <family val="0"/>
        <charset val="1"/>
      </rPr>
      <t xml:space="preserve">disco/README.md</t>
    </r>
    <r>
      <rPr>
        <sz val="11"/>
        <rFont val="WenQuanYi Zen Hei"/>
        <family val="2"/>
      </rPr>
      <t xml:space="preserve">「待辦與限制」。</t>
    </r>
  </si>
  <si>
    <r>
      <rPr>
        <sz val="11"/>
        <rFont val="Cambria"/>
        <family val="0"/>
        <charset val="1"/>
      </rPr>
      <t xml:space="preserve">v0.1.3 </t>
    </r>
    <r>
      <rPr>
        <sz val="11"/>
        <rFont val="WenQuanYi Zen Hei"/>
        <family val="2"/>
      </rPr>
      <t xml:space="preserve">變更（</t>
    </r>
    <r>
      <rPr>
        <sz val="11"/>
        <rFont val="Cambria"/>
        <family val="0"/>
        <charset val="1"/>
      </rPr>
      <t xml:space="preserve">2026-10-23</t>
    </r>
    <r>
      <rPr>
        <sz val="11"/>
        <rFont val="WenQuanYi Zen Hei"/>
        <family val="2"/>
      </rPr>
      <t xml:space="preserve">）：錨點差額（</t>
    </r>
    <r>
      <rPr>
        <sz val="11"/>
        <rFont val="Cambria"/>
        <family val="0"/>
        <charset val="1"/>
      </rPr>
      <t xml:space="preserve">sc</t>
    </r>
    <r>
      <rPr>
        <sz val="11"/>
        <rFont val="WenQuanYi Zen Hei"/>
        <family val="2"/>
      </rPr>
      <t xml:space="preserve">）延續到 </t>
    </r>
    <r>
      <rPr>
        <sz val="11"/>
        <rFont val="Cambria"/>
        <family val="0"/>
        <charset val="1"/>
      </rPr>
      <t xml:space="preserve">FY2027 </t>
    </r>
    <r>
      <rPr>
        <sz val="11"/>
        <rFont val="WenQuanYi Zen Hei"/>
        <family val="2"/>
      </rPr>
      <t xml:space="preserve">以後的非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兩項時，三情境一律用情境 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sc</t>
    </r>
    <r>
      <rPr>
        <sz val="11"/>
        <rFont val="WenQuanYi Zen Hei"/>
        <family val="2"/>
      </rPr>
      <t xml:space="preserve">（具名範圍 </t>
    </r>
    <r>
      <rPr>
        <sz val="11"/>
        <rFont val="Cambria"/>
        <family val="0"/>
        <charset val="1"/>
      </rPr>
      <t xml:space="preserve">sc_A</t>
    </r>
    <r>
      <rPr>
        <sz val="11"/>
        <rFont val="WenQuanYi Zen Hei"/>
        <family val="2"/>
      </rPr>
      <t xml:space="preserve">）。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sc </t>
    </r>
    <r>
      <rPr>
        <sz val="11"/>
        <rFont val="WenQuanYi Zen Hei"/>
        <family val="2"/>
      </rPr>
      <t xml:space="preserve">較大（</t>
    </r>
    <r>
      <rPr>
        <sz val="11"/>
        <rFont val="Cambria"/>
        <family val="0"/>
        <charset val="1"/>
      </rPr>
      <t xml:space="preserve">1.078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1.099 vs A 1.055</t>
    </r>
    <r>
      <rPr>
        <sz val="11"/>
        <rFont val="WenQuanYi Zen Hei"/>
        <family val="2"/>
      </rPr>
      <t xml:space="preserve">）是因為其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驅動推導較低，不是非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較強；原寫法把這部分算成非 </t>
    </r>
    <r>
      <rPr>
        <sz val="11"/>
        <rFont val="Cambria"/>
        <family val="0"/>
        <charset val="1"/>
      </rPr>
      <t xml:space="preserve">AI</t>
    </r>
    <r>
      <rPr>
        <sz val="11"/>
        <rFont val="WenQuanYi Zen Hei"/>
        <family val="2"/>
      </rPr>
      <t xml:space="preserve">、墊高 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的基期。</t>
    </r>
    <r>
      <rPr>
        <sz val="11"/>
        <rFont val="Cambria"/>
        <family val="0"/>
        <charset val="1"/>
      </rPr>
      <t xml:space="preserve">FY2026 </t>
    </r>
    <r>
      <rPr>
        <sz val="11"/>
        <rFont val="WenQuanYi Zen Hei"/>
        <family val="2"/>
      </rPr>
      <t xml:space="preserve">不變（三情境仍各自縮放到同一錨點）；情境 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不變；</t>
    </r>
    <r>
      <rPr>
        <sz val="11"/>
        <rFont val="Cambria"/>
        <family val="0"/>
        <charset val="1"/>
      </rPr>
      <t xml:space="preserve">Sens </t>
    </r>
    <r>
      <rPr>
        <sz val="11"/>
        <rFont val="WenQuanYi Zen Hei"/>
        <family val="2"/>
      </rPr>
      <t xml:space="preserve">各案例皆為情境 </t>
    </r>
    <r>
      <rPr>
        <sz val="11"/>
        <rFont val="Cambria"/>
        <family val="0"/>
        <charset val="1"/>
      </rPr>
      <t xml:space="preserve">A</t>
    </r>
    <r>
      <rPr>
        <sz val="11"/>
        <rFont val="WenQuanYi Zen Hei"/>
        <family val="2"/>
      </rPr>
      <t xml:space="preserve">，用自己區塊的 </t>
    </r>
    <r>
      <rPr>
        <sz val="11"/>
        <rFont val="Cambria"/>
        <family val="0"/>
        <charset val="1"/>
      </rPr>
      <t xml:space="preserve">sc</t>
    </r>
    <r>
      <rPr>
        <sz val="11"/>
        <rFont val="WenQuanYi Zen Hei"/>
        <family val="2"/>
      </rPr>
      <t xml:space="preserve">（改 </t>
    </r>
    <r>
      <rPr>
        <sz val="11"/>
        <rFont val="Cambria"/>
        <family val="0"/>
        <charset val="1"/>
      </rPr>
      <t xml:space="preserve">g_q4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m_q4 </t>
    </r>
    <r>
      <rPr>
        <sz val="11"/>
        <rFont val="WenQuanYi Zen Hei"/>
        <family val="2"/>
      </rPr>
      <t xml:space="preserve">時隨之變動）。前後對照見 </t>
    </r>
    <r>
      <rPr>
        <sz val="11"/>
        <rFont val="Cambria"/>
        <family val="0"/>
        <charset val="1"/>
      </rPr>
      <t xml:space="preserve">disco/README.md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</si>
  <si>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WenQuanYi Zen Hei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WenQuanYi Zen Hei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：千片。每個輸入附標記與來源；找不到者寫「未找到」，公司未揭露者寫「公司不揭露」</t>
    </r>
  </si>
  <si>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（一律給低／高區間）／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disco.co.jp</t>
    </r>
    <r>
      <rPr>
        <sz val="11"/>
        <color theme="1"/>
        <rFont val="WenQuanYi Zen Hei"/>
        <family val="2"/>
      </rPr>
      <t xml:space="preserve">）以網頁擷取工具讀取文字（建置環境的 </t>
    </r>
    <r>
      <rPr>
        <sz val="11"/>
        <color theme="1"/>
        <rFont val="Calibri"/>
        <family val="2"/>
        <charset val="1"/>
      </rPr>
      <t xml:space="preserve">curl </t>
    </r>
    <r>
      <rPr>
        <sz val="11"/>
        <color theme="1"/>
        <rFont val="WenQuanYi Zen Hei"/>
        <family val="2"/>
      </rPr>
      <t xml:space="preserve">被擋）；表格欄位錯置處以算術核對，原文版面待人工複核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</si>
  <si>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</si>
  <si>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</si>
  <si>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</si>
  <si>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</si>
  <si>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</si>
  <si>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</si>
  <si>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</si>
  <si>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</si>
  <si>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</si>
  <si>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FY2025 </t>
    </r>
    <r>
      <rPr>
        <b val="true"/>
        <sz val="11"/>
        <rFont val="WenQuanYi Zen Hei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2025-04</t>
    </r>
    <r>
      <rPr>
        <b val="true"/>
        <sz val="11"/>
        <rFont val="WenQuanYi Zen Hei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2026-03</t>
    </r>
    <r>
      <rPr>
        <b val="true"/>
        <sz val="11"/>
        <rFont val="WenQuanYi Zen Hei"/>
        <family val="2"/>
      </rPr>
      <t xml:space="preserve">）與產品別構成（校準錨）</t>
    </r>
  </si>
  <si>
    <t xml:space="preserve">a25_rev</t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</si>
  <si>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</si>
  <si>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¥B</t>
  </si>
  <si>
    <t xml:space="preserve">Verified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</si>
  <si>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436,889 </t>
    </r>
    <r>
      <rPr>
        <sz val="11"/>
        <color theme="1"/>
        <rFont val="WenQuanYi Zen Hei"/>
        <family val="2"/>
      </rPr>
      <t xml:space="preserve">百萬日圓</t>
    </r>
  </si>
  <si>
    <r>
      <rPr>
        <sz val="11"/>
        <color theme="1"/>
        <rFont val="WenQuanYi Zen Hei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436,889</t>
    </r>
    <r>
      <rPr>
        <sz val="11"/>
        <color theme="1"/>
        <rFont val="WenQuanYi Zen Hei"/>
        <family val="2"/>
      </rPr>
      <t xml:space="preserve">；另見 </t>
    </r>
    <r>
      <rPr>
        <sz val="11"/>
        <color theme="1"/>
        <rFont val="Calibri"/>
        <family val="2"/>
        <charset val="1"/>
      </rPr>
      <t xml:space="preserve">kabuyoho </t>
    </r>
    <r>
      <rPr>
        <sz val="11"/>
        <color theme="1"/>
        <rFont val="WenQuanYi Zen Hei"/>
        <family val="2"/>
      </rPr>
      <t xml:space="preserve">轉載之 </t>
    </r>
    <r>
      <rPr>
        <sz val="11"/>
        <color theme="1"/>
        <rFont val="Calibri"/>
        <family val="2"/>
        <charset val="1"/>
      </rPr>
      <t xml:space="preserve">TSE </t>
    </r>
    <r>
      <rPr>
        <sz val="11"/>
        <color theme="1"/>
        <rFont val="WenQuanYi Zen Hei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）</t>
    </r>
  </si>
  <si>
    <t xml:space="preserve">a25_gp</t>
  </si>
  <si>
    <r>
      <rPr>
        <sz val="11"/>
        <color theme="1"/>
        <rFont val="WenQuanYi Zen Hei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</si>
  <si>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WenQuanYi Zen Hei"/>
        <family val="2"/>
      </rPr>
      <t xml:space="preserve">）：毛利 </t>
    </r>
    <r>
      <rPr>
        <sz val="11"/>
        <color theme="1"/>
        <rFont val="Calibri"/>
        <family val="2"/>
        <charset val="1"/>
      </rPr>
      <t xml:space="preserve">306,477</t>
    </r>
    <r>
      <rPr>
        <sz val="11"/>
        <color theme="1"/>
        <rFont val="WenQuanYi Zen Hei"/>
        <family val="2"/>
      </rPr>
      <t xml:space="preserve">（營收 − 銷貨成本 </t>
    </r>
    <r>
      <rPr>
        <sz val="11"/>
        <color theme="1"/>
        <rFont val="Calibri"/>
        <family val="2"/>
        <charset val="1"/>
      </rPr>
      <t xml:space="preserve">130,412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</si>
  <si>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WenQuanYi Zen Hei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WenQuanYi Zen Hei"/>
        <family val="2"/>
      </rPr>
      <t xml:space="preserve">）：毛利 </t>
    </r>
    <r>
      <rPr>
        <sz val="11"/>
        <color theme="1"/>
        <rFont val="Calibri"/>
        <family val="2"/>
        <charset val="1"/>
      </rPr>
      <t xml:space="preserve">306.5</t>
    </r>
    <r>
      <rPr>
        <sz val="11"/>
        <color theme="1"/>
        <rFont val="WenQuanYi Zen Hei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70.1%</t>
    </r>
  </si>
  <si>
    <t xml:space="preserve">a25_sga</t>
  </si>
  <si>
    <r>
      <rPr>
        <sz val="11"/>
        <color theme="1"/>
        <rFont val="WenQuanYi Zen Hei"/>
        <family val="2"/>
      </rPr>
      <t xml:space="preserve">銷管費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</si>
  <si>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121,487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</si>
  <si>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WenQuanYi Zen Hei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121.5</t>
    </r>
  </si>
  <si>
    <t xml:space="preserve">a25_oi</t>
  </si>
  <si>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</si>
  <si>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184,989</t>
    </r>
  </si>
  <si>
    <r>
      <rPr>
        <sz val="11"/>
        <color theme="1"/>
        <rFont val="WenQuanYi Zen Hei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184,989</t>
    </r>
  </si>
  <si>
    <t xml:space="preserve">a25_ni</t>
  </si>
  <si>
    <r>
      <rPr>
        <sz val="11"/>
        <color theme="1"/>
        <rFont val="WenQuanYi Zen Hei"/>
        <family val="2"/>
      </rPr>
      <t xml:space="preserve">淨利（歸屬母公司）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</si>
  <si>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135,521</t>
    </r>
  </si>
  <si>
    <r>
      <rPr>
        <sz val="11"/>
        <color theme="1"/>
        <rFont val="WenQuanYi Zen Hei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135,521</t>
    </r>
  </si>
  <si>
    <t xml:space="preserve">a25_eps</t>
  </si>
  <si>
    <r>
      <rPr>
        <sz val="11"/>
        <color theme="1"/>
        <rFont val="WenQuanYi Zen Hei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FY2025</t>
    </r>
  </si>
  <si>
    <t xml:space="preserve">¥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</si>
  <si>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WenQuanYi Zen Hei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1,249.84</t>
    </r>
    <r>
      <rPr>
        <sz val="11"/>
        <color theme="1"/>
        <rFont val="WenQuanYi Zen Hei"/>
        <family val="2"/>
      </rPr>
      <t xml:space="preserve">（稀釋 </t>
    </r>
    <r>
      <rPr>
        <sz val="11"/>
        <color theme="1"/>
        <rFont val="Calibri"/>
        <family val="2"/>
        <charset val="1"/>
      </rPr>
      <t xml:space="preserve">1,245.90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</si>
  <si>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1,249.84</t>
    </r>
  </si>
  <si>
    <t xml:space="preserve">mix_eq</t>
  </si>
  <si>
    <r>
      <rPr>
        <sz val="11"/>
        <color theme="1"/>
        <rFont val="WenQuanYi Zen Hei"/>
        <family val="2"/>
      </rPr>
      <t xml:space="preserve">精密加工裝置占營收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</si>
  <si>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%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</si>
  <si>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WenQuanYi Zen Hei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WenQuanYi Zen Hei"/>
        <family val="2"/>
      </rPr>
      <t xml:space="preserve">）：製品別構成 精密加工裝置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WenQuanYi Zen Hei"/>
        <family val="2"/>
      </rPr>
      <t xml:space="preserve">（ダイサ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WenQuanYi Zen Hei"/>
        <family val="2"/>
      </rPr>
      <t xml:space="preserve">、グラインダ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WenQuanYi Zen Hei"/>
        <family val="2"/>
      </rPr>
      <t xml:space="preserve">、附屬裝置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WenQuanYi Zen Hei"/>
        <family val="2"/>
      </rPr>
      <t xml:space="preserve">）、精密加工ツール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WenQuanYi Zen Hei"/>
        <family val="2"/>
      </rPr>
      <t xml:space="preserve">、その他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WenQuanYi Zen Hei"/>
        <family val="2"/>
      </rPr>
      <t xml:space="preserve">（合計 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WenQuanYi Zen Hei"/>
        <family val="2"/>
      </rPr>
      <t xml:space="preserve">，四捨五入）</t>
    </r>
  </si>
  <si>
    <r>
      <rPr>
        <sz val="11"/>
        <color theme="1"/>
        <rFont val="WenQuanYi Zen Hei"/>
        <family val="2"/>
      </rPr>
      <t xml:space="preserve">公司只揭露構成比（百分比取整數），不揭露金額；低／高＝</t>
    </r>
    <r>
      <rPr>
        <sz val="11"/>
        <color theme="1"/>
        <rFont val="Calibri"/>
        <family val="2"/>
        <charset val="1"/>
      </rPr>
      <t xml:space="preserve">±0.5 </t>
    </r>
    <r>
      <rPr>
        <sz val="11"/>
        <color theme="1"/>
        <rFont val="WenQuanYi Zen Hei"/>
        <family val="2"/>
      </rPr>
      <t xml:space="preserve">個百分點（取整誤差）。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film/20250417</t>
    </r>
    <r>
      <rPr>
        <sz val="11"/>
        <color theme="1"/>
        <rFont val="WenQuanYi Zen Hei"/>
        <family val="2"/>
      </rPr>
      <t xml:space="preserve">）</t>
    </r>
  </si>
  <si>
    <t xml:space="preserve">mix_tl</t>
  </si>
  <si>
    <r>
      <rPr>
        <sz val="11"/>
        <color theme="1"/>
        <rFont val="WenQuanYi Zen Hei"/>
        <family val="2"/>
      </rPr>
      <t xml:space="preserve">精密加工ツール（消耗品：刀片、砂輪）占營收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</si>
  <si>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WenQuanYi Zen Hei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21%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22%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</si>
  <si>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同上；消耗品隨客戶稼動率變動（公司 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WenQuanYi Zen Hei"/>
        <family val="2"/>
      </rPr>
      <t xml:space="preserve">說明：稼動率高，創新高）</t>
    </r>
  </si>
  <si>
    <t xml:space="preserve">eq_25</t>
  </si>
  <si>
    <r>
      <rPr>
        <sz val="11"/>
        <color theme="1"/>
        <rFont val="WenQuanYi Zen Hei"/>
        <family val="2"/>
      </rPr>
      <t xml:space="preserve">精密加工裝置營收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構成比）</t>
    </r>
  </si>
  <si>
    <t xml:space="preserve">Derived</t>
  </si>
  <si>
    <t xml:space="preserve">436.9 × 62%</t>
  </si>
  <si>
    <t xml:space="preserve">tl_25</t>
  </si>
  <si>
    <r>
      <rPr>
        <sz val="11"/>
        <color theme="1"/>
        <rFont val="WenQuanYi Zen Hei"/>
        <family val="2"/>
      </rPr>
      <t xml:space="preserve">精密加工ツール營收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</si>
  <si>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436.9 × 21%</t>
  </si>
  <si>
    <t xml:space="preserve">ot_25</t>
  </si>
  <si>
    <r>
      <rPr>
        <sz val="11"/>
        <color theme="1"/>
        <rFont val="WenQuanYi Zen Hei"/>
        <family val="2"/>
      </rPr>
      <t xml:space="preserve">その他（零件、服務、二手機等）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</si>
  <si>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WenQuanYi Zen Hei"/>
        <family val="2"/>
      </rPr>
      <t xml:space="preserve">營收 − 裝置 − 消耗品（＝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WenQuanYi Zen Hei"/>
        <family val="2"/>
      </rPr>
      <t xml:space="preserve">，含取整差）</t>
    </r>
  </si>
  <si>
    <r>
      <rPr>
        <sz val="11"/>
        <color theme="1"/>
        <rFont val="WenQuanYi Zen Hei"/>
        <family val="2"/>
      </rPr>
      <t xml:space="preserve">公司構成比為 </t>
    </r>
    <r>
      <rPr>
        <sz val="11"/>
        <color theme="1"/>
        <rFont val="Calibri"/>
        <family val="2"/>
        <charset val="1"/>
      </rPr>
      <t xml:space="preserve">16%</t>
    </r>
  </si>
  <si>
    <t xml:space="preserve">r_ot</t>
  </si>
  <si>
    <r>
      <rPr>
        <sz val="11"/>
        <color theme="1"/>
        <rFont val="WenQuanYi Zen Hei"/>
        <family val="2"/>
      </rPr>
      <t xml:space="preserve">その他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（裝置＋消耗品）</t>
    </r>
  </si>
  <si>
    <t xml:space="preserve">x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</si>
  <si>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比例，各年沿用</t>
    </r>
  </si>
  <si>
    <r>
      <rPr>
        <sz val="11"/>
        <color theme="1"/>
        <rFont val="Calibri"/>
        <family val="2"/>
        <charset val="1"/>
      </rPr>
      <t xml:space="preserve">FY2024 16/84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0.19</t>
    </r>
    <r>
      <rPr>
        <sz val="11"/>
        <color theme="1"/>
        <rFont val="WenQuanYi Zen Hei"/>
        <family val="2"/>
      </rPr>
      <t xml:space="preserve">，相同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</si>
  <si>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WenQuanYi Zen Hei"/>
        <family val="2"/>
      </rPr>
      <t xml:space="preserve">錨點（校準用；不使用共識營收或公司目標）</t>
    </r>
  </si>
  <si>
    <t xml:space="preserve">ai_25</t>
  </si>
  <si>
    <r>
      <rPr>
        <sz val="11"/>
        <color theme="1"/>
        <rFont val="WenQuanYi Zen Hei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相關出貨額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月期）</t>
    </r>
  </si>
  <si>
    <t xml:space="preserve">Interested-party</t>
  </si>
  <si>
    <r>
      <rPr>
        <sz val="11"/>
        <color theme="1"/>
        <rFont val="WenQuanYi Zen Hei"/>
        <family val="2"/>
      </rPr>
      <t xml:space="preserve">樂天證券 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WenQuanYi Zen Hei"/>
        <family val="2"/>
      </rPr>
      <t xml:space="preserve">，決算レポート；券商分析師，有正面撰寫傾向）：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約 </t>
    </r>
    <r>
      <rPr>
        <sz val="11"/>
        <color theme="1"/>
        <rFont val="Calibri"/>
        <family val="2"/>
        <charset val="1"/>
      </rPr>
      <t xml:space="preserve">750 </t>
    </r>
    <r>
      <rPr>
        <sz val="11"/>
        <color theme="1"/>
        <rFont val="WenQuanYi Zen Hei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約 </t>
    </r>
    <r>
      <rPr>
        <sz val="11"/>
        <color theme="1"/>
        <rFont val="Calibri"/>
        <family val="2"/>
        <charset val="1"/>
      </rPr>
      <t xml:space="preserve">550 </t>
    </r>
    <r>
      <rPr>
        <sz val="11"/>
        <color theme="1"/>
        <rFont val="WenQuanYi Zen Hei"/>
        <family val="2"/>
      </rPr>
      <t xml:space="preserve">億（出貨額）</t>
    </r>
  </si>
  <si>
    <r>
      <rPr>
        <sz val="11"/>
        <color theme="1"/>
        <rFont val="WenQuanYi Zen Hei"/>
        <family val="2"/>
      </rPr>
      <t xml:space="preserve">第二來源：未找到金額（公司不揭露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金額）。低／高 </t>
    </r>
    <r>
      <rPr>
        <sz val="11"/>
        <color theme="1"/>
        <rFont val="Calibri"/>
        <family val="2"/>
        <charset val="1"/>
      </rPr>
      <t xml:space="preserve">±10%</t>
    </r>
    <r>
      <rPr>
        <sz val="11"/>
        <color theme="1"/>
        <rFont val="WenQuanYi Zen Hei"/>
        <family val="2"/>
      </rPr>
      <t xml:space="preserve">＝「約」的不確定（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）。出貨額視同營收：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442.6</t>
    </r>
    <r>
      <rPr>
        <sz val="11"/>
        <color theme="1"/>
        <rFont val="WenQuanYi Zen Hei"/>
        <family val="2"/>
      </rPr>
      <t xml:space="preserve">（四季合計，公司簡報）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436.9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1.013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）。是否含消耗品：原文不明，本模型視為裝置</t>
    </r>
  </si>
  <si>
    <t xml:space="preserve">w_hbm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</si>
  <si>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出貨中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（其餘為邏輯／先進封裝）</t>
    </r>
  </si>
  <si>
    <r>
      <rPr>
        <sz val="11"/>
        <color theme="1"/>
        <rFont val="WenQuanYi Zen Hei"/>
        <family val="2"/>
      </rPr>
      <t xml:space="preserve">今中能夫（同上）：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概算 邏輯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7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持平、邏輯大增，邏輯略高於 </t>
    </r>
    <r>
      <rPr>
        <sz val="11"/>
        <color theme="1"/>
        <rFont val="Calibri"/>
        <family val="2"/>
        <charset val="1"/>
      </rPr>
      <t xml:space="preserve">HBM → HBM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38.5÷75≈51%</t>
    </r>
    <r>
      <rPr>
        <sz val="11"/>
        <color theme="1"/>
        <rFont val="WenQuanYi Zen Hei"/>
        <family val="2"/>
      </rPr>
      <t xml:space="preserve">，再依「邏輯略高」取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</si>
  <si>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第二來源：公司 </t>
    </r>
    <r>
      <rPr>
        <sz val="11"/>
        <color theme="1"/>
        <rFont val="Calibri"/>
        <family val="2"/>
        <charset val="1"/>
      </rPr>
      <t xml:space="preserve">FY26 2Q </t>
    </r>
    <r>
      <rPr>
        <sz val="11"/>
        <color theme="1"/>
        <rFont val="WenQuanYi Zen Hei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WenQuanYi Zen Hei"/>
        <family val="2"/>
      </rPr>
      <t xml:space="preserve">摘要，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）：全年約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一半、邏輯一半。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（公司）</t>
    </r>
  </si>
  <si>
    <t xml:space="preserve">ai_24</t>
  </si>
  <si>
    <r>
      <rPr>
        <sz val="11"/>
        <color theme="1"/>
        <rFont val="WenQuanYi Zen Hei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相關出貨額 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WenQuanYi Zen Hei"/>
        <family val="2"/>
      </rPr>
      <t xml:space="preserve">（只作參考，未用於校準）</t>
    </r>
  </si>
  <si>
    <r>
      <rPr>
        <sz val="11"/>
        <color theme="1"/>
        <rFont val="WenQuanYi Zen Hei"/>
        <family val="2"/>
      </rPr>
      <t xml:space="preserve">今中能夫（同上）：約 </t>
    </r>
    <r>
      <rPr>
        <sz val="11"/>
        <color theme="1"/>
        <rFont val="Calibri"/>
        <family val="2"/>
        <charset val="1"/>
      </rPr>
      <t xml:space="preserve">550 </t>
    </r>
    <r>
      <rPr>
        <sz val="11"/>
        <color theme="1"/>
        <rFont val="WenQuanYi Zen Hei"/>
        <family val="2"/>
      </rPr>
      <t xml:space="preserve">億</t>
    </r>
  </si>
  <si>
    <r>
      <rPr>
        <sz val="11"/>
        <color theme="1"/>
        <rFont val="WenQuanYi Zen Hei"/>
        <family val="2"/>
      </rPr>
      <t xml:space="preserve">回測需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位元與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片數，市場層沒有，未做（見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WenQuanYi Zen Hei"/>
        <family val="2"/>
      </rPr>
      <t xml:space="preserve">待辦）</t>
    </r>
  </si>
  <si>
    <r>
      <rPr>
        <b val="true"/>
        <sz val="11"/>
        <rFont val="Cambria"/>
        <family val="0"/>
        <charset val="1"/>
      </rPr>
      <t xml:space="preserve">C. HBM </t>
    </r>
    <r>
      <rPr>
        <b val="true"/>
        <sz val="11"/>
        <rFont val="WenQuanYi Zen Hei"/>
        <family val="2"/>
      </rPr>
      <t xml:space="preserve">研削／切割需求（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WenQuanYi Zen Hei"/>
        <family val="2"/>
      </rPr>
      <t xml:space="preserve">，情境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WenQuanYi Zen Hei"/>
        <family val="2"/>
      </rPr>
      <t xml:space="preserve">各一列；唯讀）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</si>
  <si>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</si>
  <si>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</si>
  <si>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</si>
  <si>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</si>
  <si>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v0.4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market.py @ 5fa3751</t>
    </r>
    <r>
      <rPr>
        <sz val="11"/>
        <color theme="1"/>
        <rFont val="WenQuanYi Zen Hei"/>
        <family val="2"/>
      </rPr>
      <t xml:space="preserve">）：出貨＝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WenQuanYi Zen Hei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WenQuanYi Zen Hei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</si>
  <si>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</si>
  <si>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</si>
  <si>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</si>
  <si>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</si>
  <si>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</si>
  <si>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</si>
  <si>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</si>
  <si>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</si>
  <si>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</si>
  <si>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</si>
  <si>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</si>
  <si>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</si>
  <si>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</si>
  <si>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</si>
  <si>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</si>
  <si>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</si>
  <si>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</si>
  <si>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</si>
  <si>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</si>
  <si>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</si>
  <si>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</si>
  <si>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</si>
  <si>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</si>
  <si>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</si>
  <si>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</si>
  <si>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</si>
  <si>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</si>
  <si>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</si>
  <si>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</si>
  <si>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</si>
  <si>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</si>
  <si>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</si>
  <si>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</si>
  <si>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／顆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</si>
  <si>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</si>
  <si>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JESD270-4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WenQuanYi Zen Hei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WenQuanYi Zen Hei"/>
        <family val="2"/>
      </rPr>
      <t xml:space="preserve">晶粒（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</t>
    </r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WenQuanYi Zen Hei"/>
        <family val="2"/>
      </rPr>
      <t xml:space="preserve">為主</t>
    </r>
  </si>
  <si>
    <t xml:space="preserve">組合比例未找到；容量愈大，同樣位元需要的晶粒（研削＋切割次數）愈少</t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</si>
  <si>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</si>
  <si>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</si>
  <si>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</si>
  <si>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</si>
  <si>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</si>
  <si>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</si>
  <si>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</si>
  <si>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</si>
  <si>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t xml:space="preserve">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</si>
  <si>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</si>
  <si>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</si>
  <si>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</si>
  <si>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</si>
  <si>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WenQuanYi Zen Hei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8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WenQuanYi Zen Hei"/>
        <family val="2"/>
      </rPr>
      <t xml:space="preserve">層；</t>
    </r>
    <r>
      <rPr>
        <sz val="11"/>
        <color theme="1"/>
        <rFont val="Calibri"/>
        <family val="2"/>
        <charset val="1"/>
      </rPr>
      <t xml:space="preserve">Rubin Ultra 16 </t>
    </r>
    <r>
      <rPr>
        <sz val="11"/>
        <color theme="1"/>
        <rFont val="WenQuanYi Zen Hei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WenQuanYi Zen Hei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WenQuanYi Zen Hei"/>
        <family val="2"/>
      </rPr>
      <t xml:space="preserve">表）</t>
    </r>
  </si>
  <si>
    <r>
      <rPr>
        <sz val="11"/>
        <color theme="1"/>
        <rFont val="WenQuanYi Zen Hei"/>
        <family val="2"/>
      </rPr>
      <t xml:space="preserve">組合比例未找到；每多一層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＝多一顆晶粒要薄化與切割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</si>
  <si>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</si>
  <si>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</si>
  <si>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</si>
  <si>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</si>
  <si>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</si>
  <si>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</si>
  <si>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</si>
  <si>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</si>
  <si>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t xml:space="preserve">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</si>
  <si>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</si>
  <si>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t xml:space="preserve">s_stk</t>
  </si>
  <si>
    <t xml:space="preserve">每個堆疊額外的研削／切割工序（基底晶粒、模封研削、堆疊切割）</t>
  </si>
  <si>
    <t xml:space="preserve">次／堆疊</t>
  </si>
  <si>
    <r>
      <rPr>
        <sz val="11"/>
        <color theme="1"/>
        <rFont val="WenQuanYi Zen Hei"/>
        <family val="2"/>
      </rPr>
      <t xml:space="preserve">公司技術說明會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WenQuanYi Zen Hei"/>
        <family val="2"/>
      </rPr>
      <t xml:space="preserve">）流程圖：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晶粒薄化→切割→</t>
    </r>
    <r>
      <rPr>
        <sz val="11"/>
        <color theme="1"/>
        <rFont val="Calibri"/>
        <family val="2"/>
        <charset val="1"/>
      </rPr>
      <t xml:space="preserve">CoW </t>
    </r>
    <r>
      <rPr>
        <sz val="11"/>
        <color theme="1"/>
        <rFont val="WenQuanYi Zen Hei"/>
        <family val="2"/>
      </rPr>
      <t xml:space="preserve">搭載→研削→切割（無數字）</t>
    </r>
  </si>
  <si>
    <r>
      <rPr>
        <sz val="11"/>
        <color theme="1"/>
        <rFont val="WenQuanYi Zen Hei"/>
        <family val="2"/>
      </rPr>
      <t xml:space="preserve">第二來源：未找到。每堆疊工序＝</t>
    </r>
    <r>
      <rPr>
        <sz val="11"/>
        <color theme="1"/>
        <rFont val="Calibri"/>
        <family val="2"/>
        <charset val="1"/>
      </rPr>
      <t xml:space="preserve">passes </t>
    </r>
    <r>
      <rPr>
        <sz val="11"/>
        <color theme="1"/>
        <rFont val="WenQuanYi Zen Hei"/>
        <family val="2"/>
      </rPr>
      <t xml:space="preserve">＝ 晶粒數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s_stk ÷ </t>
    </r>
    <r>
      <rPr>
        <sz val="11"/>
        <color theme="1"/>
        <rFont val="WenQuanYi Zen Hei"/>
        <family val="2"/>
      </rPr>
      <t xml:space="preserve">層數）</t>
    </r>
  </si>
  <si>
    <t xml:space="preserve">dlt</t>
  </si>
  <si>
    <t xml:space="preserve">已裝機產能每年汰換／升級比例（新機需求＝產能增量＋汰換）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</si>
  <si>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WenQuanYi Zen Hei"/>
        <family val="2"/>
      </rPr>
      <t xml:space="preserve">年</t>
    </r>
  </si>
  <si>
    <t xml:space="preserve">無：公司不揭露裝機量與機齡</t>
  </si>
  <si>
    <r>
      <rPr>
        <sz val="11"/>
        <color theme="1"/>
        <rFont val="WenQuanYi Zen Hei"/>
        <family val="2"/>
      </rPr>
      <t xml:space="preserve">與校準係數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WenQuanYi Zen Hei"/>
        <family val="2"/>
      </rPr>
      <t xml:space="preserve">一起只能識別乘積的形狀；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</si>
  <si>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</si>
  <si>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WenQuanYi Zen Hei"/>
        <family val="2"/>
      </rPr>
      <t xml:space="preserve">研削需求（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工序、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片數）年增（市場層只到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</si>
  <si>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；設備在產能需要前一年購入，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WenQuanYi Zen Hei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CY2030–31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</si>
  <si>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先進封裝（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WenQuanYi Zen Hei"/>
        <family val="2"/>
      </rPr>
      <t xml:space="preserve">中介層等）需求：台積電模型 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WenQuanYi Zen Hei"/>
        <family val="2"/>
      </rPr>
      <t xml:space="preserve">需求（唯讀）</t>
    </r>
  </si>
  <si>
    <t xml:space="preserve">cw_25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</si>
  <si>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CY2025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</si>
  <si>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</si>
  <si>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WenQuanYi Zen Hei"/>
        <family val="2"/>
      </rPr>
      <t xml:space="preserve">／半導體產業縱橫（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需求約 </t>
    </r>
    <r>
      <rPr>
        <sz val="11"/>
        <color theme="1"/>
        <rFont val="Calibri"/>
        <family val="2"/>
        <charset val="1"/>
      </rPr>
      <t xml:space="preserve">67 </t>
    </r>
    <r>
      <rPr>
        <sz val="11"/>
        <color theme="1"/>
        <rFont val="WenQuanYi Zen Hei"/>
        <family val="2"/>
      </rPr>
      <t xml:space="preserve">萬片</t>
    </r>
  </si>
  <si>
    <r>
      <rPr>
        <sz val="11"/>
        <color theme="1"/>
        <rFont val="WenQuanYi Zen Hei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2024-10-21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2025-01-02</t>
    </r>
    <r>
      <rPr>
        <sz val="11"/>
        <color theme="1"/>
        <rFont val="WenQuanYi Zen Hei"/>
        <family val="2"/>
      </rPr>
      <t xml:space="preserve">）月產能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3.5–4 </t>
    </r>
    <r>
      <rPr>
        <sz val="11"/>
        <color theme="1"/>
        <rFont val="WenQuanYi Zen Hei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WenQuanYi Zen Hei"/>
        <family val="2"/>
      </rPr>
      <t xml:space="preserve">萬 → 年均約 </t>
    </r>
    <r>
      <rPr>
        <sz val="11"/>
        <color theme="1"/>
        <rFont val="Calibri"/>
        <family val="2"/>
        <charset val="1"/>
      </rPr>
      <t xml:space="preserve">5.5 </t>
    </r>
    <r>
      <rPr>
        <sz val="11"/>
        <color theme="1"/>
        <rFont val="WenQuanYi Zen Hei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12 ≈ 66 </t>
    </r>
    <r>
      <rPr>
        <sz val="11"/>
        <color theme="1"/>
        <rFont val="WenQuanYi Zen Hei"/>
        <family val="2"/>
      </rPr>
      <t xml:space="preserve">萬（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）。低／高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</si>
  <si>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cw_26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</si>
  <si>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WenQuanYi Zen Hei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</si>
  <si>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CoWoS!B13:E13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</si>
  <si>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：加速器顆數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每片封裝數＋其他用途；本模型 </t>
    </r>
    <r>
      <rPr>
        <sz val="11"/>
        <color theme="1"/>
        <rFont val="Calibri"/>
        <family val="2"/>
        <charset val="1"/>
      </rPr>
      <t xml:space="preserve">÷ Morgan Stanley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2026 −21%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2027 −16%</t>
    </r>
    <r>
      <rPr>
        <sz val="11"/>
        <color theme="1"/>
        <rFont val="WenQuanYi Zen Hei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WenQuanYi Zen Hei"/>
        <family val="2"/>
      </rPr>
      <t xml:space="preserve">）</t>
    </r>
  </si>
  <si>
    <t xml:space="preserve">cw_27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</si>
  <si>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WenQuanYi Zen Hei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顆數）</t>
    </r>
  </si>
  <si>
    <t xml:space="preserve">cw_28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</si>
  <si>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WenQuanYi Zen Hei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顆數）</t>
    </r>
  </si>
  <si>
    <t xml:space="preserve">cw_29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</si>
  <si>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WenQuanYi Zen Hei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顆數）</t>
    </r>
  </si>
  <si>
    <t xml:space="preserve">um28_A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</si>
  <si>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</si>
  <si>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markets/memory/market.py SCEN_UNITS</t>
    </r>
    <r>
      <rPr>
        <sz val="11"/>
        <color theme="1"/>
        <rFont val="WenQuanYi Zen Hei"/>
        <family val="2"/>
      </rPr>
      <t xml:space="preserve">（單一來源；台積電、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位元用同一組）</t>
    </r>
  </si>
  <si>
    <r>
      <rPr>
        <sz val="11"/>
        <color theme="1"/>
        <rFont val="WenQuanYi Zen Hei"/>
        <family val="2"/>
      </rPr>
      <t xml:space="preserve">台積電模型的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頁只有情境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以同一係數縮放（含其他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用途，近似）</t>
    </r>
  </si>
  <si>
    <t xml:space="preserve">um29_A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</si>
  <si>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片數同比例）</t>
    </r>
  </si>
  <si>
    <t xml:space="preserve">um28_B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</si>
  <si>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片數同比例）</t>
    </r>
  </si>
  <si>
    <t xml:space="preserve">um29_B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</si>
  <si>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片數同比例）</t>
    </r>
  </si>
  <si>
    <t xml:space="preserve">um28_C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</si>
  <si>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片數同比例）</t>
    </r>
  </si>
  <si>
    <t xml:space="preserve">um29_C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</si>
  <si>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片數同比例）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</si>
  <si>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混合鍵合（</t>
    </r>
    <r>
      <rPr>
        <b val="true"/>
        <sz val="11"/>
        <rFont val="Cambria"/>
        <family val="0"/>
        <charset val="1"/>
      </rPr>
      <t xml:space="preserve">hybrid bonding</t>
    </r>
    <r>
      <rPr>
        <b val="true"/>
        <sz val="11"/>
        <rFont val="WenQuanYi Zen Hei"/>
        <family val="2"/>
      </rPr>
      <t xml:space="preserve">）情境開關</t>
    </r>
  </si>
  <si>
    <t xml:space="preserve">hb_on</t>
  </si>
  <si>
    <r>
      <rPr>
        <sz val="11"/>
        <color theme="1"/>
        <rFont val="WenQuanYi Zen Hei"/>
        <family val="2"/>
      </rPr>
      <t xml:space="preserve">混合鍵合情境開關（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＝納入、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＝不納入）</t>
    </r>
  </si>
  <si>
    <t xml:space="preserve">0/1</t>
  </si>
  <si>
    <r>
      <rPr>
        <sz val="11"/>
        <color theme="1"/>
        <rFont val="WenQuanYi Zen Hei"/>
        <family val="2"/>
      </rPr>
      <t xml:space="preserve">使用者可切換；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列「開關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」</t>
    </r>
  </si>
  <si>
    <t xml:space="preserve">hbp_25</t>
  </si>
  <si>
    <r>
      <rPr>
        <sz val="11"/>
        <color theme="1"/>
        <rFont val="WenQuanYi Zen Hei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</si>
  <si>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WenQuanYi Zen Hei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ZDNet</t>
    </r>
    <r>
      <rPr>
        <sz val="11"/>
        <color theme="1"/>
        <rFont val="WenQuanYi Zen Hei"/>
        <family val="2"/>
      </rPr>
      <t xml:space="preserve">）：尚未用於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量產；三星最早在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WenQuanYi Zen Hei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WenQuanYi Zen Hei"/>
        <family val="2"/>
      </rPr>
      <t xml:space="preserve">部分採用；</t>
    </r>
    <r>
      <rPr>
        <sz val="11"/>
        <color theme="1"/>
        <rFont val="Calibri"/>
        <family val="2"/>
        <charset val="1"/>
      </rPr>
      <t xml:space="preserve">JEDEC </t>
    </r>
    <r>
      <rPr>
        <sz val="11"/>
        <color theme="1"/>
        <rFont val="WenQuanYi Zen Hei"/>
        <family val="2"/>
      </rPr>
      <t xml:space="preserve">討論把高度上限放寬到 </t>
    </r>
    <r>
      <rPr>
        <sz val="11"/>
        <color theme="1"/>
        <rFont val="Calibri"/>
        <family val="2"/>
        <charset val="1"/>
      </rPr>
      <t xml:space="preserve">825–900µm</t>
    </r>
    <r>
      <rPr>
        <sz val="11"/>
        <color theme="1"/>
        <rFont val="WenQuanYi Zen Hei"/>
        <family val="2"/>
      </rPr>
      <t xml:space="preserve">，可能延後混合鍵合</t>
    </r>
  </si>
  <si>
    <r>
      <rPr>
        <sz val="11"/>
        <color theme="1"/>
        <rFont val="WenQuanYi Zen Hei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WenQuanYi Zen Hei"/>
        <family val="2"/>
      </rPr>
      <t xml:space="preserve">）：混合鍵合仍在導入初期</t>
    </r>
  </si>
  <si>
    <t xml:space="preserve">hbp_26</t>
  </si>
  <si>
    <r>
      <rPr>
        <sz val="11"/>
        <color theme="1"/>
        <rFont val="WenQuanYi Zen Hei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2026</t>
    </r>
  </si>
  <si>
    <t xml:space="preserve">hbp_27</t>
  </si>
  <si>
    <r>
      <rPr>
        <sz val="11"/>
        <color theme="1"/>
        <rFont val="WenQuanYi Zen Hei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2027</t>
    </r>
  </si>
  <si>
    <t xml:space="preserve">hbp_28</t>
  </si>
  <si>
    <r>
      <rPr>
        <sz val="11"/>
        <color theme="1"/>
        <rFont val="WenQuanYi Zen Hei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2028</t>
    </r>
  </si>
  <si>
    <t xml:space="preserve">hbp_29</t>
  </si>
  <si>
    <r>
      <rPr>
        <sz val="11"/>
        <color theme="1"/>
        <rFont val="WenQuanYi Zen Hei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2029</t>
    </r>
  </si>
  <si>
    <t xml:space="preserve">hbp_30</t>
  </si>
  <si>
    <r>
      <rPr>
        <sz val="11"/>
        <color theme="1"/>
        <rFont val="WenQuanYi Zen Hei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2030</t>
    </r>
  </si>
  <si>
    <t xml:space="preserve">hb_eff</t>
  </si>
  <si>
    <r>
      <rPr>
        <sz val="11"/>
        <color theme="1"/>
        <rFont val="WenQuanYi Zen Hei"/>
        <family val="2"/>
      </rPr>
      <t xml:space="preserve">混合鍵合對每道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工序裝置支出的淨影響（＋＝增加）</t>
    </r>
  </si>
  <si>
    <r>
      <rPr>
        <sz val="11"/>
        <color theme="1"/>
        <rFont val="WenQuanYi Zen Hei"/>
        <family val="2"/>
      </rPr>
      <t xml:space="preserve">增加的方向：公司已開發混合鍵合專用研削機（超高精度、潔淨、晶圓形狀修正、機內化學清洗；技術說明會 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）；混合鍵合需加做 </t>
    </r>
    <r>
      <rPr>
        <sz val="11"/>
        <color theme="1"/>
        <rFont val="Calibri"/>
        <family val="2"/>
        <charset val="1"/>
      </rPr>
      <t xml:space="preserve">CMP</t>
    </r>
    <r>
      <rPr>
        <sz val="11"/>
        <color theme="1"/>
        <rFont val="WenQuanYi Zen Hei"/>
        <family val="2"/>
      </rPr>
      <t xml:space="preserve">、清洗與檢查（</t>
    </r>
    <r>
      <rPr>
        <sz val="11"/>
        <color theme="1"/>
        <rFont val="Calibri"/>
        <family val="2"/>
        <charset val="1"/>
      </rPr>
      <t xml:space="preserve">Referently 2026-10-06</t>
    </r>
    <r>
      <rPr>
        <sz val="11"/>
        <color theme="1"/>
        <rFont val="WenQuanYi Zen Hei"/>
        <family val="2"/>
      </rPr>
      <t xml:space="preserve">），且需鍵合後研削、露墊、氧化膜研削（公司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</si>
  <si>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減少的方向：</t>
    </r>
    <r>
      <rPr>
        <sz val="11"/>
        <color theme="1"/>
        <rFont val="Calibri"/>
        <family val="2"/>
        <charset val="1"/>
      </rPr>
      <t xml:space="preserve">D2W </t>
    </r>
    <r>
      <rPr>
        <sz val="11"/>
        <color theme="1"/>
        <rFont val="WenQuanYi Zen Hei"/>
        <family val="2"/>
      </rPr>
      <t xml:space="preserve">混合鍵合要求無微粒切割，電漿切割較適合，可能取代部分刀片／雷射切割（</t>
    </r>
    <r>
      <rPr>
        <sz val="11"/>
        <color theme="1"/>
        <rFont val="Calibri"/>
        <family val="2"/>
        <charset val="1"/>
      </rPr>
      <t xml:space="preserve">SPTS </t>
    </r>
    <r>
      <rPr>
        <sz val="11"/>
        <color theme="1"/>
        <rFont val="WenQuanYi Zen Hei"/>
        <family val="2"/>
      </rPr>
      <t xml:space="preserve">撰文，</t>
    </r>
    <r>
      <rPr>
        <sz val="11"/>
        <color theme="1"/>
        <rFont val="Calibri"/>
        <family val="2"/>
        <charset val="1"/>
      </rPr>
      <t xml:space="preserve">3D InCites</t>
    </r>
    <r>
      <rPr>
        <sz val="11"/>
        <color theme="1"/>
        <rFont val="WenQuanYi Zen Hei"/>
        <family val="2"/>
      </rPr>
      <t xml:space="preserve">，競爭對手，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）；去除凸塊與底填可能省部分步驟。本模型假設研削精度升級大於切割被取代：淨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WenQuanYi Zen Hei"/>
        <family val="2"/>
      </rPr>
      <t xml:space="preserve">（低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WenQuanYi Zen Hei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</si>
  <si>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WenQuanYi Zen Hei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後段需求（功率半導體、手機、車用、中國後段）：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WenQuanYi Zen Hei"/>
        <family val="2"/>
      </rPr>
      <t xml:space="preserve">＝公司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前的歷史 </t>
    </r>
    <r>
      <rPr>
        <b val="true"/>
        <sz val="11"/>
        <rFont val="Cambria"/>
        <family val="0"/>
        <charset val="1"/>
      </rPr>
      <t xml:space="preserve">FY2015–FY2022</t>
    </r>
  </si>
  <si>
    <t xml:space="preserve">g_non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</si>
  <si>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裝置營收年增（情境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只在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不同）</t>
    </r>
  </si>
  <si>
    <t xml:space="preserve">Analogy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</si>
  <si>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前歷史（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WenQuanYi Zen Hei"/>
        <family val="2"/>
      </rPr>
      <t xml:space="preserve">頁）：營收 </t>
    </r>
    <r>
      <rPr>
        <sz val="11"/>
        <color theme="1"/>
        <rFont val="Calibri"/>
        <family val="2"/>
        <charset val="1"/>
      </rPr>
      <t xml:space="preserve">FY2015→FY2022 </t>
    </r>
    <r>
      <rPr>
        <sz val="11"/>
        <color theme="1"/>
        <rFont val="WenQuanYi Zen Hei"/>
        <family val="2"/>
      </rPr>
      <t xml:space="preserve">年複合 </t>
    </r>
    <r>
      <rPr>
        <sz val="11"/>
        <color theme="1"/>
        <rFont val="Calibri"/>
        <family val="2"/>
        <charset val="1"/>
      </rPr>
      <t xml:space="preserve">12.1%</t>
    </r>
    <r>
      <rPr>
        <sz val="11"/>
        <color theme="1"/>
        <rFont val="WenQuanYi Zen Hei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2020–21 </t>
    </r>
    <r>
      <rPr>
        <sz val="11"/>
        <color theme="1"/>
        <rFont val="WenQuanYi Zen Hei"/>
        <family val="2"/>
      </rPr>
      <t xml:space="preserve">中國後段與功率熱潮）；</t>
    </r>
    <r>
      <rPr>
        <sz val="11"/>
        <color theme="1"/>
        <rFont val="Calibri"/>
        <family val="2"/>
        <charset val="1"/>
      </rPr>
      <t xml:space="preserve">FY2016→FY2019 1.7%</t>
    </r>
    <r>
      <rPr>
        <sz val="11"/>
        <color theme="1"/>
        <rFont val="WenQuanYi Zen Hei"/>
        <family val="2"/>
      </rPr>
      <t xml:space="preserve">（循環平均）。基準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WenQuanYi Zen Hei"/>
        <family val="2"/>
      </rPr>
      <t xml:space="preserve">＝兩者約中點；低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WenQuanYi Zen Hei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</si>
  <si>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WenQuanYi Zen Hei"/>
        <family val="2"/>
      </rPr>
      <t xml:space="preserve">與現在的差異：</t>
    </r>
    <r>
      <rPr>
        <sz val="11"/>
        <color theme="1"/>
        <rFont val="Calibri"/>
        <family val="2"/>
        <charset val="1"/>
      </rPr>
      <t xml:space="preserve">(1) 2020–22 </t>
    </r>
    <r>
      <rPr>
        <sz val="11"/>
        <color theme="1"/>
        <rFont val="WenQuanYi Zen Hei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WenQuanYi Zen Hei"/>
        <family val="2"/>
      </rPr>
      <t xml:space="preserve">投資高峰；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WenQuanYi Zen Hei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WenQuanYi Zen Hei"/>
        <family val="2"/>
      </rPr>
      <t xml:space="preserve">再度大增、公司質疑可持續多久（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WenQuanYi Zen Hei"/>
        <family val="2"/>
      </rPr>
      <t xml:space="preserve">法說摘要）；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WenQuanYi Zen Hei"/>
        <family val="2"/>
      </rPr>
      <t xml:space="preserve">功率半導體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WenQuanYi Zen Hei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WenQuanYi Zen Hei"/>
        <family val="2"/>
      </rPr>
      <t xml:space="preserve">放緩下滑（公司 </t>
    </r>
    <r>
      <rPr>
        <sz val="11"/>
        <color theme="1"/>
        <rFont val="Calibri"/>
        <family val="2"/>
        <charset val="1"/>
      </rPr>
      <t xml:space="preserve">film/20250417</t>
    </r>
    <r>
      <rPr>
        <sz val="11"/>
        <color theme="1"/>
        <rFont val="WenQuanYi Zen Hei"/>
        <family val="2"/>
      </rPr>
      <t xml:space="preserve">：其他半導體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WenQuanYi Zen Hei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37–48%</t>
    </r>
    <r>
      <rPr>
        <sz val="11"/>
        <color theme="1"/>
        <rFont val="WenQuanYi Zen Hei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WenQuanYi Zen Hei"/>
        <family val="2"/>
      </rPr>
      <t xml:space="preserve">回升，占營收不到一成（法說摘要）；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WenQuanYi Zen Hei"/>
        <family val="2"/>
      </rPr>
      <t xml:space="preserve">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FY2022 </t>
    </r>
    <r>
      <rPr>
        <sz val="11"/>
        <color theme="1"/>
        <rFont val="WenQuanYi Zen Hei"/>
        <family val="2"/>
      </rPr>
      <t xml:space="preserve">起疲弱（公司 </t>
    </r>
    <r>
      <rPr>
        <sz val="11"/>
        <color theme="1"/>
        <rFont val="Calibri"/>
        <family val="2"/>
        <charset val="1"/>
      </rPr>
      <t xml:space="preserve">film/20230420</t>
    </r>
    <r>
      <rPr>
        <sz val="11"/>
        <color theme="1"/>
        <rFont val="WenQuanYi Zen Hei"/>
        <family val="2"/>
      </rPr>
      <t xml:space="preserve">）</t>
    </r>
  </si>
  <si>
    <t xml:space="preserve">g_nonB_28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</si>
  <si>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裝置年增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</si>
  <si>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資本支出消化期，非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也持平</t>
    </r>
  </si>
  <si>
    <t xml:space="preserve">g_nonC_28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</si>
  <si>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裝置年增（循環下行）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</si>
  <si>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FY2018→FY2019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月期）營收 −</t>
    </r>
    <r>
      <rPr>
        <sz val="11"/>
        <color theme="1"/>
        <rFont val="Calibri"/>
        <family val="2"/>
        <charset val="1"/>
      </rPr>
      <t xml:space="preserve">11.9%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WenQuanYi Zen Hei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167.4→147.5</t>
    </r>
    <r>
      <rPr>
        <sz val="11"/>
        <color theme="1"/>
        <rFont val="WenQuanYi Zen Hei"/>
        <family val="2"/>
      </rPr>
      <t xml:space="preserve">），記憶體與中國投資下行</t>
    </r>
  </si>
  <si>
    <r>
      <rPr>
        <sz val="11"/>
        <color theme="1"/>
        <rFont val="WenQuanYi Zen Hei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FY2019→FY2020 −4.3%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147.5→141.1</t>
    </r>
    <r>
      <rPr>
        <sz val="11"/>
        <color theme="1"/>
        <rFont val="WenQuanYi Zen Hei"/>
        <family val="2"/>
      </rPr>
      <t xml:space="preserve">）。差異：當時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尚無貢獻；現在非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裝置占營收約 </t>
    </r>
    <r>
      <rPr>
        <sz val="11"/>
        <color theme="1"/>
        <rFont val="Calibri"/>
        <family val="2"/>
        <charset val="1"/>
      </rPr>
      <t xml:space="preserve">45%</t>
    </r>
  </si>
  <si>
    <t xml:space="preserve">g_tl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</si>
  <si>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消耗品年增（隨稼動率，不隨新機）</t>
    </r>
  </si>
  <si>
    <r>
      <rPr>
        <sz val="11"/>
        <color theme="1"/>
        <rFont val="WenQuanYi Zen Hei"/>
        <family val="2"/>
      </rPr>
      <t xml:space="preserve">公司構成比推得 </t>
    </r>
    <r>
      <rPr>
        <sz val="11"/>
        <color theme="1"/>
        <rFont val="Calibri"/>
        <family val="2"/>
        <charset val="1"/>
      </rPr>
      <t xml:space="preserve">FY2022 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+11%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+13%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+9%</t>
    </r>
    <r>
      <rPr>
        <sz val="11"/>
        <color theme="1"/>
        <rFont val="WenQuanYi Zen Hei"/>
        <family val="2"/>
      </rPr>
      <t xml:space="preserve">（各年說明資料的年增率，含匯率與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</si>
  <si>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基準取 </t>
    </r>
    <r>
      <rPr>
        <sz val="11"/>
        <color theme="1"/>
        <rFont val="Calibri"/>
        <family val="2"/>
        <charset val="1"/>
      </rPr>
      <t xml:space="preserve">0–10% </t>
    </r>
    <r>
      <rPr>
        <sz val="11"/>
        <color theme="1"/>
        <rFont val="WenQuanYi Zen Hei"/>
        <family val="2"/>
      </rPr>
      <t xml:space="preserve">中點；情境 </t>
    </r>
    <r>
      <rPr>
        <sz val="11"/>
        <color theme="1"/>
        <rFont val="Calibri"/>
        <family val="2"/>
        <charset val="1"/>
      </rPr>
      <t xml:space="preserve">C FY2028 </t>
    </r>
    <r>
      <rPr>
        <sz val="11"/>
        <color theme="1"/>
        <rFont val="WenQuanYi Zen Hei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WenQuanYi Zen Hei"/>
        <family val="2"/>
      </rPr>
      <t xml:space="preserve">（下方）</t>
    </r>
  </si>
  <si>
    <t xml:space="preserve">g_tlC_28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</si>
  <si>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消耗品年增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</si>
  <si>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WenQuanYi Zen Hei"/>
        <family val="2"/>
      </rPr>
      <t xml:space="preserve">下行期消耗品出貨仍創新高（</t>
    </r>
    <r>
      <rPr>
        <sz val="11"/>
        <color theme="1"/>
        <rFont val="Calibri"/>
        <family val="2"/>
        <charset val="1"/>
      </rPr>
      <t xml:space="preserve">film/20200423</t>
    </r>
    <r>
      <rPr>
        <sz val="11"/>
        <color theme="1"/>
        <rFont val="WenQuanYi Zen Hei"/>
        <family val="2"/>
      </rPr>
      <t xml:space="preserve">）</t>
    </r>
  </si>
  <si>
    <t xml:space="preserve">w_tlai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</si>
  <si>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消耗品中屬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工序的比例</t>
    </r>
  </si>
  <si>
    <r>
      <rPr>
        <sz val="11"/>
        <color theme="1"/>
        <rFont val="WenQuanYi Zen Hei"/>
        <family val="2"/>
      </rPr>
      <t xml:space="preserve">公司不揭露；基準＝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占裝置營收的比例（約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WenQuanYi Zen Hei"/>
        <family val="2"/>
      </rPr>
      <t xml:space="preserve">）——假設裝機組合等於當年出貨組合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</si>
  <si>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工序量（稼動）而非新機變動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</si>
  <si>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WenQuanYi Zen Hei"/>
        <family val="2"/>
      </rPr>
      <t xml:space="preserve">市占（只用於「市占變化」的情境，校準已含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WenQuanYi Zen Hei"/>
        <family val="2"/>
      </rPr>
      <t xml:space="preserve">水準）</t>
    </r>
  </si>
  <si>
    <t xml:space="preserve">sh</t>
  </si>
  <si>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WenQuanYi Zen Hei"/>
        <family val="2"/>
      </rPr>
      <t xml:space="preserve">研削／切割裝置市占（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</si>
  <si>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60–70%</t>
    </r>
    <r>
      <rPr>
        <sz val="11"/>
        <color theme="1"/>
        <rFont val="WenQuanYi Zen Hei"/>
        <family val="2"/>
      </rPr>
      <t xml:space="preserve">（未引一手調查）</t>
    </r>
  </si>
  <si>
    <r>
      <rPr>
        <sz val="11"/>
        <color theme="1"/>
        <rFont val="WenQuanYi Zen Hei"/>
        <family val="2"/>
      </rPr>
      <t xml:space="preserve">第二來源：現代ビジネス（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WenQuanYi Zen Hei"/>
        <family val="2"/>
      </rPr>
      <t xml:space="preserve">，田宮寬之，東洋經濟）：研削、切割 </t>
    </r>
    <r>
      <rPr>
        <sz val="11"/>
        <color theme="1"/>
        <rFont val="Calibri"/>
        <family val="2"/>
        <charset val="1"/>
      </rPr>
      <t xml:space="preserve">7–8 </t>
    </r>
    <r>
      <rPr>
        <sz val="11"/>
        <color theme="1"/>
        <rFont val="WenQuanYi Zen Hei"/>
        <family val="2"/>
      </rPr>
      <t xml:space="preserve">成（未引出處）；</t>
    </r>
    <r>
      <rPr>
        <sz val="11"/>
        <color theme="1"/>
        <rFont val="Calibri"/>
        <family val="2"/>
        <charset val="1"/>
      </rPr>
      <t xml:space="preserve">Desk Research Design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WenQuanYi Zen Hei"/>
        <family val="2"/>
      </rPr>
      <t xml:space="preserve">。三者都不是一手市場調查</t>
    </r>
  </si>
  <si>
    <t xml:space="preserve">sh_loss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</si>
  <si>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WenQuanYi Zen Hei"/>
        <family val="2"/>
      </rPr>
      <t xml:space="preserve">市占下滑（相對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，線性）</t>
    </r>
  </si>
  <si>
    <t xml:space="preserve">pt</t>
  </si>
  <si>
    <r>
      <rPr>
        <sz val="11"/>
        <color theme="1"/>
        <rFont val="WenQuanYi Zen Hei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列 −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個百分點（東京精密、中國本土廠）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</si>
  <si>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WenQuanYi Zen Hei"/>
        <family val="2"/>
      </rPr>
      <t xml:space="preserve">利潤率（由 </t>
    </r>
    <r>
      <rPr>
        <b val="true"/>
        <sz val="11"/>
        <rFont val="Cambria"/>
        <family val="0"/>
        <charset val="1"/>
      </rPr>
      <t xml:space="preserve">Hist </t>
    </r>
    <r>
      <rPr>
        <b val="true"/>
        <sz val="11"/>
        <rFont val="WenQuanYi Zen Hei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FY2015–FY2025 </t>
    </r>
    <r>
      <rPr>
        <b val="true"/>
        <sz val="11"/>
        <rFont val="WenQuanYi Zen Hei"/>
        <family val="2"/>
      </rPr>
      <t xml:space="preserve">迴歸推得，不寫死）</t>
    </r>
  </si>
  <si>
    <t xml:space="preserve">gm_b</t>
  </si>
  <si>
    <r>
      <rPr>
        <sz val="11"/>
        <color theme="1"/>
        <rFont val="WenQuanYi Zen Hei"/>
        <family val="2"/>
      </rPr>
      <t xml:space="preserve">毛利率斜率（毛利率 ＝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WenQuanYi Zen Hei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</si>
  <si>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WenQuanYi Zen Hei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FY2015–FY2025</t>
    </r>
    <r>
      <rPr>
        <sz val="11"/>
        <color theme="1"/>
        <rFont val="WenQuanYi Zen Hei"/>
        <family val="2"/>
      </rPr>
      <t xml:space="preserve">）最小平方法</t>
    </r>
  </si>
  <si>
    <r>
      <rPr>
        <sz val="11"/>
        <color theme="1"/>
        <rFont val="WenQuanYi Zen Hei"/>
        <family val="2"/>
      </rPr>
      <t xml:space="preserve">規模與產品組合（高附加價值機種）一起推高毛利率；公司 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WenQuanYi Zen Hei"/>
        <family val="2"/>
      </rPr>
      <t xml:space="preserve">說明：主因匯率與高附加價值產品</t>
    </r>
  </si>
  <si>
    <t xml:space="preserve">gm_a</t>
  </si>
  <si>
    <t xml:space="preserve">毛利率截距</t>
  </si>
  <si>
    <t xml:space="preserve">gm_b2</t>
  </si>
  <si>
    <r>
      <rPr>
        <sz val="11"/>
        <color theme="1"/>
        <rFont val="WenQuanYi Zen Hei"/>
        <family val="2"/>
      </rPr>
      <t xml:space="preserve">毛利率斜率（只用 </t>
    </r>
    <r>
      <rPr>
        <sz val="11"/>
        <color theme="1"/>
        <rFont val="Calibri"/>
        <family val="2"/>
        <charset val="1"/>
      </rPr>
      <t xml:space="preserve">FY2019–FY2025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</si>
  <si>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WenQuanYi Zen Hei"/>
        <family val="2"/>
      </rPr>
      <t xml:space="preserve">年</t>
    </r>
  </si>
  <si>
    <t xml:space="preserve">gm_a2</t>
  </si>
  <si>
    <r>
      <rPr>
        <sz val="11"/>
        <color theme="1"/>
        <rFont val="WenQuanYi Zen Hei"/>
        <family val="2"/>
      </rPr>
      <t xml:space="preserve">毛利率截距（</t>
    </r>
    <r>
      <rPr>
        <sz val="11"/>
        <color theme="1"/>
        <rFont val="Calibri"/>
        <family val="2"/>
        <charset val="1"/>
      </rPr>
      <t xml:space="preserve">FY2019–FY2025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用）</t>
    </r>
  </si>
  <si>
    <t xml:space="preserve">gm_adjC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</si>
  <si>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WenQuanYi Zen Hei"/>
        <family val="2"/>
      </rPr>
      <t xml:space="preserve">毛利率額外調整（稼動下滑、價格）</t>
    </r>
  </si>
  <si>
    <t xml:space="preserve">無</t>
  </si>
  <si>
    <t xml:space="preserve">sg_v</t>
  </si>
  <si>
    <r>
      <rPr>
        <sz val="11"/>
        <color theme="1"/>
        <rFont val="WenQuanYi Zen Hei"/>
        <family val="2"/>
      </rPr>
      <t xml:space="preserve">銷管費變動部分（每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日圓營收）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</si>
  <si>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WenQuanYi Zen Hei"/>
        <family val="2"/>
      </rPr>
      <t xml:space="preserve">年：銷管費 ＝ 固定 ＋ 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</si>
  <si>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研發約 </t>
    </r>
    <r>
      <rPr>
        <sz val="11"/>
        <color theme="1"/>
        <rFont val="Calibri"/>
        <family val="2"/>
        <charset val="1"/>
      </rPr>
      <t xml:space="preserve">36.0</t>
    </r>
    <r>
      <rPr>
        <sz val="11"/>
        <color theme="1"/>
        <rFont val="WenQuanYi Zen Hei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月說明）</t>
    </r>
  </si>
  <si>
    <t xml:space="preserve">sg_f</t>
  </si>
  <si>
    <t xml:space="preserve">銷管費固定部分</t>
  </si>
  <si>
    <t xml:space="preserve">etr_25</t>
  </si>
  <si>
    <r>
      <rPr>
        <sz val="11"/>
        <color theme="1"/>
        <rFont val="WenQuanYi Zen Hei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（所得稅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稅前淨利）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</si>
  <si>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WenQuanYi Zen Hei"/>
        <family val="2"/>
      </rPr>
      <t xml:space="preserve">）：所得稅 </t>
    </r>
    <r>
      <rPr>
        <sz val="11"/>
        <color theme="1"/>
        <rFont val="Calibri"/>
        <family val="2"/>
        <charset val="1"/>
      </rPr>
      <t xml:space="preserve">48,207 ÷ </t>
    </r>
    <r>
      <rPr>
        <sz val="11"/>
        <color theme="1"/>
        <rFont val="WenQuanYi Zen Hei"/>
        <family val="2"/>
      </rPr>
      <t xml:space="preserve">稅前淨利 </t>
    </r>
    <r>
      <rPr>
        <sz val="11"/>
        <color theme="1"/>
        <rFont val="Calibri"/>
        <family val="2"/>
        <charset val="1"/>
      </rPr>
      <t xml:space="preserve">183,811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26.2%</t>
    </r>
  </si>
  <si>
    <r>
      <rPr>
        <sz val="11"/>
        <color theme="1"/>
        <rFont val="Calibri"/>
        <family val="2"/>
        <charset val="1"/>
      </rPr>
      <t xml:space="preserve">FY2024 26.2%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44,070 ÷ 168,146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FY2023 26.5%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30,364 ÷ 114,576</t>
    </r>
    <r>
      <rPr>
        <sz val="11"/>
        <color theme="1"/>
        <rFont val="WenQuanYi Zen Hei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fr20250417.pdf</t>
    </r>
    <r>
      <rPr>
        <sz val="11"/>
        <color theme="1"/>
        <rFont val="WenQuanYi Zen Hei"/>
        <family val="2"/>
      </rPr>
      <t xml:space="preserve">）：三年穩定</t>
    </r>
  </si>
  <si>
    <t xml:space="preserve">etr_h1</t>
  </si>
  <si>
    <r>
      <rPr>
        <sz val="11"/>
        <color theme="1"/>
        <rFont val="WenQuanYi Zen Hei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上半（期中）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</si>
  <si>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WenQuanYi Zen Hei"/>
        <family val="2"/>
      </rPr>
      <t xml:space="preserve">）：所得稅 </t>
    </r>
    <r>
      <rPr>
        <sz val="11"/>
        <color theme="1"/>
        <rFont val="Calibri"/>
        <family val="2"/>
        <charset val="1"/>
      </rPr>
      <t xml:space="preserve">33,271 ÷ </t>
    </r>
    <r>
      <rPr>
        <sz val="11"/>
        <color theme="1"/>
        <rFont val="WenQuanYi Zen Hei"/>
        <family val="2"/>
      </rPr>
      <t xml:space="preserve">稅前淨利 </t>
    </r>
    <r>
      <rPr>
        <sz val="11"/>
        <color theme="1"/>
        <rFont val="Calibri"/>
        <family val="2"/>
        <charset val="1"/>
      </rPr>
      <t xml:space="preserve">113,753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29.2%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</si>
  <si>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28.8%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22,606 ÷ 78,571</t>
    </r>
    <r>
      <rPr>
        <sz val="11"/>
        <color theme="1"/>
        <rFont val="WenQuanYi Zen Hei"/>
        <family val="2"/>
      </rPr>
      <t xml:space="preserve">）而全年 </t>
    </r>
    <r>
      <rPr>
        <sz val="11"/>
        <color theme="1"/>
        <rFont val="Calibri"/>
        <family val="2"/>
        <charset val="1"/>
      </rPr>
      <t xml:space="preserve">26.2%</t>
    </r>
    <r>
      <rPr>
        <sz val="11"/>
        <color theme="1"/>
        <rFont val="WenQuanYi Zen Hei"/>
        <family val="2"/>
      </rPr>
      <t xml:space="preserve">：期中稅率歷來高於全年</t>
    </r>
  </si>
  <si>
    <t xml:space="preserve">def_t</t>
  </si>
  <si>
    <r>
      <rPr>
        <sz val="11"/>
        <color theme="1"/>
        <rFont val="WenQuanYi Zen Hei"/>
        <family val="2"/>
      </rPr>
      <t xml:space="preserve">防衛特別法人稅對有效稅率的影響（</t>
    </r>
    <r>
      <rPr>
        <sz val="11"/>
        <color theme="1"/>
        <rFont val="Calibri"/>
        <family val="2"/>
        <charset val="1"/>
      </rPr>
      <t xml:space="preserve">2026-04-01 </t>
    </r>
    <r>
      <rPr>
        <sz val="11"/>
        <color theme="1"/>
        <rFont val="WenQuanYi Zen Hei"/>
        <family val="2"/>
      </rPr>
      <t xml:space="preserve">以後開始的事業年度）</t>
    </r>
  </si>
  <si>
    <r>
      <rPr>
        <sz val="11"/>
        <color theme="1"/>
        <rFont val="WenQuanYi Zen Hei"/>
        <family val="2"/>
      </rPr>
      <t xml:space="preserve">法人稅率 </t>
    </r>
    <r>
      <rPr>
        <sz val="11"/>
        <color theme="1"/>
        <rFont val="Calibri"/>
        <family val="2"/>
        <charset val="1"/>
      </rPr>
      <t xml:space="preserve">23.2% × </t>
    </r>
    <r>
      <rPr>
        <sz val="11"/>
        <color theme="1"/>
        <rFont val="WenQuanYi Zen Hei"/>
        <family val="2"/>
      </rPr>
      <t xml:space="preserve">防衛特別法人稅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WenQuanYi Zen Hei"/>
        <family val="2"/>
      </rPr>
      <t xml:space="preserve">（扣除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WenQuanYi Zen Hei"/>
        <family val="2"/>
      </rPr>
      <t xml:space="preserve">萬日圓基礎扣除額後課徵；適用 </t>
    </r>
    <r>
      <rPr>
        <sz val="11"/>
        <color theme="1"/>
        <rFont val="Calibri"/>
        <family val="2"/>
        <charset val="1"/>
      </rPr>
      <t xml:space="preserve">2026-04-01 </t>
    </r>
    <r>
      <rPr>
        <sz val="11"/>
        <color theme="1"/>
        <rFont val="WenQuanYi Zen Hei"/>
        <family val="2"/>
      </rPr>
      <t xml:space="preserve">以後開始的事業年度）＝ 約 </t>
    </r>
    <r>
      <rPr>
        <sz val="11"/>
        <color theme="1"/>
        <rFont val="Calibri"/>
        <family val="2"/>
        <charset val="1"/>
      </rPr>
      <t xml:space="preserve">+0.9 </t>
    </r>
    <r>
      <rPr>
        <sz val="11"/>
        <color theme="1"/>
        <rFont val="WenQuanYi Zen Hei"/>
        <family val="2"/>
      </rPr>
      <t xml:space="preserve">個百分點</t>
    </r>
  </si>
  <si>
    <r>
      <rPr>
        <sz val="11"/>
        <color theme="1"/>
        <rFont val="WenQuanYi Zen Hei"/>
        <family val="2"/>
      </rPr>
      <t xml:space="preserve">來源：安田會計事務所（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freee </t>
    </r>
    <r>
      <rPr>
        <sz val="11"/>
        <color theme="1"/>
        <rFont val="WenQuanYi Zen Hei"/>
        <family val="2"/>
      </rPr>
      <t xml:space="preserve">法人稅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說明。公司未在短信中說明稅負變化</t>
    </r>
  </si>
  <si>
    <t xml:space="preserve">etr</t>
  </si>
  <si>
    <r>
      <rPr>
        <sz val="11"/>
        <color theme="1"/>
        <rFont val="WenQuanYi Zen Hei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第四季起）</t>
    </r>
  </si>
  <si>
    <r>
      <rPr>
        <sz val="11"/>
        <color theme="1"/>
        <rFont val="WenQuanYi Zen Hei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26.2% </t>
    </r>
    <r>
      <rPr>
        <sz val="11"/>
        <color theme="1"/>
        <rFont val="WenQuanYi Zen Hei"/>
        <family val="2"/>
      </rPr>
      <t xml:space="preserve">＋ 防衛特別法人稅 </t>
    </r>
    <r>
      <rPr>
        <sz val="11"/>
        <color theme="1"/>
        <rFont val="Calibri"/>
        <family val="2"/>
        <charset val="1"/>
      </rPr>
      <t xml:space="preserve">0.9pt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27.1%</t>
    </r>
    <r>
      <rPr>
        <sz val="11"/>
        <color theme="1"/>
        <rFont val="WenQuanYi Zen Hei"/>
        <family val="2"/>
      </rPr>
      <t xml:space="preserve">；低＝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水準；高＝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上半期中稅率 </t>
    </r>
    <r>
      <rPr>
        <sz val="11"/>
        <color theme="1"/>
        <rFont val="Calibri"/>
        <family val="2"/>
        <charset val="1"/>
      </rPr>
      <t xml:space="preserve">29.2%</t>
    </r>
  </si>
  <si>
    <t xml:space="preserve">pbt_oi</t>
  </si>
  <si>
    <r>
      <rPr>
        <sz val="11"/>
        <color theme="1"/>
        <rFont val="WenQuanYi Zen Hei"/>
        <family val="2"/>
      </rPr>
      <t xml:space="preserve">稅前淨利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營業利益（營業外＋特別損益）</t>
    </r>
  </si>
  <si>
    <r>
      <rPr>
        <sz val="11"/>
        <color theme="1"/>
        <rFont val="Calibri"/>
        <family val="2"/>
        <charset val="1"/>
      </rPr>
      <t xml:space="preserve">FY2025 0.994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183,811 ÷ 184,989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FY2024 1.008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0.975</t>
    </r>
    <r>
      <rPr>
        <sz val="11"/>
        <color theme="1"/>
        <rFont val="WenQuanYi Zen Hei"/>
        <family val="2"/>
      </rPr>
      <t xml:space="preserve">（含額外退職金 </t>
    </r>
    <r>
      <rPr>
        <sz val="11"/>
        <color theme="1"/>
        <rFont val="Calibri"/>
        <family val="2"/>
        <charset val="1"/>
      </rPr>
      <t xml:space="preserve">3,101</t>
    </r>
    <r>
      <rPr>
        <sz val="11"/>
        <color theme="1"/>
        <rFont val="WenQuanYi Zen Hei"/>
        <family val="2"/>
      </rPr>
      <t xml:space="preserve">、減損 </t>
    </r>
    <r>
      <rPr>
        <sz val="11"/>
        <color theme="1"/>
        <rFont val="Calibri"/>
        <family val="2"/>
        <charset val="1"/>
      </rPr>
      <t xml:space="preserve">636</t>
    </r>
    <r>
      <rPr>
        <sz val="11"/>
        <color theme="1"/>
        <rFont val="WenQuanYi Zen Hei"/>
        <family val="2"/>
      </rPr>
      <t xml:space="preserve">、匯損 </t>
    </r>
    <r>
      <rPr>
        <sz val="11"/>
        <color theme="1"/>
        <rFont val="Calibri"/>
        <family val="2"/>
        <charset val="1"/>
      </rPr>
      <t xml:space="preserve">486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</si>
  <si>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上半扣除額外退職金與減損後 </t>
    </r>
    <r>
      <rPr>
        <sz val="11"/>
        <color theme="1"/>
        <rFont val="Calibri"/>
        <family val="2"/>
        <charset val="1"/>
      </rPr>
      <t xml:space="preserve">1.006</t>
    </r>
    <r>
      <rPr>
        <sz val="11"/>
        <color theme="1"/>
        <rFont val="WenQuanYi Zen Hei"/>
        <family val="2"/>
      </rPr>
      <t xml:space="preserve">。退職金公司未說明是否一次性；基準 </t>
    </r>
    <r>
      <rPr>
        <sz val="11"/>
        <color theme="1"/>
        <rFont val="Calibri"/>
        <family val="2"/>
        <charset val="1"/>
      </rPr>
      <t xml:space="preserve">0.99</t>
    </r>
    <r>
      <rPr>
        <sz val="11"/>
        <color theme="1"/>
        <rFont val="WenQuanYi Zen Hei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0.97</t>
    </r>
    <r>
      <rPr>
        <sz val="11"/>
        <color theme="1"/>
        <rFont val="WenQuanYi Zen Hei"/>
        <family val="2"/>
      </rPr>
      <t xml:space="preserve">（上半水準）、高 </t>
    </r>
    <r>
      <rPr>
        <sz val="11"/>
        <color theme="1"/>
        <rFont val="Calibri"/>
        <family val="2"/>
        <charset val="1"/>
      </rPr>
      <t xml:space="preserve">1.00</t>
    </r>
  </si>
  <si>
    <t xml:space="preserve">nioi</t>
  </si>
  <si>
    <r>
      <rPr>
        <sz val="11"/>
        <color theme="1"/>
        <rFont val="WenQuanYi Zen Hei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第四季起）</t>
    </r>
  </si>
  <si>
    <r>
      <rPr>
        <sz val="11"/>
        <color theme="1"/>
        <rFont val="WenQuanYi Zen Hei"/>
        <family val="2"/>
      </rPr>
      <t xml:space="preserve">＝（稅前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營業利益）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WenQuanYi Zen Hei"/>
        <family val="2"/>
      </rPr>
      <t xml:space="preserve">有效稅率）；少數股權約 </t>
    </r>
    <r>
      <rPr>
        <sz val="11"/>
        <color theme="1"/>
        <rFont val="Calibri"/>
        <family val="2"/>
        <charset val="1"/>
      </rPr>
      <t xml:space="preserve">0.1B </t>
    </r>
    <r>
      <rPr>
        <sz val="11"/>
        <color theme="1"/>
        <rFont val="WenQuanYi Zen Hei"/>
        <family val="2"/>
      </rPr>
      <t xml:space="preserve">忽略。基準 </t>
    </r>
    <r>
      <rPr>
        <sz val="11"/>
        <color theme="1"/>
        <rFont val="Calibri"/>
        <family val="2"/>
        <charset val="1"/>
      </rPr>
      <t xml:space="preserve">0.722</t>
    </r>
    <r>
      <rPr>
        <sz val="11"/>
        <color theme="1"/>
        <rFont val="WenQuanYi Zen Hei"/>
        <family val="2"/>
      </rPr>
      <t xml:space="preserve">；低 </t>
    </r>
    <r>
      <rPr>
        <sz val="11"/>
        <color theme="1"/>
        <rFont val="Calibri"/>
        <family val="2"/>
        <charset val="1"/>
      </rPr>
      <t xml:space="preserve">0.687</t>
    </r>
    <r>
      <rPr>
        <sz val="11"/>
        <color theme="1"/>
        <rFont val="WenQuanYi Zen Hei"/>
        <family val="2"/>
      </rPr>
      <t xml:space="preserve">（≈ 上半實績 </t>
    </r>
    <r>
      <rPr>
        <sz val="11"/>
        <color theme="1"/>
        <rFont val="Calibri"/>
        <family val="2"/>
        <charset val="1"/>
      </rPr>
      <t xml:space="preserve">0.689</t>
    </r>
    <r>
      <rPr>
        <sz val="11"/>
        <color theme="1"/>
        <rFont val="WenQuanYi Zen Hei"/>
        <family val="2"/>
      </rPr>
      <t xml:space="preserve">）；高 </t>
    </r>
    <r>
      <rPr>
        <sz val="11"/>
        <color theme="1"/>
        <rFont val="Calibri"/>
        <family val="2"/>
        <charset val="1"/>
      </rPr>
      <t xml:space="preserve">0.738</t>
    </r>
    <r>
      <rPr>
        <sz val="11"/>
        <color theme="1"/>
        <rFont val="WenQuanYi Zen Hei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FY2025 0.733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</si>
  <si>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WenQuanYi Zen Hei"/>
        <family val="2"/>
      </rPr>
      <t xml:space="preserve">。上半 </t>
    </r>
    <r>
      <rPr>
        <sz val="11"/>
        <color theme="1"/>
        <rFont val="Calibri"/>
        <family val="2"/>
        <charset val="1"/>
      </rPr>
      <t xml:space="preserve">0.689 </t>
    </r>
    <r>
      <rPr>
        <sz val="11"/>
        <color theme="1"/>
        <rFont val="WenQuanYi Zen Hei"/>
        <family val="2"/>
      </rPr>
      <t xml:space="preserve">低的原因：期中稅率偏高（</t>
    </r>
    <r>
      <rPr>
        <sz val="11"/>
        <color theme="1"/>
        <rFont val="Calibri"/>
        <family val="2"/>
        <charset val="1"/>
      </rPr>
      <t xml:space="preserve">29.2%</t>
    </r>
    <r>
      <rPr>
        <sz val="11"/>
        <color theme="1"/>
        <rFont val="WenQuanYi Zen Hei"/>
        <family val="2"/>
      </rPr>
      <t xml:space="preserve">）、額外退職金 </t>
    </r>
    <r>
      <rPr>
        <sz val="11"/>
        <color theme="1"/>
        <rFont val="Calibri"/>
        <family val="2"/>
        <charset val="1"/>
      </rPr>
      <t xml:space="preserve">3.1B</t>
    </r>
    <r>
      <rPr>
        <sz val="11"/>
        <color theme="1"/>
        <rFont val="WenQuanYi Zen Hei"/>
        <family val="2"/>
      </rPr>
      <t xml:space="preserve">、減損 </t>
    </r>
    <r>
      <rPr>
        <sz val="11"/>
        <color theme="1"/>
        <rFont val="Calibri"/>
        <family val="2"/>
        <charset val="1"/>
      </rPr>
      <t xml:space="preserve">0.6B</t>
    </r>
    <r>
      <rPr>
        <sz val="11"/>
        <color theme="1"/>
        <rFont val="WenQuanYi Zen Hei"/>
        <family val="2"/>
      </rPr>
      <t xml:space="preserve">；扣除後 </t>
    </r>
    <r>
      <rPr>
        <sz val="11"/>
        <color theme="1"/>
        <rFont val="Calibri"/>
        <family val="2"/>
        <charset val="1"/>
      </rPr>
      <t xml:space="preserve">0.712</t>
    </r>
    <r>
      <rPr>
        <sz val="11"/>
        <color theme="1"/>
        <rFont val="WenQuanYi Zen Hei"/>
        <family val="2"/>
      </rPr>
      <t xml:space="preserve">。公司第三季指引隱含 </t>
    </r>
    <r>
      <rPr>
        <sz val="11"/>
        <color theme="1"/>
        <rFont val="Calibri"/>
        <family val="2"/>
        <charset val="1"/>
      </rPr>
      <t xml:space="preserve">0.714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41.5 ÷ 58.1</t>
    </r>
    <r>
      <rPr>
        <sz val="11"/>
        <color theme="1"/>
        <rFont val="WenQuanYi Zen Hei"/>
        <family val="2"/>
      </rPr>
      <t xml:space="preserve">）</t>
    </r>
  </si>
  <si>
    <t xml:space="preserve">nioi_v01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</si>
  <si>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的淨利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營業利益（只用於「驅動推導」對照列）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</si>
  <si>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0.733</t>
    </r>
  </si>
  <si>
    <t xml:space="preserve">shares</t>
  </si>
  <si>
    <t xml:space="preserve">加權平均股數</t>
  </si>
  <si>
    <t xml:space="preserve">百萬股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</si>
  <si>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WenQuanYi Zen Hei"/>
        <family val="2"/>
      </rPr>
      <t xml:space="preserve">）：上半期平均 </t>
    </r>
    <r>
      <rPr>
        <sz val="11"/>
        <color theme="1"/>
        <rFont val="Calibri"/>
        <family val="2"/>
        <charset val="1"/>
      </rPr>
      <t xml:space="preserve">108,480,881 </t>
    </r>
    <r>
      <rPr>
        <sz val="11"/>
        <color theme="1"/>
        <rFont val="WenQuanYi Zen Hei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</si>
  <si>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108,431,323</t>
    </r>
    <r>
      <rPr>
        <sz val="11"/>
        <color theme="1"/>
        <rFont val="WenQuanYi Zen Hei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WenQuanYi Zen Hei"/>
        <family val="2"/>
      </rPr>
      <t xml:space="preserve">））；庫藏股 </t>
    </r>
    <r>
      <rPr>
        <sz val="11"/>
        <color theme="1"/>
        <rFont val="Calibri"/>
        <family val="2"/>
        <charset val="1"/>
      </rPr>
      <t xml:space="preserve">16,004</t>
    </r>
  </si>
  <si>
    <r>
      <rPr>
        <b val="true"/>
        <sz val="11"/>
        <rFont val="Cambria"/>
        <family val="0"/>
        <charset val="1"/>
      </rPr>
      <t xml:space="preserve">I. FY2026 </t>
    </r>
    <r>
      <rPr>
        <b val="true"/>
        <sz val="11"/>
        <rFont val="WenQuanYi Zen Hei"/>
        <family val="2"/>
      </rPr>
      <t xml:space="preserve">實績、公司指引（只給下一季）與對帳參考</t>
    </r>
  </si>
  <si>
    <t xml:space="preserve">q26h1_rev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</si>
  <si>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上半營收（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WenQuanYi Zen Hei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</si>
  <si>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257,058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+32.1%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</si>
  <si>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257,058</t>
    </r>
  </si>
  <si>
    <t xml:space="preserve">q26h1_oi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</si>
  <si>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上半營業利益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</si>
  <si>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116,639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+47.9%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</si>
  <si>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WenQuanYi Zen Hei"/>
        <family val="2"/>
      </rPr>
      <t xml:space="preserve">）</t>
    </r>
  </si>
  <si>
    <t xml:space="preserve">q26h1_ni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</si>
  <si>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上半淨利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</si>
  <si>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80,366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+43.7%</t>
    </r>
    <r>
      <rPr>
        <sz val="11"/>
        <color theme="1"/>
        <rFont val="WenQuanYi Zen Hei"/>
        <family val="2"/>
      </rPr>
      <t xml:space="preserve">）</t>
    </r>
  </si>
  <si>
    <t xml:space="preserve">q26h1_eps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</si>
  <si>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（基本）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</si>
  <si>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740.84</t>
    </r>
  </si>
  <si>
    <t xml:space="preserve">q26h1_gp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</si>
  <si>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上半毛利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</si>
  <si>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183,917</t>
    </r>
    <r>
      <rPr>
        <sz val="11"/>
        <color theme="1"/>
        <rFont val="WenQuanYi Zen Hei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71.5%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</si>
  <si>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WenQuanYi Zen Hei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183.9</t>
    </r>
  </si>
  <si>
    <t xml:space="preserve">g9_rev</t>
  </si>
  <si>
    <r>
      <rPr>
        <sz val="11"/>
        <color theme="1"/>
        <rFont val="WenQuanYi Zen Hei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前三季累計營收（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WenQuanYi Zen Hei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</si>
  <si>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WenQuanYi Zen Hei"/>
        <family val="2"/>
      </rPr>
      <t xml:space="preserve">個月累計預測 </t>
    </r>
    <r>
      <rPr>
        <sz val="11"/>
        <color theme="1"/>
        <rFont val="Calibri"/>
        <family val="2"/>
        <charset val="1"/>
      </rPr>
      <t xml:space="preserve">389,500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+28.2%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</si>
  <si>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WenQuanYi Zen Hei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）同值；公司只給下一季指引</t>
    </r>
  </si>
  <si>
    <t xml:space="preserve">g9_oi</t>
  </si>
  <si>
    <t xml:space="preserve">公司指引：前三季累計營業利益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</si>
  <si>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174,700</t>
    </r>
  </si>
  <si>
    <t xml:space="preserve">g9_ni</t>
  </si>
  <si>
    <t xml:space="preserve">公司指引：前三季累計淨利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</si>
  <si>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121,900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1,123.43</t>
    </r>
  </si>
  <si>
    <t xml:space="preserve">g3_rev</t>
  </si>
  <si>
    <r>
      <rPr>
        <sz val="11"/>
        <color theme="1"/>
        <rFont val="WenQuanYi Zen Hei"/>
        <family val="2"/>
      </rPr>
      <t xml:space="preserve">公司指引：第三季（</t>
    </r>
    <r>
      <rPr>
        <sz val="11"/>
        <color theme="1"/>
        <rFont val="Calibri"/>
        <family val="2"/>
        <charset val="1"/>
      </rPr>
      <t xml:space="preserve">10–12 </t>
    </r>
    <r>
      <rPr>
        <sz val="11"/>
        <color theme="1"/>
        <rFont val="WenQuanYi Zen Hei"/>
        <family val="2"/>
      </rPr>
      <t xml:space="preserve">月）營收</t>
    </r>
  </si>
  <si>
    <r>
      <rPr>
        <sz val="11"/>
        <color theme="1"/>
        <rFont val="WenQuanYi Zen Hei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389.5 − </t>
    </r>
    <r>
      <rPr>
        <sz val="11"/>
        <color theme="1"/>
        <rFont val="WenQuanYi Zen Hei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257.1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132.4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</si>
  <si>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WenQuanYi Zen Hei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WenQuanYi Zen Hei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132.4</t>
    </r>
    <r>
      <rPr>
        <sz val="11"/>
        <color theme="1"/>
        <rFont val="WenQuanYi Zen Hei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58.1</t>
    </r>
    <r>
      <rPr>
        <sz val="11"/>
        <color theme="1"/>
        <rFont val="WenQuanYi Zen Hei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41.5</t>
    </r>
    <r>
      <rPr>
        <sz val="11"/>
        <color theme="1"/>
        <rFont val="WenQuanYi Zen Hei"/>
        <family val="2"/>
      </rPr>
      <t xml:space="preserve">、出貨 </t>
    </r>
    <r>
      <rPr>
        <sz val="11"/>
        <color theme="1"/>
        <rFont val="Calibri"/>
        <family val="2"/>
        <charset val="1"/>
      </rPr>
      <t xml:space="preserve">149.6</t>
    </r>
    <r>
      <rPr>
        <sz val="11"/>
        <color theme="1"/>
        <rFont val="WenQuanYi Zen Hei"/>
        <family val="2"/>
      </rPr>
      <t xml:space="preserve">；匯率 </t>
    </r>
    <r>
      <rPr>
        <sz val="11"/>
        <color theme="1"/>
        <rFont val="Calibri"/>
        <family val="2"/>
        <charset val="1"/>
      </rPr>
      <t xml:space="preserve">¥151</t>
    </r>
  </si>
  <si>
    <t xml:space="preserve">g3_oi</t>
  </si>
  <si>
    <t xml:space="preserve">公司指引：第三季營業利益</t>
  </si>
  <si>
    <r>
      <rPr>
        <sz val="11"/>
        <color theme="1"/>
        <rFont val="Calibri"/>
        <family val="2"/>
        <charset val="1"/>
      </rPr>
      <t xml:space="preserve">174.7 − 116.6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58.1</t>
    </r>
  </si>
  <si>
    <t xml:space="preserve">g3_ni</t>
  </si>
  <si>
    <t xml:space="preserve">公司指引：第三季淨利</t>
  </si>
  <si>
    <r>
      <rPr>
        <sz val="11"/>
        <color theme="1"/>
        <rFont val="Calibri"/>
        <family val="2"/>
        <charset val="1"/>
      </rPr>
      <t xml:space="preserve">121.9 − 80.4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41.5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</si>
  <si>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WenQuanYi Zen Hei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41.5</t>
    </r>
  </si>
  <si>
    <t xml:space="preserve">q26h1_sga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</si>
  <si>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上半銷管費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</si>
  <si>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67,277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</si>
  <si>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WenQuanYi Zen Hei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67.3</t>
    </r>
  </si>
  <si>
    <t xml:space="preserve">gm_q3</t>
  </si>
  <si>
    <r>
      <rPr>
        <sz val="11"/>
        <color theme="1"/>
        <rFont val="WenQuanYi Zen Hei"/>
        <family val="2"/>
      </rPr>
      <t xml:space="preserve">第三季毛利率（公司說法：比第二季 </t>
    </r>
    <r>
      <rPr>
        <sz val="11"/>
        <color theme="1"/>
        <rFont val="Calibri"/>
        <family val="2"/>
        <charset val="1"/>
      </rPr>
      <t xml:space="preserve">71.7% </t>
    </r>
    <r>
      <rPr>
        <sz val="11"/>
        <color theme="1"/>
        <rFont val="WenQuanYi Zen Hei"/>
        <family val="2"/>
      </rPr>
      <t xml:space="preserve">低不到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個百分點）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</si>
  <si>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FY26 2Q </t>
    </r>
    <r>
      <rPr>
        <sz val="11"/>
        <color theme="1"/>
        <rFont val="WenQuanYi Zen Hei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WenQuanYi Zen Hei"/>
        <family val="2"/>
      </rPr>
      <t xml:space="preserve">摘要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點來自匯率、不到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點來自其他</t>
    </r>
  </si>
  <si>
    <r>
      <rPr>
        <sz val="11"/>
        <color theme="1"/>
        <rFont val="WenQuanYi Zen Hei"/>
        <family val="2"/>
      </rPr>
      <t xml:space="preserve">第二季 </t>
    </r>
    <r>
      <rPr>
        <sz val="11"/>
        <color theme="1"/>
        <rFont val="Calibri"/>
        <family val="2"/>
        <charset val="1"/>
      </rPr>
      <t xml:space="preserve">71.7%</t>
    </r>
    <r>
      <rPr>
        <sz val="11"/>
        <color theme="1"/>
        <rFont val="WenQuanYi Zen Hei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WenQuanYi Zen Hei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WenQuanYi Zen Hei"/>
        <family val="2"/>
      </rPr>
      <t xml:space="preserve">）。第四季毛利率假設同第三季（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</si>
  <si>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t xml:space="preserve">q2_sga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</si>
  <si>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第二季銷管費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</si>
  <si>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WenQuanYi Zen Hei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34.8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32.5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</si>
  <si>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公司：第三季銷管費大致持平（法說摘要，</t>
    </r>
    <r>
      <rPr>
        <sz val="11"/>
        <color theme="1"/>
        <rFont val="Calibri"/>
        <family val="2"/>
        <charset val="1"/>
      </rPr>
      <t xml:space="preserve">BigGo 2026-10-22</t>
    </r>
    <r>
      <rPr>
        <sz val="11"/>
        <color theme="1"/>
        <rFont val="WenQuanYi Zen Hei"/>
        <family val="2"/>
      </rPr>
      <t xml:space="preserve">）</t>
    </r>
  </si>
  <si>
    <t xml:space="preserve">g_q4</t>
  </si>
  <si>
    <r>
      <rPr>
        <sz val="11"/>
        <color theme="1"/>
        <rFont val="WenQuanYi Zen Hei"/>
        <family val="2"/>
      </rPr>
      <t xml:space="preserve">第四季營收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第三季營收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錨點）</t>
    </r>
  </si>
  <si>
    <r>
      <rPr>
        <sz val="11"/>
        <color theme="1"/>
        <rFont val="WenQuanYi Zen Hei"/>
        <family val="2"/>
      </rPr>
      <t xml:space="preserve">公司過去三年第四季對第三季：</t>
    </r>
    <r>
      <rPr>
        <sz val="11"/>
        <color theme="1"/>
        <rFont val="Calibri"/>
        <family val="2"/>
        <charset val="1"/>
      </rPr>
      <t xml:space="preserve">FY2023 +35.5%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+29.0%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+21.7%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頁，由公司累計數推得，驗收集中在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月）</t>
    </r>
  </si>
  <si>
    <r>
      <rPr>
        <sz val="11"/>
        <color theme="1"/>
        <rFont val="WenQuanYi Zen Hei"/>
        <family val="2"/>
      </rPr>
      <t xml:space="preserve">打折的理由（公司說法）：第三季出貨僅比第二季 </t>
    </r>
    <r>
      <rPr>
        <sz val="11"/>
        <color theme="1"/>
        <rFont val="Calibri"/>
        <family val="2"/>
        <charset val="1"/>
      </rPr>
      <t xml:space="preserve">+1%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暫歇、記憶體占比由近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WenQuanYi Zen Hei"/>
        <family val="2"/>
      </rPr>
      <t xml:space="preserve">降到約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WenQuanYi Zen Hei"/>
        <family val="2"/>
      </rPr>
      <t xml:space="preserve">、第三季營收比第二季 −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WenQuanYi Zen Hei"/>
        <family val="2"/>
      </rPr>
      <t xml:space="preserve">。基準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WenQuanYi Zen Hei"/>
        <family val="2"/>
      </rPr>
      <t xml:space="preserve">（約三年最低值的一半）；低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WenQuanYi Zen Hei"/>
        <family val="2"/>
      </rPr>
      <t xml:space="preserve">（持平，即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對帳的假設）；高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實績）</t>
    </r>
  </si>
  <si>
    <t xml:space="preserve">m_q4</t>
  </si>
  <si>
    <r>
      <rPr>
        <sz val="11"/>
        <color theme="1"/>
        <rFont val="WenQuanYi Zen Hei"/>
        <family val="2"/>
      </rPr>
      <t xml:space="preserve">第四季營業利益率（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錨點）</t>
    </r>
  </si>
  <si>
    <r>
      <rPr>
        <sz val="11"/>
        <color theme="1"/>
        <rFont val="WenQuanYi Zen Hei"/>
        <family val="2"/>
      </rPr>
      <t xml:space="preserve">基準＝第三季指引 </t>
    </r>
    <r>
      <rPr>
        <sz val="11"/>
        <color theme="1"/>
        <rFont val="Calibri"/>
        <family val="2"/>
        <charset val="1"/>
      </rPr>
      <t xml:space="preserve">43.9%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± 2 </t>
    </r>
    <r>
      <rPr>
        <sz val="11"/>
        <color theme="1"/>
        <rFont val="WenQuanYi Zen Hei"/>
        <family val="2"/>
      </rPr>
      <t xml:space="preserve">個百分點</t>
    </r>
  </si>
  <si>
    <r>
      <rPr>
        <sz val="11"/>
        <color theme="1"/>
        <rFont val="WenQuanYi Zen Hei"/>
        <family val="2"/>
      </rPr>
      <t xml:space="preserve">公司過去三年第四季營益率都高於第三季（</t>
    </r>
    <r>
      <rPr>
        <sz val="11"/>
        <color theme="1"/>
        <rFont val="Calibri"/>
        <family val="2"/>
        <charset val="1"/>
      </rPr>
      <t xml:space="preserve">+0.9 </t>
    </r>
    <r>
      <rPr>
        <sz val="11"/>
        <color theme="1"/>
        <rFont val="WenQuanYi Zen Hei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+4.8 </t>
    </r>
    <r>
      <rPr>
        <sz val="11"/>
        <color theme="1"/>
        <rFont val="WenQuanYi Zen Hei"/>
        <family val="2"/>
      </rPr>
      <t xml:space="preserve">個百分點，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頁）；基準不加季節性</t>
    </r>
  </si>
  <si>
    <t xml:space="preserve">anc_carry</t>
  </si>
  <si>
    <r>
      <rPr>
        <sz val="11"/>
        <color theme="1"/>
        <rFont val="WenQuanYi Zen Hei"/>
        <family val="2"/>
      </rPr>
      <t xml:space="preserve">錨點差額延續到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以後的非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＝延續、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＝不延續）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</si>
  <si>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錨點營收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驅動推導營收 的差額，平均分到各組成；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起回到驅動推導（不延續），非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兩項以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錨定水準為基期繼續成長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</si>
  <si>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列「不延續」</t>
    </r>
  </si>
  <si>
    <t xml:space="preserve">cons_rev26</t>
  </si>
  <si>
    <r>
      <rPr>
        <sz val="11"/>
        <color theme="1"/>
        <rFont val="WenQuanYi Zen Hei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</si>
  <si>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WenQuanYi Zen Hei"/>
        <family val="2"/>
      </rPr>
      <t xml:space="preserve">位分析師平均；低／高＝區間）</t>
    </r>
  </si>
  <si>
    <r>
      <rPr>
        <sz val="11"/>
        <color theme="1"/>
        <rFont val="WenQuanYi Zen Hei"/>
        <family val="2"/>
      </rPr>
      <t xml:space="preserve">第二來源：樂天證券 今中能夫 </t>
    </r>
    <r>
      <rPr>
        <sz val="11"/>
        <color theme="1"/>
        <rFont val="Calibri"/>
        <family val="2"/>
        <charset val="1"/>
      </rPr>
      <t xml:space="preserve">2026-04-27 </t>
    </r>
    <r>
      <rPr>
        <sz val="11"/>
        <color theme="1"/>
        <rFont val="WenQuanYi Zen Hei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550</t>
    </r>
    <r>
      <rPr>
        <sz val="11"/>
        <color theme="1"/>
        <rFont val="WenQuanYi Zen Hei"/>
        <family val="2"/>
      </rPr>
      <t xml:space="preserve">（營業利益 </t>
    </r>
    <r>
      <rPr>
        <sz val="11"/>
        <color theme="1"/>
        <rFont val="Calibri"/>
        <family val="2"/>
        <charset val="1"/>
      </rPr>
      <t xml:space="preserve">240</t>
    </r>
    <r>
      <rPr>
        <sz val="11"/>
        <color theme="1"/>
        <rFont val="WenQuanYi Zen Hei"/>
        <family val="2"/>
      </rPr>
      <t xml:space="preserve">）</t>
    </r>
  </si>
  <si>
    <t xml:space="preserve">cons_oi26</t>
  </si>
  <si>
    <r>
      <rPr>
        <sz val="11"/>
        <color theme="1"/>
        <rFont val="WenQuanYi Zen Hei"/>
        <family val="2"/>
      </rPr>
      <t xml:space="preserve">樂天證券預估營業利益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</si>
  <si>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WenQuanYi Zen Hei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</si>
  <si>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共識營業利益：未找到（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WenQuanYi Zen Hei"/>
        <family val="2"/>
      </rPr>
      <t xml:space="preserve">付費）</t>
    </r>
  </si>
  <si>
    <t xml:space="preserve">cons_rev27</t>
  </si>
  <si>
    <r>
      <rPr>
        <sz val="11"/>
        <color theme="1"/>
        <rFont val="WenQuanYi Zen Hei"/>
        <family val="2"/>
      </rPr>
      <t xml:space="preserve">樂天證券預估營收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月期）</t>
    </r>
  </si>
  <si>
    <r>
      <rPr>
        <sz val="11"/>
        <color theme="1"/>
        <rFont val="WenQuanYi Zen Hei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WenQuanYi Zen Hei"/>
        <family val="2"/>
      </rPr>
      <t xml:space="preserve">）：營收 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WenQuanYi Zen Hei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290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1,962.0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</si>
  <si>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WenQuanYi Zen Hei"/>
        <family val="2"/>
      </rPr>
      <t xml:space="preserve">下一年 </t>
    </r>
    <r>
      <rPr>
        <sz val="11"/>
        <color theme="1"/>
        <rFont val="Calibri"/>
        <family val="2"/>
        <charset val="1"/>
      </rPr>
      <t xml:space="preserve">671.91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WenQuanYi Zen Hei"/>
        <family val="2"/>
      </rPr>
      <t xml:space="preserve">）</t>
    </r>
  </si>
  <si>
    <t xml:space="preserve">pk_A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</si>
  <si>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</si>
  <si>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</si>
  <si>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</si>
  <si>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WenQuanYi Zen Hei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WenQuanYi Zen Hei"/>
        <family val="2"/>
      </rPr>
      <t xml:space="preserve">早於見頂年＝中段、等於＝見頂、晚於＝谷底；設備市場模型的情境係數為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</si>
  <si>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</si>
  <si>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</si>
  <si>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</si>
  <si>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</si>
  <si>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</si>
  <si>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</si>
  <si>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</si>
  <si>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WenQuanYi Zen Hei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WenQuanYi Zen Hei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</si>
  <si>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WenQuanYi Zen Hei"/>
        <family val="2"/>
      </rPr>
      <t xml:space="preserve">ファイナンス 時系列（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WenQuanYi Zen Hei"/>
        <family val="2"/>
      </rPr>
      <t xml:space="preserve">終值 </t>
    </r>
    <r>
      <rPr>
        <sz val="11"/>
        <color theme="1"/>
        <rFont val="Calibri"/>
        <family val="2"/>
        <charset val="1"/>
      </rPr>
      <t xml:space="preserve">51,230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</si>
  <si>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松井證券（</t>
    </r>
    <r>
      <rPr>
        <sz val="11"/>
        <color theme="1"/>
        <rFont val="Calibri"/>
        <family val="2"/>
        <charset val="1"/>
      </rPr>
      <t xml:space="preserve">2026/10/22 15:30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51,230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WenQuanYi Zen Hei"/>
        <family val="2"/>
      </rPr>
      <t xml:space="preserve">同值</t>
    </r>
  </si>
  <si>
    <t xml:space="preserve">sa_fpe</t>
  </si>
  <si>
    <r>
      <rPr>
        <sz val="11"/>
        <color theme="1"/>
        <rFont val="WenQuanYi Zen Hei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</si>
  <si>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WenQuanYi Zen Hei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53,570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年度未標明</t>
    </r>
  </si>
  <si>
    <r>
      <rPr>
        <sz val="11"/>
        <color theme="1"/>
        <rFont val="WenQuanYi Zen Hei"/>
        <family val="2"/>
      </rPr>
      <t xml:space="preserve">隱含遠期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1,891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</si>
  <si>
    <t xml:space="preserve">sa_ttm</t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</si>
  <si>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</si>
  <si>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EPS 1,340.86</t>
    </r>
    <r>
      <rPr>
        <sz val="11"/>
        <color theme="1"/>
        <rFont val="WenQuanYi Zen Hei"/>
        <family val="2"/>
      </rPr>
      <t xml:space="preserve">，未含 </t>
    </r>
    <r>
      <rPr>
        <sz val="11"/>
        <color theme="1"/>
        <rFont val="Calibri"/>
        <family val="2"/>
        <charset val="1"/>
      </rPr>
      <t xml:space="preserve">FY26 Q2</t>
    </r>
    <r>
      <rPr>
        <sz val="11"/>
        <color theme="1"/>
        <rFont val="WenQuanYi Zen Hei"/>
        <family val="2"/>
      </rPr>
      <t xml:space="preserve">）</t>
    </r>
  </si>
  <si>
    <t xml:space="preserve">semi_pk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</si>
  <si>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WenQuanYi Zen Hei"/>
        <family val="2"/>
      </rPr>
      <t xml:space="preserve">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</si>
  <si>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</si>
  <si>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Mkt!C117:G117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</si>
  <si>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；只作對照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</si>
  <si>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WenQuanYi Zen Hei"/>
        <family val="2"/>
      </rPr>
      <t xml:space="preserve">季度實績（十億日圓；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WenQuanYi Zen Hei"/>
        <family val="2"/>
      </rPr>
      <t xml:space="preserve">月。來源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：公司決算說明資料（</t>
    </r>
    <r>
      <rPr>
        <sz val="11"/>
        <color theme="1"/>
        <rFont val="Calibri"/>
        <family val="2"/>
        <charset val="1"/>
      </rPr>
      <t xml:space="preserve">film/20260422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20261022</t>
    </r>
    <r>
      <rPr>
        <sz val="11"/>
        <color theme="1"/>
        <rFont val="WenQuanYi Zen Hei"/>
        <family val="2"/>
      </rPr>
      <t xml:space="preserve">）與決算短信；來源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：松井證券季度表（百萬日圓）</t>
    </r>
  </si>
  <si>
    <t xml:space="preserve">FY25 Q1</t>
  </si>
  <si>
    <t xml:space="preserve">FY25 Q2</t>
  </si>
  <si>
    <t xml:space="preserve">FY25 Q3</t>
  </si>
  <si>
    <t xml:space="preserve">FY25 Q4</t>
  </si>
  <si>
    <t xml:space="preserve">FY2025</t>
  </si>
  <si>
    <t xml:space="preserve">FY26 Q1</t>
  </si>
  <si>
    <t xml:space="preserve">FY26 Q2</t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</si>
  <si>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WenQuanYi Zen Hei"/>
        <family val="2"/>
      </rPr>
      <t xml:space="preserve">（公司指引）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</si>
  <si>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</si>
  <si>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（指引）</t>
    </r>
  </si>
  <si>
    <r>
      <rPr>
        <sz val="11"/>
        <color theme="1"/>
        <rFont val="WenQuanYi Zen Hei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89.9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104.6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109.3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133.1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FY26 114.3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142.8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132.4</t>
    </r>
  </si>
  <si>
    <r>
      <rPr>
        <sz val="11"/>
        <color theme="1"/>
        <rFont val="WenQuanYi Zen Hei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104,623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109,291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133,061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FY26 114,308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142,750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FY25 </t>
    </r>
    <r>
      <rPr>
        <sz val="11"/>
        <color theme="1"/>
        <rFont val="WenQuanYi Zen Hei"/>
        <family val="2"/>
      </rPr>
      <t xml:space="preserve">由全年減其他三季）</t>
    </r>
  </si>
  <si>
    <t xml:space="preserve">營業利益</t>
  </si>
  <si>
    <r>
      <rPr>
        <sz val="11"/>
        <color theme="1"/>
        <rFont val="WenQuanYi Zen Hei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34.5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44.4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47.3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58.8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49.0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67.6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58.1</t>
    </r>
  </si>
  <si>
    <r>
      <rPr>
        <sz val="11"/>
        <color theme="1"/>
        <rFont val="WenQuanYi Zen Hei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44,391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47,341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58,777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49,033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67,606</t>
    </r>
  </si>
  <si>
    <t xml:space="preserve">淨利</t>
  </si>
  <si>
    <r>
      <rPr>
        <sz val="11"/>
        <color theme="1"/>
        <rFont val="WenQuanYi Zen Hei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23.8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32.1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36.7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42.9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34.2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46.1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41.5</t>
    </r>
  </si>
  <si>
    <r>
      <rPr>
        <sz val="11"/>
        <color theme="1"/>
        <rFont val="WenQuanYi Zen Hei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32,146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36,726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42,882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34,221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46,145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</si>
  <si>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（基本）</t>
    </r>
  </si>
  <si>
    <r>
      <rPr>
        <sz val="11"/>
        <color theme="1"/>
        <rFont val="WenQuanYi Zen Hei"/>
        <family val="2"/>
      </rPr>
      <t xml:space="preserve">公司決算短信：</t>
    </r>
    <r>
      <rPr>
        <sz val="11"/>
        <color theme="1"/>
        <rFont val="Calibri"/>
        <family val="2"/>
        <charset val="1"/>
      </rPr>
      <t xml:space="preserve">FY26 Q1 315.51</t>
    </r>
    <r>
      <rPr>
        <sz val="11"/>
        <color theme="1"/>
        <rFont val="WenQuanYi Zen Hei"/>
        <family val="2"/>
      </rPr>
      <t xml:space="preserve">、上半 </t>
    </r>
    <r>
      <rPr>
        <sz val="11"/>
        <color theme="1"/>
        <rFont val="Calibri"/>
        <family val="2"/>
        <charset val="1"/>
      </rPr>
      <t xml:space="preserve">740.84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WenQuanYi Zen Hei"/>
        <family val="2"/>
      </rPr>
      <t xml:space="preserve">個月指引 </t>
    </r>
    <r>
      <rPr>
        <sz val="11"/>
        <color theme="1"/>
        <rFont val="Calibri"/>
        <family val="2"/>
        <charset val="1"/>
      </rPr>
      <t xml:space="preserve">1,123.43</t>
    </r>
  </si>
  <si>
    <r>
      <rPr>
        <sz val="11"/>
        <color theme="1"/>
        <rFont val="WenQuanYi Zen Hei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296.49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338.73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395.48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315.51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425.38</t>
    </r>
  </si>
  <si>
    <t xml:space="preserve">出貨額</t>
  </si>
  <si>
    <t xml:space="preserve">公司說明資料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</si>
  <si>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Q2 148.6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149.6</t>
    </r>
  </si>
  <si>
    <t xml:space="preserve">營業利益率</t>
  </si>
  <si>
    <r>
      <rPr>
        <sz val="11"/>
        <color theme="1"/>
        <rFont val="WenQuanYi Zen Hei"/>
        <family val="2"/>
      </rPr>
      <t xml:space="preserve">毛利率（公司說明資料；</t>
    </r>
    <r>
      <rPr>
        <sz val="11"/>
        <color theme="1"/>
        <rFont val="Calibri"/>
        <family val="2"/>
        <charset val="1"/>
      </rPr>
      <t xml:space="preserve">FY25 Q1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未列單季毛利額）</t>
    </r>
  </si>
  <si>
    <r>
      <rPr>
        <sz val="11"/>
        <color theme="1"/>
        <rFont val="Calibri"/>
        <family val="2"/>
        <charset val="1"/>
      </rPr>
      <t xml:space="preserve">FY25 Q3 71.4%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WenQuanYi Zen Hei"/>
        <family val="2"/>
      </rPr>
      <t xml:space="preserve">資料的前季對照）；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WenQuanYi Zen Hei"/>
        <family val="2"/>
      </rPr>
      <t xml:space="preserve">指引：比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低約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個百分點（法說摘要）</t>
    </r>
  </si>
  <si>
    <r>
      <rPr>
        <sz val="11"/>
        <color theme="1"/>
        <rFont val="WenQuanYi Zen Hei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上半（</t>
    </r>
    <r>
      <rPr>
        <sz val="11"/>
        <color theme="1"/>
        <rFont val="Calibri"/>
        <family val="2"/>
        <charset val="1"/>
      </rPr>
      <t xml:space="preserve">G+H</t>
    </r>
    <r>
      <rPr>
        <sz val="11"/>
        <color theme="1"/>
        <rFont val="WenQuanYi Zen Hei"/>
        <family val="2"/>
      </rPr>
      <t xml:space="preserve">）− 決算短信上半（營收、營業利益、淨利；應約為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</si>
  <si>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t xml:space="preserve">製品別構成比（公司說明資料；出貨或營收基準，百分比取整）</t>
  </si>
  <si>
    <t xml:space="preserve">製品</t>
  </si>
  <si>
    <t xml:space="preserve">FY2023</t>
  </si>
  <si>
    <t xml:space="preserve">FY2024</t>
  </si>
  <si>
    <t xml:space="preserve">來源</t>
  </si>
  <si>
    <t xml:space="preserve">精密加工裝置</t>
  </si>
  <si>
    <r>
      <rPr>
        <sz val="11"/>
        <color theme="1"/>
        <rFont val="Calibri"/>
        <family val="2"/>
        <charset val="1"/>
      </rPr>
      <t xml:space="preserve">film/20240425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20250417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20260422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20261022</t>
    </r>
  </si>
  <si>
    <t xml:space="preserve">　ダイサ</t>
  </si>
  <si>
    <t xml:space="preserve">　グラインダ</t>
  </si>
  <si>
    <t xml:space="preserve">精密加工ツール（消耗品）</t>
  </si>
  <si>
    <t xml:space="preserve">その他</t>
  </si>
  <si>
    <r>
      <rPr>
        <sz val="11"/>
        <color theme="1"/>
        <rFont val="WenQuanYi Zen Hei"/>
        <family val="2"/>
      </rPr>
      <t xml:space="preserve">公司揭露的季度結構（法說摘要，</t>
    </r>
    <r>
      <rPr>
        <sz val="11"/>
        <color theme="1"/>
        <rFont val="Calibri"/>
        <family val="2"/>
        <charset val="1"/>
      </rPr>
      <t xml:space="preserve">BigGo 2026-07-23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）：記憶體占營收 </t>
    </r>
    <r>
      <rPr>
        <sz val="11"/>
        <color theme="1"/>
        <rFont val="Calibri"/>
        <family val="2"/>
        <charset val="1"/>
      </rPr>
      <t xml:space="preserve">FY26 Q1 35%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略低於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預估約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WenQuanYi Zen Hei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FY26 Q1 35%</t>
    </r>
    <r>
      <rPr>
        <sz val="11"/>
        <color theme="1"/>
        <rFont val="WenQuanYi Zen Hei"/>
        <family val="2"/>
      </rPr>
      <t xml:space="preserve">；功率半導體不到一成；</t>
    </r>
    <r>
      <rPr>
        <sz val="11"/>
        <color theme="1"/>
        <rFont val="Calibri"/>
        <family val="2"/>
        <charset val="1"/>
      </rPr>
      <t xml:space="preserve">FY26 Q2 </t>
    </r>
    <r>
      <rPr>
        <sz val="11"/>
        <color theme="1"/>
        <rFont val="WenQuanYi Zen Hei"/>
        <family val="2"/>
      </rPr>
      <t xml:space="preserve">切割機用途 </t>
    </r>
    <r>
      <rPr>
        <sz val="11"/>
        <color theme="1"/>
        <rFont val="Calibri"/>
        <family val="2"/>
        <charset val="1"/>
      </rPr>
      <t xml:space="preserve">IC 73%</t>
    </r>
    <r>
      <rPr>
        <sz val="11"/>
        <color theme="1"/>
        <rFont val="WenQuanYi Zen Hei"/>
        <family val="2"/>
      </rPr>
      <t xml:space="preserve">、研削機用途 </t>
    </r>
    <r>
      <rPr>
        <sz val="11"/>
        <color theme="1"/>
        <rFont val="Calibri"/>
        <family val="2"/>
        <charset val="1"/>
      </rPr>
      <t xml:space="preserve">IC 77%</t>
    </r>
  </si>
  <si>
    <r>
      <rPr>
        <sz val="11"/>
        <color theme="1"/>
        <rFont val="Calibri"/>
        <family val="2"/>
        <charset val="1"/>
      </rPr>
      <t xml:space="preserve">Hist — </t>
    </r>
    <r>
      <rPr>
        <sz val="11"/>
        <color theme="1"/>
        <rFont val="WenQuanYi Zen Hei"/>
        <family val="2"/>
      </rPr>
      <t xml:space="preserve">年度實績（十億日圓；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為日圓）。來源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：公司各年決算短信（英文版 </t>
    </r>
    <r>
      <rPr>
        <sz val="11"/>
        <color theme="1"/>
        <rFont val="Calibri"/>
        <family val="2"/>
        <charset val="1"/>
      </rPr>
      <t xml:space="preserve">fr*.pdf</t>
    </r>
    <r>
      <rPr>
        <sz val="11"/>
        <color theme="1"/>
        <rFont val="WenQuanYi Zen Hei"/>
        <family val="2"/>
      </rPr>
      <t xml:space="preserve">，以網頁擷取讀取）；來源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：松井證券（</t>
    </r>
    <r>
      <rPr>
        <sz val="11"/>
        <color theme="1"/>
        <rFont val="Calibri"/>
        <family val="2"/>
        <charset val="1"/>
      </rPr>
      <t xml:space="preserve">FY2021 </t>
    </r>
    <r>
      <rPr>
        <sz val="11"/>
        <color theme="1"/>
        <rFont val="WenQuanYi Zen Hei"/>
        <family val="2"/>
      </rPr>
      <t xml:space="preserve">起）。用途：利潤率迴歸（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WenQuanYi Zen Hei"/>
        <family val="2"/>
      </rPr>
      <t xml:space="preserve">節）、非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成長的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</si>
  <si>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WenQuanYi Zen Hei"/>
        <family val="2"/>
      </rPr>
      <t xml:space="preserve">股票分割：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WenQuanYi Zen Hei"/>
        <family val="2"/>
      </rPr>
      <t xml:space="preserve">一股分三股（公司 </t>
    </r>
    <r>
      <rPr>
        <sz val="11"/>
        <color theme="1"/>
        <rFont val="Calibri"/>
        <family val="2"/>
        <charset val="1"/>
      </rPr>
      <t xml:space="preserve">FY2022 </t>
    </r>
    <r>
      <rPr>
        <sz val="11"/>
        <color theme="1"/>
        <rFont val="WenQuanYi Zen Hei"/>
        <family val="2"/>
      </rPr>
      <t xml:space="preserve">決算短信註記；</t>
    </r>
    <r>
      <rPr>
        <sz val="11"/>
        <color theme="1"/>
        <rFont val="Calibri"/>
        <family val="2"/>
        <charset val="1"/>
      </rPr>
      <t xml:space="preserve">tousaiblog </t>
    </r>
    <r>
      <rPr>
        <sz val="11"/>
        <color theme="1"/>
        <rFont val="WenQuanYi Zen Hei"/>
        <family val="2"/>
      </rPr>
      <t xml:space="preserve">第二來源）。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月期）起的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已在公司文件中依分割調整；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WenQuanYi Zen Hei"/>
        <family val="2"/>
      </rPr>
      <t xml:space="preserve">以前除以 </t>
    </r>
    <r>
      <rPr>
        <sz val="11"/>
        <color theme="1"/>
        <rFont val="Calibri"/>
        <family val="2"/>
        <charset val="1"/>
      </rPr>
      <t xml:space="preserve">3</t>
    </r>
  </si>
  <si>
    <t xml:space="preserve">會計年度</t>
  </si>
  <si>
    <t xml:space="preserve">毛利</t>
  </si>
  <si>
    <t xml:space="preserve">銷管費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</si>
  <si>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WenQuanYi Zen Hei"/>
        <family val="2"/>
      </rPr>
      <t xml:space="preserve">（公司公布，日圓）</t>
    </r>
  </si>
  <si>
    <t xml:space="preserve">毛利率</t>
  </si>
  <si>
    <r>
      <rPr>
        <b val="true"/>
        <sz val="11"/>
        <rFont val="Cambria"/>
        <family val="0"/>
        <charset val="1"/>
      </rPr>
      <t xml:space="preserve">ln </t>
    </r>
    <r>
      <rPr>
        <b val="true"/>
        <sz val="11"/>
        <rFont val="WenQuanYi Zen Hei"/>
        <family val="2"/>
      </rPr>
      <t xml:space="preserve">營收</t>
    </r>
  </si>
  <si>
    <t xml:space="preserve">分割係數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</si>
  <si>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WenQuanYi Zen Hei"/>
        <family val="2"/>
      </rPr>
      <t xml:space="preserve">（分割調整後）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</si>
  <si>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（公司）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</si>
  <si>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</si>
  <si>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FY2015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2016-03</t>
    </r>
    <r>
      <rPr>
        <sz val="11"/>
        <color theme="1"/>
        <rFont val="WenQuanYi Zen Hei"/>
        <family val="2"/>
      </rPr>
      <t xml:space="preserve">）</t>
    </r>
  </si>
  <si>
    <t xml:space="preserve">fr20170510.pdf</t>
  </si>
  <si>
    <r>
      <rPr>
        <sz val="11"/>
        <color theme="1"/>
        <rFont val="WenQuanYi Zen Hei"/>
        <family val="2"/>
      </rPr>
      <t xml:space="preserve">未找到（松井只到 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</si>
  <si>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2017-03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</si>
  <si>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fr20170510.pdf</t>
    </r>
    <r>
      <rPr>
        <sz val="11"/>
        <color theme="1"/>
        <rFont val="WenQuanYi Zen Hei"/>
        <family val="2"/>
      </rPr>
      <t xml:space="preserve">（說明文字寫 </t>
    </r>
    <r>
      <rPr>
        <sz val="11"/>
        <color theme="1"/>
        <rFont val="Calibri"/>
        <family val="2"/>
        <charset val="1"/>
      </rPr>
      <t xml:space="preserve">134,240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24,230</t>
    </r>
    <r>
      <rPr>
        <sz val="11"/>
        <color theme="1"/>
        <rFont val="WenQuanYi Zen Hei"/>
        <family val="2"/>
      </rPr>
      <t xml:space="preserve">，取財務表數字）</t>
    </r>
  </si>
  <si>
    <t xml:space="preserve">未找到</t>
  </si>
  <si>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2018-03</t>
    </r>
    <r>
      <rPr>
        <sz val="11"/>
        <color theme="1"/>
        <rFont val="WenQuanYi Zen Hei"/>
        <family val="2"/>
      </rPr>
      <t xml:space="preserve">）</t>
    </r>
  </si>
  <si>
    <t xml:space="preserve">fr20190508.pdf</t>
  </si>
  <si>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</si>
  <si>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2020-03</t>
    </r>
    <r>
      <rPr>
        <sz val="11"/>
        <color theme="1"/>
        <rFont val="WenQuanYi Zen Hei"/>
        <family val="2"/>
      </rPr>
      <t xml:space="preserve">）</t>
    </r>
  </si>
  <si>
    <t xml:space="preserve">fr20210422.pdf</t>
  </si>
  <si>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2021-03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</si>
  <si>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fr20210422.pdf</t>
    </r>
    <r>
      <rPr>
        <sz val="11"/>
        <color theme="1"/>
        <rFont val="WenQuanYi Zen Hei"/>
        <family val="2"/>
      </rPr>
      <t xml:space="preserve">（說明文字營業利益 </t>
    </r>
    <r>
      <rPr>
        <sz val="11"/>
        <color theme="1"/>
        <rFont val="Calibri"/>
        <family val="2"/>
        <charset val="1"/>
      </rPr>
      <t xml:space="preserve">53,160</t>
    </r>
    <r>
      <rPr>
        <sz val="11"/>
        <color theme="1"/>
        <rFont val="WenQuanYi Zen Hei"/>
        <family val="2"/>
      </rPr>
      <t xml:space="preserve">，取表內 </t>
    </r>
    <r>
      <rPr>
        <sz val="11"/>
        <color theme="1"/>
        <rFont val="Calibri"/>
        <family val="2"/>
        <charset val="1"/>
      </rPr>
      <t xml:space="preserve">53,106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</si>
  <si>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2022-03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</si>
  <si>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fr20230420.pdf</t>
    </r>
    <r>
      <rPr>
        <sz val="11"/>
        <color theme="1"/>
        <rFont val="WenQuanYi Zen Hei"/>
        <family val="2"/>
      </rPr>
      <t xml:space="preserve">（分割調整後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</si>
  <si>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2023-03</t>
    </r>
    <r>
      <rPr>
        <sz val="11"/>
        <color theme="1"/>
        <rFont val="WenQuanYi Zen Hei"/>
        <family val="2"/>
      </rPr>
      <t xml:space="preserve">）</t>
    </r>
  </si>
  <si>
    <t xml:space="preserve">fr20230420.pdf</t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</si>
  <si>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WenQuanYi Zen Hei"/>
        <family val="2"/>
      </rPr>
      <t xml:space="preserve">）</t>
    </r>
  </si>
  <si>
    <t xml:space="preserve">fr20250417.pdf</t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</si>
  <si>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</si>
  <si>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WenQuanYi Zen Hei"/>
        <family val="2"/>
      </rPr>
      <t xml:space="preserve">）</t>
    </r>
  </si>
  <si>
    <t xml:space="preserve">fr20260422.pdf</t>
  </si>
  <si>
    <r>
      <rPr>
        <sz val="11"/>
        <color theme="1"/>
        <rFont val="WenQuanYi Zen Hei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毛利 − 銷管費 − 營業利益（應為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</si>
  <si>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列 −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a25_*</t>
    </r>
    <r>
      <rPr>
        <sz val="11"/>
        <color theme="1"/>
        <rFont val="WenQuanYi Zen Hei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</si>
  <si>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成長的 </t>
    </r>
    <r>
      <rPr>
        <b val="true"/>
        <sz val="11"/>
        <rFont val="Cambria"/>
        <family val="0"/>
        <charset val="1"/>
      </rPr>
      <t xml:space="preserve">Analogy</t>
    </r>
  </si>
  <si>
    <r>
      <rPr>
        <sz val="11"/>
        <color theme="1"/>
        <rFont val="WenQuanYi Zen Hei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FY2015→FY2022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前，含中國與功率熱潮）</t>
    </r>
  </si>
  <si>
    <r>
      <rPr>
        <sz val="11"/>
        <color theme="1"/>
        <rFont val="WenQuanYi Zen Hei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FY2016→FY2019</t>
    </r>
    <r>
      <rPr>
        <sz val="11"/>
        <color theme="1"/>
        <rFont val="WenQuanYi Zen Hei"/>
        <family val="2"/>
      </rPr>
      <t xml:space="preserve">（一個循環）</t>
    </r>
  </si>
  <si>
    <r>
      <rPr>
        <sz val="11"/>
        <color theme="1"/>
        <rFont val="WenQuanYi Zen Hei"/>
        <family val="2"/>
      </rPr>
      <t xml:space="preserve">最大單年下滑 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</si>
  <si>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迴歸結果（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WenQuanYi Zen Hei"/>
        <family val="2"/>
      </rPr>
      <t xml:space="preserve">頁同值）</t>
    </r>
  </si>
  <si>
    <r>
      <rPr>
        <sz val="11"/>
        <color theme="1"/>
        <rFont val="WenQuanYi Zen Hei"/>
        <family val="2"/>
      </rPr>
      <t xml:space="preserve">毛利率 ＝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WenQuanYi Zen Hei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a</t>
    </r>
  </si>
  <si>
    <t xml:space="preserve">b</t>
  </si>
  <si>
    <t xml:space="preserve">R²</t>
  </si>
  <si>
    <r>
      <rPr>
        <sz val="11"/>
        <color theme="1"/>
        <rFont val="WenQuanYi Zen Hei"/>
        <family val="2"/>
      </rPr>
      <t xml:space="preserve">銷管費 ＝ 固定 ＋ 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營收：固定 </t>
    </r>
    <r>
      <rPr>
        <sz val="11"/>
        <color theme="1"/>
        <rFont val="Calibri"/>
        <family val="2"/>
        <charset val="1"/>
      </rPr>
      <t xml:space="preserve">¥B</t>
    </r>
  </si>
  <si>
    <t xml:space="preserve">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</si>
  <si>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毛利率：迴歸值 − 實績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</si>
  <si>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銷管費：迴歸值 − 實績（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</si>
  <si>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Disco </t>
    </r>
    <r>
      <rPr>
        <sz val="11"/>
        <color theme="1"/>
        <rFont val="WenQuanYi Zen Hei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錨定公司資料（上半實績＋第三季指引＋第四季假設）；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WenQuanYi Zen Hei"/>
        <family val="2"/>
      </rPr>
      <t xml:space="preserve">驅動推導）。頂端為摘要，下方為三情境各一個完整推導區塊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</si>
  <si>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</si>
  <si>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</si>
  <si>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</si>
  <si>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</si>
  <si>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</si>
  <si>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</si>
  <si>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t xml:space="preserve">說明</t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</si>
  <si>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</si>
  <si>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WenQuanYi Zen Hei"/>
        <family val="2"/>
      </rPr>
      <t xml:space="preserve">裝置</t>
    </r>
  </si>
  <si>
    <t xml:space="preserve">  先進封裝裝置</t>
  </si>
  <si>
    <r>
      <rPr>
        <sz val="11"/>
        <color theme="1"/>
        <rFont val="WenQuanYi Zen Hei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</t>
    </r>
  </si>
  <si>
    <t xml:space="preserve">  消耗品</t>
  </si>
  <si>
    <t xml:space="preserve">  その他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</si>
  <si>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占營收（含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</si>
  <si>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裝置占營收</t>
    </r>
  </si>
  <si>
    <t xml:space="preserve">EPS</t>
  </si>
  <si>
    <r>
      <rPr>
        <sz val="11"/>
        <color theme="1"/>
        <rFont val="WenQuanYi Zen Hei"/>
        <family val="2"/>
      </rPr>
      <t xml:space="preserve">對照：營收（只用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驅動）</t>
    </r>
  </si>
  <si>
    <r>
      <rPr>
        <sz val="11"/>
        <color theme="1"/>
        <rFont val="WenQuanYi Zen Hei"/>
        <family val="2"/>
      </rPr>
      <t xml:space="preserve">對照：營業利益（只用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驅動）</t>
    </r>
  </si>
  <si>
    <r>
      <rPr>
        <sz val="11"/>
        <color theme="1"/>
        <rFont val="WenQuanYi Zen Hei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驅動、淨利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</si>
  <si>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</si>
  <si>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</si>
  <si>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WenQuanYi Zen Hei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FY2025 − </t>
    </r>
    <r>
      <rPr>
        <sz val="11"/>
        <color theme="1"/>
        <rFont val="WenQuanYi Zen Hei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FY2026 − </t>
    </r>
    <r>
      <rPr>
        <sz val="11"/>
        <color theme="1"/>
        <rFont val="WenQuanYi Zen Hei"/>
        <family val="2"/>
      </rPr>
      <t xml:space="preserve">錨點（營收與營業利益；應為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</si>
  <si>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：基準（加速器顆數續增）</t>
    </r>
  </si>
  <si>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</si>
  <si>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</si>
  <si>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</si>
  <si>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</si>
  <si>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</si>
  <si>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t xml:space="preserve">CY2030</t>
  </si>
  <si>
    <t xml:space="preserve">CY2031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</si>
  <si>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CY2025 … I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CY2031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</si>
  <si>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</si>
  <si>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WenQuanYi Zen Hei"/>
        <family val="2"/>
      </rPr>
      <t xml:space="preserve">外推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</si>
  <si>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晶粒容量</t>
    </r>
  </si>
  <si>
    <t xml:space="preserve">Gb</t>
  </si>
  <si>
    <t xml:space="preserve">平均堆疊層數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</si>
  <si>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晶粒數（每顆一次薄化＋切割）</t>
    </r>
  </si>
  <si>
    <t xml:space="preserve">十億顆</t>
  </si>
  <si>
    <r>
      <rPr>
        <sz val="11"/>
        <color theme="1"/>
        <rFont val="Calibri"/>
        <family val="2"/>
        <charset val="1"/>
      </rPr>
      <t xml:space="preserve">EB × 8×10⁹ Gb ÷ </t>
    </r>
    <r>
      <rPr>
        <sz val="11"/>
        <color theme="1"/>
        <rFont val="WenQuanYi Zen Hei"/>
        <family val="2"/>
      </rPr>
      <t xml:space="preserve">晶粒容量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</si>
  <si>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研削／切割工序數</t>
    </r>
  </si>
  <si>
    <t xml:space="preserve">十億次</t>
  </si>
  <si>
    <r>
      <rPr>
        <sz val="11"/>
        <color theme="1"/>
        <rFont val="WenQuanYi Zen Hei"/>
        <family val="2"/>
      </rPr>
      <t xml:space="preserve">晶粒數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＋每堆疊額外工序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層數）</t>
    </r>
  </si>
  <si>
    <r>
      <rPr>
        <sz val="11"/>
        <color theme="1"/>
        <rFont val="WenQuanYi Zen Hei"/>
        <family val="2"/>
      </rPr>
      <t xml:space="preserve">混合鍵合占比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開關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</si>
  <si>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產能需求（精度加權工序）</t>
    </r>
  </si>
  <si>
    <r>
      <rPr>
        <sz val="11"/>
        <color theme="1"/>
        <rFont val="WenQuanYi Zen Hei"/>
        <family val="2"/>
      </rPr>
      <t xml:space="preserve">混合鍵合工序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WenQuanYi Zen Hei"/>
        <family val="2"/>
      </rPr>
      <t xml:space="preserve">＋淨影響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</si>
  <si>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新機需求（下一年產能增量＋汰換）</t>
    </r>
  </si>
  <si>
    <t xml:space="preserve">設備在產能需要前一年購入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</si>
  <si>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片數需求</t>
    </r>
  </si>
  <si>
    <r>
      <rPr>
        <sz val="11"/>
        <color theme="1"/>
        <rFont val="WenQuanYi Zen Hei"/>
        <family val="2"/>
      </rPr>
      <t xml:space="preserve">台積電模型；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2028–29 × </t>
    </r>
    <r>
      <rPr>
        <sz val="11"/>
        <color theme="1"/>
        <rFont val="WenQuanYi Zen Hei"/>
        <family val="2"/>
      </rPr>
      <t xml:space="preserve">情境係數</t>
    </r>
  </si>
  <si>
    <t xml:space="preserve">先進封裝新機需求（下一年片數增量＋汰換）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</si>
  <si>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校準（只用 </t>
    </r>
    <r>
      <rPr>
        <b val="true"/>
        <sz val="11"/>
        <rFont val="Cambria"/>
        <family val="0"/>
        <charset val="1"/>
      </rPr>
      <t xml:space="preserve">FY2025 AI </t>
    </r>
    <r>
      <rPr>
        <b val="true"/>
        <sz val="11"/>
        <rFont val="WenQuanYi Zen Hei"/>
        <family val="2"/>
      </rPr>
      <t xml:space="preserve">出貨錨點；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WenQuanYi Zen Hei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</si>
  <si>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：每單位新機需求的裝置營收 </t>
    </r>
    <r>
      <rPr>
        <sz val="11"/>
        <color theme="1"/>
        <rFont val="Calibri"/>
        <family val="2"/>
        <charset val="1"/>
      </rPr>
      <t xml:space="preserve">kH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</si>
  <si>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WenQuanYi Zen Hei"/>
        <family val="2"/>
      </rPr>
      <t xml:space="preserve">／十億次</t>
    </r>
  </si>
  <si>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WenQuanYi Zen Hei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WenQuanYi Zen Hei"/>
        <family val="2"/>
      </rPr>
      <t xml:space="preserve">新機需求</t>
    </r>
  </si>
  <si>
    <r>
      <rPr>
        <sz val="11"/>
        <color theme="1"/>
        <rFont val="WenQuanYi Zen Hei"/>
        <family val="2"/>
      </rPr>
      <t xml:space="preserve">先進封裝：每千片新機需求的裝置營收 </t>
    </r>
    <r>
      <rPr>
        <sz val="11"/>
        <color theme="1"/>
        <rFont val="Calibri"/>
        <family val="2"/>
        <charset val="1"/>
      </rPr>
      <t xml:space="preserve">kL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</si>
  <si>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WenQuanYi Zen Hei"/>
        <family val="2"/>
      </rPr>
      <t xml:space="preserve">／千片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</si>
  <si>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</si>
  <si>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市占係數（相對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</si>
  <si>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研削／切割裝置（驅動推導）</t>
    </r>
  </si>
  <si>
    <r>
      <rPr>
        <sz val="11"/>
        <color theme="1"/>
        <rFont val="WenQuanYi Zen Hei"/>
        <family val="2"/>
      </rPr>
      <t xml:space="preserve">先進封裝（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等）裝置（驅動推導）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</si>
  <si>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裝置合計（驅動推導）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</si>
  <si>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裝置（驅動推導：功率、手機、車用、中國後段等）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</si>
  <si>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工序量指數（稼動；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</si>
  <si>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工序與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片數依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比重加權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</si>
  <si>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消耗品（驅動推導）</t>
    </r>
  </si>
  <si>
    <t xml:space="preserve">隨工序量（稼動），不隨新機</t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</si>
  <si>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消耗品（驅動推導）</t>
    </r>
  </si>
  <si>
    <r>
      <rPr>
        <sz val="11"/>
        <color theme="1"/>
        <rFont val="WenQuanYi Zen Hei"/>
        <family val="2"/>
      </rPr>
      <t xml:space="preserve">營收（驅動推導；＝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的營收）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</si>
  <si>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的驅動，不含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錨點</t>
    </r>
  </si>
  <si>
    <r>
      <rPr>
        <b val="true"/>
        <sz val="11"/>
        <rFont val="Cambria"/>
        <family val="0"/>
        <charset val="1"/>
      </rPr>
      <t xml:space="preserve">D. FY2026 </t>
    </r>
    <r>
      <rPr>
        <b val="true"/>
        <sz val="11"/>
        <rFont val="WenQuanYi Zen Hei"/>
        <family val="2"/>
      </rPr>
      <t xml:space="preserve">錨點（公司資料：上半實績＋第三季指引＋第四季假設；三情境相同）</t>
    </r>
  </si>
  <si>
    <r>
      <rPr>
        <sz val="11"/>
        <color theme="1"/>
        <rFont val="WenQuanYi Zen Hei"/>
        <family val="2"/>
      </rPr>
      <t xml:space="preserve">第四季營收（＝第三季指引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g_q4</t>
    </r>
    <r>
      <rPr>
        <sz val="11"/>
        <color theme="1"/>
        <rFont val="WenQuanYi Zen Hei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</si>
  <si>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錨點營收（上半＋第三季＋第四季）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</si>
  <si>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錨點毛利（上半實績＋第三、四季營收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第三季毛利率）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</si>
  <si>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錨點營業利益（上半＋第三季指引＋第四季營收 </t>
    </r>
    <r>
      <rPr>
        <sz val="11"/>
        <color theme="1"/>
        <rFont val="Calibri"/>
        <family val="2"/>
        <charset val="1"/>
      </rPr>
      <t xml:space="preserve">× m_q4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</si>
  <si>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錨點淨利（上半＋第三季指引＋第四季營業利益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營業利益）</t>
    </r>
  </si>
  <si>
    <r>
      <rPr>
        <sz val="11"/>
        <color theme="1"/>
        <rFont val="WenQuanYi Zen Hei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驅動推導（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</si>
  <si>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各組成同比例縮放成錨點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</si>
  <si>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兩項的基期調整（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起；用情境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</si>
  <si>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anc_carry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消耗品以情境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的錨定水準為基期（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較大的 </t>
    </r>
    <r>
      <rPr>
        <sz val="11"/>
        <color theme="1"/>
        <rFont val="Calibri"/>
        <family val="2"/>
        <charset val="1"/>
      </rPr>
      <t xml:space="preserve">sc </t>
    </r>
    <r>
      <rPr>
        <sz val="11"/>
        <color theme="1"/>
        <rFont val="WenQuanYi Zen Hei"/>
        <family val="2"/>
      </rPr>
      <t xml:space="preserve">來自較低的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驅動推導，不算非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案例皆為情境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，用自己區塊的 </t>
    </r>
    <r>
      <rPr>
        <sz val="11"/>
        <color theme="1"/>
        <rFont val="Calibri"/>
        <family val="2"/>
        <charset val="1"/>
      </rPr>
      <t xml:space="preserve">sc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</si>
  <si>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WenQuanYi Zen Hei"/>
        <family val="2"/>
      </rPr>
      <t xml:space="preserve">實績；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WenQuanYi Zen Hei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起驅動推導）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</si>
  <si>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研削／切割裝置</t>
    </r>
  </si>
  <si>
    <r>
      <rPr>
        <sz val="11"/>
        <color theme="1"/>
        <rFont val="WenQuanYi Zen Hei"/>
        <family val="2"/>
      </rPr>
      <t xml:space="preserve">先進封裝（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等）裝置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</si>
  <si>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裝置合計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</si>
  <si>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</t>
    </r>
  </si>
  <si>
    <t xml:space="preserve">精密加工裝置營收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</si>
  <si>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</si>
  <si>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</t>
    </r>
  </si>
  <si>
    <t xml:space="preserve">精密加工ツール（消耗品）營收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</si>
  <si>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WenQuanYi Zen Hei"/>
        <family val="2"/>
      </rPr>
      <t xml:space="preserve">＝錨點營收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</si>
  <si>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占營收（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消耗品＋按比例的その他）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</si>
  <si>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裝置占營收（不含消耗品；その他按比例）</t>
    </r>
  </si>
  <si>
    <t xml:space="preserve">命題的「約兩成」用這一列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</si>
  <si>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WenQuanYi Zen Hei"/>
        <family val="2"/>
      </rPr>
      <t xml:space="preserve">＝錨點；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WenQuanYi Zen Hei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WenQuanYi Zen Hei"/>
        <family val="2"/>
      </rPr>
      <t xml:space="preserve">年迴歸）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</si>
  <si>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WenQuanYi Zen Hei"/>
        <family val="2"/>
      </rPr>
      <t xml:space="preserve">＝錨點毛利 − 錨點營業利益；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起固定＋變動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營收</t>
    </r>
  </si>
  <si>
    <t xml:space="preserve">營業利益率（結果）</t>
  </si>
  <si>
    <r>
      <rPr>
        <sz val="11"/>
        <color theme="1"/>
        <rFont val="WenQuanYi Zen Hei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營收、營業利益 − 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營收、營業利益 − 錨點（應為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</si>
  <si>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WenQuanYi Zen Hei"/>
        <family val="2"/>
      </rPr>
      <t xml:space="preserve">對照：只用 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驅動（無錨點、淨利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WenQuanYi Zen Hei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0.733</t>
    </r>
    <r>
      <rPr>
        <b val="true"/>
        <sz val="11"/>
        <rFont val="WenQuanYi Zen Hei"/>
        <family val="2"/>
      </rPr>
      <t xml:space="preserve">）</t>
    </r>
  </si>
  <si>
    <t xml:space="preserve">毛利率（驅動推導）</t>
  </si>
  <si>
    <t xml:space="preserve">營業利益（驅動推導）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</si>
  <si>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（驅動推導，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口徑）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</si>
  <si>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WenQuanYi Zen Hei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WenQuanYi Zen Hei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AI FY2028 </t>
    </r>
    <r>
      <rPr>
        <b val="true"/>
        <sz val="11"/>
        <rFont val="WenQuanYi Zen Hei"/>
        <family val="2"/>
      </rPr>
      <t xml:space="preserve">持平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</si>
  <si>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WenQuanYi Zen Hei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WenQuanYi Zen Hei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AI FY2028 −12%</t>
    </r>
    <r>
      <rPr>
        <b val="true"/>
        <sz val="11"/>
        <rFont val="WenQuanYi Zen Hei"/>
        <family val="2"/>
      </rPr>
      <t xml:space="preserve">、毛利率下調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</si>
  <si>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WenQuanYi Zen Hei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WenQuanYi Zen Hei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</si>
  <si>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（例：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WenQuanYi Zen Hei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月期）。價格與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皆以 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WenQuanYi Zen Hei"/>
        <family val="2"/>
      </rPr>
      <t xml:space="preserve">一股分三股調整</t>
    </r>
  </si>
  <si>
    <r>
      <rPr>
        <b val="true"/>
        <sz val="11"/>
        <rFont val="Cambria"/>
        <family val="0"/>
        <charset val="1"/>
      </rPr>
      <t xml:space="preserve">1. 10 </t>
    </r>
    <r>
      <rPr>
        <b val="true"/>
        <sz val="11"/>
        <rFont val="WenQuanYi Zen Hei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（年底）</t>
    </r>
  </si>
  <si>
    <t xml:space="preserve">年底</t>
  </si>
  <si>
    <t xml:space="preserve">收盤價（未調整）</t>
  </si>
  <si>
    <t xml:space="preserve">收盤價（調整後）</t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</si>
  <si>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Yahoo Finance </t>
    </r>
    <r>
      <rPr>
        <b val="true"/>
        <sz val="11"/>
        <rFont val="WenQuanYi Zen Hei"/>
        <family val="2"/>
      </rPr>
      <t xml:space="preserve">調整後收盤</t>
    </r>
  </si>
  <si>
    <t xml:space="preserve">兩者差距</t>
  </si>
  <si>
    <r>
      <rPr>
        <b val="true"/>
        <sz val="11"/>
        <rFont val="WenQuanYi Zen Hei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  <r>
      <rPr>
        <b val="true"/>
        <sz val="11"/>
        <rFont val="WenQuanYi Zen Hei"/>
        <family val="2"/>
      </rPr>
      <t xml:space="preserve">（調整後）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</si>
  <si>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WenQuanYi Zen Hei"/>
        <family val="2"/>
      </rPr>
      <t xml:space="preserve">當期</t>
    </r>
  </si>
  <si>
    <r>
      <rPr>
        <sz val="11"/>
        <color theme="1"/>
        <rFont val="Calibri"/>
        <family val="2"/>
        <charset val="1"/>
      </rPr>
      <t xml:space="preserve">2016-12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2016-12-30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</si>
  <si>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WenQuanYi Zen Hei"/>
        <family val="2"/>
      </rPr>
      <t xml:space="preserve">ファイナンス 時系列（終值與調整後終值）；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WenQuanYi Zen Hei"/>
        <family val="2"/>
      </rPr>
      <t xml:space="preserve">頁（公司決算短信）</t>
    </r>
  </si>
  <si>
    <r>
      <rPr>
        <sz val="11"/>
        <color theme="1"/>
        <rFont val="Calibri"/>
        <family val="2"/>
        <charset val="1"/>
      </rPr>
      <t xml:space="preserve">2017-12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2017-12-29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</si>
  <si>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2018-12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2018-12-28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</si>
  <si>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2019-12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2019-12-30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</si>
  <si>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2020-12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2020-12-30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</si>
  <si>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2021-12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2021-12-30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</si>
  <si>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2022-12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2022-12-30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</si>
  <si>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2023-12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2023-12-29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</si>
  <si>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偏高：</t>
    </r>
    <r>
      <rPr>
        <sz val="11"/>
        <color theme="1"/>
        <rFont val="Calibri"/>
        <family val="2"/>
        <charset val="1"/>
      </rPr>
      <t xml:space="preserve">FY2023 EPS </t>
    </r>
    <r>
      <rPr>
        <sz val="11"/>
        <color theme="1"/>
        <rFont val="WenQuanYi Zen Hei"/>
        <family val="2"/>
      </rPr>
      <t xml:space="preserve">僅成長 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WenQuanYi Zen Hei"/>
        <family val="2"/>
      </rPr>
      <t xml:space="preserve">，股價先反映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</si>
  <si>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2024-12-30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</si>
  <si>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</si>
  <si>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兩個價格來源可能共用同一資料商（不完全獨立）；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年都有價格，無缺年。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</si>
  <si>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WenQuanYi Zen Hei"/>
        <family val="2"/>
      </rPr>
      <t xml:space="preserve">年）</t>
    </r>
  </si>
  <si>
    <t xml:space="preserve">統計</t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</si>
  <si>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</si>
  <si>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</si>
  <si>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</si>
  <si>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</si>
  <si>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</si>
  <si>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</si>
  <si>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</si>
  <si>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</si>
  <si>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WenQuanYi Zen Hei"/>
        <family val="2"/>
      </rPr>
      <t xml:space="preserve">敏感度：去掉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WenQuanYi Zen Hei"/>
        <family val="2"/>
      </rPr>
      <t xml:space="preserve">年（極端值）時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</si>
  <si>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3. FY2027 </t>
    </r>
    <r>
      <rPr>
        <b val="true"/>
        <sz val="11"/>
        <rFont val="WenQuanYi Zen Hei"/>
        <family val="2"/>
      </rPr>
      <t xml:space="preserve">的循環位置（設備股共用規則；見頂年度讀設備市場模型，不在本模型另訂）</t>
    </r>
  </si>
  <si>
    <r>
      <rPr>
        <sz val="11"/>
        <color theme="1"/>
        <rFont val="WenQuanYi Zen Hei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WenQuanYi Zen Hei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WenQuanYi Zen Hei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WenQuanYi Zen Hei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WenQuanYi Zen Hei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WenQuanYi Zen Hei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WenQuanYi Zen Hei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WenQuanYi Zen Hei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</si>
  <si>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</si>
  <si>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</si>
  <si>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</si>
  <si>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</si>
  <si>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</si>
  <si>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判定（營業利益路徑，對照）</t>
    </r>
  </si>
  <si>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倍數</t>
    </r>
  </si>
  <si>
    <t xml:space="preserve">A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</si>
  <si>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</si>
  <si>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</si>
  <si>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WenQuanYi Zen Hei"/>
        <family val="2"/>
      </rPr>
      <t xml:space="preserve">隱含股價（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WenQuanYi Zen Hei"/>
        <family val="2"/>
      </rPr>
      <t xml:space="preserve">依判定的倍數；其餘倍數僅供參考）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</si>
  <si>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WenQuanYi Zen Hei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</si>
  <si>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</si>
  <si>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</si>
  <si>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</si>
  <si>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</si>
  <si>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WenQuanYi Zen Hei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</t>
    </r>
  </si>
  <si>
    <t xml:space="preserve">參考：中位數</t>
  </si>
  <si>
    <r>
      <rPr>
        <sz val="11"/>
        <color theme="1"/>
        <rFont val="WenQuanYi Zen Hei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</t>
    </r>
  </si>
  <si>
    <r>
      <rPr>
        <sz val="11"/>
        <color theme="1"/>
        <rFont val="WenQuanYi Zen Hei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FY2028 × </t>
    </r>
    <r>
      <rPr>
        <sz val="11"/>
        <color theme="1"/>
        <rFont val="WenQuanYi Zen Hei"/>
        <family val="2"/>
      </rPr>
      <t xml:space="preserve">中位數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</si>
  <si>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WenQuanYi Zen Hei"/>
        <family val="2"/>
      </rPr>
      <t xml:space="preserve">目前倍數（僅供參考）</t>
    </r>
  </si>
  <si>
    <t xml:space="preserve">數值</t>
  </si>
  <si>
    <r>
      <rPr>
        <sz val="11"/>
        <color theme="1"/>
        <rFont val="WenQuanYi Zen Hei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WenQuanYi Zen Hei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</si>
  <si>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WenQuanYi Zen Hei"/>
        <family val="2"/>
      </rPr>
      <t xml:space="preserve">ファイナンス、松井證券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</si>
  <si>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FY2025 EPS 1,249.84</t>
    </r>
  </si>
  <si>
    <r>
      <rPr>
        <sz val="11"/>
        <color theme="1"/>
        <rFont val="WenQuanYi Zen Hei"/>
        <family val="2"/>
      </rPr>
      <t xml:space="preserve">命題中的「約 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WenQuanYi Zen Hei"/>
        <family val="2"/>
      </rPr>
      <t xml:space="preserve">倍」；這是上一個會計年度，不是嚴格的近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WenQuanYi Zen Hei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</si>
  <si>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WenQuanYi Zen Hei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Q3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上半）</t>
    </r>
  </si>
  <si>
    <r>
      <rPr>
        <sz val="11"/>
        <color theme="1"/>
        <rFont val="WenQuanYi Zen Hei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WenQuanYi Zen Hei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1,249.84 − </t>
    </r>
    <r>
      <rPr>
        <sz val="11"/>
        <color theme="1"/>
        <rFont val="WenQuanYi Zen Hei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515.70 </t>
    </r>
    <r>
      <rPr>
        <sz val="11"/>
        <color theme="1"/>
        <rFont val="WenQuanYi Zen Hei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740.84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1,474.98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</si>
  <si>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</si>
  <si>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其 </t>
    </r>
    <r>
      <rPr>
        <sz val="11"/>
        <color theme="1"/>
        <rFont val="Calibri"/>
        <family val="2"/>
        <charset val="1"/>
      </rPr>
      <t xml:space="preserve">TTM EPS 1,340.86</t>
    </r>
    <r>
      <rPr>
        <sz val="11"/>
        <color theme="1"/>
        <rFont val="WenQuanYi Zen Hei"/>
        <family val="2"/>
      </rPr>
      <t xml:space="preserve">，未含 </t>
    </r>
    <r>
      <rPr>
        <sz val="11"/>
        <color theme="1"/>
        <rFont val="Calibri"/>
        <family val="2"/>
        <charset val="1"/>
      </rPr>
      <t xml:space="preserve">FY26 Q2</t>
    </r>
  </si>
  <si>
    <r>
      <rPr>
        <sz val="11"/>
        <color theme="1"/>
        <rFont val="WenQuanYi Zen Hei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（共識）</t>
    </r>
  </si>
  <si>
    <t xml:space="preserve">參考，不用於估值</t>
  </si>
  <si>
    <r>
      <rPr>
        <sz val="11"/>
        <color theme="1"/>
        <rFont val="WenQuanYi Zen Hei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</si>
  <si>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</si>
  <si>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見右</t>
    </r>
  </si>
  <si>
    <r>
      <rPr>
        <sz val="11"/>
        <color theme="1"/>
        <rFont val="Calibri"/>
        <family val="2"/>
        <charset val="1"/>
      </rPr>
      <t xml:space="preserve">Recon — FY2026 </t>
    </r>
    <r>
      <rPr>
        <sz val="11"/>
        <color theme="1"/>
        <rFont val="WenQuanYi Zen Hei"/>
        <family val="2"/>
      </rPr>
      <t xml:space="preserve">錨定公司資料（上半實績＋第三季指引＋第四季假設），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節為恆等式；</t>
    </r>
    <r>
      <rPr>
        <sz val="11"/>
        <color theme="1"/>
        <rFont val="Calibri"/>
        <family val="2"/>
        <charset val="1"/>
      </rPr>
      <t xml:space="preserve">A2 </t>
    </r>
    <r>
      <rPr>
        <sz val="11"/>
        <color theme="1"/>
        <rFont val="WenQuanYi Zen Hei"/>
        <family val="2"/>
      </rPr>
      <t xml:space="preserve">節列只用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驅動的結果；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節共識只作參考，未用於校準或錨點。差距＝模型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</si>
  <si>
    <t xml:space="preserve">對照值</t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</si>
  <si>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</si>
  <si>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</si>
  <si>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</si>
  <si>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</si>
  <si>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</si>
  <si>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</si>
  <si>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</si>
  <si>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WenQuanYi Zen Hei"/>
        <family val="2"/>
      </rPr>
      <t xml:space="preserve">錨點（公司資料）：模型＝錨點，差距為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WenQuanYi Zen Hei"/>
        <family val="2"/>
      </rPr>
      <t xml:space="preserve">是恆等式，不是獨立檢驗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</si>
  <si>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上半實績＋第三季指引＋第四季（</t>
    </r>
    <r>
      <rPr>
        <sz val="11"/>
        <color theme="1"/>
        <rFont val="Calibri"/>
        <family val="2"/>
        <charset val="1"/>
      </rPr>
      <t xml:space="preserve">Q3 × 1.10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</si>
  <si>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決算短信＋說明資料＋</t>
    </r>
    <r>
      <rPr>
        <sz val="11"/>
        <color theme="1"/>
        <rFont val="Calibri"/>
        <family val="2"/>
        <charset val="1"/>
      </rPr>
      <t xml:space="preserve">g_q4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</si>
  <si>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257.1 </t>
    </r>
    <r>
      <rPr>
        <sz val="11"/>
        <color theme="1"/>
        <rFont val="WenQuanYi Zen Hei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132.4 </t>
    </r>
    <r>
      <rPr>
        <sz val="11"/>
        <color theme="1"/>
        <rFont val="WenQuanYi Zen Hei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145.7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</si>
  <si>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上半＋第三季＋第四季（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第三季營益率）</t>
    </r>
  </si>
  <si>
    <r>
      <rPr>
        <sz val="11"/>
        <color theme="1"/>
        <rFont val="WenQuanYi Zen Hei"/>
        <family val="2"/>
      </rPr>
      <t xml:space="preserve">第三季＋第四季平均營收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第三季指引（</t>
    </r>
    <r>
      <rPr>
        <sz val="11"/>
        <color theme="1"/>
        <rFont val="Calibri"/>
        <family val="2"/>
        <charset val="1"/>
      </rPr>
      <t xml:space="preserve">132.4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</si>
  <si>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說明資料 </t>
    </r>
    <r>
      <rPr>
        <sz val="11"/>
        <color theme="1"/>
        <rFont val="Calibri"/>
        <family val="2"/>
        <charset val="1"/>
      </rPr>
      <t xml:space="preserve">3Q 132.4</t>
    </r>
  </si>
  <si>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WenQuanYi Zen Hei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5.5%</t>
    </r>
    <r>
      <rPr>
        <sz val="11"/>
        <color theme="1"/>
        <rFont val="WenQuanYi Zen Hei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9.6%</t>
    </r>
    <r>
      <rPr>
        <sz val="11"/>
        <color theme="1"/>
        <rFont val="WenQuanYi Zen Hei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13.1%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WenQuanYi Zen Hei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g_q4 </t>
    </r>
    <r>
      <rPr>
        <sz val="11"/>
        <color theme="1"/>
        <rFont val="WenQuanYi Zen Hei"/>
        <family val="2"/>
      </rPr>
      <t xml:space="preserve">決定（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</si>
  <si>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上半實績（百分點）</t>
    </r>
  </si>
  <si>
    <r>
      <rPr>
        <sz val="11"/>
        <color theme="1"/>
        <rFont val="WenQuanYi Zen Hei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45.4%</t>
    </r>
  </si>
  <si>
    <r>
      <rPr>
        <sz val="11"/>
        <color theme="1"/>
        <rFont val="WenQuanYi Zen Hei"/>
        <family val="2"/>
      </rPr>
      <t xml:space="preserve">下半營益率約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WenQuanYi Zen Hei"/>
        <family val="2"/>
      </rPr>
      <t xml:space="preserve">（第三季指引 </t>
    </r>
    <r>
      <rPr>
        <sz val="11"/>
        <color theme="1"/>
        <rFont val="Calibri"/>
        <family val="2"/>
        <charset val="1"/>
      </rPr>
      <t xml:space="preserve">43.9%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</si>
  <si>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上半實績（百分點）</t>
    </r>
  </si>
  <si>
    <r>
      <rPr>
        <sz val="11"/>
        <color theme="1"/>
        <rFont val="WenQuanYi Zen Hei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71.5%</t>
    </r>
  </si>
  <si>
    <r>
      <rPr>
        <sz val="11"/>
        <color theme="1"/>
        <rFont val="WenQuanYi Zen Hei"/>
        <family val="2"/>
      </rPr>
      <t xml:space="preserve">第三、四季取 </t>
    </r>
    <r>
      <rPr>
        <sz val="11"/>
        <color theme="1"/>
        <rFont val="Calibri"/>
        <family val="2"/>
        <charset val="1"/>
      </rPr>
      <t xml:space="preserve">69.8%</t>
    </r>
    <r>
      <rPr>
        <sz val="11"/>
        <color theme="1"/>
        <rFont val="WenQuanYi Zen Hei"/>
        <family val="2"/>
      </rPr>
      <t xml:space="preserve">（公司：低不到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點）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</si>
  <si>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WenQuanYi Zen Hei"/>
        <family val="2"/>
      </rPr>
      <t xml:space="preserve">上半實績 </t>
    </r>
    <r>
      <rPr>
        <sz val="11"/>
        <color theme="1"/>
        <rFont val="Calibri"/>
        <family val="2"/>
        <charset val="1"/>
      </rPr>
      <t xml:space="preserve">× 2</t>
    </r>
  </si>
  <si>
    <r>
      <rPr>
        <sz val="11"/>
        <color theme="1"/>
        <rFont val="WenQuanYi Zen Hei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740.84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</si>
  <si>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A2. </t>
    </r>
    <r>
      <rPr>
        <b val="true"/>
        <sz val="11"/>
        <rFont val="WenQuanYi Zen Hei"/>
        <family val="2"/>
      </rPr>
      <t xml:space="preserve">只用 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驅動時的 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WenQuanYi Zen Hei"/>
        <family val="2"/>
      </rPr>
      <t xml:space="preserve">（對照；說明錨點改變了多少）</t>
    </r>
  </si>
  <si>
    <r>
      <rPr>
        <sz val="11"/>
        <color theme="1"/>
        <rFont val="WenQuanYi Zen Hei"/>
        <family val="2"/>
      </rPr>
      <t xml:space="preserve">驅動推導營收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錨點營收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</si>
  <si>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節</t>
    </r>
  </si>
  <si>
    <t xml:space="preserve">負＝驅動推導低於公司資料</t>
  </si>
  <si>
    <r>
      <rPr>
        <sz val="11"/>
        <color theme="1"/>
        <rFont val="WenQuanYi Zen Hei"/>
        <family val="2"/>
      </rPr>
      <t xml:space="preserve">驅動推導營業利益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錨點營業利益</t>
    </r>
  </si>
  <si>
    <r>
      <rPr>
        <sz val="11"/>
        <color theme="1"/>
        <rFont val="WenQuanYi Zen Hei"/>
        <family val="2"/>
      </rPr>
      <t xml:space="preserve">驅動推導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</si>
  <si>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WenQuanYi Zen Hei"/>
        <family val="2"/>
      </rPr>
      <t xml:space="preserve">驅動推導下半平均營收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第三季指引</t>
    </r>
  </si>
  <si>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的對帳結果</t>
    </r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</si>
  <si>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WenQuanYi Zen Hei"/>
        <family val="2"/>
      </rPr>
      <t xml:space="preserve">共識與券商（參考）</t>
    </r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</si>
  <si>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2026-10-07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WenQuanYi Zen Hei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</si>
  <si>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564.96</t>
    </r>
    <r>
      <rPr>
        <sz val="11"/>
        <color theme="1"/>
        <rFont val="WenQuanYi Zen Hei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541.0–598.7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</si>
  <si>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共識早於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WenQuanYi Zen Hei"/>
        <family val="2"/>
      </rPr>
      <t xml:space="preserve">指引</t>
    </r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</si>
  <si>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樂天證券（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WenQuanYi Zen Hei"/>
        <family val="2"/>
      </rPr>
      <t xml:space="preserve">）</t>
    </r>
  </si>
  <si>
    <t xml:space="preserve">今中能夫</t>
  </si>
  <si>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樂天證券</t>
    </r>
  </si>
  <si>
    <r>
      <rPr>
        <sz val="11"/>
        <color theme="1"/>
        <rFont val="WenQuanYi Zen Hei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240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</si>
  <si>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樂天證券（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</si>
  <si>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結構檢查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</si>
  <si>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vs SEMI </t>
    </r>
    <r>
      <rPr>
        <sz val="11"/>
        <color theme="1"/>
        <rFont val="WenQuanYi Zen Hei"/>
        <family val="2"/>
      </rPr>
      <t xml:space="preserve">組裝封裝設備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WenQuanYi Zen Hei"/>
        <family val="2"/>
      </rPr>
      <t xml:space="preserve">年增（百分點）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</si>
  <si>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</si>
  <si>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口徑不同（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為全球封裝設備美元金額），只看方向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</si>
  <si>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WenQuanYi Zen Hei"/>
        <family val="2"/>
      </rPr>
      <t xml:space="preserve">占營收（校準結果）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</si>
  <si>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消耗品，再按比例加その他；命題的「約兩成」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</si>
  <si>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WenQuanYi Zen Hei"/>
        <family val="2"/>
      </rPr>
      <t xml:space="preserve">裝置占營收（不含消耗品）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</si>
  <si>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WenQuanYi Zen Hei"/>
        <family val="2"/>
      </rPr>
      <t xml:space="preserve">裝置占營收（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</si>
  <si>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WenQuanYi Zen Hei"/>
        <family val="2"/>
      </rPr>
      <t xml:space="preserve">占營收（含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</si>
  <si>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參考：公司稱 </t>
    </r>
    <r>
      <rPr>
        <sz val="11"/>
        <color theme="1"/>
        <rFont val="Calibri"/>
        <family val="2"/>
        <charset val="1"/>
      </rPr>
      <t xml:space="preserve">FY26 Q2 </t>
    </r>
    <r>
      <rPr>
        <sz val="11"/>
        <color theme="1"/>
        <rFont val="WenQuanYi Zen Hei"/>
        <family val="2"/>
      </rPr>
      <t xml:space="preserve">記憶體占營收略低於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WenQuanYi Zen Hei"/>
        <family val="2"/>
      </rPr>
      <t xml:space="preserve">（含一般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WenQuanYi Zen Hei"/>
        <family val="2"/>
      </rPr>
      <t xml:space="preserve">，口徑不同，不可直接比較）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</si>
  <si>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WenQuanYi Zen Hei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的影響。每個案例是一個完整推導區塊（本頁下方，與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同一引擎；校準會跟著重算）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</si>
  <si>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</si>
  <si>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</si>
  <si>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</si>
  <si>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</si>
  <si>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</si>
  <si>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</si>
  <si>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</si>
  <si>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WenQuanYi Zen Hei"/>
        <family val="2"/>
      </rPr>
      <t xml:space="preserve">占營收</t>
    </r>
  </si>
  <si>
    <t xml:space="preserve">FY2026 EPS ¥</t>
  </si>
  <si>
    <r>
      <rPr>
        <sz val="11"/>
        <color theme="1"/>
        <rFont val="WenQuanYi Zen Hei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</si>
  <si>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</si>
  <si>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WenQuanYi Zen Hei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</si>
  <si>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WenQuanYi Zen Hei"/>
        <family val="2"/>
      </rPr>
      <t xml:space="preserve">低</t>
    </r>
  </si>
  <si>
    <r>
      <rPr>
        <sz val="11"/>
        <color theme="1"/>
        <rFont val="WenQuanYi Zen Hei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</si>
  <si>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WenQuanYi Zen Hei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</si>
  <si>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錨點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67.5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</si>
  <si>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WenQuanYi Zen Hei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</si>
  <si>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82.5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</si>
  <si>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WenQuanYi Zen Hei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</si>
  <si>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</si>
  <si>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WenQuanYi Zen Hei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</si>
  <si>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52%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</si>
  <si>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WenQuanYi Zen Hei"/>
        <family val="2"/>
      </rPr>
      <t xml:space="preserve">高</t>
    </r>
  </si>
  <si>
    <r>
      <rPr>
        <sz val="11"/>
        <color theme="1"/>
        <rFont val="WenQuanYi Zen Hei"/>
        <family val="2"/>
      </rPr>
      <t xml:space="preserve">混合鍵合開關 </t>
    </r>
    <r>
      <rPr>
        <sz val="11"/>
        <color theme="1"/>
        <rFont val="Calibri"/>
        <family val="2"/>
        <charset val="1"/>
      </rPr>
      <t xml:space="preserve">0</t>
    </r>
  </si>
  <si>
    <t xml:space="preserve">不納入混合鍵合</t>
  </si>
  <si>
    <r>
      <rPr>
        <sz val="11"/>
        <color theme="1"/>
        <rFont val="WenQuanYi Zen Hei"/>
        <family val="2"/>
      </rPr>
      <t xml:space="preserve">混合鍵合淨影響 −</t>
    </r>
    <r>
      <rPr>
        <sz val="11"/>
        <color theme="1"/>
        <rFont val="Calibri"/>
        <family val="2"/>
        <charset val="1"/>
      </rPr>
      <t xml:space="preserve">20%</t>
    </r>
  </si>
  <si>
    <t xml:space="preserve">電漿切割取代部分切割</t>
  </si>
  <si>
    <r>
      <rPr>
        <sz val="11"/>
        <color theme="1"/>
        <rFont val="WenQuanYi Zen Hei"/>
        <family val="2"/>
      </rPr>
      <t xml:space="preserve">混合鍵合淨影響 </t>
    </r>
    <r>
      <rPr>
        <sz val="11"/>
        <color theme="1"/>
        <rFont val="Calibri"/>
        <family val="2"/>
        <charset val="1"/>
      </rPr>
      <t xml:space="preserve">+30%</t>
    </r>
  </si>
  <si>
    <t xml:space="preserve">精度升級較大</t>
  </si>
  <si>
    <t xml:space="preserve">混合鍵合普及 高</t>
  </si>
  <si>
    <r>
      <rPr>
        <sz val="11"/>
        <color theme="1"/>
        <rFont val="Calibri"/>
        <family val="2"/>
        <charset val="1"/>
      </rPr>
      <t xml:space="preserve">hbp </t>
    </r>
    <r>
      <rPr>
        <sz val="11"/>
        <color theme="1"/>
        <rFont val="WenQuanYi Zen Hei"/>
        <family val="2"/>
      </rPr>
      <t xml:space="preserve">高欄</t>
    </r>
  </si>
  <si>
    <t xml:space="preserve">晶粒容量 低（同位元需更多晶粒）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</si>
  <si>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WenQuanYi Zen Hei"/>
        <family val="2"/>
      </rPr>
      <t xml:space="preserve">低欄</t>
    </r>
  </si>
  <si>
    <t xml:space="preserve">晶粒容量 高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</si>
  <si>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WenQuanYi Zen Hei"/>
        <family val="2"/>
      </rPr>
      <t xml:space="preserve">高欄</t>
    </r>
  </si>
  <si>
    <t xml:space="preserve">堆疊層數 低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</si>
  <si>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WenQuanYi Zen Hei"/>
        <family val="2"/>
      </rPr>
      <t xml:space="preserve">低欄</t>
    </r>
  </si>
  <si>
    <t xml:space="preserve">堆疊層數 高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</si>
  <si>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WenQuanYi Zen Hei"/>
        <family val="2"/>
      </rPr>
      <t xml:space="preserve">高欄</t>
    </r>
  </si>
  <si>
    <r>
      <rPr>
        <sz val="11"/>
        <color theme="1"/>
        <rFont val="WenQuanYi Zen Hei"/>
        <family val="2"/>
      </rPr>
      <t xml:space="preserve">每堆疊額外工序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</si>
  <si>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s_stk </t>
    </r>
    <r>
      <rPr>
        <sz val="11"/>
        <color theme="1"/>
        <rFont val="WenQuanYi Zen Hei"/>
        <family val="2"/>
      </rPr>
      <t xml:space="preserve">低</t>
    </r>
  </si>
  <si>
    <r>
      <rPr>
        <sz val="11"/>
        <color theme="1"/>
        <rFont val="WenQuanYi Zen Hei"/>
        <family val="2"/>
      </rPr>
      <t xml:space="preserve">每堆疊額外工序 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</si>
  <si>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Calibri"/>
        <family val="2"/>
        <charset val="1"/>
      </rPr>
      <t xml:space="preserve">s_stk </t>
    </r>
    <r>
      <rPr>
        <sz val="11"/>
        <color theme="1"/>
        <rFont val="WenQuanYi Zen Hei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</si>
  <si>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WenQuanYi Zen Hei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</si>
  <si>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WenQuanYi Zen Hei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</si>
  <si>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WenQuanYi Zen Hei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</si>
  <si>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WenQuanYi Zen Hei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</si>
  <si>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CoWoS 2025 600 </t>
    </r>
    <r>
      <rPr>
        <sz val="11"/>
        <color theme="1"/>
        <rFont val="WenQuanYi Zen Hei"/>
        <family val="2"/>
      </rPr>
      <t xml:space="preserve">千片</t>
    </r>
  </si>
  <si>
    <r>
      <rPr>
        <sz val="11"/>
        <color theme="1"/>
        <rFont val="Calibri"/>
        <family val="2"/>
        <charset val="1"/>
      </rPr>
      <t xml:space="preserve">cw_25 </t>
    </r>
    <r>
      <rPr>
        <sz val="11"/>
        <color theme="1"/>
        <rFont val="WenQuanYi Zen Hei"/>
        <family val="2"/>
      </rPr>
      <t xml:space="preserve">低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</si>
  <si>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</si>
  <si>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g_non </t>
    </r>
    <r>
      <rPr>
        <sz val="11"/>
        <color theme="1"/>
        <rFont val="WenQuanYi Zen Hei"/>
        <family val="2"/>
      </rPr>
      <t xml:space="preserve">低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</si>
  <si>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裝置年增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</si>
  <si>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g_non </t>
    </r>
    <r>
      <rPr>
        <sz val="11"/>
        <color theme="1"/>
        <rFont val="WenQuanYi Zen Hei"/>
        <family val="2"/>
      </rPr>
      <t xml:space="preserve">高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</si>
  <si>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</si>
  <si>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g_tl </t>
    </r>
    <r>
      <rPr>
        <sz val="11"/>
        <color theme="1"/>
        <rFont val="WenQuanYi Zen Hei"/>
        <family val="2"/>
      </rPr>
      <t xml:space="preserve">低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</si>
  <si>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消耗品年增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</si>
  <si>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g_tl </t>
    </r>
    <r>
      <rPr>
        <sz val="11"/>
        <color theme="1"/>
        <rFont val="WenQuanYi Zen Hei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</si>
  <si>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消耗品比例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</si>
  <si>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w_tlai </t>
    </r>
    <r>
      <rPr>
        <sz val="11"/>
        <color theme="1"/>
        <rFont val="WenQuanYi Zen Hei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</si>
  <si>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消耗品比例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</si>
  <si>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w_tlai </t>
    </r>
    <r>
      <rPr>
        <sz val="11"/>
        <color theme="1"/>
        <rFont val="WenQuanYi Zen Hei"/>
        <family val="2"/>
      </rPr>
      <t xml:space="preserve">高</t>
    </r>
  </si>
  <si>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FY2029 −10pt</t>
    </r>
    <r>
      <rPr>
        <sz val="11"/>
        <color theme="1"/>
        <rFont val="WenQuanYi Zen Hei"/>
        <family val="2"/>
      </rPr>
      <t xml:space="preserve">（線性）</t>
    </r>
  </si>
  <si>
    <r>
      <rPr>
        <sz val="11"/>
        <color theme="1"/>
        <rFont val="Calibri"/>
        <family val="2"/>
        <charset val="1"/>
      </rPr>
      <t xml:space="preserve">sh_loss </t>
    </r>
    <r>
      <rPr>
        <sz val="11"/>
        <color theme="1"/>
        <rFont val="WenQuanYi Zen Hei"/>
        <family val="2"/>
      </rPr>
      <t xml:space="preserve">高</t>
    </r>
  </si>
  <si>
    <r>
      <rPr>
        <sz val="11"/>
        <color theme="1"/>
        <rFont val="WenQuanYi Zen Hei"/>
        <family val="2"/>
      </rPr>
      <t xml:space="preserve">毛利率迴歸只用 </t>
    </r>
    <r>
      <rPr>
        <sz val="11"/>
        <color theme="1"/>
        <rFont val="Calibri"/>
        <family val="2"/>
        <charset val="1"/>
      </rPr>
      <t xml:space="preserve">FY2019–25</t>
    </r>
  </si>
  <si>
    <r>
      <rPr>
        <sz val="11"/>
        <color theme="1"/>
        <rFont val="Calibri"/>
        <family val="2"/>
        <charset val="1"/>
      </rPr>
      <t xml:space="preserve">gm_a2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gm_b2</t>
    </r>
  </si>
  <si>
    <r>
      <rPr>
        <sz val="11"/>
        <color theme="1"/>
        <rFont val="WenQuanYi Zen Hei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 低（</t>
    </r>
    <r>
      <rPr>
        <sz val="11"/>
        <color theme="1"/>
        <rFont val="Calibri"/>
        <family val="2"/>
        <charset val="1"/>
      </rPr>
      <t xml:space="preserve">0.687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</si>
  <si>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稅前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0.97</t>
    </r>
    <r>
      <rPr>
        <sz val="11"/>
        <color theme="1"/>
        <rFont val="WenQuanYi Zen Hei"/>
        <family val="2"/>
      </rPr>
      <t xml:space="preserve">、稅率 </t>
    </r>
    <r>
      <rPr>
        <sz val="11"/>
        <color theme="1"/>
        <rFont val="Calibri"/>
        <family val="2"/>
        <charset val="1"/>
      </rPr>
      <t xml:space="preserve">29.2%</t>
    </r>
  </si>
  <si>
    <r>
      <rPr>
        <sz val="11"/>
        <color theme="1"/>
        <rFont val="WenQuanYi Zen Hei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 高（</t>
    </r>
    <r>
      <rPr>
        <sz val="11"/>
        <color theme="1"/>
        <rFont val="Calibri"/>
        <family val="2"/>
        <charset val="1"/>
      </rPr>
      <t xml:space="preserve">0.738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</si>
  <si>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稅前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WenQuanYi Zen Hei"/>
        <family val="2"/>
      </rPr>
      <t xml:space="preserve">、稅率 </t>
    </r>
    <r>
      <rPr>
        <sz val="11"/>
        <color theme="1"/>
        <rFont val="Calibri"/>
        <family val="2"/>
        <charset val="1"/>
      </rPr>
      <t xml:space="preserve">26.2%</t>
    </r>
  </si>
  <si>
    <r>
      <rPr>
        <sz val="11"/>
        <color theme="1"/>
        <rFont val="WenQuanYi Zen Hei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第三季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</si>
  <si>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g_q4 </t>
    </r>
    <r>
      <rPr>
        <sz val="11"/>
        <color theme="1"/>
        <rFont val="WenQuanYi Zen Hei"/>
        <family val="2"/>
      </rPr>
      <t xml:space="preserve">低（持平）</t>
    </r>
  </si>
  <si>
    <r>
      <rPr>
        <sz val="11"/>
        <color theme="1"/>
        <rFont val="WenQuanYi Zen Hei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第三季 </t>
    </r>
    <r>
      <rPr>
        <sz val="11"/>
        <color theme="1"/>
        <rFont val="Calibri"/>
        <family val="2"/>
        <charset val="1"/>
      </rPr>
      <t xml:space="preserve">+22%</t>
    </r>
  </si>
  <si>
    <r>
      <rPr>
        <sz val="11"/>
        <color theme="1"/>
        <rFont val="Calibri"/>
        <family val="2"/>
        <charset val="1"/>
      </rPr>
      <t xml:space="preserve">g_q4 </t>
    </r>
    <r>
      <rPr>
        <sz val="11"/>
        <color theme="1"/>
        <rFont val="WenQuanYi Zen Hei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實績）</t>
    </r>
  </si>
  <si>
    <r>
      <rPr>
        <sz val="11"/>
        <color theme="1"/>
        <rFont val="WenQuanYi Zen Hei"/>
        <family val="2"/>
      </rPr>
      <t xml:space="preserve">第四季營益率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</si>
  <si>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Calibri"/>
        <family val="2"/>
        <charset val="1"/>
      </rPr>
      <t xml:space="preserve">m_q4 </t>
    </r>
    <r>
      <rPr>
        <sz val="11"/>
        <color theme="1"/>
        <rFont val="WenQuanYi Zen Hei"/>
        <family val="2"/>
      </rPr>
      <t xml:space="preserve">低</t>
    </r>
  </si>
  <si>
    <r>
      <rPr>
        <sz val="11"/>
        <color theme="1"/>
        <rFont val="WenQuanYi Zen Hei"/>
        <family val="2"/>
      </rPr>
      <t xml:space="preserve">第四季營益率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</si>
  <si>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Calibri"/>
        <family val="2"/>
        <charset val="1"/>
      </rPr>
      <t xml:space="preserve">m_q4 </t>
    </r>
    <r>
      <rPr>
        <sz val="11"/>
        <color theme="1"/>
        <rFont val="WenQuanYi Zen Hei"/>
        <family val="2"/>
      </rPr>
      <t xml:space="preserve">高</t>
    </r>
  </si>
  <si>
    <r>
      <rPr>
        <sz val="11"/>
        <color theme="1"/>
        <rFont val="WenQuanYi Zen Hei"/>
        <family val="2"/>
      </rPr>
      <t xml:space="preserve">錨點差額不延續到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</si>
  <si>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anc_carry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起完全回到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驅動）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</si>
  <si>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</si>
  <si>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WenQuanYi Zen Hei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FY2028 0%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</si>
  <si>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</si>
  <si>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WenQuanYi Zen Hei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FY2028 −12%</t>
    </r>
    <r>
      <rPr>
        <sz val="11"/>
        <color theme="1"/>
        <rFont val="WenQuanYi Zen Hei"/>
        <family val="2"/>
      </rPr>
      <t xml:space="preserve">；毛利率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</si>
  <si>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WenQuanYi Zen Hei"/>
        <family val="2"/>
      </rPr>
      <t xml:space="preserve">對照：只用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驅動（情境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</si>
  <si>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無錨點、淨利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</si>
  <si>
    <r>
      <rPr>
        <sz val="11"/>
        <color theme="1"/>
        <rFont val="WenQuanYi Zen Hei"/>
        <family val="2"/>
      </rPr>
      <t xml:space="preserve">讀法：校準在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進行，所以改變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錨點、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比重、汰換比例等參數時，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仍等於實績，只改變之後的路徑形狀。汰換比例與校準係數只有乘積可識別（見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WenQuanYi Zen Hei"/>
        <family val="2"/>
      </rPr>
      <t xml:space="preserve">）。</t>
    </r>
  </si>
  <si>
    <r>
      <rPr>
        <b val="true"/>
        <sz val="11"/>
        <rFont val="WenQuanYi Zen Hei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</si>
  <si>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</si>
  <si>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錨點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67.5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</si>
  <si>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82.5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</si>
  <si>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WenQuanYi Zen Hei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</si>
  <si>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WenQuanYi Zen Hei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52%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</si>
  <si>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案例區塊：混合鍵合開關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</si>
  <si>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案例區塊：混合鍵合淨影響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</si>
  <si>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案例區塊：混合鍵合淨影響 </t>
    </r>
    <r>
      <rPr>
        <b val="true"/>
        <sz val="11"/>
        <rFont val="Cambria"/>
        <family val="0"/>
        <charset val="1"/>
      </rPr>
      <t xml:space="preserve">+30%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</si>
  <si>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案例區塊：混合鍵合普及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</si>
  <si>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案例區塊：晶粒容量 低（同位元需更多晶粒）（情境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</si>
  <si>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</si>
  <si>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案例區塊：堆疊層數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</si>
  <si>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案例區塊：堆疊層數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</si>
  <si>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案例區塊：每堆疊額外工序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</si>
  <si>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案例區塊：每堆疊額外工序 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</si>
  <si>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WenQuanYi Zen Hei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</si>
  <si>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WenQuanYi Zen Hei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</si>
  <si>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CoWoS 2025 600 </t>
    </r>
    <r>
      <rPr>
        <b val="true"/>
        <sz val="11"/>
        <rFont val="WenQuanYi Zen Hei"/>
        <family val="2"/>
      </rPr>
      <t xml:space="preserve">千片（情境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</si>
  <si>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裝置年增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</si>
  <si>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裝置年增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</si>
  <si>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消耗品年增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</si>
  <si>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消耗品年增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</si>
  <si>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消耗品比例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</si>
  <si>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消耗品比例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</si>
  <si>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案例區塊：市占 </t>
    </r>
    <r>
      <rPr>
        <b val="true"/>
        <sz val="11"/>
        <rFont val="Cambria"/>
        <family val="0"/>
        <charset val="1"/>
      </rPr>
      <t xml:space="preserve">FY2029 −10pt</t>
    </r>
    <r>
      <rPr>
        <b val="true"/>
        <sz val="11"/>
        <rFont val="WenQuanYi Zen Hei"/>
        <family val="2"/>
      </rPr>
      <t xml:space="preserve">（線性）（情境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</si>
  <si>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案例區塊：毛利率迴歸只用 </t>
    </r>
    <r>
      <rPr>
        <b val="true"/>
        <sz val="11"/>
        <rFont val="Cambria"/>
        <family val="0"/>
        <charset val="1"/>
      </rPr>
      <t xml:space="preserve">FY2019–25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</si>
  <si>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WenQuanYi Zen Hei"/>
        <family val="2"/>
      </rPr>
      <t xml:space="preserve">營業利益 低（</t>
    </r>
    <r>
      <rPr>
        <b val="true"/>
        <sz val="11"/>
        <rFont val="Cambria"/>
        <family val="0"/>
        <charset val="1"/>
      </rPr>
      <t xml:space="preserve">0.687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</si>
  <si>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WenQuanYi Zen Hei"/>
        <family val="2"/>
      </rPr>
      <t xml:space="preserve">營業利益 高（</t>
    </r>
    <r>
      <rPr>
        <b val="true"/>
        <sz val="11"/>
        <rFont val="Cambria"/>
        <family val="0"/>
        <charset val="1"/>
      </rPr>
      <t xml:space="preserve">0.738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</si>
  <si>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第三季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</si>
  <si>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第三季 </t>
    </r>
    <r>
      <rPr>
        <b val="true"/>
        <sz val="11"/>
        <rFont val="Cambria"/>
        <family val="0"/>
        <charset val="1"/>
      </rPr>
      <t xml:space="preserve">+22%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</si>
  <si>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案例區塊：第四季營益率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</si>
  <si>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案例區塊：第四季營益率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</si>
  <si>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案例區塊：錨點差額不延續到 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</si>
  <si>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t xml:space="preserve">來源（公司原文以網頁擷取工具讀取；表格欄位錯置處以算術核對；版面與頁碼待人工複核）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</si>
  <si>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決算短信（英文，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）</t>
    </r>
  </si>
  <si>
    <t xml:space="preserve">https://www.disco.co.jp/eg/ir/library/doc/fr/fr20260422.pdf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</si>
  <si>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四半期 決算短信（英文，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）</t>
    </r>
  </si>
  <si>
    <t xml:space="preserve">https://www.disco.co.jp/eg/ir/library/doc/fr/fr20261022.pdf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</si>
  <si>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WenQuanYi Zen Hei"/>
        <family val="2"/>
      </rPr>
      <t xml:space="preserve">）</t>
    </r>
  </si>
  <si>
    <t xml:space="preserve">https://www.disco.co.jp/eg/ir/library/doc/fr/fr20260723.pdf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</si>
  <si>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WenQuanYi Zen Hei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）</t>
    </r>
  </si>
  <si>
    <t xml:space="preserve">https://www.disco.co.jp/eg/ir/library/doc/film/20261022.pdf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</si>
  <si>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WenQuanYi Zen Hei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）</t>
    </r>
  </si>
  <si>
    <t xml:space="preserve">https://www.disco.co.jp/eg/ir/library/doc/film/20260422.pdf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</si>
  <si>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FY2024 4Q </t>
    </r>
    <r>
      <rPr>
        <sz val="11"/>
        <color theme="1"/>
        <rFont val="WenQuanYi Zen Hei"/>
        <family val="2"/>
      </rPr>
      <t xml:space="preserve">說明資料（</t>
    </r>
    <r>
      <rPr>
        <sz val="11"/>
        <color theme="1"/>
        <rFont val="Calibri"/>
        <family val="2"/>
        <charset val="1"/>
      </rPr>
      <t xml:space="preserve">2025-04-17</t>
    </r>
    <r>
      <rPr>
        <sz val="11"/>
        <color theme="1"/>
        <rFont val="WenQuanYi Zen Hei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2024-04-25</t>
    </r>
    <r>
      <rPr>
        <sz val="11"/>
        <color theme="1"/>
        <rFont val="WenQuanYi Zen Hei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2023-04-20</t>
    </r>
    <r>
      <rPr>
        <sz val="11"/>
        <color theme="1"/>
        <rFont val="WenQuanYi Zen Hei"/>
        <family val="2"/>
      </rPr>
      <t xml:space="preserve">）</t>
    </r>
  </si>
  <si>
    <t xml:space="preserve">https://www.disco.co.jp/eg/ir/library/doc/film/20250417.pdf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</si>
  <si>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1Q </t>
    </r>
    <r>
      <rPr>
        <sz val="11"/>
        <color theme="1"/>
        <rFont val="WenQuanYi Zen Hei"/>
        <family val="2"/>
      </rPr>
      <t xml:space="preserve">說明筆記（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WenQuanYi Zen Hei"/>
        <family val="2"/>
      </rPr>
      <t xml:space="preserve">）</t>
    </r>
  </si>
  <si>
    <t xml:space="preserve">https://www.disco.co.jp/eg/ir/library/doc/film/20260723_note.pdf</t>
  </si>
  <si>
    <r>
      <rPr>
        <sz val="11"/>
        <color theme="1"/>
        <rFont val="WenQuanYi Zen Hei"/>
        <family val="2"/>
      </rPr>
      <t xml:space="preserve">公司：歷年決算短信（</t>
    </r>
    <r>
      <rPr>
        <sz val="11"/>
        <color theme="1"/>
        <rFont val="Calibri"/>
        <family val="2"/>
        <charset val="1"/>
      </rPr>
      <t xml:space="preserve">fr20250417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fr20230420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fr20210422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fr20190508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fr20170510</t>
    </r>
    <r>
      <rPr>
        <sz val="11"/>
        <color theme="1"/>
        <rFont val="WenQuanYi Zen Hei"/>
        <family val="2"/>
      </rPr>
      <t xml:space="preserve">）</t>
    </r>
  </si>
  <si>
    <t xml:space="preserve">https://www.disco.co.jp/eg/ir/library/fr.html</t>
  </si>
  <si>
    <r>
      <rPr>
        <sz val="11"/>
        <color theme="1"/>
        <rFont val="WenQuanYi Zen Hei"/>
        <family val="2"/>
      </rPr>
      <t xml:space="preserve">公司：技術說明會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WenQuanYi Zen Hei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WenQuanYi Zen Hei"/>
        <family val="2"/>
      </rPr>
      <t xml:space="preserve">）</t>
    </r>
  </si>
  <si>
    <t xml:space="preserve">https://www.disco.co.jp/jp/ir/movie/doc/J_Tech_Briefing_2025.pdf</t>
  </si>
  <si>
    <r>
      <rPr>
        <sz val="11"/>
        <color theme="1"/>
        <rFont val="Calibri"/>
        <family val="2"/>
        <charset val="1"/>
      </rPr>
      <t xml:space="preserve">TSE </t>
    </r>
    <r>
      <rPr>
        <sz val="11"/>
        <color theme="1"/>
        <rFont val="WenQuanYi Zen Hei"/>
        <family val="2"/>
      </rPr>
      <t xml:space="preserve">決算短信轉載（</t>
    </r>
    <r>
      <rPr>
        <sz val="11"/>
        <color theme="1"/>
        <rFont val="Calibri"/>
        <family val="2"/>
        <charset val="1"/>
      </rPr>
      <t xml:space="preserve">kabuyoho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2026-04-20 </t>
    </r>
    <r>
      <rPr>
        <sz val="11"/>
        <color theme="1"/>
        <rFont val="WenQuanYi Zen Hei"/>
        <family val="2"/>
      </rPr>
      <t xml:space="preserve">檔名；內容日期 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WenQuanYi Zen Hei"/>
        <family val="2"/>
      </rPr>
      <t xml:space="preserve">）</t>
    </r>
  </si>
  <si>
    <t xml:space="preserve">https://kabuyoho-sls-disclose.ifis.co.jp/295/140120260420506569.pdf</t>
  </si>
  <si>
    <t xml:space="preserve">松井證券：決算情報（年度、季度）</t>
  </si>
  <si>
    <t xml:space="preserve">https://finance.matsui.co.jp/stock/6146/settlement/index</t>
  </si>
  <si>
    <r>
      <rPr>
        <sz val="11"/>
        <color theme="1"/>
        <rFont val="WenQuanYi Zen Hei"/>
        <family val="2"/>
      </rPr>
      <t xml:space="preserve">樂天證券 今中能夫：決算レポート（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WenQuanYi Zen Hei"/>
        <family val="2"/>
      </rPr>
      <t xml:space="preserve">）</t>
    </r>
  </si>
  <si>
    <t xml:space="preserve">https://media.rakuten-sec.net/articles/-/52260</t>
  </si>
  <si>
    <r>
      <rPr>
        <sz val="11"/>
        <color theme="1"/>
        <rFont val="WenQuanYi Zen Hei"/>
        <family val="2"/>
      </rPr>
      <t xml:space="preserve">樂天證券 今中能夫（</t>
    </r>
    <r>
      <rPr>
        <sz val="11"/>
        <color theme="1"/>
        <rFont val="Calibri"/>
        <family val="2"/>
        <charset val="1"/>
      </rPr>
      <t xml:space="preserve">2025-11-04</t>
    </r>
    <r>
      <rPr>
        <sz val="11"/>
        <color theme="1"/>
        <rFont val="WenQuanYi Zen Hei"/>
        <family val="2"/>
      </rPr>
      <t xml:space="preserve">）</t>
    </r>
  </si>
  <si>
    <t xml:space="preserve">https://media.rakuten-sec.net/articles/print/50557</t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</si>
  <si>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WenQuanYi Zen Hei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）</t>
    </r>
  </si>
  <si>
    <t xml:space="preserve">https://finance.biggo.com/news/JP_6146.T_2026-10-22</t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</si>
  <si>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WenQuanYi Zen Hei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WenQuanYi Zen Hei"/>
        <family val="2"/>
      </rPr>
      <t xml:space="preserve">）</t>
    </r>
  </si>
  <si>
    <t xml:space="preserve">https://finance.biggo.com/news/JP_6146.T_2026-07-23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</si>
  <si>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結果與指引（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）</t>
    </r>
  </si>
  <si>
    <t xml:space="preserve">https://www.investing.com/news/earnings/disco-reports-second-quarter-results-above-guidance-93CH-4965671</t>
  </si>
  <si>
    <r>
      <rPr>
        <sz val="11"/>
        <color theme="1"/>
        <rFont val="Calibri"/>
        <family val="2"/>
        <charset val="1"/>
      </rPr>
      <t xml:space="preserve">EE Times Japan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WenQuanYi Zen Hei"/>
        <family val="2"/>
      </rPr>
      <t xml:space="preserve">）</t>
    </r>
  </si>
  <si>
    <t xml:space="preserve">https://eetimes.itmedia.co.jp/ee/articles/2604/23/news056_2.html</t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</si>
  <si>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WenQuanYi Zen Hei"/>
        <family val="2"/>
      </rPr>
      <t xml:space="preserve">ファイナンス：株価時系列（年底收盤、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WenQuanYi Zen Hei"/>
        <family val="2"/>
      </rPr>
      <t xml:space="preserve">）</t>
    </r>
  </si>
  <si>
    <t xml:space="preserve">https://finance.yahoo.co.jp/quote/6146.T/history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</si>
  <si>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Historical prices</t>
    </r>
    <r>
      <rPr>
        <sz val="11"/>
        <color theme="1"/>
        <rFont val="WenQuanYi Zen Hei"/>
        <family val="2"/>
      </rPr>
      <t xml:space="preserve">（調整後）</t>
    </r>
  </si>
  <si>
    <t xml:space="preserve">https://finance.yahoo.com/quote/6146.T/history/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</si>
  <si>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：共識營收、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</si>
  <si>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https://stockanalysis.com/quote/tyo/6146/forecast/</t>
  </si>
  <si>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WenQuanYi Zen Hei"/>
        <family val="2"/>
      </rPr>
      <t xml:space="preserve">：市占 </t>
    </r>
    <r>
      <rPr>
        <sz val="11"/>
        <color theme="1"/>
        <rFont val="Calibri"/>
        <family val="2"/>
        <charset val="1"/>
      </rPr>
      <t xml:space="preserve">60–70%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）</t>
    </r>
  </si>
  <si>
    <t xml:space="preserve">https://www.morningstar.com.au/investments/security/fra/D65/summary</t>
  </si>
  <si>
    <r>
      <rPr>
        <sz val="11"/>
        <color theme="1"/>
        <rFont val="WenQuanYi Zen Hei"/>
        <family val="2"/>
      </rPr>
      <t xml:space="preserve">現代ビジネス（田宮寬之，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WenQuanYi Zen Hei"/>
        <family val="2"/>
      </rPr>
      <t xml:space="preserve">）：市占 </t>
    </r>
    <r>
      <rPr>
        <sz val="11"/>
        <color theme="1"/>
        <rFont val="Calibri"/>
        <family val="2"/>
        <charset val="1"/>
      </rPr>
      <t xml:space="preserve">7–8 </t>
    </r>
    <r>
      <rPr>
        <sz val="11"/>
        <color theme="1"/>
        <rFont val="WenQuanYi Zen Hei"/>
        <family val="2"/>
      </rPr>
      <t xml:space="preserve">成</t>
    </r>
  </si>
  <si>
    <t xml:space="preserve">https://gendai.media/articles/-/161100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</si>
  <si>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規格（</t>
    </r>
    <r>
      <rPr>
        <sz val="11"/>
        <color theme="1"/>
        <rFont val="Calibri"/>
        <family val="2"/>
        <charset val="1"/>
      </rPr>
      <t xml:space="preserve">2025-04-28</t>
    </r>
    <r>
      <rPr>
        <sz val="11"/>
        <color theme="1"/>
        <rFont val="WenQuanYi Zen Hei"/>
        <family val="2"/>
      </rPr>
      <t xml:space="preserve">）</t>
    </r>
  </si>
  <si>
    <t xml:space="preserve">https://www.trendforce.com/news/2025/04/28/news-following-jedecs-hbm4-standard-whats-next-for-sk-hynix-samsung-and-micron/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</si>
  <si>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高度上限放寬與混合鍵合（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WenQuanYi Zen Hei"/>
        <family val="2"/>
      </rPr>
      <t xml:space="preserve">）</t>
    </r>
  </si>
  <si>
    <t xml:space="preserve">https://www.trendforce.com/news/2026/03/06/news-industry-weigh-825-900-%CE%BCm-hbm-thickness-for-20-high-stacks-potentially-slowing-hybrid-bonding/</t>
  </si>
  <si>
    <r>
      <rPr>
        <sz val="11"/>
        <color theme="1"/>
        <rFont val="Calibri"/>
        <family val="2"/>
        <charset val="1"/>
      </rPr>
      <t xml:space="preserve">3D InCites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WenQuanYi Zen Hei"/>
        <family val="2"/>
      </rPr>
      <t xml:space="preserve">）：電漿切割與 </t>
    </r>
    <r>
      <rPr>
        <sz val="11"/>
        <color theme="1"/>
        <rFont val="Calibri"/>
        <family val="2"/>
        <charset val="1"/>
      </rPr>
      <t xml:space="preserve">D2W </t>
    </r>
    <r>
      <rPr>
        <sz val="11"/>
        <color theme="1"/>
        <rFont val="WenQuanYi Zen Hei"/>
        <family val="2"/>
      </rPr>
      <t xml:space="preserve">混合鍵合</t>
    </r>
  </si>
  <si>
    <t xml:space="preserve">https://www.3dincites.com/2023/06/plasma-dicing-enables-challenging-applications-including-d2w-hybrid-bonding/</t>
  </si>
  <si>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WenQuanYi Zen Hei"/>
        <family val="2"/>
      </rPr>
      <t xml:space="preserve">：混合鍵合說明（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WenQuanYi Zen Hei"/>
        <family val="2"/>
      </rPr>
      <t xml:space="preserve">）</t>
    </r>
  </si>
  <si>
    <t xml:space="preserve">https://referently.com/hybrid-bonding-explained-how-it-works-why-hbm-needs-it-and-who-supplies-the-tools/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</si>
  <si>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WenQuanYi Zen Hei"/>
        <family val="2"/>
      </rPr>
      <t xml:space="preserve">／半導體產業縱橫：</t>
    </r>
    <r>
      <rPr>
        <sz val="11"/>
        <color theme="1"/>
        <rFont val="Calibri"/>
        <family val="2"/>
        <charset val="1"/>
      </rPr>
      <t xml:space="preserve">CoWoS 2025 67 </t>
    </r>
    <r>
      <rPr>
        <sz val="11"/>
        <color theme="1"/>
        <rFont val="WenQuanYi Zen Hei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WenQuanYi Zen Hei"/>
        <family val="2"/>
      </rPr>
      <t xml:space="preserve">）</t>
    </r>
  </si>
  <si>
    <t xml:space="preserve">https://eu.36kr.com/en/p/3580962946874242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</si>
  <si>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月產能（</t>
    </r>
    <r>
      <rPr>
        <sz val="11"/>
        <color theme="1"/>
        <rFont val="Calibri"/>
        <family val="2"/>
        <charset val="1"/>
      </rPr>
      <t xml:space="preserve">2024-10-21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2025-01-02</t>
    </r>
    <r>
      <rPr>
        <sz val="11"/>
        <color theme="1"/>
        <rFont val="WenQuanYi Zen Hei"/>
        <family val="2"/>
      </rPr>
      <t xml:space="preserve">）</t>
    </r>
  </si>
  <si>
    <t xml:space="preserve">https://www.trendforce.com/news/2025/01/02/news-tsmc-set-to-expand-cowos-capacity-to-record-75000-wafers-in-2025-doubling-2024-output/</t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</si>
  <si>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WenQuanYi Zen Hei"/>
        <family val="2"/>
      </rPr>
      <t xml:space="preserve">：股票分割（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WenQuanYi Zen Hei"/>
        <family val="2"/>
      </rPr>
      <t xml:space="preserve">一股分三股）</t>
    </r>
  </si>
  <si>
    <t xml:space="preserve">https://www.tousaiblog.org/disco-bunkatsu</t>
  </si>
  <si>
    <r>
      <rPr>
        <sz val="11"/>
        <color theme="1"/>
        <rFont val="WenQuanYi Zen Hei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market.py @ 5fa3751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WenQuanYi Zen Hei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</si>
  <si>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無法開啟（建置環境被擋或逾時）：</t>
    </r>
    <r>
      <rPr>
        <sz val="11"/>
        <color theme="1"/>
        <rFont val="Calibri"/>
        <family val="2"/>
        <charset val="1"/>
      </rPr>
      <t xml:space="preserve">nikkei.com </t>
    </r>
    <r>
      <rPr>
        <sz val="11"/>
        <color theme="1"/>
        <rFont val="WenQuanYi Zen Hei"/>
        <family val="2"/>
      </rPr>
      <t xml:space="preserve">株價推移、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WenQuanYi Zen Hei"/>
        <family val="2"/>
      </rPr>
      <t xml:space="preserve">年足、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traders.co.jp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stooq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gyokaidigest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</si>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</sst>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"/>
    <numFmt numFmtId="166" formatCode="#,##0.00"/>
    <numFmt numFmtId="167" formatCode="0.0%"/>
    <numFmt numFmtId="168" formatCode="0.000"/>
    <numFmt numFmtId="169" formatCode="0%"/>
    <numFmt numFmtId="170" formatCode="0.0000"/>
    <numFmt numFmtId="171" formatCode="0.00"/>
    <numFmt numFmtId="172" formatCode="0.0"/>
    <numFmt numFmtId="173" formatCode="#,##0"/>
    <numFmt numFmtId="174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WenQuanYi Zen Hei"/>
      <family val="2"/>
    </font>
    <font>
      <sz val="11"/>
      <name val="Cambria"/>
      <family val="0"/>
      <charset val="1"/>
    </font>
    <font>
      <sz val="11"/>
      <name val="WenQuanYi Zen Hei"/>
      <family val="2"/>
    </font>
    <font>
      <sz val="11"/>
      <color theme="1"/>
      <name val="WenQuanYi Zen Hei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4.9" hidden="false" customHeight="false" outlineLevel="0" collapsed="false">
      <c r="A1" s="1" t="s">
        <v>0</v>
      </c>
    </row>
    <row r="2" customFormat="false" ht="14.9" hidden="false" customHeight="false" outlineLevel="0" collapsed="false">
      <c r="A2" s="2" t="s">
        <v>1</v>
      </c>
    </row>
    <row r="3" customFormat="false" ht="14.9" hidden="false" customHeight="false" outlineLevel="0" collapsed="false">
      <c r="A3" s="3" t="s">
        <v>2</v>
      </c>
    </row>
    <row r="4" customFormat="false" ht="14.9" hidden="false" customHeight="false" outlineLevel="0" collapsed="false">
      <c r="A4" s="3" t="s">
        <v>3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4.9" hidden="false" customHeight="false" outlineLevel="0" collapsed="false">
      <c r="A8" s="2" t="s">
        <v>6</v>
      </c>
    </row>
    <row r="9" customFormat="false" ht="14.9" hidden="false" customHeight="false" outlineLevel="0" collapsed="false">
      <c r="A9" s="2" t="s">
        <v>7</v>
      </c>
    </row>
    <row r="10" customFormat="false" ht="14.9" hidden="false" customHeight="false" outlineLevel="0" collapsed="false">
      <c r="A10" s="2" t="s">
        <v>8</v>
      </c>
    </row>
    <row r="11" customFormat="false" ht="14.9" hidden="false" customHeight="false" outlineLevel="0" collapsed="false">
      <c r="A11" s="2" t="s">
        <v>9</v>
      </c>
    </row>
    <row r="12" customFormat="false" ht="14.9" hidden="false" customHeight="false" outlineLevel="0" collapsed="false">
      <c r="A12" s="2" t="s">
        <v>10</v>
      </c>
    </row>
    <row r="13" customFormat="false" ht="14.9" hidden="false" customHeight="false" outlineLevel="0" collapsed="false">
      <c r="A13" s="2" t="s">
        <v>11</v>
      </c>
    </row>
    <row r="14" customFormat="false" ht="14.9" hidden="false" customHeight="false" outlineLevel="0" collapsed="false">
      <c r="A14" s="2" t="s">
        <v>12</v>
      </c>
    </row>
    <row r="15" customFormat="false" ht="15" hidden="false" customHeight="false" outlineLevel="0" collapsed="false">
      <c r="A15" s="2"/>
    </row>
    <row r="16" customFormat="false" ht="14.9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4.9" hidden="false" customHeight="false" outlineLevel="0" collapsed="false">
      <c r="A18" s="3" t="s">
        <v>14</v>
      </c>
    </row>
    <row r="19" customFormat="false" ht="14.9" hidden="false" customHeight="false" outlineLevel="0" collapsed="false">
      <c r="A19" s="3" t="s">
        <v>15</v>
      </c>
    </row>
    <row r="20" customFormat="false" ht="14.9" hidden="false" customHeight="false" outlineLevel="0" collapsed="false">
      <c r="A20" s="3" t="s">
        <v>16</v>
      </c>
    </row>
    <row r="21" customFormat="false" ht="14.9" hidden="false" customHeight="false" outlineLevel="0" collapsed="false">
      <c r="A21" s="3" t="s">
        <v>17</v>
      </c>
    </row>
    <row r="22" customFormat="false" ht="14.9" hidden="false" customHeight="false" outlineLevel="0" collapsed="false">
      <c r="A22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80"/>
  </cols>
  <sheetData>
    <row r="1" customFormat="false" ht="15" hidden="false" customHeight="false" outlineLevel="0" collapsed="false">
      <c r="A1" s="0" t="s">
        <v>19</v>
      </c>
    </row>
    <row r="2" customFormat="false" ht="15" hidden="false" customHeight="false" outlineLevel="0" collapsed="false">
      <c r="A2" s="5" t="s">
        <v>20</v>
      </c>
    </row>
    <row r="3" customFormat="false" ht="15" hidden="false" customHeight="false" outlineLevel="0" collapsed="false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</row>
    <row r="4" customFormat="false" ht="15" hidden="false" customHeight="false" outlineLevel="0" collapsed="false">
      <c r="A4" s="1" t="s">
        <v>30</v>
      </c>
    </row>
    <row r="5" customFormat="false" ht="15" hidden="false" customHeight="false" outlineLevel="0" collapsed="false">
      <c r="A5" s="0" t="s">
        <v>31</v>
      </c>
      <c r="B5" s="5" t="s">
        <v>32</v>
      </c>
      <c r="C5" s="0" t="s">
        <v>33</v>
      </c>
      <c r="E5" s="7" t="n">
        <v>436.889</v>
      </c>
      <c r="G5" s="8" t="s">
        <v>34</v>
      </c>
      <c r="H5" s="5" t="s">
        <v>35</v>
      </c>
      <c r="I5" s="5" t="s">
        <v>36</v>
      </c>
    </row>
    <row r="6" customFormat="false" ht="15" hidden="false" customHeight="false" outlineLevel="0" collapsed="false">
      <c r="A6" s="0" t="s">
        <v>37</v>
      </c>
      <c r="B6" s="5" t="s">
        <v>38</v>
      </c>
      <c r="C6" s="0" t="s">
        <v>33</v>
      </c>
      <c r="E6" s="7" t="n">
        <v>306.477</v>
      </c>
      <c r="G6" s="8" t="s">
        <v>34</v>
      </c>
      <c r="H6" s="5" t="s">
        <v>39</v>
      </c>
      <c r="I6" s="5" t="s">
        <v>40</v>
      </c>
    </row>
    <row r="7" customFormat="false" ht="15" hidden="false" customHeight="false" outlineLevel="0" collapsed="false">
      <c r="A7" s="0" t="s">
        <v>41</v>
      </c>
      <c r="B7" s="5" t="s">
        <v>42</v>
      </c>
      <c r="C7" s="0" t="s">
        <v>33</v>
      </c>
      <c r="E7" s="7" t="n">
        <v>121.487</v>
      </c>
      <c r="G7" s="8" t="s">
        <v>34</v>
      </c>
      <c r="H7" s="5" t="s">
        <v>43</v>
      </c>
      <c r="I7" s="5" t="s">
        <v>44</v>
      </c>
    </row>
    <row r="8" customFormat="false" ht="15" hidden="false" customHeight="false" outlineLevel="0" collapsed="false">
      <c r="A8" s="0" t="s">
        <v>45</v>
      </c>
      <c r="B8" s="5" t="s">
        <v>46</v>
      </c>
      <c r="C8" s="0" t="s">
        <v>33</v>
      </c>
      <c r="E8" s="7" t="n">
        <v>184.989</v>
      </c>
      <c r="G8" s="8" t="s">
        <v>34</v>
      </c>
      <c r="H8" s="5" t="s">
        <v>47</v>
      </c>
      <c r="I8" s="5" t="s">
        <v>48</v>
      </c>
    </row>
    <row r="9" customFormat="false" ht="15" hidden="false" customHeight="false" outlineLevel="0" collapsed="false">
      <c r="A9" s="0" t="s">
        <v>49</v>
      </c>
      <c r="B9" s="5" t="s">
        <v>50</v>
      </c>
      <c r="C9" s="0" t="s">
        <v>33</v>
      </c>
      <c r="E9" s="7" t="n">
        <v>135.521</v>
      </c>
      <c r="G9" s="8" t="s">
        <v>34</v>
      </c>
      <c r="H9" s="5" t="s">
        <v>51</v>
      </c>
      <c r="I9" s="5" t="s">
        <v>52</v>
      </c>
    </row>
    <row r="10" customFormat="false" ht="15" hidden="false" customHeight="false" outlineLevel="0" collapsed="false">
      <c r="A10" s="0" t="s">
        <v>53</v>
      </c>
      <c r="B10" s="5" t="s">
        <v>54</v>
      </c>
      <c r="C10" s="0" t="s">
        <v>55</v>
      </c>
      <c r="E10" s="7" t="n">
        <v>1249.84</v>
      </c>
      <c r="G10" s="8" t="s">
        <v>34</v>
      </c>
      <c r="H10" s="5" t="s">
        <v>56</v>
      </c>
      <c r="I10" s="5" t="s">
        <v>57</v>
      </c>
    </row>
    <row r="11" customFormat="false" ht="15" hidden="false" customHeight="false" outlineLevel="0" collapsed="false">
      <c r="A11" s="0" t="s">
        <v>58</v>
      </c>
      <c r="B11" s="5" t="s">
        <v>59</v>
      </c>
      <c r="C11" s="0" t="s">
        <v>60</v>
      </c>
      <c r="D11" s="7" t="n">
        <v>0.615</v>
      </c>
      <c r="E11" s="7" t="n">
        <v>0.62</v>
      </c>
      <c r="F11" s="7" t="n">
        <v>0.625</v>
      </c>
      <c r="G11" s="8" t="s">
        <v>34</v>
      </c>
      <c r="H11" s="5" t="s">
        <v>61</v>
      </c>
      <c r="I11" s="5" t="s">
        <v>62</v>
      </c>
    </row>
    <row r="12" customFormat="false" ht="15" hidden="false" customHeight="false" outlineLevel="0" collapsed="false">
      <c r="A12" s="0" t="s">
        <v>63</v>
      </c>
      <c r="B12" s="5" t="s">
        <v>64</v>
      </c>
      <c r="C12" s="0" t="s">
        <v>60</v>
      </c>
      <c r="D12" s="7" t="n">
        <v>0.205</v>
      </c>
      <c r="E12" s="7" t="n">
        <v>0.21</v>
      </c>
      <c r="F12" s="7" t="n">
        <v>0.215</v>
      </c>
      <c r="G12" s="8" t="s">
        <v>34</v>
      </c>
      <c r="H12" s="5" t="s">
        <v>65</v>
      </c>
      <c r="I12" s="5" t="s">
        <v>66</v>
      </c>
    </row>
    <row r="13" customFormat="false" ht="15" hidden="false" customHeight="false" outlineLevel="0" collapsed="false">
      <c r="A13" s="0" t="s">
        <v>67</v>
      </c>
      <c r="B13" s="5" t="s">
        <v>68</v>
      </c>
      <c r="C13" s="0" t="s">
        <v>33</v>
      </c>
      <c r="E13" s="0" t="n">
        <f aca="false">a25_rev*mix_eq</f>
        <v>270.87118</v>
      </c>
      <c r="G13" s="0" t="s">
        <v>69</v>
      </c>
      <c r="H13" s="0" t="s">
        <v>70</v>
      </c>
    </row>
    <row r="14" customFormat="false" ht="15" hidden="false" customHeight="false" outlineLevel="0" collapsed="false">
      <c r="A14" s="0" t="s">
        <v>71</v>
      </c>
      <c r="B14" s="5" t="s">
        <v>72</v>
      </c>
      <c r="C14" s="0" t="s">
        <v>33</v>
      </c>
      <c r="E14" s="0" t="n">
        <f aca="false">a25_rev*mix_tl</f>
        <v>91.74669</v>
      </c>
      <c r="G14" s="0" t="s">
        <v>69</v>
      </c>
      <c r="H14" s="0" t="s">
        <v>73</v>
      </c>
    </row>
    <row r="15" customFormat="false" ht="15" hidden="false" customHeight="false" outlineLevel="0" collapsed="false">
      <c r="A15" s="0" t="s">
        <v>74</v>
      </c>
      <c r="B15" s="5" t="s">
        <v>75</v>
      </c>
      <c r="C15" s="0" t="s">
        <v>33</v>
      </c>
      <c r="E15" s="0" t="n">
        <f aca="false">a25_rev-eq_25-tl_25</f>
        <v>74.27113</v>
      </c>
      <c r="G15" s="0" t="s">
        <v>69</v>
      </c>
      <c r="H15" s="5" t="s">
        <v>76</v>
      </c>
      <c r="I15" s="5" t="s">
        <v>77</v>
      </c>
    </row>
    <row r="16" customFormat="false" ht="15" hidden="false" customHeight="false" outlineLevel="0" collapsed="false">
      <c r="A16" s="0" t="s">
        <v>78</v>
      </c>
      <c r="B16" s="5" t="s">
        <v>79</v>
      </c>
      <c r="C16" s="0" t="s">
        <v>80</v>
      </c>
      <c r="E16" s="0" t="n">
        <f aca="false">ot_25/(eq_25+tl_25)</f>
        <v>0.204819277108434</v>
      </c>
      <c r="G16" s="0" t="s">
        <v>69</v>
      </c>
      <c r="H16" s="0" t="s">
        <v>81</v>
      </c>
      <c r="I16" s="0" t="s">
        <v>82</v>
      </c>
    </row>
    <row r="17" customFormat="false" ht="15" hidden="false" customHeight="false" outlineLevel="0" collapsed="false">
      <c r="A17" s="1" t="s">
        <v>83</v>
      </c>
    </row>
    <row r="18" customFormat="false" ht="15" hidden="false" customHeight="false" outlineLevel="0" collapsed="false">
      <c r="A18" s="0" t="s">
        <v>84</v>
      </c>
      <c r="B18" s="5" t="s">
        <v>85</v>
      </c>
      <c r="C18" s="0" t="s">
        <v>33</v>
      </c>
      <c r="D18" s="7" t="n">
        <v>67.5</v>
      </c>
      <c r="E18" s="7" t="n">
        <v>75</v>
      </c>
      <c r="F18" s="7" t="n">
        <v>82.5</v>
      </c>
      <c r="G18" s="8" t="s">
        <v>86</v>
      </c>
      <c r="H18" s="5" t="s">
        <v>87</v>
      </c>
      <c r="I18" s="5" t="s">
        <v>88</v>
      </c>
    </row>
    <row r="19" customFormat="false" ht="15" hidden="false" customHeight="false" outlineLevel="0" collapsed="false">
      <c r="A19" s="0" t="s">
        <v>89</v>
      </c>
      <c r="B19" s="0" t="s">
        <v>90</v>
      </c>
      <c r="C19" s="0" t="s">
        <v>60</v>
      </c>
      <c r="D19" s="7" t="n">
        <v>0.45</v>
      </c>
      <c r="E19" s="7" t="n">
        <v>0.48</v>
      </c>
      <c r="F19" s="7" t="n">
        <v>0.52</v>
      </c>
      <c r="G19" s="8" t="s">
        <v>86</v>
      </c>
      <c r="H19" s="5" t="s">
        <v>91</v>
      </c>
      <c r="I19" s="5" t="s">
        <v>92</v>
      </c>
    </row>
    <row r="20" customFormat="false" ht="15" hidden="false" customHeight="false" outlineLevel="0" collapsed="false">
      <c r="A20" s="0" t="s">
        <v>93</v>
      </c>
      <c r="B20" s="5" t="s">
        <v>94</v>
      </c>
      <c r="C20" s="0" t="s">
        <v>33</v>
      </c>
      <c r="E20" s="7" t="n">
        <v>55</v>
      </c>
      <c r="G20" s="8" t="s">
        <v>86</v>
      </c>
      <c r="H20" s="5" t="s">
        <v>95</v>
      </c>
      <c r="I20" s="5" t="s">
        <v>96</v>
      </c>
    </row>
    <row r="21" customFormat="false" ht="15" hidden="false" customHeight="false" outlineLevel="0" collapsed="false">
      <c r="A21" s="1" t="s">
        <v>97</v>
      </c>
    </row>
    <row r="22" customFormat="false" ht="15" hidden="false" customHeight="false" outlineLevel="0" collapsed="false">
      <c r="A22" s="0" t="s">
        <v>98</v>
      </c>
      <c r="B22" s="0" t="s">
        <v>99</v>
      </c>
      <c r="C22" s="0" t="s">
        <v>100</v>
      </c>
      <c r="E22" s="7" t="n">
        <v>2.22511470588235</v>
      </c>
      <c r="G22" s="8" t="s">
        <v>69</v>
      </c>
      <c r="H22" s="8" t="s">
        <v>101</v>
      </c>
      <c r="I22" s="8" t="s">
        <v>102</v>
      </c>
    </row>
    <row r="23" customFormat="false" ht="15" hidden="false" customHeight="false" outlineLevel="0" collapsed="false">
      <c r="A23" s="0" t="s">
        <v>103</v>
      </c>
      <c r="B23" s="0" t="s">
        <v>104</v>
      </c>
      <c r="C23" s="0" t="s">
        <v>100</v>
      </c>
      <c r="E23" s="7" t="n">
        <v>3.782695</v>
      </c>
      <c r="G23" s="8" t="s">
        <v>69</v>
      </c>
      <c r="H23" s="8" t="s">
        <v>101</v>
      </c>
      <c r="I23" s="5" t="s">
        <v>105</v>
      </c>
    </row>
    <row r="24" customFormat="false" ht="15" hidden="false" customHeight="false" outlineLevel="0" collapsed="false">
      <c r="A24" s="0" t="s">
        <v>106</v>
      </c>
      <c r="B24" s="0" t="s">
        <v>107</v>
      </c>
      <c r="C24" s="0" t="s">
        <v>100</v>
      </c>
      <c r="E24" s="7" t="n">
        <v>5.86317725</v>
      </c>
      <c r="G24" s="8" t="s">
        <v>69</v>
      </c>
      <c r="H24" s="8" t="s">
        <v>101</v>
      </c>
      <c r="I24" s="5" t="s">
        <v>105</v>
      </c>
    </row>
    <row r="25" customFormat="false" ht="15" hidden="false" customHeight="false" outlineLevel="0" collapsed="false">
      <c r="A25" s="0" t="s">
        <v>108</v>
      </c>
      <c r="B25" s="0" t="s">
        <v>109</v>
      </c>
      <c r="C25" s="0" t="s">
        <v>100</v>
      </c>
      <c r="E25" s="7" t="n">
        <v>8.5016070125</v>
      </c>
      <c r="G25" s="8" t="s">
        <v>69</v>
      </c>
      <c r="H25" s="8" t="s">
        <v>101</v>
      </c>
      <c r="I25" s="5" t="s">
        <v>105</v>
      </c>
    </row>
    <row r="26" customFormat="false" ht="15" hidden="false" customHeight="false" outlineLevel="0" collapsed="false">
      <c r="A26" s="0" t="s">
        <v>110</v>
      </c>
      <c r="B26" s="0" t="s">
        <v>111</v>
      </c>
      <c r="C26" s="0" t="s">
        <v>100</v>
      </c>
      <c r="E26" s="7" t="n">
        <v>11.477169466875</v>
      </c>
      <c r="G26" s="8" t="s">
        <v>69</v>
      </c>
      <c r="H26" s="8" t="s">
        <v>101</v>
      </c>
      <c r="I26" s="5" t="s">
        <v>105</v>
      </c>
    </row>
    <row r="27" customFormat="false" ht="15" hidden="false" customHeight="false" outlineLevel="0" collapsed="false">
      <c r="A27" s="0" t="s">
        <v>112</v>
      </c>
      <c r="B27" s="0" t="s">
        <v>113</v>
      </c>
      <c r="C27" s="0" t="s">
        <v>100</v>
      </c>
      <c r="E27" s="7" t="n">
        <v>2.22511470588235</v>
      </c>
      <c r="G27" s="8" t="s">
        <v>69</v>
      </c>
      <c r="H27" s="8" t="s">
        <v>114</v>
      </c>
      <c r="I27" s="8" t="s">
        <v>102</v>
      </c>
    </row>
    <row r="28" customFormat="false" ht="15" hidden="false" customHeight="false" outlineLevel="0" collapsed="false">
      <c r="A28" s="0" t="s">
        <v>115</v>
      </c>
      <c r="B28" s="0" t="s">
        <v>116</v>
      </c>
      <c r="C28" s="0" t="s">
        <v>100</v>
      </c>
      <c r="E28" s="7" t="n">
        <v>3.782695</v>
      </c>
      <c r="G28" s="8" t="s">
        <v>69</v>
      </c>
      <c r="H28" s="8" t="s">
        <v>114</v>
      </c>
      <c r="I28" s="5" t="s">
        <v>105</v>
      </c>
    </row>
    <row r="29" customFormat="false" ht="15" hidden="false" customHeight="false" outlineLevel="0" collapsed="false">
      <c r="A29" s="0" t="s">
        <v>117</v>
      </c>
      <c r="B29" s="0" t="s">
        <v>118</v>
      </c>
      <c r="C29" s="0" t="s">
        <v>100</v>
      </c>
      <c r="E29" s="7" t="n">
        <v>5.86317725</v>
      </c>
      <c r="G29" s="8" t="s">
        <v>69</v>
      </c>
      <c r="H29" s="8" t="s">
        <v>114</v>
      </c>
      <c r="I29" s="5" t="s">
        <v>105</v>
      </c>
    </row>
    <row r="30" customFormat="false" ht="15" hidden="false" customHeight="false" outlineLevel="0" collapsed="false">
      <c r="A30" s="0" t="s">
        <v>119</v>
      </c>
      <c r="B30" s="0" t="s">
        <v>120</v>
      </c>
      <c r="C30" s="0" t="s">
        <v>100</v>
      </c>
      <c r="E30" s="7" t="n">
        <v>8.22296</v>
      </c>
      <c r="G30" s="8" t="s">
        <v>69</v>
      </c>
      <c r="H30" s="8" t="s">
        <v>114</v>
      </c>
      <c r="I30" s="5" t="s">
        <v>105</v>
      </c>
    </row>
    <row r="31" customFormat="false" ht="15" hidden="false" customHeight="false" outlineLevel="0" collapsed="false">
      <c r="A31" s="0" t="s">
        <v>121</v>
      </c>
      <c r="B31" s="0" t="s">
        <v>122</v>
      </c>
      <c r="C31" s="0" t="s">
        <v>100</v>
      </c>
      <c r="E31" s="7" t="n">
        <v>11.3579635</v>
      </c>
      <c r="G31" s="8" t="s">
        <v>69</v>
      </c>
      <c r="H31" s="8" t="s">
        <v>114</v>
      </c>
      <c r="I31" s="5" t="s">
        <v>105</v>
      </c>
    </row>
    <row r="32" customFormat="false" ht="15" hidden="false" customHeight="false" outlineLevel="0" collapsed="false">
      <c r="A32" s="0" t="s">
        <v>123</v>
      </c>
      <c r="B32" s="0" t="s">
        <v>124</v>
      </c>
      <c r="C32" s="0" t="s">
        <v>100</v>
      </c>
      <c r="E32" s="7" t="n">
        <v>2.22511470588235</v>
      </c>
      <c r="G32" s="8" t="s">
        <v>69</v>
      </c>
      <c r="H32" s="8" t="s">
        <v>125</v>
      </c>
      <c r="I32" s="8" t="s">
        <v>102</v>
      </c>
    </row>
    <row r="33" customFormat="false" ht="15" hidden="false" customHeight="false" outlineLevel="0" collapsed="false">
      <c r="A33" s="0" t="s">
        <v>126</v>
      </c>
      <c r="B33" s="0" t="s">
        <v>127</v>
      </c>
      <c r="C33" s="0" t="s">
        <v>100</v>
      </c>
      <c r="E33" s="7" t="n">
        <v>3.782695</v>
      </c>
      <c r="G33" s="8" t="s">
        <v>69</v>
      </c>
      <c r="H33" s="8" t="s">
        <v>125</v>
      </c>
      <c r="I33" s="5" t="s">
        <v>105</v>
      </c>
    </row>
    <row r="34" customFormat="false" ht="15" hidden="false" customHeight="false" outlineLevel="0" collapsed="false">
      <c r="A34" s="0" t="s">
        <v>128</v>
      </c>
      <c r="B34" s="0" t="s">
        <v>129</v>
      </c>
      <c r="C34" s="0" t="s">
        <v>100</v>
      </c>
      <c r="E34" s="7" t="n">
        <v>5.86317725</v>
      </c>
      <c r="G34" s="8" t="s">
        <v>69</v>
      </c>
      <c r="H34" s="8" t="s">
        <v>125</v>
      </c>
      <c r="I34" s="5" t="s">
        <v>105</v>
      </c>
    </row>
    <row r="35" customFormat="false" ht="15" hidden="false" customHeight="false" outlineLevel="0" collapsed="false">
      <c r="A35" s="0" t="s">
        <v>130</v>
      </c>
      <c r="B35" s="0" t="s">
        <v>131</v>
      </c>
      <c r="C35" s="0" t="s">
        <v>100</v>
      </c>
      <c r="E35" s="7" t="n">
        <v>6.16722</v>
      </c>
      <c r="G35" s="8" t="s">
        <v>69</v>
      </c>
      <c r="H35" s="8" t="s">
        <v>125</v>
      </c>
      <c r="I35" s="5" t="s">
        <v>105</v>
      </c>
    </row>
    <row r="36" customFormat="false" ht="15" hidden="false" customHeight="false" outlineLevel="0" collapsed="false">
      <c r="A36" s="0" t="s">
        <v>132</v>
      </c>
      <c r="B36" s="0" t="s">
        <v>133</v>
      </c>
      <c r="C36" s="0" t="s">
        <v>100</v>
      </c>
      <c r="E36" s="7" t="n">
        <v>8.017386</v>
      </c>
      <c r="G36" s="8" t="s">
        <v>69</v>
      </c>
      <c r="H36" s="8" t="s">
        <v>125</v>
      </c>
      <c r="I36" s="5" t="s">
        <v>105</v>
      </c>
    </row>
    <row r="37" customFormat="false" ht="15" hidden="false" customHeight="false" outlineLevel="0" collapsed="false">
      <c r="A37" s="0" t="s">
        <v>134</v>
      </c>
      <c r="B37" s="0" t="s">
        <v>135</v>
      </c>
      <c r="C37" s="0" t="s">
        <v>136</v>
      </c>
      <c r="D37" s="7" t="n">
        <v>22</v>
      </c>
      <c r="E37" s="7" t="n">
        <v>24</v>
      </c>
      <c r="F37" s="7" t="n">
        <v>24</v>
      </c>
      <c r="G37" s="8" t="s">
        <v>137</v>
      </c>
      <c r="H37" s="8" t="s">
        <v>138</v>
      </c>
      <c r="I37" s="5" t="s">
        <v>139</v>
      </c>
    </row>
    <row r="38" customFormat="false" ht="15" hidden="false" customHeight="false" outlineLevel="0" collapsed="false">
      <c r="A38" s="0" t="s">
        <v>140</v>
      </c>
      <c r="B38" s="0" t="s">
        <v>141</v>
      </c>
      <c r="C38" s="0" t="s">
        <v>136</v>
      </c>
      <c r="D38" s="7" t="n">
        <v>24</v>
      </c>
      <c r="E38" s="7" t="n">
        <v>24</v>
      </c>
      <c r="F38" s="7" t="n">
        <v>26</v>
      </c>
      <c r="G38" s="8" t="s">
        <v>137</v>
      </c>
      <c r="H38" s="8" t="s">
        <v>138</v>
      </c>
      <c r="I38" s="5" t="s">
        <v>105</v>
      </c>
    </row>
    <row r="39" customFormat="false" ht="15" hidden="false" customHeight="false" outlineLevel="0" collapsed="false">
      <c r="A39" s="0" t="s">
        <v>142</v>
      </c>
      <c r="B39" s="0" t="s">
        <v>143</v>
      </c>
      <c r="C39" s="0" t="s">
        <v>136</v>
      </c>
      <c r="D39" s="7" t="n">
        <v>24</v>
      </c>
      <c r="E39" s="7" t="n">
        <v>26</v>
      </c>
      <c r="F39" s="7" t="n">
        <v>28</v>
      </c>
      <c r="G39" s="8" t="s">
        <v>137</v>
      </c>
      <c r="H39" s="8" t="s">
        <v>138</v>
      </c>
      <c r="I39" s="5" t="s">
        <v>105</v>
      </c>
    </row>
    <row r="40" customFormat="false" ht="15" hidden="false" customHeight="false" outlineLevel="0" collapsed="false">
      <c r="A40" s="0" t="s">
        <v>144</v>
      </c>
      <c r="B40" s="0" t="s">
        <v>145</v>
      </c>
      <c r="C40" s="0" t="s">
        <v>136</v>
      </c>
      <c r="D40" s="7" t="n">
        <v>24</v>
      </c>
      <c r="E40" s="7" t="n">
        <v>28</v>
      </c>
      <c r="F40" s="7" t="n">
        <v>32</v>
      </c>
      <c r="G40" s="8" t="s">
        <v>137</v>
      </c>
      <c r="H40" s="8" t="s">
        <v>138</v>
      </c>
      <c r="I40" s="5" t="s">
        <v>105</v>
      </c>
    </row>
    <row r="41" customFormat="false" ht="15" hidden="false" customHeight="false" outlineLevel="0" collapsed="false">
      <c r="A41" s="0" t="s">
        <v>146</v>
      </c>
      <c r="B41" s="0" t="s">
        <v>147</v>
      </c>
      <c r="C41" s="0" t="s">
        <v>136</v>
      </c>
      <c r="D41" s="7" t="n">
        <v>26</v>
      </c>
      <c r="E41" s="7" t="n">
        <v>30</v>
      </c>
      <c r="F41" s="7" t="n">
        <v>32</v>
      </c>
      <c r="G41" s="8" t="s">
        <v>137</v>
      </c>
      <c r="H41" s="8" t="s">
        <v>138</v>
      </c>
      <c r="I41" s="5" t="s">
        <v>105</v>
      </c>
    </row>
    <row r="42" customFormat="false" ht="15" hidden="false" customHeight="false" outlineLevel="0" collapsed="false">
      <c r="A42" s="0" t="s">
        <v>148</v>
      </c>
      <c r="B42" s="0" t="s">
        <v>149</v>
      </c>
      <c r="C42" s="0" t="s">
        <v>136</v>
      </c>
      <c r="D42" s="7" t="n">
        <v>28</v>
      </c>
      <c r="E42" s="7" t="n">
        <v>32</v>
      </c>
      <c r="F42" s="7" t="n">
        <v>32</v>
      </c>
      <c r="G42" s="8" t="s">
        <v>137</v>
      </c>
      <c r="H42" s="8" t="s">
        <v>138</v>
      </c>
      <c r="I42" s="5" t="s">
        <v>105</v>
      </c>
    </row>
    <row r="43" customFormat="false" ht="15" hidden="false" customHeight="false" outlineLevel="0" collapsed="false">
      <c r="A43" s="0" t="s">
        <v>150</v>
      </c>
      <c r="B43" s="0" t="s">
        <v>151</v>
      </c>
      <c r="C43" s="5" t="s">
        <v>152</v>
      </c>
      <c r="D43" s="7" t="n">
        <v>8</v>
      </c>
      <c r="E43" s="7" t="n">
        <v>10</v>
      </c>
      <c r="F43" s="7" t="n">
        <v>12</v>
      </c>
      <c r="G43" s="8" t="s">
        <v>137</v>
      </c>
      <c r="H43" s="8" t="s">
        <v>153</v>
      </c>
      <c r="I43" s="5" t="s">
        <v>154</v>
      </c>
    </row>
    <row r="44" customFormat="false" ht="15" hidden="false" customHeight="false" outlineLevel="0" collapsed="false">
      <c r="A44" s="0" t="s">
        <v>155</v>
      </c>
      <c r="B44" s="0" t="s">
        <v>156</v>
      </c>
      <c r="C44" s="5" t="s">
        <v>152</v>
      </c>
      <c r="D44" s="7" t="n">
        <v>10</v>
      </c>
      <c r="E44" s="7" t="n">
        <v>12</v>
      </c>
      <c r="F44" s="7" t="n">
        <v>12</v>
      </c>
      <c r="G44" s="8" t="s">
        <v>137</v>
      </c>
      <c r="H44" s="8" t="s">
        <v>153</v>
      </c>
      <c r="I44" s="5" t="s">
        <v>105</v>
      </c>
    </row>
    <row r="45" customFormat="false" ht="15" hidden="false" customHeight="false" outlineLevel="0" collapsed="false">
      <c r="A45" s="0" t="s">
        <v>157</v>
      </c>
      <c r="B45" s="0" t="s">
        <v>158</v>
      </c>
      <c r="C45" s="5" t="s">
        <v>152</v>
      </c>
      <c r="D45" s="7" t="n">
        <v>12</v>
      </c>
      <c r="E45" s="7" t="n">
        <v>12.5</v>
      </c>
      <c r="F45" s="7" t="n">
        <v>14</v>
      </c>
      <c r="G45" s="8" t="s">
        <v>137</v>
      </c>
      <c r="H45" s="8" t="s">
        <v>153</v>
      </c>
      <c r="I45" s="5" t="s">
        <v>105</v>
      </c>
    </row>
    <row r="46" customFormat="false" ht="15" hidden="false" customHeight="false" outlineLevel="0" collapsed="false">
      <c r="A46" s="0" t="s">
        <v>159</v>
      </c>
      <c r="B46" s="0" t="s">
        <v>160</v>
      </c>
      <c r="C46" s="5" t="s">
        <v>152</v>
      </c>
      <c r="D46" s="7" t="n">
        <v>12</v>
      </c>
      <c r="E46" s="7" t="n">
        <v>14</v>
      </c>
      <c r="F46" s="7" t="n">
        <v>16</v>
      </c>
      <c r="G46" s="8" t="s">
        <v>137</v>
      </c>
      <c r="H46" s="8" t="s">
        <v>153</v>
      </c>
      <c r="I46" s="5" t="s">
        <v>105</v>
      </c>
    </row>
    <row r="47" customFormat="false" ht="15" hidden="false" customHeight="false" outlineLevel="0" collapsed="false">
      <c r="A47" s="0" t="s">
        <v>161</v>
      </c>
      <c r="B47" s="0" t="s">
        <v>162</v>
      </c>
      <c r="C47" s="5" t="s">
        <v>152</v>
      </c>
      <c r="D47" s="7" t="n">
        <v>12</v>
      </c>
      <c r="E47" s="7" t="n">
        <v>15</v>
      </c>
      <c r="F47" s="7" t="n">
        <v>16</v>
      </c>
      <c r="G47" s="8" t="s">
        <v>137</v>
      </c>
      <c r="H47" s="8" t="s">
        <v>153</v>
      </c>
      <c r="I47" s="5" t="s">
        <v>105</v>
      </c>
    </row>
    <row r="48" customFormat="false" ht="15" hidden="false" customHeight="false" outlineLevel="0" collapsed="false">
      <c r="A48" s="0" t="s">
        <v>163</v>
      </c>
      <c r="B48" s="0" t="s">
        <v>164</v>
      </c>
      <c r="C48" s="5" t="s">
        <v>152</v>
      </c>
      <c r="D48" s="7" t="n">
        <v>14</v>
      </c>
      <c r="E48" s="7" t="n">
        <v>16</v>
      </c>
      <c r="F48" s="7" t="n">
        <v>16</v>
      </c>
      <c r="G48" s="8" t="s">
        <v>137</v>
      </c>
      <c r="H48" s="8" t="s">
        <v>153</v>
      </c>
      <c r="I48" s="5" t="s">
        <v>105</v>
      </c>
    </row>
    <row r="49" customFormat="false" ht="15" hidden="false" customHeight="false" outlineLevel="0" collapsed="false">
      <c r="A49" s="0" t="s">
        <v>165</v>
      </c>
      <c r="B49" s="5" t="s">
        <v>166</v>
      </c>
      <c r="C49" s="5" t="s">
        <v>167</v>
      </c>
      <c r="D49" s="7" t="n">
        <v>2</v>
      </c>
      <c r="E49" s="7" t="n">
        <v>3</v>
      </c>
      <c r="F49" s="7" t="n">
        <v>4</v>
      </c>
      <c r="G49" s="8" t="s">
        <v>137</v>
      </c>
      <c r="H49" s="5" t="s">
        <v>168</v>
      </c>
      <c r="I49" s="5" t="s">
        <v>169</v>
      </c>
    </row>
    <row r="50" customFormat="false" ht="15" hidden="false" customHeight="false" outlineLevel="0" collapsed="false">
      <c r="A50" s="0" t="s">
        <v>170</v>
      </c>
      <c r="B50" s="5" t="s">
        <v>171</v>
      </c>
      <c r="C50" s="0" t="s">
        <v>172</v>
      </c>
      <c r="D50" s="7" t="n">
        <v>0.05</v>
      </c>
      <c r="E50" s="7" t="n">
        <v>0.1</v>
      </c>
      <c r="F50" s="7" t="n">
        <v>0.15</v>
      </c>
      <c r="G50" s="8" t="s">
        <v>137</v>
      </c>
      <c r="H50" s="5" t="s">
        <v>173</v>
      </c>
      <c r="I50" s="5" t="s">
        <v>174</v>
      </c>
    </row>
    <row r="51" customFormat="false" ht="15" hidden="false" customHeight="false" outlineLevel="0" collapsed="false">
      <c r="A51" s="0" t="s">
        <v>175</v>
      </c>
      <c r="B51" s="0" t="s">
        <v>176</v>
      </c>
      <c r="C51" s="0" t="s">
        <v>60</v>
      </c>
      <c r="D51" s="7" t="n">
        <v>0</v>
      </c>
      <c r="E51" s="7" t="n">
        <v>0.1</v>
      </c>
      <c r="F51" s="7" t="n">
        <v>0.2</v>
      </c>
      <c r="G51" s="8" t="s">
        <v>137</v>
      </c>
      <c r="H51" s="5" t="s">
        <v>177</v>
      </c>
    </row>
    <row r="52" customFormat="false" ht="15" hidden="false" customHeight="false" outlineLevel="0" collapsed="false">
      <c r="A52" s="1" t="s">
        <v>178</v>
      </c>
    </row>
    <row r="53" customFormat="false" ht="15" hidden="false" customHeight="false" outlineLevel="0" collapsed="false">
      <c r="A53" s="0" t="s">
        <v>179</v>
      </c>
      <c r="B53" s="0" t="s">
        <v>180</v>
      </c>
      <c r="C53" s="5" t="s">
        <v>181</v>
      </c>
      <c r="D53" s="7" t="n">
        <v>600</v>
      </c>
      <c r="E53" s="7" t="n">
        <v>670</v>
      </c>
      <c r="F53" s="7" t="n">
        <v>700</v>
      </c>
      <c r="G53" s="8" t="s">
        <v>86</v>
      </c>
      <c r="H53" s="8" t="s">
        <v>182</v>
      </c>
      <c r="I53" s="5" t="s">
        <v>183</v>
      </c>
    </row>
    <row r="54" customFormat="false" ht="15" hidden="false" customHeight="false" outlineLevel="0" collapsed="false">
      <c r="A54" s="0" t="s">
        <v>184</v>
      </c>
      <c r="B54" s="0" t="s">
        <v>185</v>
      </c>
      <c r="C54" s="5" t="s">
        <v>181</v>
      </c>
      <c r="E54" s="7" t="n">
        <v>1107.85762580894</v>
      </c>
      <c r="G54" s="8" t="s">
        <v>69</v>
      </c>
      <c r="H54" s="8" t="s">
        <v>186</v>
      </c>
      <c r="I54" s="5" t="s">
        <v>187</v>
      </c>
    </row>
    <row r="55" customFormat="false" ht="15" hidden="false" customHeight="false" outlineLevel="0" collapsed="false">
      <c r="A55" s="0" t="s">
        <v>188</v>
      </c>
      <c r="B55" s="0" t="s">
        <v>189</v>
      </c>
      <c r="C55" s="5" t="s">
        <v>181</v>
      </c>
      <c r="E55" s="7" t="n">
        <v>2096.42857142857</v>
      </c>
      <c r="G55" s="8" t="s">
        <v>69</v>
      </c>
      <c r="H55" s="8" t="s">
        <v>186</v>
      </c>
      <c r="I55" s="5" t="s">
        <v>105</v>
      </c>
    </row>
    <row r="56" customFormat="false" ht="15" hidden="false" customHeight="false" outlineLevel="0" collapsed="false">
      <c r="A56" s="0" t="s">
        <v>190</v>
      </c>
      <c r="B56" s="0" t="s">
        <v>191</v>
      </c>
      <c r="C56" s="5" t="s">
        <v>181</v>
      </c>
      <c r="E56" s="7" t="n">
        <v>2620.08928571429</v>
      </c>
      <c r="G56" s="8" t="s">
        <v>69</v>
      </c>
      <c r="H56" s="8" t="s">
        <v>186</v>
      </c>
      <c r="I56" s="5" t="s">
        <v>105</v>
      </c>
    </row>
    <row r="57" customFormat="false" ht="15" hidden="false" customHeight="false" outlineLevel="0" collapsed="false">
      <c r="A57" s="0" t="s">
        <v>192</v>
      </c>
      <c r="B57" s="0" t="s">
        <v>193</v>
      </c>
      <c r="C57" s="5" t="s">
        <v>181</v>
      </c>
      <c r="E57" s="7" t="n">
        <v>3013.32589285714</v>
      </c>
      <c r="G57" s="8" t="s">
        <v>69</v>
      </c>
      <c r="H57" s="8" t="s">
        <v>186</v>
      </c>
      <c r="I57" s="5" t="s">
        <v>105</v>
      </c>
    </row>
    <row r="58" customFormat="false" ht="15" hidden="false" customHeight="false" outlineLevel="0" collapsed="false">
      <c r="A58" s="0" t="s">
        <v>194</v>
      </c>
      <c r="B58" s="5" t="s">
        <v>195</v>
      </c>
      <c r="C58" s="0" t="s">
        <v>80</v>
      </c>
      <c r="E58" s="7" t="n">
        <v>1</v>
      </c>
      <c r="G58" s="8" t="s">
        <v>137</v>
      </c>
      <c r="H58" s="8" t="s">
        <v>196</v>
      </c>
      <c r="I58" s="5" t="s">
        <v>197</v>
      </c>
    </row>
    <row r="59" customFormat="false" ht="15" hidden="false" customHeight="false" outlineLevel="0" collapsed="false">
      <c r="A59" s="0" t="s">
        <v>198</v>
      </c>
      <c r="B59" s="5" t="s">
        <v>199</v>
      </c>
      <c r="C59" s="0" t="s">
        <v>80</v>
      </c>
      <c r="E59" s="7" t="n">
        <v>1</v>
      </c>
      <c r="G59" s="8" t="s">
        <v>137</v>
      </c>
      <c r="H59" s="8" t="s">
        <v>196</v>
      </c>
      <c r="I59" s="5" t="s">
        <v>105</v>
      </c>
    </row>
    <row r="60" customFormat="false" ht="15" hidden="false" customHeight="false" outlineLevel="0" collapsed="false">
      <c r="A60" s="0" t="s">
        <v>200</v>
      </c>
      <c r="B60" s="5" t="s">
        <v>201</v>
      </c>
      <c r="C60" s="0" t="s">
        <v>80</v>
      </c>
      <c r="E60" s="7" t="n">
        <v>0.8</v>
      </c>
      <c r="G60" s="8" t="s">
        <v>137</v>
      </c>
      <c r="H60" s="8" t="s">
        <v>196</v>
      </c>
      <c r="I60" s="5" t="s">
        <v>105</v>
      </c>
    </row>
    <row r="61" customFormat="false" ht="15" hidden="false" customHeight="false" outlineLevel="0" collapsed="false">
      <c r="A61" s="0" t="s">
        <v>202</v>
      </c>
      <c r="B61" s="5" t="s">
        <v>203</v>
      </c>
      <c r="C61" s="0" t="s">
        <v>80</v>
      </c>
      <c r="E61" s="7" t="n">
        <v>0.85</v>
      </c>
      <c r="G61" s="8" t="s">
        <v>137</v>
      </c>
      <c r="H61" s="8" t="s">
        <v>196</v>
      </c>
      <c r="I61" s="5" t="s">
        <v>105</v>
      </c>
    </row>
    <row r="62" customFormat="false" ht="15" hidden="false" customHeight="false" outlineLevel="0" collapsed="false">
      <c r="A62" s="0" t="s">
        <v>204</v>
      </c>
      <c r="B62" s="5" t="s">
        <v>205</v>
      </c>
      <c r="C62" s="0" t="s">
        <v>80</v>
      </c>
      <c r="E62" s="7" t="n">
        <v>0.6</v>
      </c>
      <c r="G62" s="8" t="s">
        <v>137</v>
      </c>
      <c r="H62" s="8" t="s">
        <v>196</v>
      </c>
      <c r="I62" s="5" t="s">
        <v>105</v>
      </c>
    </row>
    <row r="63" customFormat="false" ht="15" hidden="false" customHeight="false" outlineLevel="0" collapsed="false">
      <c r="A63" s="0" t="s">
        <v>206</v>
      </c>
      <c r="B63" s="5" t="s">
        <v>207</v>
      </c>
      <c r="C63" s="0" t="s">
        <v>80</v>
      </c>
      <c r="E63" s="7" t="n">
        <v>0.6</v>
      </c>
      <c r="G63" s="8" t="s">
        <v>137</v>
      </c>
      <c r="H63" s="8" t="s">
        <v>196</v>
      </c>
      <c r="I63" s="5" t="s">
        <v>105</v>
      </c>
    </row>
    <row r="64" customFormat="false" ht="15" hidden="false" customHeight="false" outlineLevel="0" collapsed="false">
      <c r="A64" s="1" t="s">
        <v>208</v>
      </c>
    </row>
    <row r="65" customFormat="false" ht="15" hidden="false" customHeight="false" outlineLevel="0" collapsed="false">
      <c r="A65" s="0" t="s">
        <v>209</v>
      </c>
      <c r="B65" s="5" t="s">
        <v>210</v>
      </c>
      <c r="C65" s="0" t="s">
        <v>211</v>
      </c>
      <c r="D65" s="7" t="n">
        <v>0</v>
      </c>
      <c r="E65" s="7" t="n">
        <v>1</v>
      </c>
      <c r="F65" s="7" t="n">
        <v>1</v>
      </c>
      <c r="G65" s="8" t="s">
        <v>137</v>
      </c>
      <c r="H65" s="5" t="s">
        <v>212</v>
      </c>
    </row>
    <row r="66" customFormat="false" ht="15" hidden="false" customHeight="false" outlineLevel="0" collapsed="false">
      <c r="A66" s="0" t="s">
        <v>213</v>
      </c>
      <c r="B66" s="5" t="s">
        <v>214</v>
      </c>
      <c r="C66" s="0" t="s">
        <v>60</v>
      </c>
      <c r="D66" s="7" t="n">
        <v>0</v>
      </c>
      <c r="E66" s="7" t="n">
        <v>0</v>
      </c>
      <c r="F66" s="7" t="n">
        <v>0</v>
      </c>
      <c r="G66" s="8" t="s">
        <v>137</v>
      </c>
      <c r="H66" s="8" t="s">
        <v>215</v>
      </c>
      <c r="I66" s="5" t="s">
        <v>216</v>
      </c>
    </row>
    <row r="67" customFormat="false" ht="15" hidden="false" customHeight="false" outlineLevel="0" collapsed="false">
      <c r="A67" s="0" t="s">
        <v>217</v>
      </c>
      <c r="B67" s="5" t="s">
        <v>218</v>
      </c>
      <c r="C67" s="0" t="s">
        <v>60</v>
      </c>
      <c r="D67" s="7" t="n">
        <v>0</v>
      </c>
      <c r="E67" s="7" t="n">
        <v>0</v>
      </c>
      <c r="F67" s="7" t="n">
        <v>0</v>
      </c>
      <c r="G67" s="8" t="s">
        <v>137</v>
      </c>
      <c r="H67" s="5" t="s">
        <v>105</v>
      </c>
    </row>
    <row r="68" customFormat="false" ht="15" hidden="false" customHeight="false" outlineLevel="0" collapsed="false">
      <c r="A68" s="0" t="s">
        <v>219</v>
      </c>
      <c r="B68" s="5" t="s">
        <v>220</v>
      </c>
      <c r="C68" s="0" t="s">
        <v>60</v>
      </c>
      <c r="D68" s="7" t="n">
        <v>0</v>
      </c>
      <c r="E68" s="7" t="n">
        <v>0</v>
      </c>
      <c r="F68" s="7" t="n">
        <v>0.05</v>
      </c>
      <c r="G68" s="8" t="s">
        <v>137</v>
      </c>
      <c r="H68" s="5" t="s">
        <v>105</v>
      </c>
    </row>
    <row r="69" customFormat="false" ht="15" hidden="false" customHeight="false" outlineLevel="0" collapsed="false">
      <c r="A69" s="0" t="s">
        <v>221</v>
      </c>
      <c r="B69" s="5" t="s">
        <v>222</v>
      </c>
      <c r="C69" s="0" t="s">
        <v>60</v>
      </c>
      <c r="D69" s="7" t="n">
        <v>0</v>
      </c>
      <c r="E69" s="7" t="n">
        <v>0.05</v>
      </c>
      <c r="F69" s="7" t="n">
        <v>0.15</v>
      </c>
      <c r="G69" s="8" t="s">
        <v>137</v>
      </c>
      <c r="H69" s="5" t="s">
        <v>105</v>
      </c>
    </row>
    <row r="70" customFormat="false" ht="15" hidden="false" customHeight="false" outlineLevel="0" collapsed="false">
      <c r="A70" s="0" t="s">
        <v>223</v>
      </c>
      <c r="B70" s="5" t="s">
        <v>224</v>
      </c>
      <c r="C70" s="0" t="s">
        <v>60</v>
      </c>
      <c r="D70" s="7" t="n">
        <v>0.05</v>
      </c>
      <c r="E70" s="7" t="n">
        <v>0.15</v>
      </c>
      <c r="F70" s="7" t="n">
        <v>0.3</v>
      </c>
      <c r="G70" s="8" t="s">
        <v>137</v>
      </c>
      <c r="H70" s="5" t="s">
        <v>105</v>
      </c>
    </row>
    <row r="71" customFormat="false" ht="15" hidden="false" customHeight="false" outlineLevel="0" collapsed="false">
      <c r="A71" s="0" t="s">
        <v>225</v>
      </c>
      <c r="B71" s="5" t="s">
        <v>226</v>
      </c>
      <c r="C71" s="0" t="s">
        <v>60</v>
      </c>
      <c r="D71" s="7" t="n">
        <v>0.1</v>
      </c>
      <c r="E71" s="7" t="n">
        <v>0.25</v>
      </c>
      <c r="F71" s="7" t="n">
        <v>0.4</v>
      </c>
      <c r="G71" s="8" t="s">
        <v>137</v>
      </c>
      <c r="H71" s="5" t="s">
        <v>105</v>
      </c>
    </row>
    <row r="72" customFormat="false" ht="15" hidden="false" customHeight="false" outlineLevel="0" collapsed="false">
      <c r="A72" s="0" t="s">
        <v>227</v>
      </c>
      <c r="B72" s="5" t="s">
        <v>228</v>
      </c>
      <c r="C72" s="0" t="s">
        <v>60</v>
      </c>
      <c r="D72" s="7" t="n">
        <v>-0.2</v>
      </c>
      <c r="E72" s="7" t="n">
        <v>0.1</v>
      </c>
      <c r="F72" s="7" t="n">
        <v>0.3</v>
      </c>
      <c r="G72" s="8" t="s">
        <v>137</v>
      </c>
      <c r="H72" s="5" t="s">
        <v>229</v>
      </c>
      <c r="I72" s="5" t="s">
        <v>230</v>
      </c>
    </row>
    <row r="73" customFormat="false" ht="15" hidden="false" customHeight="false" outlineLevel="0" collapsed="false">
      <c r="A73" s="1" t="s">
        <v>231</v>
      </c>
    </row>
    <row r="74" customFormat="false" ht="15" hidden="false" customHeight="false" outlineLevel="0" collapsed="false">
      <c r="A74" s="0" t="s">
        <v>232</v>
      </c>
      <c r="B74" s="5" t="s">
        <v>233</v>
      </c>
      <c r="C74" s="0" t="s">
        <v>60</v>
      </c>
      <c r="D74" s="7" t="n">
        <v>0</v>
      </c>
      <c r="E74" s="7" t="n">
        <v>0.06</v>
      </c>
      <c r="F74" s="7" t="n">
        <v>0.12</v>
      </c>
      <c r="G74" s="8" t="s">
        <v>234</v>
      </c>
      <c r="H74" s="5" t="s">
        <v>235</v>
      </c>
      <c r="I74" s="5" t="s">
        <v>236</v>
      </c>
    </row>
    <row r="75" customFormat="false" ht="15" hidden="false" customHeight="false" outlineLevel="0" collapsed="false">
      <c r="A75" s="0" t="s">
        <v>237</v>
      </c>
      <c r="B75" s="5" t="s">
        <v>238</v>
      </c>
      <c r="C75" s="0" t="s">
        <v>60</v>
      </c>
      <c r="D75" s="7" t="n">
        <v>-0.05</v>
      </c>
      <c r="E75" s="7" t="n">
        <v>0</v>
      </c>
      <c r="F75" s="7" t="n">
        <v>0.05</v>
      </c>
      <c r="G75" s="8" t="s">
        <v>137</v>
      </c>
      <c r="H75" s="8" t="s">
        <v>239</v>
      </c>
    </row>
    <row r="76" customFormat="false" ht="15" hidden="false" customHeight="false" outlineLevel="0" collapsed="false">
      <c r="A76" s="0" t="s">
        <v>240</v>
      </c>
      <c r="B76" s="5" t="s">
        <v>241</v>
      </c>
      <c r="C76" s="0" t="s">
        <v>60</v>
      </c>
      <c r="D76" s="7" t="n">
        <v>-0.2</v>
      </c>
      <c r="E76" s="7" t="n">
        <v>-0.12</v>
      </c>
      <c r="F76" s="7" t="n">
        <v>-0.04</v>
      </c>
      <c r="G76" s="8" t="s">
        <v>234</v>
      </c>
      <c r="H76" s="5" t="s">
        <v>242</v>
      </c>
      <c r="I76" s="5" t="s">
        <v>243</v>
      </c>
    </row>
    <row r="77" customFormat="false" ht="15" hidden="false" customHeight="false" outlineLevel="0" collapsed="false">
      <c r="A77" s="0" t="s">
        <v>244</v>
      </c>
      <c r="B77" s="5" t="s">
        <v>245</v>
      </c>
      <c r="C77" s="0" t="s">
        <v>60</v>
      </c>
      <c r="D77" s="7" t="n">
        <v>0</v>
      </c>
      <c r="E77" s="7" t="n">
        <v>0.05</v>
      </c>
      <c r="F77" s="7" t="n">
        <v>0.1</v>
      </c>
      <c r="G77" s="8" t="s">
        <v>234</v>
      </c>
      <c r="H77" s="5" t="s">
        <v>246</v>
      </c>
      <c r="I77" s="5" t="s">
        <v>247</v>
      </c>
    </row>
    <row r="78" customFormat="false" ht="15" hidden="false" customHeight="false" outlineLevel="0" collapsed="false">
      <c r="A78" s="0" t="s">
        <v>248</v>
      </c>
      <c r="B78" s="5" t="s">
        <v>249</v>
      </c>
      <c r="C78" s="0" t="s">
        <v>60</v>
      </c>
      <c r="D78" s="7" t="n">
        <v>-0.05</v>
      </c>
      <c r="E78" s="7" t="n">
        <v>0</v>
      </c>
      <c r="F78" s="7" t="n">
        <v>0.05</v>
      </c>
      <c r="G78" s="8" t="s">
        <v>137</v>
      </c>
      <c r="H78" s="5" t="s">
        <v>250</v>
      </c>
    </row>
    <row r="79" customFormat="false" ht="15" hidden="false" customHeight="false" outlineLevel="0" collapsed="false">
      <c r="A79" s="0" t="s">
        <v>251</v>
      </c>
      <c r="B79" s="0" t="s">
        <v>252</v>
      </c>
      <c r="C79" s="0" t="s">
        <v>60</v>
      </c>
      <c r="D79" s="7" t="n">
        <v>0.1</v>
      </c>
      <c r="E79" s="8" t="n">
        <f aca="false">ai_25/eq_25</f>
        <v>0.276884384673187</v>
      </c>
      <c r="F79" s="7" t="n">
        <v>0.4</v>
      </c>
      <c r="G79" s="8" t="s">
        <v>137</v>
      </c>
      <c r="H79" s="5" t="s">
        <v>253</v>
      </c>
      <c r="I79" s="8" t="s">
        <v>254</v>
      </c>
    </row>
    <row r="80" customFormat="false" ht="15" hidden="false" customHeight="false" outlineLevel="0" collapsed="false">
      <c r="A80" s="1" t="s">
        <v>255</v>
      </c>
    </row>
    <row r="81" customFormat="false" ht="15" hidden="false" customHeight="false" outlineLevel="0" collapsed="false">
      <c r="A81" s="0" t="s">
        <v>256</v>
      </c>
      <c r="B81" s="0" t="s">
        <v>257</v>
      </c>
      <c r="C81" s="0" t="s">
        <v>60</v>
      </c>
      <c r="D81" s="7" t="n">
        <v>0.6</v>
      </c>
      <c r="E81" s="7" t="n">
        <v>0.7</v>
      </c>
      <c r="F81" s="7" t="n">
        <v>0.8</v>
      </c>
      <c r="G81" s="8" t="s">
        <v>86</v>
      </c>
      <c r="H81" s="8" t="s">
        <v>258</v>
      </c>
      <c r="I81" s="5" t="s">
        <v>259</v>
      </c>
    </row>
    <row r="82" customFormat="false" ht="15" hidden="false" customHeight="false" outlineLevel="0" collapsed="false">
      <c r="A82" s="0" t="s">
        <v>260</v>
      </c>
      <c r="B82" s="0" t="s">
        <v>261</v>
      </c>
      <c r="C82" s="0" t="s">
        <v>262</v>
      </c>
      <c r="D82" s="7" t="n">
        <v>0</v>
      </c>
      <c r="E82" s="7" t="n">
        <v>0</v>
      </c>
      <c r="F82" s="7" t="n">
        <v>0.1</v>
      </c>
      <c r="G82" s="8" t="s">
        <v>137</v>
      </c>
      <c r="H82" s="5" t="s">
        <v>263</v>
      </c>
    </row>
    <row r="83" customFormat="false" ht="15" hidden="false" customHeight="false" outlineLevel="0" collapsed="false">
      <c r="A83" s="1" t="s">
        <v>264</v>
      </c>
    </row>
    <row r="84" customFormat="false" ht="15" hidden="false" customHeight="false" outlineLevel="0" collapsed="false">
      <c r="A84" s="0" t="s">
        <v>265</v>
      </c>
      <c r="B84" s="5" t="s">
        <v>266</v>
      </c>
      <c r="C84" s="0" t="s">
        <v>80</v>
      </c>
      <c r="E84" s="0" t="n">
        <f aca="false">SLOPE(Hist!H6:H16,Hist!I6:I16)</f>
        <v>0.113825958947893</v>
      </c>
      <c r="G84" s="0" t="s">
        <v>69</v>
      </c>
      <c r="H84" s="0" t="s">
        <v>267</v>
      </c>
      <c r="I84" s="5" t="s">
        <v>268</v>
      </c>
    </row>
    <row r="85" customFormat="false" ht="15" hidden="false" customHeight="false" outlineLevel="0" collapsed="false">
      <c r="A85" s="0" t="s">
        <v>269</v>
      </c>
      <c r="B85" s="5" t="s">
        <v>270</v>
      </c>
      <c r="C85" s="0" t="s">
        <v>60</v>
      </c>
      <c r="E85" s="0" t="n">
        <f aca="false">INTERCEPT(Hist!H6:H16,Hist!I6:I16)</f>
        <v>0.0104284537436804</v>
      </c>
      <c r="G85" s="0" t="s">
        <v>69</v>
      </c>
      <c r="H85" s="5" t="s">
        <v>105</v>
      </c>
    </row>
    <row r="86" customFormat="false" ht="15" hidden="false" customHeight="false" outlineLevel="0" collapsed="false">
      <c r="A86" s="0" t="s">
        <v>271</v>
      </c>
      <c r="B86" s="5" t="s">
        <v>272</v>
      </c>
      <c r="C86" s="0" t="s">
        <v>80</v>
      </c>
      <c r="E86" s="0" t="n">
        <f aca="false">SLOPE(Hist!H10:H16,Hist!I10:I16)</f>
        <v>0.112677868954118</v>
      </c>
      <c r="G86" s="0" t="s">
        <v>69</v>
      </c>
      <c r="H86" s="0" t="s">
        <v>273</v>
      </c>
    </row>
    <row r="87" customFormat="false" ht="15" hidden="false" customHeight="false" outlineLevel="0" collapsed="false">
      <c r="A87" s="0" t="s">
        <v>274</v>
      </c>
      <c r="B87" s="5" t="s">
        <v>275</v>
      </c>
      <c r="C87" s="0" t="s">
        <v>60</v>
      </c>
      <c r="E87" s="0" t="n">
        <f aca="false">INTERCEPT(Hist!H10:H16,Hist!I10:I16)</f>
        <v>0.0169467151840429</v>
      </c>
      <c r="G87" s="0" t="s">
        <v>69</v>
      </c>
      <c r="H87" s="5" t="s">
        <v>105</v>
      </c>
    </row>
    <row r="88" customFormat="false" ht="15" hidden="false" customHeight="false" outlineLevel="0" collapsed="false">
      <c r="A88" s="0" t="s">
        <v>276</v>
      </c>
      <c r="B88" s="5" t="s">
        <v>277</v>
      </c>
      <c r="C88" s="0" t="s">
        <v>262</v>
      </c>
      <c r="D88" s="7" t="n">
        <v>-0.03</v>
      </c>
      <c r="E88" s="7" t="n">
        <v>-0.01</v>
      </c>
      <c r="F88" s="7" t="n">
        <v>0</v>
      </c>
      <c r="G88" s="8" t="s">
        <v>137</v>
      </c>
      <c r="H88" s="5" t="s">
        <v>278</v>
      </c>
    </row>
    <row r="89" customFormat="false" ht="15" hidden="false" customHeight="false" outlineLevel="0" collapsed="false">
      <c r="A89" s="0" t="s">
        <v>279</v>
      </c>
      <c r="B89" s="5" t="s">
        <v>280</v>
      </c>
      <c r="C89" s="0" t="s">
        <v>80</v>
      </c>
      <c r="E89" s="0" t="n">
        <f aca="false">SLOPE(Hist!D6:D16,Hist!B6:B16)</f>
        <v>0.2523670341155</v>
      </c>
      <c r="G89" s="0" t="s">
        <v>69</v>
      </c>
      <c r="H89" s="0" t="s">
        <v>281</v>
      </c>
      <c r="I89" s="0" t="s">
        <v>282</v>
      </c>
    </row>
    <row r="90" customFormat="false" ht="15" hidden="false" customHeight="false" outlineLevel="0" collapsed="false">
      <c r="A90" s="0" t="s">
        <v>283</v>
      </c>
      <c r="B90" s="5" t="s">
        <v>284</v>
      </c>
      <c r="C90" s="0" t="s">
        <v>33</v>
      </c>
      <c r="E90" s="0" t="n">
        <f aca="false">INTERCEPT(Hist!D6:D16,Hist!B6:B16)</f>
        <v>8.12334232639923</v>
      </c>
      <c r="G90" s="0" t="s">
        <v>69</v>
      </c>
      <c r="H90" s="5" t="s">
        <v>105</v>
      </c>
    </row>
    <row r="91" customFormat="false" ht="15" hidden="false" customHeight="false" outlineLevel="0" collapsed="false">
      <c r="A91" s="0" t="s">
        <v>285</v>
      </c>
      <c r="B91" s="5" t="s">
        <v>286</v>
      </c>
      <c r="C91" s="0" t="s">
        <v>60</v>
      </c>
      <c r="E91" s="7" t="n">
        <v>0.26226</v>
      </c>
      <c r="G91" s="8" t="s">
        <v>34</v>
      </c>
      <c r="H91" s="5" t="s">
        <v>287</v>
      </c>
      <c r="I91" s="8" t="s">
        <v>288</v>
      </c>
    </row>
    <row r="92" customFormat="false" ht="15" hidden="false" customHeight="false" outlineLevel="0" collapsed="false">
      <c r="A92" s="0" t="s">
        <v>289</v>
      </c>
      <c r="B92" s="5" t="s">
        <v>290</v>
      </c>
      <c r="C92" s="0" t="s">
        <v>60</v>
      </c>
      <c r="E92" s="7" t="n">
        <v>0.29249</v>
      </c>
      <c r="G92" s="8" t="s">
        <v>34</v>
      </c>
      <c r="H92" s="5" t="s">
        <v>291</v>
      </c>
      <c r="I92" s="8" t="s">
        <v>292</v>
      </c>
    </row>
    <row r="93" customFormat="false" ht="15" hidden="false" customHeight="false" outlineLevel="0" collapsed="false">
      <c r="A93" s="0" t="s">
        <v>293</v>
      </c>
      <c r="B93" s="5" t="s">
        <v>294</v>
      </c>
      <c r="C93" s="0" t="s">
        <v>262</v>
      </c>
      <c r="E93" s="0" t="n">
        <f aca="false">0.232*0.04</f>
        <v>0.00928</v>
      </c>
      <c r="G93" s="0" t="s">
        <v>69</v>
      </c>
      <c r="H93" s="5" t="s">
        <v>295</v>
      </c>
      <c r="I93" s="5" t="s">
        <v>296</v>
      </c>
    </row>
    <row r="94" customFormat="false" ht="15" hidden="false" customHeight="false" outlineLevel="0" collapsed="false">
      <c r="A94" s="0" t="s">
        <v>297</v>
      </c>
      <c r="B94" s="5" t="s">
        <v>298</v>
      </c>
      <c r="C94" s="0" t="s">
        <v>60</v>
      </c>
      <c r="D94" s="0" t="n">
        <f aca="false">etr_25</f>
        <v>0.26226</v>
      </c>
      <c r="E94" s="0" t="n">
        <f aca="false">etr_25+def_t</f>
        <v>0.27154</v>
      </c>
      <c r="F94" s="0" t="n">
        <f aca="false">etr_h1</f>
        <v>0.29249</v>
      </c>
      <c r="G94" s="0" t="s">
        <v>69</v>
      </c>
      <c r="H94" s="5" t="s">
        <v>299</v>
      </c>
    </row>
    <row r="95" customFormat="false" ht="15" hidden="false" customHeight="false" outlineLevel="0" collapsed="false">
      <c r="A95" s="0" t="s">
        <v>300</v>
      </c>
      <c r="B95" s="5" t="s">
        <v>301</v>
      </c>
      <c r="C95" s="0" t="s">
        <v>80</v>
      </c>
      <c r="D95" s="7" t="n">
        <v>0.97</v>
      </c>
      <c r="E95" s="7" t="n">
        <v>0.99</v>
      </c>
      <c r="F95" s="7" t="n">
        <v>1</v>
      </c>
      <c r="G95" s="8" t="s">
        <v>69</v>
      </c>
      <c r="H95" s="8" t="s">
        <v>302</v>
      </c>
      <c r="I95" s="5" t="s">
        <v>303</v>
      </c>
    </row>
    <row r="96" customFormat="false" ht="15" hidden="false" customHeight="false" outlineLevel="0" collapsed="false">
      <c r="A96" s="0" t="s">
        <v>304</v>
      </c>
      <c r="B96" s="5" t="s">
        <v>305</v>
      </c>
      <c r="C96" s="0" t="s">
        <v>80</v>
      </c>
      <c r="D96" s="0" t="n">
        <f aca="false">pbt_oi_lo*(1-etr_hi)</f>
        <v>0.6862847</v>
      </c>
      <c r="E96" s="0" t="n">
        <f aca="false">pbt_oi*(1-etr)</f>
        <v>0.7211754</v>
      </c>
      <c r="F96" s="0" t="n">
        <f aca="false">pbt_oi_hi*(1-etr_lo)</f>
        <v>0.73774</v>
      </c>
      <c r="G96" s="0" t="s">
        <v>69</v>
      </c>
      <c r="H96" s="5" t="s">
        <v>306</v>
      </c>
      <c r="I96" s="0" t="s">
        <v>307</v>
      </c>
    </row>
    <row r="97" customFormat="false" ht="15" hidden="false" customHeight="false" outlineLevel="0" collapsed="false">
      <c r="A97" s="0" t="s">
        <v>308</v>
      </c>
      <c r="B97" s="0" t="s">
        <v>309</v>
      </c>
      <c r="C97" s="0" t="s">
        <v>80</v>
      </c>
      <c r="E97" s="0" t="n">
        <f aca="false">a25_ni/a25_oi</f>
        <v>0.732589505321938</v>
      </c>
      <c r="G97" s="0" t="s">
        <v>69</v>
      </c>
      <c r="H97" s="0" t="s">
        <v>310</v>
      </c>
    </row>
    <row r="98" customFormat="false" ht="15" hidden="false" customHeight="false" outlineLevel="0" collapsed="false">
      <c r="A98" s="0" t="s">
        <v>311</v>
      </c>
      <c r="B98" s="5" t="s">
        <v>312</v>
      </c>
      <c r="C98" s="5" t="s">
        <v>313</v>
      </c>
      <c r="E98" s="7" t="n">
        <v>108.480881</v>
      </c>
      <c r="G98" s="8" t="s">
        <v>34</v>
      </c>
      <c r="H98" s="5" t="s">
        <v>314</v>
      </c>
      <c r="I98" s="8" t="s">
        <v>315</v>
      </c>
    </row>
    <row r="99" customFormat="false" ht="15" hidden="false" customHeight="false" outlineLevel="0" collapsed="false">
      <c r="A99" s="1" t="s">
        <v>316</v>
      </c>
    </row>
    <row r="100" customFormat="false" ht="15" hidden="false" customHeight="false" outlineLevel="0" collapsed="false">
      <c r="A100" s="0" t="s">
        <v>317</v>
      </c>
      <c r="B100" s="0" t="s">
        <v>318</v>
      </c>
      <c r="C100" s="0" t="s">
        <v>33</v>
      </c>
      <c r="E100" s="7" t="n">
        <v>257.058</v>
      </c>
      <c r="G100" s="8" t="s">
        <v>34</v>
      </c>
      <c r="H100" s="5" t="s">
        <v>319</v>
      </c>
      <c r="I100" s="5" t="s">
        <v>320</v>
      </c>
    </row>
    <row r="101" customFormat="false" ht="15" hidden="false" customHeight="false" outlineLevel="0" collapsed="false">
      <c r="A101" s="0" t="s">
        <v>321</v>
      </c>
      <c r="B101" s="0" t="s">
        <v>322</v>
      </c>
      <c r="C101" s="0" t="s">
        <v>33</v>
      </c>
      <c r="E101" s="7" t="n">
        <v>116.639</v>
      </c>
      <c r="G101" s="8" t="s">
        <v>34</v>
      </c>
      <c r="H101" s="5" t="s">
        <v>323</v>
      </c>
      <c r="I101" s="5" t="s">
        <v>324</v>
      </c>
    </row>
    <row r="102" customFormat="false" ht="15" hidden="false" customHeight="false" outlineLevel="0" collapsed="false">
      <c r="A102" s="0" t="s">
        <v>325</v>
      </c>
      <c r="B102" s="0" t="s">
        <v>326</v>
      </c>
      <c r="C102" s="0" t="s">
        <v>33</v>
      </c>
      <c r="E102" s="7" t="n">
        <v>80.366</v>
      </c>
      <c r="G102" s="8" t="s">
        <v>34</v>
      </c>
      <c r="H102" s="5" t="s">
        <v>327</v>
      </c>
      <c r="I102" s="5" t="s">
        <v>324</v>
      </c>
    </row>
    <row r="103" customFormat="false" ht="15" hidden="false" customHeight="false" outlineLevel="0" collapsed="false">
      <c r="A103" s="0" t="s">
        <v>328</v>
      </c>
      <c r="B103" s="0" t="s">
        <v>329</v>
      </c>
      <c r="C103" s="0" t="s">
        <v>55</v>
      </c>
      <c r="E103" s="7" t="n">
        <v>740.84</v>
      </c>
      <c r="G103" s="8" t="s">
        <v>34</v>
      </c>
      <c r="H103" s="5" t="s">
        <v>330</v>
      </c>
      <c r="I103" s="5" t="s">
        <v>324</v>
      </c>
    </row>
    <row r="104" customFormat="false" ht="15" hidden="false" customHeight="false" outlineLevel="0" collapsed="false">
      <c r="A104" s="0" t="s">
        <v>331</v>
      </c>
      <c r="B104" s="0" t="s">
        <v>332</v>
      </c>
      <c r="C104" s="0" t="s">
        <v>33</v>
      </c>
      <c r="E104" s="7" t="n">
        <v>183.917</v>
      </c>
      <c r="G104" s="8" t="s">
        <v>34</v>
      </c>
      <c r="H104" s="5" t="s">
        <v>333</v>
      </c>
      <c r="I104" s="5" t="s">
        <v>334</v>
      </c>
    </row>
    <row r="105" customFormat="false" ht="15" hidden="false" customHeight="false" outlineLevel="0" collapsed="false">
      <c r="A105" s="0" t="s">
        <v>335</v>
      </c>
      <c r="B105" s="5" t="s">
        <v>336</v>
      </c>
      <c r="C105" s="0" t="s">
        <v>33</v>
      </c>
      <c r="E105" s="7" t="n">
        <v>389.5</v>
      </c>
      <c r="G105" s="8" t="s">
        <v>86</v>
      </c>
      <c r="H105" s="5" t="s">
        <v>337</v>
      </c>
      <c r="I105" s="8" t="s">
        <v>338</v>
      </c>
    </row>
    <row r="106" customFormat="false" ht="15" hidden="false" customHeight="false" outlineLevel="0" collapsed="false">
      <c r="A106" s="0" t="s">
        <v>339</v>
      </c>
      <c r="B106" s="5" t="s">
        <v>340</v>
      </c>
      <c r="C106" s="0" t="s">
        <v>33</v>
      </c>
      <c r="E106" s="7" t="n">
        <v>174.7</v>
      </c>
      <c r="G106" s="8" t="s">
        <v>86</v>
      </c>
      <c r="H106" s="5" t="s">
        <v>341</v>
      </c>
      <c r="I106" s="5" t="s">
        <v>105</v>
      </c>
    </row>
    <row r="107" customFormat="false" ht="15" hidden="false" customHeight="false" outlineLevel="0" collapsed="false">
      <c r="A107" s="0" t="s">
        <v>342</v>
      </c>
      <c r="B107" s="5" t="s">
        <v>343</v>
      </c>
      <c r="C107" s="0" t="s">
        <v>33</v>
      </c>
      <c r="E107" s="7" t="n">
        <v>121.9</v>
      </c>
      <c r="G107" s="8" t="s">
        <v>86</v>
      </c>
      <c r="H107" s="5" t="s">
        <v>344</v>
      </c>
      <c r="I107" s="5" t="s">
        <v>105</v>
      </c>
    </row>
    <row r="108" customFormat="false" ht="15" hidden="false" customHeight="false" outlineLevel="0" collapsed="false">
      <c r="A108" s="0" t="s">
        <v>345</v>
      </c>
      <c r="B108" s="5" t="s">
        <v>346</v>
      </c>
      <c r="C108" s="0" t="s">
        <v>33</v>
      </c>
      <c r="E108" s="0" t="n">
        <f aca="false">g9_rev-q26h1_rev</f>
        <v>132.442</v>
      </c>
      <c r="G108" s="0" t="s">
        <v>69</v>
      </c>
      <c r="H108" s="5" t="s">
        <v>347</v>
      </c>
      <c r="I108" s="5" t="s">
        <v>348</v>
      </c>
    </row>
    <row r="109" customFormat="false" ht="15" hidden="false" customHeight="false" outlineLevel="0" collapsed="false">
      <c r="A109" s="0" t="s">
        <v>349</v>
      </c>
      <c r="B109" s="5" t="s">
        <v>350</v>
      </c>
      <c r="C109" s="0" t="s">
        <v>33</v>
      </c>
      <c r="E109" s="0" t="n">
        <f aca="false">g9_oi-q26h1_oi</f>
        <v>58.061</v>
      </c>
      <c r="G109" s="0" t="s">
        <v>69</v>
      </c>
      <c r="H109" s="0" t="s">
        <v>351</v>
      </c>
      <c r="I109" s="5" t="s">
        <v>105</v>
      </c>
    </row>
    <row r="110" customFormat="false" ht="15" hidden="false" customHeight="false" outlineLevel="0" collapsed="false">
      <c r="A110" s="0" t="s">
        <v>352</v>
      </c>
      <c r="B110" s="5" t="s">
        <v>353</v>
      </c>
      <c r="C110" s="0" t="s">
        <v>33</v>
      </c>
      <c r="E110" s="0" t="n">
        <f aca="false">g9_ni-q26h1_ni</f>
        <v>41.534</v>
      </c>
      <c r="G110" s="0" t="s">
        <v>69</v>
      </c>
      <c r="H110" s="0" t="s">
        <v>354</v>
      </c>
      <c r="I110" s="5" t="s">
        <v>355</v>
      </c>
    </row>
    <row r="111" customFormat="false" ht="15" hidden="false" customHeight="false" outlineLevel="0" collapsed="false">
      <c r="A111" s="0" t="s">
        <v>356</v>
      </c>
      <c r="B111" s="0" t="s">
        <v>357</v>
      </c>
      <c r="C111" s="0" t="s">
        <v>33</v>
      </c>
      <c r="E111" s="7" t="n">
        <v>67.277</v>
      </c>
      <c r="G111" s="8" t="s">
        <v>34</v>
      </c>
      <c r="H111" s="5" t="s">
        <v>358</v>
      </c>
      <c r="I111" s="5" t="s">
        <v>359</v>
      </c>
    </row>
    <row r="112" customFormat="false" ht="15" hidden="false" customHeight="false" outlineLevel="0" collapsed="false">
      <c r="A112" s="0" t="s">
        <v>360</v>
      </c>
      <c r="B112" s="5" t="s">
        <v>361</v>
      </c>
      <c r="C112" s="0" t="s">
        <v>60</v>
      </c>
      <c r="D112" s="7" t="n">
        <v>0.69</v>
      </c>
      <c r="E112" s="7" t="n">
        <v>0.698</v>
      </c>
      <c r="F112" s="7" t="n">
        <v>0.705</v>
      </c>
      <c r="G112" s="8" t="s">
        <v>86</v>
      </c>
      <c r="H112" s="5" t="s">
        <v>362</v>
      </c>
      <c r="I112" s="5" t="s">
        <v>363</v>
      </c>
    </row>
    <row r="113" customFormat="false" ht="15" hidden="false" customHeight="false" outlineLevel="0" collapsed="false">
      <c r="A113" s="0" t="s">
        <v>364</v>
      </c>
      <c r="B113" s="0" t="s">
        <v>365</v>
      </c>
      <c r="C113" s="0" t="s">
        <v>33</v>
      </c>
      <c r="E113" s="7" t="n">
        <v>34.8</v>
      </c>
      <c r="G113" s="8" t="s">
        <v>34</v>
      </c>
      <c r="H113" s="5" t="s">
        <v>366</v>
      </c>
      <c r="I113" s="5" t="s">
        <v>367</v>
      </c>
    </row>
    <row r="114" customFormat="false" ht="15" hidden="false" customHeight="false" outlineLevel="0" collapsed="false">
      <c r="A114" s="0" t="s">
        <v>368</v>
      </c>
      <c r="B114" s="5" t="s">
        <v>369</v>
      </c>
      <c r="C114" s="0" t="s">
        <v>60</v>
      </c>
      <c r="D114" s="7" t="n">
        <v>0</v>
      </c>
      <c r="E114" s="7" t="n">
        <v>0.1</v>
      </c>
      <c r="F114" s="7" t="n">
        <v>0.22</v>
      </c>
      <c r="G114" s="8" t="s">
        <v>137</v>
      </c>
      <c r="H114" s="5" t="s">
        <v>370</v>
      </c>
      <c r="I114" s="5" t="s">
        <v>371</v>
      </c>
    </row>
    <row r="115" customFormat="false" ht="15" hidden="false" customHeight="false" outlineLevel="0" collapsed="false">
      <c r="A115" s="0" t="s">
        <v>372</v>
      </c>
      <c r="B115" s="5" t="s">
        <v>373</v>
      </c>
      <c r="C115" s="0" t="s">
        <v>60</v>
      </c>
      <c r="D115" s="0" t="n">
        <f aca="false">g3_oi/g3_rev-0.02</f>
        <v>0.418388124613038</v>
      </c>
      <c r="E115" s="0" t="n">
        <f aca="false">g3_oi/g3_rev</f>
        <v>0.438388124613038</v>
      </c>
      <c r="F115" s="0" t="n">
        <f aca="false">g3_oi/g3_rev+0.02</f>
        <v>0.458388124613038</v>
      </c>
      <c r="G115" s="0" t="s">
        <v>137</v>
      </c>
      <c r="H115" s="5" t="s">
        <v>374</v>
      </c>
      <c r="I115" s="5" t="s">
        <v>375</v>
      </c>
    </row>
    <row r="116" customFormat="false" ht="15" hidden="false" customHeight="false" outlineLevel="0" collapsed="false">
      <c r="A116" s="0" t="s">
        <v>376</v>
      </c>
      <c r="B116" s="5" t="s">
        <v>377</v>
      </c>
      <c r="C116" s="0" t="s">
        <v>211</v>
      </c>
      <c r="D116" s="7" t="n">
        <v>0</v>
      </c>
      <c r="E116" s="7" t="n">
        <v>1</v>
      </c>
      <c r="F116" s="7" t="n">
        <v>1</v>
      </c>
      <c r="G116" s="8" t="s">
        <v>137</v>
      </c>
      <c r="H116" s="8" t="s">
        <v>378</v>
      </c>
      <c r="I116" s="8" t="s">
        <v>379</v>
      </c>
    </row>
    <row r="117" customFormat="false" ht="15" hidden="false" customHeight="false" outlineLevel="0" collapsed="false">
      <c r="A117" s="0" t="s">
        <v>380</v>
      </c>
      <c r="B117" s="5" t="s">
        <v>381</v>
      </c>
      <c r="C117" s="0" t="s">
        <v>33</v>
      </c>
      <c r="D117" s="7" t="n">
        <v>541</v>
      </c>
      <c r="E117" s="7" t="n">
        <v>564.96</v>
      </c>
      <c r="F117" s="7" t="n">
        <v>598.7</v>
      </c>
      <c r="G117" s="8" t="s">
        <v>86</v>
      </c>
      <c r="H117" s="8" t="s">
        <v>382</v>
      </c>
      <c r="I117" s="5" t="s">
        <v>383</v>
      </c>
    </row>
    <row r="118" customFormat="false" ht="15" hidden="false" customHeight="false" outlineLevel="0" collapsed="false">
      <c r="A118" s="0" t="s">
        <v>384</v>
      </c>
      <c r="B118" s="5" t="s">
        <v>385</v>
      </c>
      <c r="C118" s="0" t="s">
        <v>33</v>
      </c>
      <c r="E118" s="7" t="n">
        <v>240</v>
      </c>
      <c r="G118" s="8" t="s">
        <v>86</v>
      </c>
      <c r="H118" s="5" t="s">
        <v>386</v>
      </c>
      <c r="I118" s="5" t="s">
        <v>387</v>
      </c>
    </row>
    <row r="119" customFormat="false" ht="15" hidden="false" customHeight="false" outlineLevel="0" collapsed="false">
      <c r="A119" s="0" t="s">
        <v>388</v>
      </c>
      <c r="B119" s="5" t="s">
        <v>389</v>
      </c>
      <c r="C119" s="0" t="s">
        <v>33</v>
      </c>
      <c r="E119" s="7" t="n">
        <v>640</v>
      </c>
      <c r="G119" s="8" t="s">
        <v>86</v>
      </c>
      <c r="H119" s="5" t="s">
        <v>390</v>
      </c>
      <c r="I119" s="8" t="s">
        <v>391</v>
      </c>
    </row>
    <row r="120" customFormat="false" ht="15" hidden="false" customHeight="false" outlineLevel="0" collapsed="false">
      <c r="A120" s="0" t="s">
        <v>392</v>
      </c>
      <c r="B120" s="5" t="s">
        <v>393</v>
      </c>
      <c r="C120" s="5" t="s">
        <v>394</v>
      </c>
      <c r="E120" s="7" t="n">
        <v>2029</v>
      </c>
      <c r="G120" s="8" t="s">
        <v>69</v>
      </c>
      <c r="H120" s="8" t="s">
        <v>395</v>
      </c>
      <c r="I120" s="5" t="s">
        <v>396</v>
      </c>
    </row>
    <row r="121" customFormat="false" ht="15" hidden="false" customHeight="false" outlineLevel="0" collapsed="false">
      <c r="A121" s="0" t="s">
        <v>397</v>
      </c>
      <c r="B121" s="5" t="s">
        <v>398</v>
      </c>
      <c r="C121" s="5" t="s">
        <v>394</v>
      </c>
      <c r="E121" s="7" t="n">
        <v>2028</v>
      </c>
      <c r="G121" s="8" t="s">
        <v>69</v>
      </c>
      <c r="H121" s="8" t="s">
        <v>399</v>
      </c>
      <c r="I121" s="5" t="s">
        <v>105</v>
      </c>
    </row>
    <row r="122" customFormat="false" ht="15" hidden="false" customHeight="false" outlineLevel="0" collapsed="false">
      <c r="A122" s="0" t="s">
        <v>400</v>
      </c>
      <c r="B122" s="5" t="s">
        <v>401</v>
      </c>
      <c r="C122" s="5" t="s">
        <v>394</v>
      </c>
      <c r="E122" s="7" t="n">
        <v>2027</v>
      </c>
      <c r="G122" s="8" t="s">
        <v>69</v>
      </c>
      <c r="H122" s="8" t="s">
        <v>402</v>
      </c>
      <c r="I122" s="5" t="s">
        <v>105</v>
      </c>
    </row>
    <row r="123" customFormat="false" ht="15" hidden="false" customHeight="false" outlineLevel="0" collapsed="false">
      <c r="A123" s="0" t="s">
        <v>403</v>
      </c>
      <c r="B123" s="5" t="s">
        <v>404</v>
      </c>
      <c r="C123" s="0" t="s">
        <v>55</v>
      </c>
      <c r="E123" s="7" t="n">
        <v>51230</v>
      </c>
      <c r="G123" s="8" t="s">
        <v>34</v>
      </c>
      <c r="H123" s="8" t="s">
        <v>405</v>
      </c>
      <c r="I123" s="5" t="s">
        <v>406</v>
      </c>
    </row>
    <row r="124" customFormat="false" ht="15" hidden="false" customHeight="false" outlineLevel="0" collapsed="false">
      <c r="A124" s="0" t="s">
        <v>407</v>
      </c>
      <c r="B124" s="5" t="s">
        <v>408</v>
      </c>
      <c r="C124" s="0" t="s">
        <v>80</v>
      </c>
      <c r="E124" s="7" t="n">
        <v>28.33</v>
      </c>
      <c r="G124" s="8" t="s">
        <v>86</v>
      </c>
      <c r="H124" s="8" t="s">
        <v>409</v>
      </c>
      <c r="I124" s="5" t="s">
        <v>410</v>
      </c>
    </row>
    <row r="125" customFormat="false" ht="15" hidden="false" customHeight="false" outlineLevel="0" collapsed="false">
      <c r="A125" s="0" t="s">
        <v>411</v>
      </c>
      <c r="B125" s="0" t="s">
        <v>412</v>
      </c>
      <c r="C125" s="0" t="s">
        <v>80</v>
      </c>
      <c r="E125" s="7" t="n">
        <v>39.95</v>
      </c>
      <c r="G125" s="8" t="s">
        <v>86</v>
      </c>
      <c r="H125" s="8" t="s">
        <v>413</v>
      </c>
    </row>
    <row r="126" customFormat="false" ht="15" hidden="false" customHeight="false" outlineLevel="0" collapsed="false">
      <c r="A126" s="0" t="s">
        <v>414</v>
      </c>
      <c r="B126" s="0" t="s">
        <v>415</v>
      </c>
      <c r="C126" s="0" t="s">
        <v>416</v>
      </c>
      <c r="D126" s="0" t="n">
        <f aca="false">6.11313868613139</f>
        <v>6.11313868613139</v>
      </c>
      <c r="E126" s="7" t="n">
        <v>6.7</v>
      </c>
      <c r="G126" s="8" t="s">
        <v>86</v>
      </c>
      <c r="H126" s="8" t="s">
        <v>417</v>
      </c>
      <c r="I126" s="8" t="s">
        <v>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2" style="0" width="12"/>
    <col collapsed="false" customWidth="true" hidden="false" outlineLevel="0" max="10" min="10" style="0" width="20"/>
    <col collapsed="false" customWidth="true" hidden="false" outlineLevel="0" max="12" min="11" style="0" width="70"/>
  </cols>
  <sheetData>
    <row r="1" customFormat="false" ht="15" hidden="false" customHeight="false" outlineLevel="0" collapsed="false">
      <c r="A1" s="0" t="s">
        <v>419</v>
      </c>
    </row>
    <row r="3" customFormat="false" ht="15" hidden="false" customHeight="false" outlineLevel="0" collapsed="false">
      <c r="A3" s="6" t="s">
        <v>22</v>
      </c>
      <c r="B3" s="9" t="s">
        <v>420</v>
      </c>
      <c r="C3" s="9" t="s">
        <v>421</v>
      </c>
      <c r="D3" s="9" t="s">
        <v>422</v>
      </c>
      <c r="E3" s="9" t="s">
        <v>423</v>
      </c>
      <c r="F3" s="9" t="s">
        <v>424</v>
      </c>
      <c r="G3" s="9" t="s">
        <v>425</v>
      </c>
      <c r="H3" s="9" t="s">
        <v>426</v>
      </c>
      <c r="I3" s="9" t="s">
        <v>427</v>
      </c>
      <c r="J3" s="6" t="s">
        <v>27</v>
      </c>
      <c r="K3" s="6" t="s">
        <v>28</v>
      </c>
      <c r="L3" s="6" t="s">
        <v>29</v>
      </c>
    </row>
    <row r="4" customFormat="false" ht="15" hidden="false" customHeight="false" outlineLevel="0" collapsed="false">
      <c r="A4" s="5" t="s">
        <v>428</v>
      </c>
      <c r="B4" s="10" t="n">
        <f aca="false">a25_rev-C4-D4-E4</f>
        <v>89.914</v>
      </c>
      <c r="C4" s="10" t="n">
        <v>104.623</v>
      </c>
      <c r="D4" s="10" t="n">
        <v>109.291</v>
      </c>
      <c r="E4" s="10" t="n">
        <v>133.061</v>
      </c>
      <c r="F4" s="11" t="n">
        <f aca="false">SUM(B4:E4)</f>
        <v>436.889</v>
      </c>
      <c r="G4" s="10" t="n">
        <v>114.308</v>
      </c>
      <c r="H4" s="10" t="n">
        <v>142.75</v>
      </c>
      <c r="I4" s="11" t="n">
        <f aca="false">g3_rev</f>
        <v>132.442</v>
      </c>
      <c r="J4" s="8" t="s">
        <v>429</v>
      </c>
      <c r="K4" s="5" t="s">
        <v>430</v>
      </c>
      <c r="L4" s="5" t="s">
        <v>431</v>
      </c>
    </row>
    <row r="5" customFormat="false" ht="15" hidden="false" customHeight="false" outlineLevel="0" collapsed="false">
      <c r="A5" s="5" t="s">
        <v>432</v>
      </c>
      <c r="B5" s="10" t="n">
        <f aca="false">a25_oi-C5-D5-E5</f>
        <v>34.48</v>
      </c>
      <c r="C5" s="10" t="n">
        <v>44.391</v>
      </c>
      <c r="D5" s="10" t="n">
        <v>47.341</v>
      </c>
      <c r="E5" s="10" t="n">
        <v>58.777</v>
      </c>
      <c r="F5" s="11" t="n">
        <f aca="false">SUM(B5:E5)</f>
        <v>184.989</v>
      </c>
      <c r="G5" s="10" t="n">
        <v>49.033</v>
      </c>
      <c r="H5" s="10" t="n">
        <v>67.606</v>
      </c>
      <c r="I5" s="11" t="n">
        <f aca="false">g3_oi</f>
        <v>58.061</v>
      </c>
      <c r="J5" s="8" t="s">
        <v>429</v>
      </c>
      <c r="K5" s="5" t="s">
        <v>433</v>
      </c>
      <c r="L5" s="5" t="s">
        <v>434</v>
      </c>
    </row>
    <row r="6" customFormat="false" ht="15" hidden="false" customHeight="false" outlineLevel="0" collapsed="false">
      <c r="A6" s="5" t="s">
        <v>435</v>
      </c>
      <c r="B6" s="10" t="n">
        <f aca="false">a25_ni-C6-D6-E6</f>
        <v>23.767</v>
      </c>
      <c r="C6" s="10" t="n">
        <v>32.146</v>
      </c>
      <c r="D6" s="10" t="n">
        <v>36.726</v>
      </c>
      <c r="E6" s="10" t="n">
        <v>42.882</v>
      </c>
      <c r="F6" s="11" t="n">
        <f aca="false">SUM(B6:E6)</f>
        <v>135.521</v>
      </c>
      <c r="G6" s="10" t="n">
        <v>34.221</v>
      </c>
      <c r="H6" s="10" t="n">
        <v>46.145</v>
      </c>
      <c r="I6" s="11" t="n">
        <f aca="false">g9_ni-q26h1_ni</f>
        <v>41.534</v>
      </c>
      <c r="J6" s="8" t="s">
        <v>429</v>
      </c>
      <c r="K6" s="5" t="s">
        <v>436</v>
      </c>
      <c r="L6" s="5" t="s">
        <v>437</v>
      </c>
    </row>
    <row r="7" customFormat="false" ht="15" hidden="false" customHeight="false" outlineLevel="0" collapsed="false">
      <c r="A7" s="0" t="s">
        <v>438</v>
      </c>
      <c r="B7" s="0" t="n">
        <f aca="false">a25_eps-C7-D7-E7</f>
        <v>219.14</v>
      </c>
      <c r="C7" s="12" t="n">
        <v>296.49</v>
      </c>
      <c r="D7" s="12" t="n">
        <v>338.73</v>
      </c>
      <c r="E7" s="12" t="n">
        <v>395.48</v>
      </c>
      <c r="F7" s="13" t="n">
        <f aca="false">SUM(B7:E7)</f>
        <v>1249.84</v>
      </c>
      <c r="G7" s="12" t="n">
        <v>315.51</v>
      </c>
      <c r="H7" s="12" t="n">
        <v>425.38</v>
      </c>
      <c r="I7" s="13" t="n">
        <f aca="false">1123.43-q26h1_eps</f>
        <v>382.59</v>
      </c>
      <c r="J7" s="8" t="s">
        <v>429</v>
      </c>
      <c r="K7" s="5" t="s">
        <v>439</v>
      </c>
      <c r="L7" s="5" t="s">
        <v>440</v>
      </c>
    </row>
    <row r="8" customFormat="false" ht="15" hidden="false" customHeight="false" outlineLevel="0" collapsed="false">
      <c r="A8" s="5" t="s">
        <v>441</v>
      </c>
      <c r="B8" s="10" t="n">
        <v>111.1</v>
      </c>
      <c r="C8" s="10" t="n">
        <v>96.3</v>
      </c>
      <c r="D8" s="10" t="n">
        <v>113.6</v>
      </c>
      <c r="E8" s="10" t="n">
        <v>121.6</v>
      </c>
      <c r="F8" s="11" t="n">
        <f aca="false">SUM(B8:E8)</f>
        <v>442.6</v>
      </c>
      <c r="G8" s="10" t="n">
        <v>135.9</v>
      </c>
      <c r="H8" s="10" t="n">
        <v>148.6</v>
      </c>
      <c r="I8" s="10" t="n">
        <v>149.6</v>
      </c>
      <c r="J8" s="8" t="s">
        <v>429</v>
      </c>
      <c r="K8" s="5" t="s">
        <v>442</v>
      </c>
      <c r="L8" s="8" t="s">
        <v>443</v>
      </c>
    </row>
    <row r="9" customFormat="false" ht="15" hidden="false" customHeight="false" outlineLevel="0" collapsed="false">
      <c r="A9" s="5" t="s">
        <v>444</v>
      </c>
      <c r="B9" s="14" t="n">
        <f aca="false">B5/B4</f>
        <v>0.383477545209867</v>
      </c>
      <c r="C9" s="14" t="n">
        <f aca="false">C5/C4</f>
        <v>0.424294849124953</v>
      </c>
      <c r="D9" s="14" t="n">
        <f aca="false">D5/D4</f>
        <v>0.433164670466919</v>
      </c>
      <c r="E9" s="14" t="n">
        <f aca="false">E5/E4</f>
        <v>0.441729732979611</v>
      </c>
      <c r="F9" s="14" t="n">
        <f aca="false">F5/F4</f>
        <v>0.423423340940147</v>
      </c>
      <c r="G9" s="14" t="n">
        <f aca="false">G5/G4</f>
        <v>0.428955103754768</v>
      </c>
      <c r="H9" s="14" t="n">
        <f aca="false">H5/H4</f>
        <v>0.473597197898424</v>
      </c>
      <c r="I9" s="14" t="n">
        <f aca="false">I5/I4</f>
        <v>0.438388124613038</v>
      </c>
    </row>
    <row r="10" customFormat="false" ht="15" hidden="false" customHeight="false" outlineLevel="0" collapsed="false">
      <c r="A10" s="5" t="s">
        <v>445</v>
      </c>
      <c r="C10" s="15" t="n">
        <v>0.695</v>
      </c>
      <c r="E10" s="15" t="n">
        <v>0.709</v>
      </c>
      <c r="F10" s="14" t="n">
        <f aca="false">a25_gp/a25_rev</f>
        <v>0.701498549974936</v>
      </c>
      <c r="G10" s="15" t="n">
        <v>0.713</v>
      </c>
      <c r="H10" s="15" t="n">
        <v>0.717</v>
      </c>
      <c r="L10" s="8" t="s">
        <v>446</v>
      </c>
    </row>
    <row r="11" customFormat="false" ht="15" hidden="false" customHeight="false" outlineLevel="0" collapsed="false">
      <c r="A11" s="5" t="s">
        <v>447</v>
      </c>
      <c r="B11" s="16" t="n">
        <f aca="false">G4+H4-q26h1_rev</f>
        <v>0</v>
      </c>
      <c r="C11" s="16" t="n">
        <f aca="false">G5+H5-q26h1_oi</f>
        <v>0</v>
      </c>
      <c r="D11" s="16" t="n">
        <f aca="false">G6+H6-q26h1_ni</f>
        <v>0</v>
      </c>
    </row>
    <row r="13" customFormat="false" ht="15" hidden="false" customHeight="false" outlineLevel="0" collapsed="false">
      <c r="A13" s="4" t="s">
        <v>448</v>
      </c>
    </row>
    <row r="14" customFormat="false" ht="15" hidden="false" customHeight="false" outlineLevel="0" collapsed="false">
      <c r="A14" s="6" t="s">
        <v>449</v>
      </c>
      <c r="B14" s="9" t="s">
        <v>450</v>
      </c>
      <c r="C14" s="9" t="s">
        <v>451</v>
      </c>
      <c r="D14" s="9" t="s">
        <v>424</v>
      </c>
      <c r="E14" s="9" t="s">
        <v>426</v>
      </c>
      <c r="F14" s="9"/>
      <c r="G14" s="9"/>
      <c r="H14" s="9"/>
      <c r="I14" s="9"/>
      <c r="J14" s="6" t="s">
        <v>27</v>
      </c>
      <c r="K14" s="6" t="s">
        <v>452</v>
      </c>
      <c r="L14" s="9"/>
    </row>
    <row r="15" customFormat="false" ht="15" hidden="false" customHeight="false" outlineLevel="0" collapsed="false">
      <c r="A15" s="5" t="s">
        <v>453</v>
      </c>
      <c r="B15" s="17" t="n">
        <v>0.64</v>
      </c>
      <c r="C15" s="17" t="n">
        <v>0.63</v>
      </c>
      <c r="D15" s="17" t="n">
        <v>0.62</v>
      </c>
      <c r="E15" s="17" t="n">
        <v>0.63</v>
      </c>
      <c r="J15" s="8" t="s">
        <v>34</v>
      </c>
      <c r="K15" s="8" t="s">
        <v>454</v>
      </c>
    </row>
    <row r="16" customFormat="false" ht="15" hidden="false" customHeight="false" outlineLevel="0" collapsed="false">
      <c r="A16" s="5" t="s">
        <v>455</v>
      </c>
      <c r="B16" s="17" t="n">
        <v>0.32</v>
      </c>
      <c r="C16" s="17" t="n">
        <v>0.33</v>
      </c>
      <c r="D16" s="17" t="n">
        <v>0.31</v>
      </c>
      <c r="E16" s="17" t="n">
        <v>0.33</v>
      </c>
      <c r="J16" s="8" t="s">
        <v>34</v>
      </c>
      <c r="K16" s="8" t="s">
        <v>454</v>
      </c>
    </row>
    <row r="17" customFormat="false" ht="15" hidden="false" customHeight="false" outlineLevel="0" collapsed="false">
      <c r="A17" s="5" t="s">
        <v>456</v>
      </c>
      <c r="B17" s="17" t="n">
        <v>0.28</v>
      </c>
      <c r="C17" s="17" t="n">
        <v>0.27</v>
      </c>
      <c r="D17" s="17" t="n">
        <v>0.28</v>
      </c>
      <c r="E17" s="17" t="n">
        <v>0.26</v>
      </c>
      <c r="J17" s="8" t="s">
        <v>34</v>
      </c>
      <c r="K17" s="8" t="s">
        <v>454</v>
      </c>
    </row>
    <row r="18" customFormat="false" ht="15" hidden="false" customHeight="false" outlineLevel="0" collapsed="false">
      <c r="A18" s="5" t="s">
        <v>457</v>
      </c>
      <c r="B18" s="17" t="n">
        <v>0.22</v>
      </c>
      <c r="C18" s="17" t="n">
        <v>0.21</v>
      </c>
      <c r="D18" s="17" t="n">
        <v>0.21</v>
      </c>
      <c r="E18" s="17" t="n">
        <v>0.23</v>
      </c>
      <c r="J18" s="8" t="s">
        <v>34</v>
      </c>
      <c r="K18" s="8" t="s">
        <v>454</v>
      </c>
    </row>
    <row r="19" customFormat="false" ht="15" hidden="false" customHeight="false" outlineLevel="0" collapsed="false">
      <c r="A19" s="5" t="s">
        <v>458</v>
      </c>
      <c r="B19" s="17" t="n">
        <v>0.14</v>
      </c>
      <c r="C19" s="17" t="n">
        <v>0.16</v>
      </c>
      <c r="D19" s="17" t="n">
        <v>0.16</v>
      </c>
      <c r="E19" s="17" t="n">
        <v>0.14</v>
      </c>
      <c r="J19" s="8" t="s">
        <v>34</v>
      </c>
      <c r="K19" s="8" t="s">
        <v>454</v>
      </c>
    </row>
    <row r="21" customFormat="false" ht="15" hidden="false" customHeight="false" outlineLevel="0" collapsed="false">
      <c r="A21" s="5" t="s">
        <v>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2"/>
    <col collapsed="false" customWidth="true" hidden="false" outlineLevel="0" max="12" min="12" style="0" width="60"/>
    <col collapsed="false" customWidth="true" hidden="false" outlineLevel="0" max="13" min="13" style="0" width="50"/>
  </cols>
  <sheetData>
    <row r="1" customFormat="false" ht="15" hidden="false" customHeight="false" outlineLevel="0" collapsed="false">
      <c r="A1" s="0" t="s">
        <v>460</v>
      </c>
    </row>
    <row r="2" customFormat="false" ht="15" hidden="false" customHeight="false" outlineLevel="0" collapsed="false">
      <c r="A2" s="5" t="s">
        <v>461</v>
      </c>
    </row>
    <row r="5" customFormat="false" ht="15" hidden="false" customHeight="false" outlineLevel="0" collapsed="false">
      <c r="A5" s="6" t="s">
        <v>462</v>
      </c>
      <c r="B5" s="6" t="s">
        <v>428</v>
      </c>
      <c r="C5" s="6" t="s">
        <v>463</v>
      </c>
      <c r="D5" s="6" t="s">
        <v>464</v>
      </c>
      <c r="E5" s="6" t="s">
        <v>432</v>
      </c>
      <c r="F5" s="6" t="s">
        <v>435</v>
      </c>
      <c r="G5" s="9" t="s">
        <v>465</v>
      </c>
      <c r="H5" s="6" t="s">
        <v>466</v>
      </c>
      <c r="I5" s="9" t="s">
        <v>467</v>
      </c>
      <c r="J5" s="6" t="s">
        <v>468</v>
      </c>
      <c r="K5" s="9" t="s">
        <v>469</v>
      </c>
      <c r="L5" s="6" t="s">
        <v>470</v>
      </c>
      <c r="M5" s="6" t="s">
        <v>471</v>
      </c>
    </row>
    <row r="6" customFormat="false" ht="15" hidden="false" customHeight="false" outlineLevel="0" collapsed="false">
      <c r="A6" s="0" t="s">
        <v>472</v>
      </c>
      <c r="B6" s="10" t="n">
        <v>127.85</v>
      </c>
      <c r="C6" s="10" t="n">
        <v>72.298</v>
      </c>
      <c r="D6" s="10" t="n">
        <v>41.959</v>
      </c>
      <c r="E6" s="10" t="n">
        <v>30.338</v>
      </c>
      <c r="F6" s="10" t="n">
        <v>23.096</v>
      </c>
      <c r="G6" s="12" t="n">
        <v>646.09</v>
      </c>
      <c r="H6" s="14" t="n">
        <f aca="false">C6/B6</f>
        <v>0.565490809542433</v>
      </c>
      <c r="I6" s="16" t="n">
        <f aca="false">LN(B6)</f>
        <v>4.8508577017372</v>
      </c>
      <c r="J6" s="7" t="n">
        <v>3</v>
      </c>
      <c r="K6" s="13" t="n">
        <f aca="false">G6/J6</f>
        <v>215.363333333333</v>
      </c>
      <c r="L6" s="8" t="s">
        <v>473</v>
      </c>
      <c r="M6" s="5" t="s">
        <v>474</v>
      </c>
    </row>
    <row r="7" customFormat="false" ht="15" hidden="false" customHeight="false" outlineLevel="0" collapsed="false">
      <c r="A7" s="0" t="s">
        <v>475</v>
      </c>
      <c r="B7" s="10" t="n">
        <v>134.204</v>
      </c>
      <c r="C7" s="10" t="n">
        <v>74.495</v>
      </c>
      <c r="D7" s="10" t="n">
        <v>43.153</v>
      </c>
      <c r="E7" s="10" t="n">
        <v>31.341</v>
      </c>
      <c r="F7" s="10" t="n">
        <v>24.203</v>
      </c>
      <c r="G7" s="12" t="n">
        <v>675.82</v>
      </c>
      <c r="H7" s="14" t="n">
        <f aca="false">C7/B7</f>
        <v>0.555087776817383</v>
      </c>
      <c r="I7" s="16" t="n">
        <f aca="false">LN(B7)</f>
        <v>4.8993610303527</v>
      </c>
      <c r="J7" s="7" t="n">
        <v>3</v>
      </c>
      <c r="K7" s="13" t="n">
        <f aca="false">G7/J7</f>
        <v>225.273333333333</v>
      </c>
      <c r="L7" s="8" t="s">
        <v>476</v>
      </c>
      <c r="M7" s="5" t="s">
        <v>477</v>
      </c>
    </row>
    <row r="8" customFormat="false" ht="15" hidden="false" customHeight="false" outlineLevel="0" collapsed="false">
      <c r="A8" s="0" t="s">
        <v>478</v>
      </c>
      <c r="B8" s="10" t="n">
        <v>167.364</v>
      </c>
      <c r="C8" s="10" t="n">
        <v>99.125</v>
      </c>
      <c r="D8" s="10" t="n">
        <v>48.13</v>
      </c>
      <c r="E8" s="10" t="n">
        <v>50.995</v>
      </c>
      <c r="F8" s="10" t="n">
        <v>37.171</v>
      </c>
      <c r="G8" s="12" t="n">
        <v>1035.67</v>
      </c>
      <c r="H8" s="14" t="n">
        <f aca="false">C8/B8</f>
        <v>0.592271934227193</v>
      </c>
      <c r="I8" s="16" t="n">
        <f aca="false">LN(B8)</f>
        <v>5.12017108116456</v>
      </c>
      <c r="J8" s="7" t="n">
        <v>3</v>
      </c>
      <c r="K8" s="13" t="n">
        <f aca="false">G8/J8</f>
        <v>345.223333333333</v>
      </c>
      <c r="L8" s="8" t="s">
        <v>479</v>
      </c>
      <c r="M8" s="5" t="s">
        <v>477</v>
      </c>
    </row>
    <row r="9" customFormat="false" ht="15" hidden="false" customHeight="false" outlineLevel="0" collapsed="false">
      <c r="A9" s="0" t="s">
        <v>480</v>
      </c>
      <c r="B9" s="10" t="n">
        <v>147.5</v>
      </c>
      <c r="C9" s="10" t="n">
        <v>86.91</v>
      </c>
      <c r="D9" s="10" t="n">
        <v>48.264</v>
      </c>
      <c r="E9" s="10" t="n">
        <v>38.645</v>
      </c>
      <c r="F9" s="10" t="n">
        <v>28.824</v>
      </c>
      <c r="G9" s="12" t="n">
        <v>802.35</v>
      </c>
      <c r="H9" s="14" t="n">
        <f aca="false">C9/B9</f>
        <v>0.589220338983051</v>
      </c>
      <c r="I9" s="16" t="n">
        <f aca="false">LN(B9)</f>
        <v>4.99382817577988</v>
      </c>
      <c r="J9" s="7" t="n">
        <v>3</v>
      </c>
      <c r="K9" s="13" t="n">
        <f aca="false">G9/J9</f>
        <v>267.45</v>
      </c>
      <c r="L9" s="8" t="s">
        <v>479</v>
      </c>
      <c r="M9" s="5" t="s">
        <v>477</v>
      </c>
    </row>
    <row r="10" customFormat="false" ht="15" hidden="false" customHeight="false" outlineLevel="0" collapsed="false">
      <c r="A10" s="0" t="s">
        <v>481</v>
      </c>
      <c r="B10" s="10" t="n">
        <v>141.083</v>
      </c>
      <c r="C10" s="10" t="n">
        <v>84.792</v>
      </c>
      <c r="D10" s="10" t="n">
        <v>48.341</v>
      </c>
      <c r="E10" s="10" t="n">
        <v>36.451</v>
      </c>
      <c r="F10" s="10" t="n">
        <v>27.653</v>
      </c>
      <c r="G10" s="12" t="n">
        <v>769.56</v>
      </c>
      <c r="H10" s="14" t="n">
        <f aca="false">C10/B10</f>
        <v>0.601007917325263</v>
      </c>
      <c r="I10" s="16" t="n">
        <f aca="false">LN(B10)</f>
        <v>4.94934836967253</v>
      </c>
      <c r="J10" s="7" t="n">
        <v>3</v>
      </c>
      <c r="K10" s="13" t="n">
        <f aca="false">G10/J10</f>
        <v>256.52</v>
      </c>
      <c r="L10" s="8" t="s">
        <v>482</v>
      </c>
      <c r="M10" s="5" t="s">
        <v>477</v>
      </c>
    </row>
    <row r="11" customFormat="false" ht="15" hidden="false" customHeight="false" outlineLevel="0" collapsed="false">
      <c r="A11" s="0" t="s">
        <v>483</v>
      </c>
      <c r="B11" s="10" t="n">
        <v>182.857</v>
      </c>
      <c r="C11" s="10" t="n">
        <v>106.883</v>
      </c>
      <c r="D11" s="10" t="n">
        <v>53.776</v>
      </c>
      <c r="E11" s="10" t="n">
        <v>53.106</v>
      </c>
      <c r="F11" s="10" t="n">
        <v>39.091</v>
      </c>
      <c r="G11" s="12" t="n">
        <v>1085.47</v>
      </c>
      <c r="H11" s="14" t="n">
        <f aca="false">C11/B11</f>
        <v>0.584516862903799</v>
      </c>
      <c r="I11" s="16" t="n">
        <f aca="false">LN(B11)</f>
        <v>5.20870442660804</v>
      </c>
      <c r="J11" s="7" t="n">
        <v>3</v>
      </c>
      <c r="K11" s="13" t="n">
        <f aca="false">G11/J11</f>
        <v>361.823333333333</v>
      </c>
      <c r="L11" s="8" t="s">
        <v>484</v>
      </c>
      <c r="M11" s="5" t="s">
        <v>477</v>
      </c>
    </row>
    <row r="12" customFormat="false" ht="15" hidden="false" customHeight="false" outlineLevel="0" collapsed="false">
      <c r="A12" s="0" t="s">
        <v>485</v>
      </c>
      <c r="B12" s="10" t="n">
        <v>253.781</v>
      </c>
      <c r="C12" s="10" t="n">
        <v>154.011</v>
      </c>
      <c r="D12" s="10" t="n">
        <v>62.498</v>
      </c>
      <c r="E12" s="10" t="n">
        <v>91.513</v>
      </c>
      <c r="F12" s="10" t="n">
        <v>66.206</v>
      </c>
      <c r="G12" s="12" t="n">
        <v>611.67</v>
      </c>
      <c r="H12" s="14" t="n">
        <f aca="false">C12/B12</f>
        <v>0.606865762212301</v>
      </c>
      <c r="I12" s="16" t="n">
        <f aca="false">LN(B12)</f>
        <v>5.53647169038184</v>
      </c>
      <c r="J12" s="7" t="n">
        <v>1</v>
      </c>
      <c r="K12" s="13" t="n">
        <f aca="false">G12/J12</f>
        <v>611.67</v>
      </c>
      <c r="L12" s="8" t="s">
        <v>486</v>
      </c>
      <c r="M12" s="5" t="s">
        <v>324</v>
      </c>
    </row>
    <row r="13" customFormat="false" ht="15" hidden="false" customHeight="false" outlineLevel="0" collapsed="false">
      <c r="A13" s="0" t="s">
        <v>487</v>
      </c>
      <c r="B13" s="10" t="n">
        <v>284.135</v>
      </c>
      <c r="C13" s="10" t="n">
        <v>184.506</v>
      </c>
      <c r="D13" s="10" t="n">
        <v>74.093</v>
      </c>
      <c r="E13" s="10" t="n">
        <v>110.413</v>
      </c>
      <c r="F13" s="10" t="n">
        <v>82.891</v>
      </c>
      <c r="G13" s="12" t="n">
        <v>765.47</v>
      </c>
      <c r="H13" s="14" t="n">
        <f aca="false">C13/B13</f>
        <v>0.649360339275345</v>
      </c>
      <c r="I13" s="16" t="n">
        <f aca="false">LN(B13)</f>
        <v>5.64944947732986</v>
      </c>
      <c r="J13" s="7" t="n">
        <v>1</v>
      </c>
      <c r="K13" s="13" t="n">
        <f aca="false">G13/J13</f>
        <v>765.47</v>
      </c>
      <c r="L13" s="8" t="s">
        <v>488</v>
      </c>
      <c r="M13" s="5" t="s">
        <v>324</v>
      </c>
    </row>
    <row r="14" customFormat="false" ht="15" hidden="false" customHeight="false" outlineLevel="0" collapsed="false">
      <c r="A14" s="0" t="s">
        <v>489</v>
      </c>
      <c r="B14" s="10" t="n">
        <v>307.554</v>
      </c>
      <c r="C14" s="10" t="n">
        <v>208.642</v>
      </c>
      <c r="D14" s="10" t="n">
        <v>87.151</v>
      </c>
      <c r="E14" s="10" t="n">
        <v>121.49</v>
      </c>
      <c r="F14" s="10" t="n">
        <v>84.205</v>
      </c>
      <c r="G14" s="12" t="n">
        <v>777.29</v>
      </c>
      <c r="H14" s="14" t="n">
        <f aca="false">C14/B14</f>
        <v>0.67839143695091</v>
      </c>
      <c r="I14" s="16" t="n">
        <f aca="false">LN(B14)</f>
        <v>5.72865068158508</v>
      </c>
      <c r="J14" s="7" t="n">
        <v>1</v>
      </c>
      <c r="K14" s="13" t="n">
        <f aca="false">G14/J14</f>
        <v>777.29</v>
      </c>
      <c r="L14" s="8" t="s">
        <v>490</v>
      </c>
      <c r="M14" s="5" t="s">
        <v>324</v>
      </c>
    </row>
    <row r="15" customFormat="false" ht="15" hidden="false" customHeight="false" outlineLevel="0" collapsed="false">
      <c r="A15" s="0" t="s">
        <v>491</v>
      </c>
      <c r="B15" s="10" t="n">
        <v>393.313</v>
      </c>
      <c r="C15" s="10" t="n">
        <v>277.57</v>
      </c>
      <c r="D15" s="10" t="n">
        <v>110.736</v>
      </c>
      <c r="E15" s="10" t="n">
        <v>166.834</v>
      </c>
      <c r="F15" s="10" t="n">
        <v>123.891</v>
      </c>
      <c r="G15" s="12" t="n">
        <v>1143.26</v>
      </c>
      <c r="H15" s="14" t="n">
        <f aca="false">C15/B15</f>
        <v>0.705722922964662</v>
      </c>
      <c r="I15" s="16" t="n">
        <f aca="false">LN(B15)</f>
        <v>5.97460573254012</v>
      </c>
      <c r="J15" s="7" t="n">
        <v>1</v>
      </c>
      <c r="K15" s="13" t="n">
        <f aca="false">G15/J15</f>
        <v>1143.26</v>
      </c>
      <c r="L15" s="8" t="s">
        <v>490</v>
      </c>
      <c r="M15" s="5" t="s">
        <v>324</v>
      </c>
    </row>
    <row r="16" customFormat="false" ht="15" hidden="false" customHeight="false" outlineLevel="0" collapsed="false">
      <c r="A16" s="0" t="s">
        <v>492</v>
      </c>
      <c r="B16" s="10" t="n">
        <v>436.889</v>
      </c>
      <c r="C16" s="10" t="n">
        <v>306.477</v>
      </c>
      <c r="D16" s="10" t="n">
        <v>121.487</v>
      </c>
      <c r="E16" s="10" t="n">
        <v>184.989</v>
      </c>
      <c r="F16" s="10" t="n">
        <v>135.521</v>
      </c>
      <c r="G16" s="12" t="n">
        <v>1249.84</v>
      </c>
      <c r="H16" s="14" t="n">
        <f aca="false">C16/B16</f>
        <v>0.701498549974936</v>
      </c>
      <c r="I16" s="16" t="n">
        <f aca="false">LN(B16)</f>
        <v>6.07967915825431</v>
      </c>
      <c r="J16" s="7" t="n">
        <v>1</v>
      </c>
      <c r="K16" s="13" t="n">
        <f aca="false">G16/J16</f>
        <v>1249.84</v>
      </c>
      <c r="L16" s="8" t="s">
        <v>493</v>
      </c>
      <c r="M16" s="5" t="s">
        <v>324</v>
      </c>
    </row>
    <row r="18" customFormat="false" ht="15" hidden="false" customHeight="false" outlineLevel="0" collapsed="false">
      <c r="A18" s="5" t="s">
        <v>494</v>
      </c>
      <c r="B18" s="16" t="n">
        <f aca="false">C16-D16-E16</f>
        <v>0.000999999999976353</v>
      </c>
    </row>
    <row r="19" customFormat="false" ht="15" hidden="false" customHeight="false" outlineLevel="0" collapsed="false">
      <c r="A19" s="5" t="s">
        <v>495</v>
      </c>
      <c r="B19" s="16" t="n">
        <f aca="false">ABS(B16-a25_rev)+ABS(C16-a25_gp)+ABS(E16-a25_oi)+ABS(F16-a25_ni)+ABS(G16-a25_eps)</f>
        <v>0</v>
      </c>
    </row>
    <row r="21" customFormat="false" ht="15" hidden="false" customHeight="false" outlineLevel="0" collapsed="false">
      <c r="A21" s="4" t="s">
        <v>496</v>
      </c>
    </row>
    <row r="22" customFormat="false" ht="15" hidden="false" customHeight="false" outlineLevel="0" collapsed="false">
      <c r="A22" s="5" t="s">
        <v>497</v>
      </c>
      <c r="B22" s="14" t="n">
        <f aca="false">(B13/B6)^(1/7)-1</f>
        <v>0.12084687656821</v>
      </c>
    </row>
    <row r="23" customFormat="false" ht="15" hidden="false" customHeight="false" outlineLevel="0" collapsed="false">
      <c r="A23" s="5" t="s">
        <v>498</v>
      </c>
      <c r="B23" s="14" t="n">
        <f aca="false">(B10/B7)^(1/3)-1</f>
        <v>0.0168020392420674</v>
      </c>
    </row>
    <row r="24" customFormat="false" ht="15" hidden="false" customHeight="false" outlineLevel="0" collapsed="false">
      <c r="A24" s="5" t="s">
        <v>499</v>
      </c>
      <c r="B24" s="14" t="n">
        <f aca="false">B9/B8-1</f>
        <v>-0.118687411868741</v>
      </c>
    </row>
    <row r="26" customFormat="false" ht="15" hidden="false" customHeight="false" outlineLevel="0" collapsed="false">
      <c r="A26" s="4" t="s">
        <v>500</v>
      </c>
    </row>
    <row r="27" customFormat="false" ht="15" hidden="false" customHeight="false" outlineLevel="0" collapsed="false">
      <c r="A27" s="5" t="s">
        <v>501</v>
      </c>
      <c r="B27" s="18" t="n">
        <f aca="false">gm_a</f>
        <v>0.0104284537436804</v>
      </c>
    </row>
    <row r="28" customFormat="false" ht="15" hidden="false" customHeight="false" outlineLevel="0" collapsed="false">
      <c r="A28" s="0" t="s">
        <v>502</v>
      </c>
      <c r="B28" s="18" t="n">
        <f aca="false">gm_b</f>
        <v>0.113825958947893</v>
      </c>
    </row>
    <row r="29" customFormat="false" ht="15" hidden="false" customHeight="false" outlineLevel="0" collapsed="false">
      <c r="A29" s="0" t="s">
        <v>503</v>
      </c>
      <c r="B29" s="16" t="n">
        <f aca="false">RSQ(H6:H16,I6:I16)</f>
        <v>0.895596671138985</v>
      </c>
    </row>
    <row r="30" customFormat="false" ht="15" hidden="false" customHeight="false" outlineLevel="0" collapsed="false">
      <c r="A30" s="5" t="s">
        <v>504</v>
      </c>
      <c r="B30" s="19" t="n">
        <f aca="false">sg_f</f>
        <v>8.12334232639923</v>
      </c>
    </row>
    <row r="31" customFormat="false" ht="15" hidden="false" customHeight="false" outlineLevel="0" collapsed="false">
      <c r="A31" s="5" t="s">
        <v>505</v>
      </c>
      <c r="B31" s="16" t="n">
        <f aca="false">sg_v</f>
        <v>0.2523670341155</v>
      </c>
    </row>
    <row r="32" customFormat="false" ht="15" hidden="false" customHeight="false" outlineLevel="0" collapsed="false">
      <c r="A32" s="0" t="s">
        <v>503</v>
      </c>
      <c r="B32" s="16" t="n">
        <f aca="false">RSQ(D6:D16,B6:B16)</f>
        <v>0.975826714460504</v>
      </c>
    </row>
    <row r="33" customFormat="false" ht="15" hidden="false" customHeight="false" outlineLevel="0" collapsed="false">
      <c r="A33" s="0" t="s">
        <v>506</v>
      </c>
      <c r="B33" s="14" t="n">
        <f aca="false">gm_a+gm_b*I16-H16</f>
        <v>0.000955214052558717</v>
      </c>
    </row>
    <row r="34" customFormat="false" ht="15" hidden="false" customHeight="false" outlineLevel="0" collapsed="false">
      <c r="A34" s="0" t="s">
        <v>507</v>
      </c>
      <c r="B34" s="20" t="n">
        <f aca="false">sg_f+sg_v*B16-D16</f>
        <v>-3.1072765059142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9" min="3" style="0" width="13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508</v>
      </c>
    </row>
    <row r="3" customFormat="false" ht="15" hidden="false" customHeight="false" outlineLevel="0" collapsed="false">
      <c r="A3" s="6" t="s">
        <v>509</v>
      </c>
      <c r="B3" s="6" t="s">
        <v>23</v>
      </c>
      <c r="C3" s="9" t="s">
        <v>510</v>
      </c>
      <c r="D3" s="9" t="s">
        <v>511</v>
      </c>
      <c r="E3" s="9" t="s">
        <v>512</v>
      </c>
      <c r="F3" s="9" t="s">
        <v>513</v>
      </c>
      <c r="G3" s="9" t="s">
        <v>514</v>
      </c>
      <c r="H3" s="6" t="s">
        <v>515</v>
      </c>
    </row>
    <row r="4" customFormat="false" ht="15" hidden="false" customHeight="false" outlineLevel="0" collapsed="false">
      <c r="A4" s="4" t="s">
        <v>516</v>
      </c>
    </row>
    <row r="5" customFormat="false" ht="15" hidden="false" customHeight="false" outlineLevel="0" collapsed="false">
      <c r="A5" s="5" t="s">
        <v>428</v>
      </c>
      <c r="B5" s="0" t="s">
        <v>33</v>
      </c>
      <c r="C5" s="21" t="n">
        <f aca="false">C114</f>
        <v>436.889</v>
      </c>
      <c r="D5" s="21" t="n">
        <f aca="false">D114</f>
        <v>535.1862</v>
      </c>
      <c r="E5" s="21" t="n">
        <f aca="false">E114</f>
        <v>558.964454965631</v>
      </c>
      <c r="F5" s="21" t="n">
        <f aca="false">F114</f>
        <v>591.32139043343</v>
      </c>
      <c r="G5" s="21" t="n">
        <f aca="false">G114</f>
        <v>606.515575082348</v>
      </c>
    </row>
    <row r="6" customFormat="false" ht="15" hidden="false" customHeight="false" outlineLevel="0" collapsed="false">
      <c r="A6" s="0" t="s">
        <v>517</v>
      </c>
      <c r="B6" s="0" t="s">
        <v>33</v>
      </c>
      <c r="C6" s="21" t="n">
        <f aca="false">C105</f>
        <v>36</v>
      </c>
      <c r="D6" s="21" t="n">
        <f aca="false">D105</f>
        <v>43.9523870213896</v>
      </c>
      <c r="E6" s="21" t="n">
        <f aca="false">E105</f>
        <v>47.8549412356069</v>
      </c>
      <c r="F6" s="21" t="n">
        <f aca="false">F105</f>
        <v>44.8424159172644</v>
      </c>
      <c r="G6" s="21" t="n">
        <f aca="false">G105</f>
        <v>27.2548611466613</v>
      </c>
    </row>
    <row r="7" customFormat="false" ht="15" hidden="false" customHeight="false" outlineLevel="0" collapsed="false">
      <c r="A7" s="5" t="s">
        <v>518</v>
      </c>
      <c r="B7" s="0" t="s">
        <v>33</v>
      </c>
      <c r="C7" s="21" t="n">
        <f aca="false">C106</f>
        <v>39</v>
      </c>
      <c r="D7" s="21" t="n">
        <f aca="false">D106</f>
        <v>63.4538860505921</v>
      </c>
      <c r="E7" s="21" t="n">
        <f aca="false">E106</f>
        <v>42.5991175746519</v>
      </c>
      <c r="F7" s="21" t="n">
        <f aca="false">F106</f>
        <v>38.320722254198</v>
      </c>
      <c r="G7" s="21" t="n">
        <f aca="false">G106</f>
        <v>36.8663955538204</v>
      </c>
    </row>
    <row r="8" customFormat="false" ht="15" hidden="false" customHeight="false" outlineLevel="0" collapsed="false">
      <c r="A8" s="5" t="s">
        <v>519</v>
      </c>
      <c r="B8" s="0" t="s">
        <v>33</v>
      </c>
      <c r="C8" s="21" t="n">
        <f aca="false">C108</f>
        <v>195.87118</v>
      </c>
      <c r="D8" s="21" t="n">
        <f aca="false">D108</f>
        <v>219.033654266954</v>
      </c>
      <c r="E8" s="21" t="n">
        <f aca="false">E108</f>
        <v>232.175673522971</v>
      </c>
      <c r="F8" s="21" t="n">
        <f aca="false">F108</f>
        <v>246.106213934349</v>
      </c>
      <c r="G8" s="21" t="n">
        <f aca="false">G108</f>
        <v>260.87258677041</v>
      </c>
    </row>
    <row r="9" customFormat="false" ht="15" hidden="false" customHeight="false" outlineLevel="0" collapsed="false">
      <c r="A9" s="5" t="s">
        <v>520</v>
      </c>
      <c r="B9" s="0" t="s">
        <v>33</v>
      </c>
      <c r="C9" s="21" t="n">
        <f aca="false">C112</f>
        <v>91.74669</v>
      </c>
      <c r="D9" s="21" t="n">
        <f aca="false">D112</f>
        <v>117.764618661064</v>
      </c>
      <c r="E9" s="21" t="n">
        <f aca="false">E112</f>
        <v>141.310765288244</v>
      </c>
      <c r="F9" s="21" t="n">
        <f aca="false">F112</f>
        <v>161.527401953935</v>
      </c>
      <c r="G9" s="21" t="n">
        <f aca="false">G112</f>
        <v>178.414083847457</v>
      </c>
    </row>
    <row r="10" customFormat="false" ht="15" hidden="false" customHeight="false" outlineLevel="0" collapsed="false">
      <c r="A10" s="5" t="s">
        <v>521</v>
      </c>
      <c r="B10" s="0" t="s">
        <v>33</v>
      </c>
      <c r="C10" s="21" t="n">
        <f aca="false">C113</f>
        <v>74.27113</v>
      </c>
      <c r="D10" s="21" t="n">
        <f aca="false">D113</f>
        <v>90.981654</v>
      </c>
      <c r="E10" s="21" t="n">
        <f aca="false">E113</f>
        <v>95.0239573441573</v>
      </c>
      <c r="F10" s="21" t="n">
        <f aca="false">F113</f>
        <v>100.524636373683</v>
      </c>
      <c r="G10" s="21" t="n">
        <f aca="false">G113</f>
        <v>103.107647763999</v>
      </c>
    </row>
    <row r="11" customFormat="false" ht="15" hidden="false" customHeight="false" outlineLevel="0" collapsed="false">
      <c r="A11" s="0" t="s">
        <v>522</v>
      </c>
      <c r="B11" s="0" t="s">
        <v>60</v>
      </c>
      <c r="C11" s="14" t="n">
        <f aca="false">C115</f>
        <v>0.276884384673187</v>
      </c>
      <c r="D11" s="14" t="n">
        <f aca="false">D115</f>
        <v>0.341468742792492</v>
      </c>
      <c r="E11" s="14" t="n">
        <f aca="false">E115</f>
        <v>0.333235522292211</v>
      </c>
      <c r="F11" s="14" t="n">
        <f aca="false">F115</f>
        <v>0.333476128779197</v>
      </c>
      <c r="G11" s="14" t="n">
        <f aca="false">G115</f>
        <v>0.312793495117123</v>
      </c>
    </row>
    <row r="12" customFormat="false" ht="15" hidden="false" customHeight="false" outlineLevel="0" collapsed="false">
      <c r="A12" s="0" t="s">
        <v>523</v>
      </c>
      <c r="B12" s="0" t="s">
        <v>60</v>
      </c>
      <c r="C12" s="14" t="n">
        <f aca="false">C116</f>
        <v>0.206829299394429</v>
      </c>
      <c r="D12" s="14" t="n">
        <f aca="false">D116</f>
        <v>0.241794628261148</v>
      </c>
      <c r="E12" s="14" t="n">
        <f aca="false">E116</f>
        <v>0.194969094687784</v>
      </c>
      <c r="F12" s="14" t="n">
        <f aca="false">F116</f>
        <v>0.16944516744163</v>
      </c>
      <c r="G12" s="14" t="n">
        <f aca="false">G116</f>
        <v>0.12737434835811</v>
      </c>
    </row>
    <row r="13" customFormat="false" ht="15" hidden="false" customHeight="false" outlineLevel="0" collapsed="false">
      <c r="A13" s="5" t="s">
        <v>466</v>
      </c>
      <c r="B13" s="0" t="s">
        <v>60</v>
      </c>
      <c r="C13" s="14" t="n">
        <f aca="false">C117</f>
        <v>0.701498549974936</v>
      </c>
      <c r="D13" s="14" t="n">
        <f aca="false">D117</f>
        <v>0.70639056761927</v>
      </c>
      <c r="E13" s="14" t="n">
        <f aca="false">E117</f>
        <v>0.730501245911974</v>
      </c>
      <c r="F13" s="14" t="n">
        <f aca="false">F117</f>
        <v>0.736906664378218</v>
      </c>
      <c r="G13" s="14" t="n">
        <f aca="false">G117</f>
        <v>0.739794512150511</v>
      </c>
    </row>
    <row r="14" customFormat="false" ht="15" hidden="false" customHeight="false" outlineLevel="0" collapsed="false">
      <c r="A14" s="5" t="s">
        <v>432</v>
      </c>
      <c r="B14" s="0" t="s">
        <v>33</v>
      </c>
      <c r="C14" s="21" t="n">
        <f aca="false">C120</f>
        <v>184.99</v>
      </c>
      <c r="D14" s="21" t="n">
        <f aca="false">D120</f>
        <v>238.5671</v>
      </c>
      <c r="E14" s="21" t="n">
        <f aca="false">E120</f>
        <v>259.136686770839</v>
      </c>
      <c r="F14" s="21" t="n">
        <f aca="false">F120</f>
        <v>278.395305560652</v>
      </c>
      <c r="G14" s="21" t="n">
        <f aca="false">G120</f>
        <v>287.509014824944</v>
      </c>
    </row>
    <row r="15" customFormat="false" ht="15" hidden="false" customHeight="false" outlineLevel="0" collapsed="false">
      <c r="A15" s="5" t="s">
        <v>444</v>
      </c>
      <c r="B15" s="0" t="s">
        <v>60</v>
      </c>
      <c r="C15" s="14" t="n">
        <f aca="false">C121</f>
        <v>0.423425629851061</v>
      </c>
      <c r="D15" s="14" t="n">
        <f aca="false">D121</f>
        <v>0.445764670314743</v>
      </c>
      <c r="E15" s="14" t="n">
        <f aca="false">E121</f>
        <v>0.463601369405094</v>
      </c>
      <c r="F15" s="14" t="n">
        <f aca="false">F121</f>
        <v>0.470802020803935</v>
      </c>
      <c r="G15" s="14" t="n">
        <f aca="false">G121</f>
        <v>0.47403401765224</v>
      </c>
    </row>
    <row r="16" customFormat="false" ht="15" hidden="false" customHeight="false" outlineLevel="0" collapsed="false">
      <c r="A16" s="5" t="s">
        <v>435</v>
      </c>
      <c r="B16" s="0" t="s">
        <v>33</v>
      </c>
      <c r="C16" s="21" t="n">
        <f aca="false">C122</f>
        <v>135.521</v>
      </c>
      <c r="D16" s="21" t="n">
        <f aca="false">D122</f>
        <v>167.95938138934</v>
      </c>
      <c r="E16" s="21" t="n">
        <f aca="false">E122</f>
        <v>186.883003736634</v>
      </c>
      <c r="F16" s="21" t="n">
        <f aca="false">F122</f>
        <v>200.771845845825</v>
      </c>
      <c r="G16" s="21" t="n">
        <f aca="false">G122</f>
        <v>207.344428769985</v>
      </c>
    </row>
    <row r="17" customFormat="false" ht="15" hidden="false" customHeight="false" outlineLevel="0" collapsed="false">
      <c r="A17" s="0" t="s">
        <v>524</v>
      </c>
      <c r="B17" s="0" t="s">
        <v>55</v>
      </c>
      <c r="C17" s="21" t="n">
        <f aca="false">C123</f>
        <v>1249.84</v>
      </c>
      <c r="D17" s="21" t="n">
        <f aca="false">D123</f>
        <v>1548.28555816522</v>
      </c>
      <c r="E17" s="21" t="n">
        <f aca="false">E123</f>
        <v>1722.72756281021</v>
      </c>
      <c r="F17" s="21" t="n">
        <f aca="false">F123</f>
        <v>1850.75788466196</v>
      </c>
      <c r="G17" s="21" t="n">
        <f aca="false">G123</f>
        <v>1911.34536204573</v>
      </c>
    </row>
    <row r="18" customFormat="false" ht="15" hidden="false" customHeight="false" outlineLevel="0" collapsed="false">
      <c r="A18" s="5" t="s">
        <v>525</v>
      </c>
      <c r="B18" s="0" t="s">
        <v>33</v>
      </c>
      <c r="C18" s="21" t="n">
        <f aca="false">C95</f>
        <v>436.889</v>
      </c>
      <c r="D18" s="21" t="n">
        <f aca="false">D95</f>
        <v>507.306541711218</v>
      </c>
      <c r="E18" s="21" t="n">
        <f aca="false">E95</f>
        <v>539.549374890105</v>
      </c>
      <c r="F18" s="21" t="n">
        <f aca="false">F95</f>
        <v>570.789835683346</v>
      </c>
      <c r="G18" s="21" t="n">
        <f aca="false">G95</f>
        <v>584.802978683729</v>
      </c>
    </row>
    <row r="19" customFormat="false" ht="15" hidden="false" customHeight="false" outlineLevel="0" collapsed="false">
      <c r="A19" s="5" t="s">
        <v>526</v>
      </c>
      <c r="B19" s="0" t="s">
        <v>33</v>
      </c>
      <c r="C19" s="21" t="n">
        <f aca="false">C127</f>
        <v>184.989</v>
      </c>
      <c r="D19" s="21" t="n">
        <f aca="false">D127</f>
        <v>228.837746398039</v>
      </c>
      <c r="E19" s="21" t="n">
        <f aca="false">E127</f>
        <v>247.68256494767</v>
      </c>
      <c r="F19" s="21" t="n">
        <f aca="false">F127</f>
        <v>266.150980076278</v>
      </c>
      <c r="G19" s="21" t="n">
        <f aca="false">G127</f>
        <v>274.499016893924</v>
      </c>
    </row>
    <row r="20" customFormat="false" ht="15" hidden="false" customHeight="false" outlineLevel="0" collapsed="false">
      <c r="A20" s="5" t="s">
        <v>527</v>
      </c>
      <c r="B20" s="0" t="s">
        <v>55</v>
      </c>
      <c r="C20" s="21" t="n">
        <f aca="false">C128</f>
        <v>1249.84</v>
      </c>
      <c r="D20" s="21" t="n">
        <f aca="false">D128</f>
        <v>1545.37951653183</v>
      </c>
      <c r="E20" s="21" t="n">
        <f aca="false">E128</f>
        <v>1672.64172321648</v>
      </c>
      <c r="F20" s="21" t="n">
        <f aca="false">F128</f>
        <v>1797.36201474092</v>
      </c>
      <c r="G20" s="21" t="n">
        <f aca="false">G128</f>
        <v>1853.73770146352</v>
      </c>
    </row>
    <row r="22" customFormat="false" ht="15" hidden="false" customHeight="false" outlineLevel="0" collapsed="false">
      <c r="A22" s="4" t="s">
        <v>528</v>
      </c>
    </row>
    <row r="23" customFormat="false" ht="15" hidden="false" customHeight="false" outlineLevel="0" collapsed="false">
      <c r="A23" s="5" t="s">
        <v>428</v>
      </c>
      <c r="B23" s="0" t="s">
        <v>33</v>
      </c>
      <c r="C23" s="21" t="n">
        <f aca="false">C175</f>
        <v>436.889</v>
      </c>
      <c r="D23" s="21" t="n">
        <f aca="false">D175</f>
        <v>535.1862</v>
      </c>
      <c r="E23" s="21" t="n">
        <f aca="false">E175</f>
        <v>524.505901171967</v>
      </c>
      <c r="F23" s="21" t="n">
        <f aca="false">F175</f>
        <v>564.632483448159</v>
      </c>
      <c r="G23" s="21" t="n">
        <f aca="false">G175</f>
        <v>571.748336428235</v>
      </c>
    </row>
    <row r="24" customFormat="false" ht="15" hidden="false" customHeight="false" outlineLevel="0" collapsed="false">
      <c r="A24" s="0" t="s">
        <v>517</v>
      </c>
      <c r="B24" s="0" t="s">
        <v>33</v>
      </c>
      <c r="C24" s="21" t="n">
        <f aca="false">C166</f>
        <v>36</v>
      </c>
      <c r="D24" s="21" t="n">
        <f aca="false">D166</f>
        <v>43.6315589938599</v>
      </c>
      <c r="E24" s="21" t="n">
        <f aca="false">E166</f>
        <v>44.8860597770547</v>
      </c>
      <c r="F24" s="21" t="n">
        <f aca="false">F166</f>
        <v>46.5682870069157</v>
      </c>
      <c r="G24" s="21" t="n">
        <f aca="false">G166</f>
        <v>26.9717824586269</v>
      </c>
    </row>
    <row r="25" customFormat="false" ht="15" hidden="false" customHeight="false" outlineLevel="0" collapsed="false">
      <c r="A25" s="5" t="s">
        <v>518</v>
      </c>
      <c r="B25" s="0" t="s">
        <v>33</v>
      </c>
      <c r="C25" s="21" t="n">
        <f aca="false">C167</f>
        <v>39</v>
      </c>
      <c r="D25" s="21" t="n">
        <f aca="false">D167</f>
        <v>56.4175246996771</v>
      </c>
      <c r="E25" s="21" t="n">
        <f aca="false">E167</f>
        <v>19.452651200192</v>
      </c>
      <c r="F25" s="21" t="n">
        <f aca="false">F167</f>
        <v>37.8500208382502</v>
      </c>
      <c r="G25" s="21" t="n">
        <f aca="false">G167</f>
        <v>31.3364362207473</v>
      </c>
    </row>
    <row r="26" customFormat="false" ht="15" hidden="false" customHeight="false" outlineLevel="0" collapsed="false">
      <c r="A26" s="5" t="s">
        <v>519</v>
      </c>
      <c r="B26" s="0" t="s">
        <v>33</v>
      </c>
      <c r="C26" s="21" t="n">
        <f aca="false">C169</f>
        <v>195.87118</v>
      </c>
      <c r="D26" s="21" t="n">
        <f aca="false">D169</f>
        <v>223.818334605974</v>
      </c>
      <c r="E26" s="21" t="n">
        <f aca="false">E169</f>
        <v>232.175673522971</v>
      </c>
      <c r="F26" s="21" t="n">
        <f aca="false">F169</f>
        <v>232.175673522971</v>
      </c>
      <c r="G26" s="21" t="n">
        <f aca="false">G169</f>
        <v>246.106213934349</v>
      </c>
    </row>
    <row r="27" customFormat="false" ht="15" hidden="false" customHeight="false" outlineLevel="0" collapsed="false">
      <c r="A27" s="5" t="s">
        <v>520</v>
      </c>
      <c r="B27" s="0" t="s">
        <v>33</v>
      </c>
      <c r="C27" s="21" t="n">
        <f aca="false">C173</f>
        <v>91.74669</v>
      </c>
      <c r="D27" s="21" t="n">
        <f aca="false">D173</f>
        <v>120.337127700488</v>
      </c>
      <c r="E27" s="21" t="n">
        <f aca="false">E173</f>
        <v>138.825513472515</v>
      </c>
      <c r="F27" s="21" t="n">
        <f aca="false">F173</f>
        <v>152.050979893835</v>
      </c>
      <c r="G27" s="21" t="n">
        <f aca="false">G173</f>
        <v>170.136686621711</v>
      </c>
    </row>
    <row r="28" customFormat="false" ht="15" hidden="false" customHeight="false" outlineLevel="0" collapsed="false">
      <c r="A28" s="5" t="s">
        <v>521</v>
      </c>
      <c r="B28" s="0" t="s">
        <v>33</v>
      </c>
      <c r="C28" s="21" t="n">
        <f aca="false">C174</f>
        <v>74.27113</v>
      </c>
      <c r="D28" s="21" t="n">
        <f aca="false">D174</f>
        <v>90.981654</v>
      </c>
      <c r="E28" s="21" t="n">
        <f aca="false">E174</f>
        <v>89.1660031992344</v>
      </c>
      <c r="F28" s="21" t="n">
        <f aca="false">F174</f>
        <v>95.9875221861871</v>
      </c>
      <c r="G28" s="21" t="n">
        <f aca="false">G174</f>
        <v>97.1972171927999</v>
      </c>
    </row>
    <row r="29" customFormat="false" ht="15" hidden="false" customHeight="false" outlineLevel="0" collapsed="false">
      <c r="A29" s="0" t="s">
        <v>522</v>
      </c>
      <c r="B29" s="0" t="s">
        <v>60</v>
      </c>
      <c r="C29" s="14" t="n">
        <f aca="false">C176</f>
        <v>0.276884384673187</v>
      </c>
      <c r="D29" s="14" t="n">
        <f aca="false">D176</f>
        <v>0.327083457711364</v>
      </c>
      <c r="E29" s="14" t="n">
        <f aca="false">E176</f>
        <v>0.28943098249302</v>
      </c>
      <c r="F29" s="14" t="n">
        <f aca="false">F176</f>
        <v>0.331696192265147</v>
      </c>
      <c r="G29" s="14" t="n">
        <f aca="false">G176</f>
        <v>0.302121908467336</v>
      </c>
    </row>
    <row r="30" customFormat="false" ht="15" hidden="false" customHeight="false" outlineLevel="0" collapsed="false">
      <c r="A30" s="0" t="s">
        <v>523</v>
      </c>
      <c r="B30" s="0" t="s">
        <v>60</v>
      </c>
      <c r="C30" s="14" t="n">
        <f aca="false">C177</f>
        <v>0.206829299394429</v>
      </c>
      <c r="D30" s="14" t="n">
        <f aca="false">D177</f>
        <v>0.225232012131495</v>
      </c>
      <c r="E30" s="14" t="n">
        <f aca="false">E177</f>
        <v>0.14778960365649</v>
      </c>
      <c r="F30" s="14" t="n">
        <f aca="false">F177</f>
        <v>0.180132754693112</v>
      </c>
      <c r="G30" s="14" t="n">
        <f aca="false">G177</f>
        <v>0.122870258473558</v>
      </c>
    </row>
    <row r="31" customFormat="false" ht="15" hidden="false" customHeight="false" outlineLevel="0" collapsed="false">
      <c r="A31" s="5" t="s">
        <v>466</v>
      </c>
      <c r="B31" s="0" t="s">
        <v>60</v>
      </c>
      <c r="C31" s="14" t="n">
        <f aca="false">C178</f>
        <v>0.701498549974936</v>
      </c>
      <c r="D31" s="14" t="n">
        <f aca="false">D178</f>
        <v>0.70639056761927</v>
      </c>
      <c r="E31" s="14" t="n">
        <f aca="false">E178</f>
        <v>0.723258590579536</v>
      </c>
      <c r="F31" s="14" t="n">
        <f aca="false">F178</f>
        <v>0.731649654612658</v>
      </c>
      <c r="G31" s="14" t="n">
        <f aca="false">G178</f>
        <v>0.73307519675802</v>
      </c>
    </row>
    <row r="32" customFormat="false" ht="15" hidden="false" customHeight="false" outlineLevel="0" collapsed="false">
      <c r="A32" s="5" t="s">
        <v>432</v>
      </c>
      <c r="B32" s="0" t="s">
        <v>33</v>
      </c>
      <c r="C32" s="21" t="n">
        <f aca="false">C181</f>
        <v>184.99</v>
      </c>
      <c r="D32" s="21" t="n">
        <f aca="false">D181</f>
        <v>238.5671</v>
      </c>
      <c r="E32" s="21" t="n">
        <f aca="false">E181</f>
        <v>238.86205785104</v>
      </c>
      <c r="F32" s="21" t="n">
        <f aca="false">F181</f>
        <v>262.495193958453</v>
      </c>
      <c r="G32" s="21" t="n">
        <f aca="false">G181</f>
        <v>266.720749971935</v>
      </c>
    </row>
    <row r="33" customFormat="false" ht="15" hidden="false" customHeight="false" outlineLevel="0" collapsed="false">
      <c r="A33" s="5" t="s">
        <v>444</v>
      </c>
      <c r="B33" s="0" t="s">
        <v>60</v>
      </c>
      <c r="C33" s="14" t="n">
        <f aca="false">C182</f>
        <v>0.423425629851061</v>
      </c>
      <c r="D33" s="14" t="n">
        <f aca="false">D182</f>
        <v>0.445764670314743</v>
      </c>
      <c r="E33" s="14" t="n">
        <f aca="false">E182</f>
        <v>0.45540394744334</v>
      </c>
      <c r="F33" s="14" t="n">
        <f aca="false">F182</f>
        <v>0.464895665150929</v>
      </c>
      <c r="G33" s="14" t="n">
        <f aca="false">G182</f>
        <v>0.466500264151469</v>
      </c>
    </row>
    <row r="34" customFormat="false" ht="15" hidden="false" customHeight="false" outlineLevel="0" collapsed="false">
      <c r="A34" s="5" t="s">
        <v>435</v>
      </c>
      <c r="B34" s="0" t="s">
        <v>33</v>
      </c>
      <c r="C34" s="21" t="n">
        <f aca="false">C183</f>
        <v>135.521</v>
      </c>
      <c r="D34" s="21" t="n">
        <f aca="false">D183</f>
        <v>167.95938138934</v>
      </c>
      <c r="E34" s="21" t="n">
        <f aca="false">E183</f>
        <v>172.261440115547</v>
      </c>
      <c r="F34" s="21" t="n">
        <f aca="false">F183</f>
        <v>189.305076501065</v>
      </c>
      <c r="G34" s="21" t="n">
        <f aca="false">G183</f>
        <v>192.35244354931</v>
      </c>
    </row>
    <row r="35" customFormat="false" ht="15" hidden="false" customHeight="false" outlineLevel="0" collapsed="false">
      <c r="A35" s="0" t="s">
        <v>524</v>
      </c>
      <c r="B35" s="0" t="s">
        <v>55</v>
      </c>
      <c r="C35" s="21" t="n">
        <f aca="false">C184</f>
        <v>1249.84</v>
      </c>
      <c r="D35" s="21" t="n">
        <f aca="false">D184</f>
        <v>1548.28555816522</v>
      </c>
      <c r="E35" s="21" t="n">
        <f aca="false">E184</f>
        <v>1587.94285709707</v>
      </c>
      <c r="F35" s="21" t="n">
        <f aca="false">F184</f>
        <v>1745.0547484129</v>
      </c>
      <c r="G35" s="21" t="n">
        <f aca="false">G184</f>
        <v>1773.1460306753</v>
      </c>
    </row>
    <row r="36" customFormat="false" ht="15" hidden="false" customHeight="false" outlineLevel="0" collapsed="false">
      <c r="A36" s="5" t="s">
        <v>525</v>
      </c>
      <c r="B36" s="0" t="s">
        <v>33</v>
      </c>
      <c r="C36" s="21" t="n">
        <f aca="false">C156</f>
        <v>436.889</v>
      </c>
      <c r="D36" s="21" t="n">
        <f aca="false">D156</f>
        <v>496.46158729649</v>
      </c>
      <c r="E36" s="21" t="n">
        <f aca="false">E156</f>
        <v>505.090821096441</v>
      </c>
      <c r="F36" s="21" t="n">
        <f aca="false">F156</f>
        <v>544.975252722771</v>
      </c>
      <c r="G36" s="21" t="n">
        <f aca="false">G156</f>
        <v>550.962523495794</v>
      </c>
    </row>
    <row r="37" customFormat="false" ht="15" hidden="false" customHeight="false" outlineLevel="0" collapsed="false">
      <c r="A37" s="5" t="s">
        <v>526</v>
      </c>
      <c r="B37" s="0" t="s">
        <v>33</v>
      </c>
      <c r="C37" s="21" t="n">
        <f aca="false">C188</f>
        <v>184.989</v>
      </c>
      <c r="D37" s="21" t="n">
        <f aca="false">D188</f>
        <v>222.550958911852</v>
      </c>
      <c r="E37" s="21" t="n">
        <f aca="false">E188</f>
        <v>227.551136197692</v>
      </c>
      <c r="F37" s="21" t="n">
        <f aca="false">F188</f>
        <v>250.875730235371</v>
      </c>
      <c r="G37" s="21" t="n">
        <f aca="false">G188</f>
        <v>254.406412924197</v>
      </c>
    </row>
    <row r="38" customFormat="false" ht="15" hidden="false" customHeight="false" outlineLevel="0" collapsed="false">
      <c r="A38" s="5" t="s">
        <v>527</v>
      </c>
      <c r="B38" s="0" t="s">
        <v>55</v>
      </c>
      <c r="C38" s="21" t="n">
        <f aca="false">C189</f>
        <v>1249.84</v>
      </c>
      <c r="D38" s="21" t="n">
        <f aca="false">D189</f>
        <v>1502.92379076601</v>
      </c>
      <c r="E38" s="21" t="n">
        <f aca="false">E189</f>
        <v>1536.69082298946</v>
      </c>
      <c r="F38" s="21" t="n">
        <f aca="false">F189</f>
        <v>1694.2057016518</v>
      </c>
      <c r="G38" s="21" t="n">
        <f aca="false">G189</f>
        <v>1718.04899146114</v>
      </c>
    </row>
    <row r="40" customFormat="false" ht="15" hidden="false" customHeight="false" outlineLevel="0" collapsed="false">
      <c r="A40" s="4" t="s">
        <v>529</v>
      </c>
    </row>
    <row r="41" customFormat="false" ht="15" hidden="false" customHeight="false" outlineLevel="0" collapsed="false">
      <c r="A41" s="5" t="s">
        <v>428</v>
      </c>
      <c r="B41" s="0" t="s">
        <v>33</v>
      </c>
      <c r="C41" s="21" t="n">
        <f aca="false">C236</f>
        <v>436.889</v>
      </c>
      <c r="D41" s="21" t="n">
        <f aca="false">D236</f>
        <v>535.1862</v>
      </c>
      <c r="E41" s="21" t="n">
        <f aca="false">E236</f>
        <v>480.073966054608</v>
      </c>
      <c r="F41" s="21" t="n">
        <f aca="false">F236</f>
        <v>464.47517324235</v>
      </c>
      <c r="G41" s="21" t="n">
        <f aca="false">G236</f>
        <v>480.480694100155</v>
      </c>
    </row>
    <row r="42" customFormat="false" ht="15" hidden="false" customHeight="false" outlineLevel="0" collapsed="false">
      <c r="A42" s="0" t="s">
        <v>517</v>
      </c>
      <c r="B42" s="0" t="s">
        <v>33</v>
      </c>
      <c r="C42" s="21" t="n">
        <f aca="false">C227</f>
        <v>36</v>
      </c>
      <c r="D42" s="21" t="n">
        <f aca="false">D227</f>
        <v>35.9973351236822</v>
      </c>
      <c r="E42" s="21" t="n">
        <f aca="false">E227</f>
        <v>16.3867347888839</v>
      </c>
      <c r="F42" s="21" t="n">
        <f aca="false">F227</f>
        <v>28.6947613962976</v>
      </c>
      <c r="G42" s="21" t="n">
        <f aca="false">G227</f>
        <v>19.0389052649131</v>
      </c>
    </row>
    <row r="43" customFormat="false" ht="15" hidden="false" customHeight="false" outlineLevel="0" collapsed="false">
      <c r="A43" s="5" t="s">
        <v>518</v>
      </c>
      <c r="B43" s="0" t="s">
        <v>33</v>
      </c>
      <c r="C43" s="21" t="n">
        <f aca="false">C228</f>
        <v>39</v>
      </c>
      <c r="D43" s="21" t="n">
        <f aca="false">D228</f>
        <v>57.4927445166141</v>
      </c>
      <c r="E43" s="21" t="n">
        <f aca="false">E228</f>
        <v>15.2494390210828</v>
      </c>
      <c r="F43" s="21" t="n">
        <f aca="false">F228</f>
        <v>22.9924333525188</v>
      </c>
      <c r="G43" s="21" t="n">
        <f aca="false">G228</f>
        <v>22.1198373322922</v>
      </c>
    </row>
    <row r="44" customFormat="false" ht="15" hidden="false" customHeight="false" outlineLevel="0" collapsed="false">
      <c r="A44" s="5" t="s">
        <v>519</v>
      </c>
      <c r="B44" s="0" t="s">
        <v>33</v>
      </c>
      <c r="C44" s="21" t="n">
        <f aca="false">C230</f>
        <v>195.87118</v>
      </c>
      <c r="D44" s="21" t="n">
        <f aca="false">D230</f>
        <v>228.083922471504</v>
      </c>
      <c r="E44" s="21" t="n">
        <f aca="false">E230</f>
        <v>232.175673522971</v>
      </c>
      <c r="F44" s="21" t="n">
        <f aca="false">F230</f>
        <v>204.314592700215</v>
      </c>
      <c r="G44" s="21" t="n">
        <f aca="false">G230</f>
        <v>216.573468262228</v>
      </c>
    </row>
    <row r="45" customFormat="false" ht="15" hidden="false" customHeight="false" outlineLevel="0" collapsed="false">
      <c r="A45" s="5" t="s">
        <v>520</v>
      </c>
      <c r="B45" s="0" t="s">
        <v>33</v>
      </c>
      <c r="C45" s="21" t="n">
        <f aca="false">C234</f>
        <v>91.74669</v>
      </c>
      <c r="D45" s="21" t="n">
        <f aca="false">D234</f>
        <v>122.6305438882</v>
      </c>
      <c r="E45" s="21" t="n">
        <f aca="false">E234</f>
        <v>134.649544492387</v>
      </c>
      <c r="F45" s="21" t="n">
        <f aca="false">F234</f>
        <v>129.512606342119</v>
      </c>
      <c r="G45" s="21" t="n">
        <f aca="false">G234</f>
        <v>141.066765243696</v>
      </c>
    </row>
    <row r="46" customFormat="false" ht="15" hidden="false" customHeight="false" outlineLevel="0" collapsed="false">
      <c r="A46" s="5" t="s">
        <v>521</v>
      </c>
      <c r="B46" s="0" t="s">
        <v>33</v>
      </c>
      <c r="C46" s="21" t="n">
        <f aca="false">C235</f>
        <v>74.27113</v>
      </c>
      <c r="D46" s="21" t="n">
        <f aca="false">D235</f>
        <v>90.981654</v>
      </c>
      <c r="E46" s="21" t="n">
        <f aca="false">E235</f>
        <v>81.6125742292834</v>
      </c>
      <c r="F46" s="21" t="n">
        <f aca="false">F235</f>
        <v>78.9607794511994</v>
      </c>
      <c r="G46" s="21" t="n">
        <f aca="false">G235</f>
        <v>81.6817179970263</v>
      </c>
    </row>
    <row r="47" customFormat="false" ht="15" hidden="false" customHeight="false" outlineLevel="0" collapsed="false">
      <c r="A47" s="0" t="s">
        <v>522</v>
      </c>
      <c r="B47" s="0" t="s">
        <v>60</v>
      </c>
      <c r="C47" s="14" t="n">
        <f aca="false">C237</f>
        <v>0.276884384673187</v>
      </c>
      <c r="D47" s="14" t="n">
        <f aca="false">D237</f>
        <v>0.314258839735568</v>
      </c>
      <c r="E47" s="14" t="n">
        <f aca="false">E237</f>
        <v>0.223666207240274</v>
      </c>
      <c r="F47" s="14" t="n">
        <f aca="false">F237</f>
        <v>0.26986393427944</v>
      </c>
      <c r="G47" s="14" t="n">
        <f aca="false">G237</f>
        <v>0.253771888447809</v>
      </c>
    </row>
    <row r="48" customFormat="false" ht="15" hidden="false" customHeight="false" outlineLevel="0" collapsed="false">
      <c r="A48" s="0" t="s">
        <v>523</v>
      </c>
      <c r="B48" s="0" t="s">
        <v>60</v>
      </c>
      <c r="C48" s="14" t="n">
        <f aca="false">C238</f>
        <v>0.206829299394429</v>
      </c>
      <c r="D48" s="14" t="n">
        <f aca="false">D238</f>
        <v>0.210466282891883</v>
      </c>
      <c r="E48" s="14" t="n">
        <f aca="false">E238</f>
        <v>0.0793958322161239</v>
      </c>
      <c r="F48" s="14" t="n">
        <f aca="false">F238</f>
        <v>0.134073320169772</v>
      </c>
      <c r="G48" s="14" t="n">
        <f aca="false">G238</f>
        <v>0.103206740898356</v>
      </c>
    </row>
    <row r="49" customFormat="false" ht="15" hidden="false" customHeight="false" outlineLevel="0" collapsed="false">
      <c r="A49" s="5" t="s">
        <v>466</v>
      </c>
      <c r="B49" s="0" t="s">
        <v>60</v>
      </c>
      <c r="C49" s="14" t="n">
        <f aca="false">C239</f>
        <v>0.701498549974936</v>
      </c>
      <c r="D49" s="14" t="n">
        <f aca="false">D239</f>
        <v>0.70639056761927</v>
      </c>
      <c r="E49" s="14" t="n">
        <f aca="false">E239</f>
        <v>0.713183116127151</v>
      </c>
      <c r="F49" s="14" t="n">
        <f aca="false">F239</f>
        <v>0.69942320800202</v>
      </c>
      <c r="G49" s="14" t="n">
        <f aca="false">G239</f>
        <v>0.703279510875941</v>
      </c>
    </row>
    <row r="50" customFormat="false" ht="15" hidden="false" customHeight="false" outlineLevel="0" collapsed="false">
      <c r="A50" s="5" t="s">
        <v>432</v>
      </c>
      <c r="B50" s="0" t="s">
        <v>33</v>
      </c>
      <c r="C50" s="21" t="n">
        <f aca="false">C242</f>
        <v>184.99</v>
      </c>
      <c r="D50" s="21" t="n">
        <f aca="false">D242</f>
        <v>238.5671</v>
      </c>
      <c r="E50" s="21" t="n">
        <f aca="false">E242</f>
        <v>213.102461786679</v>
      </c>
      <c r="F50" s="21" t="n">
        <f aca="false">F242</f>
        <v>199.523151488604</v>
      </c>
      <c r="G50" s="21" t="n">
        <f aca="false">G242</f>
        <v>208.531397485877</v>
      </c>
    </row>
    <row r="51" customFormat="false" ht="15" hidden="false" customHeight="false" outlineLevel="0" collapsed="false">
      <c r="A51" s="5" t="s">
        <v>444</v>
      </c>
      <c r="B51" s="0" t="s">
        <v>60</v>
      </c>
      <c r="C51" s="14" t="n">
        <f aca="false">C243</f>
        <v>0.423425629851061</v>
      </c>
      <c r="D51" s="14" t="n">
        <f aca="false">D243</f>
        <v>0.445764670314743</v>
      </c>
      <c r="E51" s="14" t="n">
        <f aca="false">E243</f>
        <v>0.443895059625956</v>
      </c>
      <c r="F51" s="14" t="n">
        <f aca="false">F243</f>
        <v>0.4295668810365</v>
      </c>
      <c r="G51" s="14" t="n">
        <f aca="false">G243</f>
        <v>0.434005778060272</v>
      </c>
    </row>
    <row r="52" customFormat="false" ht="15" hidden="false" customHeight="false" outlineLevel="0" collapsed="false">
      <c r="A52" s="5" t="s">
        <v>435</v>
      </c>
      <c r="B52" s="0" t="s">
        <v>33</v>
      </c>
      <c r="C52" s="21" t="n">
        <f aca="false">C244</f>
        <v>135.521</v>
      </c>
      <c r="D52" s="21" t="n">
        <f aca="false">D244</f>
        <v>167.95938138934</v>
      </c>
      <c r="E52" s="21" t="n">
        <f aca="false">E244</f>
        <v>153.684253119993</v>
      </c>
      <c r="F52" s="21" t="n">
        <f aca="false">F244</f>
        <v>143.891188584055</v>
      </c>
      <c r="G52" s="21" t="n">
        <f aca="false">G244</f>
        <v>150.387713994437</v>
      </c>
    </row>
    <row r="53" customFormat="false" ht="15" hidden="false" customHeight="false" outlineLevel="0" collapsed="false">
      <c r="A53" s="0" t="s">
        <v>524</v>
      </c>
      <c r="B53" s="0" t="s">
        <v>55</v>
      </c>
      <c r="C53" s="21" t="n">
        <f aca="false">C245</f>
        <v>1249.84</v>
      </c>
      <c r="D53" s="21" t="n">
        <f aca="false">D245</f>
        <v>1548.28555816522</v>
      </c>
      <c r="E53" s="21" t="n">
        <f aca="false">E245</f>
        <v>1416.69436773834</v>
      </c>
      <c r="F53" s="21" t="n">
        <f aca="false">F245</f>
        <v>1326.41980096064</v>
      </c>
      <c r="G53" s="21" t="n">
        <f aca="false">G245</f>
        <v>1386.30616388925</v>
      </c>
    </row>
    <row r="54" customFormat="false" ht="15" hidden="false" customHeight="false" outlineLevel="0" collapsed="false">
      <c r="A54" s="5" t="s">
        <v>525</v>
      </c>
      <c r="B54" s="0" t="s">
        <v>33</v>
      </c>
      <c r="C54" s="21" t="n">
        <f aca="false">C217</f>
        <v>436.889</v>
      </c>
      <c r="D54" s="21" t="n">
        <f aca="false">D217</f>
        <v>487.176844647704</v>
      </c>
      <c r="E54" s="21" t="n">
        <f aca="false">E217</f>
        <v>460.658885979082</v>
      </c>
      <c r="F54" s="21" t="n">
        <f aca="false">F217</f>
        <v>446.808741216217</v>
      </c>
      <c r="G54" s="21" t="n">
        <f aca="false">G217</f>
        <v>461.802706282427</v>
      </c>
    </row>
    <row r="55" customFormat="false" ht="15" hidden="false" customHeight="false" outlineLevel="0" collapsed="false">
      <c r="A55" s="5" t="s">
        <v>526</v>
      </c>
      <c r="B55" s="0" t="s">
        <v>33</v>
      </c>
      <c r="C55" s="21" t="n">
        <f aca="false">C249</f>
        <v>184.989</v>
      </c>
      <c r="D55" s="21" t="n">
        <f aca="false">D249</f>
        <v>217.190026131945</v>
      </c>
      <c r="E55" s="21" t="n">
        <f aca="false">E249</f>
        <v>201.991042475448</v>
      </c>
      <c r="F55" s="21" t="n">
        <f aca="false">F249</f>
        <v>189.65310222628</v>
      </c>
      <c r="G55" s="21" t="n">
        <f aca="false">G249</f>
        <v>198.025089335346</v>
      </c>
    </row>
    <row r="56" customFormat="false" ht="15" hidden="false" customHeight="false" outlineLevel="0" collapsed="false">
      <c r="A56" s="5" t="s">
        <v>527</v>
      </c>
      <c r="B56" s="0" t="s">
        <v>55</v>
      </c>
      <c r="C56" s="21" t="n">
        <f aca="false">C250</f>
        <v>1249.84</v>
      </c>
      <c r="D56" s="21" t="n">
        <f aca="false">D250</f>
        <v>1466.72051644622</v>
      </c>
      <c r="E56" s="21" t="n">
        <f aca="false">E250</f>
        <v>1364.07924163661</v>
      </c>
      <c r="F56" s="21" t="n">
        <f aca="false">F250</f>
        <v>1280.75907074097</v>
      </c>
      <c r="G56" s="21" t="n">
        <f aca="false">G250</f>
        <v>1337.29649778115</v>
      </c>
    </row>
    <row r="58" customFormat="false" ht="15" hidden="false" customHeight="false" outlineLevel="0" collapsed="false">
      <c r="A58" s="5" t="s">
        <v>530</v>
      </c>
      <c r="C58" s="16" t="n">
        <f aca="false">C124+C185+C246</f>
        <v>0.00299999999992906</v>
      </c>
    </row>
    <row r="70" customFormat="false" ht="15" hidden="false" customHeight="false" outlineLevel="0" collapsed="false">
      <c r="A70" s="4" t="s">
        <v>531</v>
      </c>
    </row>
    <row r="71" customFormat="false" ht="15" hidden="false" customHeight="false" outlineLevel="0" collapsed="false">
      <c r="A71" s="6" t="s">
        <v>22</v>
      </c>
      <c r="B71" s="6" t="s">
        <v>23</v>
      </c>
      <c r="C71" s="9" t="s">
        <v>532</v>
      </c>
      <c r="D71" s="9" t="s">
        <v>533</v>
      </c>
      <c r="E71" s="9" t="s">
        <v>534</v>
      </c>
      <c r="F71" s="9" t="s">
        <v>535</v>
      </c>
      <c r="G71" s="9" t="s">
        <v>536</v>
      </c>
      <c r="H71" s="9" t="s">
        <v>537</v>
      </c>
      <c r="I71" s="9" t="s">
        <v>538</v>
      </c>
      <c r="J71" s="6" t="s">
        <v>515</v>
      </c>
    </row>
    <row r="72" customFormat="false" ht="15" hidden="false" customHeight="false" outlineLevel="0" collapsed="false">
      <c r="A72" s="1" t="s">
        <v>539</v>
      </c>
    </row>
    <row r="73" customFormat="false" ht="15" hidden="false" customHeight="false" outlineLevel="0" collapsed="false">
      <c r="A73" s="0" t="s">
        <v>540</v>
      </c>
      <c r="B73" s="0" t="s">
        <v>100</v>
      </c>
      <c r="C73" s="19" t="n">
        <f aca="false">hsA_25</f>
        <v>2.22511470588235</v>
      </c>
      <c r="D73" s="19" t="n">
        <f aca="false">hsA_26</f>
        <v>3.782695</v>
      </c>
      <c r="E73" s="19" t="n">
        <f aca="false">hsA_27</f>
        <v>5.86317725</v>
      </c>
      <c r="F73" s="19" t="n">
        <f aca="false">hsA_28</f>
        <v>8.5016070125</v>
      </c>
      <c r="G73" s="19" t="n">
        <f aca="false">hsA_29</f>
        <v>11.477169466875</v>
      </c>
      <c r="H73" s="19" t="n">
        <f aca="false">G73*(1+g_tail)</f>
        <v>12.6248864135625</v>
      </c>
      <c r="I73" s="19" t="n">
        <f aca="false">H73*(1+g_tail)</f>
        <v>13.8873750549188</v>
      </c>
      <c r="J73" s="8" t="s">
        <v>541</v>
      </c>
    </row>
    <row r="74" customFormat="false" ht="15" hidden="false" customHeight="false" outlineLevel="0" collapsed="false">
      <c r="A74" s="0" t="s">
        <v>542</v>
      </c>
      <c r="B74" s="0" t="s">
        <v>543</v>
      </c>
      <c r="C74" s="19" t="n">
        <f aca="false">den_25</f>
        <v>24</v>
      </c>
      <c r="D74" s="19" t="n">
        <f aca="false">den_26</f>
        <v>24</v>
      </c>
      <c r="E74" s="19" t="n">
        <f aca="false">den_27</f>
        <v>26</v>
      </c>
      <c r="F74" s="19" t="n">
        <f aca="false">den_28</f>
        <v>28</v>
      </c>
      <c r="G74" s="19" t="n">
        <f aca="false">den_29</f>
        <v>30</v>
      </c>
      <c r="H74" s="19" t="n">
        <f aca="false">den_30</f>
        <v>32</v>
      </c>
      <c r="I74" s="19" t="n">
        <f aca="false">den_30</f>
        <v>32</v>
      </c>
    </row>
    <row r="75" customFormat="false" ht="15" hidden="false" customHeight="false" outlineLevel="0" collapsed="false">
      <c r="A75" s="5" t="s">
        <v>544</v>
      </c>
      <c r="B75" s="5" t="s">
        <v>152</v>
      </c>
      <c r="C75" s="19" t="n">
        <f aca="false">stk_25</f>
        <v>10</v>
      </c>
      <c r="D75" s="19" t="n">
        <f aca="false">stk_26</f>
        <v>12</v>
      </c>
      <c r="E75" s="19" t="n">
        <f aca="false">stk_27</f>
        <v>12.5</v>
      </c>
      <c r="F75" s="19" t="n">
        <f aca="false">stk_28</f>
        <v>14</v>
      </c>
      <c r="G75" s="19" t="n">
        <f aca="false">stk_29</f>
        <v>15</v>
      </c>
      <c r="H75" s="19" t="n">
        <f aca="false">stk_30</f>
        <v>16</v>
      </c>
      <c r="I75" s="19" t="n">
        <f aca="false">stk_30</f>
        <v>16</v>
      </c>
    </row>
    <row r="76" customFormat="false" ht="15" hidden="false" customHeight="false" outlineLevel="0" collapsed="false">
      <c r="A76" s="0" t="s">
        <v>545</v>
      </c>
      <c r="B76" s="5" t="s">
        <v>546</v>
      </c>
      <c r="C76" s="19" t="n">
        <f aca="false">C73*8/C74</f>
        <v>0.741704901960783</v>
      </c>
      <c r="D76" s="19" t="n">
        <f aca="false">D73*8/D74</f>
        <v>1.26089833333333</v>
      </c>
      <c r="E76" s="19" t="n">
        <f aca="false">E73*8/E74</f>
        <v>1.80405453846154</v>
      </c>
      <c r="F76" s="19" t="n">
        <f aca="false">F73*8/F74</f>
        <v>2.429030575</v>
      </c>
      <c r="G76" s="19" t="n">
        <f aca="false">G73*8/G74</f>
        <v>3.0605785245</v>
      </c>
      <c r="H76" s="19" t="n">
        <f aca="false">H73*8/H74</f>
        <v>3.15622160339063</v>
      </c>
      <c r="I76" s="19" t="n">
        <f aca="false">I73*8/I74</f>
        <v>3.47184376372969</v>
      </c>
      <c r="J76" s="8" t="s">
        <v>547</v>
      </c>
    </row>
    <row r="77" customFormat="false" ht="15" hidden="false" customHeight="false" outlineLevel="0" collapsed="false">
      <c r="A77" s="0" t="s">
        <v>548</v>
      </c>
      <c r="B77" s="5" t="s">
        <v>549</v>
      </c>
      <c r="C77" s="19" t="n">
        <f aca="false">C76*(1+s_stk/C75)</f>
        <v>0.964216372549018</v>
      </c>
      <c r="D77" s="19" t="n">
        <f aca="false">D76*(1+s_stk/D75)</f>
        <v>1.57612291666667</v>
      </c>
      <c r="E77" s="19" t="n">
        <f aca="false">E76*(1+s_stk/E75)</f>
        <v>2.23702762769231</v>
      </c>
      <c r="F77" s="19" t="n">
        <f aca="false">F76*(1+s_stk/F75)</f>
        <v>2.94953712678571</v>
      </c>
      <c r="G77" s="19" t="n">
        <f aca="false">G76*(1+s_stk/G75)</f>
        <v>3.6726942294</v>
      </c>
      <c r="H77" s="19" t="n">
        <f aca="false">H76*(1+s_stk/H75)</f>
        <v>3.74801315402637</v>
      </c>
      <c r="I77" s="19" t="n">
        <f aca="false">I76*(1+s_stk/I75)</f>
        <v>4.12281446942901</v>
      </c>
      <c r="J77" s="5" t="s">
        <v>550</v>
      </c>
    </row>
    <row r="78" customFormat="false" ht="15" hidden="false" customHeight="false" outlineLevel="0" collapsed="false">
      <c r="A78" s="5" t="s">
        <v>551</v>
      </c>
      <c r="B78" s="0" t="s">
        <v>60</v>
      </c>
      <c r="C78" s="22" t="n">
        <f aca="false">hbp_25*hb_on</f>
        <v>0</v>
      </c>
      <c r="D78" s="22" t="n">
        <f aca="false">hbp_26*hb_on</f>
        <v>0</v>
      </c>
      <c r="E78" s="22" t="n">
        <f aca="false">hbp_27*hb_on</f>
        <v>0</v>
      </c>
      <c r="F78" s="22" t="n">
        <f aca="false">hbp_28*hb_on</f>
        <v>0.05</v>
      </c>
      <c r="G78" s="22" t="n">
        <f aca="false">hbp_29*hb_on</f>
        <v>0.15</v>
      </c>
      <c r="H78" s="22" t="n">
        <f aca="false">hbp_30*hb_on</f>
        <v>0.25</v>
      </c>
      <c r="I78" s="22" t="n">
        <f aca="false">hbp_30*hb_on</f>
        <v>0.25</v>
      </c>
    </row>
    <row r="79" customFormat="false" ht="15" hidden="false" customHeight="false" outlineLevel="0" collapsed="false">
      <c r="A79" s="0" t="s">
        <v>552</v>
      </c>
      <c r="B79" s="5" t="s">
        <v>549</v>
      </c>
      <c r="C79" s="19" t="n">
        <f aca="false">C77*(1+C78*hb_eff)</f>
        <v>0.964216372549018</v>
      </c>
      <c r="D79" s="19" t="n">
        <f aca="false">D77*(1+D78*hb_eff)</f>
        <v>1.57612291666667</v>
      </c>
      <c r="E79" s="19" t="n">
        <f aca="false">E77*(1+E78*hb_eff)</f>
        <v>2.23702762769231</v>
      </c>
      <c r="F79" s="19" t="n">
        <f aca="false">F77*(1+F78*hb_eff)</f>
        <v>2.96428481241964</v>
      </c>
      <c r="G79" s="19" t="n">
        <f aca="false">G77*(1+G78*hb_eff)</f>
        <v>3.727784642841</v>
      </c>
      <c r="H79" s="19" t="n">
        <f aca="false">H77*(1+H78*hb_eff)</f>
        <v>3.84171348287703</v>
      </c>
      <c r="I79" s="19" t="n">
        <f aca="false">I77*(1+I78*hb_eff)</f>
        <v>4.22588483116473</v>
      </c>
      <c r="J79" s="5" t="s">
        <v>553</v>
      </c>
    </row>
    <row r="80" customFormat="false" ht="15" hidden="false" customHeight="false" outlineLevel="0" collapsed="false">
      <c r="A80" s="0" t="s">
        <v>554</v>
      </c>
      <c r="B80" s="5" t="s">
        <v>549</v>
      </c>
      <c r="C80" s="19" t="n">
        <f aca="false">MAX(0,D79-C79)+dlt*C79</f>
        <v>0.70832818137255</v>
      </c>
      <c r="D80" s="19" t="n">
        <f aca="false">MAX(0,E79-D79)+dlt*D79</f>
        <v>0.818517002692307</v>
      </c>
      <c r="E80" s="19" t="n">
        <f aca="false">MAX(0,F79-E79)+dlt*E79</f>
        <v>0.950959947496565</v>
      </c>
      <c r="F80" s="19" t="n">
        <f aca="false">MAX(0,G79-F79)+dlt*F79</f>
        <v>1.05992831166332</v>
      </c>
      <c r="G80" s="19" t="n">
        <f aca="false">MAX(0,H79-G79)+dlt*G79</f>
        <v>0.486707304320127</v>
      </c>
      <c r="H80" s="19" t="n">
        <f aca="false">MAX(0,I79-H79)+dlt*H79</f>
        <v>0.768342696575406</v>
      </c>
      <c r="J80" s="5" t="s">
        <v>555</v>
      </c>
    </row>
    <row r="81" customFormat="false" ht="15" hidden="false" customHeight="false" outlineLevel="0" collapsed="false">
      <c r="A81" s="0" t="s">
        <v>556</v>
      </c>
      <c r="B81" s="5" t="s">
        <v>181</v>
      </c>
      <c r="C81" s="21" t="n">
        <f aca="false">cw_25</f>
        <v>670</v>
      </c>
      <c r="D81" s="21" t="n">
        <f aca="false">cw_26</f>
        <v>1107.85762580894</v>
      </c>
      <c r="E81" s="21" t="n">
        <f aca="false">cw_27</f>
        <v>2096.42857142857</v>
      </c>
      <c r="F81" s="21" t="n">
        <f aca="false">cw_28*um28_A</f>
        <v>2620.08928571429</v>
      </c>
      <c r="G81" s="21" t="n">
        <f aca="false">cw_29*um29_A</f>
        <v>3013.32589285714</v>
      </c>
      <c r="H81" s="21" t="n">
        <f aca="false">G81*(1+g_tail)</f>
        <v>3314.65848214285</v>
      </c>
      <c r="I81" s="21" t="n">
        <f aca="false">H81*(1+g_tail)</f>
        <v>3646.12433035714</v>
      </c>
      <c r="J81" s="5" t="s">
        <v>557</v>
      </c>
    </row>
    <row r="82" customFormat="false" ht="15" hidden="false" customHeight="false" outlineLevel="0" collapsed="false">
      <c r="A82" s="5" t="s">
        <v>558</v>
      </c>
      <c r="B82" s="5" t="s">
        <v>181</v>
      </c>
      <c r="C82" s="21" t="n">
        <f aca="false">MAX(0,D81-C81)+dlt*C81</f>
        <v>504.85762580894</v>
      </c>
      <c r="D82" s="21" t="n">
        <f aca="false">MAX(0,E81-D81)+dlt*D81</f>
        <v>1099.35670820052</v>
      </c>
      <c r="E82" s="21" t="n">
        <f aca="false">MAX(0,F81-E81)+dlt*E81</f>
        <v>733.303571428577</v>
      </c>
      <c r="F82" s="21" t="n">
        <f aca="false">MAX(0,G81-F81)+dlt*F81</f>
        <v>655.245535714279</v>
      </c>
      <c r="G82" s="21" t="n">
        <f aca="false">MAX(0,H81-G81)+dlt*G81</f>
        <v>602.665178571428</v>
      </c>
      <c r="H82" s="21" t="n">
        <f aca="false">MAX(0,I81-H81)+dlt*H81</f>
        <v>662.931696428571</v>
      </c>
    </row>
    <row r="83" customFormat="false" ht="15" hidden="false" customHeight="false" outlineLevel="0" collapsed="false">
      <c r="A83" s="1" t="s">
        <v>559</v>
      </c>
    </row>
    <row r="84" customFormat="false" ht="15" hidden="false" customHeight="false" outlineLevel="0" collapsed="false">
      <c r="A84" s="0" t="s">
        <v>560</v>
      </c>
      <c r="B84" s="0" t="s">
        <v>561</v>
      </c>
      <c r="C84" s="16" t="n">
        <f aca="false">ai_25*w_hbm/(0.75*C80+0.25*D80)</f>
        <v>48.9213264236471</v>
      </c>
      <c r="J84" s="5" t="s">
        <v>562</v>
      </c>
    </row>
    <row r="85" customFormat="false" ht="15" hidden="false" customHeight="false" outlineLevel="0" collapsed="false">
      <c r="A85" s="5" t="s">
        <v>563</v>
      </c>
      <c r="B85" s="0" t="s">
        <v>564</v>
      </c>
      <c r="C85" s="18" t="n">
        <f aca="false">ai_25*(1-w_hbm)/(0.75*C82+0.25*D82)</f>
        <v>0.0596802610360141</v>
      </c>
    </row>
    <row r="86" customFormat="false" ht="15" hidden="false" customHeight="false" outlineLevel="0" collapsed="false">
      <c r="A86" s="1" t="s">
        <v>565</v>
      </c>
    </row>
    <row r="87" customFormat="false" ht="15" hidden="false" customHeight="false" outlineLevel="0" collapsed="false">
      <c r="A87" s="5" t="s">
        <v>566</v>
      </c>
      <c r="B87" s="0" t="s">
        <v>80</v>
      </c>
      <c r="C87" s="16" t="n">
        <f aca="false">1-sh_loss/sh*0</f>
        <v>1</v>
      </c>
      <c r="D87" s="16" t="n">
        <f aca="false">1-sh_loss/sh*0.25</f>
        <v>1</v>
      </c>
      <c r="E87" s="16" t="n">
        <f aca="false">1-sh_loss/sh*0.5</f>
        <v>1</v>
      </c>
      <c r="F87" s="16" t="n">
        <f aca="false">1-sh_loss/sh*0.75</f>
        <v>1</v>
      </c>
      <c r="G87" s="16" t="n">
        <f aca="false">1-sh_loss/sh*1</f>
        <v>1</v>
      </c>
    </row>
    <row r="88" customFormat="false" ht="15" hidden="false" customHeight="false" outlineLevel="0" collapsed="false">
      <c r="A88" s="0" t="s">
        <v>567</v>
      </c>
      <c r="B88" s="0" t="s">
        <v>33</v>
      </c>
      <c r="C88" s="11" t="n">
        <f aca="false">$C$84*(0.75*C80+0.25*D80)*C87</f>
        <v>36</v>
      </c>
      <c r="D88" s="11" t="n">
        <f aca="false">$C$84*(0.75*D80+0.25*E80)*D87</f>
        <v>41.6627586058351</v>
      </c>
      <c r="E88" s="11" t="n">
        <f aca="false">$C$84*(0.75*E80+0.25*F80)*E87</f>
        <v>47.8549412356069</v>
      </c>
      <c r="F88" s="11" t="n">
        <f aca="false">$C$84*(0.75*F80+0.25*G80)*F87</f>
        <v>44.8424159172644</v>
      </c>
      <c r="G88" s="11" t="n">
        <f aca="false">$C$84*(0.75*G80+0.25*H80)*G87</f>
        <v>27.2548611466613</v>
      </c>
    </row>
    <row r="89" customFormat="false" ht="15" hidden="false" customHeight="false" outlineLevel="0" collapsed="false">
      <c r="A89" s="5" t="s">
        <v>568</v>
      </c>
      <c r="B89" s="0" t="s">
        <v>33</v>
      </c>
      <c r="C89" s="11" t="n">
        <f aca="false">$C$85*(0.75*C82+0.25*D82)*C87</f>
        <v>39</v>
      </c>
      <c r="D89" s="11" t="n">
        <f aca="false">$C$85*(0.75*D82+0.25*E82)*D87</f>
        <v>60.1483586282001</v>
      </c>
      <c r="E89" s="11" t="n">
        <f aca="false">$C$85*(0.75*E82+0.25*F82)*E87</f>
        <v>42.5991175746519</v>
      </c>
      <c r="F89" s="11" t="n">
        <f aca="false">$C$85*(0.75*F82+0.25*G82)*F87</f>
        <v>38.320722254198</v>
      </c>
      <c r="G89" s="11" t="n">
        <f aca="false">$C$85*(0.75*G82+0.25*H82)*G87</f>
        <v>36.8663955538204</v>
      </c>
    </row>
    <row r="90" customFormat="false" ht="15" hidden="false" customHeight="false" outlineLevel="0" collapsed="false">
      <c r="A90" s="0" t="s">
        <v>569</v>
      </c>
      <c r="B90" s="0" t="s">
        <v>33</v>
      </c>
      <c r="C90" s="11" t="n">
        <f aca="false">C88+C89</f>
        <v>75</v>
      </c>
      <c r="D90" s="11" t="n">
        <f aca="false">D88+D89</f>
        <v>101.811117234035</v>
      </c>
      <c r="E90" s="11" t="n">
        <f aca="false">E88+E89</f>
        <v>90.4540588102588</v>
      </c>
      <c r="F90" s="11" t="n">
        <f aca="false">F88+F89</f>
        <v>83.1631381714624</v>
      </c>
      <c r="G90" s="11" t="n">
        <f aca="false">G88+G89</f>
        <v>64.1212567004817</v>
      </c>
    </row>
    <row r="91" customFormat="false" ht="15" hidden="false" customHeight="false" outlineLevel="0" collapsed="false">
      <c r="A91" s="5" t="s">
        <v>570</v>
      </c>
      <c r="B91" s="0" t="s">
        <v>33</v>
      </c>
      <c r="C91" s="11" t="n">
        <f aca="false">eq_25-ai_25</f>
        <v>195.87118</v>
      </c>
      <c r="D91" s="11" t="n">
        <f aca="false">C91*(1+g_non)*D87/C87</f>
        <v>207.6234508</v>
      </c>
      <c r="E91" s="11" t="n">
        <f aca="false">D91*(1+g_non)*E87/D87</f>
        <v>220.080857848</v>
      </c>
      <c r="F91" s="11" t="n">
        <f aca="false">E91*(1+g_non)*F87/E87</f>
        <v>233.28570931888</v>
      </c>
      <c r="G91" s="11" t="n">
        <f aca="false">F91*(1+g_non)*G87/F87</f>
        <v>247.282851878013</v>
      </c>
    </row>
    <row r="92" customFormat="false" ht="15" hidden="false" customHeight="false" outlineLevel="0" collapsed="false">
      <c r="A92" s="0" t="s">
        <v>571</v>
      </c>
      <c r="B92" s="0" t="s">
        <v>80</v>
      </c>
      <c r="C92" s="19" t="n">
        <f aca="false">w_hbm*(0.75*C79+0.25*D79)/(0.75*C79+0.25*D79)+(1-w_hbm)*(0.75*C81+0.25*D81)/(0.75*C81+0.25*D81)</f>
        <v>1</v>
      </c>
      <c r="D92" s="19" t="n">
        <f aca="false">w_hbm*(0.75*D79+0.25*E79)/(0.75*C79+0.25*D79)+(1-w_hbm)*(0.75*D81+0.25*E81)/(0.75*C81+0.25*D81)</f>
        <v>1.65212184085657</v>
      </c>
      <c r="E92" s="19" t="n">
        <f aca="false">w_hbm*(0.75*E79+0.25*F79)/(0.75*C79+0.25*D79)+(1-w_hbm)*(0.75*E81+0.25*F81)/(0.75*C81+0.25*D81)</f>
        <v>2.52516730417954</v>
      </c>
      <c r="F92" s="19" t="n">
        <f aca="false">w_hbm*(0.75*F79+0.25*G79)/(0.75*C79+0.25*D79)+(1-w_hbm)*(0.75*F81+0.25*G81)/(0.75*C81+0.25*D81)</f>
        <v>3.16911970169284</v>
      </c>
      <c r="G92" s="19" t="n">
        <f aca="false">w_hbm*(0.75*G79+0.25*H79)/(0.75*C79+0.25*D79)+(1-w_hbm)*(0.75*G81+0.25*H81)/(0.75*C81+0.25*D81)</f>
        <v>3.67439430985121</v>
      </c>
      <c r="J92" s="8" t="s">
        <v>572</v>
      </c>
    </row>
    <row r="93" customFormat="false" ht="15" hidden="false" customHeight="false" outlineLevel="0" collapsed="false">
      <c r="A93" s="0" t="s">
        <v>573</v>
      </c>
      <c r="B93" s="0" t="s">
        <v>33</v>
      </c>
      <c r="C93" s="11" t="n">
        <f aca="false">tl_25*w_tlai*C92</f>
        <v>25.4032258064516</v>
      </c>
      <c r="D93" s="11" t="n">
        <f aca="false">tl_25*w_tlai*D92</f>
        <v>41.9692241830499</v>
      </c>
      <c r="E93" s="11" t="n">
        <f aca="false">tl_25*w_tlai*E92</f>
        <v>64.1473952271414</v>
      </c>
      <c r="F93" s="11" t="n">
        <f aca="false">tl_25*w_tlai*F92</f>
        <v>80.5058633897778</v>
      </c>
      <c r="G93" s="11" t="n">
        <f aca="false">tl_25*w_tlai*G92</f>
        <v>93.3414683550913</v>
      </c>
      <c r="J93" s="5" t="s">
        <v>574</v>
      </c>
    </row>
    <row r="94" customFormat="false" ht="15" hidden="false" customHeight="false" outlineLevel="0" collapsed="false">
      <c r="A94" s="5" t="s">
        <v>575</v>
      </c>
      <c r="B94" s="0" t="s">
        <v>33</v>
      </c>
      <c r="C94" s="11" t="n">
        <f aca="false">tl_25*(1-w_tlai)</f>
        <v>66.3434641935484</v>
      </c>
      <c r="D94" s="11" t="n">
        <f aca="false">C94*(1+g_tl)</f>
        <v>69.6606374032258</v>
      </c>
      <c r="E94" s="11" t="n">
        <f aca="false">D94*(1+g_tl)</f>
        <v>73.1436692733871</v>
      </c>
      <c r="F94" s="11" t="n">
        <f aca="false">E94*(1+g_tl)</f>
        <v>76.8008527370565</v>
      </c>
      <c r="G94" s="11" t="n">
        <f aca="false">F94*(1+g_tl)</f>
        <v>80.6408953739093</v>
      </c>
    </row>
    <row r="95" customFormat="false" ht="15" hidden="false" customHeight="false" outlineLevel="0" collapsed="false">
      <c r="A95" s="5" t="s">
        <v>576</v>
      </c>
      <c r="B95" s="0" t="s">
        <v>33</v>
      </c>
      <c r="C95" s="11" t="n">
        <f aca="false">(C90+C91+C93+C94)*(1+r_ot)</f>
        <v>436.889</v>
      </c>
      <c r="D95" s="11" t="n">
        <f aca="false">(D90+D91+D93+D94)*(1+r_ot)</f>
        <v>507.306541711218</v>
      </c>
      <c r="E95" s="11" t="n">
        <f aca="false">(E90+E91+E93+E94)*(1+r_ot)</f>
        <v>539.549374890105</v>
      </c>
      <c r="F95" s="11" t="n">
        <f aca="false">(F90+F91+F93+F94)*(1+r_ot)</f>
        <v>570.789835683346</v>
      </c>
      <c r="G95" s="11" t="n">
        <f aca="false">(G90+G91+G93+G94)*(1+r_ot)</f>
        <v>584.802978683729</v>
      </c>
      <c r="J95" s="8" t="s">
        <v>577</v>
      </c>
    </row>
    <row r="96" customFormat="false" ht="15" hidden="false" customHeight="false" outlineLevel="0" collapsed="false">
      <c r="A96" s="1" t="s">
        <v>578</v>
      </c>
    </row>
    <row r="97" customFormat="false" ht="15" hidden="false" customHeight="false" outlineLevel="0" collapsed="false">
      <c r="A97" s="5" t="s">
        <v>579</v>
      </c>
      <c r="B97" s="0" t="s">
        <v>33</v>
      </c>
      <c r="D97" s="11" t="n">
        <f aca="false">g3_rev*(1+g_q4)</f>
        <v>145.6862</v>
      </c>
    </row>
    <row r="98" customFormat="false" ht="15" hidden="false" customHeight="false" outlineLevel="0" collapsed="false">
      <c r="A98" s="0" t="s">
        <v>580</v>
      </c>
      <c r="B98" s="0" t="s">
        <v>33</v>
      </c>
      <c r="D98" s="11" t="n">
        <f aca="false">q26h1_rev+g3_rev+D97</f>
        <v>535.1862</v>
      </c>
    </row>
    <row r="99" customFormat="false" ht="15" hidden="false" customHeight="false" outlineLevel="0" collapsed="false">
      <c r="A99" s="0" t="s">
        <v>581</v>
      </c>
      <c r="B99" s="0" t="s">
        <v>33</v>
      </c>
      <c r="D99" s="11" t="n">
        <f aca="false">q26h1_gp+(g3_rev+D97)*gm_q3</f>
        <v>378.0504836</v>
      </c>
    </row>
    <row r="100" customFormat="false" ht="15" hidden="false" customHeight="false" outlineLevel="0" collapsed="false">
      <c r="A100" s="0" t="s">
        <v>582</v>
      </c>
      <c r="B100" s="0" t="s">
        <v>33</v>
      </c>
      <c r="D100" s="11" t="n">
        <f aca="false">q26h1_oi+g3_oi+D97*m_q4</f>
        <v>238.5671</v>
      </c>
    </row>
    <row r="101" customFormat="false" ht="15" hidden="false" customHeight="false" outlineLevel="0" collapsed="false">
      <c r="A101" s="0" t="s">
        <v>583</v>
      </c>
      <c r="B101" s="0" t="s">
        <v>33</v>
      </c>
      <c r="D101" s="11" t="n">
        <f aca="false">q26h1_ni+g3_ni+D97*m_q4*nioi</f>
        <v>167.95938138934</v>
      </c>
    </row>
    <row r="102" customFormat="false" ht="15" hidden="false" customHeight="false" outlineLevel="0" collapsed="false">
      <c r="A102" s="5" t="s">
        <v>584</v>
      </c>
      <c r="B102" s="0" t="s">
        <v>80</v>
      </c>
      <c r="D102" s="16" t="n">
        <f aca="false">D98/D95</f>
        <v>1.05495623650888</v>
      </c>
      <c r="J102" s="8" t="s">
        <v>585</v>
      </c>
    </row>
    <row r="103" customFormat="false" ht="15" hidden="false" customHeight="false" outlineLevel="0" collapsed="false">
      <c r="A103" s="5" t="s">
        <v>586</v>
      </c>
      <c r="B103" s="0" t="s">
        <v>80</v>
      </c>
      <c r="D103" s="16" t="n">
        <f aca="false">1+anc_carry*(D102-1)</f>
        <v>1.05495623650888</v>
      </c>
      <c r="J103" s="8" t="s">
        <v>587</v>
      </c>
    </row>
    <row r="104" customFormat="false" ht="15" hidden="false" customHeight="false" outlineLevel="0" collapsed="false">
      <c r="A104" s="1" t="s">
        <v>588</v>
      </c>
    </row>
    <row r="105" customFormat="false" ht="15" hidden="false" customHeight="false" outlineLevel="0" collapsed="false">
      <c r="A105" s="0" t="s">
        <v>589</v>
      </c>
      <c r="B105" s="0" t="s">
        <v>33</v>
      </c>
      <c r="C105" s="11" t="n">
        <f aca="false">C88*1</f>
        <v>36</v>
      </c>
      <c r="D105" s="11" t="n">
        <f aca="false">D88*$D$102</f>
        <v>43.9523870213896</v>
      </c>
      <c r="E105" s="11" t="n">
        <f aca="false">E88*1</f>
        <v>47.8549412356069</v>
      </c>
      <c r="F105" s="11" t="n">
        <f aca="false">F88*1</f>
        <v>44.8424159172644</v>
      </c>
      <c r="G105" s="11" t="n">
        <f aca="false">G88*1</f>
        <v>27.2548611466613</v>
      </c>
    </row>
    <row r="106" customFormat="false" ht="15" hidden="false" customHeight="false" outlineLevel="0" collapsed="false">
      <c r="A106" s="5" t="s">
        <v>590</v>
      </c>
      <c r="B106" s="0" t="s">
        <v>33</v>
      </c>
      <c r="C106" s="11" t="n">
        <f aca="false">C89*1</f>
        <v>39</v>
      </c>
      <c r="D106" s="11" t="n">
        <f aca="false">D89*$D$102</f>
        <v>63.4538860505921</v>
      </c>
      <c r="E106" s="11" t="n">
        <f aca="false">E89*1</f>
        <v>42.5991175746519</v>
      </c>
      <c r="F106" s="11" t="n">
        <f aca="false">F89*1</f>
        <v>38.320722254198</v>
      </c>
      <c r="G106" s="11" t="n">
        <f aca="false">G89*1</f>
        <v>36.8663955538204</v>
      </c>
    </row>
    <row r="107" customFormat="false" ht="15" hidden="false" customHeight="false" outlineLevel="0" collapsed="false">
      <c r="A107" s="0" t="s">
        <v>591</v>
      </c>
      <c r="B107" s="0" t="s">
        <v>33</v>
      </c>
      <c r="C107" s="11" t="n">
        <f aca="false">C105+C106</f>
        <v>75</v>
      </c>
      <c r="D107" s="11" t="n">
        <f aca="false">D105+D106</f>
        <v>107.406273071982</v>
      </c>
      <c r="E107" s="11" t="n">
        <f aca="false">E105+E106</f>
        <v>90.4540588102588</v>
      </c>
      <c r="F107" s="11" t="n">
        <f aca="false">F105+F106</f>
        <v>83.1631381714624</v>
      </c>
      <c r="G107" s="11" t="n">
        <f aca="false">G105+G106</f>
        <v>64.1212567004817</v>
      </c>
    </row>
    <row r="108" customFormat="false" ht="15" hidden="false" customHeight="false" outlineLevel="0" collapsed="false">
      <c r="A108" s="5" t="s">
        <v>592</v>
      </c>
      <c r="B108" s="0" t="s">
        <v>33</v>
      </c>
      <c r="C108" s="11" t="n">
        <f aca="false">C91*1</f>
        <v>195.87118</v>
      </c>
      <c r="D108" s="11" t="n">
        <f aca="false">D91*$D$102</f>
        <v>219.033654266954</v>
      </c>
      <c r="E108" s="11" t="n">
        <f aca="false">E91*$D$103</f>
        <v>232.175673522971</v>
      </c>
      <c r="F108" s="11" t="n">
        <f aca="false">F91*$D$103</f>
        <v>246.106213934349</v>
      </c>
      <c r="G108" s="11" t="n">
        <f aca="false">G91*$D$103</f>
        <v>260.87258677041</v>
      </c>
    </row>
    <row r="109" customFormat="false" ht="15" hidden="false" customHeight="false" outlineLevel="0" collapsed="false">
      <c r="A109" s="5" t="s">
        <v>593</v>
      </c>
      <c r="B109" s="0" t="s">
        <v>33</v>
      </c>
      <c r="C109" s="11" t="n">
        <f aca="false">C107+C108</f>
        <v>270.87118</v>
      </c>
      <c r="D109" s="11" t="n">
        <f aca="false">D107+D108</f>
        <v>326.439927338936</v>
      </c>
      <c r="E109" s="11" t="n">
        <f aca="false">E107+E108</f>
        <v>322.62973233323</v>
      </c>
      <c r="F109" s="11" t="n">
        <f aca="false">F107+F108</f>
        <v>329.269352105812</v>
      </c>
      <c r="G109" s="11" t="n">
        <f aca="false">G107+G108</f>
        <v>324.993843470892</v>
      </c>
    </row>
    <row r="110" customFormat="false" ht="15" hidden="false" customHeight="false" outlineLevel="0" collapsed="false">
      <c r="A110" s="0" t="s">
        <v>594</v>
      </c>
      <c r="B110" s="0" t="s">
        <v>33</v>
      </c>
      <c r="C110" s="11" t="n">
        <f aca="false">C93*1</f>
        <v>25.4032258064516</v>
      </c>
      <c r="D110" s="11" t="n">
        <f aca="false">D93*$D$102</f>
        <v>44.2756947933477</v>
      </c>
      <c r="E110" s="11" t="n">
        <f aca="false">E93*1</f>
        <v>64.1473952271414</v>
      </c>
      <c r="F110" s="11" t="n">
        <f aca="false">F93*1</f>
        <v>80.5058633897778</v>
      </c>
      <c r="G110" s="11" t="n">
        <f aca="false">G93*1</f>
        <v>93.3414683550913</v>
      </c>
    </row>
    <row r="111" customFormat="false" ht="15" hidden="false" customHeight="false" outlineLevel="0" collapsed="false">
      <c r="A111" s="5" t="s">
        <v>595</v>
      </c>
      <c r="B111" s="0" t="s">
        <v>33</v>
      </c>
      <c r="C111" s="11" t="n">
        <f aca="false">C94*1</f>
        <v>66.3434641935484</v>
      </c>
      <c r="D111" s="11" t="n">
        <f aca="false">D94*$D$102</f>
        <v>73.4889238677166</v>
      </c>
      <c r="E111" s="11" t="n">
        <f aca="false">E94*$D$103</f>
        <v>77.1633700611024</v>
      </c>
      <c r="F111" s="11" t="n">
        <f aca="false">F94*$D$103</f>
        <v>81.0215385641575</v>
      </c>
      <c r="G111" s="11" t="n">
        <f aca="false">G94*$D$103</f>
        <v>85.0726154923654</v>
      </c>
    </row>
    <row r="112" customFormat="false" ht="15" hidden="false" customHeight="false" outlineLevel="0" collapsed="false">
      <c r="A112" s="5" t="s">
        <v>596</v>
      </c>
      <c r="B112" s="0" t="s">
        <v>33</v>
      </c>
      <c r="C112" s="11" t="n">
        <f aca="false">C110+C111</f>
        <v>91.74669</v>
      </c>
      <c r="D112" s="11" t="n">
        <f aca="false">D110+D111</f>
        <v>117.764618661064</v>
      </c>
      <c r="E112" s="11" t="n">
        <f aca="false">E110+E111</f>
        <v>141.310765288244</v>
      </c>
      <c r="F112" s="11" t="n">
        <f aca="false">F110+F111</f>
        <v>161.527401953935</v>
      </c>
      <c r="G112" s="11" t="n">
        <f aca="false">G110+G111</f>
        <v>178.414083847457</v>
      </c>
    </row>
    <row r="113" customFormat="false" ht="15" hidden="false" customHeight="false" outlineLevel="0" collapsed="false">
      <c r="A113" s="5" t="s">
        <v>458</v>
      </c>
      <c r="B113" s="0" t="s">
        <v>33</v>
      </c>
      <c r="C113" s="11" t="n">
        <f aca="false">r_ot*(C109+C112)</f>
        <v>74.27113</v>
      </c>
      <c r="D113" s="11" t="n">
        <f aca="false">r_ot*(D109+D112)</f>
        <v>90.981654</v>
      </c>
      <c r="E113" s="11" t="n">
        <f aca="false">r_ot*(E109+E112)</f>
        <v>95.0239573441573</v>
      </c>
      <c r="F113" s="11" t="n">
        <f aca="false">r_ot*(F109+F112)</f>
        <v>100.524636373683</v>
      </c>
      <c r="G113" s="11" t="n">
        <f aca="false">r_ot*(G109+G112)</f>
        <v>103.107647763999</v>
      </c>
    </row>
    <row r="114" customFormat="false" ht="15" hidden="false" customHeight="false" outlineLevel="0" collapsed="false">
      <c r="A114" s="5" t="s">
        <v>428</v>
      </c>
      <c r="B114" s="0" t="s">
        <v>33</v>
      </c>
      <c r="C114" s="11" t="n">
        <f aca="false">C109+C112+C113</f>
        <v>436.889</v>
      </c>
      <c r="D114" s="11" t="n">
        <f aca="false">D109+D112+D113</f>
        <v>535.1862</v>
      </c>
      <c r="E114" s="11" t="n">
        <f aca="false">E109+E112+E113</f>
        <v>558.964454965631</v>
      </c>
      <c r="F114" s="11" t="n">
        <f aca="false">F109+F112+F113</f>
        <v>591.32139043343</v>
      </c>
      <c r="G114" s="11" t="n">
        <f aca="false">G109+G112+G113</f>
        <v>606.515575082348</v>
      </c>
      <c r="J114" s="8" t="s">
        <v>597</v>
      </c>
    </row>
    <row r="115" customFormat="false" ht="15" hidden="false" customHeight="false" outlineLevel="0" collapsed="false">
      <c r="A115" s="0" t="s">
        <v>598</v>
      </c>
      <c r="B115" s="0" t="s">
        <v>60</v>
      </c>
      <c r="C115" s="14" t="n">
        <f aca="false">(C107+C110)*(1+r_ot)/C114</f>
        <v>0.276884384673187</v>
      </c>
      <c r="D115" s="14" t="n">
        <f aca="false">(D107+D110)*(1+r_ot)/D114</f>
        <v>0.341468742792492</v>
      </c>
      <c r="E115" s="14" t="n">
        <f aca="false">(E107+E110)*(1+r_ot)/E114</f>
        <v>0.333235522292211</v>
      </c>
      <c r="F115" s="14" t="n">
        <f aca="false">(F107+F110)*(1+r_ot)/F114</f>
        <v>0.333476128779197</v>
      </c>
      <c r="G115" s="14" t="n">
        <f aca="false">(G107+G110)*(1+r_ot)/G114</f>
        <v>0.312793495117123</v>
      </c>
    </row>
    <row r="116" customFormat="false" ht="15" hidden="false" customHeight="false" outlineLevel="0" collapsed="false">
      <c r="A116" s="0" t="s">
        <v>599</v>
      </c>
      <c r="B116" s="0" t="s">
        <v>60</v>
      </c>
      <c r="C116" s="14" t="n">
        <f aca="false">C107*(1+r_ot)/C114</f>
        <v>0.206829299394429</v>
      </c>
      <c r="D116" s="14" t="n">
        <f aca="false">D107*(1+r_ot)/D114</f>
        <v>0.241794628261148</v>
      </c>
      <c r="E116" s="14" t="n">
        <f aca="false">E107*(1+r_ot)/E114</f>
        <v>0.194969094687784</v>
      </c>
      <c r="F116" s="14" t="n">
        <f aca="false">F107*(1+r_ot)/F114</f>
        <v>0.16944516744163</v>
      </c>
      <c r="G116" s="14" t="n">
        <f aca="false">G107*(1+r_ot)/G114</f>
        <v>0.12737434835811</v>
      </c>
      <c r="J116" s="5" t="s">
        <v>600</v>
      </c>
    </row>
    <row r="117" customFormat="false" ht="15" hidden="false" customHeight="false" outlineLevel="0" collapsed="false">
      <c r="A117" s="5" t="s">
        <v>466</v>
      </c>
      <c r="B117" s="0" t="s">
        <v>60</v>
      </c>
      <c r="C117" s="14" t="n">
        <f aca="false">a25_gp/a25_rev</f>
        <v>0.701498549974936</v>
      </c>
      <c r="D117" s="14" t="n">
        <f aca="false">D99/D114</f>
        <v>0.70639056761927</v>
      </c>
      <c r="E117" s="14" t="n">
        <f aca="false">gm_a+gm_b*LN(E114)+0</f>
        <v>0.730501245911974</v>
      </c>
      <c r="F117" s="14" t="n">
        <f aca="false">gm_a+gm_b*LN(F114)+0</f>
        <v>0.736906664378218</v>
      </c>
      <c r="G117" s="14" t="n">
        <f aca="false">gm_a+gm_b*LN(G114)+0</f>
        <v>0.739794512150511</v>
      </c>
      <c r="J117" s="8" t="s">
        <v>601</v>
      </c>
    </row>
    <row r="118" customFormat="false" ht="15" hidden="false" customHeight="false" outlineLevel="0" collapsed="false">
      <c r="A118" s="5" t="s">
        <v>463</v>
      </c>
      <c r="B118" s="0" t="s">
        <v>33</v>
      </c>
      <c r="C118" s="11" t="n">
        <f aca="false">C114*C117</f>
        <v>306.477</v>
      </c>
      <c r="D118" s="11" t="n">
        <f aca="false">D114*D117</f>
        <v>378.0504836</v>
      </c>
      <c r="E118" s="11" t="n">
        <f aca="false">E114*E117</f>
        <v>408.324230772901</v>
      </c>
      <c r="F118" s="11" t="n">
        <f aca="false">F114*F117</f>
        <v>435.748673399789</v>
      </c>
      <c r="G118" s="11" t="n">
        <f aca="false">G114*G117</f>
        <v>448.696893979733</v>
      </c>
    </row>
    <row r="119" customFormat="false" ht="15" hidden="false" customHeight="false" outlineLevel="0" collapsed="false">
      <c r="A119" s="5" t="s">
        <v>464</v>
      </c>
      <c r="B119" s="0" t="s">
        <v>33</v>
      </c>
      <c r="C119" s="11" t="n">
        <f aca="false">a25_sga</f>
        <v>121.487</v>
      </c>
      <c r="D119" s="11" t="n">
        <f aca="false">D118-D100</f>
        <v>139.4833836</v>
      </c>
      <c r="E119" s="11" t="n">
        <f aca="false">sg_f+sg_v*E114</f>
        <v>149.187544002062</v>
      </c>
      <c r="F119" s="11" t="n">
        <f aca="false">sg_f+sg_v*F114</f>
        <v>157.353367839138</v>
      </c>
      <c r="G119" s="11" t="n">
        <f aca="false">sg_f+sg_v*G114</f>
        <v>161.187879154788</v>
      </c>
      <c r="J119" s="8" t="s">
        <v>602</v>
      </c>
    </row>
    <row r="120" customFormat="false" ht="15" hidden="false" customHeight="false" outlineLevel="0" collapsed="false">
      <c r="A120" s="5" t="s">
        <v>432</v>
      </c>
      <c r="B120" s="0" t="s">
        <v>33</v>
      </c>
      <c r="C120" s="11" t="n">
        <f aca="false">C118-C119</f>
        <v>184.99</v>
      </c>
      <c r="D120" s="11" t="n">
        <f aca="false">D118-D119</f>
        <v>238.5671</v>
      </c>
      <c r="E120" s="11" t="n">
        <f aca="false">E118-E119</f>
        <v>259.136686770839</v>
      </c>
      <c r="F120" s="11" t="n">
        <f aca="false">F118-F119</f>
        <v>278.395305560652</v>
      </c>
      <c r="G120" s="11" t="n">
        <f aca="false">G118-G119</f>
        <v>287.509014824944</v>
      </c>
    </row>
    <row r="121" customFormat="false" ht="15" hidden="false" customHeight="false" outlineLevel="0" collapsed="false">
      <c r="A121" s="5" t="s">
        <v>603</v>
      </c>
      <c r="B121" s="0" t="s">
        <v>60</v>
      </c>
      <c r="C121" s="14" t="n">
        <f aca="false">C120/C114</f>
        <v>0.423425629851061</v>
      </c>
      <c r="D121" s="14" t="n">
        <f aca="false">D120/D114</f>
        <v>0.445764670314743</v>
      </c>
      <c r="E121" s="14" t="n">
        <f aca="false">E120/E114</f>
        <v>0.463601369405094</v>
      </c>
      <c r="F121" s="14" t="n">
        <f aca="false">F120/F114</f>
        <v>0.470802020803935</v>
      </c>
      <c r="G121" s="14" t="n">
        <f aca="false">G120/G114</f>
        <v>0.47403401765224</v>
      </c>
    </row>
    <row r="122" customFormat="false" ht="15" hidden="false" customHeight="false" outlineLevel="0" collapsed="false">
      <c r="A122" s="5" t="s">
        <v>435</v>
      </c>
      <c r="B122" s="0" t="s">
        <v>33</v>
      </c>
      <c r="C122" s="11" t="n">
        <f aca="false">a25_ni</f>
        <v>135.521</v>
      </c>
      <c r="D122" s="11" t="n">
        <f aca="false">D101</f>
        <v>167.95938138934</v>
      </c>
      <c r="E122" s="11" t="n">
        <f aca="false">E120*nioi</f>
        <v>186.883003736634</v>
      </c>
      <c r="F122" s="11" t="n">
        <f aca="false">F120*nioi</f>
        <v>200.771845845825</v>
      </c>
      <c r="G122" s="11" t="n">
        <f aca="false">G120*nioi</f>
        <v>207.344428769985</v>
      </c>
    </row>
    <row r="123" customFormat="false" ht="15" hidden="false" customHeight="false" outlineLevel="0" collapsed="false">
      <c r="A123" s="0" t="s">
        <v>524</v>
      </c>
      <c r="B123" s="0" t="s">
        <v>55</v>
      </c>
      <c r="C123" s="11" t="n">
        <f aca="false">a25_eps</f>
        <v>1249.84</v>
      </c>
      <c r="D123" s="11" t="n">
        <f aca="false">D122*1000/shares</f>
        <v>1548.28555816522</v>
      </c>
      <c r="E123" s="11" t="n">
        <f aca="false">E122*1000/shares</f>
        <v>1722.72756281021</v>
      </c>
      <c r="F123" s="11" t="n">
        <f aca="false">F122*1000/shares</f>
        <v>1850.75788466196</v>
      </c>
      <c r="G123" s="11" t="n">
        <f aca="false">G122*1000/shares</f>
        <v>1911.34536204573</v>
      </c>
    </row>
    <row r="124" customFormat="false" ht="15" hidden="false" customHeight="false" outlineLevel="0" collapsed="false">
      <c r="A124" s="5" t="s">
        <v>604</v>
      </c>
      <c r="B124" s="0" t="s">
        <v>33</v>
      </c>
      <c r="C124" s="16" t="n">
        <f aca="false">ABS(C114-a25_rev)+ABS(C120-a25_oi)+ABS(D114-D98)+ABS(D120-D100)</f>
        <v>0.000999999999976353</v>
      </c>
    </row>
    <row r="125" customFormat="false" ht="15" hidden="false" customHeight="false" outlineLevel="0" collapsed="false">
      <c r="A125" s="1" t="s">
        <v>605</v>
      </c>
    </row>
    <row r="126" customFormat="false" ht="15" hidden="false" customHeight="false" outlineLevel="0" collapsed="false">
      <c r="A126" s="5" t="s">
        <v>606</v>
      </c>
      <c r="B126" s="0" t="s">
        <v>60</v>
      </c>
      <c r="C126" s="14" t="n">
        <f aca="false">a25_gp/a25_rev</f>
        <v>0.701498549974936</v>
      </c>
      <c r="D126" s="14" t="n">
        <f aca="false">gm_a+gm_b*LN(D95)+0</f>
        <v>0.719463492058136</v>
      </c>
      <c r="E126" s="14" t="n">
        <f aca="false">gm_a+gm_b*LN(E95)+0</f>
        <v>0.726477317954067</v>
      </c>
      <c r="F126" s="14" t="n">
        <f aca="false">gm_a+gm_b*LN(F95)+0</f>
        <v>0.73288421444391</v>
      </c>
      <c r="G126" s="14" t="n">
        <f aca="false">gm_a+gm_b*LN(G95)+0</f>
        <v>0.735644940559218</v>
      </c>
    </row>
    <row r="127" customFormat="false" ht="15" hidden="false" customHeight="false" outlineLevel="0" collapsed="false">
      <c r="A127" s="5" t="s">
        <v>607</v>
      </c>
      <c r="B127" s="0" t="s">
        <v>33</v>
      </c>
      <c r="C127" s="11" t="n">
        <f aca="false">a25_oi</f>
        <v>184.989</v>
      </c>
      <c r="D127" s="11" t="n">
        <f aca="false">D95*D126-sg_f-sg_v*D95</f>
        <v>228.837746398039</v>
      </c>
      <c r="E127" s="11" t="n">
        <f aca="false">E95*E126-sg_f-sg_v*E95</f>
        <v>247.68256494767</v>
      </c>
      <c r="F127" s="11" t="n">
        <f aca="false">F95*F126-sg_f-sg_v*F95</f>
        <v>266.150980076278</v>
      </c>
      <c r="G127" s="11" t="n">
        <f aca="false">G95*G126-sg_f-sg_v*G95</f>
        <v>274.499016893924</v>
      </c>
    </row>
    <row r="128" customFormat="false" ht="15" hidden="false" customHeight="false" outlineLevel="0" collapsed="false">
      <c r="A128" s="0" t="s">
        <v>608</v>
      </c>
      <c r="B128" s="0" t="s">
        <v>55</v>
      </c>
      <c r="C128" s="11" t="n">
        <f aca="false">a25_eps</f>
        <v>1249.84</v>
      </c>
      <c r="D128" s="11" t="n">
        <f aca="false">D127*nioi_v01*1000/shares</f>
        <v>1545.37951653183</v>
      </c>
      <c r="E128" s="11" t="n">
        <f aca="false">E127*nioi_v01*1000/shares</f>
        <v>1672.64172321648</v>
      </c>
      <c r="F128" s="11" t="n">
        <f aca="false">F127*nioi_v01*1000/shares</f>
        <v>1797.36201474092</v>
      </c>
      <c r="G128" s="11" t="n">
        <f aca="false">G127*nioi_v01*1000/shares</f>
        <v>1853.73770146352</v>
      </c>
    </row>
    <row r="131" customFormat="false" ht="15" hidden="false" customHeight="false" outlineLevel="0" collapsed="false">
      <c r="A131" s="4" t="s">
        <v>609</v>
      </c>
    </row>
    <row r="132" customFormat="false" ht="15" hidden="false" customHeight="false" outlineLevel="0" collapsed="false">
      <c r="A132" s="6" t="s">
        <v>22</v>
      </c>
      <c r="B132" s="6" t="s">
        <v>23</v>
      </c>
      <c r="C132" s="9" t="s">
        <v>532</v>
      </c>
      <c r="D132" s="9" t="s">
        <v>533</v>
      </c>
      <c r="E132" s="9" t="s">
        <v>534</v>
      </c>
      <c r="F132" s="9" t="s">
        <v>535</v>
      </c>
      <c r="G132" s="9" t="s">
        <v>536</v>
      </c>
      <c r="H132" s="9" t="s">
        <v>537</v>
      </c>
      <c r="I132" s="9" t="s">
        <v>538</v>
      </c>
      <c r="J132" s="6" t="s">
        <v>515</v>
      </c>
    </row>
    <row r="133" customFormat="false" ht="15" hidden="false" customHeight="false" outlineLevel="0" collapsed="false">
      <c r="A133" s="1" t="s">
        <v>539</v>
      </c>
    </row>
    <row r="134" customFormat="false" ht="15" hidden="false" customHeight="false" outlineLevel="0" collapsed="false">
      <c r="A134" s="0" t="s">
        <v>540</v>
      </c>
      <c r="B134" s="0" t="s">
        <v>100</v>
      </c>
      <c r="C134" s="19" t="n">
        <f aca="false">hsB_25</f>
        <v>2.22511470588235</v>
      </c>
      <c r="D134" s="19" t="n">
        <f aca="false">hsB_26</f>
        <v>3.782695</v>
      </c>
      <c r="E134" s="19" t="n">
        <f aca="false">hsB_27</f>
        <v>5.86317725</v>
      </c>
      <c r="F134" s="19" t="n">
        <f aca="false">hsB_28</f>
        <v>8.22296</v>
      </c>
      <c r="G134" s="19" t="n">
        <f aca="false">hsB_29</f>
        <v>11.3579635</v>
      </c>
      <c r="H134" s="19" t="n">
        <f aca="false">G134*(1+g_tail)</f>
        <v>12.49375985</v>
      </c>
      <c r="I134" s="19" t="n">
        <f aca="false">H134*(1+g_tail)</f>
        <v>13.743135835</v>
      </c>
      <c r="J134" s="8" t="s">
        <v>541</v>
      </c>
    </row>
    <row r="135" customFormat="false" ht="15" hidden="false" customHeight="false" outlineLevel="0" collapsed="false">
      <c r="A135" s="0" t="s">
        <v>542</v>
      </c>
      <c r="B135" s="0" t="s">
        <v>543</v>
      </c>
      <c r="C135" s="19" t="n">
        <f aca="false">den_25</f>
        <v>24</v>
      </c>
      <c r="D135" s="19" t="n">
        <f aca="false">den_26</f>
        <v>24</v>
      </c>
      <c r="E135" s="19" t="n">
        <f aca="false">den_27</f>
        <v>26</v>
      </c>
      <c r="F135" s="19" t="n">
        <f aca="false">den_28</f>
        <v>28</v>
      </c>
      <c r="G135" s="19" t="n">
        <f aca="false">den_29</f>
        <v>30</v>
      </c>
      <c r="H135" s="19" t="n">
        <f aca="false">den_30</f>
        <v>32</v>
      </c>
      <c r="I135" s="19" t="n">
        <f aca="false">den_30</f>
        <v>32</v>
      </c>
    </row>
    <row r="136" customFormat="false" ht="15" hidden="false" customHeight="false" outlineLevel="0" collapsed="false">
      <c r="A136" s="5" t="s">
        <v>544</v>
      </c>
      <c r="B136" s="5" t="s">
        <v>152</v>
      </c>
      <c r="C136" s="19" t="n">
        <f aca="false">stk_25</f>
        <v>10</v>
      </c>
      <c r="D136" s="19" t="n">
        <f aca="false">stk_26</f>
        <v>12</v>
      </c>
      <c r="E136" s="19" t="n">
        <f aca="false">stk_27</f>
        <v>12.5</v>
      </c>
      <c r="F136" s="19" t="n">
        <f aca="false">stk_28</f>
        <v>14</v>
      </c>
      <c r="G136" s="19" t="n">
        <f aca="false">stk_29</f>
        <v>15</v>
      </c>
      <c r="H136" s="19" t="n">
        <f aca="false">stk_30</f>
        <v>16</v>
      </c>
      <c r="I136" s="19" t="n">
        <f aca="false">stk_30</f>
        <v>16</v>
      </c>
    </row>
    <row r="137" customFormat="false" ht="15" hidden="false" customHeight="false" outlineLevel="0" collapsed="false">
      <c r="A137" s="0" t="s">
        <v>545</v>
      </c>
      <c r="B137" s="5" t="s">
        <v>546</v>
      </c>
      <c r="C137" s="19" t="n">
        <f aca="false">C134*8/C135</f>
        <v>0.741704901960783</v>
      </c>
      <c r="D137" s="19" t="n">
        <f aca="false">D134*8/D135</f>
        <v>1.26089833333333</v>
      </c>
      <c r="E137" s="19" t="n">
        <f aca="false">E134*8/E135</f>
        <v>1.80405453846154</v>
      </c>
      <c r="F137" s="19" t="n">
        <f aca="false">F134*8/F135</f>
        <v>2.34941714285714</v>
      </c>
      <c r="G137" s="19" t="n">
        <f aca="false">G134*8/G135</f>
        <v>3.02879026666667</v>
      </c>
      <c r="H137" s="19" t="n">
        <f aca="false">H134*8/H135</f>
        <v>3.1234399625</v>
      </c>
      <c r="I137" s="19" t="n">
        <f aca="false">I134*8/I135</f>
        <v>3.43578395875</v>
      </c>
      <c r="J137" s="8" t="s">
        <v>547</v>
      </c>
    </row>
    <row r="138" customFormat="false" ht="15" hidden="false" customHeight="false" outlineLevel="0" collapsed="false">
      <c r="A138" s="0" t="s">
        <v>548</v>
      </c>
      <c r="B138" s="5" t="s">
        <v>549</v>
      </c>
      <c r="C138" s="19" t="n">
        <f aca="false">C137*(1+s_stk/C136)</f>
        <v>0.964216372549018</v>
      </c>
      <c r="D138" s="19" t="n">
        <f aca="false">D137*(1+s_stk/D136)</f>
        <v>1.57612291666667</v>
      </c>
      <c r="E138" s="19" t="n">
        <f aca="false">E137*(1+s_stk/E136)</f>
        <v>2.23702762769231</v>
      </c>
      <c r="F138" s="19" t="n">
        <f aca="false">F137*(1+s_stk/F136)</f>
        <v>2.85286367346939</v>
      </c>
      <c r="G138" s="19" t="n">
        <f aca="false">G137*(1+s_stk/G136)</f>
        <v>3.63454832</v>
      </c>
      <c r="H138" s="19" t="n">
        <f aca="false">H137*(1+s_stk/H136)</f>
        <v>3.70908495546875</v>
      </c>
      <c r="I138" s="19" t="n">
        <f aca="false">I137*(1+s_stk/I136)</f>
        <v>4.07999345101563</v>
      </c>
      <c r="J138" s="5" t="s">
        <v>550</v>
      </c>
    </row>
    <row r="139" customFormat="false" ht="15" hidden="false" customHeight="false" outlineLevel="0" collapsed="false">
      <c r="A139" s="5" t="s">
        <v>551</v>
      </c>
      <c r="B139" s="0" t="s">
        <v>60</v>
      </c>
      <c r="C139" s="22" t="n">
        <f aca="false">hbp_25*hb_on</f>
        <v>0</v>
      </c>
      <c r="D139" s="22" t="n">
        <f aca="false">hbp_26*hb_on</f>
        <v>0</v>
      </c>
      <c r="E139" s="22" t="n">
        <f aca="false">hbp_27*hb_on</f>
        <v>0</v>
      </c>
      <c r="F139" s="22" t="n">
        <f aca="false">hbp_28*hb_on</f>
        <v>0.05</v>
      </c>
      <c r="G139" s="22" t="n">
        <f aca="false">hbp_29*hb_on</f>
        <v>0.15</v>
      </c>
      <c r="H139" s="22" t="n">
        <f aca="false">hbp_30*hb_on</f>
        <v>0.25</v>
      </c>
      <c r="I139" s="22" t="n">
        <f aca="false">hbp_30*hb_on</f>
        <v>0.25</v>
      </c>
    </row>
    <row r="140" customFormat="false" ht="15" hidden="false" customHeight="false" outlineLevel="0" collapsed="false">
      <c r="A140" s="0" t="s">
        <v>552</v>
      </c>
      <c r="B140" s="5" t="s">
        <v>549</v>
      </c>
      <c r="C140" s="19" t="n">
        <f aca="false">C138*(1+C139*hb_eff)</f>
        <v>0.964216372549018</v>
      </c>
      <c r="D140" s="19" t="n">
        <f aca="false">D138*(1+D139*hb_eff)</f>
        <v>1.57612291666667</v>
      </c>
      <c r="E140" s="19" t="n">
        <f aca="false">E138*(1+E139*hb_eff)</f>
        <v>2.23702762769231</v>
      </c>
      <c r="F140" s="19" t="n">
        <f aca="false">F138*(1+F139*hb_eff)</f>
        <v>2.86712799183673</v>
      </c>
      <c r="G140" s="19" t="n">
        <f aca="false">G138*(1+G139*hb_eff)</f>
        <v>3.6890665448</v>
      </c>
      <c r="H140" s="19" t="n">
        <f aca="false">H138*(1+H139*hb_eff)</f>
        <v>3.80181207935547</v>
      </c>
      <c r="I140" s="19" t="n">
        <f aca="false">I138*(1+I139*hb_eff)</f>
        <v>4.18199328729102</v>
      </c>
      <c r="J140" s="5" t="s">
        <v>553</v>
      </c>
    </row>
    <row r="141" customFormat="false" ht="15" hidden="false" customHeight="false" outlineLevel="0" collapsed="false">
      <c r="A141" s="0" t="s">
        <v>554</v>
      </c>
      <c r="B141" s="5" t="s">
        <v>549</v>
      </c>
      <c r="C141" s="19" t="n">
        <f aca="false">MAX(0,D140-C140)+dlt*C140</f>
        <v>0.70832818137255</v>
      </c>
      <c r="D141" s="19" t="n">
        <f aca="false">MAX(0,E140-D140)+dlt*D140</f>
        <v>0.818517002692307</v>
      </c>
      <c r="E141" s="19" t="n">
        <f aca="false">MAX(0,F140-E140)+dlt*E140</f>
        <v>0.853803126913658</v>
      </c>
      <c r="F141" s="19" t="n">
        <f aca="false">MAX(0,G140-F140)+dlt*F140</f>
        <v>1.10865135214694</v>
      </c>
      <c r="G141" s="19" t="n">
        <f aca="false">MAX(0,H140-G140)+dlt*G140</f>
        <v>0.481652189035469</v>
      </c>
      <c r="H141" s="19" t="n">
        <f aca="false">MAX(0,I140-H140)+dlt*H140</f>
        <v>0.760362415871095</v>
      </c>
      <c r="J141" s="5" t="s">
        <v>555</v>
      </c>
    </row>
    <row r="142" customFormat="false" ht="15" hidden="false" customHeight="false" outlineLevel="0" collapsed="false">
      <c r="A142" s="0" t="s">
        <v>556</v>
      </c>
      <c r="B142" s="5" t="s">
        <v>181</v>
      </c>
      <c r="C142" s="21" t="n">
        <f aca="false">cw_25</f>
        <v>670</v>
      </c>
      <c r="D142" s="21" t="n">
        <f aca="false">cw_26</f>
        <v>1107.85762580894</v>
      </c>
      <c r="E142" s="21" t="n">
        <f aca="false">cw_27</f>
        <v>2096.42857142857</v>
      </c>
      <c r="F142" s="21" t="n">
        <f aca="false">cw_28*um28_B</f>
        <v>2096.07142857143</v>
      </c>
      <c r="G142" s="21" t="n">
        <f aca="false">cw_29*um29_B</f>
        <v>2561.32700892857</v>
      </c>
      <c r="H142" s="21" t="n">
        <f aca="false">G142*(1+g_tail)</f>
        <v>2817.45970982143</v>
      </c>
      <c r="I142" s="21" t="n">
        <f aca="false">H142*(1+g_tail)</f>
        <v>3099.20568080357</v>
      </c>
      <c r="J142" s="5" t="s">
        <v>557</v>
      </c>
    </row>
    <row r="143" customFormat="false" ht="15" hidden="false" customHeight="false" outlineLevel="0" collapsed="false">
      <c r="A143" s="5" t="s">
        <v>558</v>
      </c>
      <c r="B143" s="5" t="s">
        <v>181</v>
      </c>
      <c r="C143" s="21" t="n">
        <f aca="false">MAX(0,D142-C142)+dlt*C142</f>
        <v>504.85762580894</v>
      </c>
      <c r="D143" s="21" t="n">
        <f aca="false">MAX(0,E142-D142)+dlt*D142</f>
        <v>1099.35670820052</v>
      </c>
      <c r="E143" s="21" t="n">
        <f aca="false">MAX(0,F142-E142)+dlt*E142</f>
        <v>209.642857142857</v>
      </c>
      <c r="F143" s="21" t="n">
        <f aca="false">MAX(0,G142-F142)+dlt*F142</f>
        <v>674.86272321428</v>
      </c>
      <c r="G143" s="21" t="n">
        <f aca="false">MAX(0,H142-G142)+dlt*G142</f>
        <v>512.265401785714</v>
      </c>
      <c r="H143" s="21" t="n">
        <f aca="false">MAX(0,I142-H142)+dlt*H142</f>
        <v>563.491941964285</v>
      </c>
    </row>
    <row r="144" customFormat="false" ht="15" hidden="false" customHeight="false" outlineLevel="0" collapsed="false">
      <c r="A144" s="1" t="s">
        <v>559</v>
      </c>
    </row>
    <row r="145" customFormat="false" ht="15" hidden="false" customHeight="false" outlineLevel="0" collapsed="false">
      <c r="A145" s="0" t="s">
        <v>560</v>
      </c>
      <c r="B145" s="0" t="s">
        <v>561</v>
      </c>
      <c r="C145" s="16" t="n">
        <f aca="false">ai_25*w_hbm/(0.75*C141+0.25*D141)</f>
        <v>48.9213264236471</v>
      </c>
      <c r="J145" s="5" t="s">
        <v>562</v>
      </c>
    </row>
    <row r="146" customFormat="false" ht="15" hidden="false" customHeight="false" outlineLevel="0" collapsed="false">
      <c r="A146" s="5" t="s">
        <v>563</v>
      </c>
      <c r="B146" s="0" t="s">
        <v>564</v>
      </c>
      <c r="C146" s="18" t="n">
        <f aca="false">ai_25*(1-w_hbm)/(0.75*C143+0.25*D143)</f>
        <v>0.0596802610360141</v>
      </c>
    </row>
    <row r="147" customFormat="false" ht="15" hidden="false" customHeight="false" outlineLevel="0" collapsed="false">
      <c r="A147" s="1" t="s">
        <v>565</v>
      </c>
    </row>
    <row r="148" customFormat="false" ht="15" hidden="false" customHeight="false" outlineLevel="0" collapsed="false">
      <c r="A148" s="5" t="s">
        <v>566</v>
      </c>
      <c r="B148" s="0" t="s">
        <v>80</v>
      </c>
      <c r="C148" s="16" t="n">
        <f aca="false">1-sh_loss/sh*0</f>
        <v>1</v>
      </c>
      <c r="D148" s="16" t="n">
        <f aca="false">1-sh_loss/sh*0.25</f>
        <v>1</v>
      </c>
      <c r="E148" s="16" t="n">
        <f aca="false">1-sh_loss/sh*0.5</f>
        <v>1</v>
      </c>
      <c r="F148" s="16" t="n">
        <f aca="false">1-sh_loss/sh*0.75</f>
        <v>1</v>
      </c>
      <c r="G148" s="16" t="n">
        <f aca="false">1-sh_loss/sh*1</f>
        <v>1</v>
      </c>
    </row>
    <row r="149" customFormat="false" ht="15" hidden="false" customHeight="false" outlineLevel="0" collapsed="false">
      <c r="A149" s="0" t="s">
        <v>567</v>
      </c>
      <c r="B149" s="0" t="s">
        <v>33</v>
      </c>
      <c r="C149" s="11" t="n">
        <f aca="false">$C$145*(0.75*C141+0.25*D141)*C148</f>
        <v>36</v>
      </c>
      <c r="D149" s="11" t="n">
        <f aca="false">$C$145*(0.75*D141+0.25*E141)*D148</f>
        <v>40.4744984723301</v>
      </c>
      <c r="E149" s="11" t="n">
        <f aca="false">$C$145*(0.75*E141+0.25*F141)*E148</f>
        <v>44.8860597770547</v>
      </c>
      <c r="F149" s="11" t="n">
        <f aca="false">$C$145*(0.75*F141+0.25*G141)*F148</f>
        <v>46.5682870069157</v>
      </c>
      <c r="G149" s="11" t="n">
        <f aca="false">$C$145*(0.75*G141+0.25*H141)*G148</f>
        <v>26.9717824586269</v>
      </c>
    </row>
    <row r="150" customFormat="false" ht="15" hidden="false" customHeight="false" outlineLevel="0" collapsed="false">
      <c r="A150" s="5" t="s">
        <v>568</v>
      </c>
      <c r="B150" s="0" t="s">
        <v>33</v>
      </c>
      <c r="C150" s="11" t="n">
        <f aca="false">$C$146*(0.75*C143+0.25*D143)*C148</f>
        <v>39</v>
      </c>
      <c r="D150" s="11" t="n">
        <f aca="false">$C$146*(0.75*D143+0.25*E143)*D148</f>
        <v>52.3353065974807</v>
      </c>
      <c r="E150" s="11" t="n">
        <f aca="false">$C$146*(0.75*E143+0.25*F143)*E148</f>
        <v>19.452651200192</v>
      </c>
      <c r="F150" s="11" t="n">
        <f aca="false">$C$146*(0.75*F143+0.25*G143)*F148</f>
        <v>37.8500208382502</v>
      </c>
      <c r="G150" s="11" t="n">
        <f aca="false">$C$146*(0.75*G143+0.25*H143)*G148</f>
        <v>31.3364362207473</v>
      </c>
    </row>
    <row r="151" customFormat="false" ht="15" hidden="false" customHeight="false" outlineLevel="0" collapsed="false">
      <c r="A151" s="0" t="s">
        <v>569</v>
      </c>
      <c r="B151" s="0" t="s">
        <v>33</v>
      </c>
      <c r="C151" s="11" t="n">
        <f aca="false">C149+C150</f>
        <v>75</v>
      </c>
      <c r="D151" s="11" t="n">
        <f aca="false">D149+D150</f>
        <v>92.8098050698108</v>
      </c>
      <c r="E151" s="11" t="n">
        <f aca="false">E149+E150</f>
        <v>64.3387109772468</v>
      </c>
      <c r="F151" s="11" t="n">
        <f aca="false">F149+F150</f>
        <v>84.4183078451658</v>
      </c>
      <c r="G151" s="11" t="n">
        <f aca="false">G149+G150</f>
        <v>58.3082186793742</v>
      </c>
    </row>
    <row r="152" customFormat="false" ht="15" hidden="false" customHeight="false" outlineLevel="0" collapsed="false">
      <c r="A152" s="5" t="s">
        <v>570</v>
      </c>
      <c r="B152" s="0" t="s">
        <v>33</v>
      </c>
      <c r="C152" s="11" t="n">
        <f aca="false">eq_25-ai_25</f>
        <v>195.87118</v>
      </c>
      <c r="D152" s="11" t="n">
        <f aca="false">C152*(1+g_non)*D148/C148</f>
        <v>207.6234508</v>
      </c>
      <c r="E152" s="11" t="n">
        <f aca="false">D152*(1+g_non)*E148/D148</f>
        <v>220.080857848</v>
      </c>
      <c r="F152" s="11" t="n">
        <f aca="false">E152*(1+g_nonB_28)*F148/E148</f>
        <v>220.080857848</v>
      </c>
      <c r="G152" s="11" t="n">
        <f aca="false">F152*(1+g_non)*G148/F148</f>
        <v>233.28570931888</v>
      </c>
    </row>
    <row r="153" customFormat="false" ht="15" hidden="false" customHeight="false" outlineLevel="0" collapsed="false">
      <c r="A153" s="0" t="s">
        <v>571</v>
      </c>
      <c r="B153" s="0" t="s">
        <v>80</v>
      </c>
      <c r="C153" s="19" t="n">
        <f aca="false">w_hbm*(0.75*C140+0.25*D140)/(0.75*C140+0.25*D140)+(1-w_hbm)*(0.75*C142+0.25*D142)/(0.75*C142+0.25*D142)</f>
        <v>1</v>
      </c>
      <c r="D153" s="19" t="n">
        <f aca="false">w_hbm*(0.75*D140+0.25*E140)/(0.75*C140+0.25*D140)+(1-w_hbm)*(0.75*D142+0.25*E142)/(0.75*C142+0.25*D142)</f>
        <v>1.65212184085657</v>
      </c>
      <c r="E153" s="19" t="n">
        <f aca="false">w_hbm*(0.75*E140+0.25*F140)/(0.75*C140+0.25*D140)+(1-w_hbm)*(0.75*E142+0.25*F142)/(0.75*C142+0.25*D142)</f>
        <v>2.42733516921115</v>
      </c>
      <c r="F153" s="19" t="n">
        <f aca="false">w_hbm*(0.75*F140+0.25*G140)/(0.75*C140+0.25*D140)+(1-w_hbm)*(0.75*F142+0.25*G142)/(0.75*C142+0.25*D142)</f>
        <v>2.7960795952</v>
      </c>
      <c r="G153" s="19" t="n">
        <f aca="false">w_hbm*(0.75*G140+0.25*H140)/(0.75*C140+0.25*D140)+(1-w_hbm)*(0.75*G142+0.25*H142)/(0.75*C142+0.25*D142)</f>
        <v>3.34855391112345</v>
      </c>
      <c r="J153" s="8" t="s">
        <v>572</v>
      </c>
    </row>
    <row r="154" customFormat="false" ht="15" hidden="false" customHeight="false" outlineLevel="0" collapsed="false">
      <c r="A154" s="0" t="s">
        <v>573</v>
      </c>
      <c r="B154" s="0" t="s">
        <v>33</v>
      </c>
      <c r="C154" s="11" t="n">
        <f aca="false">tl_25*w_tlai*C153</f>
        <v>25.4032258064516</v>
      </c>
      <c r="D154" s="11" t="n">
        <f aca="false">tl_25*w_tlai*D153</f>
        <v>41.9692241830499</v>
      </c>
      <c r="E154" s="11" t="n">
        <f aca="false">tl_25*w_tlai*E153</f>
        <v>61.6621434114124</v>
      </c>
      <c r="F154" s="11" t="n">
        <f aca="false">tl_25*w_tlai*F153</f>
        <v>71.0294413296775</v>
      </c>
      <c r="G154" s="11" t="n">
        <f aca="false">tl_25*w_tlai*G153</f>
        <v>85.0640711293457</v>
      </c>
      <c r="J154" s="5" t="s">
        <v>574</v>
      </c>
    </row>
    <row r="155" customFormat="false" ht="15" hidden="false" customHeight="false" outlineLevel="0" collapsed="false">
      <c r="A155" s="5" t="s">
        <v>575</v>
      </c>
      <c r="B155" s="0" t="s">
        <v>33</v>
      </c>
      <c r="C155" s="11" t="n">
        <f aca="false">tl_25*(1-w_tlai)</f>
        <v>66.3434641935484</v>
      </c>
      <c r="D155" s="11" t="n">
        <f aca="false">C155*(1+g_tl)</f>
        <v>69.6606374032258</v>
      </c>
      <c r="E155" s="11" t="n">
        <f aca="false">D155*(1+g_tl)</f>
        <v>73.1436692733871</v>
      </c>
      <c r="F155" s="11" t="n">
        <f aca="false">E155*(1+g_tl)</f>
        <v>76.8008527370565</v>
      </c>
      <c r="G155" s="11" t="n">
        <f aca="false">F155*(1+g_tl)</f>
        <v>80.6408953739093</v>
      </c>
    </row>
    <row r="156" customFormat="false" ht="15" hidden="false" customHeight="false" outlineLevel="0" collapsed="false">
      <c r="A156" s="5" t="s">
        <v>576</v>
      </c>
      <c r="B156" s="0" t="s">
        <v>33</v>
      </c>
      <c r="C156" s="11" t="n">
        <f aca="false">(C151+C152+C154+C155)*(1+r_ot)</f>
        <v>436.889</v>
      </c>
      <c r="D156" s="11" t="n">
        <f aca="false">(D151+D152+D154+D155)*(1+r_ot)</f>
        <v>496.46158729649</v>
      </c>
      <c r="E156" s="11" t="n">
        <f aca="false">(E151+E152+E154+E155)*(1+r_ot)</f>
        <v>505.090821096441</v>
      </c>
      <c r="F156" s="11" t="n">
        <f aca="false">(F151+F152+F154+F155)*(1+r_ot)</f>
        <v>544.975252722771</v>
      </c>
      <c r="G156" s="11" t="n">
        <f aca="false">(G151+G152+G154+G155)*(1+r_ot)</f>
        <v>550.962523495794</v>
      </c>
      <c r="J156" s="8" t="s">
        <v>577</v>
      </c>
    </row>
    <row r="157" customFormat="false" ht="15" hidden="false" customHeight="false" outlineLevel="0" collapsed="false">
      <c r="A157" s="1" t="s">
        <v>578</v>
      </c>
    </row>
    <row r="158" customFormat="false" ht="15" hidden="false" customHeight="false" outlineLevel="0" collapsed="false">
      <c r="A158" s="5" t="s">
        <v>579</v>
      </c>
      <c r="B158" s="0" t="s">
        <v>33</v>
      </c>
      <c r="D158" s="11" t="n">
        <f aca="false">g3_rev*(1+g_q4)</f>
        <v>145.6862</v>
      </c>
    </row>
    <row r="159" customFormat="false" ht="15" hidden="false" customHeight="false" outlineLevel="0" collapsed="false">
      <c r="A159" s="0" t="s">
        <v>580</v>
      </c>
      <c r="B159" s="0" t="s">
        <v>33</v>
      </c>
      <c r="D159" s="11" t="n">
        <f aca="false">q26h1_rev+g3_rev+D158</f>
        <v>535.1862</v>
      </c>
    </row>
    <row r="160" customFormat="false" ht="15" hidden="false" customHeight="false" outlineLevel="0" collapsed="false">
      <c r="A160" s="0" t="s">
        <v>581</v>
      </c>
      <c r="B160" s="0" t="s">
        <v>33</v>
      </c>
      <c r="D160" s="11" t="n">
        <f aca="false">q26h1_gp+(g3_rev+D158)*gm_q3</f>
        <v>378.0504836</v>
      </c>
    </row>
    <row r="161" customFormat="false" ht="15" hidden="false" customHeight="false" outlineLevel="0" collapsed="false">
      <c r="A161" s="0" t="s">
        <v>582</v>
      </c>
      <c r="B161" s="0" t="s">
        <v>33</v>
      </c>
      <c r="D161" s="11" t="n">
        <f aca="false">q26h1_oi+g3_oi+D158*m_q4</f>
        <v>238.5671</v>
      </c>
    </row>
    <row r="162" customFormat="false" ht="15" hidden="false" customHeight="false" outlineLevel="0" collapsed="false">
      <c r="A162" s="0" t="s">
        <v>583</v>
      </c>
      <c r="B162" s="0" t="s">
        <v>33</v>
      </c>
      <c r="D162" s="11" t="n">
        <f aca="false">q26h1_ni+g3_ni+D158*m_q4*nioi</f>
        <v>167.95938138934</v>
      </c>
    </row>
    <row r="163" customFormat="false" ht="15" hidden="false" customHeight="false" outlineLevel="0" collapsed="false">
      <c r="A163" s="5" t="s">
        <v>584</v>
      </c>
      <c r="B163" s="0" t="s">
        <v>80</v>
      </c>
      <c r="D163" s="16" t="n">
        <f aca="false">D159/D156</f>
        <v>1.07800122646827</v>
      </c>
      <c r="J163" s="8" t="s">
        <v>585</v>
      </c>
    </row>
    <row r="164" customFormat="false" ht="15" hidden="false" customHeight="false" outlineLevel="0" collapsed="false">
      <c r="A164" s="5" t="s">
        <v>586</v>
      </c>
      <c r="B164" s="0" t="s">
        <v>80</v>
      </c>
      <c r="D164" s="16" t="n">
        <f aca="false">1+anc_carry*(sc_A-1)</f>
        <v>1.05495623650888</v>
      </c>
      <c r="J164" s="8" t="s">
        <v>587</v>
      </c>
    </row>
    <row r="165" customFormat="false" ht="15" hidden="false" customHeight="false" outlineLevel="0" collapsed="false">
      <c r="A165" s="1" t="s">
        <v>588</v>
      </c>
    </row>
    <row r="166" customFormat="false" ht="15" hidden="false" customHeight="false" outlineLevel="0" collapsed="false">
      <c r="A166" s="0" t="s">
        <v>589</v>
      </c>
      <c r="B166" s="0" t="s">
        <v>33</v>
      </c>
      <c r="C166" s="11" t="n">
        <f aca="false">C149*1</f>
        <v>36</v>
      </c>
      <c r="D166" s="11" t="n">
        <f aca="false">D149*$D$163</f>
        <v>43.6315589938599</v>
      </c>
      <c r="E166" s="11" t="n">
        <f aca="false">E149*1</f>
        <v>44.8860597770547</v>
      </c>
      <c r="F166" s="11" t="n">
        <f aca="false">F149*1</f>
        <v>46.5682870069157</v>
      </c>
      <c r="G166" s="11" t="n">
        <f aca="false">G149*1</f>
        <v>26.9717824586269</v>
      </c>
    </row>
    <row r="167" customFormat="false" ht="15" hidden="false" customHeight="false" outlineLevel="0" collapsed="false">
      <c r="A167" s="5" t="s">
        <v>590</v>
      </c>
      <c r="B167" s="0" t="s">
        <v>33</v>
      </c>
      <c r="C167" s="11" t="n">
        <f aca="false">C150*1</f>
        <v>39</v>
      </c>
      <c r="D167" s="11" t="n">
        <f aca="false">D150*$D$163</f>
        <v>56.4175246996771</v>
      </c>
      <c r="E167" s="11" t="n">
        <f aca="false">E150*1</f>
        <v>19.452651200192</v>
      </c>
      <c r="F167" s="11" t="n">
        <f aca="false">F150*1</f>
        <v>37.8500208382502</v>
      </c>
      <c r="G167" s="11" t="n">
        <f aca="false">G150*1</f>
        <v>31.3364362207473</v>
      </c>
    </row>
    <row r="168" customFormat="false" ht="15" hidden="false" customHeight="false" outlineLevel="0" collapsed="false">
      <c r="A168" s="0" t="s">
        <v>591</v>
      </c>
      <c r="B168" s="0" t="s">
        <v>33</v>
      </c>
      <c r="C168" s="11" t="n">
        <f aca="false">C166+C167</f>
        <v>75</v>
      </c>
      <c r="D168" s="11" t="n">
        <f aca="false">D166+D167</f>
        <v>100.049083693537</v>
      </c>
      <c r="E168" s="11" t="n">
        <f aca="false">E166+E167</f>
        <v>64.3387109772468</v>
      </c>
      <c r="F168" s="11" t="n">
        <f aca="false">F166+F167</f>
        <v>84.4183078451658</v>
      </c>
      <c r="G168" s="11" t="n">
        <f aca="false">G166+G167</f>
        <v>58.3082186793742</v>
      </c>
    </row>
    <row r="169" customFormat="false" ht="15" hidden="false" customHeight="false" outlineLevel="0" collapsed="false">
      <c r="A169" s="5" t="s">
        <v>592</v>
      </c>
      <c r="B169" s="0" t="s">
        <v>33</v>
      </c>
      <c r="C169" s="11" t="n">
        <f aca="false">C152*1</f>
        <v>195.87118</v>
      </c>
      <c r="D169" s="11" t="n">
        <f aca="false">D152*$D$163</f>
        <v>223.818334605974</v>
      </c>
      <c r="E169" s="11" t="n">
        <f aca="false">E152*$D$164</f>
        <v>232.175673522971</v>
      </c>
      <c r="F169" s="11" t="n">
        <f aca="false">F152*$D$164</f>
        <v>232.175673522971</v>
      </c>
      <c r="G169" s="11" t="n">
        <f aca="false">G152*$D$164</f>
        <v>246.106213934349</v>
      </c>
    </row>
    <row r="170" customFormat="false" ht="15" hidden="false" customHeight="false" outlineLevel="0" collapsed="false">
      <c r="A170" s="5" t="s">
        <v>593</v>
      </c>
      <c r="B170" s="0" t="s">
        <v>33</v>
      </c>
      <c r="C170" s="11" t="n">
        <f aca="false">C168+C169</f>
        <v>270.87118</v>
      </c>
      <c r="D170" s="11" t="n">
        <f aca="false">D168+D169</f>
        <v>323.867418299512</v>
      </c>
      <c r="E170" s="11" t="n">
        <f aca="false">E168+E169</f>
        <v>296.514384500218</v>
      </c>
      <c r="F170" s="11" t="n">
        <f aca="false">F168+F169</f>
        <v>316.593981368137</v>
      </c>
      <c r="G170" s="11" t="n">
        <f aca="false">G168+G169</f>
        <v>304.414432613724</v>
      </c>
    </row>
    <row r="171" customFormat="false" ht="15" hidden="false" customHeight="false" outlineLevel="0" collapsed="false">
      <c r="A171" s="0" t="s">
        <v>594</v>
      </c>
      <c r="B171" s="0" t="s">
        <v>33</v>
      </c>
      <c r="C171" s="11" t="n">
        <f aca="false">C154*1</f>
        <v>25.4032258064516</v>
      </c>
      <c r="D171" s="11" t="n">
        <f aca="false">D154*$D$163</f>
        <v>45.2428751432496</v>
      </c>
      <c r="E171" s="11" t="n">
        <f aca="false">E154*1</f>
        <v>61.6621434114124</v>
      </c>
      <c r="F171" s="11" t="n">
        <f aca="false">F154*1</f>
        <v>71.0294413296775</v>
      </c>
      <c r="G171" s="11" t="n">
        <f aca="false">G154*1</f>
        <v>85.0640711293457</v>
      </c>
    </row>
    <row r="172" customFormat="false" ht="15" hidden="false" customHeight="false" outlineLevel="0" collapsed="false">
      <c r="A172" s="5" t="s">
        <v>595</v>
      </c>
      <c r="B172" s="0" t="s">
        <v>33</v>
      </c>
      <c r="C172" s="11" t="n">
        <f aca="false">C155*1</f>
        <v>66.3434641935484</v>
      </c>
      <c r="D172" s="11" t="n">
        <f aca="false">D155*$D$163</f>
        <v>75.0942525572389</v>
      </c>
      <c r="E172" s="11" t="n">
        <f aca="false">E155*$D$164</f>
        <v>77.1633700611024</v>
      </c>
      <c r="F172" s="11" t="n">
        <f aca="false">F155*$D$164</f>
        <v>81.0215385641575</v>
      </c>
      <c r="G172" s="11" t="n">
        <f aca="false">G155*$D$164</f>
        <v>85.0726154923654</v>
      </c>
    </row>
    <row r="173" customFormat="false" ht="15" hidden="false" customHeight="false" outlineLevel="0" collapsed="false">
      <c r="A173" s="5" t="s">
        <v>596</v>
      </c>
      <c r="B173" s="0" t="s">
        <v>33</v>
      </c>
      <c r="C173" s="11" t="n">
        <f aca="false">C171+C172</f>
        <v>91.74669</v>
      </c>
      <c r="D173" s="11" t="n">
        <f aca="false">D171+D172</f>
        <v>120.337127700488</v>
      </c>
      <c r="E173" s="11" t="n">
        <f aca="false">E171+E172</f>
        <v>138.825513472515</v>
      </c>
      <c r="F173" s="11" t="n">
        <f aca="false">F171+F172</f>
        <v>152.050979893835</v>
      </c>
      <c r="G173" s="11" t="n">
        <f aca="false">G171+G172</f>
        <v>170.136686621711</v>
      </c>
    </row>
    <row r="174" customFormat="false" ht="15" hidden="false" customHeight="false" outlineLevel="0" collapsed="false">
      <c r="A174" s="5" t="s">
        <v>458</v>
      </c>
      <c r="B174" s="0" t="s">
        <v>33</v>
      </c>
      <c r="C174" s="11" t="n">
        <f aca="false">r_ot*(C170+C173)</f>
        <v>74.27113</v>
      </c>
      <c r="D174" s="11" t="n">
        <f aca="false">r_ot*(D170+D173)</f>
        <v>90.981654</v>
      </c>
      <c r="E174" s="11" t="n">
        <f aca="false">r_ot*(E170+E173)</f>
        <v>89.1660031992344</v>
      </c>
      <c r="F174" s="11" t="n">
        <f aca="false">r_ot*(F170+F173)</f>
        <v>95.9875221861871</v>
      </c>
      <c r="G174" s="11" t="n">
        <f aca="false">r_ot*(G170+G173)</f>
        <v>97.1972171927999</v>
      </c>
    </row>
    <row r="175" customFormat="false" ht="15" hidden="false" customHeight="false" outlineLevel="0" collapsed="false">
      <c r="A175" s="5" t="s">
        <v>428</v>
      </c>
      <c r="B175" s="0" t="s">
        <v>33</v>
      </c>
      <c r="C175" s="11" t="n">
        <f aca="false">C170+C173+C174</f>
        <v>436.889</v>
      </c>
      <c r="D175" s="11" t="n">
        <f aca="false">D170+D173+D174</f>
        <v>535.1862</v>
      </c>
      <c r="E175" s="11" t="n">
        <f aca="false">E170+E173+E174</f>
        <v>524.505901171967</v>
      </c>
      <c r="F175" s="11" t="n">
        <f aca="false">F170+F173+F174</f>
        <v>564.632483448159</v>
      </c>
      <c r="G175" s="11" t="n">
        <f aca="false">G170+G173+G174</f>
        <v>571.748336428235</v>
      </c>
      <c r="J175" s="8" t="s">
        <v>597</v>
      </c>
    </row>
    <row r="176" customFormat="false" ht="15" hidden="false" customHeight="false" outlineLevel="0" collapsed="false">
      <c r="A176" s="0" t="s">
        <v>598</v>
      </c>
      <c r="B176" s="0" t="s">
        <v>60</v>
      </c>
      <c r="C176" s="14" t="n">
        <f aca="false">(C168+C171)*(1+r_ot)/C175</f>
        <v>0.276884384673187</v>
      </c>
      <c r="D176" s="14" t="n">
        <f aca="false">(D168+D171)*(1+r_ot)/D175</f>
        <v>0.327083457711364</v>
      </c>
      <c r="E176" s="14" t="n">
        <f aca="false">(E168+E171)*(1+r_ot)/E175</f>
        <v>0.28943098249302</v>
      </c>
      <c r="F176" s="14" t="n">
        <f aca="false">(F168+F171)*(1+r_ot)/F175</f>
        <v>0.331696192265147</v>
      </c>
      <c r="G176" s="14" t="n">
        <f aca="false">(G168+G171)*(1+r_ot)/G175</f>
        <v>0.302121908467336</v>
      </c>
    </row>
    <row r="177" customFormat="false" ht="15" hidden="false" customHeight="false" outlineLevel="0" collapsed="false">
      <c r="A177" s="0" t="s">
        <v>599</v>
      </c>
      <c r="B177" s="0" t="s">
        <v>60</v>
      </c>
      <c r="C177" s="14" t="n">
        <f aca="false">C168*(1+r_ot)/C175</f>
        <v>0.206829299394429</v>
      </c>
      <c r="D177" s="14" t="n">
        <f aca="false">D168*(1+r_ot)/D175</f>
        <v>0.225232012131495</v>
      </c>
      <c r="E177" s="14" t="n">
        <f aca="false">E168*(1+r_ot)/E175</f>
        <v>0.14778960365649</v>
      </c>
      <c r="F177" s="14" t="n">
        <f aca="false">F168*(1+r_ot)/F175</f>
        <v>0.180132754693112</v>
      </c>
      <c r="G177" s="14" t="n">
        <f aca="false">G168*(1+r_ot)/G175</f>
        <v>0.122870258473558</v>
      </c>
      <c r="J177" s="5" t="s">
        <v>600</v>
      </c>
    </row>
    <row r="178" customFormat="false" ht="15" hidden="false" customHeight="false" outlineLevel="0" collapsed="false">
      <c r="A178" s="5" t="s">
        <v>466</v>
      </c>
      <c r="B178" s="0" t="s">
        <v>60</v>
      </c>
      <c r="C178" s="14" t="n">
        <f aca="false">a25_gp/a25_rev</f>
        <v>0.701498549974936</v>
      </c>
      <c r="D178" s="14" t="n">
        <f aca="false">D160/D175</f>
        <v>0.70639056761927</v>
      </c>
      <c r="E178" s="14" t="n">
        <f aca="false">gm_a+gm_b*LN(E175)+0</f>
        <v>0.723258590579536</v>
      </c>
      <c r="F178" s="14" t="n">
        <f aca="false">gm_a+gm_b*LN(F175)+0</f>
        <v>0.731649654612658</v>
      </c>
      <c r="G178" s="14" t="n">
        <f aca="false">gm_a+gm_b*LN(G175)+0</f>
        <v>0.73307519675802</v>
      </c>
      <c r="J178" s="8" t="s">
        <v>601</v>
      </c>
    </row>
    <row r="179" customFormat="false" ht="15" hidden="false" customHeight="false" outlineLevel="0" collapsed="false">
      <c r="A179" s="5" t="s">
        <v>463</v>
      </c>
      <c r="B179" s="0" t="s">
        <v>33</v>
      </c>
      <c r="C179" s="11" t="n">
        <f aca="false">C175*C178</f>
        <v>306.477</v>
      </c>
      <c r="D179" s="11" t="n">
        <f aca="false">D175*D178</f>
        <v>378.0504836</v>
      </c>
      <c r="E179" s="11" t="n">
        <f aca="false">E175*E178</f>
        <v>379.353398832286</v>
      </c>
      <c r="F179" s="11" t="n">
        <f aca="false">F175*F178</f>
        <v>413.113161497933</v>
      </c>
      <c r="G179" s="11" t="n">
        <f aca="false">G175*G178</f>
        <v>419.134524223198</v>
      </c>
    </row>
    <row r="180" customFormat="false" ht="15" hidden="false" customHeight="false" outlineLevel="0" collapsed="false">
      <c r="A180" s="5" t="s">
        <v>464</v>
      </c>
      <c r="B180" s="0" t="s">
        <v>33</v>
      </c>
      <c r="C180" s="11" t="n">
        <f aca="false">a25_sga</f>
        <v>121.487</v>
      </c>
      <c r="D180" s="11" t="n">
        <f aca="false">D179-D161</f>
        <v>139.4833836</v>
      </c>
      <c r="E180" s="11" t="n">
        <f aca="false">sg_f+sg_v*E175</f>
        <v>140.491340981246</v>
      </c>
      <c r="F180" s="11" t="n">
        <f aca="false">sg_f+sg_v*F175</f>
        <v>150.61796753948</v>
      </c>
      <c r="G180" s="11" t="n">
        <f aca="false">sg_f+sg_v*G175</f>
        <v>152.413774251264</v>
      </c>
      <c r="J180" s="8" t="s">
        <v>602</v>
      </c>
    </row>
    <row r="181" customFormat="false" ht="15" hidden="false" customHeight="false" outlineLevel="0" collapsed="false">
      <c r="A181" s="5" t="s">
        <v>432</v>
      </c>
      <c r="B181" s="0" t="s">
        <v>33</v>
      </c>
      <c r="C181" s="11" t="n">
        <f aca="false">C179-C180</f>
        <v>184.99</v>
      </c>
      <c r="D181" s="11" t="n">
        <f aca="false">D179-D180</f>
        <v>238.5671</v>
      </c>
      <c r="E181" s="11" t="n">
        <f aca="false">E179-E180</f>
        <v>238.86205785104</v>
      </c>
      <c r="F181" s="11" t="n">
        <f aca="false">F179-F180</f>
        <v>262.495193958453</v>
      </c>
      <c r="G181" s="11" t="n">
        <f aca="false">G179-G180</f>
        <v>266.720749971935</v>
      </c>
    </row>
    <row r="182" customFormat="false" ht="15" hidden="false" customHeight="false" outlineLevel="0" collapsed="false">
      <c r="A182" s="5" t="s">
        <v>603</v>
      </c>
      <c r="B182" s="0" t="s">
        <v>60</v>
      </c>
      <c r="C182" s="14" t="n">
        <f aca="false">C181/C175</f>
        <v>0.423425629851061</v>
      </c>
      <c r="D182" s="14" t="n">
        <f aca="false">D181/D175</f>
        <v>0.445764670314743</v>
      </c>
      <c r="E182" s="14" t="n">
        <f aca="false">E181/E175</f>
        <v>0.45540394744334</v>
      </c>
      <c r="F182" s="14" t="n">
        <f aca="false">F181/F175</f>
        <v>0.464895665150929</v>
      </c>
      <c r="G182" s="14" t="n">
        <f aca="false">G181/G175</f>
        <v>0.466500264151469</v>
      </c>
    </row>
    <row r="183" customFormat="false" ht="15" hidden="false" customHeight="false" outlineLevel="0" collapsed="false">
      <c r="A183" s="5" t="s">
        <v>435</v>
      </c>
      <c r="B183" s="0" t="s">
        <v>33</v>
      </c>
      <c r="C183" s="11" t="n">
        <f aca="false">a25_ni</f>
        <v>135.521</v>
      </c>
      <c r="D183" s="11" t="n">
        <f aca="false">D162</f>
        <v>167.95938138934</v>
      </c>
      <c r="E183" s="11" t="n">
        <f aca="false">E181*nioi</f>
        <v>172.261440115547</v>
      </c>
      <c r="F183" s="11" t="n">
        <f aca="false">F181*nioi</f>
        <v>189.305076501065</v>
      </c>
      <c r="G183" s="11" t="n">
        <f aca="false">G181*nioi</f>
        <v>192.35244354931</v>
      </c>
    </row>
    <row r="184" customFormat="false" ht="15" hidden="false" customHeight="false" outlineLevel="0" collapsed="false">
      <c r="A184" s="0" t="s">
        <v>524</v>
      </c>
      <c r="B184" s="0" t="s">
        <v>55</v>
      </c>
      <c r="C184" s="11" t="n">
        <f aca="false">a25_eps</f>
        <v>1249.84</v>
      </c>
      <c r="D184" s="11" t="n">
        <f aca="false">D183*1000/shares</f>
        <v>1548.28555816522</v>
      </c>
      <c r="E184" s="11" t="n">
        <f aca="false">E183*1000/shares</f>
        <v>1587.94285709707</v>
      </c>
      <c r="F184" s="11" t="n">
        <f aca="false">F183*1000/shares</f>
        <v>1745.0547484129</v>
      </c>
      <c r="G184" s="11" t="n">
        <f aca="false">G183*1000/shares</f>
        <v>1773.1460306753</v>
      </c>
    </row>
    <row r="185" customFormat="false" ht="15" hidden="false" customHeight="false" outlineLevel="0" collapsed="false">
      <c r="A185" s="5" t="s">
        <v>604</v>
      </c>
      <c r="B185" s="0" t="s">
        <v>33</v>
      </c>
      <c r="C185" s="16" t="n">
        <f aca="false">ABS(C175-a25_rev)+ABS(C181-a25_oi)+ABS(D175-D159)+ABS(D181-D161)</f>
        <v>0.000999999999976353</v>
      </c>
    </row>
    <row r="186" customFormat="false" ht="15" hidden="false" customHeight="false" outlineLevel="0" collapsed="false">
      <c r="A186" s="1" t="s">
        <v>605</v>
      </c>
    </row>
    <row r="187" customFormat="false" ht="15" hidden="false" customHeight="false" outlineLevel="0" collapsed="false">
      <c r="A187" s="5" t="s">
        <v>606</v>
      </c>
      <c r="B187" s="0" t="s">
        <v>60</v>
      </c>
      <c r="C187" s="14" t="n">
        <f aca="false">a25_gp/a25_rev</f>
        <v>0.701498549974936</v>
      </c>
      <c r="D187" s="14" t="n">
        <f aca="false">gm_a+gm_b*LN(D156)+0</f>
        <v>0.717003789789592</v>
      </c>
      <c r="E187" s="14" t="n">
        <f aca="false">gm_a+gm_b*LN(E156)+0</f>
        <v>0.718965255030489</v>
      </c>
      <c r="F187" s="14" t="n">
        <f aca="false">gm_a+gm_b*LN(F156)+0</f>
        <v>0.727616270237278</v>
      </c>
      <c r="G187" s="14" t="n">
        <f aca="false">gm_a+gm_b*LN(G156)+0</f>
        <v>0.728859978834997</v>
      </c>
    </row>
    <row r="188" customFormat="false" ht="15" hidden="false" customHeight="false" outlineLevel="0" collapsed="false">
      <c r="A188" s="5" t="s">
        <v>607</v>
      </c>
      <c r="B188" s="0" t="s">
        <v>33</v>
      </c>
      <c r="C188" s="11" t="n">
        <f aca="false">a25_oi</f>
        <v>184.989</v>
      </c>
      <c r="D188" s="11" t="n">
        <f aca="false">D156*D187-sg_f-sg_v*D156</f>
        <v>222.550958911852</v>
      </c>
      <c r="E188" s="11" t="n">
        <f aca="false">E156*E187-sg_f-sg_v*E156</f>
        <v>227.551136197692</v>
      </c>
      <c r="F188" s="11" t="n">
        <f aca="false">F156*F187-sg_f-sg_v*F156</f>
        <v>250.875730235371</v>
      </c>
      <c r="G188" s="11" t="n">
        <f aca="false">G156*G187-sg_f-sg_v*G156</f>
        <v>254.406412924197</v>
      </c>
    </row>
    <row r="189" customFormat="false" ht="15" hidden="false" customHeight="false" outlineLevel="0" collapsed="false">
      <c r="A189" s="0" t="s">
        <v>608</v>
      </c>
      <c r="B189" s="0" t="s">
        <v>55</v>
      </c>
      <c r="C189" s="11" t="n">
        <f aca="false">a25_eps</f>
        <v>1249.84</v>
      </c>
      <c r="D189" s="11" t="n">
        <f aca="false">D188*nioi_v01*1000/shares</f>
        <v>1502.92379076601</v>
      </c>
      <c r="E189" s="11" t="n">
        <f aca="false">E188*nioi_v01*1000/shares</f>
        <v>1536.69082298946</v>
      </c>
      <c r="F189" s="11" t="n">
        <f aca="false">F188*nioi_v01*1000/shares</f>
        <v>1694.2057016518</v>
      </c>
      <c r="G189" s="11" t="n">
        <f aca="false">G188*nioi_v01*1000/shares</f>
        <v>1718.04899146114</v>
      </c>
    </row>
    <row r="192" customFormat="false" ht="15" hidden="false" customHeight="false" outlineLevel="0" collapsed="false">
      <c r="A192" s="4" t="s">
        <v>610</v>
      </c>
    </row>
    <row r="193" customFormat="false" ht="15" hidden="false" customHeight="false" outlineLevel="0" collapsed="false">
      <c r="A193" s="6" t="s">
        <v>22</v>
      </c>
      <c r="B193" s="6" t="s">
        <v>23</v>
      </c>
      <c r="C193" s="9" t="s">
        <v>532</v>
      </c>
      <c r="D193" s="9" t="s">
        <v>533</v>
      </c>
      <c r="E193" s="9" t="s">
        <v>534</v>
      </c>
      <c r="F193" s="9" t="s">
        <v>535</v>
      </c>
      <c r="G193" s="9" t="s">
        <v>536</v>
      </c>
      <c r="H193" s="9" t="s">
        <v>537</v>
      </c>
      <c r="I193" s="9" t="s">
        <v>538</v>
      </c>
      <c r="J193" s="6" t="s">
        <v>515</v>
      </c>
    </row>
    <row r="194" customFormat="false" ht="15" hidden="false" customHeight="false" outlineLevel="0" collapsed="false">
      <c r="A194" s="1" t="s">
        <v>539</v>
      </c>
    </row>
    <row r="195" customFormat="false" ht="15" hidden="false" customHeight="false" outlineLevel="0" collapsed="false">
      <c r="A195" s="0" t="s">
        <v>540</v>
      </c>
      <c r="B195" s="0" t="s">
        <v>100</v>
      </c>
      <c r="C195" s="19" t="n">
        <f aca="false">hsC_25</f>
        <v>2.22511470588235</v>
      </c>
      <c r="D195" s="19" t="n">
        <f aca="false">hsC_26</f>
        <v>3.782695</v>
      </c>
      <c r="E195" s="19" t="n">
        <f aca="false">hsC_27</f>
        <v>5.86317725</v>
      </c>
      <c r="F195" s="19" t="n">
        <f aca="false">hsC_28</f>
        <v>6.16722</v>
      </c>
      <c r="G195" s="19" t="n">
        <f aca="false">hsC_29</f>
        <v>8.017386</v>
      </c>
      <c r="H195" s="19" t="n">
        <f aca="false">G195*(1+g_tail)</f>
        <v>8.8191246</v>
      </c>
      <c r="I195" s="19" t="n">
        <f aca="false">H195*(1+g_tail)</f>
        <v>9.70103706</v>
      </c>
      <c r="J195" s="8" t="s">
        <v>541</v>
      </c>
    </row>
    <row r="196" customFormat="false" ht="15" hidden="false" customHeight="false" outlineLevel="0" collapsed="false">
      <c r="A196" s="0" t="s">
        <v>542</v>
      </c>
      <c r="B196" s="0" t="s">
        <v>543</v>
      </c>
      <c r="C196" s="19" t="n">
        <f aca="false">den_25</f>
        <v>24</v>
      </c>
      <c r="D196" s="19" t="n">
        <f aca="false">den_26</f>
        <v>24</v>
      </c>
      <c r="E196" s="19" t="n">
        <f aca="false">den_27</f>
        <v>26</v>
      </c>
      <c r="F196" s="19" t="n">
        <f aca="false">den_28</f>
        <v>28</v>
      </c>
      <c r="G196" s="19" t="n">
        <f aca="false">den_29</f>
        <v>30</v>
      </c>
      <c r="H196" s="19" t="n">
        <f aca="false">den_30</f>
        <v>32</v>
      </c>
      <c r="I196" s="19" t="n">
        <f aca="false">den_30</f>
        <v>32</v>
      </c>
    </row>
    <row r="197" customFormat="false" ht="15" hidden="false" customHeight="false" outlineLevel="0" collapsed="false">
      <c r="A197" s="5" t="s">
        <v>544</v>
      </c>
      <c r="B197" s="5" t="s">
        <v>152</v>
      </c>
      <c r="C197" s="19" t="n">
        <f aca="false">stk_25</f>
        <v>10</v>
      </c>
      <c r="D197" s="19" t="n">
        <f aca="false">stk_26</f>
        <v>12</v>
      </c>
      <c r="E197" s="19" t="n">
        <f aca="false">stk_27</f>
        <v>12.5</v>
      </c>
      <c r="F197" s="19" t="n">
        <f aca="false">stk_28</f>
        <v>14</v>
      </c>
      <c r="G197" s="19" t="n">
        <f aca="false">stk_29</f>
        <v>15</v>
      </c>
      <c r="H197" s="19" t="n">
        <f aca="false">stk_30</f>
        <v>16</v>
      </c>
      <c r="I197" s="19" t="n">
        <f aca="false">stk_30</f>
        <v>16</v>
      </c>
    </row>
    <row r="198" customFormat="false" ht="15" hidden="false" customHeight="false" outlineLevel="0" collapsed="false">
      <c r="A198" s="0" t="s">
        <v>545</v>
      </c>
      <c r="B198" s="5" t="s">
        <v>546</v>
      </c>
      <c r="C198" s="19" t="n">
        <f aca="false">C195*8/C196</f>
        <v>0.741704901960783</v>
      </c>
      <c r="D198" s="19" t="n">
        <f aca="false">D195*8/D196</f>
        <v>1.26089833333333</v>
      </c>
      <c r="E198" s="19" t="n">
        <f aca="false">E195*8/E196</f>
        <v>1.80405453846154</v>
      </c>
      <c r="F198" s="19" t="n">
        <f aca="false">F195*8/F196</f>
        <v>1.76206285714286</v>
      </c>
      <c r="G198" s="19" t="n">
        <f aca="false">G195*8/G196</f>
        <v>2.1379696</v>
      </c>
      <c r="H198" s="19" t="n">
        <f aca="false">H195*8/H196</f>
        <v>2.20478115</v>
      </c>
      <c r="I198" s="19" t="n">
        <f aca="false">I195*8/I196</f>
        <v>2.425259265</v>
      </c>
      <c r="J198" s="8" t="s">
        <v>547</v>
      </c>
    </row>
    <row r="199" customFormat="false" ht="15" hidden="false" customHeight="false" outlineLevel="0" collapsed="false">
      <c r="A199" s="0" t="s">
        <v>548</v>
      </c>
      <c r="B199" s="5" t="s">
        <v>549</v>
      </c>
      <c r="C199" s="19" t="n">
        <f aca="false">C198*(1+s_stk/C197)</f>
        <v>0.964216372549018</v>
      </c>
      <c r="D199" s="19" t="n">
        <f aca="false">D198*(1+s_stk/D197)</f>
        <v>1.57612291666667</v>
      </c>
      <c r="E199" s="19" t="n">
        <f aca="false">E198*(1+s_stk/E197)</f>
        <v>2.23702762769231</v>
      </c>
      <c r="F199" s="19" t="n">
        <f aca="false">F198*(1+s_stk/F197)</f>
        <v>2.13964775510204</v>
      </c>
      <c r="G199" s="19" t="n">
        <f aca="false">G198*(1+s_stk/G197)</f>
        <v>2.56556352</v>
      </c>
      <c r="H199" s="19" t="n">
        <f aca="false">H198*(1+s_stk/H197)</f>
        <v>2.618177615625</v>
      </c>
      <c r="I199" s="19" t="n">
        <f aca="false">I198*(1+s_stk/I197)</f>
        <v>2.8799953771875</v>
      </c>
      <c r="J199" s="5" t="s">
        <v>550</v>
      </c>
    </row>
    <row r="200" customFormat="false" ht="15" hidden="false" customHeight="false" outlineLevel="0" collapsed="false">
      <c r="A200" s="5" t="s">
        <v>551</v>
      </c>
      <c r="B200" s="0" t="s">
        <v>60</v>
      </c>
      <c r="C200" s="22" t="n">
        <f aca="false">hbp_25*hb_on</f>
        <v>0</v>
      </c>
      <c r="D200" s="22" t="n">
        <f aca="false">hbp_26*hb_on</f>
        <v>0</v>
      </c>
      <c r="E200" s="22" t="n">
        <f aca="false">hbp_27*hb_on</f>
        <v>0</v>
      </c>
      <c r="F200" s="22" t="n">
        <f aca="false">hbp_28*hb_on</f>
        <v>0.05</v>
      </c>
      <c r="G200" s="22" t="n">
        <f aca="false">hbp_29*hb_on</f>
        <v>0.15</v>
      </c>
      <c r="H200" s="22" t="n">
        <f aca="false">hbp_30*hb_on</f>
        <v>0.25</v>
      </c>
      <c r="I200" s="22" t="n">
        <f aca="false">hbp_30*hb_on</f>
        <v>0.25</v>
      </c>
    </row>
    <row r="201" customFormat="false" ht="15" hidden="false" customHeight="false" outlineLevel="0" collapsed="false">
      <c r="A201" s="0" t="s">
        <v>552</v>
      </c>
      <c r="B201" s="5" t="s">
        <v>549</v>
      </c>
      <c r="C201" s="19" t="n">
        <f aca="false">C199*(1+C200*hb_eff)</f>
        <v>0.964216372549018</v>
      </c>
      <c r="D201" s="19" t="n">
        <f aca="false">D199*(1+D200*hb_eff)</f>
        <v>1.57612291666667</v>
      </c>
      <c r="E201" s="19" t="n">
        <f aca="false">E199*(1+E200*hb_eff)</f>
        <v>2.23702762769231</v>
      </c>
      <c r="F201" s="19" t="n">
        <f aca="false">F199*(1+F200*hb_eff)</f>
        <v>2.15034599387755</v>
      </c>
      <c r="G201" s="19" t="n">
        <f aca="false">G199*(1+G200*hb_eff)</f>
        <v>2.6040469728</v>
      </c>
      <c r="H201" s="19" t="n">
        <f aca="false">H199*(1+H200*hb_eff)</f>
        <v>2.68363205601563</v>
      </c>
      <c r="I201" s="19" t="n">
        <f aca="false">I199*(1+I200*hb_eff)</f>
        <v>2.95199526161719</v>
      </c>
      <c r="J201" s="5" t="s">
        <v>553</v>
      </c>
    </row>
    <row r="202" customFormat="false" ht="15" hidden="false" customHeight="false" outlineLevel="0" collapsed="false">
      <c r="A202" s="0" t="s">
        <v>554</v>
      </c>
      <c r="B202" s="5" t="s">
        <v>549</v>
      </c>
      <c r="C202" s="19" t="n">
        <f aca="false">MAX(0,D201-C201)+dlt*C201</f>
        <v>0.70832818137255</v>
      </c>
      <c r="D202" s="19" t="n">
        <f aca="false">MAX(0,E201-D201)+dlt*D201</f>
        <v>0.818517002692307</v>
      </c>
      <c r="E202" s="19" t="n">
        <f aca="false">MAX(0,F201-E201)+dlt*E201</f>
        <v>0.223702762769231</v>
      </c>
      <c r="F202" s="19" t="n">
        <f aca="false">MAX(0,G201-F201)+dlt*F201</f>
        <v>0.668735578310204</v>
      </c>
      <c r="G202" s="19" t="n">
        <f aca="false">MAX(0,H201-G201)+dlt*G201</f>
        <v>0.339989780495625</v>
      </c>
      <c r="H202" s="19" t="n">
        <f aca="false">MAX(0,I201-H201)+dlt*H201</f>
        <v>0.536726411203125</v>
      </c>
      <c r="J202" s="5" t="s">
        <v>555</v>
      </c>
    </row>
    <row r="203" customFormat="false" ht="15" hidden="false" customHeight="false" outlineLevel="0" collapsed="false">
      <c r="A203" s="0" t="s">
        <v>556</v>
      </c>
      <c r="B203" s="5" t="s">
        <v>181</v>
      </c>
      <c r="C203" s="21" t="n">
        <f aca="false">cw_25</f>
        <v>670</v>
      </c>
      <c r="D203" s="21" t="n">
        <f aca="false">cw_26</f>
        <v>1107.85762580894</v>
      </c>
      <c r="E203" s="21" t="n">
        <f aca="false">cw_27</f>
        <v>2096.42857142857</v>
      </c>
      <c r="F203" s="21" t="n">
        <f aca="false">cw_28*um28_C</f>
        <v>1572.05357142857</v>
      </c>
      <c r="G203" s="21" t="n">
        <f aca="false">cw_29*um29_C</f>
        <v>1807.99553571428</v>
      </c>
      <c r="H203" s="21" t="n">
        <f aca="false">G203*(1+g_tail)</f>
        <v>1988.79508928571</v>
      </c>
      <c r="I203" s="21" t="n">
        <f aca="false">H203*(1+g_tail)</f>
        <v>2187.67459821428</v>
      </c>
      <c r="J203" s="5" t="s">
        <v>557</v>
      </c>
    </row>
    <row r="204" customFormat="false" ht="15" hidden="false" customHeight="false" outlineLevel="0" collapsed="false">
      <c r="A204" s="5" t="s">
        <v>558</v>
      </c>
      <c r="B204" s="5" t="s">
        <v>181</v>
      </c>
      <c r="C204" s="21" t="n">
        <f aca="false">MAX(0,D203-C203)+dlt*C203</f>
        <v>504.85762580894</v>
      </c>
      <c r="D204" s="21" t="n">
        <f aca="false">MAX(0,E203-D203)+dlt*D203</f>
        <v>1099.35670820052</v>
      </c>
      <c r="E204" s="21" t="n">
        <f aca="false">MAX(0,F203-E203)+dlt*E203</f>
        <v>209.642857142857</v>
      </c>
      <c r="F204" s="21" t="n">
        <f aca="false">MAX(0,G203-F203)+dlt*F203</f>
        <v>393.147321428568</v>
      </c>
      <c r="G204" s="21" t="n">
        <f aca="false">MAX(0,H203-G203)+dlt*G203</f>
        <v>361.599107142857</v>
      </c>
      <c r="H204" s="21" t="n">
        <f aca="false">MAX(0,I203-H203)+dlt*H203</f>
        <v>397.759017857143</v>
      </c>
    </row>
    <row r="205" customFormat="false" ht="15" hidden="false" customHeight="false" outlineLevel="0" collapsed="false">
      <c r="A205" s="1" t="s">
        <v>559</v>
      </c>
    </row>
    <row r="206" customFormat="false" ht="15" hidden="false" customHeight="false" outlineLevel="0" collapsed="false">
      <c r="A206" s="0" t="s">
        <v>560</v>
      </c>
      <c r="B206" s="0" t="s">
        <v>561</v>
      </c>
      <c r="C206" s="16" t="n">
        <f aca="false">ai_25*w_hbm/(0.75*C202+0.25*D202)</f>
        <v>48.9213264236471</v>
      </c>
      <c r="J206" s="5" t="s">
        <v>562</v>
      </c>
    </row>
    <row r="207" customFormat="false" ht="15" hidden="false" customHeight="false" outlineLevel="0" collapsed="false">
      <c r="A207" s="5" t="s">
        <v>563</v>
      </c>
      <c r="B207" s="0" t="s">
        <v>564</v>
      </c>
      <c r="C207" s="18" t="n">
        <f aca="false">ai_25*(1-w_hbm)/(0.75*C204+0.25*D204)</f>
        <v>0.0596802610360141</v>
      </c>
    </row>
    <row r="208" customFormat="false" ht="15" hidden="false" customHeight="false" outlineLevel="0" collapsed="false">
      <c r="A208" s="1" t="s">
        <v>565</v>
      </c>
    </row>
    <row r="209" customFormat="false" ht="15" hidden="false" customHeight="false" outlineLevel="0" collapsed="false">
      <c r="A209" s="5" t="s">
        <v>566</v>
      </c>
      <c r="B209" s="0" t="s">
        <v>80</v>
      </c>
      <c r="C209" s="16" t="n">
        <f aca="false">1-sh_loss/sh*0</f>
        <v>1</v>
      </c>
      <c r="D209" s="16" t="n">
        <f aca="false">1-sh_loss/sh*0.25</f>
        <v>1</v>
      </c>
      <c r="E209" s="16" t="n">
        <f aca="false">1-sh_loss/sh*0.5</f>
        <v>1</v>
      </c>
      <c r="F209" s="16" t="n">
        <f aca="false">1-sh_loss/sh*0.75</f>
        <v>1</v>
      </c>
      <c r="G209" s="16" t="n">
        <f aca="false">1-sh_loss/sh*1</f>
        <v>1</v>
      </c>
    </row>
    <row r="210" customFormat="false" ht="15" hidden="false" customHeight="false" outlineLevel="0" collapsed="false">
      <c r="A210" s="0" t="s">
        <v>567</v>
      </c>
      <c r="B210" s="0" t="s">
        <v>33</v>
      </c>
      <c r="C210" s="11" t="n">
        <f aca="false">$C$206*(0.75*C202+0.25*D202)*C209</f>
        <v>36</v>
      </c>
      <c r="D210" s="11" t="n">
        <f aca="false">$C$206*(0.75*D202+0.25*E202)*D209</f>
        <v>32.768162073838</v>
      </c>
      <c r="E210" s="11" t="n">
        <f aca="false">$C$206*(0.75*E202+0.25*F202)*E209</f>
        <v>16.3867347888839</v>
      </c>
      <c r="F210" s="11" t="n">
        <f aca="false">$C$206*(0.75*F202+0.25*G202)*F209</f>
        <v>28.6947613962976</v>
      </c>
      <c r="G210" s="11" t="n">
        <f aca="false">$C$206*(0.75*G202+0.25*H202)*G209</f>
        <v>19.0389052649131</v>
      </c>
    </row>
    <row r="211" customFormat="false" ht="15" hidden="false" customHeight="false" outlineLevel="0" collapsed="false">
      <c r="A211" s="5" t="s">
        <v>568</v>
      </c>
      <c r="B211" s="0" t="s">
        <v>33</v>
      </c>
      <c r="C211" s="11" t="n">
        <f aca="false">$C$207*(0.75*C204+0.25*D204)*C209</f>
        <v>39</v>
      </c>
      <c r="D211" s="11" t="n">
        <f aca="false">$C$207*(0.75*D204+0.25*E204)*D209</f>
        <v>52.3353065974807</v>
      </c>
      <c r="E211" s="11" t="n">
        <f aca="false">$C$207*(0.75*E204+0.25*F204)*E209</f>
        <v>15.2494390210828</v>
      </c>
      <c r="F211" s="11" t="n">
        <f aca="false">$C$207*(0.75*F204+0.25*G204)*F209</f>
        <v>22.9924333525188</v>
      </c>
      <c r="G211" s="11" t="n">
        <f aca="false">$C$207*(0.75*G204+0.25*H204)*G209</f>
        <v>22.1198373322922</v>
      </c>
    </row>
    <row r="212" customFormat="false" ht="15" hidden="false" customHeight="false" outlineLevel="0" collapsed="false">
      <c r="A212" s="0" t="s">
        <v>569</v>
      </c>
      <c r="B212" s="0" t="s">
        <v>33</v>
      </c>
      <c r="C212" s="11" t="n">
        <f aca="false">C210+C211</f>
        <v>75</v>
      </c>
      <c r="D212" s="11" t="n">
        <f aca="false">D210+D211</f>
        <v>85.1034686713187</v>
      </c>
      <c r="E212" s="11" t="n">
        <f aca="false">E210+E211</f>
        <v>31.6361738099667</v>
      </c>
      <c r="F212" s="11" t="n">
        <f aca="false">F210+F211</f>
        <v>51.6871947488164</v>
      </c>
      <c r="G212" s="11" t="n">
        <f aca="false">G210+G211</f>
        <v>41.1587425972053</v>
      </c>
    </row>
    <row r="213" customFormat="false" ht="15" hidden="false" customHeight="false" outlineLevel="0" collapsed="false">
      <c r="A213" s="5" t="s">
        <v>570</v>
      </c>
      <c r="B213" s="0" t="s">
        <v>33</v>
      </c>
      <c r="C213" s="11" t="n">
        <f aca="false">eq_25-ai_25</f>
        <v>195.87118</v>
      </c>
      <c r="D213" s="11" t="n">
        <f aca="false">C213*(1+g_non)*D209/C209</f>
        <v>207.6234508</v>
      </c>
      <c r="E213" s="11" t="n">
        <f aca="false">D213*(1+g_non)*E209/D209</f>
        <v>220.080857848</v>
      </c>
      <c r="F213" s="11" t="n">
        <f aca="false">E213*(1+g_nonC_28)*F209/E209</f>
        <v>193.67115490624</v>
      </c>
      <c r="G213" s="11" t="n">
        <f aca="false">F213*(1+g_non)*G209/F209</f>
        <v>205.291424200614</v>
      </c>
    </row>
    <row r="214" customFormat="false" ht="15" hidden="false" customHeight="false" outlineLevel="0" collapsed="false">
      <c r="A214" s="0" t="s">
        <v>571</v>
      </c>
      <c r="B214" s="0" t="s">
        <v>80</v>
      </c>
      <c r="C214" s="19" t="n">
        <f aca="false">w_hbm*(0.75*C201+0.25*D201)/(0.75*C201+0.25*D201)+(1-w_hbm)*(0.75*C203+0.25*D203)/(0.75*C203+0.25*D203)</f>
        <v>1</v>
      </c>
      <c r="D214" s="19" t="n">
        <f aca="false">w_hbm*(0.75*D201+0.25*E201)/(0.75*C201+0.25*D201)+(1-w_hbm)*(0.75*D203+0.25*E203)/(0.75*C203+0.25*D203)</f>
        <v>1.65212184085657</v>
      </c>
      <c r="E214" s="19" t="n">
        <f aca="false">w_hbm*(0.75*E201+0.25*F201)/(0.75*C201+0.25*D201)+(1-w_hbm)*(0.75*E203+0.25*F203)/(0.75*C203+0.25*D203)</f>
        <v>2.2629478188823</v>
      </c>
      <c r="F214" s="19" t="n">
        <f aca="false">w_hbm*(0.75*F201+0.25*G201)/(0.75*C201+0.25*D201)+(1-w_hbm)*(0.75*F203+0.25*G203)/(0.75*C203+0.25*D203)</f>
        <v>2.06073184090351</v>
      </c>
      <c r="G214" s="19" t="n">
        <f aca="false">w_hbm*(0.75*G201+0.25*H201)/(0.75*C201+0.25*D201)+(1-w_hbm)*(0.75*G203+0.25*H203)/(0.75*C203+0.25*D203)</f>
        <v>2.3636851137342</v>
      </c>
      <c r="J214" s="8" t="s">
        <v>572</v>
      </c>
    </row>
    <row r="215" customFormat="false" ht="15" hidden="false" customHeight="false" outlineLevel="0" collapsed="false">
      <c r="A215" s="0" t="s">
        <v>573</v>
      </c>
      <c r="B215" s="0" t="s">
        <v>33</v>
      </c>
      <c r="C215" s="11" t="n">
        <f aca="false">tl_25*w_tlai*C214</f>
        <v>25.4032258064516</v>
      </c>
      <c r="D215" s="11" t="n">
        <f aca="false">tl_25*w_tlai*D214</f>
        <v>41.9692241830499</v>
      </c>
      <c r="E215" s="11" t="n">
        <f aca="false">tl_25*w_tlai*E214</f>
        <v>57.4861744312842</v>
      </c>
      <c r="F215" s="11" t="n">
        <f aca="false">tl_25*w_tlai*F214</f>
        <v>52.3492362810167</v>
      </c>
      <c r="G215" s="11" t="n">
        <f aca="false">tl_25*w_tlai*G214</f>
        <v>60.0452266795381</v>
      </c>
      <c r="J215" s="5" t="s">
        <v>574</v>
      </c>
    </row>
    <row r="216" customFormat="false" ht="15" hidden="false" customHeight="false" outlineLevel="0" collapsed="false">
      <c r="A216" s="5" t="s">
        <v>575</v>
      </c>
      <c r="B216" s="0" t="s">
        <v>33</v>
      </c>
      <c r="C216" s="11" t="n">
        <f aca="false">tl_25*(1-w_tlai)</f>
        <v>66.3434641935484</v>
      </c>
      <c r="D216" s="11" t="n">
        <f aca="false">C216*(1+g_tl)</f>
        <v>69.6606374032258</v>
      </c>
      <c r="E216" s="11" t="n">
        <f aca="false">D216*(1+g_tl)</f>
        <v>73.1436692733871</v>
      </c>
      <c r="F216" s="11" t="n">
        <f aca="false">E216*(1+g_tlC_28)</f>
        <v>73.1436692733871</v>
      </c>
      <c r="G216" s="11" t="n">
        <f aca="false">F216*(1+g_tl)</f>
        <v>76.8008527370565</v>
      </c>
    </row>
    <row r="217" customFormat="false" ht="15" hidden="false" customHeight="false" outlineLevel="0" collapsed="false">
      <c r="A217" s="5" t="s">
        <v>576</v>
      </c>
      <c r="B217" s="0" t="s">
        <v>33</v>
      </c>
      <c r="C217" s="11" t="n">
        <f aca="false">(C212+C213+C215+C216)*(1+r_ot)</f>
        <v>436.889</v>
      </c>
      <c r="D217" s="11" t="n">
        <f aca="false">(D212+D213+D215+D216)*(1+r_ot)</f>
        <v>487.176844647704</v>
      </c>
      <c r="E217" s="11" t="n">
        <f aca="false">(E212+E213+E215+E216)*(1+r_ot)</f>
        <v>460.658885979082</v>
      </c>
      <c r="F217" s="11" t="n">
        <f aca="false">(F212+F213+F215+F216)*(1+r_ot)</f>
        <v>446.808741216217</v>
      </c>
      <c r="G217" s="11" t="n">
        <f aca="false">(G212+G213+G215+G216)*(1+r_ot)</f>
        <v>461.802706282427</v>
      </c>
      <c r="J217" s="8" t="s">
        <v>577</v>
      </c>
    </row>
    <row r="218" customFormat="false" ht="15" hidden="false" customHeight="false" outlineLevel="0" collapsed="false">
      <c r="A218" s="1" t="s">
        <v>578</v>
      </c>
    </row>
    <row r="219" customFormat="false" ht="15" hidden="false" customHeight="false" outlineLevel="0" collapsed="false">
      <c r="A219" s="5" t="s">
        <v>579</v>
      </c>
      <c r="B219" s="0" t="s">
        <v>33</v>
      </c>
      <c r="D219" s="11" t="n">
        <f aca="false">g3_rev*(1+g_q4)</f>
        <v>145.6862</v>
      </c>
    </row>
    <row r="220" customFormat="false" ht="15" hidden="false" customHeight="false" outlineLevel="0" collapsed="false">
      <c r="A220" s="0" t="s">
        <v>580</v>
      </c>
      <c r="B220" s="0" t="s">
        <v>33</v>
      </c>
      <c r="D220" s="11" t="n">
        <f aca="false">q26h1_rev+g3_rev+D219</f>
        <v>535.1862</v>
      </c>
    </row>
    <row r="221" customFormat="false" ht="15" hidden="false" customHeight="false" outlineLevel="0" collapsed="false">
      <c r="A221" s="0" t="s">
        <v>581</v>
      </c>
      <c r="B221" s="0" t="s">
        <v>33</v>
      </c>
      <c r="D221" s="11" t="n">
        <f aca="false">q26h1_gp+(g3_rev+D219)*gm_q3</f>
        <v>378.0504836</v>
      </c>
    </row>
    <row r="222" customFormat="false" ht="15" hidden="false" customHeight="false" outlineLevel="0" collapsed="false">
      <c r="A222" s="0" t="s">
        <v>582</v>
      </c>
      <c r="B222" s="0" t="s">
        <v>33</v>
      </c>
      <c r="D222" s="11" t="n">
        <f aca="false">q26h1_oi+g3_oi+D219*m_q4</f>
        <v>238.5671</v>
      </c>
    </row>
    <row r="223" customFormat="false" ht="15" hidden="false" customHeight="false" outlineLevel="0" collapsed="false">
      <c r="A223" s="0" t="s">
        <v>583</v>
      </c>
      <c r="B223" s="0" t="s">
        <v>33</v>
      </c>
      <c r="D223" s="11" t="n">
        <f aca="false">q26h1_ni+g3_ni+D219*m_q4*nioi</f>
        <v>167.95938138934</v>
      </c>
    </row>
    <row r="224" customFormat="false" ht="15" hidden="false" customHeight="false" outlineLevel="0" collapsed="false">
      <c r="A224" s="5" t="s">
        <v>584</v>
      </c>
      <c r="B224" s="0" t="s">
        <v>80</v>
      </c>
      <c r="D224" s="16" t="n">
        <f aca="false">D220/D217</f>
        <v>1.09854605340903</v>
      </c>
      <c r="J224" s="8" t="s">
        <v>585</v>
      </c>
    </row>
    <row r="225" customFormat="false" ht="15" hidden="false" customHeight="false" outlineLevel="0" collapsed="false">
      <c r="A225" s="5" t="s">
        <v>586</v>
      </c>
      <c r="B225" s="0" t="s">
        <v>80</v>
      </c>
      <c r="D225" s="16" t="n">
        <f aca="false">1+anc_carry*(sc_A-1)</f>
        <v>1.05495623650888</v>
      </c>
      <c r="J225" s="8" t="s">
        <v>587</v>
      </c>
    </row>
    <row r="226" customFormat="false" ht="15" hidden="false" customHeight="false" outlineLevel="0" collapsed="false">
      <c r="A226" s="1" t="s">
        <v>588</v>
      </c>
    </row>
    <row r="227" customFormat="false" ht="15" hidden="false" customHeight="false" outlineLevel="0" collapsed="false">
      <c r="A227" s="0" t="s">
        <v>589</v>
      </c>
      <c r="B227" s="0" t="s">
        <v>33</v>
      </c>
      <c r="C227" s="11" t="n">
        <f aca="false">C210*1</f>
        <v>36</v>
      </c>
      <c r="D227" s="11" t="n">
        <f aca="false">D210*$D$224</f>
        <v>35.9973351236822</v>
      </c>
      <c r="E227" s="11" t="n">
        <f aca="false">E210*1</f>
        <v>16.3867347888839</v>
      </c>
      <c r="F227" s="11" t="n">
        <f aca="false">F210*1</f>
        <v>28.6947613962976</v>
      </c>
      <c r="G227" s="11" t="n">
        <f aca="false">G210*1</f>
        <v>19.0389052649131</v>
      </c>
    </row>
    <row r="228" customFormat="false" ht="15" hidden="false" customHeight="false" outlineLevel="0" collapsed="false">
      <c r="A228" s="5" t="s">
        <v>590</v>
      </c>
      <c r="B228" s="0" t="s">
        <v>33</v>
      </c>
      <c r="C228" s="11" t="n">
        <f aca="false">C211*1</f>
        <v>39</v>
      </c>
      <c r="D228" s="11" t="n">
        <f aca="false">D211*$D$224</f>
        <v>57.4927445166141</v>
      </c>
      <c r="E228" s="11" t="n">
        <f aca="false">E211*1</f>
        <v>15.2494390210828</v>
      </c>
      <c r="F228" s="11" t="n">
        <f aca="false">F211*1</f>
        <v>22.9924333525188</v>
      </c>
      <c r="G228" s="11" t="n">
        <f aca="false">G211*1</f>
        <v>22.1198373322922</v>
      </c>
    </row>
    <row r="229" customFormat="false" ht="15" hidden="false" customHeight="false" outlineLevel="0" collapsed="false">
      <c r="A229" s="0" t="s">
        <v>591</v>
      </c>
      <c r="B229" s="0" t="s">
        <v>33</v>
      </c>
      <c r="C229" s="11" t="n">
        <f aca="false">C227+C228</f>
        <v>75</v>
      </c>
      <c r="D229" s="11" t="n">
        <f aca="false">D227+D228</f>
        <v>93.4900796402963</v>
      </c>
      <c r="E229" s="11" t="n">
        <f aca="false">E227+E228</f>
        <v>31.6361738099667</v>
      </c>
      <c r="F229" s="11" t="n">
        <f aca="false">F227+F228</f>
        <v>51.6871947488164</v>
      </c>
      <c r="G229" s="11" t="n">
        <f aca="false">G227+G228</f>
        <v>41.1587425972053</v>
      </c>
    </row>
    <row r="230" customFormat="false" ht="15" hidden="false" customHeight="false" outlineLevel="0" collapsed="false">
      <c r="A230" s="5" t="s">
        <v>592</v>
      </c>
      <c r="B230" s="0" t="s">
        <v>33</v>
      </c>
      <c r="C230" s="11" t="n">
        <f aca="false">C213*1</f>
        <v>195.87118</v>
      </c>
      <c r="D230" s="11" t="n">
        <f aca="false">D213*$D$224</f>
        <v>228.083922471504</v>
      </c>
      <c r="E230" s="11" t="n">
        <f aca="false">E213*$D$225</f>
        <v>232.175673522971</v>
      </c>
      <c r="F230" s="11" t="n">
        <f aca="false">F213*$D$225</f>
        <v>204.314592700215</v>
      </c>
      <c r="G230" s="11" t="n">
        <f aca="false">G213*$D$225</f>
        <v>216.573468262228</v>
      </c>
    </row>
    <row r="231" customFormat="false" ht="15" hidden="false" customHeight="false" outlineLevel="0" collapsed="false">
      <c r="A231" s="5" t="s">
        <v>593</v>
      </c>
      <c r="B231" s="0" t="s">
        <v>33</v>
      </c>
      <c r="C231" s="11" t="n">
        <f aca="false">C229+C230</f>
        <v>270.87118</v>
      </c>
      <c r="D231" s="11" t="n">
        <f aca="false">D229+D230</f>
        <v>321.5740021118</v>
      </c>
      <c r="E231" s="11" t="n">
        <f aca="false">E229+E230</f>
        <v>263.811847332938</v>
      </c>
      <c r="F231" s="11" t="n">
        <f aca="false">F229+F230</f>
        <v>256.001787449031</v>
      </c>
      <c r="G231" s="11" t="n">
        <f aca="false">G229+G230</f>
        <v>257.732210859433</v>
      </c>
    </row>
    <row r="232" customFormat="false" ht="15" hidden="false" customHeight="false" outlineLevel="0" collapsed="false">
      <c r="A232" s="0" t="s">
        <v>594</v>
      </c>
      <c r="B232" s="0" t="s">
        <v>33</v>
      </c>
      <c r="C232" s="11" t="n">
        <f aca="false">C215*1</f>
        <v>25.4032258064516</v>
      </c>
      <c r="D232" s="11" t="n">
        <f aca="false">D215*$D$224</f>
        <v>46.1051255909284</v>
      </c>
      <c r="E232" s="11" t="n">
        <f aca="false">E215*1</f>
        <v>57.4861744312842</v>
      </c>
      <c r="F232" s="11" t="n">
        <f aca="false">F215*1</f>
        <v>52.3492362810167</v>
      </c>
      <c r="G232" s="11" t="n">
        <f aca="false">G215*1</f>
        <v>60.0452266795381</v>
      </c>
    </row>
    <row r="233" customFormat="false" ht="15" hidden="false" customHeight="false" outlineLevel="0" collapsed="false">
      <c r="A233" s="5" t="s">
        <v>595</v>
      </c>
      <c r="B233" s="0" t="s">
        <v>33</v>
      </c>
      <c r="C233" s="11" t="n">
        <f aca="false">C216*1</f>
        <v>66.3434641935484</v>
      </c>
      <c r="D233" s="11" t="n">
        <f aca="false">D216*$D$224</f>
        <v>76.5254182972712</v>
      </c>
      <c r="E233" s="11" t="n">
        <f aca="false">E216*$D$225</f>
        <v>77.1633700611024</v>
      </c>
      <c r="F233" s="11" t="n">
        <f aca="false">F216*$D$225</f>
        <v>77.1633700611024</v>
      </c>
      <c r="G233" s="11" t="n">
        <f aca="false">G216*$D$225</f>
        <v>81.0215385641575</v>
      </c>
    </row>
    <row r="234" customFormat="false" ht="15" hidden="false" customHeight="false" outlineLevel="0" collapsed="false">
      <c r="A234" s="5" t="s">
        <v>596</v>
      </c>
      <c r="B234" s="0" t="s">
        <v>33</v>
      </c>
      <c r="C234" s="11" t="n">
        <f aca="false">C232+C233</f>
        <v>91.74669</v>
      </c>
      <c r="D234" s="11" t="n">
        <f aca="false">D232+D233</f>
        <v>122.6305438882</v>
      </c>
      <c r="E234" s="11" t="n">
        <f aca="false">E232+E233</f>
        <v>134.649544492387</v>
      </c>
      <c r="F234" s="11" t="n">
        <f aca="false">F232+F233</f>
        <v>129.512606342119</v>
      </c>
      <c r="G234" s="11" t="n">
        <f aca="false">G232+G233</f>
        <v>141.066765243696</v>
      </c>
    </row>
    <row r="235" customFormat="false" ht="15" hidden="false" customHeight="false" outlineLevel="0" collapsed="false">
      <c r="A235" s="5" t="s">
        <v>458</v>
      </c>
      <c r="B235" s="0" t="s">
        <v>33</v>
      </c>
      <c r="C235" s="11" t="n">
        <f aca="false">r_ot*(C231+C234)</f>
        <v>74.27113</v>
      </c>
      <c r="D235" s="11" t="n">
        <f aca="false">r_ot*(D231+D234)</f>
        <v>90.981654</v>
      </c>
      <c r="E235" s="11" t="n">
        <f aca="false">r_ot*(E231+E234)</f>
        <v>81.6125742292834</v>
      </c>
      <c r="F235" s="11" t="n">
        <f aca="false">r_ot*(F231+F234)</f>
        <v>78.9607794511994</v>
      </c>
      <c r="G235" s="11" t="n">
        <f aca="false">r_ot*(G231+G234)</f>
        <v>81.6817179970263</v>
      </c>
    </row>
    <row r="236" customFormat="false" ht="15" hidden="false" customHeight="false" outlineLevel="0" collapsed="false">
      <c r="A236" s="5" t="s">
        <v>428</v>
      </c>
      <c r="B236" s="0" t="s">
        <v>33</v>
      </c>
      <c r="C236" s="11" t="n">
        <f aca="false">C231+C234+C235</f>
        <v>436.889</v>
      </c>
      <c r="D236" s="11" t="n">
        <f aca="false">D231+D234+D235</f>
        <v>535.1862</v>
      </c>
      <c r="E236" s="11" t="n">
        <f aca="false">E231+E234+E235</f>
        <v>480.073966054608</v>
      </c>
      <c r="F236" s="11" t="n">
        <f aca="false">F231+F234+F235</f>
        <v>464.47517324235</v>
      </c>
      <c r="G236" s="11" t="n">
        <f aca="false">G231+G234+G235</f>
        <v>480.480694100155</v>
      </c>
      <c r="J236" s="8" t="s">
        <v>597</v>
      </c>
    </row>
    <row r="237" customFormat="false" ht="15" hidden="false" customHeight="false" outlineLevel="0" collapsed="false">
      <c r="A237" s="0" t="s">
        <v>598</v>
      </c>
      <c r="B237" s="0" t="s">
        <v>60</v>
      </c>
      <c r="C237" s="14" t="n">
        <f aca="false">(C229+C232)*(1+r_ot)/C236</f>
        <v>0.276884384673187</v>
      </c>
      <c r="D237" s="14" t="n">
        <f aca="false">(D229+D232)*(1+r_ot)/D236</f>
        <v>0.314258839735568</v>
      </c>
      <c r="E237" s="14" t="n">
        <f aca="false">(E229+E232)*(1+r_ot)/E236</f>
        <v>0.223666207240274</v>
      </c>
      <c r="F237" s="14" t="n">
        <f aca="false">(F229+F232)*(1+r_ot)/F236</f>
        <v>0.26986393427944</v>
      </c>
      <c r="G237" s="14" t="n">
        <f aca="false">(G229+G232)*(1+r_ot)/G236</f>
        <v>0.253771888447809</v>
      </c>
    </row>
    <row r="238" customFormat="false" ht="15" hidden="false" customHeight="false" outlineLevel="0" collapsed="false">
      <c r="A238" s="0" t="s">
        <v>599</v>
      </c>
      <c r="B238" s="0" t="s">
        <v>60</v>
      </c>
      <c r="C238" s="14" t="n">
        <f aca="false">C229*(1+r_ot)/C236</f>
        <v>0.206829299394429</v>
      </c>
      <c r="D238" s="14" t="n">
        <f aca="false">D229*(1+r_ot)/D236</f>
        <v>0.210466282891883</v>
      </c>
      <c r="E238" s="14" t="n">
        <f aca="false">E229*(1+r_ot)/E236</f>
        <v>0.0793958322161239</v>
      </c>
      <c r="F238" s="14" t="n">
        <f aca="false">F229*(1+r_ot)/F236</f>
        <v>0.134073320169772</v>
      </c>
      <c r="G238" s="14" t="n">
        <f aca="false">G229*(1+r_ot)/G236</f>
        <v>0.103206740898356</v>
      </c>
      <c r="J238" s="5" t="s">
        <v>600</v>
      </c>
    </row>
    <row r="239" customFormat="false" ht="15" hidden="false" customHeight="false" outlineLevel="0" collapsed="false">
      <c r="A239" s="5" t="s">
        <v>466</v>
      </c>
      <c r="B239" s="0" t="s">
        <v>60</v>
      </c>
      <c r="C239" s="14" t="n">
        <f aca="false">a25_gp/a25_rev</f>
        <v>0.701498549974936</v>
      </c>
      <c r="D239" s="14" t="n">
        <f aca="false">D221/D236</f>
        <v>0.70639056761927</v>
      </c>
      <c r="E239" s="14" t="n">
        <f aca="false">gm_a+gm_b*LN(E236)+0</f>
        <v>0.713183116127151</v>
      </c>
      <c r="F239" s="14" t="n">
        <f aca="false">gm_a+gm_b*LN(F236)+gm_adjC</f>
        <v>0.69942320800202</v>
      </c>
      <c r="G239" s="14" t="n">
        <f aca="false">gm_a+gm_b*LN(G236)+gm_adjC</f>
        <v>0.703279510875941</v>
      </c>
      <c r="J239" s="8" t="s">
        <v>601</v>
      </c>
    </row>
    <row r="240" customFormat="false" ht="15" hidden="false" customHeight="false" outlineLevel="0" collapsed="false">
      <c r="A240" s="5" t="s">
        <v>463</v>
      </c>
      <c r="B240" s="0" t="s">
        <v>33</v>
      </c>
      <c r="C240" s="11" t="n">
        <f aca="false">C236*C239</f>
        <v>306.477</v>
      </c>
      <c r="D240" s="11" t="n">
        <f aca="false">D236*D239</f>
        <v>378.0504836</v>
      </c>
      <c r="E240" s="11" t="n">
        <f aca="false">E236*E239</f>
        <v>342.380647082345</v>
      </c>
      <c r="F240" s="11" t="n">
        <f aca="false">F236*F239</f>
        <v>324.864715706458</v>
      </c>
      <c r="G240" s="11" t="n">
        <f aca="false">G236*G239</f>
        <v>337.912227532089</v>
      </c>
    </row>
    <row r="241" customFormat="false" ht="15" hidden="false" customHeight="false" outlineLevel="0" collapsed="false">
      <c r="A241" s="5" t="s">
        <v>464</v>
      </c>
      <c r="B241" s="0" t="s">
        <v>33</v>
      </c>
      <c r="C241" s="11" t="n">
        <f aca="false">a25_sga</f>
        <v>121.487</v>
      </c>
      <c r="D241" s="11" t="n">
        <f aca="false">D240-D222</f>
        <v>139.4833836</v>
      </c>
      <c r="E241" s="11" t="n">
        <f aca="false">sg_f+sg_v*E236</f>
        <v>129.278185295666</v>
      </c>
      <c r="F241" s="11" t="n">
        <f aca="false">sg_f+sg_v*F236</f>
        <v>125.341564217854</v>
      </c>
      <c r="G241" s="11" t="n">
        <f aca="false">sg_f+sg_v*G236</f>
        <v>129.380830046212</v>
      </c>
      <c r="J241" s="8" t="s">
        <v>602</v>
      </c>
    </row>
    <row r="242" customFormat="false" ht="15" hidden="false" customHeight="false" outlineLevel="0" collapsed="false">
      <c r="A242" s="5" t="s">
        <v>432</v>
      </c>
      <c r="B242" s="0" t="s">
        <v>33</v>
      </c>
      <c r="C242" s="11" t="n">
        <f aca="false">C240-C241</f>
        <v>184.99</v>
      </c>
      <c r="D242" s="11" t="n">
        <f aca="false">D240-D241</f>
        <v>238.5671</v>
      </c>
      <c r="E242" s="11" t="n">
        <f aca="false">E240-E241</f>
        <v>213.102461786679</v>
      </c>
      <c r="F242" s="11" t="n">
        <f aca="false">F240-F241</f>
        <v>199.523151488604</v>
      </c>
      <c r="G242" s="11" t="n">
        <f aca="false">G240-G241</f>
        <v>208.531397485877</v>
      </c>
    </row>
    <row r="243" customFormat="false" ht="15" hidden="false" customHeight="false" outlineLevel="0" collapsed="false">
      <c r="A243" s="5" t="s">
        <v>603</v>
      </c>
      <c r="B243" s="0" t="s">
        <v>60</v>
      </c>
      <c r="C243" s="14" t="n">
        <f aca="false">C242/C236</f>
        <v>0.423425629851061</v>
      </c>
      <c r="D243" s="14" t="n">
        <f aca="false">D242/D236</f>
        <v>0.445764670314743</v>
      </c>
      <c r="E243" s="14" t="n">
        <f aca="false">E242/E236</f>
        <v>0.443895059625956</v>
      </c>
      <c r="F243" s="14" t="n">
        <f aca="false">F242/F236</f>
        <v>0.4295668810365</v>
      </c>
      <c r="G243" s="14" t="n">
        <f aca="false">G242/G236</f>
        <v>0.434005778060272</v>
      </c>
    </row>
    <row r="244" customFormat="false" ht="15" hidden="false" customHeight="false" outlineLevel="0" collapsed="false">
      <c r="A244" s="5" t="s">
        <v>435</v>
      </c>
      <c r="B244" s="0" t="s">
        <v>33</v>
      </c>
      <c r="C244" s="11" t="n">
        <f aca="false">a25_ni</f>
        <v>135.521</v>
      </c>
      <c r="D244" s="11" t="n">
        <f aca="false">D223</f>
        <v>167.95938138934</v>
      </c>
      <c r="E244" s="11" t="n">
        <f aca="false">E242*nioi</f>
        <v>153.684253119993</v>
      </c>
      <c r="F244" s="11" t="n">
        <f aca="false">F242*nioi</f>
        <v>143.891188584055</v>
      </c>
      <c r="G244" s="11" t="n">
        <f aca="false">G242*nioi</f>
        <v>150.387713994437</v>
      </c>
    </row>
    <row r="245" customFormat="false" ht="15" hidden="false" customHeight="false" outlineLevel="0" collapsed="false">
      <c r="A245" s="0" t="s">
        <v>524</v>
      </c>
      <c r="B245" s="0" t="s">
        <v>55</v>
      </c>
      <c r="C245" s="11" t="n">
        <f aca="false">a25_eps</f>
        <v>1249.84</v>
      </c>
      <c r="D245" s="11" t="n">
        <f aca="false">D244*1000/shares</f>
        <v>1548.28555816522</v>
      </c>
      <c r="E245" s="11" t="n">
        <f aca="false">E244*1000/shares</f>
        <v>1416.69436773834</v>
      </c>
      <c r="F245" s="11" t="n">
        <f aca="false">F244*1000/shares</f>
        <v>1326.41980096064</v>
      </c>
      <c r="G245" s="11" t="n">
        <f aca="false">G244*1000/shares</f>
        <v>1386.30616388925</v>
      </c>
    </row>
    <row r="246" customFormat="false" ht="15" hidden="false" customHeight="false" outlineLevel="0" collapsed="false">
      <c r="A246" s="5" t="s">
        <v>604</v>
      </c>
      <c r="B246" s="0" t="s">
        <v>33</v>
      </c>
      <c r="C246" s="16" t="n">
        <f aca="false">ABS(C236-a25_rev)+ABS(C242-a25_oi)+ABS(D236-D220)+ABS(D242-D222)</f>
        <v>0.000999999999976353</v>
      </c>
    </row>
    <row r="247" customFormat="false" ht="15" hidden="false" customHeight="false" outlineLevel="0" collapsed="false">
      <c r="A247" s="1" t="s">
        <v>605</v>
      </c>
    </row>
    <row r="248" customFormat="false" ht="15" hidden="false" customHeight="false" outlineLevel="0" collapsed="false">
      <c r="A248" s="5" t="s">
        <v>606</v>
      </c>
      <c r="B248" s="0" t="s">
        <v>60</v>
      </c>
      <c r="C248" s="14" t="n">
        <f aca="false">a25_gp/a25_rev</f>
        <v>0.701498549974936</v>
      </c>
      <c r="D248" s="14" t="n">
        <f aca="false">gm_a+gm_b*LN(D217)+0</f>
        <v>0.714854877972851</v>
      </c>
      <c r="E248" s="14" t="n">
        <f aca="false">gm_a+gm_b*LN(E217)+0</f>
        <v>0.708484111625622</v>
      </c>
      <c r="F248" s="14" t="n">
        <f aca="false">gm_a+gm_b*LN(F217)+gm_adjC</f>
        <v>0.695009324448339</v>
      </c>
      <c r="G248" s="14" t="n">
        <f aca="false">gm_a+gm_b*LN(G217)+gm_adjC</f>
        <v>0.698766392233749</v>
      </c>
    </row>
    <row r="249" customFormat="false" ht="15" hidden="false" customHeight="false" outlineLevel="0" collapsed="false">
      <c r="A249" s="5" t="s">
        <v>607</v>
      </c>
      <c r="B249" s="0" t="s">
        <v>33</v>
      </c>
      <c r="C249" s="11" t="n">
        <f aca="false">a25_oi</f>
        <v>184.989</v>
      </c>
      <c r="D249" s="11" t="n">
        <f aca="false">D217*D248-sg_f-sg_v*D217</f>
        <v>217.190026131945</v>
      </c>
      <c r="E249" s="11" t="n">
        <f aca="false">E217*E248-sg_f-sg_v*E217</f>
        <v>201.991042475448</v>
      </c>
      <c r="F249" s="11" t="n">
        <f aca="false">F217*F248-sg_f-sg_v*F217</f>
        <v>189.65310222628</v>
      </c>
      <c r="G249" s="11" t="n">
        <f aca="false">G217*G248-sg_f-sg_v*G217</f>
        <v>198.025089335346</v>
      </c>
    </row>
    <row r="250" customFormat="false" ht="15" hidden="false" customHeight="false" outlineLevel="0" collapsed="false">
      <c r="A250" s="0" t="s">
        <v>608</v>
      </c>
      <c r="B250" s="0" t="s">
        <v>55</v>
      </c>
      <c r="C250" s="11" t="n">
        <f aca="false">a25_eps</f>
        <v>1249.84</v>
      </c>
      <c r="D250" s="11" t="n">
        <f aca="false">D249*nioi_v01*1000/shares</f>
        <v>1466.72051644622</v>
      </c>
      <c r="E250" s="11" t="n">
        <f aca="false">E249*nioi_v01*1000/shares</f>
        <v>1364.07924163661</v>
      </c>
      <c r="F250" s="11" t="n">
        <f aca="false">F249*nioi_v01*1000/shares</f>
        <v>1280.75907074097</v>
      </c>
      <c r="G250" s="11" t="n">
        <f aca="false">G249*nioi_v01*1000/shares</f>
        <v>1337.29649778115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9" min="2" style="0" width="15"/>
    <col collapsed="false" customWidth="true" hidden="false" outlineLevel="0" max="10" min="10" style="0" width="70"/>
  </cols>
  <sheetData>
    <row r="1" customFormat="false" ht="15" hidden="false" customHeight="false" outlineLevel="0" collapsed="false">
      <c r="A1" s="0" t="s">
        <v>611</v>
      </c>
    </row>
    <row r="2" customFormat="false" ht="15" hidden="false" customHeight="false" outlineLevel="0" collapsed="false">
      <c r="A2" s="0" t="s">
        <v>612</v>
      </c>
    </row>
    <row r="4" customFormat="false" ht="15" hidden="false" customHeight="false" outlineLevel="0" collapsed="false">
      <c r="A4" s="1" t="s">
        <v>613</v>
      </c>
    </row>
    <row r="5" customFormat="false" ht="15" hidden="false" customHeight="false" outlineLevel="0" collapsed="false">
      <c r="A5" s="6" t="s">
        <v>614</v>
      </c>
      <c r="B5" s="6" t="s">
        <v>615</v>
      </c>
      <c r="C5" s="6" t="s">
        <v>468</v>
      </c>
      <c r="D5" s="6" t="s">
        <v>616</v>
      </c>
      <c r="E5" s="6" t="s">
        <v>617</v>
      </c>
      <c r="F5" s="6" t="s">
        <v>618</v>
      </c>
      <c r="G5" s="6" t="s">
        <v>619</v>
      </c>
      <c r="H5" s="9" t="s">
        <v>620</v>
      </c>
      <c r="I5" s="6" t="s">
        <v>27</v>
      </c>
      <c r="J5" s="6" t="s">
        <v>515</v>
      </c>
    </row>
    <row r="6" customFormat="false" ht="15" hidden="false" customHeight="false" outlineLevel="0" collapsed="false">
      <c r="A6" s="0" t="s">
        <v>621</v>
      </c>
      <c r="B6" s="23" t="n">
        <v>14160</v>
      </c>
      <c r="C6" s="7" t="n">
        <v>3</v>
      </c>
      <c r="D6" s="13" t="n">
        <f aca="false">B6/C6</f>
        <v>4720</v>
      </c>
      <c r="E6" s="12" t="n">
        <v>4720</v>
      </c>
      <c r="F6" s="24" t="n">
        <f aca="false">D6/E6-1</f>
        <v>0</v>
      </c>
      <c r="G6" s="13" t="n">
        <f aca="false">Hist!K7</f>
        <v>225.273333333333</v>
      </c>
      <c r="H6" s="20" t="n">
        <f aca="false">D6/G6</f>
        <v>20.952324583469</v>
      </c>
      <c r="I6" s="8" t="s">
        <v>34</v>
      </c>
      <c r="J6" s="5" t="s">
        <v>622</v>
      </c>
    </row>
    <row r="7" customFormat="false" ht="15" hidden="false" customHeight="false" outlineLevel="0" collapsed="false">
      <c r="A7" s="0" t="s">
        <v>623</v>
      </c>
      <c r="B7" s="23" t="n">
        <v>25070</v>
      </c>
      <c r="C7" s="7" t="n">
        <v>3</v>
      </c>
      <c r="D7" s="13" t="n">
        <f aca="false">B7/C7</f>
        <v>8356.66666666667</v>
      </c>
      <c r="E7" s="12" t="n">
        <v>8356.67</v>
      </c>
      <c r="F7" s="24" t="n">
        <f aca="false">D7/E7-1</f>
        <v>-3.98882968211112E-007</v>
      </c>
      <c r="G7" s="13" t="n">
        <f aca="false">Hist!K8</f>
        <v>345.223333333333</v>
      </c>
      <c r="H7" s="20" t="n">
        <f aca="false">D7/G7</f>
        <v>24.2065522801665</v>
      </c>
      <c r="I7" s="8" t="s">
        <v>34</v>
      </c>
    </row>
    <row r="8" customFormat="false" ht="15" hidden="false" customHeight="false" outlineLevel="0" collapsed="false">
      <c r="A8" s="0" t="s">
        <v>624</v>
      </c>
      <c r="B8" s="23" t="n">
        <v>12850</v>
      </c>
      <c r="C8" s="7" t="n">
        <v>3</v>
      </c>
      <c r="D8" s="13" t="n">
        <f aca="false">B8/C8</f>
        <v>4283.33333333333</v>
      </c>
      <c r="E8" s="12" t="n">
        <v>4283.33</v>
      </c>
      <c r="F8" s="24" t="n">
        <f aca="false">D8/E8-1</f>
        <v>7.78210722307549E-007</v>
      </c>
      <c r="G8" s="13" t="n">
        <f aca="false">Hist!K9</f>
        <v>267.45</v>
      </c>
      <c r="H8" s="20" t="n">
        <f aca="false">D8/G8</f>
        <v>16.0154546021063</v>
      </c>
      <c r="I8" s="8" t="s">
        <v>34</v>
      </c>
    </row>
    <row r="9" customFormat="false" ht="15" hidden="false" customHeight="false" outlineLevel="0" collapsed="false">
      <c r="A9" s="0" t="s">
        <v>625</v>
      </c>
      <c r="B9" s="23" t="n">
        <v>25900</v>
      </c>
      <c r="C9" s="7" t="n">
        <v>3</v>
      </c>
      <c r="D9" s="13" t="n">
        <f aca="false">B9/C9</f>
        <v>8633.33333333333</v>
      </c>
      <c r="E9" s="12" t="n">
        <v>8633.33</v>
      </c>
      <c r="F9" s="24" t="n">
        <f aca="false">D9/E9-1</f>
        <v>3.86100535321177E-007</v>
      </c>
      <c r="G9" s="13" t="n">
        <f aca="false">Hist!K10</f>
        <v>256.52</v>
      </c>
      <c r="H9" s="20" t="n">
        <f aca="false">D9/G9</f>
        <v>33.6555954051666</v>
      </c>
      <c r="I9" s="8" t="s">
        <v>34</v>
      </c>
    </row>
    <row r="10" customFormat="false" ht="15" hidden="false" customHeight="false" outlineLevel="0" collapsed="false">
      <c r="A10" s="0" t="s">
        <v>626</v>
      </c>
      <c r="B10" s="23" t="n">
        <v>34750</v>
      </c>
      <c r="C10" s="7" t="n">
        <v>3</v>
      </c>
      <c r="D10" s="13" t="n">
        <f aca="false">B10/C10</f>
        <v>11583.3333333333</v>
      </c>
      <c r="E10" s="12" t="n">
        <v>11583.33</v>
      </c>
      <c r="F10" s="24" t="n">
        <f aca="false">D10/E10-1</f>
        <v>2.87769867046706E-007</v>
      </c>
      <c r="G10" s="13" t="n">
        <f aca="false">Hist!K11</f>
        <v>361.823333333333</v>
      </c>
      <c r="H10" s="20" t="n">
        <f aca="false">D10/G10</f>
        <v>32.0137820483293</v>
      </c>
      <c r="I10" s="8" t="s">
        <v>34</v>
      </c>
    </row>
    <row r="11" customFormat="false" ht="15" hidden="false" customHeight="false" outlineLevel="0" collapsed="false">
      <c r="A11" s="0" t="s">
        <v>627</v>
      </c>
      <c r="B11" s="23" t="n">
        <v>35150</v>
      </c>
      <c r="C11" s="7" t="n">
        <v>3</v>
      </c>
      <c r="D11" s="13" t="n">
        <f aca="false">B11/C11</f>
        <v>11716.6666666667</v>
      </c>
      <c r="E11" s="12" t="n">
        <v>11716.67</v>
      </c>
      <c r="F11" s="24" t="n">
        <f aca="false">D11/E11-1</f>
        <v>-2.8449494049454E-007</v>
      </c>
      <c r="G11" s="13" t="n">
        <f aca="false">Hist!K12</f>
        <v>611.67</v>
      </c>
      <c r="H11" s="20" t="n">
        <f aca="false">D11/G11</f>
        <v>19.1552089634389</v>
      </c>
      <c r="I11" s="8" t="s">
        <v>34</v>
      </c>
    </row>
    <row r="12" customFormat="false" ht="15" hidden="false" customHeight="false" outlineLevel="0" collapsed="false">
      <c r="A12" s="0" t="s">
        <v>628</v>
      </c>
      <c r="B12" s="23" t="n">
        <v>37750</v>
      </c>
      <c r="C12" s="7" t="n">
        <v>3</v>
      </c>
      <c r="D12" s="13" t="n">
        <f aca="false">B12/C12</f>
        <v>12583.3333333333</v>
      </c>
      <c r="E12" s="12" t="n">
        <v>12583.33</v>
      </c>
      <c r="F12" s="24" t="n">
        <f aca="false">D12/E12-1</f>
        <v>2.6490073246066E-007</v>
      </c>
      <c r="G12" s="13" t="n">
        <f aca="false">Hist!K13</f>
        <v>765.47</v>
      </c>
      <c r="H12" s="20" t="n">
        <f aca="false">D12/G12</f>
        <v>16.4387021481356</v>
      </c>
      <c r="I12" s="8" t="s">
        <v>34</v>
      </c>
    </row>
    <row r="13" customFormat="false" ht="15" hidden="false" customHeight="false" outlineLevel="0" collapsed="false">
      <c r="A13" s="0" t="s">
        <v>629</v>
      </c>
      <c r="B13" s="23" t="n">
        <v>34980</v>
      </c>
      <c r="C13" s="7" t="n">
        <v>1</v>
      </c>
      <c r="D13" s="13" t="n">
        <f aca="false">B13/C13</f>
        <v>34980</v>
      </c>
      <c r="E13" s="12" t="n">
        <v>34980</v>
      </c>
      <c r="F13" s="24" t="n">
        <f aca="false">D13/E13-1</f>
        <v>0</v>
      </c>
      <c r="G13" s="13" t="n">
        <f aca="false">Hist!K14</f>
        <v>777.29</v>
      </c>
      <c r="H13" s="20" t="n">
        <f aca="false">D13/G13</f>
        <v>45.0025087161806</v>
      </c>
      <c r="I13" s="8" t="s">
        <v>34</v>
      </c>
      <c r="J13" s="8" t="s">
        <v>630</v>
      </c>
    </row>
    <row r="14" customFormat="false" ht="15" hidden="false" customHeight="false" outlineLevel="0" collapsed="false">
      <c r="A14" s="0" t="s">
        <v>631</v>
      </c>
      <c r="B14" s="23" t="n">
        <v>42730</v>
      </c>
      <c r="C14" s="7" t="n">
        <v>1</v>
      </c>
      <c r="D14" s="13" t="n">
        <f aca="false">B14/C14</f>
        <v>42730</v>
      </c>
      <c r="E14" s="12" t="n">
        <v>42730</v>
      </c>
      <c r="F14" s="24" t="n">
        <f aca="false">D14/E14-1</f>
        <v>0</v>
      </c>
      <c r="G14" s="13" t="n">
        <f aca="false">Hist!K15</f>
        <v>1143.26</v>
      </c>
      <c r="H14" s="20" t="n">
        <f aca="false">D14/G14</f>
        <v>37.3755751097738</v>
      </c>
      <c r="I14" s="8" t="s">
        <v>34</v>
      </c>
    </row>
    <row r="15" customFormat="false" ht="15" hidden="false" customHeight="false" outlineLevel="0" collapsed="false">
      <c r="A15" s="0" t="s">
        <v>632</v>
      </c>
      <c r="B15" s="23" t="n">
        <v>48170</v>
      </c>
      <c r="C15" s="7" t="n">
        <v>1</v>
      </c>
      <c r="D15" s="13" t="n">
        <f aca="false">B15/C15</f>
        <v>48170</v>
      </c>
      <c r="E15" s="12" t="n">
        <v>48170</v>
      </c>
      <c r="F15" s="24" t="n">
        <f aca="false">D15/E15-1</f>
        <v>0</v>
      </c>
      <c r="G15" s="13" t="n">
        <f aca="false">Hist!K16</f>
        <v>1249.84</v>
      </c>
      <c r="H15" s="20" t="n">
        <f aca="false">D15/G15</f>
        <v>38.5409332394547</v>
      </c>
      <c r="I15" s="8" t="s">
        <v>34</v>
      </c>
    </row>
    <row r="17" customFormat="false" ht="15" hidden="false" customHeight="false" outlineLevel="0" collapsed="false">
      <c r="A17" s="5" t="s">
        <v>633</v>
      </c>
    </row>
    <row r="19" customFormat="false" ht="15" hidden="false" customHeight="false" outlineLevel="0" collapsed="false">
      <c r="A19" s="1" t="s">
        <v>634</v>
      </c>
    </row>
    <row r="20" customFormat="false" ht="15" hidden="false" customHeight="false" outlineLevel="0" collapsed="false">
      <c r="A20" s="6" t="s">
        <v>635</v>
      </c>
      <c r="B20" s="9" t="s">
        <v>620</v>
      </c>
      <c r="C20" s="6" t="s">
        <v>636</v>
      </c>
    </row>
    <row r="21" customFormat="false" ht="15" hidden="false" customHeight="false" outlineLevel="0" collapsed="false">
      <c r="A21" s="0" t="s">
        <v>637</v>
      </c>
      <c r="B21" s="20" t="n">
        <f aca="false">PERCENTILE(H6:H15,0.25)</f>
        <v>19.6044878684464</v>
      </c>
      <c r="C21" s="5" t="s">
        <v>638</v>
      </c>
    </row>
    <row r="22" customFormat="false" ht="15" hidden="false" customHeight="false" outlineLevel="0" collapsed="false">
      <c r="A22" s="5" t="s">
        <v>639</v>
      </c>
      <c r="B22" s="20" t="n">
        <f aca="false">PERCENTILE(H6:H15,0.5)</f>
        <v>28.1101671642479</v>
      </c>
      <c r="C22" s="5" t="s">
        <v>640</v>
      </c>
    </row>
    <row r="23" customFormat="false" ht="15" hidden="false" customHeight="false" outlineLevel="0" collapsed="false">
      <c r="A23" s="0" t="s">
        <v>641</v>
      </c>
      <c r="B23" s="20" t="n">
        <f aca="false">PERCENTILE(H6:H15,0.75)</f>
        <v>36.445580183622</v>
      </c>
      <c r="C23" s="5" t="s">
        <v>642</v>
      </c>
    </row>
    <row r="24" customFormat="false" ht="15" hidden="false" customHeight="false" outlineLevel="0" collapsed="false">
      <c r="A24" s="5" t="s">
        <v>643</v>
      </c>
      <c r="B24" s="0" t="n">
        <f aca="false">COUNT(H6:H15)</f>
        <v>10</v>
      </c>
    </row>
    <row r="25" customFormat="false" ht="15" hidden="false" customHeight="false" outlineLevel="0" collapsed="false">
      <c r="A25" s="5" t="s">
        <v>644</v>
      </c>
      <c r="B25" s="20" t="n">
        <f aca="false">PERCENTILE((H6:H12~H14:H15),0.25)</f>
        <v>19.1552089634389</v>
      </c>
      <c r="C25" s="20" t="n">
        <f aca="false">PERCENTILE((H6:H12~H14:H15),0.5)</f>
        <v>24.2065522801665</v>
      </c>
      <c r="D25" s="20" t="n">
        <f aca="false">PERCENTILE((H6:H12~H14:H15),0.75)</f>
        <v>33.6555954051666</v>
      </c>
    </row>
    <row r="27" customFormat="false" ht="15" hidden="false" customHeight="false" outlineLevel="0" collapsed="false">
      <c r="A27" s="1" t="s">
        <v>645</v>
      </c>
    </row>
    <row r="28" customFormat="false" ht="15" hidden="false" customHeight="false" outlineLevel="0" collapsed="false">
      <c r="A28" s="5" t="s">
        <v>646</v>
      </c>
    </row>
    <row r="29" customFormat="false" ht="15" hidden="false" customHeight="false" outlineLevel="0" collapsed="false">
      <c r="A29" s="6" t="s">
        <v>647</v>
      </c>
      <c r="B29" s="6" t="s">
        <v>648</v>
      </c>
      <c r="C29" s="9" t="s">
        <v>649</v>
      </c>
      <c r="D29" s="6" t="s">
        <v>650</v>
      </c>
      <c r="E29" s="6" t="s">
        <v>651</v>
      </c>
      <c r="F29" s="9" t="s">
        <v>652</v>
      </c>
      <c r="G29" s="9" t="s">
        <v>653</v>
      </c>
    </row>
    <row r="30" customFormat="false" ht="15" hidden="false" customHeight="false" outlineLevel="0" collapsed="false">
      <c r="A30" s="0" t="s">
        <v>654</v>
      </c>
      <c r="B30" s="0" t="n">
        <f aca="false">pk_A</f>
        <v>2029</v>
      </c>
      <c r="C30" s="7" t="n">
        <v>2027</v>
      </c>
      <c r="D30" s="0" t="str">
        <f aca="false">IF(C30&lt;pk_A,"中段",IF(C30=pk_A,"見頂","谷底"))</f>
        <v>中段</v>
      </c>
      <c r="E30" s="20" t="n">
        <f aca="false">IF(D30="見頂",pe_peak,IF(D30="谷底",pe_trough,pe_mid))</f>
        <v>28.1101671642479</v>
      </c>
      <c r="F30" s="5" t="s">
        <v>640</v>
      </c>
      <c r="G30" s="20" t="n">
        <f aca="false">pe_mid</f>
        <v>28.1101671642479</v>
      </c>
    </row>
    <row r="31" customFormat="false" ht="15" hidden="false" customHeight="false" outlineLevel="0" collapsed="false">
      <c r="A31" s="0" t="s">
        <v>655</v>
      </c>
      <c r="B31" s="0" t="n">
        <f aca="false">pk_B</f>
        <v>2028</v>
      </c>
      <c r="C31" s="7" t="n">
        <v>2027</v>
      </c>
      <c r="D31" s="0" t="str">
        <f aca="false">IF(C31&lt;pk_B,"中段",IF(C31=pk_B,"見頂","谷底"))</f>
        <v>中段</v>
      </c>
      <c r="E31" s="20" t="n">
        <f aca="false">IF(D31="見頂",pe_peak,IF(D31="谷底",pe_trough,pe_mid))</f>
        <v>28.1101671642479</v>
      </c>
      <c r="F31" s="5" t="s">
        <v>640</v>
      </c>
      <c r="G31" s="20" t="n">
        <f aca="false">pe_mid</f>
        <v>28.1101671642479</v>
      </c>
    </row>
    <row r="32" customFormat="false" ht="15" hidden="false" customHeight="false" outlineLevel="0" collapsed="false">
      <c r="A32" s="0" t="s">
        <v>656</v>
      </c>
      <c r="B32" s="0" t="n">
        <f aca="false">pk_C</f>
        <v>2027</v>
      </c>
      <c r="C32" s="7" t="n">
        <v>2027</v>
      </c>
      <c r="D32" s="0" t="str">
        <f aca="false">IF(C32&lt;pk_C,"中段",IF(C32=pk_C,"見頂","谷底"))</f>
        <v>見頂</v>
      </c>
      <c r="E32" s="20" t="n">
        <f aca="false">IF(D32="見頂",pe_peak,IF(D32="谷底",pe_trough,pe_mid))</f>
        <v>19.6044878684464</v>
      </c>
      <c r="F32" s="5" t="s">
        <v>640</v>
      </c>
      <c r="G32" s="20" t="n">
        <f aca="false">pe_mid</f>
        <v>28.1101671642479</v>
      </c>
    </row>
    <row r="33" customFormat="false" ht="15" hidden="false" customHeight="false" outlineLevel="0" collapsed="false">
      <c r="A33" s="1" t="s">
        <v>657</v>
      </c>
    </row>
    <row r="34" customFormat="false" ht="15" hidden="false" customHeight="false" outlineLevel="0" collapsed="false">
      <c r="A34" s="6" t="s">
        <v>647</v>
      </c>
      <c r="B34" s="9" t="s">
        <v>658</v>
      </c>
      <c r="C34" s="9" t="s">
        <v>524</v>
      </c>
      <c r="D34" s="6" t="s">
        <v>659</v>
      </c>
      <c r="E34" s="6" t="s">
        <v>651</v>
      </c>
      <c r="F34" s="6" t="s">
        <v>660</v>
      </c>
      <c r="G34" s="6" t="s">
        <v>661</v>
      </c>
      <c r="H34" s="6" t="s">
        <v>662</v>
      </c>
    </row>
    <row r="35" customFormat="false" ht="15" hidden="false" customHeight="false" outlineLevel="0" collapsed="false">
      <c r="A35" s="25" t="s">
        <v>654</v>
      </c>
      <c r="B35" s="25" t="s">
        <v>512</v>
      </c>
      <c r="C35" s="26" t="n">
        <f aca="false">PL!E17</f>
        <v>1722.72756281021</v>
      </c>
      <c r="D35" s="25" t="str">
        <f aca="false">"規則值："&amp;D30</f>
        <v>規則值：中段</v>
      </c>
      <c r="E35" s="27" t="n">
        <f aca="false">E30</f>
        <v>28.1101671642479</v>
      </c>
      <c r="F35" s="26" t="n">
        <f aca="false">C35*E35</f>
        <v>48426.1597690523</v>
      </c>
      <c r="G35" s="28" t="n">
        <f aca="false">F35/px-1</f>
        <v>-0.0547304358959141</v>
      </c>
      <c r="H35" s="25"/>
    </row>
    <row r="36" customFormat="false" ht="15" hidden="false" customHeight="false" outlineLevel="0" collapsed="false">
      <c r="A36" s="0" t="s">
        <v>654</v>
      </c>
      <c r="B36" s="0" t="s">
        <v>512</v>
      </c>
      <c r="C36" s="21" t="n">
        <f aca="false">PL!E17</f>
        <v>1722.72756281021</v>
      </c>
      <c r="D36" s="5" t="s">
        <v>663</v>
      </c>
      <c r="E36" s="20" t="n">
        <f aca="false">pe_peak</f>
        <v>19.6044878684464</v>
      </c>
      <c r="F36" s="21" t="n">
        <f aca="false">C36*E36</f>
        <v>33773.191605751</v>
      </c>
      <c r="G36" s="22" t="n">
        <f aca="false">F36/px-1</f>
        <v>-0.340753628620906</v>
      </c>
    </row>
    <row r="37" customFormat="false" ht="15" hidden="false" customHeight="false" outlineLevel="0" collapsed="false">
      <c r="A37" s="0" t="s">
        <v>654</v>
      </c>
      <c r="B37" s="0" t="s">
        <v>512</v>
      </c>
      <c r="C37" s="21" t="n">
        <f aca="false">PL!E17</f>
        <v>1722.72756281021</v>
      </c>
      <c r="D37" s="5" t="s">
        <v>664</v>
      </c>
      <c r="E37" s="20" t="n">
        <f aca="false">pe_mid</f>
        <v>28.1101671642479</v>
      </c>
      <c r="F37" s="21" t="n">
        <f aca="false">C37*E37</f>
        <v>48426.1597690523</v>
      </c>
      <c r="G37" s="22" t="n">
        <f aca="false">F37/px-1</f>
        <v>-0.0547304358959141</v>
      </c>
    </row>
    <row r="38" customFormat="false" ht="15" hidden="false" customHeight="false" outlineLevel="0" collapsed="false">
      <c r="A38" s="0" t="s">
        <v>654</v>
      </c>
      <c r="B38" s="0" t="s">
        <v>512</v>
      </c>
      <c r="C38" s="21" t="n">
        <f aca="false">PL!E17</f>
        <v>1722.72756281021</v>
      </c>
      <c r="D38" s="5" t="s">
        <v>665</v>
      </c>
      <c r="E38" s="20" t="n">
        <f aca="false">pe_trough</f>
        <v>36.445580183622</v>
      </c>
      <c r="F38" s="21" t="n">
        <f aca="false">C38*E38</f>
        <v>62785.8055249352</v>
      </c>
      <c r="G38" s="22" t="n">
        <f aca="false">F38/px-1</f>
        <v>0.225567158402014</v>
      </c>
    </row>
    <row r="39" customFormat="false" ht="15" hidden="false" customHeight="false" outlineLevel="0" collapsed="false">
      <c r="A39" s="0" t="s">
        <v>654</v>
      </c>
      <c r="B39" s="0" t="s">
        <v>513</v>
      </c>
      <c r="C39" s="21" t="n">
        <f aca="false">PL!F17</f>
        <v>1850.75788466196</v>
      </c>
      <c r="D39" s="5" t="s">
        <v>666</v>
      </c>
      <c r="E39" s="20" t="n">
        <f aca="false">pe_mid</f>
        <v>28.1101671642479</v>
      </c>
      <c r="F39" s="21" t="n">
        <f aca="false">C39*E39</f>
        <v>52025.1135183974</v>
      </c>
      <c r="G39" s="22" t="n">
        <f aca="false">F39/px-1</f>
        <v>0.0155204668826343</v>
      </c>
    </row>
    <row r="40" customFormat="false" ht="15" hidden="false" customHeight="false" outlineLevel="0" collapsed="false">
      <c r="A40" s="25" t="s">
        <v>655</v>
      </c>
      <c r="B40" s="25" t="s">
        <v>512</v>
      </c>
      <c r="C40" s="26" t="n">
        <f aca="false">PL!E35</f>
        <v>1587.94285709707</v>
      </c>
      <c r="D40" s="25" t="str">
        <f aca="false">"規則值："&amp;D31</f>
        <v>規則值：中段</v>
      </c>
      <c r="E40" s="27" t="n">
        <f aca="false">E31</f>
        <v>28.1101671642479</v>
      </c>
      <c r="F40" s="26" t="n">
        <f aca="false">C40*E40</f>
        <v>44637.339160272</v>
      </c>
      <c r="G40" s="28" t="n">
        <f aca="false">F40/px-1</f>
        <v>-0.12868750419145</v>
      </c>
      <c r="H40" s="25"/>
    </row>
    <row r="41" customFormat="false" ht="15" hidden="false" customHeight="false" outlineLevel="0" collapsed="false">
      <c r="A41" s="0" t="s">
        <v>655</v>
      </c>
      <c r="B41" s="0" t="s">
        <v>512</v>
      </c>
      <c r="C41" s="21" t="n">
        <f aca="false">PL!E35</f>
        <v>1587.94285709707</v>
      </c>
      <c r="D41" s="5" t="s">
        <v>663</v>
      </c>
      <c r="E41" s="20" t="n">
        <f aca="false">pe_peak</f>
        <v>19.6044878684464</v>
      </c>
      <c r="F41" s="21" t="n">
        <f aca="false">C41*E41</f>
        <v>31130.8064777456</v>
      </c>
      <c r="G41" s="22" t="n">
        <f aca="false">F41/px-1</f>
        <v>-0.39233249116249</v>
      </c>
    </row>
    <row r="42" customFormat="false" ht="15" hidden="false" customHeight="false" outlineLevel="0" collapsed="false">
      <c r="A42" s="0" t="s">
        <v>655</v>
      </c>
      <c r="B42" s="0" t="s">
        <v>512</v>
      </c>
      <c r="C42" s="21" t="n">
        <f aca="false">PL!E35</f>
        <v>1587.94285709707</v>
      </c>
      <c r="D42" s="5" t="s">
        <v>664</v>
      </c>
      <c r="E42" s="20" t="n">
        <f aca="false">pe_mid</f>
        <v>28.1101671642479</v>
      </c>
      <c r="F42" s="21" t="n">
        <f aca="false">C42*E42</f>
        <v>44637.339160272</v>
      </c>
      <c r="G42" s="22" t="n">
        <f aca="false">F42/px-1</f>
        <v>-0.12868750419145</v>
      </c>
    </row>
    <row r="43" customFormat="false" ht="15" hidden="false" customHeight="false" outlineLevel="0" collapsed="false">
      <c r="A43" s="0" t="s">
        <v>655</v>
      </c>
      <c r="B43" s="0" t="s">
        <v>512</v>
      </c>
      <c r="C43" s="21" t="n">
        <f aca="false">PL!E35</f>
        <v>1587.94285709707</v>
      </c>
      <c r="D43" s="5" t="s">
        <v>665</v>
      </c>
      <c r="E43" s="20" t="n">
        <f aca="false">pe_trough</f>
        <v>36.445580183622</v>
      </c>
      <c r="F43" s="21" t="n">
        <f aca="false">C43*E43</f>
        <v>57873.4987253411</v>
      </c>
      <c r="G43" s="22" t="n">
        <f aca="false">F43/px-1</f>
        <v>0.129679850192096</v>
      </c>
    </row>
    <row r="44" customFormat="false" ht="15" hidden="false" customHeight="false" outlineLevel="0" collapsed="false">
      <c r="A44" s="0" t="s">
        <v>655</v>
      </c>
      <c r="B44" s="0" t="s">
        <v>513</v>
      </c>
      <c r="C44" s="21" t="n">
        <f aca="false">PL!F35</f>
        <v>1745.0547484129</v>
      </c>
      <c r="D44" s="5" t="s">
        <v>666</v>
      </c>
      <c r="E44" s="20" t="n">
        <f aca="false">pe_mid</f>
        <v>28.1101671642479</v>
      </c>
      <c r="F44" s="21" t="n">
        <f aca="false">C44*E44</f>
        <v>49053.7806886511</v>
      </c>
      <c r="G44" s="22" t="n">
        <f aca="false">F44/px-1</f>
        <v>-0.0424793931553557</v>
      </c>
    </row>
    <row r="45" customFormat="false" ht="15" hidden="false" customHeight="false" outlineLevel="0" collapsed="false">
      <c r="A45" s="25" t="s">
        <v>656</v>
      </c>
      <c r="B45" s="25" t="s">
        <v>512</v>
      </c>
      <c r="C45" s="26" t="n">
        <f aca="false">PL!E53</f>
        <v>1416.69436773834</v>
      </c>
      <c r="D45" s="25" t="str">
        <f aca="false">"規則值："&amp;D32</f>
        <v>規則值：見頂</v>
      </c>
      <c r="E45" s="27" t="n">
        <f aca="false">E32</f>
        <v>19.6044878684464</v>
      </c>
      <c r="F45" s="26" t="n">
        <f aca="false">C45*E45</f>
        <v>27773.5675456227</v>
      </c>
      <c r="G45" s="28" t="n">
        <f aca="false">F45/px-1</f>
        <v>-0.457865166003852</v>
      </c>
      <c r="H45" s="25"/>
    </row>
    <row r="46" customFormat="false" ht="15" hidden="false" customHeight="false" outlineLevel="0" collapsed="false">
      <c r="A46" s="0" t="s">
        <v>656</v>
      </c>
      <c r="B46" s="0" t="s">
        <v>512</v>
      </c>
      <c r="C46" s="21" t="n">
        <f aca="false">PL!E53</f>
        <v>1416.69436773834</v>
      </c>
      <c r="D46" s="5" t="s">
        <v>663</v>
      </c>
      <c r="E46" s="20" t="n">
        <f aca="false">pe_peak</f>
        <v>19.6044878684464</v>
      </c>
      <c r="F46" s="21" t="n">
        <f aca="false">C46*E46</f>
        <v>27773.5675456227</v>
      </c>
      <c r="G46" s="22" t="n">
        <f aca="false">F46/px-1</f>
        <v>-0.457865166003852</v>
      </c>
    </row>
    <row r="47" customFormat="false" ht="15" hidden="false" customHeight="false" outlineLevel="0" collapsed="false">
      <c r="A47" s="0" t="s">
        <v>656</v>
      </c>
      <c r="B47" s="0" t="s">
        <v>512</v>
      </c>
      <c r="C47" s="21" t="n">
        <f aca="false">PL!E53</f>
        <v>1416.69436773834</v>
      </c>
      <c r="D47" s="5" t="s">
        <v>664</v>
      </c>
      <c r="E47" s="20" t="n">
        <f aca="false">pe_mid</f>
        <v>28.1101671642479</v>
      </c>
      <c r="F47" s="21" t="n">
        <f aca="false">C47*E47</f>
        <v>39823.5154977732</v>
      </c>
      <c r="G47" s="22" t="n">
        <f aca="false">F47/px-1</f>
        <v>-0.222652440020042</v>
      </c>
    </row>
    <row r="48" customFormat="false" ht="15" hidden="false" customHeight="false" outlineLevel="0" collapsed="false">
      <c r="A48" s="0" t="s">
        <v>656</v>
      </c>
      <c r="B48" s="0" t="s">
        <v>512</v>
      </c>
      <c r="C48" s="21" t="n">
        <f aca="false">PL!E53</f>
        <v>1416.69436773834</v>
      </c>
      <c r="D48" s="5" t="s">
        <v>665</v>
      </c>
      <c r="E48" s="20" t="n">
        <f aca="false">pe_trough</f>
        <v>36.445580183622</v>
      </c>
      <c r="F48" s="21" t="n">
        <f aca="false">C48*E48</f>
        <v>51632.2481750934</v>
      </c>
      <c r="G48" s="22" t="n">
        <f aca="false">F48/px-1</f>
        <v>0.0078518090004569</v>
      </c>
    </row>
    <row r="49" customFormat="false" ht="15" hidden="false" customHeight="false" outlineLevel="0" collapsed="false">
      <c r="A49" s="0" t="s">
        <v>656</v>
      </c>
      <c r="B49" s="0" t="s">
        <v>513</v>
      </c>
      <c r="C49" s="21" t="n">
        <f aca="false">PL!F53</f>
        <v>1326.41980096064</v>
      </c>
      <c r="D49" s="5" t="s">
        <v>666</v>
      </c>
      <c r="E49" s="20" t="n">
        <f aca="false">pe_mid</f>
        <v>28.1101671642479</v>
      </c>
      <c r="F49" s="21" t="n">
        <f aca="false">C49*E49</f>
        <v>37285.8823349719</v>
      </c>
      <c r="G49" s="22" t="n">
        <f aca="false">F49/px-1</f>
        <v>-0.272186563830335</v>
      </c>
    </row>
    <row r="51" customFormat="false" ht="15" hidden="false" customHeight="false" outlineLevel="0" collapsed="false">
      <c r="A51" s="1" t="s">
        <v>667</v>
      </c>
    </row>
    <row r="52" customFormat="false" ht="15" hidden="false" customHeight="false" outlineLevel="0" collapsed="false">
      <c r="A52" s="6" t="s">
        <v>22</v>
      </c>
      <c r="B52" s="6" t="s">
        <v>668</v>
      </c>
      <c r="C52" s="6" t="s">
        <v>662</v>
      </c>
    </row>
    <row r="53" customFormat="false" ht="15" hidden="false" customHeight="false" outlineLevel="0" collapsed="false">
      <c r="A53" s="5" t="s">
        <v>669</v>
      </c>
      <c r="B53" s="21" t="n">
        <f aca="false">px</f>
        <v>51230</v>
      </c>
      <c r="C53" s="8" t="s">
        <v>670</v>
      </c>
    </row>
    <row r="54" customFormat="false" ht="15" hidden="false" customHeight="false" outlineLevel="0" collapsed="false">
      <c r="A54" s="0" t="s">
        <v>671</v>
      </c>
      <c r="B54" s="20" t="n">
        <f aca="false">px/a25_eps</f>
        <v>40.9892466235678</v>
      </c>
      <c r="C54" s="5" t="s">
        <v>672</v>
      </c>
    </row>
    <row r="55" customFormat="false" ht="15" hidden="false" customHeight="false" outlineLevel="0" collapsed="false">
      <c r="A55" s="0" t="s">
        <v>673</v>
      </c>
      <c r="B55" s="20" t="n">
        <f aca="false">px/(a25_eps-515.7+q26h1_eps)</f>
        <v>34.732674341347</v>
      </c>
      <c r="C55" s="5" t="s">
        <v>674</v>
      </c>
    </row>
    <row r="56" customFormat="false" ht="15" hidden="false" customHeight="false" outlineLevel="0" collapsed="false">
      <c r="A56" s="0" t="s">
        <v>675</v>
      </c>
      <c r="B56" s="20" t="n">
        <f aca="false">sa_ttm</f>
        <v>39.95</v>
      </c>
      <c r="C56" s="5" t="s">
        <v>676</v>
      </c>
    </row>
    <row r="57" customFormat="false" ht="15" hidden="false" customHeight="false" outlineLevel="0" collapsed="false">
      <c r="A57" s="5" t="s">
        <v>677</v>
      </c>
      <c r="B57" s="20" t="n">
        <f aca="false">sa_fpe</f>
        <v>28.33</v>
      </c>
      <c r="C57" s="5" t="s">
        <v>678</v>
      </c>
    </row>
    <row r="58" customFormat="false" ht="15" hidden="false" customHeight="false" outlineLevel="0" collapsed="false">
      <c r="A58" s="5" t="s">
        <v>679</v>
      </c>
      <c r="B58" s="20" t="n">
        <f aca="false">px/PL!D17</f>
        <v>33.0882114929171</v>
      </c>
    </row>
    <row r="59" customFormat="false" ht="15" hidden="false" customHeight="false" outlineLevel="0" collapsed="false">
      <c r="A59" s="5" t="s">
        <v>680</v>
      </c>
      <c r="B59" s="20" t="n">
        <f aca="false">px/PL!E17</f>
        <v>29.7377258632995</v>
      </c>
      <c r="C59" s="8" t="s">
        <v>681</v>
      </c>
      <c r="D59" s="20" t="n">
        <f aca="false">px/PL!E35</f>
        <v>32.261866206983</v>
      </c>
      <c r="E59" s="20" t="n">
        <f aca="false">px/PL!E53</f>
        <v>36.1616458472869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70"/>
  </cols>
  <sheetData>
    <row r="1" customFormat="false" ht="15" hidden="false" customHeight="false" outlineLevel="0" collapsed="false">
      <c r="A1" s="0" t="s">
        <v>682</v>
      </c>
    </row>
    <row r="3" customFormat="false" ht="15" hidden="false" customHeight="false" outlineLevel="0" collapsed="false">
      <c r="A3" s="6" t="s">
        <v>22</v>
      </c>
      <c r="B3" s="6" t="s">
        <v>683</v>
      </c>
      <c r="C3" s="6" t="s">
        <v>684</v>
      </c>
      <c r="D3" s="6" t="s">
        <v>685</v>
      </c>
      <c r="E3" s="6" t="s">
        <v>686</v>
      </c>
      <c r="F3" s="6" t="s">
        <v>687</v>
      </c>
      <c r="G3" s="6" t="s">
        <v>688</v>
      </c>
      <c r="H3" s="6" t="s">
        <v>689</v>
      </c>
      <c r="I3" s="6" t="s">
        <v>690</v>
      </c>
      <c r="J3" s="6" t="s">
        <v>515</v>
      </c>
    </row>
    <row r="4" customFormat="false" ht="15" hidden="false" customHeight="false" outlineLevel="0" collapsed="false">
      <c r="A4" s="1" t="s">
        <v>691</v>
      </c>
    </row>
    <row r="5" customFormat="false" ht="15" hidden="false" customHeight="false" outlineLevel="0" collapsed="false">
      <c r="A5" s="0" t="s">
        <v>692</v>
      </c>
      <c r="B5" s="11" t="n">
        <f aca="false">q26h1_rev+g3_rev+g3_rev*(1+g_q4)</f>
        <v>535.1862</v>
      </c>
      <c r="C5" s="11" t="n">
        <f aca="false">PL!D5</f>
        <v>535.1862</v>
      </c>
      <c r="D5" s="14" t="n">
        <f aca="false">C5/B5-1</f>
        <v>0</v>
      </c>
      <c r="E5" s="11" t="n">
        <f aca="false">PL!D23</f>
        <v>535.1862</v>
      </c>
      <c r="F5" s="14" t="n">
        <f aca="false">E5/B5-1</f>
        <v>0</v>
      </c>
      <c r="G5" s="11" t="n">
        <f aca="false">PL!D41</f>
        <v>535.1862</v>
      </c>
      <c r="H5" s="14" t="n">
        <f aca="false">G5/B5-1</f>
        <v>0</v>
      </c>
      <c r="I5" s="5" t="s">
        <v>693</v>
      </c>
      <c r="J5" s="8" t="s">
        <v>694</v>
      </c>
    </row>
    <row r="6" customFormat="false" ht="15" hidden="false" customHeight="false" outlineLevel="0" collapsed="false">
      <c r="A6" s="0" t="s">
        <v>695</v>
      </c>
      <c r="B6" s="11" t="n">
        <f aca="false">q26h1_oi+g3_oi+g3_rev*(1+g_q4)*m_q4</f>
        <v>238.5671</v>
      </c>
      <c r="C6" s="11" t="n">
        <f aca="false">PL!D14</f>
        <v>238.5671</v>
      </c>
      <c r="D6" s="14" t="n">
        <f aca="false">C6/B6-1</f>
        <v>0</v>
      </c>
      <c r="E6" s="11" t="n">
        <f aca="false">PL!D32</f>
        <v>238.5671</v>
      </c>
      <c r="F6" s="14" t="n">
        <f aca="false">E6/B6-1</f>
        <v>0</v>
      </c>
      <c r="G6" s="11" t="n">
        <f aca="false">PL!D50</f>
        <v>238.5671</v>
      </c>
      <c r="H6" s="14" t="n">
        <f aca="false">G6/B6-1</f>
        <v>0</v>
      </c>
      <c r="I6" s="5" t="s">
        <v>105</v>
      </c>
    </row>
    <row r="7" customFormat="false" ht="15" hidden="false" customHeight="false" outlineLevel="0" collapsed="false">
      <c r="A7" s="5" t="s">
        <v>696</v>
      </c>
      <c r="B7" s="11" t="n">
        <f aca="false">g3_rev</f>
        <v>132.442</v>
      </c>
      <c r="C7" s="11" t="n">
        <f aca="false">(PL!D5-q26h1_rev)/2</f>
        <v>139.0641</v>
      </c>
      <c r="D7" s="14" t="n">
        <f aca="false">C7/B7-1</f>
        <v>0.0499999999999994</v>
      </c>
      <c r="E7" s="11" t="n">
        <f aca="false">(PL!D23-q26h1_rev)/2</f>
        <v>139.0641</v>
      </c>
      <c r="F7" s="14" t="n">
        <f aca="false">E7/B7-1</f>
        <v>0.0499999999999998</v>
      </c>
      <c r="G7" s="11" t="n">
        <f aca="false">(PL!D41-q26h1_rev)/2</f>
        <v>139.0641</v>
      </c>
      <c r="H7" s="14" t="n">
        <f aca="false">G7/B7-1</f>
        <v>0.0499999999999998</v>
      </c>
      <c r="I7" s="5" t="s">
        <v>697</v>
      </c>
      <c r="J7" s="8" t="s">
        <v>698</v>
      </c>
    </row>
    <row r="8" customFormat="false" ht="15" hidden="false" customHeight="false" outlineLevel="0" collapsed="false">
      <c r="A8" s="0" t="s">
        <v>699</v>
      </c>
      <c r="B8" s="14" t="n">
        <f aca="false">q26h1_oi/q26h1_rev</f>
        <v>0.453745847240701</v>
      </c>
      <c r="C8" s="14" t="n">
        <f aca="false">PL!D15</f>
        <v>0.445764670314743</v>
      </c>
      <c r="D8" s="14" t="n">
        <f aca="false">C8-B8</f>
        <v>-0.00798117692595768</v>
      </c>
      <c r="E8" s="14" t="n">
        <f aca="false">PL!D33</f>
        <v>0.445764670314743</v>
      </c>
      <c r="F8" s="14" t="n">
        <f aca="false">E8-B8</f>
        <v>-0.00798117692595779</v>
      </c>
      <c r="G8" s="14" t="n">
        <f aca="false">PL!D51</f>
        <v>0.445764670314743</v>
      </c>
      <c r="H8" s="14" t="n">
        <f aca="false">G8-B8</f>
        <v>-0.00798117692595779</v>
      </c>
      <c r="I8" s="5" t="s">
        <v>700</v>
      </c>
      <c r="J8" s="5" t="s">
        <v>701</v>
      </c>
    </row>
    <row r="9" customFormat="false" ht="15" hidden="false" customHeight="false" outlineLevel="0" collapsed="false">
      <c r="A9" s="0" t="s">
        <v>702</v>
      </c>
      <c r="B9" s="14" t="n">
        <f aca="false">q26h1_gp/q26h1_rev</f>
        <v>0.715468882509006</v>
      </c>
      <c r="C9" s="14" t="n">
        <f aca="false">PL!D13</f>
        <v>0.70639056761927</v>
      </c>
      <c r="D9" s="14" t="n">
        <f aca="false">C9-B9</f>
        <v>-0.00907831488973587</v>
      </c>
      <c r="E9" s="14" t="n">
        <f aca="false">PL!D31</f>
        <v>0.70639056761927</v>
      </c>
      <c r="F9" s="14" t="n">
        <f aca="false">E9-B9</f>
        <v>-0.00907831488973598</v>
      </c>
      <c r="G9" s="14" t="n">
        <f aca="false">PL!D49</f>
        <v>0.70639056761927</v>
      </c>
      <c r="H9" s="14" t="n">
        <f aca="false">G9-B9</f>
        <v>-0.00907831488973598</v>
      </c>
      <c r="I9" s="5" t="s">
        <v>703</v>
      </c>
      <c r="J9" s="5" t="s">
        <v>704</v>
      </c>
    </row>
    <row r="10" customFormat="false" ht="15" hidden="false" customHeight="false" outlineLevel="0" collapsed="false">
      <c r="A10" s="0" t="s">
        <v>705</v>
      </c>
      <c r="B10" s="11" t="n">
        <f aca="false">q26h1_eps*2</f>
        <v>1481.68</v>
      </c>
      <c r="C10" s="11" t="n">
        <f aca="false">PL!D17</f>
        <v>1548.28555816522</v>
      </c>
      <c r="D10" s="14" t="n">
        <f aca="false">C10/B10-1</f>
        <v>0.0449527280959599</v>
      </c>
      <c r="E10" s="11" t="n">
        <f aca="false">PL!D35</f>
        <v>1548.28555816522</v>
      </c>
      <c r="F10" s="14" t="n">
        <f aca="false">E10/B10-1</f>
        <v>0.0449527280959599</v>
      </c>
      <c r="G10" s="11" t="n">
        <f aca="false">PL!D53</f>
        <v>1548.28555816522</v>
      </c>
      <c r="H10" s="14" t="n">
        <f aca="false">G10/B10-1</f>
        <v>0.0449527280959599</v>
      </c>
      <c r="I10" s="5" t="s">
        <v>706</v>
      </c>
    </row>
    <row r="11" customFormat="false" ht="15" hidden="false" customHeight="false" outlineLevel="0" collapsed="false">
      <c r="A11" s="1" t="s">
        <v>707</v>
      </c>
    </row>
    <row r="12" customFormat="false" ht="15" hidden="false" customHeight="false" outlineLevel="0" collapsed="false">
      <c r="A12" s="5" t="s">
        <v>708</v>
      </c>
      <c r="B12" s="11" t="n">
        <f aca="false">PL!D98</f>
        <v>535.1862</v>
      </c>
      <c r="C12" s="11" t="n">
        <f aca="false">PL!D95</f>
        <v>507.306541711218</v>
      </c>
      <c r="D12" s="14" t="n">
        <f aca="false">C12/B12-1</f>
        <v>-0.0520933803763661</v>
      </c>
      <c r="E12" s="11" t="n">
        <f aca="false">PL!D156</f>
        <v>496.46158729649</v>
      </c>
      <c r="F12" s="14" t="n">
        <f aca="false">E12/B12-1</f>
        <v>-0.0723572706163016</v>
      </c>
      <c r="G12" s="11" t="n">
        <f aca="false">PL!D217</f>
        <v>487.176844647704</v>
      </c>
      <c r="H12" s="14" t="n">
        <f aca="false">G12/B12-1</f>
        <v>-0.0897058918041904</v>
      </c>
      <c r="I12" s="8" t="s">
        <v>709</v>
      </c>
      <c r="J12" s="5" t="s">
        <v>710</v>
      </c>
    </row>
    <row r="13" customFormat="false" ht="15" hidden="false" customHeight="false" outlineLevel="0" collapsed="false">
      <c r="A13" s="5" t="s">
        <v>711</v>
      </c>
      <c r="B13" s="11" t="n">
        <f aca="false">PL!D100</f>
        <v>238.5671</v>
      </c>
      <c r="C13" s="11" t="n">
        <f aca="false">PL!D127</f>
        <v>228.837746398039</v>
      </c>
      <c r="D13" s="14" t="n">
        <f aca="false">C13/B13-1</f>
        <v>-0.0407824616301274</v>
      </c>
      <c r="E13" s="11" t="n">
        <f aca="false">PL!D188</f>
        <v>222.550958911852</v>
      </c>
      <c r="F13" s="14" t="n">
        <f aca="false">E13/B13-1</f>
        <v>-0.0671347435926746</v>
      </c>
      <c r="G13" s="11" t="n">
        <f aca="false">PL!D249</f>
        <v>217.190026131945</v>
      </c>
      <c r="H13" s="14" t="n">
        <f aca="false">G13/B13-1</f>
        <v>-0.0896061270311576</v>
      </c>
      <c r="I13" s="5" t="s">
        <v>105</v>
      </c>
    </row>
    <row r="14" customFormat="false" ht="15" hidden="false" customHeight="false" outlineLevel="0" collapsed="false">
      <c r="A14" s="5" t="s">
        <v>712</v>
      </c>
      <c r="B14" s="11" t="n">
        <f aca="false">PL!D123</f>
        <v>1548.28555816522</v>
      </c>
      <c r="C14" s="11" t="n">
        <f aca="false">PL!D128</f>
        <v>1545.37951653183</v>
      </c>
      <c r="D14" s="14" t="n">
        <f aca="false">C14/B14-1</f>
        <v>-0.00187694163913699</v>
      </c>
      <c r="E14" s="11" t="n">
        <f aca="false">PL!D189</f>
        <v>1502.92379076601</v>
      </c>
      <c r="F14" s="14" t="n">
        <f aca="false">E14/B14-1</f>
        <v>-0.0292980627249183</v>
      </c>
      <c r="G14" s="11" t="n">
        <f aca="false">PL!D250</f>
        <v>1466.72051644622</v>
      </c>
      <c r="H14" s="14" t="n">
        <f aca="false">G14/B14-1</f>
        <v>-0.0526808774317212</v>
      </c>
      <c r="I14" s="5" t="s">
        <v>105</v>
      </c>
    </row>
    <row r="15" customFormat="false" ht="15" hidden="false" customHeight="false" outlineLevel="0" collapsed="false">
      <c r="A15" s="5" t="s">
        <v>713</v>
      </c>
      <c r="B15" s="11" t="n">
        <f aca="false">g3_rev</f>
        <v>132.442</v>
      </c>
      <c r="C15" s="11" t="n">
        <f aca="false">(PL!D95-q26h1_rev)/2</f>
        <v>125.124270855609</v>
      </c>
      <c r="D15" s="14" t="n">
        <f aca="false">C15/B15-1</f>
        <v>-0.0552523304117349</v>
      </c>
      <c r="E15" s="11" t="n">
        <f aca="false">(PL!D156-q26h1_rev)/2</f>
        <v>119.701793648245</v>
      </c>
      <c r="F15" s="14" t="n">
        <f aca="false">E15/B15-1</f>
        <v>-0.0961946085966314</v>
      </c>
      <c r="G15" s="11" t="n">
        <f aca="false">(PL!D217-q26h1_rev)/2</f>
        <v>115.059422323852</v>
      </c>
      <c r="H15" s="14" t="n">
        <f aca="false">G15/B15-1</f>
        <v>-0.131246716873408</v>
      </c>
      <c r="I15" s="5" t="s">
        <v>697</v>
      </c>
      <c r="J15" s="5" t="s">
        <v>714</v>
      </c>
    </row>
    <row r="16" customFormat="false" ht="15" hidden="false" customHeight="false" outlineLevel="0" collapsed="false">
      <c r="A16" s="1" t="s">
        <v>715</v>
      </c>
    </row>
    <row r="17" customFormat="false" ht="15" hidden="false" customHeight="false" outlineLevel="0" collapsed="false">
      <c r="A17" s="5" t="s">
        <v>716</v>
      </c>
      <c r="B17" s="11" t="n">
        <f aca="false">cons_rev26</f>
        <v>564.96</v>
      </c>
      <c r="C17" s="11" t="n">
        <f aca="false">PL!D5</f>
        <v>535.1862</v>
      </c>
      <c r="D17" s="14" t="n">
        <f aca="false">C17/B17-1</f>
        <v>-0.0527007221750215</v>
      </c>
      <c r="E17" s="11" t="n">
        <f aca="false">PL!D23</f>
        <v>535.1862</v>
      </c>
      <c r="F17" s="14" t="n">
        <f aca="false">E17/B17-1</f>
        <v>-0.0527007221750213</v>
      </c>
      <c r="G17" s="11" t="n">
        <f aca="false">PL!D41</f>
        <v>535.1862</v>
      </c>
      <c r="H17" s="14" t="n">
        <f aca="false">G17/B17-1</f>
        <v>-0.0527007221750213</v>
      </c>
      <c r="I17" s="8" t="s">
        <v>717</v>
      </c>
      <c r="J17" s="5" t="s">
        <v>718</v>
      </c>
    </row>
    <row r="18" customFormat="false" ht="15" hidden="false" customHeight="false" outlineLevel="0" collapsed="false">
      <c r="A18" s="5" t="s">
        <v>719</v>
      </c>
      <c r="B18" s="11" t="n">
        <v>550</v>
      </c>
      <c r="C18" s="11" t="n">
        <f aca="false">PL!D5</f>
        <v>535.1862</v>
      </c>
      <c r="D18" s="14" t="n">
        <f aca="false">C18/B18-1</f>
        <v>-0.0269341818181821</v>
      </c>
      <c r="E18" s="11" t="n">
        <f aca="false">PL!D23</f>
        <v>535.1862</v>
      </c>
      <c r="F18" s="14" t="n">
        <f aca="false">E18/B18-1</f>
        <v>-0.0269341818181819</v>
      </c>
      <c r="G18" s="11" t="n">
        <f aca="false">PL!D41</f>
        <v>535.1862</v>
      </c>
      <c r="H18" s="14" t="n">
        <f aca="false">G18/B18-1</f>
        <v>-0.0269341818181819</v>
      </c>
      <c r="I18" s="5" t="s">
        <v>720</v>
      </c>
    </row>
    <row r="19" customFormat="false" ht="15" hidden="false" customHeight="false" outlineLevel="0" collapsed="false">
      <c r="A19" s="5" t="s">
        <v>721</v>
      </c>
      <c r="B19" s="11" t="n">
        <f aca="false">cons_oi26</f>
        <v>240</v>
      </c>
      <c r="C19" s="11" t="n">
        <f aca="false">PL!D14</f>
        <v>238.5671</v>
      </c>
      <c r="D19" s="14" t="n">
        <f aca="false">C19/B19-1</f>
        <v>-0.00597041666666676</v>
      </c>
      <c r="E19" s="11" t="n">
        <f aca="false">PL!D32</f>
        <v>238.5671</v>
      </c>
      <c r="F19" s="14" t="n">
        <f aca="false">E19/B19-1</f>
        <v>-0.00597041666666676</v>
      </c>
      <c r="G19" s="11" t="n">
        <f aca="false">PL!D50</f>
        <v>238.5671</v>
      </c>
      <c r="H19" s="14" t="n">
        <f aca="false">G19/B19-1</f>
        <v>-0.00597041666666676</v>
      </c>
      <c r="I19" s="5" t="s">
        <v>722</v>
      </c>
    </row>
    <row r="20" customFormat="false" ht="15" hidden="false" customHeight="false" outlineLevel="0" collapsed="false">
      <c r="A20" s="0" t="s">
        <v>723</v>
      </c>
      <c r="B20" s="11" t="n">
        <f aca="false">cons_rev27</f>
        <v>640</v>
      </c>
      <c r="C20" s="11" t="n">
        <f aca="false">PL!E5</f>
        <v>558.964454965631</v>
      </c>
      <c r="D20" s="14" t="n">
        <f aca="false">C20/B20-1</f>
        <v>-0.126618039116201</v>
      </c>
      <c r="E20" s="11" t="n">
        <f aca="false">PL!E23</f>
        <v>524.505901171967</v>
      </c>
      <c r="F20" s="14" t="n">
        <f aca="false">E20/B20-1</f>
        <v>-0.180459529418801</v>
      </c>
      <c r="G20" s="11" t="n">
        <f aca="false">PL!E41</f>
        <v>480.073966054608</v>
      </c>
      <c r="H20" s="14" t="n">
        <f aca="false">G20/B20-1</f>
        <v>-0.249884428039675</v>
      </c>
      <c r="I20" s="5" t="s">
        <v>720</v>
      </c>
    </row>
    <row r="21" customFormat="false" ht="15" hidden="false" customHeight="false" outlineLevel="0" collapsed="false">
      <c r="A21" s="1" t="s">
        <v>724</v>
      </c>
    </row>
    <row r="22" customFormat="false" ht="15" hidden="false" customHeight="false" outlineLevel="0" collapsed="false">
      <c r="A22" s="5" t="s">
        <v>725</v>
      </c>
      <c r="B22" s="14" t="n">
        <f aca="false">semi_pk/semi_pk_lo-1</f>
        <v>0.0959999999999994</v>
      </c>
      <c r="C22" s="14" t="n">
        <f aca="false">PL!D8/PL!C8-1</f>
        <v>0.118253610699409</v>
      </c>
      <c r="D22" s="14" t="n">
        <f aca="false">C22-B22</f>
        <v>0.0222536106994098</v>
      </c>
      <c r="E22" s="14" t="n">
        <f aca="false">PL!D26/PL!C26-1</f>
        <v>0.142681300056366</v>
      </c>
      <c r="F22" s="14" t="n">
        <f aca="false">E22-B22</f>
        <v>0.0466813000563666</v>
      </c>
      <c r="G22" s="14" t="n">
        <f aca="false">PL!D44/PL!C44-1</f>
        <v>0.164458816613573</v>
      </c>
      <c r="H22" s="14" t="n">
        <f aca="false">G22-B22</f>
        <v>0.0684588166135736</v>
      </c>
      <c r="I22" s="8" t="s">
        <v>726</v>
      </c>
      <c r="J22" s="5" t="s">
        <v>727</v>
      </c>
    </row>
    <row r="23" customFormat="false" ht="15" hidden="false" customHeight="false" outlineLevel="0" collapsed="false">
      <c r="A23" s="0" t="s">
        <v>728</v>
      </c>
      <c r="C23" s="14" t="n">
        <f aca="false">PL!C11</f>
        <v>0.276884384673187</v>
      </c>
      <c r="J23" s="8" t="s">
        <v>729</v>
      </c>
    </row>
    <row r="24" customFormat="false" ht="15" hidden="false" customHeight="false" outlineLevel="0" collapsed="false">
      <c r="A24" s="0" t="s">
        <v>730</v>
      </c>
      <c r="C24" s="14" t="n">
        <f aca="false">PL!C12</f>
        <v>0.206829299394429</v>
      </c>
    </row>
    <row r="25" customFormat="false" ht="15" hidden="false" customHeight="false" outlineLevel="0" collapsed="false">
      <c r="A25" s="0" t="s">
        <v>731</v>
      </c>
      <c r="C25" s="14" t="n">
        <f aca="false">PL!E12</f>
        <v>0.194969094687784</v>
      </c>
      <c r="E25" s="14" t="n">
        <f aca="false">PL!E30</f>
        <v>0.14778960365649</v>
      </c>
      <c r="G25" s="14" t="n">
        <f aca="false">PL!E48</f>
        <v>0.0793958322161239</v>
      </c>
    </row>
    <row r="26" customFormat="false" ht="15" hidden="false" customHeight="false" outlineLevel="0" collapsed="false">
      <c r="A26" s="0" t="s">
        <v>732</v>
      </c>
      <c r="C26" s="14" t="n">
        <f aca="false">PL!E11</f>
        <v>0.333235522292211</v>
      </c>
      <c r="E26" s="14" t="n">
        <f aca="false">PL!E29</f>
        <v>0.28943098249302</v>
      </c>
      <c r="G26" s="14" t="n">
        <f aca="false">PL!E47</f>
        <v>0.223666207240274</v>
      </c>
    </row>
    <row r="27" customFormat="false" ht="15" hidden="false" customHeight="false" outlineLevel="0" collapsed="false">
      <c r="A27" s="5" t="s">
        <v>733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11" min="3" style="0" width="14"/>
  </cols>
  <sheetData>
    <row r="1" customFormat="false" ht="15" hidden="false" customHeight="false" outlineLevel="0" collapsed="false">
      <c r="A1" s="0" t="s">
        <v>734</v>
      </c>
    </row>
    <row r="3" customFormat="false" ht="15" hidden="false" customHeight="false" outlineLevel="0" collapsed="false">
      <c r="A3" s="6" t="s">
        <v>735</v>
      </c>
      <c r="B3" s="6" t="s">
        <v>736</v>
      </c>
      <c r="C3" s="9" t="s">
        <v>737</v>
      </c>
      <c r="D3" s="9" t="s">
        <v>738</v>
      </c>
      <c r="E3" s="6" t="s">
        <v>739</v>
      </c>
      <c r="F3" s="9" t="s">
        <v>740</v>
      </c>
      <c r="G3" s="9" t="s">
        <v>741</v>
      </c>
      <c r="H3" s="6" t="s">
        <v>739</v>
      </c>
      <c r="I3" s="9" t="s">
        <v>742</v>
      </c>
      <c r="J3" s="9" t="s">
        <v>743</v>
      </c>
      <c r="K3" s="6" t="s">
        <v>739</v>
      </c>
    </row>
    <row r="4" customFormat="false" ht="15" hidden="false" customHeight="false" outlineLevel="0" collapsed="false">
      <c r="A4" s="5" t="s">
        <v>744</v>
      </c>
      <c r="B4" s="0" t="s">
        <v>745</v>
      </c>
      <c r="C4" s="21" t="n">
        <f aca="false">PL!E114</f>
        <v>558.964454965631</v>
      </c>
      <c r="D4" s="21" t="n">
        <f aca="false">PL!E123</f>
        <v>1722.72756281021</v>
      </c>
      <c r="E4" s="14" t="n">
        <f aca="false">D4/D$4-1</f>
        <v>0</v>
      </c>
      <c r="F4" s="21" t="n">
        <f aca="false">PL!F114</f>
        <v>591.32139043343</v>
      </c>
      <c r="G4" s="21" t="n">
        <f aca="false">PL!F123</f>
        <v>1850.75788466196</v>
      </c>
      <c r="H4" s="14" t="n">
        <f aca="false">G4/G$4-1</f>
        <v>0</v>
      </c>
      <c r="I4" s="14" t="n">
        <f aca="false">PL!E115</f>
        <v>0.333235522292211</v>
      </c>
      <c r="J4" s="21" t="n">
        <f aca="false">PL!D123</f>
        <v>1548.28555816522</v>
      </c>
      <c r="K4" s="14" t="n">
        <f aca="false">J4/J$4-1</f>
        <v>0</v>
      </c>
    </row>
    <row r="5" customFormat="false" ht="15" hidden="false" customHeight="false" outlineLevel="0" collapsed="false">
      <c r="A5" s="5" t="s">
        <v>746</v>
      </c>
      <c r="B5" s="0" t="s">
        <v>747</v>
      </c>
      <c r="C5" s="21" t="n">
        <f aca="false">E124</f>
        <v>552.211915536099</v>
      </c>
      <c r="D5" s="21" t="n">
        <f aca="false">E133</f>
        <v>1696.18513992402</v>
      </c>
      <c r="E5" s="14" t="n">
        <f aca="false">D5/D$4-1</f>
        <v>-0.015407208579685</v>
      </c>
      <c r="F5" s="21" t="n">
        <f aca="false">F124</f>
        <v>579.803593641042</v>
      </c>
      <c r="G5" s="21" t="n">
        <f aca="false">F133</f>
        <v>1805.02663166112</v>
      </c>
      <c r="H5" s="14" t="n">
        <f aca="false">G5/G$4-1</f>
        <v>-0.0247094735512567</v>
      </c>
      <c r="I5" s="14" t="n">
        <f aca="false">E125</f>
        <v>0.322391447242647</v>
      </c>
      <c r="J5" s="21" t="n">
        <f aca="false">D133</f>
        <v>1548.28555816522</v>
      </c>
      <c r="K5" s="14" t="n">
        <f aca="false">J5/J$4-1</f>
        <v>0</v>
      </c>
    </row>
    <row r="6" customFormat="false" ht="15" hidden="false" customHeight="false" outlineLevel="0" collapsed="false">
      <c r="A6" s="5" t="s">
        <v>748</v>
      </c>
      <c r="B6" s="0" t="s">
        <v>749</v>
      </c>
      <c r="C6" s="21" t="n">
        <f aca="false">E194</f>
        <v>564.911526502954</v>
      </c>
      <c r="D6" s="21" t="n">
        <f aca="false">E203</f>
        <v>1746.15505500734</v>
      </c>
      <c r="E6" s="14" t="n">
        <f aca="false">D6/D$4-1</f>
        <v>0.0135990696978916</v>
      </c>
      <c r="F6" s="21" t="n">
        <f aca="false">F194</f>
        <v>601.42406362743</v>
      </c>
      <c r="G6" s="21" t="n">
        <f aca="false">F203</f>
        <v>1891.0102864283</v>
      </c>
      <c r="H6" s="14" t="n">
        <f aca="false">G6/G$4-1</f>
        <v>0.0217491450934426</v>
      </c>
      <c r="I6" s="14" t="n">
        <f aca="false">E195</f>
        <v>0.342518896598117</v>
      </c>
      <c r="J6" s="21" t="n">
        <f aca="false">D203</f>
        <v>1548.28555816522</v>
      </c>
      <c r="K6" s="14" t="n">
        <f aca="false">J6/J$4-1</f>
        <v>0</v>
      </c>
    </row>
    <row r="7" customFormat="false" ht="15" hidden="false" customHeight="false" outlineLevel="0" collapsed="false">
      <c r="A7" s="0" t="s">
        <v>750</v>
      </c>
      <c r="B7" s="0" t="s">
        <v>751</v>
      </c>
      <c r="C7" s="21" t="n">
        <f aca="false">E264</f>
        <v>560.819764491572</v>
      </c>
      <c r="D7" s="21" t="n">
        <f aca="false">E273</f>
        <v>1730.03112913824</v>
      </c>
      <c r="E7" s="14" t="n">
        <f aca="false">D7/D$4-1</f>
        <v>0.0042395364686203</v>
      </c>
      <c r="F7" s="21" t="n">
        <f aca="false">F264</f>
        <v>594.815375095546</v>
      </c>
      <c r="G7" s="21" t="n">
        <f aca="false">F273</f>
        <v>1864.66441648849</v>
      </c>
      <c r="H7" s="14" t="n">
        <f aca="false">G7/G$4-1</f>
        <v>0.00751396600375709</v>
      </c>
      <c r="I7" s="14" t="n">
        <f aca="false">E265</f>
        <v>0.312700699622292</v>
      </c>
      <c r="J7" s="21" t="n">
        <f aca="false">D273</f>
        <v>1548.28555816522</v>
      </c>
      <c r="K7" s="14" t="n">
        <f aca="false">J7/J$4-1</f>
        <v>0</v>
      </c>
    </row>
    <row r="8" customFormat="false" ht="15" hidden="false" customHeight="false" outlineLevel="0" collapsed="false">
      <c r="A8" s="0" t="s">
        <v>752</v>
      </c>
      <c r="B8" s="0" t="s">
        <v>753</v>
      </c>
      <c r="C8" s="21" t="n">
        <f aca="false">E334</f>
        <v>557.24358690061</v>
      </c>
      <c r="D8" s="21" t="n">
        <f aca="false">E343</f>
        <v>1715.95740077615</v>
      </c>
      <c r="E8" s="14" t="n">
        <f aca="false">D8/D$4-1</f>
        <v>-0.00392990869840115</v>
      </c>
      <c r="F8" s="21" t="n">
        <f aca="false">F334</f>
        <v>587.969861513842</v>
      </c>
      <c r="G8" s="21" t="n">
        <f aca="false">F343</f>
        <v>1837.43302481908</v>
      </c>
      <c r="H8" s="14" t="n">
        <f aca="false">G8/G$4-1</f>
        <v>-0.00719967746905548</v>
      </c>
      <c r="I8" s="14" t="n">
        <f aca="false">E335</f>
        <v>0.353821732726643</v>
      </c>
      <c r="J8" s="21" t="n">
        <f aca="false">D343</f>
        <v>1548.28555816522</v>
      </c>
      <c r="K8" s="14" t="n">
        <f aca="false">J8/J$4-1</f>
        <v>0</v>
      </c>
    </row>
    <row r="9" customFormat="false" ht="15" hidden="false" customHeight="false" outlineLevel="0" collapsed="false">
      <c r="A9" s="0" t="s">
        <v>754</v>
      </c>
      <c r="B9" s="0" t="s">
        <v>755</v>
      </c>
      <c r="C9" s="21" t="n">
        <f aca="false">E404</f>
        <v>558.071929350102</v>
      </c>
      <c r="D9" s="21" t="n">
        <f aca="false">E413</f>
        <v>1719.21572731145</v>
      </c>
      <c r="E9" s="14" t="n">
        <f aca="false">D9/D$4-1</f>
        <v>-0.00203853213622907</v>
      </c>
      <c r="F9" s="21" t="n">
        <f aca="false">F404</f>
        <v>590.280679330093</v>
      </c>
      <c r="G9" s="21" t="n">
        <f aca="false">F413</f>
        <v>1846.61872909041</v>
      </c>
      <c r="H9" s="14" t="n">
        <f aca="false">G9/G$4-1</f>
        <v>-0.00223646518318177</v>
      </c>
      <c r="I9" s="14" t="n">
        <f aca="false">E405</f>
        <v>0.333756381151656</v>
      </c>
      <c r="J9" s="21" t="n">
        <f aca="false">D413</f>
        <v>1548.28555816522</v>
      </c>
      <c r="K9" s="14" t="n">
        <f aca="false">J9/J$4-1</f>
        <v>0</v>
      </c>
    </row>
    <row r="10" customFormat="false" ht="15" hidden="false" customHeight="false" outlineLevel="0" collapsed="false">
      <c r="A10" s="0" t="s">
        <v>756</v>
      </c>
      <c r="B10" s="0" t="s">
        <v>757</v>
      </c>
      <c r="C10" s="21" t="n">
        <f aca="false">E474</f>
        <v>560.161075196531</v>
      </c>
      <c r="D10" s="21" t="n">
        <f aca="false">E483</f>
        <v>1727.43761633726</v>
      </c>
      <c r="E10" s="14" t="n">
        <f aca="false">D10/D$4-1</f>
        <v>0.00273406755004935</v>
      </c>
      <c r="F10" s="21" t="n">
        <f aca="false">F474</f>
        <v>592.715970050652</v>
      </c>
      <c r="G10" s="21" t="n">
        <f aca="false">F483</f>
        <v>1856.30663209155</v>
      </c>
      <c r="H10" s="14" t="n">
        <f aca="false">G10/G$4-1</f>
        <v>0.00299809471329682</v>
      </c>
      <c r="I10" s="14" t="n">
        <f aca="false">E475</f>
        <v>0.332539715895027</v>
      </c>
      <c r="J10" s="21" t="n">
        <f aca="false">D483</f>
        <v>1548.28555816522</v>
      </c>
      <c r="K10" s="14" t="n">
        <f aca="false">J10/J$4-1</f>
        <v>0</v>
      </c>
    </row>
    <row r="11" customFormat="false" ht="15" hidden="false" customHeight="false" outlineLevel="0" collapsed="false">
      <c r="A11" s="5" t="s">
        <v>758</v>
      </c>
      <c r="B11" s="5" t="s">
        <v>759</v>
      </c>
      <c r="C11" s="21" t="n">
        <f aca="false">E544</f>
        <v>557.807559600721</v>
      </c>
      <c r="D11" s="21" t="n">
        <f aca="false">E553</f>
        <v>1718.1757145049</v>
      </c>
      <c r="E11" s="14" t="n">
        <f aca="false">D11/D$4-1</f>
        <v>-0.00264223339985514</v>
      </c>
      <c r="F11" s="21" t="n">
        <f aca="false">F544</f>
        <v>588.665043933405</v>
      </c>
      <c r="G11" s="21" t="n">
        <f aca="false">F553</f>
        <v>1840.19571462534</v>
      </c>
      <c r="H11" s="14" t="n">
        <f aca="false">G11/G$4-1</f>
        <v>-0.00570694315239573</v>
      </c>
      <c r="I11" s="14" t="n">
        <f aca="false">E545</f>
        <v>0.331566316482295</v>
      </c>
      <c r="J11" s="21" t="n">
        <f aca="false">D553</f>
        <v>1548.28555816522</v>
      </c>
      <c r="K11" s="14" t="n">
        <f aca="false">J11/J$4-1</f>
        <v>0</v>
      </c>
    </row>
    <row r="12" customFormat="false" ht="15" hidden="false" customHeight="false" outlineLevel="0" collapsed="false">
      <c r="A12" s="5" t="s">
        <v>760</v>
      </c>
      <c r="B12" s="5" t="s">
        <v>761</v>
      </c>
      <c r="C12" s="21" t="n">
        <f aca="false">E614</f>
        <v>555.494179906596</v>
      </c>
      <c r="D12" s="21" t="n">
        <f aca="false">E623</f>
        <v>1709.07908425019</v>
      </c>
      <c r="E12" s="14" t="n">
        <f aca="false">D12/D$4-1</f>
        <v>-0.0079225983577762</v>
      </c>
      <c r="F12" s="21" t="n">
        <f aca="false">F614</f>
        <v>583.380796103581</v>
      </c>
      <c r="G12" s="21" t="n">
        <f aca="false">F623</f>
        <v>1819.21148782847</v>
      </c>
      <c r="H12" s="14" t="n">
        <f aca="false">G12/G$4-1</f>
        <v>-0.0170451235652849</v>
      </c>
      <c r="I12" s="14" t="n">
        <f aca="false">E615</f>
        <v>0.328206803845393</v>
      </c>
      <c r="J12" s="21" t="n">
        <f aca="false">D623</f>
        <v>1548.28555816522</v>
      </c>
      <c r="K12" s="14" t="n">
        <f aca="false">J12/J$4-1</f>
        <v>0</v>
      </c>
    </row>
    <row r="13" customFormat="false" ht="15" hidden="false" customHeight="false" outlineLevel="0" collapsed="false">
      <c r="A13" s="5" t="s">
        <v>762</v>
      </c>
      <c r="B13" s="5" t="s">
        <v>763</v>
      </c>
      <c r="C13" s="21" t="n">
        <f aca="false">E684</f>
        <v>561.278655851535</v>
      </c>
      <c r="D13" s="21" t="n">
        <f aca="false">E693</f>
        <v>1731.83830674502</v>
      </c>
      <c r="E13" s="14" t="n">
        <f aca="false">D13/D$4-1</f>
        <v>0.00528855759406666</v>
      </c>
      <c r="F13" s="21" t="n">
        <f aca="false">F684</f>
        <v>596.634517175811</v>
      </c>
      <c r="G13" s="21" t="n">
        <f aca="false">F693</f>
        <v>1871.91100196204</v>
      </c>
      <c r="H13" s="14" t="n">
        <f aca="false">G13/G$4-1</f>
        <v>0.0114294351926805</v>
      </c>
      <c r="I13" s="14" t="n">
        <f aca="false">E685</f>
        <v>0.336553044775228</v>
      </c>
      <c r="J13" s="21" t="n">
        <f aca="false">D693</f>
        <v>1548.28555816522</v>
      </c>
      <c r="K13" s="14" t="n">
        <f aca="false">J13/J$4-1</f>
        <v>0</v>
      </c>
    </row>
    <row r="14" customFormat="false" ht="15" hidden="false" customHeight="false" outlineLevel="0" collapsed="false">
      <c r="A14" s="5" t="s">
        <v>764</v>
      </c>
      <c r="B14" s="0" t="s">
        <v>765</v>
      </c>
      <c r="C14" s="21" t="n">
        <f aca="false">E754</f>
        <v>559.769852929674</v>
      </c>
      <c r="D14" s="21" t="n">
        <f aca="false">E763</f>
        <v>1725.89750136975</v>
      </c>
      <c r="E14" s="14" t="n">
        <f aca="false">D14/D$4-1</f>
        <v>0.00184006956640692</v>
      </c>
      <c r="F14" s="21" t="n">
        <f aca="false">F754</f>
        <v>592.458785552917</v>
      </c>
      <c r="G14" s="21" t="n">
        <f aca="false">F763</f>
        <v>1855.28316060823</v>
      </c>
      <c r="H14" s="14" t="n">
        <f aca="false">G14/G$4-1</f>
        <v>0.00244509343106225</v>
      </c>
      <c r="I14" s="14" t="n">
        <f aca="false">E755</f>
        <v>0.335013515716903</v>
      </c>
      <c r="J14" s="21" t="n">
        <f aca="false">D763</f>
        <v>1548.28555816522</v>
      </c>
      <c r="K14" s="14" t="n">
        <f aca="false">J14/J$4-1</f>
        <v>0</v>
      </c>
    </row>
    <row r="15" customFormat="false" ht="15" hidden="false" customHeight="false" outlineLevel="0" collapsed="false">
      <c r="A15" s="5" t="s">
        <v>766</v>
      </c>
      <c r="B15" s="0" t="s">
        <v>767</v>
      </c>
      <c r="C15" s="21" t="n">
        <f aca="false">E824</f>
        <v>568.445675540928</v>
      </c>
      <c r="D15" s="21" t="n">
        <f aca="false">E833</f>
        <v>1760.09971776471</v>
      </c>
      <c r="E15" s="14" t="n">
        <f aca="false">D15/D$4-1</f>
        <v>0.0216935955291382</v>
      </c>
      <c r="F15" s="21" t="n">
        <f aca="false">F824</f>
        <v>592.43948042983</v>
      </c>
      <c r="G15" s="21" t="n">
        <f aca="false">F833</f>
        <v>1855.20633884572</v>
      </c>
      <c r="H15" s="14" t="n">
        <f aca="false">G15/G$4-1</f>
        <v>0.00240358515861328</v>
      </c>
      <c r="I15" s="14" t="n">
        <f aca="false">E825</f>
        <v>0.361294403334118</v>
      </c>
      <c r="J15" s="21" t="n">
        <f aca="false">D833</f>
        <v>1548.28555816522</v>
      </c>
      <c r="K15" s="14" t="n">
        <f aca="false">J15/J$4-1</f>
        <v>0</v>
      </c>
    </row>
    <row r="16" customFormat="false" ht="15" hidden="false" customHeight="false" outlineLevel="0" collapsed="false">
      <c r="A16" s="5" t="s">
        <v>768</v>
      </c>
      <c r="B16" s="0" t="s">
        <v>769</v>
      </c>
      <c r="C16" s="21" t="n">
        <f aca="false">E894</f>
        <v>556.045657741922</v>
      </c>
      <c r="D16" s="21" t="n">
        <f aca="false">E903</f>
        <v>1711.24693486159</v>
      </c>
      <c r="E16" s="14" t="n">
        <f aca="false">D16/D$4-1</f>
        <v>-0.00666421562901898</v>
      </c>
      <c r="F16" s="21" t="n">
        <f aca="false">F894</f>
        <v>605.088904745229</v>
      </c>
      <c r="G16" s="21" t="n">
        <f aca="false">F903</f>
        <v>1905.64408534808</v>
      </c>
      <c r="H16" s="14" t="n">
        <f aca="false">G16/G$4-1</f>
        <v>0.0296560674634918</v>
      </c>
      <c r="I16" s="14" t="n">
        <f aca="false">E895</f>
        <v>0.330525804687003</v>
      </c>
      <c r="J16" s="21" t="n">
        <f aca="false">D903</f>
        <v>1548.28555816522</v>
      </c>
      <c r="K16" s="14" t="n">
        <f aca="false">J16/J$4-1</f>
        <v>0</v>
      </c>
    </row>
    <row r="17" customFormat="false" ht="15" hidden="false" customHeight="false" outlineLevel="0" collapsed="false">
      <c r="A17" s="5" t="s">
        <v>770</v>
      </c>
      <c r="B17" s="0" t="s">
        <v>771</v>
      </c>
      <c r="C17" s="21" t="n">
        <f aca="false">E964</f>
        <v>562.954576013915</v>
      </c>
      <c r="D17" s="21" t="n">
        <f aca="false">E973</f>
        <v>1738.4407220178</v>
      </c>
      <c r="E17" s="14" t="n">
        <f aca="false">D17/D$4-1</f>
        <v>0.0091210935186743</v>
      </c>
      <c r="F17" s="21" t="n">
        <f aca="false">F964</f>
        <v>594.093825721582</v>
      </c>
      <c r="G17" s="21" t="n">
        <f aca="false">F973</f>
        <v>1861.79127685086</v>
      </c>
      <c r="H17" s="14" t="n">
        <f aca="false">G17/G$4-1</f>
        <v>0.0059615535237465</v>
      </c>
      <c r="I17" s="14" t="n">
        <f aca="false">E965</f>
        <v>0.336467581865791</v>
      </c>
      <c r="J17" s="21" t="n">
        <f aca="false">D973</f>
        <v>1548.28555816522</v>
      </c>
      <c r="K17" s="14" t="n">
        <f aca="false">J17/J$4-1</f>
        <v>0</v>
      </c>
    </row>
    <row r="18" customFormat="false" ht="15" hidden="false" customHeight="false" outlineLevel="0" collapsed="false">
      <c r="A18" s="5" t="s">
        <v>772</v>
      </c>
      <c r="B18" s="0" t="s">
        <v>773</v>
      </c>
      <c r="C18" s="21" t="n">
        <f aca="false">E1034</f>
        <v>559.405734962214</v>
      </c>
      <c r="D18" s="21" t="n">
        <f aca="false">E1043</f>
        <v>1724.46427311835</v>
      </c>
      <c r="E18" s="14" t="n">
        <f aca="false">D18/D$4-1</f>
        <v>0.00100811663180389</v>
      </c>
      <c r="F18" s="21" t="n">
        <f aca="false">F1034</f>
        <v>594.203789865386</v>
      </c>
      <c r="G18" s="21" t="n">
        <f aca="false">F1043</f>
        <v>1862.22910059771</v>
      </c>
      <c r="H18" s="14" t="n">
        <f aca="false">G18/G$4-1</f>
        <v>0.00619811809573978</v>
      </c>
      <c r="I18" s="14" t="n">
        <f aca="false">E1035</f>
        <v>0.33002699779184</v>
      </c>
      <c r="J18" s="21" t="n">
        <f aca="false">D1043</f>
        <v>1548.28555816522</v>
      </c>
      <c r="K18" s="14" t="n">
        <f aca="false">J18/J$4-1</f>
        <v>0</v>
      </c>
    </row>
    <row r="19" customFormat="false" ht="15" hidden="false" customHeight="false" outlineLevel="0" collapsed="false">
      <c r="A19" s="5" t="s">
        <v>774</v>
      </c>
      <c r="B19" s="0" t="s">
        <v>775</v>
      </c>
      <c r="C19" s="21" t="n">
        <f aca="false">E1104</f>
        <v>559.780721942012</v>
      </c>
      <c r="D19" s="21" t="n">
        <f aca="false">E1113</f>
        <v>1725.94028634669</v>
      </c>
      <c r="E19" s="14" t="n">
        <f aca="false">D19/D$4-1</f>
        <v>0.00186490516889504</v>
      </c>
      <c r="F19" s="21" t="n">
        <f aca="false">F1104</f>
        <v>592.516914121664</v>
      </c>
      <c r="G19" s="21" t="n">
        <f aca="false">F1113</f>
        <v>1855.5144771647</v>
      </c>
      <c r="H19" s="14" t="n">
        <f aca="false">G19/G$4-1</f>
        <v>0.00257007820534483</v>
      </c>
      <c r="I19" s="14" t="n">
        <f aca="false">E1105</f>
        <v>0.33438159243344</v>
      </c>
      <c r="J19" s="21" t="n">
        <f aca="false">D1113</f>
        <v>1548.28555816522</v>
      </c>
      <c r="K19" s="14" t="n">
        <f aca="false">J19/J$4-1</f>
        <v>0</v>
      </c>
    </row>
    <row r="20" customFormat="false" ht="15" hidden="false" customHeight="false" outlineLevel="0" collapsed="false">
      <c r="A20" s="5" t="s">
        <v>776</v>
      </c>
      <c r="B20" s="0" t="s">
        <v>777</v>
      </c>
      <c r="C20" s="21" t="n">
        <f aca="false">E1174</f>
        <v>558.241739395108</v>
      </c>
      <c r="D20" s="21" t="n">
        <f aca="false">E1183</f>
        <v>1719.8837985913</v>
      </c>
      <c r="E20" s="14" t="n">
        <f aca="false">D20/D$4-1</f>
        <v>-0.0016507335694308</v>
      </c>
      <c r="F20" s="21" t="n">
        <f aca="false">F1174</f>
        <v>590.269486286074</v>
      </c>
      <c r="G20" s="21" t="n">
        <f aca="false">F1183</f>
        <v>1846.57421923474</v>
      </c>
      <c r="H20" s="14" t="n">
        <f aca="false">G20/G$4-1</f>
        <v>-0.00226051471231559</v>
      </c>
      <c r="I20" s="14" t="n">
        <f aca="false">E1175</f>
        <v>0.332223724135049</v>
      </c>
      <c r="J20" s="21" t="n">
        <f aca="false">D1183</f>
        <v>1548.28555816522</v>
      </c>
      <c r="K20" s="14" t="n">
        <f aca="false">J20/J$4-1</f>
        <v>0</v>
      </c>
    </row>
    <row r="21" customFormat="false" ht="15" hidden="false" customHeight="false" outlineLevel="0" collapsed="false">
      <c r="A21" s="0" t="s">
        <v>778</v>
      </c>
      <c r="B21" s="0" t="s">
        <v>779</v>
      </c>
      <c r="C21" s="21" t="n">
        <f aca="false">E1244</f>
        <v>558.964454965631</v>
      </c>
      <c r="D21" s="21" t="n">
        <f aca="false">E1253</f>
        <v>1722.72756281021</v>
      </c>
      <c r="E21" s="14" t="n">
        <f aca="false">D21/D$4-1</f>
        <v>0</v>
      </c>
      <c r="F21" s="21" t="n">
        <f aca="false">F1244</f>
        <v>584.225861047979</v>
      </c>
      <c r="G21" s="21" t="n">
        <f aca="false">F1253</f>
        <v>1822.5648927647</v>
      </c>
      <c r="H21" s="14" t="n">
        <f aca="false">G21/G$4-1</f>
        <v>-0.0152332145284398</v>
      </c>
      <c r="I21" s="14" t="n">
        <f aca="false">E1245</f>
        <v>0.333235522292211</v>
      </c>
      <c r="J21" s="21" t="n">
        <f aca="false">D1253</f>
        <v>1548.28555816522</v>
      </c>
      <c r="K21" s="14" t="n">
        <f aca="false">J21/J$4-1</f>
        <v>0</v>
      </c>
    </row>
    <row r="22" customFormat="false" ht="15" hidden="false" customHeight="false" outlineLevel="0" collapsed="false">
      <c r="A22" s="0" t="s">
        <v>780</v>
      </c>
      <c r="B22" s="0" t="s">
        <v>781</v>
      </c>
      <c r="C22" s="21" t="n">
        <f aca="false">E1314</f>
        <v>558.964454965631</v>
      </c>
      <c r="D22" s="21" t="n">
        <f aca="false">E1323</f>
        <v>1722.72756281021</v>
      </c>
      <c r="E22" s="14" t="n">
        <f aca="false">D22/D$4-1</f>
        <v>0</v>
      </c>
      <c r="F22" s="21" t="n">
        <f aca="false">F1314</f>
        <v>601.884408034237</v>
      </c>
      <c r="G22" s="21" t="n">
        <f aca="false">F1323</f>
        <v>1892.8475268283</v>
      </c>
      <c r="H22" s="14" t="n">
        <f aca="false">G22/G$4-1</f>
        <v>0.0227418413370883</v>
      </c>
      <c r="I22" s="14" t="n">
        <f aca="false">E1315</f>
        <v>0.333235522292211</v>
      </c>
      <c r="J22" s="21" t="n">
        <f aca="false">D1323</f>
        <v>1548.28555816522</v>
      </c>
      <c r="K22" s="14" t="n">
        <f aca="false">J22/J$4-1</f>
        <v>0</v>
      </c>
    </row>
    <row r="23" customFormat="false" ht="15" hidden="false" customHeight="false" outlineLevel="0" collapsed="false">
      <c r="A23" s="0" t="s">
        <v>782</v>
      </c>
      <c r="B23" s="0" t="s">
        <v>783</v>
      </c>
      <c r="C23" s="21" t="n">
        <f aca="false">E1384</f>
        <v>560.922220852074</v>
      </c>
      <c r="D23" s="21" t="n">
        <f aca="false">E1393</f>
        <v>1730.43459181896</v>
      </c>
      <c r="E23" s="14" t="n">
        <f aca="false">D23/D$4-1</f>
        <v>0.00447373640216098</v>
      </c>
      <c r="F23" s="21" t="n">
        <f aca="false">F1384</f>
        <v>594.473553058426</v>
      </c>
      <c r="G23" s="21" t="n">
        <f aca="false">F1393</f>
        <v>1863.3032316707</v>
      </c>
      <c r="H23" s="14" t="n">
        <f aca="false">G23/G$4-1</f>
        <v>0.00677849172639911</v>
      </c>
      <c r="I23" s="14" t="n">
        <f aca="false">E1385</f>
        <v>0.331757958012263</v>
      </c>
      <c r="J23" s="21" t="n">
        <f aca="false">D1393</f>
        <v>1548.28555816522</v>
      </c>
      <c r="K23" s="14" t="n">
        <f aca="false">J23/J$4-1</f>
        <v>0</v>
      </c>
    </row>
    <row r="24" customFormat="false" ht="15" hidden="false" customHeight="false" outlineLevel="0" collapsed="false">
      <c r="A24" s="5" t="s">
        <v>784</v>
      </c>
      <c r="B24" s="0" t="s">
        <v>785</v>
      </c>
      <c r="C24" s="21" t="n">
        <f aca="false">E1454</f>
        <v>538.010662901754</v>
      </c>
      <c r="D24" s="21" t="n">
        <f aca="false">E1463</f>
        <v>1640.56863913669</v>
      </c>
      <c r="E24" s="14" t="n">
        <f aca="false">D24/D$4-1</f>
        <v>-0.0476911877694091</v>
      </c>
      <c r="F24" s="21" t="n">
        <f aca="false">F1454</f>
        <v>553.717280617968</v>
      </c>
      <c r="G24" s="21" t="n">
        <f aca="false">F1463</f>
        <v>1702.09694141085</v>
      </c>
      <c r="H24" s="14" t="n">
        <f aca="false">G24/G$4-1</f>
        <v>-0.0803243603515755</v>
      </c>
      <c r="I24" s="14" t="n">
        <f aca="false">E1455</f>
        <v>0.346213978527164</v>
      </c>
      <c r="J24" s="21" t="n">
        <f aca="false">D1463</f>
        <v>1548.28555816522</v>
      </c>
      <c r="K24" s="14" t="n">
        <f aca="false">J24/J$4-1</f>
        <v>0</v>
      </c>
    </row>
    <row r="25" customFormat="false" ht="15" hidden="false" customHeight="false" outlineLevel="0" collapsed="false">
      <c r="A25" s="5" t="s">
        <v>786</v>
      </c>
      <c r="B25" s="0" t="s">
        <v>787</v>
      </c>
      <c r="C25" s="21" t="n">
        <f aca="false">E1524</f>
        <v>580.524159649333</v>
      </c>
      <c r="D25" s="21" t="n">
        <f aca="false">E1533</f>
        <v>1807.8825874426</v>
      </c>
      <c r="E25" s="14" t="n">
        <f aca="false">D25/D$4-1</f>
        <v>0.049430348983031</v>
      </c>
      <c r="F25" s="21" t="n">
        <f aca="false">F1524</f>
        <v>632.428748338426</v>
      </c>
      <c r="G25" s="21" t="n">
        <f aca="false">F1533</f>
        <v>2015.33601558282</v>
      </c>
      <c r="H25" s="14" t="n">
        <f aca="false">G25/G$4-1</f>
        <v>0.0889247222906862</v>
      </c>
      <c r="I25" s="14" t="n">
        <f aca="false">E1525</f>
        <v>0.320859707554236</v>
      </c>
      <c r="J25" s="21" t="n">
        <f aca="false">D1533</f>
        <v>1548.28555816522</v>
      </c>
      <c r="K25" s="14" t="n">
        <f aca="false">J25/J$4-1</f>
        <v>0</v>
      </c>
    </row>
    <row r="26" customFormat="false" ht="15" hidden="false" customHeight="false" outlineLevel="0" collapsed="false">
      <c r="A26" s="5" t="s">
        <v>788</v>
      </c>
      <c r="B26" s="0" t="s">
        <v>789</v>
      </c>
      <c r="C26" s="21" t="n">
        <f aca="false">E1594</f>
        <v>553.211997605884</v>
      </c>
      <c r="D26" s="21" t="n">
        <f aca="false">E1603</f>
        <v>1700.1122711721</v>
      </c>
      <c r="E26" s="14" t="n">
        <f aca="false">D26/D$4-1</f>
        <v>-0.0131276077113521</v>
      </c>
      <c r="F26" s="21" t="n">
        <f aca="false">F1594</f>
        <v>581.053810974618</v>
      </c>
      <c r="G26" s="21" t="n">
        <f aca="false">F1603</f>
        <v>1809.98228651004</v>
      </c>
      <c r="H26" s="14" t="n">
        <f aca="false">G26/G$4-1</f>
        <v>-0.0220318381403872</v>
      </c>
      <c r="I26" s="14" t="n">
        <f aca="false">E1595</f>
        <v>0.336700601034239</v>
      </c>
      <c r="J26" s="21" t="n">
        <f aca="false">D1603</f>
        <v>1548.28555816522</v>
      </c>
      <c r="K26" s="14" t="n">
        <f aca="false">J26/J$4-1</f>
        <v>0</v>
      </c>
    </row>
    <row r="27" customFormat="false" ht="15" hidden="false" customHeight="false" outlineLevel="0" collapsed="false">
      <c r="A27" s="5" t="s">
        <v>790</v>
      </c>
      <c r="B27" s="0" t="s">
        <v>791</v>
      </c>
      <c r="C27" s="21" t="n">
        <f aca="false">E1664</f>
        <v>565.045311899409</v>
      </c>
      <c r="D27" s="21" t="n">
        <f aca="false">E1673</f>
        <v>1746.68262691575</v>
      </c>
      <c r="E27" s="14" t="n">
        <f aca="false">D27/D$4-1</f>
        <v>0.0139053119150561</v>
      </c>
      <c r="F27" s="21" t="n">
        <f aca="false">F1664</f>
        <v>602.746188996531</v>
      </c>
      <c r="G27" s="21" t="n">
        <f aca="false">F1673</f>
        <v>1896.28762171804</v>
      </c>
      <c r="H27" s="14" t="n">
        <f aca="false">G27/G$4-1</f>
        <v>0.0246005906193401</v>
      </c>
      <c r="I27" s="14" t="n">
        <f aca="false">E1665</f>
        <v>0.32964933638174</v>
      </c>
      <c r="J27" s="21" t="n">
        <f aca="false">D1673</f>
        <v>1548.28555816522</v>
      </c>
      <c r="K27" s="14" t="n">
        <f aca="false">J27/J$4-1</f>
        <v>0</v>
      </c>
    </row>
    <row r="28" customFormat="false" ht="15" hidden="false" customHeight="false" outlineLevel="0" collapsed="false">
      <c r="A28" s="0" t="s">
        <v>792</v>
      </c>
      <c r="B28" s="0" t="s">
        <v>793</v>
      </c>
      <c r="C28" s="21" t="n">
        <f aca="false">E1734</f>
        <v>541.727361444596</v>
      </c>
      <c r="D28" s="21" t="n">
        <f aca="false">E1743</f>
        <v>1655.09727695955</v>
      </c>
      <c r="E28" s="14" t="n">
        <f aca="false">D28/D$4-1</f>
        <v>-0.0392576791076246</v>
      </c>
      <c r="F28" s="21" t="n">
        <f aca="false">F1734</f>
        <v>563.166699700585</v>
      </c>
      <c r="G28" s="21" t="n">
        <f aca="false">F1743</f>
        <v>1739.27666886021</v>
      </c>
      <c r="H28" s="14" t="n">
        <f aca="false">G28/G$4-1</f>
        <v>-0.0602354401543512</v>
      </c>
      <c r="I28" s="14" t="n">
        <f aca="false">E1735</f>
        <v>0.252698208495038</v>
      </c>
      <c r="J28" s="21" t="n">
        <f aca="false">D1743</f>
        <v>1548.28555816522</v>
      </c>
      <c r="K28" s="14" t="n">
        <f aca="false">J28/J$4-1</f>
        <v>0</v>
      </c>
    </row>
    <row r="29" customFormat="false" ht="15" hidden="false" customHeight="false" outlineLevel="0" collapsed="false">
      <c r="A29" s="0" t="s">
        <v>794</v>
      </c>
      <c r="B29" s="0" t="s">
        <v>795</v>
      </c>
      <c r="C29" s="21" t="n">
        <f aca="false">E1804</f>
        <v>571.828246294895</v>
      </c>
      <c r="D29" s="21" t="n">
        <f aca="false">E1813</f>
        <v>1773.46187327196</v>
      </c>
      <c r="E29" s="14" t="n">
        <f aca="false">D29/D$4-1</f>
        <v>0.0294499905597327</v>
      </c>
      <c r="F29" s="21" t="n">
        <f aca="false">F1804</f>
        <v>611.829191977838</v>
      </c>
      <c r="G29" s="21" t="n">
        <f aca="false">F1813</f>
        <v>1932.60199475831</v>
      </c>
      <c r="H29" s="14" t="n">
        <f aca="false">G29/G$4-1</f>
        <v>0.0442219432237116</v>
      </c>
      <c r="I29" s="14" t="n">
        <f aca="false">E1805</f>
        <v>0.385835703477111</v>
      </c>
      <c r="J29" s="21" t="n">
        <f aca="false">D1813</f>
        <v>1548.28555816522</v>
      </c>
      <c r="K29" s="14" t="n">
        <f aca="false">J29/J$4-1</f>
        <v>0</v>
      </c>
    </row>
    <row r="30" customFormat="false" ht="15" hidden="false" customHeight="false" outlineLevel="0" collapsed="false">
      <c r="A30" s="5" t="s">
        <v>796</v>
      </c>
      <c r="B30" s="0" t="s">
        <v>797</v>
      </c>
      <c r="C30" s="21" t="n">
        <f aca="false">E1874</f>
        <v>540.706325776359</v>
      </c>
      <c r="D30" s="21" t="n">
        <f aca="false">E1883</f>
        <v>1651.10410322497</v>
      </c>
      <c r="E30" s="14" t="n">
        <f aca="false">D30/D$4-1</f>
        <v>-0.0415756159774954</v>
      </c>
      <c r="F30" s="21" t="n">
        <f aca="false">F1874</f>
        <v>558.58357549787</v>
      </c>
      <c r="G30" s="21" t="n">
        <f aca="false">F1883</f>
        <v>1721.22877797606</v>
      </c>
      <c r="H30" s="14" t="n">
        <f aca="false">G30/G$4-1</f>
        <v>-0.0699870619270957</v>
      </c>
      <c r="I30" s="14" t="n">
        <f aca="false">E1875</f>
        <v>0.330091329015733</v>
      </c>
      <c r="J30" s="21" t="n">
        <f aca="false">D1883</f>
        <v>1548.28555816522</v>
      </c>
      <c r="K30" s="14" t="n">
        <f aca="false">J30/J$4-1</f>
        <v>0</v>
      </c>
    </row>
    <row r="31" customFormat="false" ht="15" hidden="false" customHeight="false" outlineLevel="0" collapsed="false">
      <c r="A31" s="5" t="s">
        <v>798</v>
      </c>
      <c r="B31" s="0" t="s">
        <v>799</v>
      </c>
      <c r="C31" s="21" t="n">
        <f aca="false">E1944</f>
        <v>558.964454965631</v>
      </c>
      <c r="D31" s="21" t="n">
        <f aca="false">E1953</f>
        <v>1719.96045112085</v>
      </c>
      <c r="E31" s="14" t="n">
        <f aca="false">D31/D$4-1</f>
        <v>-0.00160623870488608</v>
      </c>
      <c r="F31" s="21" t="n">
        <f aca="false">F1944</f>
        <v>591.32139043343</v>
      </c>
      <c r="G31" s="21" t="n">
        <f aca="false">F1953</f>
        <v>1847.57661595746</v>
      </c>
      <c r="H31" s="14" t="n">
        <f aca="false">G31/G$4-1</f>
        <v>-0.00171890052764645</v>
      </c>
      <c r="I31" s="14" t="n">
        <f aca="false">E1945</f>
        <v>0.333235522292211</v>
      </c>
      <c r="J31" s="21" t="n">
        <f aca="false">D1953</f>
        <v>1548.28555816522</v>
      </c>
      <c r="K31" s="14" t="n">
        <f aca="false">J31/J$4-1</f>
        <v>0</v>
      </c>
    </row>
    <row r="32" customFormat="false" ht="15" hidden="false" customHeight="false" outlineLevel="0" collapsed="false">
      <c r="A32" s="5" t="s">
        <v>800</v>
      </c>
      <c r="B32" s="5" t="s">
        <v>801</v>
      </c>
      <c r="C32" s="21" t="n">
        <f aca="false">E2014</f>
        <v>558.964454965631</v>
      </c>
      <c r="D32" s="21" t="n">
        <f aca="false">E2023</f>
        <v>1639.38144399398</v>
      </c>
      <c r="E32" s="14" t="n">
        <f aca="false">D32/D$4-1</f>
        <v>-0.0483803246755229</v>
      </c>
      <c r="F32" s="21" t="n">
        <f aca="false">F2014</f>
        <v>591.32139043343</v>
      </c>
      <c r="G32" s="21" t="n">
        <f aca="false">F2023</f>
        <v>1761.21761730623</v>
      </c>
      <c r="H32" s="14" t="n">
        <f aca="false">G32/G$4-1</f>
        <v>-0.0483803246755228</v>
      </c>
      <c r="I32" s="14" t="n">
        <f aca="false">E2015</f>
        <v>0.333235522292211</v>
      </c>
      <c r="J32" s="21" t="n">
        <f aca="false">D2023</f>
        <v>1527.74398618103</v>
      </c>
      <c r="K32" s="14" t="n">
        <f aca="false">J32/J$4-1</f>
        <v>-0.0132673019365587</v>
      </c>
    </row>
    <row r="33" customFormat="false" ht="15" hidden="false" customHeight="false" outlineLevel="0" collapsed="false">
      <c r="A33" s="5" t="s">
        <v>802</v>
      </c>
      <c r="B33" s="5" t="s">
        <v>803</v>
      </c>
      <c r="C33" s="21" t="n">
        <f aca="false">E2084</f>
        <v>558.964454965631</v>
      </c>
      <c r="D33" s="21" t="n">
        <f aca="false">E2093</f>
        <v>1762.29670644285</v>
      </c>
      <c r="E33" s="14" t="n">
        <f aca="false">D33/D$4-1</f>
        <v>0.0229688921724174</v>
      </c>
      <c r="F33" s="21" t="n">
        <f aca="false">F2084</f>
        <v>591.32139043343</v>
      </c>
      <c r="G33" s="21" t="n">
        <f aca="false">F2093</f>
        <v>1893.26774295201</v>
      </c>
      <c r="H33" s="14" t="n">
        <f aca="false">G33/G$4-1</f>
        <v>0.0229688921724176</v>
      </c>
      <c r="I33" s="14" t="n">
        <f aca="false">E2085</f>
        <v>0.333235522292211</v>
      </c>
      <c r="J33" s="21" t="n">
        <f aca="false">D2093</f>
        <v>1558.03781086549</v>
      </c>
      <c r="K33" s="14" t="n">
        <f aca="false">J33/J$4-1</f>
        <v>0.00629874292170451</v>
      </c>
    </row>
    <row r="34" customFormat="false" ht="15" hidden="false" customHeight="false" outlineLevel="0" collapsed="false">
      <c r="A34" s="5" t="s">
        <v>804</v>
      </c>
      <c r="B34" s="0" t="s">
        <v>805</v>
      </c>
      <c r="C34" s="21" t="n">
        <f aca="false">E2154</f>
        <v>549.741343230444</v>
      </c>
      <c r="D34" s="21" t="n">
        <f aca="false">E2163</f>
        <v>1686.48955457182</v>
      </c>
      <c r="E34" s="14" t="n">
        <f aca="false">D34/D$4-1</f>
        <v>-0.021035251899772</v>
      </c>
      <c r="F34" s="21" t="n">
        <f aca="false">F2154</f>
        <v>581.567898672361</v>
      </c>
      <c r="G34" s="21" t="n">
        <f aca="false">F2163</f>
        <v>1812.02063601491</v>
      </c>
      <c r="H34" s="14" t="n">
        <f aca="false">G34/G$4-1</f>
        <v>-0.0209304787882187</v>
      </c>
      <c r="I34" s="14" t="n">
        <f aca="false">E2155</f>
        <v>0.338826276005902</v>
      </c>
      <c r="J34" s="21" t="n">
        <f aca="false">D2163</f>
        <v>1509.68689956897</v>
      </c>
      <c r="K34" s="14" t="n">
        <f aca="false">J34/J$4-1</f>
        <v>-0.0249299351742299</v>
      </c>
    </row>
    <row r="35" customFormat="false" ht="15" hidden="false" customHeight="false" outlineLevel="0" collapsed="false">
      <c r="A35" s="5" t="s">
        <v>806</v>
      </c>
      <c r="B35" s="0" t="s">
        <v>807</v>
      </c>
      <c r="C35" s="21" t="n">
        <f aca="false">E2224</f>
        <v>570.032189047856</v>
      </c>
      <c r="D35" s="21" t="n">
        <f aca="false">E2233</f>
        <v>1766.36502454085</v>
      </c>
      <c r="E35" s="14" t="n">
        <f aca="false">D35/D$4-1</f>
        <v>0.0253304484543442</v>
      </c>
      <c r="F35" s="21" t="n">
        <f aca="false">F2224</f>
        <v>603.025580546714</v>
      </c>
      <c r="G35" s="21" t="n">
        <f aca="false">F2233</f>
        <v>1897.4031093148</v>
      </c>
      <c r="H35" s="14" t="n">
        <f aca="false">G35/G$4-1</f>
        <v>0.0252033099733981</v>
      </c>
      <c r="I35" s="14" t="n">
        <f aca="false">E2225</f>
        <v>0.326765427763617</v>
      </c>
      <c r="J35" s="21" t="n">
        <f aca="false">D2233</f>
        <v>1594.60394848073</v>
      </c>
      <c r="K35" s="14" t="n">
        <f aca="false">J35/J$4-1</f>
        <v>0.0299159222090759</v>
      </c>
    </row>
    <row r="36" customFormat="false" ht="15" hidden="false" customHeight="false" outlineLevel="0" collapsed="false">
      <c r="A36" s="5" t="s">
        <v>808</v>
      </c>
      <c r="B36" s="0" t="s">
        <v>809</v>
      </c>
      <c r="C36" s="21" t="n">
        <f aca="false">E2294</f>
        <v>558.964454965631</v>
      </c>
      <c r="D36" s="21" t="n">
        <f aca="false">E2303</f>
        <v>1722.72756281021</v>
      </c>
      <c r="E36" s="14" t="n">
        <f aca="false">D36/D$4-1</f>
        <v>0</v>
      </c>
      <c r="F36" s="21" t="n">
        <f aca="false">F2294</f>
        <v>591.32139043343</v>
      </c>
      <c r="G36" s="21" t="n">
        <f aca="false">F2303</f>
        <v>1850.75788466196</v>
      </c>
      <c r="H36" s="14" t="n">
        <f aca="false">G36/G$4-1</f>
        <v>0</v>
      </c>
      <c r="I36" s="14" t="n">
        <f aca="false">E2295</f>
        <v>0.333235522292211</v>
      </c>
      <c r="J36" s="21" t="n">
        <f aca="false">D2303</f>
        <v>1528.91526865596</v>
      </c>
      <c r="K36" s="14" t="n">
        <f aca="false">J36/J$4-1</f>
        <v>-0.0125107990622961</v>
      </c>
    </row>
    <row r="37" customFormat="false" ht="15" hidden="false" customHeight="false" outlineLevel="0" collapsed="false">
      <c r="A37" s="5" t="s">
        <v>810</v>
      </c>
      <c r="B37" s="0" t="s">
        <v>811</v>
      </c>
      <c r="C37" s="21" t="n">
        <f aca="false">E2364</f>
        <v>558.964454965631</v>
      </c>
      <c r="D37" s="21" t="n">
        <f aca="false">E2373</f>
        <v>1722.72756281021</v>
      </c>
      <c r="E37" s="14" t="n">
        <f aca="false">D37/D$4-1</f>
        <v>0</v>
      </c>
      <c r="F37" s="21" t="n">
        <f aca="false">F2364</f>
        <v>591.32139043343</v>
      </c>
      <c r="G37" s="21" t="n">
        <f aca="false">F2373</f>
        <v>1850.75788466196</v>
      </c>
      <c r="H37" s="14" t="n">
        <f aca="false">G37/G$4-1</f>
        <v>0</v>
      </c>
      <c r="I37" s="14" t="n">
        <f aca="false">E2365</f>
        <v>0.333235522292211</v>
      </c>
      <c r="J37" s="21" t="n">
        <f aca="false">D2373</f>
        <v>1567.65584767448</v>
      </c>
      <c r="K37" s="14" t="n">
        <f aca="false">J37/J$4-1</f>
        <v>0.0125107990622964</v>
      </c>
    </row>
    <row r="38" customFormat="false" ht="15" hidden="false" customHeight="false" outlineLevel="0" collapsed="false">
      <c r="A38" s="5" t="s">
        <v>812</v>
      </c>
      <c r="B38" s="0" t="s">
        <v>813</v>
      </c>
      <c r="C38" s="21" t="n">
        <f aca="false">E2434</f>
        <v>539.549374890105</v>
      </c>
      <c r="D38" s="21" t="n">
        <f aca="false">E2443</f>
        <v>1646.58114132722</v>
      </c>
      <c r="E38" s="14" t="n">
        <f aca="false">D38/D$4-1</f>
        <v>-0.0442010815446519</v>
      </c>
      <c r="F38" s="21" t="n">
        <f aca="false">F2434</f>
        <v>570.789835683346</v>
      </c>
      <c r="G38" s="21" t="n">
        <f aca="false">F2443</f>
        <v>1769.35822928007</v>
      </c>
      <c r="H38" s="14" t="n">
        <f aca="false">G38/G$4-1</f>
        <v>-0.0439817958126663</v>
      </c>
      <c r="I38" s="14" t="n">
        <f aca="false">E2435</f>
        <v>0.345226629409388</v>
      </c>
      <c r="J38" s="21" t="n">
        <f aca="false">D2443</f>
        <v>1548.28555816522</v>
      </c>
      <c r="K38" s="14" t="n">
        <f aca="false">J38/J$4-1</f>
        <v>0</v>
      </c>
    </row>
    <row r="39" customFormat="false" ht="15" hidden="false" customHeight="false" outlineLevel="0" collapsed="false">
      <c r="A39" s="5" t="s">
        <v>814</v>
      </c>
      <c r="B39" s="5" t="s">
        <v>815</v>
      </c>
      <c r="C39" s="21" t="n">
        <f aca="false">PL!E175</f>
        <v>524.505901171967</v>
      </c>
      <c r="D39" s="21" t="n">
        <f aca="false">PL!E184</f>
        <v>1587.94285709707</v>
      </c>
      <c r="E39" s="14" t="n">
        <f aca="false">D39/D$4-1</f>
        <v>-0.0782391299836588</v>
      </c>
      <c r="F39" s="21" t="n">
        <f aca="false">PL!F175</f>
        <v>564.632483448159</v>
      </c>
      <c r="G39" s="21" t="n">
        <f aca="false">PL!F184</f>
        <v>1745.0547484129</v>
      </c>
      <c r="H39" s="14" t="n">
        <f aca="false">G39/G$4-1</f>
        <v>-0.0571134328942019</v>
      </c>
      <c r="I39" s="14" t="n">
        <f aca="false">PL!E176</f>
        <v>0.28943098249302</v>
      </c>
      <c r="J39" s="21" t="n">
        <f aca="false">PL!D184</f>
        <v>1548.28555816522</v>
      </c>
      <c r="K39" s="14" t="n">
        <f aca="false">J39/J$4-1</f>
        <v>0</v>
      </c>
    </row>
    <row r="40" customFormat="false" ht="15" hidden="false" customHeight="false" outlineLevel="0" collapsed="false">
      <c r="A40" s="5" t="s">
        <v>816</v>
      </c>
      <c r="B40" s="5" t="s">
        <v>817</v>
      </c>
      <c r="C40" s="21" t="n">
        <f aca="false">PL!E236</f>
        <v>480.073966054608</v>
      </c>
      <c r="D40" s="21" t="n">
        <f aca="false">PL!E245</f>
        <v>1416.69436773834</v>
      </c>
      <c r="E40" s="14" t="n">
        <f aca="false">D40/D$4-1</f>
        <v>-0.17764456880962</v>
      </c>
      <c r="F40" s="21" t="n">
        <f aca="false">PL!F236</f>
        <v>464.47517324235</v>
      </c>
      <c r="G40" s="21" t="n">
        <f aca="false">PL!F245</f>
        <v>1326.41980096064</v>
      </c>
      <c r="H40" s="14" t="n">
        <f aca="false">G40/G$4-1</f>
        <v>-0.283309928352454</v>
      </c>
      <c r="I40" s="14" t="n">
        <f aca="false">PL!E237</f>
        <v>0.223666207240274</v>
      </c>
      <c r="J40" s="21" t="n">
        <f aca="false">PL!D245</f>
        <v>1548.28555816522</v>
      </c>
      <c r="K40" s="14" t="n">
        <f aca="false">J40/J$4-1</f>
        <v>0</v>
      </c>
    </row>
    <row r="41" customFormat="false" ht="15" hidden="false" customHeight="false" outlineLevel="0" collapsed="false">
      <c r="A41" s="5" t="s">
        <v>818</v>
      </c>
      <c r="B41" s="5" t="s">
        <v>819</v>
      </c>
      <c r="C41" s="21" t="n">
        <f aca="false">PL!E95</f>
        <v>539.549374890105</v>
      </c>
      <c r="D41" s="21" t="n">
        <f aca="false">PL!E128</f>
        <v>1672.64172321648</v>
      </c>
      <c r="E41" s="14" t="n">
        <f aca="false">D41/D$4-1</f>
        <v>-0.0290735695387742</v>
      </c>
      <c r="F41" s="21" t="n">
        <f aca="false">PL!F95</f>
        <v>570.789835683346</v>
      </c>
      <c r="G41" s="21" t="n">
        <f aca="false">PL!F128</f>
        <v>1797.36201474092</v>
      </c>
      <c r="H41" s="14" t="n">
        <f aca="false">G41/G$4-1</f>
        <v>-0.0288508131525751</v>
      </c>
    </row>
    <row r="43" customFormat="false" ht="15" hidden="false" customHeight="false" outlineLevel="0" collapsed="false">
      <c r="A43" s="5" t="s">
        <v>820</v>
      </c>
    </row>
    <row r="80" customFormat="false" ht="15" hidden="false" customHeight="false" outlineLevel="0" collapsed="false">
      <c r="A80" s="4" t="s">
        <v>821</v>
      </c>
    </row>
    <row r="81" customFormat="false" ht="15" hidden="false" customHeight="false" outlineLevel="0" collapsed="false">
      <c r="A81" s="6" t="s">
        <v>22</v>
      </c>
      <c r="B81" s="6" t="s">
        <v>23</v>
      </c>
      <c r="C81" s="9" t="s">
        <v>532</v>
      </c>
      <c r="D81" s="9" t="s">
        <v>533</v>
      </c>
      <c r="E81" s="9" t="s">
        <v>534</v>
      </c>
      <c r="F81" s="9" t="s">
        <v>535</v>
      </c>
      <c r="G81" s="9" t="s">
        <v>536</v>
      </c>
      <c r="H81" s="9" t="s">
        <v>537</v>
      </c>
      <c r="I81" s="9" t="s">
        <v>538</v>
      </c>
      <c r="J81" s="6" t="s">
        <v>515</v>
      </c>
    </row>
    <row r="82" customFormat="false" ht="15" hidden="false" customHeight="false" outlineLevel="0" collapsed="false">
      <c r="A82" s="1" t="s">
        <v>539</v>
      </c>
    </row>
    <row r="83" customFormat="false" ht="15" hidden="false" customHeight="false" outlineLevel="0" collapsed="false">
      <c r="A83" s="0" t="s">
        <v>540</v>
      </c>
      <c r="B83" s="0" t="s">
        <v>100</v>
      </c>
      <c r="C83" s="19" t="n">
        <f aca="false">hsA_25</f>
        <v>2.22511470588235</v>
      </c>
      <c r="D83" s="19" t="n">
        <f aca="false">hsA_26</f>
        <v>3.782695</v>
      </c>
      <c r="E83" s="19" t="n">
        <f aca="false">hsA_27</f>
        <v>5.86317725</v>
      </c>
      <c r="F83" s="19" t="n">
        <f aca="false">hsA_28</f>
        <v>8.5016070125</v>
      </c>
      <c r="G83" s="19" t="n">
        <f aca="false">hsA_29</f>
        <v>11.477169466875</v>
      </c>
      <c r="H83" s="19" t="n">
        <f aca="false">G83*(1+g_tail)</f>
        <v>12.6248864135625</v>
      </c>
      <c r="I83" s="19" t="n">
        <f aca="false">H83*(1+g_tail)</f>
        <v>13.8873750549188</v>
      </c>
      <c r="J83" s="8" t="s">
        <v>541</v>
      </c>
    </row>
    <row r="84" customFormat="false" ht="15" hidden="false" customHeight="false" outlineLevel="0" collapsed="false">
      <c r="A84" s="0" t="s">
        <v>542</v>
      </c>
      <c r="B84" s="0" t="s">
        <v>543</v>
      </c>
      <c r="C84" s="19" t="n">
        <f aca="false">den_25</f>
        <v>24</v>
      </c>
      <c r="D84" s="19" t="n">
        <f aca="false">den_26</f>
        <v>24</v>
      </c>
      <c r="E84" s="19" t="n">
        <f aca="false">den_27</f>
        <v>26</v>
      </c>
      <c r="F84" s="19" t="n">
        <f aca="false">den_28</f>
        <v>28</v>
      </c>
      <c r="G84" s="19" t="n">
        <f aca="false">den_29</f>
        <v>30</v>
      </c>
      <c r="H84" s="19" t="n">
        <f aca="false">den_30</f>
        <v>32</v>
      </c>
      <c r="I84" s="19" t="n">
        <f aca="false">den_30</f>
        <v>32</v>
      </c>
    </row>
    <row r="85" customFormat="false" ht="15" hidden="false" customHeight="false" outlineLevel="0" collapsed="false">
      <c r="A85" s="5" t="s">
        <v>544</v>
      </c>
      <c r="B85" s="5" t="s">
        <v>152</v>
      </c>
      <c r="C85" s="19" t="n">
        <f aca="false">stk_25</f>
        <v>10</v>
      </c>
      <c r="D85" s="19" t="n">
        <f aca="false">stk_26</f>
        <v>12</v>
      </c>
      <c r="E85" s="19" t="n">
        <f aca="false">stk_27</f>
        <v>12.5</v>
      </c>
      <c r="F85" s="19" t="n">
        <f aca="false">stk_28</f>
        <v>14</v>
      </c>
      <c r="G85" s="19" t="n">
        <f aca="false">stk_29</f>
        <v>15</v>
      </c>
      <c r="H85" s="19" t="n">
        <f aca="false">stk_30</f>
        <v>16</v>
      </c>
      <c r="I85" s="19" t="n">
        <f aca="false">stk_30</f>
        <v>16</v>
      </c>
    </row>
    <row r="86" customFormat="false" ht="15" hidden="false" customHeight="false" outlineLevel="0" collapsed="false">
      <c r="A86" s="0" t="s">
        <v>545</v>
      </c>
      <c r="B86" s="5" t="s">
        <v>546</v>
      </c>
      <c r="C86" s="19" t="n">
        <f aca="false">C83*8/C84</f>
        <v>0.741704901960783</v>
      </c>
      <c r="D86" s="19" t="n">
        <f aca="false">D83*8/D84</f>
        <v>1.26089833333333</v>
      </c>
      <c r="E86" s="19" t="n">
        <f aca="false">E83*8/E84</f>
        <v>1.80405453846154</v>
      </c>
      <c r="F86" s="19" t="n">
        <f aca="false">F83*8/F84</f>
        <v>2.429030575</v>
      </c>
      <c r="G86" s="19" t="n">
        <f aca="false">G83*8/G84</f>
        <v>3.0605785245</v>
      </c>
      <c r="H86" s="19" t="n">
        <f aca="false">H83*8/H84</f>
        <v>3.15622160339063</v>
      </c>
      <c r="I86" s="19" t="n">
        <f aca="false">I83*8/I84</f>
        <v>3.47184376372969</v>
      </c>
      <c r="J86" s="8" t="s">
        <v>547</v>
      </c>
    </row>
    <row r="87" customFormat="false" ht="15" hidden="false" customHeight="false" outlineLevel="0" collapsed="false">
      <c r="A87" s="0" t="s">
        <v>548</v>
      </c>
      <c r="B87" s="5" t="s">
        <v>549</v>
      </c>
      <c r="C87" s="19" t="n">
        <f aca="false">C86*(1+s_stk/C85)</f>
        <v>0.964216372549018</v>
      </c>
      <c r="D87" s="19" t="n">
        <f aca="false">D86*(1+s_stk/D85)</f>
        <v>1.57612291666667</v>
      </c>
      <c r="E87" s="19" t="n">
        <f aca="false">E86*(1+s_stk/E85)</f>
        <v>2.23702762769231</v>
      </c>
      <c r="F87" s="19" t="n">
        <f aca="false">F86*(1+s_stk/F85)</f>
        <v>2.94953712678571</v>
      </c>
      <c r="G87" s="19" t="n">
        <f aca="false">G86*(1+s_stk/G85)</f>
        <v>3.6726942294</v>
      </c>
      <c r="H87" s="19" t="n">
        <f aca="false">H86*(1+s_stk/H85)</f>
        <v>3.74801315402637</v>
      </c>
      <c r="I87" s="19" t="n">
        <f aca="false">I86*(1+s_stk/I85)</f>
        <v>4.12281446942901</v>
      </c>
      <c r="J87" s="5" t="s">
        <v>550</v>
      </c>
    </row>
    <row r="88" customFormat="false" ht="15" hidden="false" customHeight="false" outlineLevel="0" collapsed="false">
      <c r="A88" s="5" t="s">
        <v>551</v>
      </c>
      <c r="B88" s="0" t="s">
        <v>60</v>
      </c>
      <c r="C88" s="22" t="n">
        <f aca="false">hbp_25*hb_on</f>
        <v>0</v>
      </c>
      <c r="D88" s="22" t="n">
        <f aca="false">hbp_26*hb_on</f>
        <v>0</v>
      </c>
      <c r="E88" s="22" t="n">
        <f aca="false">hbp_27*hb_on</f>
        <v>0</v>
      </c>
      <c r="F88" s="22" t="n">
        <f aca="false">hbp_28*hb_on</f>
        <v>0.05</v>
      </c>
      <c r="G88" s="22" t="n">
        <f aca="false">hbp_29*hb_on</f>
        <v>0.15</v>
      </c>
      <c r="H88" s="22" t="n">
        <f aca="false">hbp_30*hb_on</f>
        <v>0.25</v>
      </c>
      <c r="I88" s="22" t="n">
        <f aca="false">hbp_30*hb_on</f>
        <v>0.25</v>
      </c>
    </row>
    <row r="89" customFormat="false" ht="15" hidden="false" customHeight="false" outlineLevel="0" collapsed="false">
      <c r="A89" s="0" t="s">
        <v>552</v>
      </c>
      <c r="B89" s="5" t="s">
        <v>549</v>
      </c>
      <c r="C89" s="19" t="n">
        <f aca="false">C87*(1+C88*hb_eff)</f>
        <v>0.964216372549018</v>
      </c>
      <c r="D89" s="19" t="n">
        <f aca="false">D87*(1+D88*hb_eff)</f>
        <v>1.57612291666667</v>
      </c>
      <c r="E89" s="19" t="n">
        <f aca="false">E87*(1+E88*hb_eff)</f>
        <v>2.23702762769231</v>
      </c>
      <c r="F89" s="19" t="n">
        <f aca="false">F87*(1+F88*hb_eff)</f>
        <v>2.96428481241964</v>
      </c>
      <c r="G89" s="19" t="n">
        <f aca="false">G87*(1+G88*hb_eff)</f>
        <v>3.727784642841</v>
      </c>
      <c r="H89" s="19" t="n">
        <f aca="false">H87*(1+H88*hb_eff)</f>
        <v>3.84171348287703</v>
      </c>
      <c r="I89" s="19" t="n">
        <f aca="false">I87*(1+I88*hb_eff)</f>
        <v>4.22588483116473</v>
      </c>
      <c r="J89" s="5" t="s">
        <v>553</v>
      </c>
    </row>
    <row r="90" customFormat="false" ht="15" hidden="false" customHeight="false" outlineLevel="0" collapsed="false">
      <c r="A90" s="0" t="s">
        <v>554</v>
      </c>
      <c r="B90" s="5" t="s">
        <v>549</v>
      </c>
      <c r="C90" s="19" t="n">
        <f aca="false">MAX(0,D89-C89)+dlt_lo*C89</f>
        <v>0.660117362745099</v>
      </c>
      <c r="D90" s="19" t="n">
        <f aca="false">MAX(0,E89-D89)+dlt_lo*D89</f>
        <v>0.739710856858974</v>
      </c>
      <c r="E90" s="19" t="n">
        <f aca="false">MAX(0,F89-E89)+dlt_lo*E89</f>
        <v>0.83910856611195</v>
      </c>
      <c r="F90" s="19" t="n">
        <f aca="false">MAX(0,G89-F89)+dlt_lo*F89</f>
        <v>0.91171407104234</v>
      </c>
      <c r="G90" s="19" t="n">
        <f aca="false">MAX(0,H89-G89)+dlt_lo*G89</f>
        <v>0.300318072178077</v>
      </c>
      <c r="H90" s="19" t="n">
        <f aca="false">MAX(0,I89-H89)+dlt_lo*H89</f>
        <v>0.576257022431555</v>
      </c>
      <c r="J90" s="5" t="s">
        <v>555</v>
      </c>
    </row>
    <row r="91" customFormat="false" ht="15" hidden="false" customHeight="false" outlineLevel="0" collapsed="false">
      <c r="A91" s="0" t="s">
        <v>556</v>
      </c>
      <c r="B91" s="5" t="s">
        <v>181</v>
      </c>
      <c r="C91" s="21" t="n">
        <f aca="false">cw_25</f>
        <v>670</v>
      </c>
      <c r="D91" s="21" t="n">
        <f aca="false">cw_26</f>
        <v>1107.85762580894</v>
      </c>
      <c r="E91" s="21" t="n">
        <f aca="false">cw_27</f>
        <v>2096.42857142857</v>
      </c>
      <c r="F91" s="21" t="n">
        <f aca="false">cw_28*um28_A</f>
        <v>2620.08928571429</v>
      </c>
      <c r="G91" s="21" t="n">
        <f aca="false">cw_29*um29_A</f>
        <v>3013.32589285714</v>
      </c>
      <c r="H91" s="21" t="n">
        <f aca="false">G91*(1+g_tail)</f>
        <v>3314.65848214285</v>
      </c>
      <c r="I91" s="21" t="n">
        <f aca="false">H91*(1+g_tail)</f>
        <v>3646.12433035714</v>
      </c>
      <c r="J91" s="5" t="s">
        <v>557</v>
      </c>
    </row>
    <row r="92" customFormat="false" ht="15" hidden="false" customHeight="false" outlineLevel="0" collapsed="false">
      <c r="A92" s="5" t="s">
        <v>558</v>
      </c>
      <c r="B92" s="5" t="s">
        <v>181</v>
      </c>
      <c r="C92" s="21" t="n">
        <f aca="false">MAX(0,D91-C91)+dlt_lo*C91</f>
        <v>471.35762580894</v>
      </c>
      <c r="D92" s="21" t="n">
        <f aca="false">MAX(0,E91-D91)+dlt_lo*D91</f>
        <v>1043.96382691008</v>
      </c>
      <c r="E92" s="21" t="n">
        <f aca="false">MAX(0,F91-E91)+dlt_lo*E91</f>
        <v>628.482142857148</v>
      </c>
      <c r="F92" s="21" t="n">
        <f aca="false">MAX(0,G91-F91)+dlt_lo*F91</f>
        <v>524.241071428565</v>
      </c>
      <c r="G92" s="21" t="n">
        <f aca="false">MAX(0,H91-G91)+dlt_lo*G91</f>
        <v>451.998883928571</v>
      </c>
      <c r="H92" s="21" t="n">
        <f aca="false">MAX(0,I91-H91)+dlt_lo*H91</f>
        <v>497.198772321429</v>
      </c>
    </row>
    <row r="93" customFormat="false" ht="15" hidden="false" customHeight="false" outlineLevel="0" collapsed="false">
      <c r="A93" s="1" t="s">
        <v>559</v>
      </c>
    </row>
    <row r="94" customFormat="false" ht="15" hidden="false" customHeight="false" outlineLevel="0" collapsed="false">
      <c r="A94" s="0" t="s">
        <v>560</v>
      </c>
      <c r="B94" s="0" t="s">
        <v>561</v>
      </c>
      <c r="C94" s="16" t="n">
        <f aca="false">ai_25*w_hbm/(0.75*C90+0.25*D90)</f>
        <v>52.9399513565335</v>
      </c>
      <c r="J94" s="5" t="s">
        <v>562</v>
      </c>
    </row>
    <row r="95" customFormat="false" ht="15" hidden="false" customHeight="false" outlineLevel="0" collapsed="false">
      <c r="A95" s="5" t="s">
        <v>563</v>
      </c>
      <c r="B95" s="0" t="s">
        <v>564</v>
      </c>
      <c r="C95" s="18" t="n">
        <f aca="false">ai_25*(1-w_hbm)/(0.75*C92+0.25*D92)</f>
        <v>0.0634652850076476</v>
      </c>
    </row>
    <row r="96" customFormat="false" ht="15" hidden="false" customHeight="false" outlineLevel="0" collapsed="false">
      <c r="A96" s="1" t="s">
        <v>565</v>
      </c>
    </row>
    <row r="97" customFormat="false" ht="15" hidden="false" customHeight="false" outlineLevel="0" collapsed="false">
      <c r="A97" s="5" t="s">
        <v>566</v>
      </c>
      <c r="B97" s="0" t="s">
        <v>80</v>
      </c>
      <c r="C97" s="16" t="n">
        <f aca="false">1-sh_loss/sh*0</f>
        <v>1</v>
      </c>
      <c r="D97" s="16" t="n">
        <f aca="false">1-sh_loss/sh*0.25</f>
        <v>1</v>
      </c>
      <c r="E97" s="16" t="n">
        <f aca="false">1-sh_loss/sh*0.5</f>
        <v>1</v>
      </c>
      <c r="F97" s="16" t="n">
        <f aca="false">1-sh_loss/sh*0.75</f>
        <v>1</v>
      </c>
      <c r="G97" s="16" t="n">
        <f aca="false">1-sh_loss/sh*1</f>
        <v>1</v>
      </c>
    </row>
    <row r="98" customFormat="false" ht="15" hidden="false" customHeight="false" outlineLevel="0" collapsed="false">
      <c r="A98" s="0" t="s">
        <v>567</v>
      </c>
      <c r="B98" s="0" t="s">
        <v>33</v>
      </c>
      <c r="C98" s="11" t="n">
        <f aca="false">$C$94*(0.75*C90+0.25*D90)*C97</f>
        <v>36</v>
      </c>
      <c r="D98" s="11" t="n">
        <f aca="false">$C$94*(0.75*D90+0.25*E90)*D97</f>
        <v>40.4757842532147</v>
      </c>
      <c r="E98" s="11" t="n">
        <f aca="false">$C$94*(0.75*E90+0.25*F90)*E97</f>
        <v>45.3832996476251</v>
      </c>
      <c r="F98" s="11" t="n">
        <f aca="false">$C$94*(0.75*F90+0.25*G90)*F97</f>
        <v>40.1742799621853</v>
      </c>
      <c r="G98" s="11" t="n">
        <f aca="false">$C$94*(0.75*G90+0.25*H90)*G97</f>
        <v>19.5508727835433</v>
      </c>
    </row>
    <row r="99" customFormat="false" ht="15" hidden="false" customHeight="false" outlineLevel="0" collapsed="false">
      <c r="A99" s="5" t="s">
        <v>568</v>
      </c>
      <c r="B99" s="0" t="s">
        <v>33</v>
      </c>
      <c r="C99" s="11" t="n">
        <f aca="false">$C$95*(0.75*C92+0.25*D92)*C97</f>
        <v>39</v>
      </c>
      <c r="D99" s="11" t="n">
        <f aca="false">$C$95*(0.75*D92+0.25*E92)*D97</f>
        <v>59.6632959390534</v>
      </c>
      <c r="E99" s="11" t="n">
        <f aca="false">$C$95*(0.75*E92+0.25*F92)*E97</f>
        <v>38.2328759917166</v>
      </c>
      <c r="F99" s="11" t="n">
        <f aca="false">$C$95*(0.75*F92+0.25*G92)*F97</f>
        <v>32.1248912561127</v>
      </c>
      <c r="G99" s="11" t="n">
        <f aca="false">$C$95*(0.75*G92+0.25*H92)*G97</f>
        <v>29.403393941457</v>
      </c>
    </row>
    <row r="100" customFormat="false" ht="15" hidden="false" customHeight="false" outlineLevel="0" collapsed="false">
      <c r="A100" s="0" t="s">
        <v>569</v>
      </c>
      <c r="B100" s="0" t="s">
        <v>33</v>
      </c>
      <c r="C100" s="11" t="n">
        <f aca="false">C98+C99</f>
        <v>75</v>
      </c>
      <c r="D100" s="11" t="n">
        <f aca="false">D98+D99</f>
        <v>100.139080192268</v>
      </c>
      <c r="E100" s="11" t="n">
        <f aca="false">E98+E99</f>
        <v>83.6161756393417</v>
      </c>
      <c r="F100" s="11" t="n">
        <f aca="false">F98+F99</f>
        <v>72.2991712182979</v>
      </c>
      <c r="G100" s="11" t="n">
        <f aca="false">G98+G99</f>
        <v>48.9542667250003</v>
      </c>
    </row>
    <row r="101" customFormat="false" ht="15" hidden="false" customHeight="false" outlineLevel="0" collapsed="false">
      <c r="A101" s="5" t="s">
        <v>570</v>
      </c>
      <c r="B101" s="0" t="s">
        <v>33</v>
      </c>
      <c r="C101" s="11" t="n">
        <f aca="false">eq_25-ai_25</f>
        <v>195.87118</v>
      </c>
      <c r="D101" s="11" t="n">
        <f aca="false">C101*(1+g_non)*D97/C97</f>
        <v>207.6234508</v>
      </c>
      <c r="E101" s="11" t="n">
        <f aca="false">D101*(1+g_non)*E97/D97</f>
        <v>220.080857848</v>
      </c>
      <c r="F101" s="11" t="n">
        <f aca="false">E101*(1+g_non)*F97/E97</f>
        <v>233.28570931888</v>
      </c>
      <c r="G101" s="11" t="n">
        <f aca="false">F101*(1+g_non)*G97/F97</f>
        <v>247.282851878013</v>
      </c>
    </row>
    <row r="102" customFormat="false" ht="15" hidden="false" customHeight="false" outlineLevel="0" collapsed="false">
      <c r="A102" s="0" t="s">
        <v>571</v>
      </c>
      <c r="B102" s="0" t="s">
        <v>80</v>
      </c>
      <c r="C102" s="19" t="n">
        <f aca="false">w_hbm*(0.75*C89+0.25*D89)/(0.75*C89+0.25*D89)+(1-w_hbm)*(0.75*C91+0.25*D91)/(0.75*C91+0.25*D91)</f>
        <v>1</v>
      </c>
      <c r="D102" s="19" t="n">
        <f aca="false">w_hbm*(0.75*D89+0.25*E89)/(0.75*C89+0.25*D89)+(1-w_hbm)*(0.75*D91+0.25*E91)/(0.75*C91+0.25*D91)</f>
        <v>1.65212184085657</v>
      </c>
      <c r="E102" s="19" t="n">
        <f aca="false">w_hbm*(0.75*E89+0.25*F89)/(0.75*C89+0.25*D89)+(1-w_hbm)*(0.75*E91+0.25*F91)/(0.75*C91+0.25*D91)</f>
        <v>2.52516730417954</v>
      </c>
      <c r="F102" s="19" t="n">
        <f aca="false">w_hbm*(0.75*F89+0.25*G89)/(0.75*C89+0.25*D89)+(1-w_hbm)*(0.75*F91+0.25*G91)/(0.75*C91+0.25*D91)</f>
        <v>3.16911970169284</v>
      </c>
      <c r="G102" s="19" t="n">
        <f aca="false">w_hbm*(0.75*G89+0.25*H89)/(0.75*C89+0.25*D89)+(1-w_hbm)*(0.75*G91+0.25*H91)/(0.75*C91+0.25*D91)</f>
        <v>3.67439430985121</v>
      </c>
      <c r="J102" s="8" t="s">
        <v>572</v>
      </c>
    </row>
    <row r="103" customFormat="false" ht="15" hidden="false" customHeight="false" outlineLevel="0" collapsed="false">
      <c r="A103" s="0" t="s">
        <v>573</v>
      </c>
      <c r="B103" s="0" t="s">
        <v>33</v>
      </c>
      <c r="C103" s="11" t="n">
        <f aca="false">tl_25*w_tlai*C102</f>
        <v>25.4032258064516</v>
      </c>
      <c r="D103" s="11" t="n">
        <f aca="false">tl_25*w_tlai*D102</f>
        <v>41.9692241830499</v>
      </c>
      <c r="E103" s="11" t="n">
        <f aca="false">tl_25*w_tlai*E102</f>
        <v>64.1473952271414</v>
      </c>
      <c r="F103" s="11" t="n">
        <f aca="false">tl_25*w_tlai*F102</f>
        <v>80.5058633897778</v>
      </c>
      <c r="G103" s="11" t="n">
        <f aca="false">tl_25*w_tlai*G102</f>
        <v>93.3414683550913</v>
      </c>
      <c r="J103" s="5" t="s">
        <v>574</v>
      </c>
    </row>
    <row r="104" customFormat="false" ht="15" hidden="false" customHeight="false" outlineLevel="0" collapsed="false">
      <c r="A104" s="5" t="s">
        <v>575</v>
      </c>
      <c r="B104" s="0" t="s">
        <v>33</v>
      </c>
      <c r="C104" s="11" t="n">
        <f aca="false">tl_25*(1-w_tlai)</f>
        <v>66.3434641935484</v>
      </c>
      <c r="D104" s="11" t="n">
        <f aca="false">C104*(1+g_tl)</f>
        <v>69.6606374032258</v>
      </c>
      <c r="E104" s="11" t="n">
        <f aca="false">D104*(1+g_tl)</f>
        <v>73.1436692733871</v>
      </c>
      <c r="F104" s="11" t="n">
        <f aca="false">E104*(1+g_tl)</f>
        <v>76.8008527370565</v>
      </c>
      <c r="G104" s="11" t="n">
        <f aca="false">F104*(1+g_tl)</f>
        <v>80.6408953739093</v>
      </c>
    </row>
    <row r="105" customFormat="false" ht="15" hidden="false" customHeight="false" outlineLevel="0" collapsed="false">
      <c r="A105" s="5" t="s">
        <v>576</v>
      </c>
      <c r="B105" s="0" t="s">
        <v>33</v>
      </c>
      <c r="C105" s="11" t="n">
        <f aca="false">(C100+C101+C103+C104)*(1+r_ot)</f>
        <v>436.889</v>
      </c>
      <c r="D105" s="11" t="n">
        <f aca="false">(D100+D101+D103+D104)*(1+r_ot)</f>
        <v>505.292039251258</v>
      </c>
      <c r="E105" s="11" t="n">
        <f aca="false">(E100+E101+E103+E104)*(1+r_ot)</f>
        <v>531.310961431169</v>
      </c>
      <c r="F105" s="11" t="n">
        <f aca="false">(F100+F101+F103+F104)*(1+r_ot)</f>
        <v>557.700718872304</v>
      </c>
      <c r="G105" s="11" t="n">
        <f aca="false">(G100+G101+G103+G104)*(1+r_ot)</f>
        <v>566.529496785559</v>
      </c>
      <c r="J105" s="8" t="s">
        <v>577</v>
      </c>
    </row>
    <row r="106" customFormat="false" ht="15" hidden="false" customHeight="false" outlineLevel="0" collapsed="false">
      <c r="A106" s="1" t="s">
        <v>578</v>
      </c>
    </row>
    <row r="107" customFormat="false" ht="15" hidden="false" customHeight="false" outlineLevel="0" collapsed="false">
      <c r="A107" s="5" t="s">
        <v>579</v>
      </c>
      <c r="B107" s="0" t="s">
        <v>33</v>
      </c>
      <c r="D107" s="11" t="n">
        <f aca="false">g3_rev*(1+g_q4)</f>
        <v>145.6862</v>
      </c>
    </row>
    <row r="108" customFormat="false" ht="15" hidden="false" customHeight="false" outlineLevel="0" collapsed="false">
      <c r="A108" s="0" t="s">
        <v>580</v>
      </c>
      <c r="B108" s="0" t="s">
        <v>33</v>
      </c>
      <c r="D108" s="11" t="n">
        <f aca="false">q26h1_rev+g3_rev+D107</f>
        <v>535.1862</v>
      </c>
    </row>
    <row r="109" customFormat="false" ht="15" hidden="false" customHeight="false" outlineLevel="0" collapsed="false">
      <c r="A109" s="0" t="s">
        <v>581</v>
      </c>
      <c r="B109" s="0" t="s">
        <v>33</v>
      </c>
      <c r="D109" s="11" t="n">
        <f aca="false">q26h1_gp+(g3_rev+D107)*gm_q3</f>
        <v>378.0504836</v>
      </c>
    </row>
    <row r="110" customFormat="false" ht="15" hidden="false" customHeight="false" outlineLevel="0" collapsed="false">
      <c r="A110" s="0" t="s">
        <v>582</v>
      </c>
      <c r="B110" s="0" t="s">
        <v>33</v>
      </c>
      <c r="D110" s="11" t="n">
        <f aca="false">q26h1_oi+g3_oi+D107*m_q4</f>
        <v>238.5671</v>
      </c>
    </row>
    <row r="111" customFormat="false" ht="15" hidden="false" customHeight="false" outlineLevel="0" collapsed="false">
      <c r="A111" s="0" t="s">
        <v>583</v>
      </c>
      <c r="B111" s="0" t="s">
        <v>33</v>
      </c>
      <c r="D111" s="11" t="n">
        <f aca="false">q26h1_ni+g3_ni+D107*m_q4*nioi</f>
        <v>167.95938138934</v>
      </c>
    </row>
    <row r="112" customFormat="false" ht="15" hidden="false" customHeight="false" outlineLevel="0" collapsed="false">
      <c r="A112" s="5" t="s">
        <v>584</v>
      </c>
      <c r="B112" s="0" t="s">
        <v>80</v>
      </c>
      <c r="D112" s="16" t="n">
        <f aca="false">D108/D105</f>
        <v>1.05916214471346</v>
      </c>
      <c r="J112" s="8" t="s">
        <v>585</v>
      </c>
    </row>
    <row r="113" customFormat="false" ht="15" hidden="false" customHeight="false" outlineLevel="0" collapsed="false">
      <c r="A113" s="5" t="s">
        <v>586</v>
      </c>
      <c r="B113" s="0" t="s">
        <v>80</v>
      </c>
      <c r="D113" s="16" t="n">
        <f aca="false">1+anc_carry*(D112-1)</f>
        <v>1.05916214471346</v>
      </c>
      <c r="J113" s="8" t="s">
        <v>587</v>
      </c>
    </row>
    <row r="114" customFormat="false" ht="15" hidden="false" customHeight="false" outlineLevel="0" collapsed="false">
      <c r="A114" s="1" t="s">
        <v>588</v>
      </c>
    </row>
    <row r="115" customFormat="false" ht="15" hidden="false" customHeight="false" outlineLevel="0" collapsed="false">
      <c r="A115" s="0" t="s">
        <v>589</v>
      </c>
      <c r="B115" s="0" t="s">
        <v>33</v>
      </c>
      <c r="C115" s="11" t="n">
        <f aca="false">C98*1</f>
        <v>36</v>
      </c>
      <c r="D115" s="11" t="n">
        <f aca="false">D98*$D$112</f>
        <v>42.8704184585941</v>
      </c>
      <c r="E115" s="11" t="n">
        <f aca="false">E98*1</f>
        <v>45.3832996476251</v>
      </c>
      <c r="F115" s="11" t="n">
        <f aca="false">F98*1</f>
        <v>40.1742799621853</v>
      </c>
      <c r="G115" s="11" t="n">
        <f aca="false">G98*1</f>
        <v>19.5508727835433</v>
      </c>
    </row>
    <row r="116" customFormat="false" ht="15" hidden="false" customHeight="false" outlineLevel="0" collapsed="false">
      <c r="A116" s="5" t="s">
        <v>590</v>
      </c>
      <c r="B116" s="0" t="s">
        <v>33</v>
      </c>
      <c r="C116" s="11" t="n">
        <f aca="false">C99*1</f>
        <v>39</v>
      </c>
      <c r="D116" s="11" t="n">
        <f aca="false">D99*$D$112</f>
        <v>63.1931044874817</v>
      </c>
      <c r="E116" s="11" t="n">
        <f aca="false">E99*1</f>
        <v>38.2328759917166</v>
      </c>
      <c r="F116" s="11" t="n">
        <f aca="false">F99*1</f>
        <v>32.1248912561127</v>
      </c>
      <c r="G116" s="11" t="n">
        <f aca="false">G99*1</f>
        <v>29.403393941457</v>
      </c>
    </row>
    <row r="117" customFormat="false" ht="15" hidden="false" customHeight="false" outlineLevel="0" collapsed="false">
      <c r="A117" s="0" t="s">
        <v>591</v>
      </c>
      <c r="B117" s="0" t="s">
        <v>33</v>
      </c>
      <c r="C117" s="11" t="n">
        <f aca="false">C115+C116</f>
        <v>75</v>
      </c>
      <c r="D117" s="11" t="n">
        <f aca="false">D115+D116</f>
        <v>106.063522946076</v>
      </c>
      <c r="E117" s="11" t="n">
        <f aca="false">E115+E116</f>
        <v>83.6161756393417</v>
      </c>
      <c r="F117" s="11" t="n">
        <f aca="false">F115+F116</f>
        <v>72.2991712182979</v>
      </c>
      <c r="G117" s="11" t="n">
        <f aca="false">G115+G116</f>
        <v>48.9542667250003</v>
      </c>
    </row>
    <row r="118" customFormat="false" ht="15" hidden="false" customHeight="false" outlineLevel="0" collapsed="false">
      <c r="A118" s="5" t="s">
        <v>592</v>
      </c>
      <c r="B118" s="0" t="s">
        <v>33</v>
      </c>
      <c r="C118" s="11" t="n">
        <f aca="false">C101*1</f>
        <v>195.87118</v>
      </c>
      <c r="D118" s="11" t="n">
        <f aca="false">D101*$D$112</f>
        <v>219.906899442138</v>
      </c>
      <c r="E118" s="11" t="n">
        <f aca="false">E101*$D$113</f>
        <v>233.101313408666</v>
      </c>
      <c r="F118" s="11" t="n">
        <f aca="false">F101*$D$113</f>
        <v>247.087392213186</v>
      </c>
      <c r="G118" s="11" t="n">
        <f aca="false">G101*$D$113</f>
        <v>261.912635745977</v>
      </c>
    </row>
    <row r="119" customFormat="false" ht="15" hidden="false" customHeight="false" outlineLevel="0" collapsed="false">
      <c r="A119" s="5" t="s">
        <v>593</v>
      </c>
      <c r="B119" s="0" t="s">
        <v>33</v>
      </c>
      <c r="C119" s="11" t="n">
        <f aca="false">C117+C118</f>
        <v>270.87118</v>
      </c>
      <c r="D119" s="11" t="n">
        <f aca="false">D117+D118</f>
        <v>325.970422388213</v>
      </c>
      <c r="E119" s="11" t="n">
        <f aca="false">E117+E118</f>
        <v>316.717489048008</v>
      </c>
      <c r="F119" s="11" t="n">
        <f aca="false">F117+F118</f>
        <v>319.386563431484</v>
      </c>
      <c r="G119" s="11" t="n">
        <f aca="false">G117+G118</f>
        <v>310.866902470977</v>
      </c>
    </row>
    <row r="120" customFormat="false" ht="15" hidden="false" customHeight="false" outlineLevel="0" collapsed="false">
      <c r="A120" s="0" t="s">
        <v>594</v>
      </c>
      <c r="B120" s="0" t="s">
        <v>33</v>
      </c>
      <c r="C120" s="11" t="n">
        <f aca="false">C103*1</f>
        <v>25.4032258064516</v>
      </c>
      <c r="D120" s="11" t="n">
        <f aca="false">D103*$D$112</f>
        <v>44.4522134976792</v>
      </c>
      <c r="E120" s="11" t="n">
        <f aca="false">E103*1</f>
        <v>64.1473952271414</v>
      </c>
      <c r="F120" s="11" t="n">
        <f aca="false">F103*1</f>
        <v>80.5058633897778</v>
      </c>
      <c r="G120" s="11" t="n">
        <f aca="false">G103*1</f>
        <v>93.3414683550913</v>
      </c>
    </row>
    <row r="121" customFormat="false" ht="15" hidden="false" customHeight="false" outlineLevel="0" collapsed="false">
      <c r="A121" s="5" t="s">
        <v>595</v>
      </c>
      <c r="B121" s="0" t="s">
        <v>33</v>
      </c>
      <c r="C121" s="11" t="n">
        <f aca="false">C104*1</f>
        <v>66.3434641935484</v>
      </c>
      <c r="D121" s="11" t="n">
        <f aca="false">D104*$D$112</f>
        <v>73.7819101141073</v>
      </c>
      <c r="E121" s="11" t="n">
        <f aca="false">E104*$D$113</f>
        <v>77.4710056198127</v>
      </c>
      <c r="F121" s="11" t="n">
        <f aca="false">F104*$D$113</f>
        <v>81.3445559008033</v>
      </c>
      <c r="G121" s="11" t="n">
        <f aca="false">G104*$D$113</f>
        <v>85.4117836958435</v>
      </c>
    </row>
    <row r="122" customFormat="false" ht="15" hidden="false" customHeight="false" outlineLevel="0" collapsed="false">
      <c r="A122" s="5" t="s">
        <v>596</v>
      </c>
      <c r="B122" s="0" t="s">
        <v>33</v>
      </c>
      <c r="C122" s="11" t="n">
        <f aca="false">C120+C121</f>
        <v>91.74669</v>
      </c>
      <c r="D122" s="11" t="n">
        <f aca="false">D120+D121</f>
        <v>118.234123611787</v>
      </c>
      <c r="E122" s="11" t="n">
        <f aca="false">E120+E121</f>
        <v>141.618400846954</v>
      </c>
      <c r="F122" s="11" t="n">
        <f aca="false">F120+F121</f>
        <v>161.850419290581</v>
      </c>
      <c r="G122" s="11" t="n">
        <f aca="false">G120+G121</f>
        <v>178.753252050935</v>
      </c>
    </row>
    <row r="123" customFormat="false" ht="15" hidden="false" customHeight="false" outlineLevel="0" collapsed="false">
      <c r="A123" s="5" t="s">
        <v>458</v>
      </c>
      <c r="B123" s="0" t="s">
        <v>33</v>
      </c>
      <c r="C123" s="11" t="n">
        <f aca="false">r_ot*(C119+C122)</f>
        <v>74.27113</v>
      </c>
      <c r="D123" s="11" t="n">
        <f aca="false">r_ot*(D119+D122)</f>
        <v>90.981654</v>
      </c>
      <c r="E123" s="11" t="n">
        <f aca="false">r_ot*(E119+E122)</f>
        <v>93.8760256411368</v>
      </c>
      <c r="F123" s="11" t="n">
        <f aca="false">r_ot*(F119+F122)</f>
        <v>98.5666109189772</v>
      </c>
      <c r="G123" s="11" t="n">
        <f aca="false">r_ot*(G119+G122)</f>
        <v>100.283646106898</v>
      </c>
    </row>
    <row r="124" customFormat="false" ht="15" hidden="false" customHeight="false" outlineLevel="0" collapsed="false">
      <c r="A124" s="5" t="s">
        <v>428</v>
      </c>
      <c r="B124" s="0" t="s">
        <v>33</v>
      </c>
      <c r="C124" s="11" t="n">
        <f aca="false">C119+C122+C123</f>
        <v>436.889</v>
      </c>
      <c r="D124" s="11" t="n">
        <f aca="false">D119+D122+D123</f>
        <v>535.1862</v>
      </c>
      <c r="E124" s="11" t="n">
        <f aca="false">E119+E122+E123</f>
        <v>552.211915536099</v>
      </c>
      <c r="F124" s="11" t="n">
        <f aca="false">F119+F122+F123</f>
        <v>579.803593641042</v>
      </c>
      <c r="G124" s="11" t="n">
        <f aca="false">G119+G122+G123</f>
        <v>589.90380062881</v>
      </c>
      <c r="J124" s="8" t="s">
        <v>597</v>
      </c>
    </row>
    <row r="125" customFormat="false" ht="15" hidden="false" customHeight="false" outlineLevel="0" collapsed="false">
      <c r="A125" s="0" t="s">
        <v>598</v>
      </c>
      <c r="B125" s="0" t="s">
        <v>60</v>
      </c>
      <c r="C125" s="14" t="n">
        <f aca="false">(C117+C120)*(1+r_ot)/C124</f>
        <v>0.276884384673187</v>
      </c>
      <c r="D125" s="14" t="n">
        <f aca="false">(D117+D120)*(1+r_ot)/D124</f>
        <v>0.338843304957431</v>
      </c>
      <c r="E125" s="14" t="n">
        <f aca="false">(E117+E120)*(1+r_ot)/E124</f>
        <v>0.322391447242647</v>
      </c>
      <c r="F125" s="14" t="n">
        <f aca="false">(F117+F120)*(1+r_ot)/F124</f>
        <v>0.317525543743024</v>
      </c>
      <c r="G125" s="14" t="n">
        <f aca="false">(G117+G120)*(1+r_ot)/G124</f>
        <v>0.290624750157672</v>
      </c>
    </row>
    <row r="126" customFormat="false" ht="15" hidden="false" customHeight="false" outlineLevel="0" collapsed="false">
      <c r="A126" s="0" t="s">
        <v>599</v>
      </c>
      <c r="B126" s="0" t="s">
        <v>60</v>
      </c>
      <c r="C126" s="14" t="n">
        <f aca="false">C117*(1+r_ot)/C124</f>
        <v>0.206829299394429</v>
      </c>
      <c r="D126" s="14" t="n">
        <f aca="false">D117*(1+r_ot)/D124</f>
        <v>0.238771808846089</v>
      </c>
      <c r="E126" s="14" t="n">
        <f aca="false">E117*(1+r_ot)/E124</f>
        <v>0.182434274694273</v>
      </c>
      <c r="F126" s="14" t="n">
        <f aca="false">F117*(1+r_ot)/F124</f>
        <v>0.150236107809806</v>
      </c>
      <c r="G126" s="14" t="n">
        <f aca="false">G117*(1+r_ot)/G124</f>
        <v>0.0999841740028075</v>
      </c>
      <c r="J126" s="5" t="s">
        <v>600</v>
      </c>
    </row>
    <row r="127" customFormat="false" ht="15" hidden="false" customHeight="false" outlineLevel="0" collapsed="false">
      <c r="A127" s="5" t="s">
        <v>466</v>
      </c>
      <c r="B127" s="0" t="s">
        <v>60</v>
      </c>
      <c r="C127" s="14" t="n">
        <f aca="false">a25_gp/a25_rev</f>
        <v>0.701498549974936</v>
      </c>
      <c r="D127" s="14" t="n">
        <f aca="false">D109/D124</f>
        <v>0.70639056761927</v>
      </c>
      <c r="E127" s="14" t="n">
        <f aca="false">gm_a+gm_b*LN(E124)+0</f>
        <v>0.729117804438747</v>
      </c>
      <c r="F127" s="14" t="n">
        <f aca="false">gm_a+gm_b*LN(F124)+0</f>
        <v>0.734667677841126</v>
      </c>
      <c r="G127" s="14" t="n">
        <f aca="false">gm_a+gm_b*LN(G124)+0</f>
        <v>0.736633458900394</v>
      </c>
      <c r="J127" s="8" t="s">
        <v>601</v>
      </c>
    </row>
    <row r="128" customFormat="false" ht="15" hidden="false" customHeight="false" outlineLevel="0" collapsed="false">
      <c r="A128" s="5" t="s">
        <v>463</v>
      </c>
      <c r="B128" s="0" t="s">
        <v>33</v>
      </c>
      <c r="C128" s="11" t="n">
        <f aca="false">C124*C127</f>
        <v>306.477</v>
      </c>
      <c r="D128" s="11" t="n">
        <f aca="false">D124*D127</f>
        <v>378.0504836</v>
      </c>
      <c r="E128" s="11" t="n">
        <f aca="false">E124*E127</f>
        <v>402.627539440595</v>
      </c>
      <c r="F128" s="11" t="n">
        <f aca="false">F124*F127</f>
        <v>425.962959744204</v>
      </c>
      <c r="G128" s="11" t="n">
        <f aca="false">G124*G127</f>
        <v>434.542877075689</v>
      </c>
    </row>
    <row r="129" customFormat="false" ht="15" hidden="false" customHeight="false" outlineLevel="0" collapsed="false">
      <c r="A129" s="5" t="s">
        <v>464</v>
      </c>
      <c r="B129" s="0" t="s">
        <v>33</v>
      </c>
      <c r="C129" s="11" t="n">
        <f aca="false">a25_sga</f>
        <v>121.487</v>
      </c>
      <c r="D129" s="11" t="n">
        <f aca="false">D128-D110</f>
        <v>139.4833836</v>
      </c>
      <c r="E129" s="11" t="n">
        <f aca="false">sg_f+sg_v*E124</f>
        <v>147.483425653483</v>
      </c>
      <c r="F129" s="11" t="n">
        <f aca="false">sg_f+sg_v*F124</f>
        <v>154.446655623097</v>
      </c>
      <c r="G129" s="11" t="n">
        <f aca="false">sg_f+sg_v*G124</f>
        <v>156.995614904553</v>
      </c>
      <c r="J129" s="8" t="s">
        <v>602</v>
      </c>
    </row>
    <row r="130" customFormat="false" ht="15" hidden="false" customHeight="false" outlineLevel="0" collapsed="false">
      <c r="A130" s="5" t="s">
        <v>432</v>
      </c>
      <c r="B130" s="0" t="s">
        <v>33</v>
      </c>
      <c r="C130" s="11" t="n">
        <f aca="false">C128-C129</f>
        <v>184.99</v>
      </c>
      <c r="D130" s="11" t="n">
        <f aca="false">D128-D129</f>
        <v>238.5671</v>
      </c>
      <c r="E130" s="11" t="n">
        <f aca="false">E128-E129</f>
        <v>255.144113787112</v>
      </c>
      <c r="F130" s="11" t="n">
        <f aca="false">F128-F129</f>
        <v>271.516304121107</v>
      </c>
      <c r="G130" s="11" t="n">
        <f aca="false">G128-G129</f>
        <v>277.547262171136</v>
      </c>
    </row>
    <row r="131" customFormat="false" ht="15" hidden="false" customHeight="false" outlineLevel="0" collapsed="false">
      <c r="A131" s="5" t="s">
        <v>603</v>
      </c>
      <c r="B131" s="0" t="s">
        <v>60</v>
      </c>
      <c r="C131" s="14" t="n">
        <f aca="false">C130/C124</f>
        <v>0.423425629851061</v>
      </c>
      <c r="D131" s="14" t="n">
        <f aca="false">D130/D124</f>
        <v>0.445764670314743</v>
      </c>
      <c r="E131" s="14" t="n">
        <f aca="false">E130/E124</f>
        <v>0.46204021791057</v>
      </c>
      <c r="F131" s="14" t="n">
        <f aca="false">F130/F124</f>
        <v>0.468290136692742</v>
      </c>
      <c r="G131" s="14" t="n">
        <f aca="false">G130/G124</f>
        <v>0.470495802663559</v>
      </c>
    </row>
    <row r="132" customFormat="false" ht="15" hidden="false" customHeight="false" outlineLevel="0" collapsed="false">
      <c r="A132" s="5" t="s">
        <v>435</v>
      </c>
      <c r="B132" s="0" t="s">
        <v>33</v>
      </c>
      <c r="C132" s="11" t="n">
        <f aca="false">a25_ni</f>
        <v>135.521</v>
      </c>
      <c r="D132" s="11" t="n">
        <f aca="false">D111</f>
        <v>167.95938138934</v>
      </c>
      <c r="E132" s="11" t="n">
        <f aca="false">E130*nioi</f>
        <v>184.003658318066</v>
      </c>
      <c r="F132" s="11" t="n">
        <f aca="false">F130*nioi</f>
        <v>195.810879231061</v>
      </c>
      <c r="G132" s="11" t="n">
        <f aca="false">G130*nioi</f>
        <v>200.160257815174</v>
      </c>
    </row>
    <row r="133" customFormat="false" ht="15" hidden="false" customHeight="false" outlineLevel="0" collapsed="false">
      <c r="A133" s="0" t="s">
        <v>524</v>
      </c>
      <c r="B133" s="0" t="s">
        <v>55</v>
      </c>
      <c r="C133" s="11" t="n">
        <f aca="false">a25_eps</f>
        <v>1249.84</v>
      </c>
      <c r="D133" s="11" t="n">
        <f aca="false">D132*1000/shares</f>
        <v>1548.28555816522</v>
      </c>
      <c r="E133" s="11" t="n">
        <f aca="false">E132*1000/shares</f>
        <v>1696.18513992402</v>
      </c>
      <c r="F133" s="11" t="n">
        <f aca="false">F132*1000/shares</f>
        <v>1805.02663166112</v>
      </c>
      <c r="G133" s="11" t="n">
        <f aca="false">G132*1000/shares</f>
        <v>1845.12013518008</v>
      </c>
    </row>
    <row r="134" customFormat="false" ht="15" hidden="false" customHeight="false" outlineLevel="0" collapsed="false">
      <c r="A134" s="5" t="s">
        <v>604</v>
      </c>
      <c r="B134" s="0" t="s">
        <v>33</v>
      </c>
      <c r="C134" s="16" t="n">
        <f aca="false">ABS(C124-a25_rev)+ABS(C130-a25_oi)+ABS(D124-D108)+ABS(D130-D110)</f>
        <v>0.000999999999976353</v>
      </c>
    </row>
    <row r="135" customFormat="false" ht="15" hidden="false" customHeight="false" outlineLevel="0" collapsed="false">
      <c r="A135" s="1" t="s">
        <v>605</v>
      </c>
    </row>
    <row r="136" customFormat="false" ht="15" hidden="false" customHeight="false" outlineLevel="0" collapsed="false">
      <c r="A136" s="5" t="s">
        <v>606</v>
      </c>
      <c r="B136" s="0" t="s">
        <v>60</v>
      </c>
      <c r="C136" s="14" t="n">
        <f aca="false">a25_gp/a25_rev</f>
        <v>0.701498549974936</v>
      </c>
      <c r="D136" s="14" t="n">
        <f aca="false">gm_a+gm_b*LN(D105)+0</f>
        <v>0.719010592002505</v>
      </c>
      <c r="E136" s="14" t="n">
        <f aca="false">gm_a+gm_b*LN(E105)+0</f>
        <v>0.72472589663124</v>
      </c>
      <c r="F136" s="14" t="n">
        <f aca="false">gm_a+gm_b*LN(F105)+0</f>
        <v>0.730243610879628</v>
      </c>
      <c r="G136" s="14" t="n">
        <f aca="false">gm_a+gm_b*LN(G105)+0</f>
        <v>0.73203143824484</v>
      </c>
    </row>
    <row r="137" customFormat="false" ht="15" hidden="false" customHeight="false" outlineLevel="0" collapsed="false">
      <c r="A137" s="5" t="s">
        <v>607</v>
      </c>
      <c r="B137" s="0" t="s">
        <v>33</v>
      </c>
      <c r="C137" s="11" t="n">
        <f aca="false">a25_oi</f>
        <v>184.989</v>
      </c>
      <c r="D137" s="11" t="n">
        <f aca="false">D105*D136-sg_f-sg_v*D105</f>
        <v>227.667932641788</v>
      </c>
      <c r="E137" s="11" t="n">
        <f aca="false">E105*E136-sg_f-sg_v*E105</f>
        <v>242.846099057372</v>
      </c>
      <c r="F137" s="11" t="n">
        <f aca="false">F105*F136-sg_f-sg_v*F105</f>
        <v>258.388768067191</v>
      </c>
      <c r="G137" s="11" t="n">
        <f aca="false">G105*G136-sg_f-sg_v*G105</f>
        <v>263.620691170941</v>
      </c>
    </row>
    <row r="138" customFormat="false" ht="15" hidden="false" customHeight="false" outlineLevel="0" collapsed="false">
      <c r="A138" s="0" t="s">
        <v>608</v>
      </c>
      <c r="B138" s="0" t="s">
        <v>55</v>
      </c>
      <c r="C138" s="11" t="n">
        <f aca="false">a25_eps</f>
        <v>1249.84</v>
      </c>
      <c r="D138" s="11" t="n">
        <f aca="false">D137*nioi_v01*1000/shares</f>
        <v>1537.47956888105</v>
      </c>
      <c r="E138" s="11" t="n">
        <f aca="false">E137*nioi_v01*1000/shares</f>
        <v>1639.98026138636</v>
      </c>
      <c r="F138" s="11" t="n">
        <f aca="false">F137*nioi_v01*1000/shares</f>
        <v>1744.94250078121</v>
      </c>
      <c r="G138" s="11" t="n">
        <f aca="false">G137*nioi_v01*1000/shares</f>
        <v>1780.27455121375</v>
      </c>
    </row>
    <row r="150" customFormat="false" ht="15" hidden="false" customHeight="false" outlineLevel="0" collapsed="false">
      <c r="A150" s="4" t="s">
        <v>822</v>
      </c>
    </row>
    <row r="151" customFormat="false" ht="15" hidden="false" customHeight="false" outlineLevel="0" collapsed="false">
      <c r="A151" s="6" t="s">
        <v>22</v>
      </c>
      <c r="B151" s="6" t="s">
        <v>23</v>
      </c>
      <c r="C151" s="9" t="s">
        <v>532</v>
      </c>
      <c r="D151" s="9" t="s">
        <v>533</v>
      </c>
      <c r="E151" s="9" t="s">
        <v>534</v>
      </c>
      <c r="F151" s="9" t="s">
        <v>535</v>
      </c>
      <c r="G151" s="9" t="s">
        <v>536</v>
      </c>
      <c r="H151" s="9" t="s">
        <v>537</v>
      </c>
      <c r="I151" s="9" t="s">
        <v>538</v>
      </c>
      <c r="J151" s="6" t="s">
        <v>515</v>
      </c>
    </row>
    <row r="152" customFormat="false" ht="15" hidden="false" customHeight="false" outlineLevel="0" collapsed="false">
      <c r="A152" s="1" t="s">
        <v>539</v>
      </c>
    </row>
    <row r="153" customFormat="false" ht="15" hidden="false" customHeight="false" outlineLevel="0" collapsed="false">
      <c r="A153" s="0" t="s">
        <v>540</v>
      </c>
      <c r="B153" s="0" t="s">
        <v>100</v>
      </c>
      <c r="C153" s="19" t="n">
        <f aca="false">hsA_25</f>
        <v>2.22511470588235</v>
      </c>
      <c r="D153" s="19" t="n">
        <f aca="false">hsA_26</f>
        <v>3.782695</v>
      </c>
      <c r="E153" s="19" t="n">
        <f aca="false">hsA_27</f>
        <v>5.86317725</v>
      </c>
      <c r="F153" s="19" t="n">
        <f aca="false">hsA_28</f>
        <v>8.5016070125</v>
      </c>
      <c r="G153" s="19" t="n">
        <f aca="false">hsA_29</f>
        <v>11.477169466875</v>
      </c>
      <c r="H153" s="19" t="n">
        <f aca="false">G153*(1+g_tail)</f>
        <v>12.6248864135625</v>
      </c>
      <c r="I153" s="19" t="n">
        <f aca="false">H153*(1+g_tail)</f>
        <v>13.8873750549188</v>
      </c>
      <c r="J153" s="8" t="s">
        <v>541</v>
      </c>
    </row>
    <row r="154" customFormat="false" ht="15" hidden="false" customHeight="false" outlineLevel="0" collapsed="false">
      <c r="A154" s="0" t="s">
        <v>542</v>
      </c>
      <c r="B154" s="0" t="s">
        <v>543</v>
      </c>
      <c r="C154" s="19" t="n">
        <f aca="false">den_25</f>
        <v>24</v>
      </c>
      <c r="D154" s="19" t="n">
        <f aca="false">den_26</f>
        <v>24</v>
      </c>
      <c r="E154" s="19" t="n">
        <f aca="false">den_27</f>
        <v>26</v>
      </c>
      <c r="F154" s="19" t="n">
        <f aca="false">den_28</f>
        <v>28</v>
      </c>
      <c r="G154" s="19" t="n">
        <f aca="false">den_29</f>
        <v>30</v>
      </c>
      <c r="H154" s="19" t="n">
        <f aca="false">den_30</f>
        <v>32</v>
      </c>
      <c r="I154" s="19" t="n">
        <f aca="false">den_30</f>
        <v>32</v>
      </c>
    </row>
    <row r="155" customFormat="false" ht="15" hidden="false" customHeight="false" outlineLevel="0" collapsed="false">
      <c r="A155" s="5" t="s">
        <v>544</v>
      </c>
      <c r="B155" s="5" t="s">
        <v>152</v>
      </c>
      <c r="C155" s="19" t="n">
        <f aca="false">stk_25</f>
        <v>10</v>
      </c>
      <c r="D155" s="19" t="n">
        <f aca="false">stk_26</f>
        <v>12</v>
      </c>
      <c r="E155" s="19" t="n">
        <f aca="false">stk_27</f>
        <v>12.5</v>
      </c>
      <c r="F155" s="19" t="n">
        <f aca="false">stk_28</f>
        <v>14</v>
      </c>
      <c r="G155" s="19" t="n">
        <f aca="false">stk_29</f>
        <v>15</v>
      </c>
      <c r="H155" s="19" t="n">
        <f aca="false">stk_30</f>
        <v>16</v>
      </c>
      <c r="I155" s="19" t="n">
        <f aca="false">stk_30</f>
        <v>16</v>
      </c>
    </row>
    <row r="156" customFormat="false" ht="15" hidden="false" customHeight="false" outlineLevel="0" collapsed="false">
      <c r="A156" s="0" t="s">
        <v>545</v>
      </c>
      <c r="B156" s="5" t="s">
        <v>546</v>
      </c>
      <c r="C156" s="19" t="n">
        <f aca="false">C153*8/C154</f>
        <v>0.741704901960783</v>
      </c>
      <c r="D156" s="19" t="n">
        <f aca="false">D153*8/D154</f>
        <v>1.26089833333333</v>
      </c>
      <c r="E156" s="19" t="n">
        <f aca="false">E153*8/E154</f>
        <v>1.80405453846154</v>
      </c>
      <c r="F156" s="19" t="n">
        <f aca="false">F153*8/F154</f>
        <v>2.429030575</v>
      </c>
      <c r="G156" s="19" t="n">
        <f aca="false">G153*8/G154</f>
        <v>3.0605785245</v>
      </c>
      <c r="H156" s="19" t="n">
        <f aca="false">H153*8/H154</f>
        <v>3.15622160339063</v>
      </c>
      <c r="I156" s="19" t="n">
        <f aca="false">I153*8/I154</f>
        <v>3.47184376372969</v>
      </c>
      <c r="J156" s="8" t="s">
        <v>547</v>
      </c>
    </row>
    <row r="157" customFormat="false" ht="15" hidden="false" customHeight="false" outlineLevel="0" collapsed="false">
      <c r="A157" s="0" t="s">
        <v>548</v>
      </c>
      <c r="B157" s="5" t="s">
        <v>549</v>
      </c>
      <c r="C157" s="19" t="n">
        <f aca="false">C156*(1+s_stk/C155)</f>
        <v>0.964216372549018</v>
      </c>
      <c r="D157" s="19" t="n">
        <f aca="false">D156*(1+s_stk/D155)</f>
        <v>1.57612291666667</v>
      </c>
      <c r="E157" s="19" t="n">
        <f aca="false">E156*(1+s_stk/E155)</f>
        <v>2.23702762769231</v>
      </c>
      <c r="F157" s="19" t="n">
        <f aca="false">F156*(1+s_stk/F155)</f>
        <v>2.94953712678571</v>
      </c>
      <c r="G157" s="19" t="n">
        <f aca="false">G156*(1+s_stk/G155)</f>
        <v>3.6726942294</v>
      </c>
      <c r="H157" s="19" t="n">
        <f aca="false">H156*(1+s_stk/H155)</f>
        <v>3.74801315402637</v>
      </c>
      <c r="I157" s="19" t="n">
        <f aca="false">I156*(1+s_stk/I155)</f>
        <v>4.12281446942901</v>
      </c>
      <c r="J157" s="5" t="s">
        <v>550</v>
      </c>
    </row>
    <row r="158" customFormat="false" ht="15" hidden="false" customHeight="false" outlineLevel="0" collapsed="false">
      <c r="A158" s="5" t="s">
        <v>551</v>
      </c>
      <c r="B158" s="0" t="s">
        <v>60</v>
      </c>
      <c r="C158" s="22" t="n">
        <f aca="false">hbp_25*hb_on</f>
        <v>0</v>
      </c>
      <c r="D158" s="22" t="n">
        <f aca="false">hbp_26*hb_on</f>
        <v>0</v>
      </c>
      <c r="E158" s="22" t="n">
        <f aca="false">hbp_27*hb_on</f>
        <v>0</v>
      </c>
      <c r="F158" s="22" t="n">
        <f aca="false">hbp_28*hb_on</f>
        <v>0.05</v>
      </c>
      <c r="G158" s="22" t="n">
        <f aca="false">hbp_29*hb_on</f>
        <v>0.15</v>
      </c>
      <c r="H158" s="22" t="n">
        <f aca="false">hbp_30*hb_on</f>
        <v>0.25</v>
      </c>
      <c r="I158" s="22" t="n">
        <f aca="false">hbp_30*hb_on</f>
        <v>0.25</v>
      </c>
    </row>
    <row r="159" customFormat="false" ht="15" hidden="false" customHeight="false" outlineLevel="0" collapsed="false">
      <c r="A159" s="0" t="s">
        <v>552</v>
      </c>
      <c r="B159" s="5" t="s">
        <v>549</v>
      </c>
      <c r="C159" s="19" t="n">
        <f aca="false">C157*(1+C158*hb_eff)</f>
        <v>0.964216372549018</v>
      </c>
      <c r="D159" s="19" t="n">
        <f aca="false">D157*(1+D158*hb_eff)</f>
        <v>1.57612291666667</v>
      </c>
      <c r="E159" s="19" t="n">
        <f aca="false">E157*(1+E158*hb_eff)</f>
        <v>2.23702762769231</v>
      </c>
      <c r="F159" s="19" t="n">
        <f aca="false">F157*(1+F158*hb_eff)</f>
        <v>2.96428481241964</v>
      </c>
      <c r="G159" s="19" t="n">
        <f aca="false">G157*(1+G158*hb_eff)</f>
        <v>3.727784642841</v>
      </c>
      <c r="H159" s="19" t="n">
        <f aca="false">H157*(1+H158*hb_eff)</f>
        <v>3.84171348287703</v>
      </c>
      <c r="I159" s="19" t="n">
        <f aca="false">I157*(1+I158*hb_eff)</f>
        <v>4.22588483116473</v>
      </c>
      <c r="J159" s="5" t="s">
        <v>553</v>
      </c>
    </row>
    <row r="160" customFormat="false" ht="15" hidden="false" customHeight="false" outlineLevel="0" collapsed="false">
      <c r="A160" s="0" t="s">
        <v>554</v>
      </c>
      <c r="B160" s="5" t="s">
        <v>549</v>
      </c>
      <c r="C160" s="19" t="n">
        <f aca="false">MAX(0,D159-C159)+dlt_hi*C159</f>
        <v>0.756539000000001</v>
      </c>
      <c r="D160" s="19" t="n">
        <f aca="false">MAX(0,E159-D159)+dlt_hi*D159</f>
        <v>0.897323148525641</v>
      </c>
      <c r="E160" s="19" t="n">
        <f aca="false">MAX(0,F159-E159)+dlt_hi*E159</f>
        <v>1.06281132888118</v>
      </c>
      <c r="F160" s="19" t="n">
        <f aca="false">MAX(0,G159-F159)+dlt_hi*F159</f>
        <v>1.2081425522843</v>
      </c>
      <c r="G160" s="19" t="n">
        <f aca="false">MAX(0,H159-G159)+dlt_hi*G159</f>
        <v>0.673096536462177</v>
      </c>
      <c r="H160" s="19" t="n">
        <f aca="false">MAX(0,I159-H159)+dlt_hi*H159</f>
        <v>0.960428370719257</v>
      </c>
      <c r="J160" s="5" t="s">
        <v>555</v>
      </c>
    </row>
    <row r="161" customFormat="false" ht="15" hidden="false" customHeight="false" outlineLevel="0" collapsed="false">
      <c r="A161" s="0" t="s">
        <v>556</v>
      </c>
      <c r="B161" s="5" t="s">
        <v>181</v>
      </c>
      <c r="C161" s="21" t="n">
        <f aca="false">cw_25</f>
        <v>670</v>
      </c>
      <c r="D161" s="21" t="n">
        <f aca="false">cw_26</f>
        <v>1107.85762580894</v>
      </c>
      <c r="E161" s="21" t="n">
        <f aca="false">cw_27</f>
        <v>2096.42857142857</v>
      </c>
      <c r="F161" s="21" t="n">
        <f aca="false">cw_28*um28_A</f>
        <v>2620.08928571429</v>
      </c>
      <c r="G161" s="21" t="n">
        <f aca="false">cw_29*um29_A</f>
        <v>3013.32589285714</v>
      </c>
      <c r="H161" s="21" t="n">
        <f aca="false">G161*(1+g_tail)</f>
        <v>3314.65848214285</v>
      </c>
      <c r="I161" s="21" t="n">
        <f aca="false">H161*(1+g_tail)</f>
        <v>3646.12433035714</v>
      </c>
      <c r="J161" s="5" t="s">
        <v>557</v>
      </c>
    </row>
    <row r="162" customFormat="false" ht="15" hidden="false" customHeight="false" outlineLevel="0" collapsed="false">
      <c r="A162" s="5" t="s">
        <v>558</v>
      </c>
      <c r="B162" s="5" t="s">
        <v>181</v>
      </c>
      <c r="C162" s="21" t="n">
        <f aca="false">MAX(0,D161-C161)+dlt_hi*C161</f>
        <v>538.35762580894</v>
      </c>
      <c r="D162" s="21" t="n">
        <f aca="false">MAX(0,E161-D161)+dlt_hi*D161</f>
        <v>1154.74958949097</v>
      </c>
      <c r="E162" s="21" t="n">
        <f aca="false">MAX(0,F161-E161)+dlt_hi*E161</f>
        <v>838.125000000005</v>
      </c>
      <c r="F162" s="21" t="n">
        <f aca="false">MAX(0,G161-F161)+dlt_hi*F161</f>
        <v>786.249999999994</v>
      </c>
      <c r="G162" s="21" t="n">
        <f aca="false">MAX(0,H161-G161)+dlt_hi*G161</f>
        <v>753.331473214285</v>
      </c>
      <c r="H162" s="21" t="n">
        <f aca="false">MAX(0,I161-H161)+dlt_hi*H161</f>
        <v>828.664620535714</v>
      </c>
    </row>
    <row r="163" customFormat="false" ht="15" hidden="false" customHeight="false" outlineLevel="0" collapsed="false">
      <c r="A163" s="1" t="s">
        <v>559</v>
      </c>
    </row>
    <row r="164" customFormat="false" ht="15" hidden="false" customHeight="false" outlineLevel="0" collapsed="false">
      <c r="A164" s="0" t="s">
        <v>560</v>
      </c>
      <c r="B164" s="0" t="s">
        <v>561</v>
      </c>
      <c r="C164" s="16" t="n">
        <f aca="false">ai_25*w_hbm/(0.75*C160+0.25*D160)</f>
        <v>45.4697573198656</v>
      </c>
      <c r="J164" s="5" t="s">
        <v>562</v>
      </c>
    </row>
    <row r="165" customFormat="false" ht="15" hidden="false" customHeight="false" outlineLevel="0" collapsed="false">
      <c r="A165" s="5" t="s">
        <v>563</v>
      </c>
      <c r="B165" s="0" t="s">
        <v>564</v>
      </c>
      <c r="C165" s="18" t="n">
        <f aca="false">ai_25*(1-w_hbm)/(0.75*C162+0.25*D162)</f>
        <v>0.0563212992396563</v>
      </c>
    </row>
    <row r="166" customFormat="false" ht="15" hidden="false" customHeight="false" outlineLevel="0" collapsed="false">
      <c r="A166" s="1" t="s">
        <v>565</v>
      </c>
    </row>
    <row r="167" customFormat="false" ht="15" hidden="false" customHeight="false" outlineLevel="0" collapsed="false">
      <c r="A167" s="5" t="s">
        <v>566</v>
      </c>
      <c r="B167" s="0" t="s">
        <v>80</v>
      </c>
      <c r="C167" s="16" t="n">
        <f aca="false">1-sh_loss/sh*0</f>
        <v>1</v>
      </c>
      <c r="D167" s="16" t="n">
        <f aca="false">1-sh_loss/sh*0.25</f>
        <v>1</v>
      </c>
      <c r="E167" s="16" t="n">
        <f aca="false">1-sh_loss/sh*0.5</f>
        <v>1</v>
      </c>
      <c r="F167" s="16" t="n">
        <f aca="false">1-sh_loss/sh*0.75</f>
        <v>1</v>
      </c>
      <c r="G167" s="16" t="n">
        <f aca="false">1-sh_loss/sh*1</f>
        <v>1</v>
      </c>
    </row>
    <row r="168" customFormat="false" ht="15" hidden="false" customHeight="false" outlineLevel="0" collapsed="false">
      <c r="A168" s="0" t="s">
        <v>567</v>
      </c>
      <c r="B168" s="0" t="s">
        <v>33</v>
      </c>
      <c r="C168" s="11" t="n">
        <f aca="false">$C$164*(0.75*C160+0.25*D160)*C167</f>
        <v>36</v>
      </c>
      <c r="D168" s="11" t="n">
        <f aca="false">$C$164*(0.75*D160+0.25*E160)*D167</f>
        <v>42.6822426509767</v>
      </c>
      <c r="E168" s="11" t="n">
        <f aca="false">$C$164*(0.75*E160+0.25*F160)*E167</f>
        <v>49.9778170658159</v>
      </c>
      <c r="F168" s="11" t="n">
        <f aca="false">$C$164*(0.75*F160+0.25*G160)*F167</f>
        <v>48.851845536572</v>
      </c>
      <c r="G168" s="11" t="n">
        <f aca="false">$C$164*(0.75*G160+0.25*H160)*G167</f>
        <v>33.8717633592625</v>
      </c>
    </row>
    <row r="169" customFormat="false" ht="15" hidden="false" customHeight="false" outlineLevel="0" collapsed="false">
      <c r="A169" s="5" t="s">
        <v>568</v>
      </c>
      <c r="B169" s="0" t="s">
        <v>33</v>
      </c>
      <c r="C169" s="11" t="n">
        <f aca="false">$C$165*(0.75*C162+0.25*D162)*C167</f>
        <v>39</v>
      </c>
      <c r="D169" s="11" t="n">
        <f aca="false">$C$165*(0.75*D162+0.25*E162)*D167</f>
        <v>60.5788201137528</v>
      </c>
      <c r="E169" s="11" t="n">
        <f aca="false">$C$165*(0.75*E162+0.25*F162)*E167</f>
        <v>46.4738720757228</v>
      </c>
      <c r="F169" s="11" t="n">
        <f aca="false">$C$165*(0.75*F162+0.25*G162)*F167</f>
        <v>43.8191179777728</v>
      </c>
      <c r="G169" s="11" t="n">
        <f aca="false">$C$165*(0.75*G162+0.25*H162)*G167</f>
        <v>43.4893225127917</v>
      </c>
    </row>
    <row r="170" customFormat="false" ht="15" hidden="false" customHeight="false" outlineLevel="0" collapsed="false">
      <c r="A170" s="0" t="s">
        <v>569</v>
      </c>
      <c r="B170" s="0" t="s">
        <v>33</v>
      </c>
      <c r="C170" s="11" t="n">
        <f aca="false">C168+C169</f>
        <v>75</v>
      </c>
      <c r="D170" s="11" t="n">
        <f aca="false">D168+D169</f>
        <v>103.261062764729</v>
      </c>
      <c r="E170" s="11" t="n">
        <f aca="false">E168+E169</f>
        <v>96.4516891415387</v>
      </c>
      <c r="F170" s="11" t="n">
        <f aca="false">F168+F169</f>
        <v>92.6709635143448</v>
      </c>
      <c r="G170" s="11" t="n">
        <f aca="false">G168+G169</f>
        <v>77.3610858720543</v>
      </c>
    </row>
    <row r="171" customFormat="false" ht="15" hidden="false" customHeight="false" outlineLevel="0" collapsed="false">
      <c r="A171" s="5" t="s">
        <v>570</v>
      </c>
      <c r="B171" s="0" t="s">
        <v>33</v>
      </c>
      <c r="C171" s="11" t="n">
        <f aca="false">eq_25-ai_25</f>
        <v>195.87118</v>
      </c>
      <c r="D171" s="11" t="n">
        <f aca="false">C171*(1+g_non)*D167/C167</f>
        <v>207.6234508</v>
      </c>
      <c r="E171" s="11" t="n">
        <f aca="false">D171*(1+g_non)*E167/D167</f>
        <v>220.080857848</v>
      </c>
      <c r="F171" s="11" t="n">
        <f aca="false">E171*(1+g_non)*F167/E167</f>
        <v>233.28570931888</v>
      </c>
      <c r="G171" s="11" t="n">
        <f aca="false">F171*(1+g_non)*G167/F167</f>
        <v>247.282851878013</v>
      </c>
    </row>
    <row r="172" customFormat="false" ht="15" hidden="false" customHeight="false" outlineLevel="0" collapsed="false">
      <c r="A172" s="0" t="s">
        <v>571</v>
      </c>
      <c r="B172" s="0" t="s">
        <v>80</v>
      </c>
      <c r="C172" s="19" t="n">
        <f aca="false">w_hbm*(0.75*C159+0.25*D159)/(0.75*C159+0.25*D159)+(1-w_hbm)*(0.75*C161+0.25*D161)/(0.75*C161+0.25*D161)</f>
        <v>1</v>
      </c>
      <c r="D172" s="19" t="n">
        <f aca="false">w_hbm*(0.75*D159+0.25*E159)/(0.75*C159+0.25*D159)+(1-w_hbm)*(0.75*D161+0.25*E161)/(0.75*C161+0.25*D161)</f>
        <v>1.65212184085657</v>
      </c>
      <c r="E172" s="19" t="n">
        <f aca="false">w_hbm*(0.75*E159+0.25*F159)/(0.75*C159+0.25*D159)+(1-w_hbm)*(0.75*E161+0.25*F161)/(0.75*C161+0.25*D161)</f>
        <v>2.52516730417954</v>
      </c>
      <c r="F172" s="19" t="n">
        <f aca="false">w_hbm*(0.75*F159+0.25*G159)/(0.75*C159+0.25*D159)+(1-w_hbm)*(0.75*F161+0.25*G161)/(0.75*C161+0.25*D161)</f>
        <v>3.16911970169284</v>
      </c>
      <c r="G172" s="19" t="n">
        <f aca="false">w_hbm*(0.75*G159+0.25*H159)/(0.75*C159+0.25*D159)+(1-w_hbm)*(0.75*G161+0.25*H161)/(0.75*C161+0.25*D161)</f>
        <v>3.67439430985121</v>
      </c>
      <c r="J172" s="8" t="s">
        <v>572</v>
      </c>
    </row>
    <row r="173" customFormat="false" ht="15" hidden="false" customHeight="false" outlineLevel="0" collapsed="false">
      <c r="A173" s="0" t="s">
        <v>573</v>
      </c>
      <c r="B173" s="0" t="s">
        <v>33</v>
      </c>
      <c r="C173" s="11" t="n">
        <f aca="false">tl_25*w_tlai*C172</f>
        <v>25.4032258064516</v>
      </c>
      <c r="D173" s="11" t="n">
        <f aca="false">tl_25*w_tlai*D172</f>
        <v>41.9692241830499</v>
      </c>
      <c r="E173" s="11" t="n">
        <f aca="false">tl_25*w_tlai*E172</f>
        <v>64.1473952271414</v>
      </c>
      <c r="F173" s="11" t="n">
        <f aca="false">tl_25*w_tlai*F172</f>
        <v>80.5058633897778</v>
      </c>
      <c r="G173" s="11" t="n">
        <f aca="false">tl_25*w_tlai*G172</f>
        <v>93.3414683550913</v>
      </c>
      <c r="J173" s="5" t="s">
        <v>574</v>
      </c>
    </row>
    <row r="174" customFormat="false" ht="15" hidden="false" customHeight="false" outlineLevel="0" collapsed="false">
      <c r="A174" s="5" t="s">
        <v>575</v>
      </c>
      <c r="B174" s="0" t="s">
        <v>33</v>
      </c>
      <c r="C174" s="11" t="n">
        <f aca="false">tl_25*(1-w_tlai)</f>
        <v>66.3434641935484</v>
      </c>
      <c r="D174" s="11" t="n">
        <f aca="false">C174*(1+g_tl)</f>
        <v>69.6606374032258</v>
      </c>
      <c r="E174" s="11" t="n">
        <f aca="false">D174*(1+g_tl)</f>
        <v>73.1436692733871</v>
      </c>
      <c r="F174" s="11" t="n">
        <f aca="false">E174*(1+g_tl)</f>
        <v>76.8008527370565</v>
      </c>
      <c r="G174" s="11" t="n">
        <f aca="false">F174*(1+g_tl)</f>
        <v>80.6408953739093</v>
      </c>
    </row>
    <row r="175" customFormat="false" ht="15" hidden="false" customHeight="false" outlineLevel="0" collapsed="false">
      <c r="A175" s="5" t="s">
        <v>576</v>
      </c>
      <c r="B175" s="0" t="s">
        <v>33</v>
      </c>
      <c r="C175" s="11" t="n">
        <f aca="false">(C170+C171+C173+C174)*(1+r_ot)</f>
        <v>436.889</v>
      </c>
      <c r="D175" s="11" t="n">
        <f aca="false">(D170+D171+D173+D174)*(1+r_ot)</f>
        <v>509.053464037356</v>
      </c>
      <c r="E175" s="11" t="n">
        <f aca="false">(E170+E171+E173+E174)*(1+r_ot)</f>
        <v>546.775435530202</v>
      </c>
      <c r="F175" s="11" t="n">
        <f aca="false">(F170+F171+F173+F174)*(1+r_ot)</f>
        <v>582.24504693983</v>
      </c>
      <c r="G175" s="11" t="n">
        <f aca="false">(G170+G171+G173+G174)*(1+r_ot)</f>
        <v>600.754580095262</v>
      </c>
      <c r="J175" s="8" t="s">
        <v>577</v>
      </c>
    </row>
    <row r="176" customFormat="false" ht="15" hidden="false" customHeight="false" outlineLevel="0" collapsed="false">
      <c r="A176" s="1" t="s">
        <v>578</v>
      </c>
    </row>
    <row r="177" customFormat="false" ht="15" hidden="false" customHeight="false" outlineLevel="0" collapsed="false">
      <c r="A177" s="5" t="s">
        <v>579</v>
      </c>
      <c r="B177" s="0" t="s">
        <v>33</v>
      </c>
      <c r="D177" s="11" t="n">
        <f aca="false">g3_rev*(1+g_q4)</f>
        <v>145.6862</v>
      </c>
    </row>
    <row r="178" customFormat="false" ht="15" hidden="false" customHeight="false" outlineLevel="0" collapsed="false">
      <c r="A178" s="0" t="s">
        <v>580</v>
      </c>
      <c r="B178" s="0" t="s">
        <v>33</v>
      </c>
      <c r="D178" s="11" t="n">
        <f aca="false">q26h1_rev+g3_rev+D177</f>
        <v>535.1862</v>
      </c>
    </row>
    <row r="179" customFormat="false" ht="15" hidden="false" customHeight="false" outlineLevel="0" collapsed="false">
      <c r="A179" s="0" t="s">
        <v>581</v>
      </c>
      <c r="B179" s="0" t="s">
        <v>33</v>
      </c>
      <c r="D179" s="11" t="n">
        <f aca="false">q26h1_gp+(g3_rev+D177)*gm_q3</f>
        <v>378.0504836</v>
      </c>
    </row>
    <row r="180" customFormat="false" ht="15" hidden="false" customHeight="false" outlineLevel="0" collapsed="false">
      <c r="A180" s="0" t="s">
        <v>582</v>
      </c>
      <c r="B180" s="0" t="s">
        <v>33</v>
      </c>
      <c r="D180" s="11" t="n">
        <f aca="false">q26h1_oi+g3_oi+D177*m_q4</f>
        <v>238.5671</v>
      </c>
    </row>
    <row r="181" customFormat="false" ht="15" hidden="false" customHeight="false" outlineLevel="0" collapsed="false">
      <c r="A181" s="0" t="s">
        <v>583</v>
      </c>
      <c r="B181" s="0" t="s">
        <v>33</v>
      </c>
      <c r="D181" s="11" t="n">
        <f aca="false">q26h1_ni+g3_ni+D177*m_q4*nioi</f>
        <v>167.95938138934</v>
      </c>
    </row>
    <row r="182" customFormat="false" ht="15" hidden="false" customHeight="false" outlineLevel="0" collapsed="false">
      <c r="A182" s="5" t="s">
        <v>584</v>
      </c>
      <c r="B182" s="0" t="s">
        <v>80</v>
      </c>
      <c r="D182" s="16" t="n">
        <f aca="false">D178/D175</f>
        <v>1.05133593582761</v>
      </c>
      <c r="J182" s="8" t="s">
        <v>585</v>
      </c>
    </row>
    <row r="183" customFormat="false" ht="15" hidden="false" customHeight="false" outlineLevel="0" collapsed="false">
      <c r="A183" s="5" t="s">
        <v>586</v>
      </c>
      <c r="B183" s="0" t="s">
        <v>80</v>
      </c>
      <c r="D183" s="16" t="n">
        <f aca="false">1+anc_carry*(D182-1)</f>
        <v>1.05133593582761</v>
      </c>
      <c r="J183" s="8" t="s">
        <v>587</v>
      </c>
    </row>
    <row r="184" customFormat="false" ht="15" hidden="false" customHeight="false" outlineLevel="0" collapsed="false">
      <c r="A184" s="1" t="s">
        <v>588</v>
      </c>
    </row>
    <row r="185" customFormat="false" ht="15" hidden="false" customHeight="false" outlineLevel="0" collapsed="false">
      <c r="A185" s="0" t="s">
        <v>589</v>
      </c>
      <c r="B185" s="0" t="s">
        <v>33</v>
      </c>
      <c r="C185" s="11" t="n">
        <f aca="false">C168*1</f>
        <v>36</v>
      </c>
      <c r="D185" s="11" t="n">
        <f aca="false">D168*$D$182</f>
        <v>44.8733755206857</v>
      </c>
      <c r="E185" s="11" t="n">
        <f aca="false">E168*1</f>
        <v>49.9778170658159</v>
      </c>
      <c r="F185" s="11" t="n">
        <f aca="false">F168*1</f>
        <v>48.851845536572</v>
      </c>
      <c r="G185" s="11" t="n">
        <f aca="false">G168*1</f>
        <v>33.8717633592625</v>
      </c>
    </row>
    <row r="186" customFormat="false" ht="15" hidden="false" customHeight="false" outlineLevel="0" collapsed="false">
      <c r="A186" s="5" t="s">
        <v>590</v>
      </c>
      <c r="B186" s="0" t="s">
        <v>33</v>
      </c>
      <c r="C186" s="11" t="n">
        <f aca="false">C169*1</f>
        <v>39</v>
      </c>
      <c r="D186" s="11" t="n">
        <f aca="false">D169*$D$182</f>
        <v>63.6886905356247</v>
      </c>
      <c r="E186" s="11" t="n">
        <f aca="false">E169*1</f>
        <v>46.4738720757228</v>
      </c>
      <c r="F186" s="11" t="n">
        <f aca="false">F169*1</f>
        <v>43.8191179777728</v>
      </c>
      <c r="G186" s="11" t="n">
        <f aca="false">G169*1</f>
        <v>43.4893225127917</v>
      </c>
    </row>
    <row r="187" customFormat="false" ht="15" hidden="false" customHeight="false" outlineLevel="0" collapsed="false">
      <c r="A187" s="0" t="s">
        <v>591</v>
      </c>
      <c r="B187" s="0" t="s">
        <v>33</v>
      </c>
      <c r="C187" s="11" t="n">
        <f aca="false">C185+C186</f>
        <v>75</v>
      </c>
      <c r="D187" s="11" t="n">
        <f aca="false">D185+D186</f>
        <v>108.56206605631</v>
      </c>
      <c r="E187" s="11" t="n">
        <f aca="false">E185+E186</f>
        <v>96.4516891415387</v>
      </c>
      <c r="F187" s="11" t="n">
        <f aca="false">F185+F186</f>
        <v>92.6709635143448</v>
      </c>
      <c r="G187" s="11" t="n">
        <f aca="false">G185+G186</f>
        <v>77.3610858720543</v>
      </c>
    </row>
    <row r="188" customFormat="false" ht="15" hidden="false" customHeight="false" outlineLevel="0" collapsed="false">
      <c r="A188" s="5" t="s">
        <v>592</v>
      </c>
      <c r="B188" s="0" t="s">
        <v>33</v>
      </c>
      <c r="C188" s="11" t="n">
        <f aca="false">C171*1</f>
        <v>195.87118</v>
      </c>
      <c r="D188" s="11" t="n">
        <f aca="false">D171*$D$182</f>
        <v>218.281994946576</v>
      </c>
      <c r="E188" s="11" t="n">
        <f aca="false">E171*$D$183</f>
        <v>231.37891464337</v>
      </c>
      <c r="F188" s="11" t="n">
        <f aca="false">F171*$D$183</f>
        <v>245.261649521973</v>
      </c>
      <c r="G188" s="11" t="n">
        <f aca="false">G171*$D$183</f>
        <v>259.977348493291</v>
      </c>
    </row>
    <row r="189" customFormat="false" ht="15" hidden="false" customHeight="false" outlineLevel="0" collapsed="false">
      <c r="A189" s="5" t="s">
        <v>593</v>
      </c>
      <c r="B189" s="0" t="s">
        <v>33</v>
      </c>
      <c r="C189" s="11" t="n">
        <f aca="false">C187+C188</f>
        <v>270.87118</v>
      </c>
      <c r="D189" s="11" t="n">
        <f aca="false">D187+D188</f>
        <v>326.844061002886</v>
      </c>
      <c r="E189" s="11" t="n">
        <f aca="false">E187+E188</f>
        <v>327.830603784909</v>
      </c>
      <c r="F189" s="11" t="n">
        <f aca="false">F187+F188</f>
        <v>337.932613036317</v>
      </c>
      <c r="G189" s="11" t="n">
        <f aca="false">G187+G188</f>
        <v>337.338434365345</v>
      </c>
    </row>
    <row r="190" customFormat="false" ht="15" hidden="false" customHeight="false" outlineLevel="0" collapsed="false">
      <c r="A190" s="0" t="s">
        <v>594</v>
      </c>
      <c r="B190" s="0" t="s">
        <v>33</v>
      </c>
      <c r="C190" s="11" t="n">
        <f aca="false">C173*1</f>
        <v>25.4032258064516</v>
      </c>
      <c r="D190" s="11" t="n">
        <f aca="false">D173*$D$182</f>
        <v>44.1237535824456</v>
      </c>
      <c r="E190" s="11" t="n">
        <f aca="false">E173*1</f>
        <v>64.1473952271414</v>
      </c>
      <c r="F190" s="11" t="n">
        <f aca="false">F173*1</f>
        <v>80.5058633897778</v>
      </c>
      <c r="G190" s="11" t="n">
        <f aca="false">G173*1</f>
        <v>93.3414683550913</v>
      </c>
    </row>
    <row r="191" customFormat="false" ht="15" hidden="false" customHeight="false" outlineLevel="0" collapsed="false">
      <c r="A191" s="5" t="s">
        <v>595</v>
      </c>
      <c r="B191" s="0" t="s">
        <v>33</v>
      </c>
      <c r="C191" s="11" t="n">
        <f aca="false">C174*1</f>
        <v>66.3434641935484</v>
      </c>
      <c r="D191" s="11" t="n">
        <f aca="false">D174*$D$182</f>
        <v>73.2367314146682</v>
      </c>
      <c r="E191" s="11" t="n">
        <f aca="false">E174*$D$183</f>
        <v>76.8985679854016</v>
      </c>
      <c r="F191" s="11" t="n">
        <f aca="false">F174*$D$183</f>
        <v>80.7434963846717</v>
      </c>
      <c r="G191" s="11" t="n">
        <f aca="false">G174*$D$183</f>
        <v>84.7806712039053</v>
      </c>
    </row>
    <row r="192" customFormat="false" ht="15" hidden="false" customHeight="false" outlineLevel="0" collapsed="false">
      <c r="A192" s="5" t="s">
        <v>596</v>
      </c>
      <c r="B192" s="0" t="s">
        <v>33</v>
      </c>
      <c r="C192" s="11" t="n">
        <f aca="false">C190+C191</f>
        <v>91.74669</v>
      </c>
      <c r="D192" s="11" t="n">
        <f aca="false">D190+D191</f>
        <v>117.360484997114</v>
      </c>
      <c r="E192" s="11" t="n">
        <f aca="false">E190+E191</f>
        <v>141.045963212543</v>
      </c>
      <c r="F192" s="11" t="n">
        <f aca="false">F190+F191</f>
        <v>161.24935977445</v>
      </c>
      <c r="G192" s="11" t="n">
        <f aca="false">G190+G191</f>
        <v>178.122139558997</v>
      </c>
    </row>
    <row r="193" customFormat="false" ht="15" hidden="false" customHeight="false" outlineLevel="0" collapsed="false">
      <c r="A193" s="5" t="s">
        <v>458</v>
      </c>
      <c r="B193" s="0" t="s">
        <v>33</v>
      </c>
      <c r="C193" s="11" t="n">
        <f aca="false">r_ot*(C189+C192)</f>
        <v>74.27113</v>
      </c>
      <c r="D193" s="11" t="n">
        <f aca="false">r_ot*(D189+D192)</f>
        <v>90.981654</v>
      </c>
      <c r="E193" s="11" t="n">
        <f aca="false">r_ot*(E189+E192)</f>
        <v>96.0349595055023</v>
      </c>
      <c r="F193" s="11" t="n">
        <f aca="false">r_ot*(F189+F192)</f>
        <v>102.242090816663</v>
      </c>
      <c r="G193" s="11" t="n">
        <f aca="false">r_ot*(G189+G192)</f>
        <v>105.576262129082</v>
      </c>
    </row>
    <row r="194" customFormat="false" ht="15" hidden="false" customHeight="false" outlineLevel="0" collapsed="false">
      <c r="A194" s="5" t="s">
        <v>428</v>
      </c>
      <c r="B194" s="0" t="s">
        <v>33</v>
      </c>
      <c r="C194" s="11" t="n">
        <f aca="false">C189+C192+C193</f>
        <v>436.889</v>
      </c>
      <c r="D194" s="11" t="n">
        <f aca="false">D189+D192+D193</f>
        <v>535.1862</v>
      </c>
      <c r="E194" s="11" t="n">
        <f aca="false">E189+E192+E193</f>
        <v>564.911526502954</v>
      </c>
      <c r="F194" s="11" t="n">
        <f aca="false">F189+F192+F193</f>
        <v>601.42406362743</v>
      </c>
      <c r="G194" s="11" t="n">
        <f aca="false">G189+G192+G193</f>
        <v>621.036836053424</v>
      </c>
      <c r="J194" s="8" t="s">
        <v>597</v>
      </c>
    </row>
    <row r="195" customFormat="false" ht="15" hidden="false" customHeight="false" outlineLevel="0" collapsed="false">
      <c r="A195" s="0" t="s">
        <v>598</v>
      </c>
      <c r="B195" s="0" t="s">
        <v>60</v>
      </c>
      <c r="C195" s="14" t="n">
        <f aca="false">(C187+C190)*(1+r_ot)/C194</f>
        <v>0.276884384673187</v>
      </c>
      <c r="D195" s="14" t="n">
        <f aca="false">(D187+D190)*(1+r_ot)/D194</f>
        <v>0.343728629104926</v>
      </c>
      <c r="E195" s="14" t="n">
        <f aca="false">(E187+E190)*(1+r_ot)/E194</f>
        <v>0.342518896598117</v>
      </c>
      <c r="F195" s="14" t="n">
        <f aca="false">(F187+F190)*(1+r_ot)/F194</f>
        <v>0.346921235815083</v>
      </c>
      <c r="G195" s="14" t="n">
        <f aca="false">(G187+G190)*(1+r_ot)/G194</f>
        <v>0.331165103331843</v>
      </c>
    </row>
    <row r="196" customFormat="false" ht="15" hidden="false" customHeight="false" outlineLevel="0" collapsed="false">
      <c r="A196" s="0" t="s">
        <v>599</v>
      </c>
      <c r="B196" s="0" t="s">
        <v>60</v>
      </c>
      <c r="C196" s="14" t="n">
        <f aca="false">C187*(1+r_ot)/C194</f>
        <v>0.206829299394429</v>
      </c>
      <c r="D196" s="14" t="n">
        <f aca="false">D187*(1+r_ot)/D194</f>
        <v>0.244396566928224</v>
      </c>
      <c r="E196" s="14" t="n">
        <f aca="false">E187*(1+r_ot)/E194</f>
        <v>0.205708060351975</v>
      </c>
      <c r="F196" s="14" t="n">
        <f aca="false">F187*(1+r_ot)/F194</f>
        <v>0.185645653412799</v>
      </c>
      <c r="G196" s="14" t="n">
        <f aca="false">G187*(1+r_ot)/G194</f>
        <v>0.15008148010833</v>
      </c>
      <c r="J196" s="5" t="s">
        <v>600</v>
      </c>
    </row>
    <row r="197" customFormat="false" ht="15" hidden="false" customHeight="false" outlineLevel="0" collapsed="false">
      <c r="A197" s="5" t="s">
        <v>466</v>
      </c>
      <c r="B197" s="0" t="s">
        <v>60</v>
      </c>
      <c r="C197" s="14" t="n">
        <f aca="false">a25_gp/a25_rev</f>
        <v>0.701498549974936</v>
      </c>
      <c r="D197" s="14" t="n">
        <f aca="false">D179/D194</f>
        <v>0.70639056761927</v>
      </c>
      <c r="E197" s="14" t="n">
        <f aca="false">gm_a+gm_b*LN(E194)+0</f>
        <v>0.73170589384489</v>
      </c>
      <c r="F197" s="14" t="n">
        <f aca="false">gm_a+gm_b*LN(F194)+0</f>
        <v>0.738834944987563</v>
      </c>
      <c r="G197" s="14" t="n">
        <f aca="false">gm_a+gm_b*LN(G194)+0</f>
        <v>0.742487633106316</v>
      </c>
      <c r="J197" s="8" t="s">
        <v>601</v>
      </c>
    </row>
    <row r="198" customFormat="false" ht="15" hidden="false" customHeight="false" outlineLevel="0" collapsed="false">
      <c r="A198" s="5" t="s">
        <v>463</v>
      </c>
      <c r="B198" s="0" t="s">
        <v>33</v>
      </c>
      <c r="C198" s="11" t="n">
        <f aca="false">C194*C197</f>
        <v>306.477</v>
      </c>
      <c r="D198" s="11" t="n">
        <f aca="false">D194*D197</f>
        <v>378.0504836</v>
      </c>
      <c r="E198" s="11" t="n">
        <f aca="false">E194*E197</f>
        <v>413.349093443125</v>
      </c>
      <c r="F198" s="11" t="n">
        <f aca="false">F194*F197</f>
        <v>444.353114964369</v>
      </c>
      <c r="G198" s="11" t="n">
        <f aca="false">G194*G197</f>
        <v>461.112170473142</v>
      </c>
    </row>
    <row r="199" customFormat="false" ht="15" hidden="false" customHeight="false" outlineLevel="0" collapsed="false">
      <c r="A199" s="5" t="s">
        <v>464</v>
      </c>
      <c r="B199" s="0" t="s">
        <v>33</v>
      </c>
      <c r="C199" s="11" t="n">
        <f aca="false">a25_sga</f>
        <v>121.487</v>
      </c>
      <c r="D199" s="11" t="n">
        <f aca="false">D198-D180</f>
        <v>139.4833836</v>
      </c>
      <c r="E199" s="11" t="n">
        <f aca="false">sg_f+sg_v*E194</f>
        <v>150.688388807609</v>
      </c>
      <c r="F199" s="11" t="n">
        <f aca="false">sg_f+sg_v*F194</f>
        <v>159.902949509745</v>
      </c>
      <c r="G199" s="11" t="n">
        <f aca="false">sg_f+sg_v*G194</f>
        <v>164.852566717676</v>
      </c>
      <c r="J199" s="8" t="s">
        <v>602</v>
      </c>
    </row>
    <row r="200" customFormat="false" ht="15" hidden="false" customHeight="false" outlineLevel="0" collapsed="false">
      <c r="A200" s="5" t="s">
        <v>432</v>
      </c>
      <c r="B200" s="0" t="s">
        <v>33</v>
      </c>
      <c r="C200" s="11" t="n">
        <f aca="false">C198-C199</f>
        <v>184.99</v>
      </c>
      <c r="D200" s="11" t="n">
        <f aca="false">D198-D199</f>
        <v>238.5671</v>
      </c>
      <c r="E200" s="11" t="n">
        <f aca="false">E198-E199</f>
        <v>262.660704635516</v>
      </c>
      <c r="F200" s="11" t="n">
        <f aca="false">F198-F199</f>
        <v>284.450165454624</v>
      </c>
      <c r="G200" s="11" t="n">
        <f aca="false">G198-G199</f>
        <v>296.259603755466</v>
      </c>
    </row>
    <row r="201" customFormat="false" ht="15" hidden="false" customHeight="false" outlineLevel="0" collapsed="false">
      <c r="A201" s="5" t="s">
        <v>603</v>
      </c>
      <c r="B201" s="0" t="s">
        <v>60</v>
      </c>
      <c r="C201" s="14" t="n">
        <f aca="false">C200/C194</f>
        <v>0.423425629851061</v>
      </c>
      <c r="D201" s="14" t="n">
        <f aca="false">D200/D194</f>
        <v>0.445764670314743</v>
      </c>
      <c r="E201" s="14" t="n">
        <f aca="false">E200/E194</f>
        <v>0.464959010947252</v>
      </c>
      <c r="F201" s="14" t="n">
        <f aca="false">F200/F194</f>
        <v>0.472961064675382</v>
      </c>
      <c r="G201" s="14" t="n">
        <f aca="false">G200/G194</f>
        <v>0.477040308330407</v>
      </c>
    </row>
    <row r="202" customFormat="false" ht="15" hidden="false" customHeight="false" outlineLevel="0" collapsed="false">
      <c r="A202" s="5" t="s">
        <v>435</v>
      </c>
      <c r="B202" s="0" t="s">
        <v>33</v>
      </c>
      <c r="C202" s="11" t="n">
        <f aca="false">a25_ni</f>
        <v>135.521</v>
      </c>
      <c r="D202" s="11" t="n">
        <f aca="false">D181</f>
        <v>167.95938138934</v>
      </c>
      <c r="E202" s="11" t="n">
        <f aca="false">E200*nioi</f>
        <v>189.4244387298</v>
      </c>
      <c r="F202" s="11" t="n">
        <f aca="false">F200*nioi</f>
        <v>205.138461851804</v>
      </c>
      <c r="G202" s="11" t="n">
        <f aca="false">G200*nioi</f>
        <v>213.65513824219</v>
      </c>
    </row>
    <row r="203" customFormat="false" ht="15" hidden="false" customHeight="false" outlineLevel="0" collapsed="false">
      <c r="A203" s="0" t="s">
        <v>524</v>
      </c>
      <c r="B203" s="0" t="s">
        <v>55</v>
      </c>
      <c r="C203" s="11" t="n">
        <f aca="false">a25_eps</f>
        <v>1249.84</v>
      </c>
      <c r="D203" s="11" t="n">
        <f aca="false">D202*1000/shares</f>
        <v>1548.28555816522</v>
      </c>
      <c r="E203" s="11" t="n">
        <f aca="false">E202*1000/shares</f>
        <v>1746.15505500734</v>
      </c>
      <c r="F203" s="11" t="n">
        <f aca="false">F202*1000/shares</f>
        <v>1891.0102864283</v>
      </c>
      <c r="G203" s="11" t="n">
        <f aca="false">G202*1000/shares</f>
        <v>1969.51883385045</v>
      </c>
    </row>
    <row r="204" customFormat="false" ht="15" hidden="false" customHeight="false" outlineLevel="0" collapsed="false">
      <c r="A204" s="5" t="s">
        <v>604</v>
      </c>
      <c r="B204" s="0" t="s">
        <v>33</v>
      </c>
      <c r="C204" s="16" t="n">
        <f aca="false">ABS(C194-a25_rev)+ABS(C200-a25_oi)+ABS(D194-D178)+ABS(D200-D180)</f>
        <v>0.000999999999976353</v>
      </c>
    </row>
    <row r="205" customFormat="false" ht="15" hidden="false" customHeight="false" outlineLevel="0" collapsed="false">
      <c r="A205" s="1" t="s">
        <v>605</v>
      </c>
    </row>
    <row r="206" customFormat="false" ht="15" hidden="false" customHeight="false" outlineLevel="0" collapsed="false">
      <c r="A206" s="5" t="s">
        <v>606</v>
      </c>
      <c r="B206" s="0" t="s">
        <v>60</v>
      </c>
      <c r="C206" s="14" t="n">
        <f aca="false">a25_gp/a25_rev</f>
        <v>0.701498549974936</v>
      </c>
      <c r="D206" s="14" t="n">
        <f aca="false">gm_a+gm_b*LN(D175)+0</f>
        <v>0.719854781175517</v>
      </c>
      <c r="E206" s="14" t="n">
        <f aca="false">gm_a+gm_b*LN(E175)+0</f>
        <v>0.727991644802638</v>
      </c>
      <c r="F206" s="14" t="n">
        <f aca="false">gm_a+gm_b*LN(F175)+0</f>
        <v>0.735145973089977</v>
      </c>
      <c r="G206" s="14" t="n">
        <f aca="false">gm_a+gm_b*LN(G175)+0</f>
        <v>0.738708167468558</v>
      </c>
    </row>
    <row r="207" customFormat="false" ht="15" hidden="false" customHeight="false" outlineLevel="0" collapsed="false">
      <c r="A207" s="5" t="s">
        <v>607</v>
      </c>
      <c r="B207" s="0" t="s">
        <v>33</v>
      </c>
      <c r="C207" s="11" t="n">
        <f aca="false">a25_oi</f>
        <v>184.989</v>
      </c>
      <c r="D207" s="11" t="n">
        <f aca="false">D175*D206-sg_f-sg_v*D175</f>
        <v>229.852914709522</v>
      </c>
      <c r="E207" s="11" t="n">
        <f aca="false">E175*E206-sg_f-sg_v*E175</f>
        <v>251.936511330944</v>
      </c>
      <c r="F207" s="11" t="n">
        <f aca="false">F175*F206-sg_f-sg_v*F175</f>
        <v>272.972303658357</v>
      </c>
      <c r="G207" s="11" t="n">
        <f aca="false">G175*G206-sg_f-sg_v*G175</f>
        <v>284.048321024171</v>
      </c>
    </row>
    <row r="208" customFormat="false" ht="15" hidden="false" customHeight="false" outlineLevel="0" collapsed="false">
      <c r="A208" s="0" t="s">
        <v>608</v>
      </c>
      <c r="B208" s="0" t="s">
        <v>55</v>
      </c>
      <c r="C208" s="11" t="n">
        <f aca="false">a25_eps</f>
        <v>1249.84</v>
      </c>
      <c r="D208" s="11" t="n">
        <f aca="false">D207*nioi_v01*1000/shares</f>
        <v>1552.23511766884</v>
      </c>
      <c r="E208" s="11" t="n">
        <f aca="false">E207*nioi_v01*1000/shares</f>
        <v>1701.36933353695</v>
      </c>
      <c r="F208" s="11" t="n">
        <f aca="false">F207*nioi_v01*1000/shares</f>
        <v>1843.42755202795</v>
      </c>
      <c r="G208" s="11" t="n">
        <f aca="false">G207*nioi_v01*1000/shares</f>
        <v>1918.22574695558</v>
      </c>
    </row>
    <row r="220" customFormat="false" ht="15" hidden="false" customHeight="false" outlineLevel="0" collapsed="false">
      <c r="A220" s="4" t="s">
        <v>823</v>
      </c>
    </row>
    <row r="221" customFormat="false" ht="15" hidden="false" customHeight="false" outlineLevel="0" collapsed="false">
      <c r="A221" s="6" t="s">
        <v>22</v>
      </c>
      <c r="B221" s="6" t="s">
        <v>23</v>
      </c>
      <c r="C221" s="9" t="s">
        <v>532</v>
      </c>
      <c r="D221" s="9" t="s">
        <v>533</v>
      </c>
      <c r="E221" s="9" t="s">
        <v>534</v>
      </c>
      <c r="F221" s="9" t="s">
        <v>535</v>
      </c>
      <c r="G221" s="9" t="s">
        <v>536</v>
      </c>
      <c r="H221" s="9" t="s">
        <v>537</v>
      </c>
      <c r="I221" s="9" t="s">
        <v>538</v>
      </c>
      <c r="J221" s="6" t="s">
        <v>515</v>
      </c>
    </row>
    <row r="222" customFormat="false" ht="15" hidden="false" customHeight="false" outlineLevel="0" collapsed="false">
      <c r="A222" s="1" t="s">
        <v>539</v>
      </c>
    </row>
    <row r="223" customFormat="false" ht="15" hidden="false" customHeight="false" outlineLevel="0" collapsed="false">
      <c r="A223" s="0" t="s">
        <v>540</v>
      </c>
      <c r="B223" s="0" t="s">
        <v>100</v>
      </c>
      <c r="C223" s="19" t="n">
        <f aca="false">hsA_25</f>
        <v>2.22511470588235</v>
      </c>
      <c r="D223" s="19" t="n">
        <f aca="false">hsA_26</f>
        <v>3.782695</v>
      </c>
      <c r="E223" s="19" t="n">
        <f aca="false">hsA_27</f>
        <v>5.86317725</v>
      </c>
      <c r="F223" s="19" t="n">
        <f aca="false">hsA_28</f>
        <v>8.5016070125</v>
      </c>
      <c r="G223" s="19" t="n">
        <f aca="false">hsA_29</f>
        <v>11.477169466875</v>
      </c>
      <c r="H223" s="19" t="n">
        <f aca="false">G223*(1+g_tail)</f>
        <v>12.6248864135625</v>
      </c>
      <c r="I223" s="19" t="n">
        <f aca="false">H223*(1+g_tail)</f>
        <v>13.8873750549188</v>
      </c>
      <c r="J223" s="8" t="s">
        <v>541</v>
      </c>
    </row>
    <row r="224" customFormat="false" ht="15" hidden="false" customHeight="false" outlineLevel="0" collapsed="false">
      <c r="A224" s="0" t="s">
        <v>542</v>
      </c>
      <c r="B224" s="0" t="s">
        <v>543</v>
      </c>
      <c r="C224" s="19" t="n">
        <f aca="false">den_25</f>
        <v>24</v>
      </c>
      <c r="D224" s="19" t="n">
        <f aca="false">den_26</f>
        <v>24</v>
      </c>
      <c r="E224" s="19" t="n">
        <f aca="false">den_27</f>
        <v>26</v>
      </c>
      <c r="F224" s="19" t="n">
        <f aca="false">den_28</f>
        <v>28</v>
      </c>
      <c r="G224" s="19" t="n">
        <f aca="false">den_29</f>
        <v>30</v>
      </c>
      <c r="H224" s="19" t="n">
        <f aca="false">den_30</f>
        <v>32</v>
      </c>
      <c r="I224" s="19" t="n">
        <f aca="false">den_30</f>
        <v>32</v>
      </c>
    </row>
    <row r="225" customFormat="false" ht="15" hidden="false" customHeight="false" outlineLevel="0" collapsed="false">
      <c r="A225" s="5" t="s">
        <v>544</v>
      </c>
      <c r="B225" s="5" t="s">
        <v>152</v>
      </c>
      <c r="C225" s="19" t="n">
        <f aca="false">stk_25</f>
        <v>10</v>
      </c>
      <c r="D225" s="19" t="n">
        <f aca="false">stk_26</f>
        <v>12</v>
      </c>
      <c r="E225" s="19" t="n">
        <f aca="false">stk_27</f>
        <v>12.5</v>
      </c>
      <c r="F225" s="19" t="n">
        <f aca="false">stk_28</f>
        <v>14</v>
      </c>
      <c r="G225" s="19" t="n">
        <f aca="false">stk_29</f>
        <v>15</v>
      </c>
      <c r="H225" s="19" t="n">
        <f aca="false">stk_30</f>
        <v>16</v>
      </c>
      <c r="I225" s="19" t="n">
        <f aca="false">stk_30</f>
        <v>16</v>
      </c>
    </row>
    <row r="226" customFormat="false" ht="15" hidden="false" customHeight="false" outlineLevel="0" collapsed="false">
      <c r="A226" s="0" t="s">
        <v>545</v>
      </c>
      <c r="B226" s="5" t="s">
        <v>546</v>
      </c>
      <c r="C226" s="19" t="n">
        <f aca="false">C223*8/C224</f>
        <v>0.741704901960783</v>
      </c>
      <c r="D226" s="19" t="n">
        <f aca="false">D223*8/D224</f>
        <v>1.26089833333333</v>
      </c>
      <c r="E226" s="19" t="n">
        <f aca="false">E223*8/E224</f>
        <v>1.80405453846154</v>
      </c>
      <c r="F226" s="19" t="n">
        <f aca="false">F223*8/F224</f>
        <v>2.429030575</v>
      </c>
      <c r="G226" s="19" t="n">
        <f aca="false">G223*8/G224</f>
        <v>3.0605785245</v>
      </c>
      <c r="H226" s="19" t="n">
        <f aca="false">H223*8/H224</f>
        <v>3.15622160339063</v>
      </c>
      <c r="I226" s="19" t="n">
        <f aca="false">I223*8/I224</f>
        <v>3.47184376372969</v>
      </c>
      <c r="J226" s="8" t="s">
        <v>547</v>
      </c>
    </row>
    <row r="227" customFormat="false" ht="15" hidden="false" customHeight="false" outlineLevel="0" collapsed="false">
      <c r="A227" s="0" t="s">
        <v>548</v>
      </c>
      <c r="B227" s="5" t="s">
        <v>549</v>
      </c>
      <c r="C227" s="19" t="n">
        <f aca="false">C226*(1+s_stk/C225)</f>
        <v>0.964216372549018</v>
      </c>
      <c r="D227" s="19" t="n">
        <f aca="false">D226*(1+s_stk/D225)</f>
        <v>1.57612291666667</v>
      </c>
      <c r="E227" s="19" t="n">
        <f aca="false">E226*(1+s_stk/E225)</f>
        <v>2.23702762769231</v>
      </c>
      <c r="F227" s="19" t="n">
        <f aca="false">F226*(1+s_stk/F225)</f>
        <v>2.94953712678571</v>
      </c>
      <c r="G227" s="19" t="n">
        <f aca="false">G226*(1+s_stk/G225)</f>
        <v>3.6726942294</v>
      </c>
      <c r="H227" s="19" t="n">
        <f aca="false">H226*(1+s_stk/H225)</f>
        <v>3.74801315402637</v>
      </c>
      <c r="I227" s="19" t="n">
        <f aca="false">I226*(1+s_stk/I225)</f>
        <v>4.12281446942901</v>
      </c>
      <c r="J227" s="5" t="s">
        <v>550</v>
      </c>
    </row>
    <row r="228" customFormat="false" ht="15" hidden="false" customHeight="false" outlineLevel="0" collapsed="false">
      <c r="A228" s="5" t="s">
        <v>551</v>
      </c>
      <c r="B228" s="0" t="s">
        <v>60</v>
      </c>
      <c r="C228" s="22" t="n">
        <f aca="false">hbp_25*hb_on</f>
        <v>0</v>
      </c>
      <c r="D228" s="22" t="n">
        <f aca="false">hbp_26*hb_on</f>
        <v>0</v>
      </c>
      <c r="E228" s="22" t="n">
        <f aca="false">hbp_27*hb_on</f>
        <v>0</v>
      </c>
      <c r="F228" s="22" t="n">
        <f aca="false">hbp_28*hb_on</f>
        <v>0.05</v>
      </c>
      <c r="G228" s="22" t="n">
        <f aca="false">hbp_29*hb_on</f>
        <v>0.15</v>
      </c>
      <c r="H228" s="22" t="n">
        <f aca="false">hbp_30*hb_on</f>
        <v>0.25</v>
      </c>
      <c r="I228" s="22" t="n">
        <f aca="false">hbp_30*hb_on</f>
        <v>0.25</v>
      </c>
    </row>
    <row r="229" customFormat="false" ht="15" hidden="false" customHeight="false" outlineLevel="0" collapsed="false">
      <c r="A229" s="0" t="s">
        <v>552</v>
      </c>
      <c r="B229" s="5" t="s">
        <v>549</v>
      </c>
      <c r="C229" s="19" t="n">
        <f aca="false">C227*(1+C228*hb_eff)</f>
        <v>0.964216372549018</v>
      </c>
      <c r="D229" s="19" t="n">
        <f aca="false">D227*(1+D228*hb_eff)</f>
        <v>1.57612291666667</v>
      </c>
      <c r="E229" s="19" t="n">
        <f aca="false">E227*(1+E228*hb_eff)</f>
        <v>2.23702762769231</v>
      </c>
      <c r="F229" s="19" t="n">
        <f aca="false">F227*(1+F228*hb_eff)</f>
        <v>2.96428481241964</v>
      </c>
      <c r="G229" s="19" t="n">
        <f aca="false">G227*(1+G228*hb_eff)</f>
        <v>3.727784642841</v>
      </c>
      <c r="H229" s="19" t="n">
        <f aca="false">H227*(1+H228*hb_eff)</f>
        <v>3.84171348287703</v>
      </c>
      <c r="I229" s="19" t="n">
        <f aca="false">I227*(1+I228*hb_eff)</f>
        <v>4.22588483116473</v>
      </c>
      <c r="J229" s="5" t="s">
        <v>553</v>
      </c>
    </row>
    <row r="230" customFormat="false" ht="15" hidden="false" customHeight="false" outlineLevel="0" collapsed="false">
      <c r="A230" s="0" t="s">
        <v>554</v>
      </c>
      <c r="B230" s="5" t="s">
        <v>549</v>
      </c>
      <c r="C230" s="19" t="n">
        <f aca="false">MAX(0,D229-C229)+dlt*C229</f>
        <v>0.70832818137255</v>
      </c>
      <c r="D230" s="19" t="n">
        <f aca="false">MAX(0,E229-D229)+dlt*D229</f>
        <v>0.818517002692307</v>
      </c>
      <c r="E230" s="19" t="n">
        <f aca="false">MAX(0,F229-E229)+dlt*E229</f>
        <v>0.950959947496565</v>
      </c>
      <c r="F230" s="19" t="n">
        <f aca="false">MAX(0,G229-F229)+dlt*F229</f>
        <v>1.05992831166332</v>
      </c>
      <c r="G230" s="19" t="n">
        <f aca="false">MAX(0,H229-G229)+dlt*G229</f>
        <v>0.486707304320127</v>
      </c>
      <c r="H230" s="19" t="n">
        <f aca="false">MAX(0,I229-H229)+dlt*H229</f>
        <v>0.768342696575406</v>
      </c>
      <c r="J230" s="5" t="s">
        <v>555</v>
      </c>
    </row>
    <row r="231" customFormat="false" ht="15" hidden="false" customHeight="false" outlineLevel="0" collapsed="false">
      <c r="A231" s="0" t="s">
        <v>556</v>
      </c>
      <c r="B231" s="5" t="s">
        <v>181</v>
      </c>
      <c r="C231" s="21" t="n">
        <f aca="false">cw_25</f>
        <v>670</v>
      </c>
      <c r="D231" s="21" t="n">
        <f aca="false">cw_26</f>
        <v>1107.85762580894</v>
      </c>
      <c r="E231" s="21" t="n">
        <f aca="false">cw_27</f>
        <v>2096.42857142857</v>
      </c>
      <c r="F231" s="21" t="n">
        <f aca="false">cw_28*um28_A</f>
        <v>2620.08928571429</v>
      </c>
      <c r="G231" s="21" t="n">
        <f aca="false">cw_29*um29_A</f>
        <v>3013.32589285714</v>
      </c>
      <c r="H231" s="21" t="n">
        <f aca="false">G231*(1+g_tail)</f>
        <v>3314.65848214285</v>
      </c>
      <c r="I231" s="21" t="n">
        <f aca="false">H231*(1+g_tail)</f>
        <v>3646.12433035714</v>
      </c>
      <c r="J231" s="5" t="s">
        <v>557</v>
      </c>
    </row>
    <row r="232" customFormat="false" ht="15" hidden="false" customHeight="false" outlineLevel="0" collapsed="false">
      <c r="A232" s="5" t="s">
        <v>558</v>
      </c>
      <c r="B232" s="5" t="s">
        <v>181</v>
      </c>
      <c r="C232" s="21" t="n">
        <f aca="false">MAX(0,D231-C231)+dlt*C231</f>
        <v>504.85762580894</v>
      </c>
      <c r="D232" s="21" t="n">
        <f aca="false">MAX(0,E231-D231)+dlt*D231</f>
        <v>1099.35670820052</v>
      </c>
      <c r="E232" s="21" t="n">
        <f aca="false">MAX(0,F231-E231)+dlt*E231</f>
        <v>733.303571428577</v>
      </c>
      <c r="F232" s="21" t="n">
        <f aca="false">MAX(0,G231-F231)+dlt*F231</f>
        <v>655.245535714279</v>
      </c>
      <c r="G232" s="21" t="n">
        <f aca="false">MAX(0,H231-G231)+dlt*G231</f>
        <v>602.665178571428</v>
      </c>
      <c r="H232" s="21" t="n">
        <f aca="false">MAX(0,I231-H231)+dlt*H231</f>
        <v>662.931696428571</v>
      </c>
    </row>
    <row r="233" customFormat="false" ht="15" hidden="false" customHeight="false" outlineLevel="0" collapsed="false">
      <c r="A233" s="1" t="s">
        <v>559</v>
      </c>
    </row>
    <row r="234" customFormat="false" ht="15" hidden="false" customHeight="false" outlineLevel="0" collapsed="false">
      <c r="A234" s="0" t="s">
        <v>560</v>
      </c>
      <c r="B234" s="0" t="s">
        <v>561</v>
      </c>
      <c r="C234" s="16" t="n">
        <f aca="false">ai_25_lo*w_hbm/(0.75*C230+0.25*D230)</f>
        <v>44.0291937812824</v>
      </c>
      <c r="J234" s="5" t="s">
        <v>562</v>
      </c>
    </row>
    <row r="235" customFormat="false" ht="15" hidden="false" customHeight="false" outlineLevel="0" collapsed="false">
      <c r="A235" s="5" t="s">
        <v>563</v>
      </c>
      <c r="B235" s="0" t="s">
        <v>564</v>
      </c>
      <c r="C235" s="18" t="n">
        <f aca="false">ai_25_lo*(1-w_hbm)/(0.75*C232+0.25*D232)</f>
        <v>0.0537122349324127</v>
      </c>
    </row>
    <row r="236" customFormat="false" ht="15" hidden="false" customHeight="false" outlineLevel="0" collapsed="false">
      <c r="A236" s="1" t="s">
        <v>565</v>
      </c>
    </row>
    <row r="237" customFormat="false" ht="15" hidden="false" customHeight="false" outlineLevel="0" collapsed="false">
      <c r="A237" s="5" t="s">
        <v>566</v>
      </c>
      <c r="B237" s="0" t="s">
        <v>80</v>
      </c>
      <c r="C237" s="16" t="n">
        <f aca="false">1-sh_loss/sh*0</f>
        <v>1</v>
      </c>
      <c r="D237" s="16" t="n">
        <f aca="false">1-sh_loss/sh*0.25</f>
        <v>1</v>
      </c>
      <c r="E237" s="16" t="n">
        <f aca="false">1-sh_loss/sh*0.5</f>
        <v>1</v>
      </c>
      <c r="F237" s="16" t="n">
        <f aca="false">1-sh_loss/sh*0.75</f>
        <v>1</v>
      </c>
      <c r="G237" s="16" t="n">
        <f aca="false">1-sh_loss/sh*1</f>
        <v>1</v>
      </c>
    </row>
    <row r="238" customFormat="false" ht="15" hidden="false" customHeight="false" outlineLevel="0" collapsed="false">
      <c r="A238" s="0" t="s">
        <v>567</v>
      </c>
      <c r="B238" s="0" t="s">
        <v>33</v>
      </c>
      <c r="C238" s="11" t="n">
        <f aca="false">$C$234*(0.75*C230+0.25*D230)*C237</f>
        <v>32.4</v>
      </c>
      <c r="D238" s="11" t="n">
        <f aca="false">$C$234*(0.75*D230+0.25*E230)*D237</f>
        <v>37.4964827452516</v>
      </c>
      <c r="E238" s="11" t="n">
        <f aca="false">$C$234*(0.75*E230+0.25*F230)*E237</f>
        <v>43.0694471120462</v>
      </c>
      <c r="F238" s="11" t="n">
        <f aca="false">$C$234*(0.75*F230+0.25*G230)*F237</f>
        <v>40.358174325538</v>
      </c>
      <c r="G238" s="11" t="n">
        <f aca="false">$C$234*(0.75*G230+0.25*H230)*G237</f>
        <v>24.5293750319952</v>
      </c>
    </row>
    <row r="239" customFormat="false" ht="15" hidden="false" customHeight="false" outlineLevel="0" collapsed="false">
      <c r="A239" s="5" t="s">
        <v>568</v>
      </c>
      <c r="B239" s="0" t="s">
        <v>33</v>
      </c>
      <c r="C239" s="11" t="n">
        <f aca="false">$C$235*(0.75*C232+0.25*D232)*C237</f>
        <v>35.1</v>
      </c>
      <c r="D239" s="11" t="n">
        <f aca="false">$C$235*(0.75*D232+0.25*E232)*D237</f>
        <v>54.13352276538</v>
      </c>
      <c r="E239" s="11" t="n">
        <f aca="false">$C$235*(0.75*E232+0.25*F232)*E237</f>
        <v>38.3392058171867</v>
      </c>
      <c r="F239" s="11" t="n">
        <f aca="false">$C$235*(0.75*F232+0.25*G232)*F237</f>
        <v>34.4886500287782</v>
      </c>
      <c r="G239" s="11" t="n">
        <f aca="false">$C$235*(0.75*G232+0.25*H232)*G237</f>
        <v>33.1797559984383</v>
      </c>
    </row>
    <row r="240" customFormat="false" ht="15" hidden="false" customHeight="false" outlineLevel="0" collapsed="false">
      <c r="A240" s="0" t="s">
        <v>569</v>
      </c>
      <c r="B240" s="0" t="s">
        <v>33</v>
      </c>
      <c r="C240" s="11" t="n">
        <f aca="false">C238+C239</f>
        <v>67.5</v>
      </c>
      <c r="D240" s="11" t="n">
        <f aca="false">D238+D239</f>
        <v>91.6300055106317</v>
      </c>
      <c r="E240" s="11" t="n">
        <f aca="false">E238+E239</f>
        <v>81.408652929233</v>
      </c>
      <c r="F240" s="11" t="n">
        <f aca="false">F238+F239</f>
        <v>74.8468243543162</v>
      </c>
      <c r="G240" s="11" t="n">
        <f aca="false">G238+G239</f>
        <v>57.7091310304335</v>
      </c>
    </row>
    <row r="241" customFormat="false" ht="15" hidden="false" customHeight="false" outlineLevel="0" collapsed="false">
      <c r="A241" s="5" t="s">
        <v>570</v>
      </c>
      <c r="B241" s="0" t="s">
        <v>33</v>
      </c>
      <c r="C241" s="11" t="n">
        <f aca="false">eq_25-ai_25_lo</f>
        <v>203.37118</v>
      </c>
      <c r="D241" s="11" t="n">
        <f aca="false">C241*(1+g_non)*D237/C237</f>
        <v>215.5734508</v>
      </c>
      <c r="E241" s="11" t="n">
        <f aca="false">D241*(1+g_non)*E237/D237</f>
        <v>228.507857848</v>
      </c>
      <c r="F241" s="11" t="n">
        <f aca="false">E241*(1+g_non)*F237/E237</f>
        <v>242.21832931888</v>
      </c>
      <c r="G241" s="11" t="n">
        <f aca="false">F241*(1+g_non)*G237/F237</f>
        <v>256.751429078013</v>
      </c>
    </row>
    <row r="242" customFormat="false" ht="15" hidden="false" customHeight="false" outlineLevel="0" collapsed="false">
      <c r="A242" s="0" t="s">
        <v>571</v>
      </c>
      <c r="B242" s="0" t="s">
        <v>80</v>
      </c>
      <c r="C242" s="19" t="n">
        <f aca="false">w_hbm*(0.75*C229+0.25*D229)/(0.75*C229+0.25*D229)+(1-w_hbm)*(0.75*C231+0.25*D231)/(0.75*C231+0.25*D231)</f>
        <v>1</v>
      </c>
      <c r="D242" s="19" t="n">
        <f aca="false">w_hbm*(0.75*D229+0.25*E229)/(0.75*C229+0.25*D229)+(1-w_hbm)*(0.75*D231+0.25*E231)/(0.75*C231+0.25*D231)</f>
        <v>1.65212184085657</v>
      </c>
      <c r="E242" s="19" t="n">
        <f aca="false">w_hbm*(0.75*E229+0.25*F229)/(0.75*C229+0.25*D229)+(1-w_hbm)*(0.75*E231+0.25*F231)/(0.75*C231+0.25*D231)</f>
        <v>2.52516730417954</v>
      </c>
      <c r="F242" s="19" t="n">
        <f aca="false">w_hbm*(0.75*F229+0.25*G229)/(0.75*C229+0.25*D229)+(1-w_hbm)*(0.75*F231+0.25*G231)/(0.75*C231+0.25*D231)</f>
        <v>3.16911970169284</v>
      </c>
      <c r="G242" s="19" t="n">
        <f aca="false">w_hbm*(0.75*G229+0.25*H229)/(0.75*C229+0.25*D229)+(1-w_hbm)*(0.75*G231+0.25*H231)/(0.75*C231+0.25*D231)</f>
        <v>3.67439430985121</v>
      </c>
      <c r="J242" s="8" t="s">
        <v>572</v>
      </c>
    </row>
    <row r="243" customFormat="false" ht="15" hidden="false" customHeight="false" outlineLevel="0" collapsed="false">
      <c r="A243" s="0" t="s">
        <v>573</v>
      </c>
      <c r="B243" s="0" t="s">
        <v>33</v>
      </c>
      <c r="C243" s="11" t="n">
        <f aca="false">tl_25*w_tlai*C242</f>
        <v>25.4032258064516</v>
      </c>
      <c r="D243" s="11" t="n">
        <f aca="false">tl_25*w_tlai*D242</f>
        <v>41.9692241830499</v>
      </c>
      <c r="E243" s="11" t="n">
        <f aca="false">tl_25*w_tlai*E242</f>
        <v>64.1473952271414</v>
      </c>
      <c r="F243" s="11" t="n">
        <f aca="false">tl_25*w_tlai*F242</f>
        <v>80.5058633897778</v>
      </c>
      <c r="G243" s="11" t="n">
        <f aca="false">tl_25*w_tlai*G242</f>
        <v>93.3414683550913</v>
      </c>
      <c r="J243" s="5" t="s">
        <v>574</v>
      </c>
    </row>
    <row r="244" customFormat="false" ht="15" hidden="false" customHeight="false" outlineLevel="0" collapsed="false">
      <c r="A244" s="5" t="s">
        <v>575</v>
      </c>
      <c r="B244" s="0" t="s">
        <v>33</v>
      </c>
      <c r="C244" s="11" t="n">
        <f aca="false">tl_25*(1-w_tlai)</f>
        <v>66.3434641935484</v>
      </c>
      <c r="D244" s="11" t="n">
        <f aca="false">C244*(1+g_tl)</f>
        <v>69.6606374032258</v>
      </c>
      <c r="E244" s="11" t="n">
        <f aca="false">D244*(1+g_tl)</f>
        <v>73.1436692733871</v>
      </c>
      <c r="F244" s="11" t="n">
        <f aca="false">E244*(1+g_tl)</f>
        <v>76.8008527370565</v>
      </c>
      <c r="G244" s="11" t="n">
        <f aca="false">F244*(1+g_tl)</f>
        <v>80.6408953739093</v>
      </c>
    </row>
    <row r="245" customFormat="false" ht="15" hidden="false" customHeight="false" outlineLevel="0" collapsed="false">
      <c r="A245" s="5" t="s">
        <v>576</v>
      </c>
      <c r="B245" s="0" t="s">
        <v>33</v>
      </c>
      <c r="C245" s="11" t="n">
        <f aca="false">(C240+C241+C243+C244)*(1+r_ot)</f>
        <v>436.889</v>
      </c>
      <c r="D245" s="11" t="n">
        <f aca="false">(D240+D241+D243+D244)*(1+r_ot)</f>
        <v>504.618455297479</v>
      </c>
      <c r="E245" s="11" t="n">
        <f aca="false">(E240+E241+E243+E244)*(1+r_ot)</f>
        <v>538.804307563568</v>
      </c>
      <c r="F245" s="11" t="n">
        <f aca="false">(F240+F241+F243+F244)*(1+r_ot)</f>
        <v>571.532373253049</v>
      </c>
      <c r="G245" s="11" t="n">
        <f aca="false">(G240+G241+G243+G244)*(1+r_ot)</f>
        <v>588.485450406563</v>
      </c>
      <c r="J245" s="8" t="s">
        <v>577</v>
      </c>
    </row>
    <row r="246" customFormat="false" ht="15" hidden="false" customHeight="false" outlineLevel="0" collapsed="false">
      <c r="A246" s="1" t="s">
        <v>578</v>
      </c>
    </row>
    <row r="247" customFormat="false" ht="15" hidden="false" customHeight="false" outlineLevel="0" collapsed="false">
      <c r="A247" s="5" t="s">
        <v>579</v>
      </c>
      <c r="B247" s="0" t="s">
        <v>33</v>
      </c>
      <c r="D247" s="11" t="n">
        <f aca="false">g3_rev*(1+g_q4)</f>
        <v>145.6862</v>
      </c>
    </row>
    <row r="248" customFormat="false" ht="15" hidden="false" customHeight="false" outlineLevel="0" collapsed="false">
      <c r="A248" s="0" t="s">
        <v>580</v>
      </c>
      <c r="B248" s="0" t="s">
        <v>33</v>
      </c>
      <c r="D248" s="11" t="n">
        <f aca="false">q26h1_rev+g3_rev+D247</f>
        <v>535.1862</v>
      </c>
    </row>
    <row r="249" customFormat="false" ht="15" hidden="false" customHeight="false" outlineLevel="0" collapsed="false">
      <c r="A249" s="0" t="s">
        <v>581</v>
      </c>
      <c r="B249" s="0" t="s">
        <v>33</v>
      </c>
      <c r="D249" s="11" t="n">
        <f aca="false">q26h1_gp+(g3_rev+D247)*gm_q3</f>
        <v>378.0504836</v>
      </c>
    </row>
    <row r="250" customFormat="false" ht="15" hidden="false" customHeight="false" outlineLevel="0" collapsed="false">
      <c r="A250" s="0" t="s">
        <v>582</v>
      </c>
      <c r="B250" s="0" t="s">
        <v>33</v>
      </c>
      <c r="D250" s="11" t="n">
        <f aca="false">q26h1_oi+g3_oi+D247*m_q4</f>
        <v>238.5671</v>
      </c>
    </row>
    <row r="251" customFormat="false" ht="15" hidden="false" customHeight="false" outlineLevel="0" collapsed="false">
      <c r="A251" s="0" t="s">
        <v>583</v>
      </c>
      <c r="B251" s="0" t="s">
        <v>33</v>
      </c>
      <c r="D251" s="11" t="n">
        <f aca="false">q26h1_ni+g3_ni+D247*m_q4*nioi</f>
        <v>167.95938138934</v>
      </c>
    </row>
    <row r="252" customFormat="false" ht="15" hidden="false" customHeight="false" outlineLevel="0" collapsed="false">
      <c r="A252" s="5" t="s">
        <v>584</v>
      </c>
      <c r="B252" s="0" t="s">
        <v>80</v>
      </c>
      <c r="D252" s="16" t="n">
        <f aca="false">D248/D245</f>
        <v>1.06057595472702</v>
      </c>
      <c r="J252" s="8" t="s">
        <v>585</v>
      </c>
    </row>
    <row r="253" customFormat="false" ht="15" hidden="false" customHeight="false" outlineLevel="0" collapsed="false">
      <c r="A253" s="5" t="s">
        <v>586</v>
      </c>
      <c r="B253" s="0" t="s">
        <v>80</v>
      </c>
      <c r="D253" s="16" t="n">
        <f aca="false">1+anc_carry*(D252-1)</f>
        <v>1.06057595472702</v>
      </c>
      <c r="J253" s="8" t="s">
        <v>587</v>
      </c>
    </row>
    <row r="254" customFormat="false" ht="15" hidden="false" customHeight="false" outlineLevel="0" collapsed="false">
      <c r="A254" s="1" t="s">
        <v>588</v>
      </c>
    </row>
    <row r="255" customFormat="false" ht="15" hidden="false" customHeight="false" outlineLevel="0" collapsed="false">
      <c r="A255" s="0" t="s">
        <v>589</v>
      </c>
      <c r="B255" s="0" t="s">
        <v>33</v>
      </c>
      <c r="C255" s="11" t="n">
        <f aca="false">C238*1</f>
        <v>32.4</v>
      </c>
      <c r="D255" s="11" t="n">
        <f aca="false">D238*$D$252</f>
        <v>39.7678679864506</v>
      </c>
      <c r="E255" s="11" t="n">
        <f aca="false">E238*1</f>
        <v>43.0694471120462</v>
      </c>
      <c r="F255" s="11" t="n">
        <f aca="false">F238*1</f>
        <v>40.358174325538</v>
      </c>
      <c r="G255" s="11" t="n">
        <f aca="false">G238*1</f>
        <v>24.5293750319952</v>
      </c>
    </row>
    <row r="256" customFormat="false" ht="15" hidden="false" customHeight="false" outlineLevel="0" collapsed="false">
      <c r="A256" s="5" t="s">
        <v>590</v>
      </c>
      <c r="B256" s="0" t="s">
        <v>33</v>
      </c>
      <c r="C256" s="11" t="n">
        <f aca="false">C239*1</f>
        <v>35.1</v>
      </c>
      <c r="D256" s="11" t="n">
        <f aca="false">D239*$D$252</f>
        <v>57.4127125896301</v>
      </c>
      <c r="E256" s="11" t="n">
        <f aca="false">E239*1</f>
        <v>38.3392058171867</v>
      </c>
      <c r="F256" s="11" t="n">
        <f aca="false">F239*1</f>
        <v>34.4886500287782</v>
      </c>
      <c r="G256" s="11" t="n">
        <f aca="false">G239*1</f>
        <v>33.1797559984383</v>
      </c>
    </row>
    <row r="257" customFormat="false" ht="15" hidden="false" customHeight="false" outlineLevel="0" collapsed="false">
      <c r="A257" s="0" t="s">
        <v>591</v>
      </c>
      <c r="B257" s="0" t="s">
        <v>33</v>
      </c>
      <c r="C257" s="11" t="n">
        <f aca="false">C255+C256</f>
        <v>67.5</v>
      </c>
      <c r="D257" s="11" t="n">
        <f aca="false">D255+D256</f>
        <v>97.1805805760807</v>
      </c>
      <c r="E257" s="11" t="n">
        <f aca="false">E255+E256</f>
        <v>81.408652929233</v>
      </c>
      <c r="F257" s="11" t="n">
        <f aca="false">F255+F256</f>
        <v>74.8468243543162</v>
      </c>
      <c r="G257" s="11" t="n">
        <f aca="false">G255+G256</f>
        <v>57.7091310304335</v>
      </c>
    </row>
    <row r="258" customFormat="false" ht="15" hidden="false" customHeight="false" outlineLevel="0" collapsed="false">
      <c r="A258" s="5" t="s">
        <v>592</v>
      </c>
      <c r="B258" s="0" t="s">
        <v>33</v>
      </c>
      <c r="C258" s="11" t="n">
        <f aca="false">C241*1</f>
        <v>203.37118</v>
      </c>
      <c r="D258" s="11" t="n">
        <f aca="false">D241*$D$252</f>
        <v>228.632018396009</v>
      </c>
      <c r="E258" s="11" t="n">
        <f aca="false">E241*$D$253</f>
        <v>242.34993949977</v>
      </c>
      <c r="F258" s="11" t="n">
        <f aca="false">F241*$D$253</f>
        <v>256.890935869756</v>
      </c>
      <c r="G258" s="11" t="n">
        <f aca="false">G241*$D$253</f>
        <v>272.304392021941</v>
      </c>
    </row>
    <row r="259" customFormat="false" ht="15" hidden="false" customHeight="false" outlineLevel="0" collapsed="false">
      <c r="A259" s="5" t="s">
        <v>593</v>
      </c>
      <c r="B259" s="0" t="s">
        <v>33</v>
      </c>
      <c r="C259" s="11" t="n">
        <f aca="false">C257+C258</f>
        <v>270.87118</v>
      </c>
      <c r="D259" s="11" t="n">
        <f aca="false">D257+D258</f>
        <v>325.81259897209</v>
      </c>
      <c r="E259" s="11" t="n">
        <f aca="false">E257+E258</f>
        <v>323.758592429003</v>
      </c>
      <c r="F259" s="11" t="n">
        <f aca="false">F257+F258</f>
        <v>331.737760224072</v>
      </c>
      <c r="G259" s="11" t="n">
        <f aca="false">G257+G258</f>
        <v>330.013523052375</v>
      </c>
    </row>
    <row r="260" customFormat="false" ht="15" hidden="false" customHeight="false" outlineLevel="0" collapsed="false">
      <c r="A260" s="0" t="s">
        <v>594</v>
      </c>
      <c r="B260" s="0" t="s">
        <v>33</v>
      </c>
      <c r="C260" s="11" t="n">
        <f aca="false">C243*1</f>
        <v>25.4032258064516</v>
      </c>
      <c r="D260" s="11" t="n">
        <f aca="false">D243*$D$252</f>
        <v>44.5115500070907</v>
      </c>
      <c r="E260" s="11" t="n">
        <f aca="false">E243*1</f>
        <v>64.1473952271414</v>
      </c>
      <c r="F260" s="11" t="n">
        <f aca="false">F243*1</f>
        <v>80.5058633897778</v>
      </c>
      <c r="G260" s="11" t="n">
        <f aca="false">G243*1</f>
        <v>93.3414683550913</v>
      </c>
    </row>
    <row r="261" customFormat="false" ht="15" hidden="false" customHeight="false" outlineLevel="0" collapsed="false">
      <c r="A261" s="5" t="s">
        <v>595</v>
      </c>
      <c r="B261" s="0" t="s">
        <v>33</v>
      </c>
      <c r="C261" s="11" t="n">
        <f aca="false">C244*1</f>
        <v>66.3434641935484</v>
      </c>
      <c r="D261" s="11" t="n">
        <f aca="false">D244*$D$252</f>
        <v>73.8803970208193</v>
      </c>
      <c r="E261" s="11" t="n">
        <f aca="false">E244*$D$253</f>
        <v>77.5744168718603</v>
      </c>
      <c r="F261" s="11" t="n">
        <f aca="false">F244*$D$253</f>
        <v>81.4531377154533</v>
      </c>
      <c r="G261" s="11" t="n">
        <f aca="false">G244*$D$253</f>
        <v>85.5257946012259</v>
      </c>
    </row>
    <row r="262" customFormat="false" ht="15" hidden="false" customHeight="false" outlineLevel="0" collapsed="false">
      <c r="A262" s="5" t="s">
        <v>596</v>
      </c>
      <c r="B262" s="0" t="s">
        <v>33</v>
      </c>
      <c r="C262" s="11" t="n">
        <f aca="false">C260+C261</f>
        <v>91.74669</v>
      </c>
      <c r="D262" s="11" t="n">
        <f aca="false">D260+D261</f>
        <v>118.39194702791</v>
      </c>
      <c r="E262" s="11" t="n">
        <f aca="false">E260+E261</f>
        <v>141.721812099002</v>
      </c>
      <c r="F262" s="11" t="n">
        <f aca="false">F260+F261</f>
        <v>161.959001105231</v>
      </c>
      <c r="G262" s="11" t="n">
        <f aca="false">G260+G261</f>
        <v>178.867262956317</v>
      </c>
    </row>
    <row r="263" customFormat="false" ht="15" hidden="false" customHeight="false" outlineLevel="0" collapsed="false">
      <c r="A263" s="5" t="s">
        <v>458</v>
      </c>
      <c r="B263" s="0" t="s">
        <v>33</v>
      </c>
      <c r="C263" s="11" t="n">
        <f aca="false">r_ot*(C259+C262)</f>
        <v>74.27113</v>
      </c>
      <c r="D263" s="11" t="n">
        <f aca="false">r_ot*(D259+D262)</f>
        <v>90.981654</v>
      </c>
      <c r="E263" s="11" t="n">
        <f aca="false">r_ot*(E259+E262)</f>
        <v>95.3393599635672</v>
      </c>
      <c r="F263" s="11" t="n">
        <f aca="false">r_ot*(F259+F262)</f>
        <v>101.118613766243</v>
      </c>
      <c r="G263" s="11" t="n">
        <f aca="false">r_ot*(G259+G262)</f>
        <v>104.228594724672</v>
      </c>
    </row>
    <row r="264" customFormat="false" ht="15" hidden="false" customHeight="false" outlineLevel="0" collapsed="false">
      <c r="A264" s="5" t="s">
        <v>428</v>
      </c>
      <c r="B264" s="0" t="s">
        <v>33</v>
      </c>
      <c r="C264" s="11" t="n">
        <f aca="false">C259+C262+C263</f>
        <v>436.889</v>
      </c>
      <c r="D264" s="11" t="n">
        <f aca="false">D259+D262+D263</f>
        <v>535.1862</v>
      </c>
      <c r="E264" s="11" t="n">
        <f aca="false">E259+E262+E263</f>
        <v>560.819764491572</v>
      </c>
      <c r="F264" s="11" t="n">
        <f aca="false">F259+F262+F263</f>
        <v>594.815375095546</v>
      </c>
      <c r="G264" s="11" t="n">
        <f aca="false">G259+G262+G263</f>
        <v>613.109380733364</v>
      </c>
      <c r="J264" s="8" t="s">
        <v>597</v>
      </c>
    </row>
    <row r="265" customFormat="false" ht="15" hidden="false" customHeight="false" outlineLevel="0" collapsed="false">
      <c r="A265" s="0" t="s">
        <v>598</v>
      </c>
      <c r="B265" s="0" t="s">
        <v>60</v>
      </c>
      <c r="C265" s="14" t="n">
        <f aca="false">(C257+C260)*(1+r_ot)/C264</f>
        <v>0.256201454733744</v>
      </c>
      <c r="D265" s="14" t="n">
        <f aca="false">(D257+D260)*(1+r_ot)/D264</f>
        <v>0.31897946983904</v>
      </c>
      <c r="E265" s="14" t="n">
        <f aca="false">(E257+E260)*(1+r_ot)/E264</f>
        <v>0.312700699622292</v>
      </c>
      <c r="F265" s="14" t="n">
        <f aca="false">(F257+F260)*(1+r_ot)/F264</f>
        <v>0.314672284512864</v>
      </c>
      <c r="G265" s="14" t="n">
        <f aca="false">(G257+G260)*(1+r_ot)/G264</f>
        <v>0.296829048253641</v>
      </c>
    </row>
    <row r="266" customFormat="false" ht="15" hidden="false" customHeight="false" outlineLevel="0" collapsed="false">
      <c r="A266" s="0" t="s">
        <v>599</v>
      </c>
      <c r="B266" s="0" t="s">
        <v>60</v>
      </c>
      <c r="C266" s="14" t="n">
        <f aca="false">C257*(1+r_ot)/C264</f>
        <v>0.186146369454986</v>
      </c>
      <c r="D266" s="14" t="n">
        <f aca="false">D257*(1+r_ot)/D264</f>
        <v>0.218774394479251</v>
      </c>
      <c r="E266" s="14" t="n">
        <f aca="false">E257*(1+r_ot)/E264</f>
        <v>0.174891686389637</v>
      </c>
      <c r="F266" s="14" t="n">
        <f aca="false">F257*(1+r_ot)/F264</f>
        <v>0.151604851838176</v>
      </c>
      <c r="G266" s="14" t="n">
        <f aca="false">G257*(1+r_ot)/G264</f>
        <v>0.113404028246112</v>
      </c>
      <c r="J266" s="5" t="s">
        <v>600</v>
      </c>
    </row>
    <row r="267" customFormat="false" ht="15" hidden="false" customHeight="false" outlineLevel="0" collapsed="false">
      <c r="A267" s="5" t="s">
        <v>466</v>
      </c>
      <c r="B267" s="0" t="s">
        <v>60</v>
      </c>
      <c r="C267" s="14" t="n">
        <f aca="false">a25_gp/a25_rev</f>
        <v>0.701498549974936</v>
      </c>
      <c r="D267" s="14" t="n">
        <f aca="false">D249/D264</f>
        <v>0.70639056761927</v>
      </c>
      <c r="E267" s="14" t="n">
        <f aca="false">gm_a+gm_b*LN(E264)+0</f>
        <v>0.730878430329307</v>
      </c>
      <c r="F267" s="14" t="n">
        <f aca="false">gm_a+gm_b*LN(F264)+0</f>
        <v>0.737577257039343</v>
      </c>
      <c r="G267" s="14" t="n">
        <f aca="false">gm_a+gm_b*LN(G264)+0</f>
        <v>0.741025306191845</v>
      </c>
      <c r="J267" s="8" t="s">
        <v>601</v>
      </c>
    </row>
    <row r="268" customFormat="false" ht="15" hidden="false" customHeight="false" outlineLevel="0" collapsed="false">
      <c r="A268" s="5" t="s">
        <v>463</v>
      </c>
      <c r="B268" s="0" t="s">
        <v>33</v>
      </c>
      <c r="C268" s="11" t="n">
        <f aca="false">C264*C267</f>
        <v>306.477</v>
      </c>
      <c r="D268" s="11" t="n">
        <f aca="false">D264*D267</f>
        <v>378.0504836</v>
      </c>
      <c r="E268" s="11" t="n">
        <f aca="false">E264*E267</f>
        <v>409.891069169251</v>
      </c>
      <c r="F268" s="11" t="n">
        <f aca="false">F264*F267</f>
        <v>438.722292807801</v>
      </c>
      <c r="G268" s="11" t="n">
        <f aca="false">G264*G267</f>
        <v>454.329566587033</v>
      </c>
    </row>
    <row r="269" customFormat="false" ht="15" hidden="false" customHeight="false" outlineLevel="0" collapsed="false">
      <c r="A269" s="5" t="s">
        <v>464</v>
      </c>
      <c r="B269" s="0" t="s">
        <v>33</v>
      </c>
      <c r="C269" s="11" t="n">
        <f aca="false">a25_sga</f>
        <v>121.487</v>
      </c>
      <c r="D269" s="11" t="n">
        <f aca="false">D268-D250</f>
        <v>139.4833836</v>
      </c>
      <c r="E269" s="11" t="n">
        <f aca="false">sg_f+sg_v*E264</f>
        <v>149.65576296449</v>
      </c>
      <c r="F269" s="11" t="n">
        <f aca="false">sg_f+sg_v*F264</f>
        <v>158.235134385561</v>
      </c>
      <c r="G269" s="11" t="n">
        <f aca="false">sg_f+sg_v*G264</f>
        <v>162.851938330469</v>
      </c>
      <c r="J269" s="8" t="s">
        <v>602</v>
      </c>
    </row>
    <row r="270" customFormat="false" ht="15" hidden="false" customHeight="false" outlineLevel="0" collapsed="false">
      <c r="A270" s="5" t="s">
        <v>432</v>
      </c>
      <c r="B270" s="0" t="s">
        <v>33</v>
      </c>
      <c r="C270" s="11" t="n">
        <f aca="false">C268-C269</f>
        <v>184.99</v>
      </c>
      <c r="D270" s="11" t="n">
        <f aca="false">D268-D269</f>
        <v>238.5671</v>
      </c>
      <c r="E270" s="11" t="n">
        <f aca="false">E268-E269</f>
        <v>260.235306204761</v>
      </c>
      <c r="F270" s="11" t="n">
        <f aca="false">F268-F269</f>
        <v>280.48715842224</v>
      </c>
      <c r="G270" s="11" t="n">
        <f aca="false">G268-G269</f>
        <v>291.477628256564</v>
      </c>
    </row>
    <row r="271" customFormat="false" ht="15" hidden="false" customHeight="false" outlineLevel="0" collapsed="false">
      <c r="A271" s="5" t="s">
        <v>603</v>
      </c>
      <c r="B271" s="0" t="s">
        <v>60</v>
      </c>
      <c r="C271" s="14" t="n">
        <f aca="false">C270/C264</f>
        <v>0.423425629851061</v>
      </c>
      <c r="D271" s="14" t="n">
        <f aca="false">D270/D264</f>
        <v>0.445764670314743</v>
      </c>
      <c r="E271" s="14" t="n">
        <f aca="false">E270/E264</f>
        <v>0.464026631516251</v>
      </c>
      <c r="F271" s="14" t="n">
        <f aca="false">F270/F264</f>
        <v>0.471553309087185</v>
      </c>
      <c r="G271" s="14" t="n">
        <f aca="false">G270/G264</f>
        <v>0.475408854302501</v>
      </c>
    </row>
    <row r="272" customFormat="false" ht="15" hidden="false" customHeight="false" outlineLevel="0" collapsed="false">
      <c r="A272" s="5" t="s">
        <v>435</v>
      </c>
      <c r="B272" s="0" t="s">
        <v>33</v>
      </c>
      <c r="C272" s="11" t="n">
        <f aca="false">a25_ni</f>
        <v>135.521</v>
      </c>
      <c r="D272" s="11" t="n">
        <f aca="false">D251</f>
        <v>167.95938138934</v>
      </c>
      <c r="E272" s="11" t="n">
        <f aca="false">E270*nioi</f>
        <v>187.675301046341</v>
      </c>
      <c r="F272" s="11" t="n">
        <f aca="false">F270*nioi</f>
        <v>202.280438670022</v>
      </c>
      <c r="G272" s="11" t="n">
        <f aca="false">G270*nioi</f>
        <v>210.206495148979</v>
      </c>
    </row>
    <row r="273" customFormat="false" ht="15" hidden="false" customHeight="false" outlineLevel="0" collapsed="false">
      <c r="A273" s="0" t="s">
        <v>524</v>
      </c>
      <c r="B273" s="0" t="s">
        <v>55</v>
      </c>
      <c r="C273" s="11" t="n">
        <f aca="false">a25_eps</f>
        <v>1249.84</v>
      </c>
      <c r="D273" s="11" t="n">
        <f aca="false">D272*1000/shares</f>
        <v>1548.28555816522</v>
      </c>
      <c r="E273" s="11" t="n">
        <f aca="false">E272*1000/shares</f>
        <v>1730.03112913824</v>
      </c>
      <c r="F273" s="11" t="n">
        <f aca="false">F272*1000/shares</f>
        <v>1864.66441648849</v>
      </c>
      <c r="G273" s="11" t="n">
        <f aca="false">G272*1000/shares</f>
        <v>1937.72850304358</v>
      </c>
    </row>
    <row r="274" customFormat="false" ht="15" hidden="false" customHeight="false" outlineLevel="0" collapsed="false">
      <c r="A274" s="5" t="s">
        <v>604</v>
      </c>
      <c r="B274" s="0" t="s">
        <v>33</v>
      </c>
      <c r="C274" s="16" t="n">
        <f aca="false">ABS(C264-a25_rev)+ABS(C270-a25_oi)+ABS(D264-D248)+ABS(D270-D250)</f>
        <v>0.000999999999976353</v>
      </c>
    </row>
    <row r="275" customFormat="false" ht="15" hidden="false" customHeight="false" outlineLevel="0" collapsed="false">
      <c r="A275" s="1" t="s">
        <v>605</v>
      </c>
    </row>
    <row r="276" customFormat="false" ht="15" hidden="false" customHeight="false" outlineLevel="0" collapsed="false">
      <c r="A276" s="5" t="s">
        <v>606</v>
      </c>
      <c r="B276" s="0" t="s">
        <v>60</v>
      </c>
      <c r="C276" s="14" t="n">
        <f aca="false">a25_gp/a25_rev</f>
        <v>0.701498549974936</v>
      </c>
      <c r="D276" s="14" t="n">
        <f aca="false">gm_a+gm_b*LN(D245)+0</f>
        <v>0.718858754089633</v>
      </c>
      <c r="E276" s="14" t="n">
        <f aca="false">gm_a+gm_b*LN(E245)+0</f>
        <v>0.726320026301431</v>
      </c>
      <c r="F276" s="14" t="n">
        <f aca="false">gm_a+gm_b*LN(F245)+0</f>
        <v>0.733032193818152</v>
      </c>
      <c r="G276" s="14" t="n">
        <f aca="false">gm_a+gm_b*LN(G245)+0</f>
        <v>0.736359449014454</v>
      </c>
    </row>
    <row r="277" customFormat="false" ht="15" hidden="false" customHeight="false" outlineLevel="0" collapsed="false">
      <c r="A277" s="5" t="s">
        <v>607</v>
      </c>
      <c r="B277" s="0" t="s">
        <v>33</v>
      </c>
      <c r="C277" s="11" t="n">
        <f aca="false">a25_oi</f>
        <v>184.989</v>
      </c>
      <c r="D277" s="11" t="n">
        <f aca="false">D245*D276-sg_f-sg_v*D245</f>
        <v>227.276988816012</v>
      </c>
      <c r="E277" s="11" t="n">
        <f aca="false">E245*E276-sg_f-sg_v*E245</f>
        <v>247.244571446023</v>
      </c>
      <c r="F277" s="11" t="n">
        <f aca="false">F245*F276-sg_f-sg_v*F245</f>
        <v>266.592357138513</v>
      </c>
      <c r="G277" s="11" t="n">
        <f aca="false">G245*G276-sg_f-sg_v*G245</f>
        <v>276.699151948772</v>
      </c>
    </row>
    <row r="278" customFormat="false" ht="15" hidden="false" customHeight="false" outlineLevel="0" collapsed="false">
      <c r="A278" s="0" t="s">
        <v>608</v>
      </c>
      <c r="B278" s="0" t="s">
        <v>55</v>
      </c>
      <c r="C278" s="11" t="n">
        <f aca="false">a25_eps</f>
        <v>1249.84</v>
      </c>
      <c r="D278" s="11" t="n">
        <f aca="false">D277*nioi_v01*1000/shares</f>
        <v>1534.83945993932</v>
      </c>
      <c r="E278" s="11" t="n">
        <f aca="false">E277*nioi_v01*1000/shares</f>
        <v>1669.68387995647</v>
      </c>
      <c r="F278" s="11" t="n">
        <f aca="false">F277*nioi_v01*1000/shares</f>
        <v>1800.34270775062</v>
      </c>
      <c r="G278" s="11" t="n">
        <f aca="false">G277*nioi_v01*1000/shares</f>
        <v>1868.59558090379</v>
      </c>
    </row>
    <row r="290" customFormat="false" ht="15" hidden="false" customHeight="false" outlineLevel="0" collapsed="false">
      <c r="A290" s="4" t="s">
        <v>824</v>
      </c>
    </row>
    <row r="291" customFormat="false" ht="15" hidden="false" customHeight="false" outlineLevel="0" collapsed="false">
      <c r="A291" s="6" t="s">
        <v>22</v>
      </c>
      <c r="B291" s="6" t="s">
        <v>23</v>
      </c>
      <c r="C291" s="9" t="s">
        <v>532</v>
      </c>
      <c r="D291" s="9" t="s">
        <v>533</v>
      </c>
      <c r="E291" s="9" t="s">
        <v>534</v>
      </c>
      <c r="F291" s="9" t="s">
        <v>535</v>
      </c>
      <c r="G291" s="9" t="s">
        <v>536</v>
      </c>
      <c r="H291" s="9" t="s">
        <v>537</v>
      </c>
      <c r="I291" s="9" t="s">
        <v>538</v>
      </c>
      <c r="J291" s="6" t="s">
        <v>515</v>
      </c>
    </row>
    <row r="292" customFormat="false" ht="15" hidden="false" customHeight="false" outlineLevel="0" collapsed="false">
      <c r="A292" s="1" t="s">
        <v>539</v>
      </c>
    </row>
    <row r="293" customFormat="false" ht="15" hidden="false" customHeight="false" outlineLevel="0" collapsed="false">
      <c r="A293" s="0" t="s">
        <v>540</v>
      </c>
      <c r="B293" s="0" t="s">
        <v>100</v>
      </c>
      <c r="C293" s="19" t="n">
        <f aca="false">hsA_25</f>
        <v>2.22511470588235</v>
      </c>
      <c r="D293" s="19" t="n">
        <f aca="false">hsA_26</f>
        <v>3.782695</v>
      </c>
      <c r="E293" s="19" t="n">
        <f aca="false">hsA_27</f>
        <v>5.86317725</v>
      </c>
      <c r="F293" s="19" t="n">
        <f aca="false">hsA_28</f>
        <v>8.5016070125</v>
      </c>
      <c r="G293" s="19" t="n">
        <f aca="false">hsA_29</f>
        <v>11.477169466875</v>
      </c>
      <c r="H293" s="19" t="n">
        <f aca="false">G293*(1+g_tail)</f>
        <v>12.6248864135625</v>
      </c>
      <c r="I293" s="19" t="n">
        <f aca="false">H293*(1+g_tail)</f>
        <v>13.8873750549188</v>
      </c>
      <c r="J293" s="8" t="s">
        <v>541</v>
      </c>
    </row>
    <row r="294" customFormat="false" ht="15" hidden="false" customHeight="false" outlineLevel="0" collapsed="false">
      <c r="A294" s="0" t="s">
        <v>542</v>
      </c>
      <c r="B294" s="0" t="s">
        <v>543</v>
      </c>
      <c r="C294" s="19" t="n">
        <f aca="false">den_25</f>
        <v>24</v>
      </c>
      <c r="D294" s="19" t="n">
        <f aca="false">den_26</f>
        <v>24</v>
      </c>
      <c r="E294" s="19" t="n">
        <f aca="false">den_27</f>
        <v>26</v>
      </c>
      <c r="F294" s="19" t="n">
        <f aca="false">den_28</f>
        <v>28</v>
      </c>
      <c r="G294" s="19" t="n">
        <f aca="false">den_29</f>
        <v>30</v>
      </c>
      <c r="H294" s="19" t="n">
        <f aca="false">den_30</f>
        <v>32</v>
      </c>
      <c r="I294" s="19" t="n">
        <f aca="false">den_30</f>
        <v>32</v>
      </c>
    </row>
    <row r="295" customFormat="false" ht="15" hidden="false" customHeight="false" outlineLevel="0" collapsed="false">
      <c r="A295" s="5" t="s">
        <v>544</v>
      </c>
      <c r="B295" s="5" t="s">
        <v>152</v>
      </c>
      <c r="C295" s="19" t="n">
        <f aca="false">stk_25</f>
        <v>10</v>
      </c>
      <c r="D295" s="19" t="n">
        <f aca="false">stk_26</f>
        <v>12</v>
      </c>
      <c r="E295" s="19" t="n">
        <f aca="false">stk_27</f>
        <v>12.5</v>
      </c>
      <c r="F295" s="19" t="n">
        <f aca="false">stk_28</f>
        <v>14</v>
      </c>
      <c r="G295" s="19" t="n">
        <f aca="false">stk_29</f>
        <v>15</v>
      </c>
      <c r="H295" s="19" t="n">
        <f aca="false">stk_30</f>
        <v>16</v>
      </c>
      <c r="I295" s="19" t="n">
        <f aca="false">stk_30</f>
        <v>16</v>
      </c>
    </row>
    <row r="296" customFormat="false" ht="15" hidden="false" customHeight="false" outlineLevel="0" collapsed="false">
      <c r="A296" s="0" t="s">
        <v>545</v>
      </c>
      <c r="B296" s="5" t="s">
        <v>546</v>
      </c>
      <c r="C296" s="19" t="n">
        <f aca="false">C293*8/C294</f>
        <v>0.741704901960783</v>
      </c>
      <c r="D296" s="19" t="n">
        <f aca="false">D293*8/D294</f>
        <v>1.26089833333333</v>
      </c>
      <c r="E296" s="19" t="n">
        <f aca="false">E293*8/E294</f>
        <v>1.80405453846154</v>
      </c>
      <c r="F296" s="19" t="n">
        <f aca="false">F293*8/F294</f>
        <v>2.429030575</v>
      </c>
      <c r="G296" s="19" t="n">
        <f aca="false">G293*8/G294</f>
        <v>3.0605785245</v>
      </c>
      <c r="H296" s="19" t="n">
        <f aca="false">H293*8/H294</f>
        <v>3.15622160339063</v>
      </c>
      <c r="I296" s="19" t="n">
        <f aca="false">I293*8/I294</f>
        <v>3.47184376372969</v>
      </c>
      <c r="J296" s="8" t="s">
        <v>547</v>
      </c>
    </row>
    <row r="297" customFormat="false" ht="15" hidden="false" customHeight="false" outlineLevel="0" collapsed="false">
      <c r="A297" s="0" t="s">
        <v>548</v>
      </c>
      <c r="B297" s="5" t="s">
        <v>549</v>
      </c>
      <c r="C297" s="19" t="n">
        <f aca="false">C296*(1+s_stk/C295)</f>
        <v>0.964216372549018</v>
      </c>
      <c r="D297" s="19" t="n">
        <f aca="false">D296*(1+s_stk/D295)</f>
        <v>1.57612291666667</v>
      </c>
      <c r="E297" s="19" t="n">
        <f aca="false">E296*(1+s_stk/E295)</f>
        <v>2.23702762769231</v>
      </c>
      <c r="F297" s="19" t="n">
        <f aca="false">F296*(1+s_stk/F295)</f>
        <v>2.94953712678571</v>
      </c>
      <c r="G297" s="19" t="n">
        <f aca="false">G296*(1+s_stk/G295)</f>
        <v>3.6726942294</v>
      </c>
      <c r="H297" s="19" t="n">
        <f aca="false">H296*(1+s_stk/H295)</f>
        <v>3.74801315402637</v>
      </c>
      <c r="I297" s="19" t="n">
        <f aca="false">I296*(1+s_stk/I295)</f>
        <v>4.12281446942901</v>
      </c>
      <c r="J297" s="5" t="s">
        <v>550</v>
      </c>
    </row>
    <row r="298" customFormat="false" ht="15" hidden="false" customHeight="false" outlineLevel="0" collapsed="false">
      <c r="A298" s="5" t="s">
        <v>551</v>
      </c>
      <c r="B298" s="0" t="s">
        <v>60</v>
      </c>
      <c r="C298" s="22" t="n">
        <f aca="false">hbp_25*hb_on</f>
        <v>0</v>
      </c>
      <c r="D298" s="22" t="n">
        <f aca="false">hbp_26*hb_on</f>
        <v>0</v>
      </c>
      <c r="E298" s="22" t="n">
        <f aca="false">hbp_27*hb_on</f>
        <v>0</v>
      </c>
      <c r="F298" s="22" t="n">
        <f aca="false">hbp_28*hb_on</f>
        <v>0.05</v>
      </c>
      <c r="G298" s="22" t="n">
        <f aca="false">hbp_29*hb_on</f>
        <v>0.15</v>
      </c>
      <c r="H298" s="22" t="n">
        <f aca="false">hbp_30*hb_on</f>
        <v>0.25</v>
      </c>
      <c r="I298" s="22" t="n">
        <f aca="false">hbp_30*hb_on</f>
        <v>0.25</v>
      </c>
    </row>
    <row r="299" customFormat="false" ht="15" hidden="false" customHeight="false" outlineLevel="0" collapsed="false">
      <c r="A299" s="0" t="s">
        <v>552</v>
      </c>
      <c r="B299" s="5" t="s">
        <v>549</v>
      </c>
      <c r="C299" s="19" t="n">
        <f aca="false">C297*(1+C298*hb_eff)</f>
        <v>0.964216372549018</v>
      </c>
      <c r="D299" s="19" t="n">
        <f aca="false">D297*(1+D298*hb_eff)</f>
        <v>1.57612291666667</v>
      </c>
      <c r="E299" s="19" t="n">
        <f aca="false">E297*(1+E298*hb_eff)</f>
        <v>2.23702762769231</v>
      </c>
      <c r="F299" s="19" t="n">
        <f aca="false">F297*(1+F298*hb_eff)</f>
        <v>2.96428481241964</v>
      </c>
      <c r="G299" s="19" t="n">
        <f aca="false">G297*(1+G298*hb_eff)</f>
        <v>3.727784642841</v>
      </c>
      <c r="H299" s="19" t="n">
        <f aca="false">H297*(1+H298*hb_eff)</f>
        <v>3.84171348287703</v>
      </c>
      <c r="I299" s="19" t="n">
        <f aca="false">I297*(1+I298*hb_eff)</f>
        <v>4.22588483116473</v>
      </c>
      <c r="J299" s="5" t="s">
        <v>553</v>
      </c>
    </row>
    <row r="300" customFormat="false" ht="15" hidden="false" customHeight="false" outlineLevel="0" collapsed="false">
      <c r="A300" s="0" t="s">
        <v>554</v>
      </c>
      <c r="B300" s="5" t="s">
        <v>549</v>
      </c>
      <c r="C300" s="19" t="n">
        <f aca="false">MAX(0,D299-C299)+dlt*C299</f>
        <v>0.70832818137255</v>
      </c>
      <c r="D300" s="19" t="n">
        <f aca="false">MAX(0,E299-D299)+dlt*D299</f>
        <v>0.818517002692307</v>
      </c>
      <c r="E300" s="19" t="n">
        <f aca="false">MAX(0,F299-E299)+dlt*E299</f>
        <v>0.950959947496565</v>
      </c>
      <c r="F300" s="19" t="n">
        <f aca="false">MAX(0,G299-F299)+dlt*F299</f>
        <v>1.05992831166332</v>
      </c>
      <c r="G300" s="19" t="n">
        <f aca="false">MAX(0,H299-G299)+dlt*G299</f>
        <v>0.486707304320127</v>
      </c>
      <c r="H300" s="19" t="n">
        <f aca="false">MAX(0,I299-H299)+dlt*H299</f>
        <v>0.768342696575406</v>
      </c>
      <c r="J300" s="5" t="s">
        <v>555</v>
      </c>
    </row>
    <row r="301" customFormat="false" ht="15" hidden="false" customHeight="false" outlineLevel="0" collapsed="false">
      <c r="A301" s="0" t="s">
        <v>556</v>
      </c>
      <c r="B301" s="5" t="s">
        <v>181</v>
      </c>
      <c r="C301" s="21" t="n">
        <f aca="false">cw_25</f>
        <v>670</v>
      </c>
      <c r="D301" s="21" t="n">
        <f aca="false">cw_26</f>
        <v>1107.85762580894</v>
      </c>
      <c r="E301" s="21" t="n">
        <f aca="false">cw_27</f>
        <v>2096.42857142857</v>
      </c>
      <c r="F301" s="21" t="n">
        <f aca="false">cw_28*um28_A</f>
        <v>2620.08928571429</v>
      </c>
      <c r="G301" s="21" t="n">
        <f aca="false">cw_29*um29_A</f>
        <v>3013.32589285714</v>
      </c>
      <c r="H301" s="21" t="n">
        <f aca="false">G301*(1+g_tail)</f>
        <v>3314.65848214285</v>
      </c>
      <c r="I301" s="21" t="n">
        <f aca="false">H301*(1+g_tail)</f>
        <v>3646.12433035714</v>
      </c>
      <c r="J301" s="5" t="s">
        <v>557</v>
      </c>
    </row>
    <row r="302" customFormat="false" ht="15" hidden="false" customHeight="false" outlineLevel="0" collapsed="false">
      <c r="A302" s="5" t="s">
        <v>558</v>
      </c>
      <c r="B302" s="5" t="s">
        <v>181</v>
      </c>
      <c r="C302" s="21" t="n">
        <f aca="false">MAX(0,D301-C301)+dlt*C301</f>
        <v>504.85762580894</v>
      </c>
      <c r="D302" s="21" t="n">
        <f aca="false">MAX(0,E301-D301)+dlt*D301</f>
        <v>1099.35670820052</v>
      </c>
      <c r="E302" s="21" t="n">
        <f aca="false">MAX(0,F301-E301)+dlt*E301</f>
        <v>733.303571428577</v>
      </c>
      <c r="F302" s="21" t="n">
        <f aca="false">MAX(0,G301-F301)+dlt*F301</f>
        <v>655.245535714279</v>
      </c>
      <c r="G302" s="21" t="n">
        <f aca="false">MAX(0,H301-G301)+dlt*G301</f>
        <v>602.665178571428</v>
      </c>
      <c r="H302" s="21" t="n">
        <f aca="false">MAX(0,I301-H301)+dlt*H301</f>
        <v>662.931696428571</v>
      </c>
    </row>
    <row r="303" customFormat="false" ht="15" hidden="false" customHeight="false" outlineLevel="0" collapsed="false">
      <c r="A303" s="1" t="s">
        <v>559</v>
      </c>
    </row>
    <row r="304" customFormat="false" ht="15" hidden="false" customHeight="false" outlineLevel="0" collapsed="false">
      <c r="A304" s="0" t="s">
        <v>560</v>
      </c>
      <c r="B304" s="0" t="s">
        <v>561</v>
      </c>
      <c r="C304" s="16" t="n">
        <f aca="false">ai_25_hi*w_hbm/(0.75*C300+0.25*D300)</f>
        <v>53.8134590660118</v>
      </c>
      <c r="J304" s="5" t="s">
        <v>562</v>
      </c>
    </row>
    <row r="305" customFormat="false" ht="15" hidden="false" customHeight="false" outlineLevel="0" collapsed="false">
      <c r="A305" s="5" t="s">
        <v>563</v>
      </c>
      <c r="B305" s="0" t="s">
        <v>564</v>
      </c>
      <c r="C305" s="18" t="n">
        <f aca="false">ai_25_hi*(1-w_hbm)/(0.75*C302+0.25*D302)</f>
        <v>0.0656482871396155</v>
      </c>
    </row>
    <row r="306" customFormat="false" ht="15" hidden="false" customHeight="false" outlineLevel="0" collapsed="false">
      <c r="A306" s="1" t="s">
        <v>565</v>
      </c>
    </row>
    <row r="307" customFormat="false" ht="15" hidden="false" customHeight="false" outlineLevel="0" collapsed="false">
      <c r="A307" s="5" t="s">
        <v>566</v>
      </c>
      <c r="B307" s="0" t="s">
        <v>80</v>
      </c>
      <c r="C307" s="16" t="n">
        <f aca="false">1-sh_loss/sh*0</f>
        <v>1</v>
      </c>
      <c r="D307" s="16" t="n">
        <f aca="false">1-sh_loss/sh*0.25</f>
        <v>1</v>
      </c>
      <c r="E307" s="16" t="n">
        <f aca="false">1-sh_loss/sh*0.5</f>
        <v>1</v>
      </c>
      <c r="F307" s="16" t="n">
        <f aca="false">1-sh_loss/sh*0.75</f>
        <v>1</v>
      </c>
      <c r="G307" s="16" t="n">
        <f aca="false">1-sh_loss/sh*1</f>
        <v>1</v>
      </c>
    </row>
    <row r="308" customFormat="false" ht="15" hidden="false" customHeight="false" outlineLevel="0" collapsed="false">
      <c r="A308" s="0" t="s">
        <v>567</v>
      </c>
      <c r="B308" s="0" t="s">
        <v>33</v>
      </c>
      <c r="C308" s="11" t="n">
        <f aca="false">$C$304*(0.75*C300+0.25*D300)*C307</f>
        <v>39.6</v>
      </c>
      <c r="D308" s="11" t="n">
        <f aca="false">$C$304*(0.75*D300+0.25*E300)*D307</f>
        <v>45.8290344664186</v>
      </c>
      <c r="E308" s="11" t="n">
        <f aca="false">$C$304*(0.75*E300+0.25*F300)*E307</f>
        <v>52.6404353591676</v>
      </c>
      <c r="F308" s="11" t="n">
        <f aca="false">$C$304*(0.75*F300+0.25*G300)*F307</f>
        <v>49.3266575089909</v>
      </c>
      <c r="G308" s="11" t="n">
        <f aca="false">$C$304*(0.75*G300+0.25*H300)*G307</f>
        <v>29.9803472613275</v>
      </c>
    </row>
    <row r="309" customFormat="false" ht="15" hidden="false" customHeight="false" outlineLevel="0" collapsed="false">
      <c r="A309" s="5" t="s">
        <v>568</v>
      </c>
      <c r="B309" s="0" t="s">
        <v>33</v>
      </c>
      <c r="C309" s="11" t="n">
        <f aca="false">$C$305*(0.75*C302+0.25*D302)*C307</f>
        <v>42.9</v>
      </c>
      <c r="D309" s="11" t="n">
        <f aca="false">$C$305*(0.75*D302+0.25*E302)*D307</f>
        <v>66.1631944910201</v>
      </c>
      <c r="E309" s="11" t="n">
        <f aca="false">$C$305*(0.75*E302+0.25*F302)*E307</f>
        <v>46.8590293321171</v>
      </c>
      <c r="F309" s="11" t="n">
        <f aca="false">$C$305*(0.75*F302+0.25*G302)*F307</f>
        <v>42.1527944796178</v>
      </c>
      <c r="G309" s="11" t="n">
        <f aca="false">$C$305*(0.75*G302+0.25*H302)*G307</f>
        <v>40.5530351092024</v>
      </c>
    </row>
    <row r="310" customFormat="false" ht="15" hidden="false" customHeight="false" outlineLevel="0" collapsed="false">
      <c r="A310" s="0" t="s">
        <v>569</v>
      </c>
      <c r="B310" s="0" t="s">
        <v>33</v>
      </c>
      <c r="C310" s="11" t="n">
        <f aca="false">C308+C309</f>
        <v>82.5</v>
      </c>
      <c r="D310" s="11" t="n">
        <f aca="false">D308+D309</f>
        <v>111.992228957439</v>
      </c>
      <c r="E310" s="11" t="n">
        <f aca="false">E308+E309</f>
        <v>99.4994646912847</v>
      </c>
      <c r="F310" s="11" t="n">
        <f aca="false">F308+F309</f>
        <v>91.4794519886087</v>
      </c>
      <c r="G310" s="11" t="n">
        <f aca="false">G308+G309</f>
        <v>70.5333823705299</v>
      </c>
    </row>
    <row r="311" customFormat="false" ht="15" hidden="false" customHeight="false" outlineLevel="0" collapsed="false">
      <c r="A311" s="5" t="s">
        <v>570</v>
      </c>
      <c r="B311" s="0" t="s">
        <v>33</v>
      </c>
      <c r="C311" s="11" t="n">
        <f aca="false">eq_25-ai_25_hi</f>
        <v>188.37118</v>
      </c>
      <c r="D311" s="11" t="n">
        <f aca="false">C311*(1+g_non)*D307/C307</f>
        <v>199.6734508</v>
      </c>
      <c r="E311" s="11" t="n">
        <f aca="false">D311*(1+g_non)*E307/D307</f>
        <v>211.653857848</v>
      </c>
      <c r="F311" s="11" t="n">
        <f aca="false">E311*(1+g_non)*F307/E307</f>
        <v>224.35308931888</v>
      </c>
      <c r="G311" s="11" t="n">
        <f aca="false">F311*(1+g_non)*G307/F307</f>
        <v>237.814274678013</v>
      </c>
    </row>
    <row r="312" customFormat="false" ht="15" hidden="false" customHeight="false" outlineLevel="0" collapsed="false">
      <c r="A312" s="0" t="s">
        <v>571</v>
      </c>
      <c r="B312" s="0" t="s">
        <v>80</v>
      </c>
      <c r="C312" s="19" t="n">
        <f aca="false">w_hbm*(0.75*C299+0.25*D299)/(0.75*C299+0.25*D299)+(1-w_hbm)*(0.75*C301+0.25*D301)/(0.75*C301+0.25*D301)</f>
        <v>1</v>
      </c>
      <c r="D312" s="19" t="n">
        <f aca="false">w_hbm*(0.75*D299+0.25*E299)/(0.75*C299+0.25*D299)+(1-w_hbm)*(0.75*D301+0.25*E301)/(0.75*C301+0.25*D301)</f>
        <v>1.65212184085657</v>
      </c>
      <c r="E312" s="19" t="n">
        <f aca="false">w_hbm*(0.75*E299+0.25*F299)/(0.75*C299+0.25*D299)+(1-w_hbm)*(0.75*E301+0.25*F301)/(0.75*C301+0.25*D301)</f>
        <v>2.52516730417954</v>
      </c>
      <c r="F312" s="19" t="n">
        <f aca="false">w_hbm*(0.75*F299+0.25*G299)/(0.75*C299+0.25*D299)+(1-w_hbm)*(0.75*F301+0.25*G301)/(0.75*C301+0.25*D301)</f>
        <v>3.16911970169284</v>
      </c>
      <c r="G312" s="19" t="n">
        <f aca="false">w_hbm*(0.75*G299+0.25*H299)/(0.75*C299+0.25*D299)+(1-w_hbm)*(0.75*G301+0.25*H301)/(0.75*C301+0.25*D301)</f>
        <v>3.67439430985121</v>
      </c>
      <c r="J312" s="8" t="s">
        <v>572</v>
      </c>
    </row>
    <row r="313" customFormat="false" ht="15" hidden="false" customHeight="false" outlineLevel="0" collapsed="false">
      <c r="A313" s="0" t="s">
        <v>573</v>
      </c>
      <c r="B313" s="0" t="s">
        <v>33</v>
      </c>
      <c r="C313" s="11" t="n">
        <f aca="false">tl_25*w_tlai*C312</f>
        <v>25.4032258064516</v>
      </c>
      <c r="D313" s="11" t="n">
        <f aca="false">tl_25*w_tlai*D312</f>
        <v>41.9692241830499</v>
      </c>
      <c r="E313" s="11" t="n">
        <f aca="false">tl_25*w_tlai*E312</f>
        <v>64.1473952271414</v>
      </c>
      <c r="F313" s="11" t="n">
        <f aca="false">tl_25*w_tlai*F312</f>
        <v>80.5058633897778</v>
      </c>
      <c r="G313" s="11" t="n">
        <f aca="false">tl_25*w_tlai*G312</f>
        <v>93.3414683550913</v>
      </c>
      <c r="J313" s="5" t="s">
        <v>574</v>
      </c>
    </row>
    <row r="314" customFormat="false" ht="15" hidden="false" customHeight="false" outlineLevel="0" collapsed="false">
      <c r="A314" s="5" t="s">
        <v>575</v>
      </c>
      <c r="B314" s="0" t="s">
        <v>33</v>
      </c>
      <c r="C314" s="11" t="n">
        <f aca="false">tl_25*(1-w_tlai)</f>
        <v>66.3434641935484</v>
      </c>
      <c r="D314" s="11" t="n">
        <f aca="false">C314*(1+g_tl)</f>
        <v>69.6606374032258</v>
      </c>
      <c r="E314" s="11" t="n">
        <f aca="false">D314*(1+g_tl)</f>
        <v>73.1436692733871</v>
      </c>
      <c r="F314" s="11" t="n">
        <f aca="false">E314*(1+g_tl)</f>
        <v>76.8008527370565</v>
      </c>
      <c r="G314" s="11" t="n">
        <f aca="false">F314*(1+g_tl)</f>
        <v>80.6408953739093</v>
      </c>
    </row>
    <row r="315" customFormat="false" ht="15" hidden="false" customHeight="false" outlineLevel="0" collapsed="false">
      <c r="A315" s="5" t="s">
        <v>576</v>
      </c>
      <c r="B315" s="0" t="s">
        <v>33</v>
      </c>
      <c r="C315" s="11" t="n">
        <f aca="false">(C310+C311+C313+C314)*(1+r_ot)</f>
        <v>436.889</v>
      </c>
      <c r="D315" s="11" t="n">
        <f aca="false">(D310+D311+D313+D314)*(1+r_ot)</f>
        <v>509.994628124957</v>
      </c>
      <c r="E315" s="11" t="n">
        <f aca="false">(E310+E311+E313+E314)*(1+r_ot)</f>
        <v>540.294442216643</v>
      </c>
      <c r="F315" s="11" t="n">
        <f aca="false">(F310+F311+F313+F314)*(1+r_ot)</f>
        <v>570.047298113642</v>
      </c>
      <c r="G315" s="11" t="n">
        <f aca="false">(G310+G311+G313+G314)*(1+r_ot)</f>
        <v>581.120506960896</v>
      </c>
      <c r="J315" s="8" t="s">
        <v>577</v>
      </c>
    </row>
    <row r="316" customFormat="false" ht="15" hidden="false" customHeight="false" outlineLevel="0" collapsed="false">
      <c r="A316" s="1" t="s">
        <v>578</v>
      </c>
    </row>
    <row r="317" customFormat="false" ht="15" hidden="false" customHeight="false" outlineLevel="0" collapsed="false">
      <c r="A317" s="5" t="s">
        <v>579</v>
      </c>
      <c r="B317" s="0" t="s">
        <v>33</v>
      </c>
      <c r="D317" s="11" t="n">
        <f aca="false">g3_rev*(1+g_q4)</f>
        <v>145.6862</v>
      </c>
    </row>
    <row r="318" customFormat="false" ht="15" hidden="false" customHeight="false" outlineLevel="0" collapsed="false">
      <c r="A318" s="0" t="s">
        <v>580</v>
      </c>
      <c r="B318" s="0" t="s">
        <v>33</v>
      </c>
      <c r="D318" s="11" t="n">
        <f aca="false">q26h1_rev+g3_rev+D317</f>
        <v>535.1862</v>
      </c>
    </row>
    <row r="319" customFormat="false" ht="15" hidden="false" customHeight="false" outlineLevel="0" collapsed="false">
      <c r="A319" s="0" t="s">
        <v>581</v>
      </c>
      <c r="B319" s="0" t="s">
        <v>33</v>
      </c>
      <c r="D319" s="11" t="n">
        <f aca="false">q26h1_gp+(g3_rev+D317)*gm_q3</f>
        <v>378.0504836</v>
      </c>
    </row>
    <row r="320" customFormat="false" ht="15" hidden="false" customHeight="false" outlineLevel="0" collapsed="false">
      <c r="A320" s="0" t="s">
        <v>582</v>
      </c>
      <c r="B320" s="0" t="s">
        <v>33</v>
      </c>
      <c r="D320" s="11" t="n">
        <f aca="false">q26h1_oi+g3_oi+D317*m_q4</f>
        <v>238.5671</v>
      </c>
    </row>
    <row r="321" customFormat="false" ht="15" hidden="false" customHeight="false" outlineLevel="0" collapsed="false">
      <c r="A321" s="0" t="s">
        <v>583</v>
      </c>
      <c r="B321" s="0" t="s">
        <v>33</v>
      </c>
      <c r="D321" s="11" t="n">
        <f aca="false">q26h1_ni+g3_ni+D317*m_q4*nioi</f>
        <v>167.95938138934</v>
      </c>
    </row>
    <row r="322" customFormat="false" ht="15" hidden="false" customHeight="false" outlineLevel="0" collapsed="false">
      <c r="A322" s="5" t="s">
        <v>584</v>
      </c>
      <c r="B322" s="0" t="s">
        <v>80</v>
      </c>
      <c r="D322" s="16" t="n">
        <f aca="false">D318/D315</f>
        <v>1.04939575926057</v>
      </c>
      <c r="J322" s="8" t="s">
        <v>585</v>
      </c>
    </row>
    <row r="323" customFormat="false" ht="15" hidden="false" customHeight="false" outlineLevel="0" collapsed="false">
      <c r="A323" s="5" t="s">
        <v>586</v>
      </c>
      <c r="B323" s="0" t="s">
        <v>80</v>
      </c>
      <c r="D323" s="16" t="n">
        <f aca="false">1+anc_carry*(D322-1)</f>
        <v>1.04939575926057</v>
      </c>
      <c r="J323" s="8" t="s">
        <v>587</v>
      </c>
    </row>
    <row r="324" customFormat="false" ht="15" hidden="false" customHeight="false" outlineLevel="0" collapsed="false">
      <c r="A324" s="1" t="s">
        <v>588</v>
      </c>
    </row>
    <row r="325" customFormat="false" ht="15" hidden="false" customHeight="false" outlineLevel="0" collapsed="false">
      <c r="A325" s="0" t="s">
        <v>589</v>
      </c>
      <c r="B325" s="0" t="s">
        <v>33</v>
      </c>
      <c r="C325" s="11" t="n">
        <f aca="false">C308*1</f>
        <v>39.6</v>
      </c>
      <c r="D325" s="11" t="n">
        <f aca="false">D308*$D$322</f>
        <v>48.0927944200661</v>
      </c>
      <c r="E325" s="11" t="n">
        <f aca="false">E308*1</f>
        <v>52.6404353591676</v>
      </c>
      <c r="F325" s="11" t="n">
        <f aca="false">F308*1</f>
        <v>49.3266575089909</v>
      </c>
      <c r="G325" s="11" t="n">
        <f aca="false">G308*1</f>
        <v>29.9803472613275</v>
      </c>
    </row>
    <row r="326" customFormat="false" ht="15" hidden="false" customHeight="false" outlineLevel="0" collapsed="false">
      <c r="A326" s="5" t="s">
        <v>590</v>
      </c>
      <c r="B326" s="0" t="s">
        <v>33</v>
      </c>
      <c r="C326" s="11" t="n">
        <f aca="false">C309*1</f>
        <v>42.9</v>
      </c>
      <c r="D326" s="11" t="n">
        <f aca="false">D309*$D$322</f>
        <v>69.4313757180086</v>
      </c>
      <c r="E326" s="11" t="n">
        <f aca="false">E309*1</f>
        <v>46.8590293321171</v>
      </c>
      <c r="F326" s="11" t="n">
        <f aca="false">F309*1</f>
        <v>42.1527944796178</v>
      </c>
      <c r="G326" s="11" t="n">
        <f aca="false">G309*1</f>
        <v>40.5530351092024</v>
      </c>
    </row>
    <row r="327" customFormat="false" ht="15" hidden="false" customHeight="false" outlineLevel="0" collapsed="false">
      <c r="A327" s="0" t="s">
        <v>591</v>
      </c>
      <c r="B327" s="0" t="s">
        <v>33</v>
      </c>
      <c r="C327" s="11" t="n">
        <f aca="false">C325+C326</f>
        <v>82.5</v>
      </c>
      <c r="D327" s="11" t="n">
        <f aca="false">D325+D326</f>
        <v>117.524170138075</v>
      </c>
      <c r="E327" s="11" t="n">
        <f aca="false">E325+E326</f>
        <v>99.4994646912847</v>
      </c>
      <c r="F327" s="11" t="n">
        <f aca="false">F325+F326</f>
        <v>91.4794519886087</v>
      </c>
      <c r="G327" s="11" t="n">
        <f aca="false">G325+G326</f>
        <v>70.5333823705299</v>
      </c>
    </row>
    <row r="328" customFormat="false" ht="15" hidden="false" customHeight="false" outlineLevel="0" collapsed="false">
      <c r="A328" s="5" t="s">
        <v>592</v>
      </c>
      <c r="B328" s="0" t="s">
        <v>33</v>
      </c>
      <c r="C328" s="11" t="n">
        <f aca="false">C311*1</f>
        <v>188.37118</v>
      </c>
      <c r="D328" s="11" t="n">
        <f aca="false">D311*$D$322</f>
        <v>209.536472506444</v>
      </c>
      <c r="E328" s="11" t="n">
        <f aca="false">E311*$D$323</f>
        <v>222.10866085683</v>
      </c>
      <c r="F328" s="11" t="n">
        <f aca="false">F311*$D$323</f>
        <v>235.43518050824</v>
      </c>
      <c r="G328" s="11" t="n">
        <f aca="false">G311*$D$323</f>
        <v>249.561291338734</v>
      </c>
    </row>
    <row r="329" customFormat="false" ht="15" hidden="false" customHeight="false" outlineLevel="0" collapsed="false">
      <c r="A329" s="5" t="s">
        <v>593</v>
      </c>
      <c r="B329" s="0" t="s">
        <v>33</v>
      </c>
      <c r="C329" s="11" t="n">
        <f aca="false">C327+C328</f>
        <v>270.87118</v>
      </c>
      <c r="D329" s="11" t="n">
        <f aca="false">D327+D328</f>
        <v>327.060642644518</v>
      </c>
      <c r="E329" s="11" t="n">
        <f aca="false">E327+E328</f>
        <v>321.608125548115</v>
      </c>
      <c r="F329" s="11" t="n">
        <f aca="false">F327+F328</f>
        <v>326.914632496849</v>
      </c>
      <c r="G329" s="11" t="n">
        <f aca="false">G327+G328</f>
        <v>320.094673709264</v>
      </c>
    </row>
    <row r="330" customFormat="false" ht="15" hidden="false" customHeight="false" outlineLevel="0" collapsed="false">
      <c r="A330" s="0" t="s">
        <v>594</v>
      </c>
      <c r="B330" s="0" t="s">
        <v>33</v>
      </c>
      <c r="C330" s="11" t="n">
        <f aca="false">C313*1</f>
        <v>25.4032258064516</v>
      </c>
      <c r="D330" s="11" t="n">
        <f aca="false">D313*$D$322</f>
        <v>44.0423258771487</v>
      </c>
      <c r="E330" s="11" t="n">
        <f aca="false">E313*1</f>
        <v>64.1473952271414</v>
      </c>
      <c r="F330" s="11" t="n">
        <f aca="false">F313*1</f>
        <v>80.5058633897778</v>
      </c>
      <c r="G330" s="11" t="n">
        <f aca="false">G313*1</f>
        <v>93.3414683550913</v>
      </c>
    </row>
    <row r="331" customFormat="false" ht="15" hidden="false" customHeight="false" outlineLevel="0" collapsed="false">
      <c r="A331" s="5" t="s">
        <v>595</v>
      </c>
      <c r="B331" s="0" t="s">
        <v>33</v>
      </c>
      <c r="C331" s="11" t="n">
        <f aca="false">C314*1</f>
        <v>66.3434641935484</v>
      </c>
      <c r="D331" s="11" t="n">
        <f aca="false">D314*$D$322</f>
        <v>73.1015774783332</v>
      </c>
      <c r="E331" s="11" t="n">
        <f aca="false">E314*$D$323</f>
        <v>76.7566563522499</v>
      </c>
      <c r="F331" s="11" t="n">
        <f aca="false">F314*$D$323</f>
        <v>80.5944891698624</v>
      </c>
      <c r="G331" s="11" t="n">
        <f aca="false">G314*$D$323</f>
        <v>84.6242136283555</v>
      </c>
    </row>
    <row r="332" customFormat="false" ht="15" hidden="false" customHeight="false" outlineLevel="0" collapsed="false">
      <c r="A332" s="5" t="s">
        <v>596</v>
      </c>
      <c r="B332" s="0" t="s">
        <v>33</v>
      </c>
      <c r="C332" s="11" t="n">
        <f aca="false">C330+C331</f>
        <v>91.74669</v>
      </c>
      <c r="D332" s="11" t="n">
        <f aca="false">D330+D331</f>
        <v>117.143903355482</v>
      </c>
      <c r="E332" s="11" t="n">
        <f aca="false">E330+E331</f>
        <v>140.904051579391</v>
      </c>
      <c r="F332" s="11" t="n">
        <f aca="false">F330+F331</f>
        <v>161.10035255964</v>
      </c>
      <c r="G332" s="11" t="n">
        <f aca="false">G330+G331</f>
        <v>177.965681983447</v>
      </c>
    </row>
    <row r="333" customFormat="false" ht="15" hidden="false" customHeight="false" outlineLevel="0" collapsed="false">
      <c r="A333" s="5" t="s">
        <v>458</v>
      </c>
      <c r="B333" s="0" t="s">
        <v>33</v>
      </c>
      <c r="C333" s="11" t="n">
        <f aca="false">r_ot*(C329+C332)</f>
        <v>74.27113</v>
      </c>
      <c r="D333" s="11" t="n">
        <f aca="false">r_ot*(D329+D332)</f>
        <v>90.981654</v>
      </c>
      <c r="E333" s="11" t="n">
        <f aca="false">r_ot*(E329+E332)</f>
        <v>94.7314097731037</v>
      </c>
      <c r="F333" s="11" t="n">
        <f aca="false">r_ot*(F329+F332)</f>
        <v>99.9548764573532</v>
      </c>
      <c r="G333" s="11" t="n">
        <f aca="false">r_ot*(G329+G332)</f>
        <v>102.012362009351</v>
      </c>
    </row>
    <row r="334" customFormat="false" ht="15" hidden="false" customHeight="false" outlineLevel="0" collapsed="false">
      <c r="A334" s="5" t="s">
        <v>428</v>
      </c>
      <c r="B334" s="0" t="s">
        <v>33</v>
      </c>
      <c r="C334" s="11" t="n">
        <f aca="false">C329+C332+C333</f>
        <v>436.889</v>
      </c>
      <c r="D334" s="11" t="n">
        <f aca="false">D329+D332+D333</f>
        <v>535.1862</v>
      </c>
      <c r="E334" s="11" t="n">
        <f aca="false">E329+E332+E333</f>
        <v>557.24358690061</v>
      </c>
      <c r="F334" s="11" t="n">
        <f aca="false">F329+F332+F333</f>
        <v>587.969861513842</v>
      </c>
      <c r="G334" s="11" t="n">
        <f aca="false">G329+G332+G333</f>
        <v>600.072717702062</v>
      </c>
      <c r="J334" s="8" t="s">
        <v>597</v>
      </c>
    </row>
    <row r="335" customFormat="false" ht="15" hidden="false" customHeight="false" outlineLevel="0" collapsed="false">
      <c r="A335" s="0" t="s">
        <v>598</v>
      </c>
      <c r="B335" s="0" t="s">
        <v>60</v>
      </c>
      <c r="C335" s="14" t="n">
        <f aca="false">(C327+C330)*(1+r_ot)/C334</f>
        <v>0.29756731461263</v>
      </c>
      <c r="D335" s="14" t="n">
        <f aca="false">(D327+D330)*(1+r_ot)/D334</f>
        <v>0.363720942232823</v>
      </c>
      <c r="E335" s="14" t="n">
        <f aca="false">(E327+E330)*(1+r_ot)/E334</f>
        <v>0.353821732726643</v>
      </c>
      <c r="F335" s="14" t="n">
        <f aca="false">(F327+F330)*(1+r_ot)/F334</f>
        <v>0.352418103223775</v>
      </c>
      <c r="G335" s="14" t="n">
        <f aca="false">(G327+G330)*(1+r_ot)/G334</f>
        <v>0.329026088610689</v>
      </c>
    </row>
    <row r="336" customFormat="false" ht="15" hidden="false" customHeight="false" outlineLevel="0" collapsed="false">
      <c r="A336" s="0" t="s">
        <v>599</v>
      </c>
      <c r="B336" s="0" t="s">
        <v>60</v>
      </c>
      <c r="C336" s="14" t="n">
        <f aca="false">C327*(1+r_ot)/C334</f>
        <v>0.227512229333872</v>
      </c>
      <c r="D336" s="14" t="n">
        <f aca="false">D327*(1+r_ot)/D334</f>
        <v>0.264572191339245</v>
      </c>
      <c r="E336" s="14" t="n">
        <f aca="false">E327*(1+r_ot)/E334</f>
        <v>0.215128313613794</v>
      </c>
      <c r="F336" s="14" t="n">
        <f aca="false">F327*(1+r_ot)/F334</f>
        <v>0.187452137310947</v>
      </c>
      <c r="G336" s="14" t="n">
        <f aca="false">G327*(1+r_ot)/G334</f>
        <v>0.141616134599653</v>
      </c>
      <c r="J336" s="5" t="s">
        <v>600</v>
      </c>
    </row>
    <row r="337" customFormat="false" ht="15" hidden="false" customHeight="false" outlineLevel="0" collapsed="false">
      <c r="A337" s="5" t="s">
        <v>466</v>
      </c>
      <c r="B337" s="0" t="s">
        <v>60</v>
      </c>
      <c r="C337" s="14" t="n">
        <f aca="false">a25_gp/a25_rev</f>
        <v>0.701498549974936</v>
      </c>
      <c r="D337" s="14" t="n">
        <f aca="false">D319/D334</f>
        <v>0.70639056761927</v>
      </c>
      <c r="E337" s="14" t="n">
        <f aca="false">gm_a+gm_b*LN(E334)+0</f>
        <v>0.730150272606694</v>
      </c>
      <c r="F337" s="14" t="n">
        <f aca="false">gm_a+gm_b*LN(F334)+0</f>
        <v>0.736259679132335</v>
      </c>
      <c r="G337" s="14" t="n">
        <f aca="false">gm_a+gm_b*LN(G334)+0</f>
        <v>0.738578900505256</v>
      </c>
      <c r="J337" s="8" t="s">
        <v>601</v>
      </c>
    </row>
    <row r="338" customFormat="false" ht="15" hidden="false" customHeight="false" outlineLevel="0" collapsed="false">
      <c r="A338" s="5" t="s">
        <v>463</v>
      </c>
      <c r="B338" s="0" t="s">
        <v>33</v>
      </c>
      <c r="C338" s="11" t="n">
        <f aca="false">C334*C337</f>
        <v>306.477</v>
      </c>
      <c r="D338" s="11" t="n">
        <f aca="false">D334*D337</f>
        <v>378.0504836</v>
      </c>
      <c r="E338" s="11" t="n">
        <f aca="false">E334*E337</f>
        <v>406.871556883812</v>
      </c>
      <c r="F338" s="11" t="n">
        <f aca="false">F334*F337</f>
        <v>432.898501577665</v>
      </c>
      <c r="G338" s="11" t="n">
        <f aca="false">G334*G337</f>
        <v>443.201048063589</v>
      </c>
    </row>
    <row r="339" customFormat="false" ht="15" hidden="false" customHeight="false" outlineLevel="0" collapsed="false">
      <c r="A339" s="5" t="s">
        <v>464</v>
      </c>
      <c r="B339" s="0" t="s">
        <v>33</v>
      </c>
      <c r="C339" s="11" t="n">
        <f aca="false">a25_sga</f>
        <v>121.487</v>
      </c>
      <c r="D339" s="11" t="n">
        <f aca="false">D338-D320</f>
        <v>139.4833836</v>
      </c>
      <c r="E339" s="11" t="n">
        <f aca="false">sg_f+sg_v*E334</f>
        <v>148.753253632389</v>
      </c>
      <c r="F339" s="11" t="n">
        <f aca="false">sg_f+sg_v*F334</f>
        <v>156.507552425949</v>
      </c>
      <c r="G339" s="11" t="n">
        <f aca="false">sg_f+sg_v*G334</f>
        <v>159.561914346496</v>
      </c>
      <c r="J339" s="8" t="s">
        <v>602</v>
      </c>
    </row>
    <row r="340" customFormat="false" ht="15" hidden="false" customHeight="false" outlineLevel="0" collapsed="false">
      <c r="A340" s="5" t="s">
        <v>432</v>
      </c>
      <c r="B340" s="0" t="s">
        <v>33</v>
      </c>
      <c r="C340" s="11" t="n">
        <f aca="false">C338-C339</f>
        <v>184.99</v>
      </c>
      <c r="D340" s="11" t="n">
        <f aca="false">D338-D339</f>
        <v>238.5671</v>
      </c>
      <c r="E340" s="11" t="n">
        <f aca="false">E338-E339</f>
        <v>258.118303251423</v>
      </c>
      <c r="F340" s="11" t="n">
        <f aca="false">F338-F339</f>
        <v>276.390949151716</v>
      </c>
      <c r="G340" s="11" t="n">
        <f aca="false">G338-G339</f>
        <v>283.639133717093</v>
      </c>
    </row>
    <row r="341" customFormat="false" ht="15" hidden="false" customHeight="false" outlineLevel="0" collapsed="false">
      <c r="A341" s="5" t="s">
        <v>603</v>
      </c>
      <c r="B341" s="0" t="s">
        <v>60</v>
      </c>
      <c r="C341" s="14" t="n">
        <f aca="false">C340/C334</f>
        <v>0.423425629851061</v>
      </c>
      <c r="D341" s="14" t="n">
        <f aca="false">D340/D334</f>
        <v>0.445764670314743</v>
      </c>
      <c r="E341" s="14" t="n">
        <f aca="false">E340/E334</f>
        <v>0.463205516077947</v>
      </c>
      <c r="F341" s="14" t="n">
        <f aca="false">F340/F334</f>
        <v>0.470076728831124</v>
      </c>
      <c r="G341" s="14" t="n">
        <f aca="false">G340/G334</f>
        <v>0.472674603176879</v>
      </c>
    </row>
    <row r="342" customFormat="false" ht="15" hidden="false" customHeight="false" outlineLevel="0" collapsed="false">
      <c r="A342" s="5" t="s">
        <v>435</v>
      </c>
      <c r="B342" s="0" t="s">
        <v>33</v>
      </c>
      <c r="C342" s="11" t="n">
        <f aca="false">a25_ni</f>
        <v>135.521</v>
      </c>
      <c r="D342" s="11" t="n">
        <f aca="false">D321</f>
        <v>167.95938138934</v>
      </c>
      <c r="E342" s="11" t="n">
        <f aca="false">E340*nioi</f>
        <v>186.148570594666</v>
      </c>
      <c r="F342" s="11" t="n">
        <f aca="false">F340*nioi</f>
        <v>199.326353310868</v>
      </c>
      <c r="G342" s="11" t="n">
        <f aca="false">G340*nioi</f>
        <v>204.553565714078</v>
      </c>
    </row>
    <row r="343" customFormat="false" ht="15" hidden="false" customHeight="false" outlineLevel="0" collapsed="false">
      <c r="A343" s="0" t="s">
        <v>524</v>
      </c>
      <c r="B343" s="0" t="s">
        <v>55</v>
      </c>
      <c r="C343" s="11" t="n">
        <f aca="false">a25_eps</f>
        <v>1249.84</v>
      </c>
      <c r="D343" s="11" t="n">
        <f aca="false">D342*1000/shares</f>
        <v>1548.28555816522</v>
      </c>
      <c r="E343" s="11" t="n">
        <f aca="false">E342*1000/shares</f>
        <v>1715.95740077615</v>
      </c>
      <c r="F343" s="11" t="n">
        <f aca="false">F342*1000/shares</f>
        <v>1837.43302481908</v>
      </c>
      <c r="G343" s="11" t="n">
        <f aca="false">G342*1000/shares</f>
        <v>1885.61858853339</v>
      </c>
    </row>
    <row r="344" customFormat="false" ht="15" hidden="false" customHeight="false" outlineLevel="0" collapsed="false">
      <c r="A344" s="5" t="s">
        <v>604</v>
      </c>
      <c r="B344" s="0" t="s">
        <v>33</v>
      </c>
      <c r="C344" s="16" t="n">
        <f aca="false">ABS(C334-a25_rev)+ABS(C340-a25_oi)+ABS(D334-D318)+ABS(D340-D320)</f>
        <v>0.000999999999976353</v>
      </c>
    </row>
    <row r="345" customFormat="false" ht="15" hidden="false" customHeight="false" outlineLevel="0" collapsed="false">
      <c r="A345" s="1" t="s">
        <v>605</v>
      </c>
    </row>
    <row r="346" customFormat="false" ht="15" hidden="false" customHeight="false" outlineLevel="0" collapsed="false">
      <c r="A346" s="5" t="s">
        <v>606</v>
      </c>
      <c r="B346" s="0" t="s">
        <v>60</v>
      </c>
      <c r="C346" s="14" t="n">
        <f aca="false">a25_gp/a25_rev</f>
        <v>0.701498549974936</v>
      </c>
      <c r="D346" s="14" t="n">
        <f aca="false">gm_a+gm_b*LN(D315)+0</f>
        <v>0.72006503412841</v>
      </c>
      <c r="E346" s="14" t="n">
        <f aca="false">gm_a+gm_b*LN(E315)+0</f>
        <v>0.726634392551408</v>
      </c>
      <c r="F346" s="14" t="n">
        <f aca="false">gm_a+gm_b*LN(F315)+0</f>
        <v>0.732736042438708</v>
      </c>
      <c r="G346" s="14" t="n">
        <f aca="false">gm_a+gm_b*LN(G315)+0</f>
        <v>0.73492591864378</v>
      </c>
    </row>
    <row r="347" customFormat="false" ht="15" hidden="false" customHeight="false" outlineLevel="0" collapsed="false">
      <c r="A347" s="5" t="s">
        <v>607</v>
      </c>
      <c r="B347" s="0" t="s">
        <v>33</v>
      </c>
      <c r="C347" s="11" t="n">
        <f aca="false">a25_oi</f>
        <v>184.989</v>
      </c>
      <c r="D347" s="11" t="n">
        <f aca="false">D315*D346-sg_f-sg_v*D315</f>
        <v>230.400125264971</v>
      </c>
      <c r="E347" s="11" t="n">
        <f aca="false">E315*E346-sg_f-sg_v*E315</f>
        <v>248.120675561291</v>
      </c>
      <c r="F347" s="11" t="n">
        <f aca="false">F315*F346-sg_f-sg_v*F315</f>
        <v>265.709712965776</v>
      </c>
      <c r="G347" s="11" t="n">
        <f aca="false">G315*G346-sg_f-sg_v*G315</f>
        <v>272.301521289159</v>
      </c>
    </row>
    <row r="348" customFormat="false" ht="15" hidden="false" customHeight="false" outlineLevel="0" collapsed="false">
      <c r="A348" s="0" t="s">
        <v>608</v>
      </c>
      <c r="B348" s="0" t="s">
        <v>55</v>
      </c>
      <c r="C348" s="11" t="n">
        <f aca="false">a25_eps</f>
        <v>1249.84</v>
      </c>
      <c r="D348" s="11" t="n">
        <f aca="false">D347*nioi_v01*1000/shares</f>
        <v>1555.93052193204</v>
      </c>
      <c r="E348" s="11" t="n">
        <f aca="false">E347*nioi_v01*1000/shares</f>
        <v>1675.60035735321</v>
      </c>
      <c r="F348" s="11" t="n">
        <f aca="false">F347*nioi_v01*1000/shares</f>
        <v>1794.38206425362</v>
      </c>
      <c r="G348" s="11" t="n">
        <f aca="false">G347*nioi_v01*1000/shares</f>
        <v>1838.89764667044</v>
      </c>
    </row>
    <row r="360" customFormat="false" ht="15" hidden="false" customHeight="false" outlineLevel="0" collapsed="false">
      <c r="A360" s="4" t="s">
        <v>825</v>
      </c>
    </row>
    <row r="361" customFormat="false" ht="15" hidden="false" customHeight="false" outlineLevel="0" collapsed="false">
      <c r="A361" s="6" t="s">
        <v>22</v>
      </c>
      <c r="B361" s="6" t="s">
        <v>23</v>
      </c>
      <c r="C361" s="9" t="s">
        <v>532</v>
      </c>
      <c r="D361" s="9" t="s">
        <v>533</v>
      </c>
      <c r="E361" s="9" t="s">
        <v>534</v>
      </c>
      <c r="F361" s="9" t="s">
        <v>535</v>
      </c>
      <c r="G361" s="9" t="s">
        <v>536</v>
      </c>
      <c r="H361" s="9" t="s">
        <v>537</v>
      </c>
      <c r="I361" s="9" t="s">
        <v>538</v>
      </c>
      <c r="J361" s="6" t="s">
        <v>515</v>
      </c>
    </row>
    <row r="362" customFormat="false" ht="15" hidden="false" customHeight="false" outlineLevel="0" collapsed="false">
      <c r="A362" s="1" t="s">
        <v>539</v>
      </c>
    </row>
    <row r="363" customFormat="false" ht="15" hidden="false" customHeight="false" outlineLevel="0" collapsed="false">
      <c r="A363" s="0" t="s">
        <v>540</v>
      </c>
      <c r="B363" s="0" t="s">
        <v>100</v>
      </c>
      <c r="C363" s="19" t="n">
        <f aca="false">hsA_25</f>
        <v>2.22511470588235</v>
      </c>
      <c r="D363" s="19" t="n">
        <f aca="false">hsA_26</f>
        <v>3.782695</v>
      </c>
      <c r="E363" s="19" t="n">
        <f aca="false">hsA_27</f>
        <v>5.86317725</v>
      </c>
      <c r="F363" s="19" t="n">
        <f aca="false">hsA_28</f>
        <v>8.5016070125</v>
      </c>
      <c r="G363" s="19" t="n">
        <f aca="false">hsA_29</f>
        <v>11.477169466875</v>
      </c>
      <c r="H363" s="19" t="n">
        <f aca="false">G363*(1+g_tail)</f>
        <v>12.6248864135625</v>
      </c>
      <c r="I363" s="19" t="n">
        <f aca="false">H363*(1+g_tail)</f>
        <v>13.8873750549188</v>
      </c>
      <c r="J363" s="8" t="s">
        <v>541</v>
      </c>
    </row>
    <row r="364" customFormat="false" ht="15" hidden="false" customHeight="false" outlineLevel="0" collapsed="false">
      <c r="A364" s="0" t="s">
        <v>542</v>
      </c>
      <c r="B364" s="0" t="s">
        <v>543</v>
      </c>
      <c r="C364" s="19" t="n">
        <f aca="false">den_25</f>
        <v>24</v>
      </c>
      <c r="D364" s="19" t="n">
        <f aca="false">den_26</f>
        <v>24</v>
      </c>
      <c r="E364" s="19" t="n">
        <f aca="false">den_27</f>
        <v>26</v>
      </c>
      <c r="F364" s="19" t="n">
        <f aca="false">den_28</f>
        <v>28</v>
      </c>
      <c r="G364" s="19" t="n">
        <f aca="false">den_29</f>
        <v>30</v>
      </c>
      <c r="H364" s="19" t="n">
        <f aca="false">den_30</f>
        <v>32</v>
      </c>
      <c r="I364" s="19" t="n">
        <f aca="false">den_30</f>
        <v>32</v>
      </c>
    </row>
    <row r="365" customFormat="false" ht="15" hidden="false" customHeight="false" outlineLevel="0" collapsed="false">
      <c r="A365" s="5" t="s">
        <v>544</v>
      </c>
      <c r="B365" s="5" t="s">
        <v>152</v>
      </c>
      <c r="C365" s="19" t="n">
        <f aca="false">stk_25</f>
        <v>10</v>
      </c>
      <c r="D365" s="19" t="n">
        <f aca="false">stk_26</f>
        <v>12</v>
      </c>
      <c r="E365" s="19" t="n">
        <f aca="false">stk_27</f>
        <v>12.5</v>
      </c>
      <c r="F365" s="19" t="n">
        <f aca="false">stk_28</f>
        <v>14</v>
      </c>
      <c r="G365" s="19" t="n">
        <f aca="false">stk_29</f>
        <v>15</v>
      </c>
      <c r="H365" s="19" t="n">
        <f aca="false">stk_30</f>
        <v>16</v>
      </c>
      <c r="I365" s="19" t="n">
        <f aca="false">stk_30</f>
        <v>16</v>
      </c>
    </row>
    <row r="366" customFormat="false" ht="15" hidden="false" customHeight="false" outlineLevel="0" collapsed="false">
      <c r="A366" s="0" t="s">
        <v>545</v>
      </c>
      <c r="B366" s="5" t="s">
        <v>546</v>
      </c>
      <c r="C366" s="19" t="n">
        <f aca="false">C363*8/C364</f>
        <v>0.741704901960783</v>
      </c>
      <c r="D366" s="19" t="n">
        <f aca="false">D363*8/D364</f>
        <v>1.26089833333333</v>
      </c>
      <c r="E366" s="19" t="n">
        <f aca="false">E363*8/E364</f>
        <v>1.80405453846154</v>
      </c>
      <c r="F366" s="19" t="n">
        <f aca="false">F363*8/F364</f>
        <v>2.429030575</v>
      </c>
      <c r="G366" s="19" t="n">
        <f aca="false">G363*8/G364</f>
        <v>3.0605785245</v>
      </c>
      <c r="H366" s="19" t="n">
        <f aca="false">H363*8/H364</f>
        <v>3.15622160339063</v>
      </c>
      <c r="I366" s="19" t="n">
        <f aca="false">I363*8/I364</f>
        <v>3.47184376372969</v>
      </c>
      <c r="J366" s="8" t="s">
        <v>547</v>
      </c>
    </row>
    <row r="367" customFormat="false" ht="15" hidden="false" customHeight="false" outlineLevel="0" collapsed="false">
      <c r="A367" s="0" t="s">
        <v>548</v>
      </c>
      <c r="B367" s="5" t="s">
        <v>549</v>
      </c>
      <c r="C367" s="19" t="n">
        <f aca="false">C366*(1+s_stk/C365)</f>
        <v>0.964216372549018</v>
      </c>
      <c r="D367" s="19" t="n">
        <f aca="false">D366*(1+s_stk/D365)</f>
        <v>1.57612291666667</v>
      </c>
      <c r="E367" s="19" t="n">
        <f aca="false">E366*(1+s_stk/E365)</f>
        <v>2.23702762769231</v>
      </c>
      <c r="F367" s="19" t="n">
        <f aca="false">F366*(1+s_stk/F365)</f>
        <v>2.94953712678571</v>
      </c>
      <c r="G367" s="19" t="n">
        <f aca="false">G366*(1+s_stk/G365)</f>
        <v>3.6726942294</v>
      </c>
      <c r="H367" s="19" t="n">
        <f aca="false">H366*(1+s_stk/H365)</f>
        <v>3.74801315402637</v>
      </c>
      <c r="I367" s="19" t="n">
        <f aca="false">I366*(1+s_stk/I365)</f>
        <v>4.12281446942901</v>
      </c>
      <c r="J367" s="5" t="s">
        <v>550</v>
      </c>
    </row>
    <row r="368" customFormat="false" ht="15" hidden="false" customHeight="false" outlineLevel="0" collapsed="false">
      <c r="A368" s="5" t="s">
        <v>551</v>
      </c>
      <c r="B368" s="0" t="s">
        <v>60</v>
      </c>
      <c r="C368" s="22" t="n">
        <f aca="false">hbp_25*hb_on</f>
        <v>0</v>
      </c>
      <c r="D368" s="22" t="n">
        <f aca="false">hbp_26*hb_on</f>
        <v>0</v>
      </c>
      <c r="E368" s="22" t="n">
        <f aca="false">hbp_27*hb_on</f>
        <v>0</v>
      </c>
      <c r="F368" s="22" t="n">
        <f aca="false">hbp_28*hb_on</f>
        <v>0.05</v>
      </c>
      <c r="G368" s="22" t="n">
        <f aca="false">hbp_29*hb_on</f>
        <v>0.15</v>
      </c>
      <c r="H368" s="22" t="n">
        <f aca="false">hbp_30*hb_on</f>
        <v>0.25</v>
      </c>
      <c r="I368" s="22" t="n">
        <f aca="false">hbp_30*hb_on</f>
        <v>0.25</v>
      </c>
    </row>
    <row r="369" customFormat="false" ht="15" hidden="false" customHeight="false" outlineLevel="0" collapsed="false">
      <c r="A369" s="0" t="s">
        <v>552</v>
      </c>
      <c r="B369" s="5" t="s">
        <v>549</v>
      </c>
      <c r="C369" s="19" t="n">
        <f aca="false">C367*(1+C368*hb_eff)</f>
        <v>0.964216372549018</v>
      </c>
      <c r="D369" s="19" t="n">
        <f aca="false">D367*(1+D368*hb_eff)</f>
        <v>1.57612291666667</v>
      </c>
      <c r="E369" s="19" t="n">
        <f aca="false">E367*(1+E368*hb_eff)</f>
        <v>2.23702762769231</v>
      </c>
      <c r="F369" s="19" t="n">
        <f aca="false">F367*(1+F368*hb_eff)</f>
        <v>2.96428481241964</v>
      </c>
      <c r="G369" s="19" t="n">
        <f aca="false">G367*(1+G368*hb_eff)</f>
        <v>3.727784642841</v>
      </c>
      <c r="H369" s="19" t="n">
        <f aca="false">H367*(1+H368*hb_eff)</f>
        <v>3.84171348287703</v>
      </c>
      <c r="I369" s="19" t="n">
        <f aca="false">I367*(1+I368*hb_eff)</f>
        <v>4.22588483116473</v>
      </c>
      <c r="J369" s="5" t="s">
        <v>553</v>
      </c>
    </row>
    <row r="370" customFormat="false" ht="15" hidden="false" customHeight="false" outlineLevel="0" collapsed="false">
      <c r="A370" s="0" t="s">
        <v>554</v>
      </c>
      <c r="B370" s="5" t="s">
        <v>549</v>
      </c>
      <c r="C370" s="19" t="n">
        <f aca="false">MAX(0,D369-C369)+dlt*C369</f>
        <v>0.70832818137255</v>
      </c>
      <c r="D370" s="19" t="n">
        <f aca="false">MAX(0,E369-D369)+dlt*D369</f>
        <v>0.818517002692307</v>
      </c>
      <c r="E370" s="19" t="n">
        <f aca="false">MAX(0,F369-E369)+dlt*E369</f>
        <v>0.950959947496565</v>
      </c>
      <c r="F370" s="19" t="n">
        <f aca="false">MAX(0,G369-F369)+dlt*F369</f>
        <v>1.05992831166332</v>
      </c>
      <c r="G370" s="19" t="n">
        <f aca="false">MAX(0,H369-G369)+dlt*G369</f>
        <v>0.486707304320127</v>
      </c>
      <c r="H370" s="19" t="n">
        <f aca="false">MAX(0,I369-H369)+dlt*H369</f>
        <v>0.768342696575406</v>
      </c>
      <c r="J370" s="5" t="s">
        <v>555</v>
      </c>
    </row>
    <row r="371" customFormat="false" ht="15" hidden="false" customHeight="false" outlineLevel="0" collapsed="false">
      <c r="A371" s="0" t="s">
        <v>556</v>
      </c>
      <c r="B371" s="5" t="s">
        <v>181</v>
      </c>
      <c r="C371" s="21" t="n">
        <f aca="false">cw_25</f>
        <v>670</v>
      </c>
      <c r="D371" s="21" t="n">
        <f aca="false">cw_26</f>
        <v>1107.85762580894</v>
      </c>
      <c r="E371" s="21" t="n">
        <f aca="false">cw_27</f>
        <v>2096.42857142857</v>
      </c>
      <c r="F371" s="21" t="n">
        <f aca="false">cw_28*um28_A</f>
        <v>2620.08928571429</v>
      </c>
      <c r="G371" s="21" t="n">
        <f aca="false">cw_29*um29_A</f>
        <v>3013.32589285714</v>
      </c>
      <c r="H371" s="21" t="n">
        <f aca="false">G371*(1+g_tail)</f>
        <v>3314.65848214285</v>
      </c>
      <c r="I371" s="21" t="n">
        <f aca="false">H371*(1+g_tail)</f>
        <v>3646.12433035714</v>
      </c>
      <c r="J371" s="5" t="s">
        <v>557</v>
      </c>
    </row>
    <row r="372" customFormat="false" ht="15" hidden="false" customHeight="false" outlineLevel="0" collapsed="false">
      <c r="A372" s="5" t="s">
        <v>558</v>
      </c>
      <c r="B372" s="5" t="s">
        <v>181</v>
      </c>
      <c r="C372" s="21" t="n">
        <f aca="false">MAX(0,D371-C371)+dlt*C371</f>
        <v>504.85762580894</v>
      </c>
      <c r="D372" s="21" t="n">
        <f aca="false">MAX(0,E371-D371)+dlt*D371</f>
        <v>1099.35670820052</v>
      </c>
      <c r="E372" s="21" t="n">
        <f aca="false">MAX(0,F371-E371)+dlt*E371</f>
        <v>733.303571428577</v>
      </c>
      <c r="F372" s="21" t="n">
        <f aca="false">MAX(0,G371-F371)+dlt*F371</f>
        <v>655.245535714279</v>
      </c>
      <c r="G372" s="21" t="n">
        <f aca="false">MAX(0,H371-G371)+dlt*G371</f>
        <v>602.665178571428</v>
      </c>
      <c r="H372" s="21" t="n">
        <f aca="false">MAX(0,I371-H371)+dlt*H371</f>
        <v>662.931696428571</v>
      </c>
    </row>
    <row r="373" customFormat="false" ht="15" hidden="false" customHeight="false" outlineLevel="0" collapsed="false">
      <c r="A373" s="1" t="s">
        <v>559</v>
      </c>
    </row>
    <row r="374" customFormat="false" ht="15" hidden="false" customHeight="false" outlineLevel="0" collapsed="false">
      <c r="A374" s="0" t="s">
        <v>560</v>
      </c>
      <c r="B374" s="0" t="s">
        <v>561</v>
      </c>
      <c r="C374" s="16" t="n">
        <f aca="false">ai_25*w_hbm_lo/(0.75*C370+0.25*D370)</f>
        <v>45.8637435221691</v>
      </c>
      <c r="J374" s="5" t="s">
        <v>562</v>
      </c>
    </row>
    <row r="375" customFormat="false" ht="15" hidden="false" customHeight="false" outlineLevel="0" collapsed="false">
      <c r="A375" s="5" t="s">
        <v>563</v>
      </c>
      <c r="B375" s="0" t="s">
        <v>564</v>
      </c>
      <c r="C375" s="18" t="n">
        <f aca="false">ai_25*(1-w_hbm_lo)/(0.75*C372+0.25*D372)</f>
        <v>0.063123353018861</v>
      </c>
    </row>
    <row r="376" customFormat="false" ht="15" hidden="false" customHeight="false" outlineLevel="0" collapsed="false">
      <c r="A376" s="1" t="s">
        <v>565</v>
      </c>
    </row>
    <row r="377" customFormat="false" ht="15" hidden="false" customHeight="false" outlineLevel="0" collapsed="false">
      <c r="A377" s="5" t="s">
        <v>566</v>
      </c>
      <c r="B377" s="0" t="s">
        <v>80</v>
      </c>
      <c r="C377" s="16" t="n">
        <f aca="false">1-sh_loss/sh*0</f>
        <v>1</v>
      </c>
      <c r="D377" s="16" t="n">
        <f aca="false">1-sh_loss/sh*0.25</f>
        <v>1</v>
      </c>
      <c r="E377" s="16" t="n">
        <f aca="false">1-sh_loss/sh*0.5</f>
        <v>1</v>
      </c>
      <c r="F377" s="16" t="n">
        <f aca="false">1-sh_loss/sh*0.75</f>
        <v>1</v>
      </c>
      <c r="G377" s="16" t="n">
        <f aca="false">1-sh_loss/sh*1</f>
        <v>1</v>
      </c>
    </row>
    <row r="378" customFormat="false" ht="15" hidden="false" customHeight="false" outlineLevel="0" collapsed="false">
      <c r="A378" s="0" t="s">
        <v>567</v>
      </c>
      <c r="B378" s="0" t="s">
        <v>33</v>
      </c>
      <c r="C378" s="11" t="n">
        <f aca="false">$C$374*(0.75*C370+0.25*D370)*C377</f>
        <v>33.75</v>
      </c>
      <c r="D378" s="11" t="n">
        <f aca="false">$C$374*(0.75*D370+0.25*E370)*D377</f>
        <v>39.0588361929704</v>
      </c>
      <c r="E378" s="11" t="n">
        <f aca="false">$C$374*(0.75*E370+0.25*F370)*E377</f>
        <v>44.8640074083815</v>
      </c>
      <c r="F378" s="11" t="n">
        <f aca="false">$C$374*(0.75*F370+0.25*G370)*F377</f>
        <v>42.0397649224354</v>
      </c>
      <c r="G378" s="11" t="n">
        <f aca="false">$C$374*(0.75*G370+0.25*H370)*G377</f>
        <v>25.551432324995</v>
      </c>
    </row>
    <row r="379" customFormat="false" ht="15" hidden="false" customHeight="false" outlineLevel="0" collapsed="false">
      <c r="A379" s="5" t="s">
        <v>568</v>
      </c>
      <c r="B379" s="0" t="s">
        <v>33</v>
      </c>
      <c r="C379" s="11" t="n">
        <f aca="false">$C$375*(0.75*C372+0.25*D372)*C377</f>
        <v>41.25</v>
      </c>
      <c r="D379" s="11" t="n">
        <f aca="false">$C$375*(0.75*D372+0.25*E372)*D377</f>
        <v>63.6184562413654</v>
      </c>
      <c r="E379" s="11" t="n">
        <f aca="false">$C$375*(0.75*E372+0.25*F372)*E377</f>
        <v>45.0567589731895</v>
      </c>
      <c r="F379" s="11" t="n">
        <f aca="false">$C$375*(0.75*F372+0.25*G372)*F377</f>
        <v>40.5315331534787</v>
      </c>
      <c r="G379" s="11" t="n">
        <f aca="false">$C$375*(0.75*G372+0.25*H372)*G377</f>
        <v>38.9933029896177</v>
      </c>
    </row>
    <row r="380" customFormat="false" ht="15" hidden="false" customHeight="false" outlineLevel="0" collapsed="false">
      <c r="A380" s="0" t="s">
        <v>569</v>
      </c>
      <c r="B380" s="0" t="s">
        <v>33</v>
      </c>
      <c r="C380" s="11" t="n">
        <f aca="false">C378+C379</f>
        <v>75</v>
      </c>
      <c r="D380" s="11" t="n">
        <f aca="false">D378+D379</f>
        <v>102.677292434336</v>
      </c>
      <c r="E380" s="11" t="n">
        <f aca="false">E378+E379</f>
        <v>89.920766381571</v>
      </c>
      <c r="F380" s="11" t="n">
        <f aca="false">F378+F379</f>
        <v>82.5712980759141</v>
      </c>
      <c r="G380" s="11" t="n">
        <f aca="false">G378+G379</f>
        <v>64.5447353146127</v>
      </c>
    </row>
    <row r="381" customFormat="false" ht="15" hidden="false" customHeight="false" outlineLevel="0" collapsed="false">
      <c r="A381" s="5" t="s">
        <v>570</v>
      </c>
      <c r="B381" s="0" t="s">
        <v>33</v>
      </c>
      <c r="C381" s="11" t="n">
        <f aca="false">eq_25-ai_25</f>
        <v>195.87118</v>
      </c>
      <c r="D381" s="11" t="n">
        <f aca="false">C381*(1+g_non)*D377/C377</f>
        <v>207.6234508</v>
      </c>
      <c r="E381" s="11" t="n">
        <f aca="false">D381*(1+g_non)*E377/D377</f>
        <v>220.080857848</v>
      </c>
      <c r="F381" s="11" t="n">
        <f aca="false">E381*(1+g_non)*F377/E377</f>
        <v>233.28570931888</v>
      </c>
      <c r="G381" s="11" t="n">
        <f aca="false">F381*(1+g_non)*G377/F377</f>
        <v>247.282851878013</v>
      </c>
    </row>
    <row r="382" customFormat="false" ht="15" hidden="false" customHeight="false" outlineLevel="0" collapsed="false">
      <c r="A382" s="0" t="s">
        <v>571</v>
      </c>
      <c r="B382" s="0" t="s">
        <v>80</v>
      </c>
      <c r="C382" s="19" t="n">
        <f aca="false">w_hbm_lo*(0.75*C369+0.25*D369)/(0.75*C369+0.25*D369)+(1-w_hbm_lo)*(0.75*C371+0.25*D371)/(0.75*C371+0.25*D371)</f>
        <v>1</v>
      </c>
      <c r="D382" s="19" t="n">
        <f aca="false">w_hbm_lo*(0.75*D369+0.25*E369)/(0.75*C369+0.25*D369)+(1-w_hbm_lo)*(0.75*D371+0.25*E371)/(0.75*C371+0.25*D371)</f>
        <v>1.65751257707776</v>
      </c>
      <c r="E382" s="19" t="n">
        <f aca="false">w_hbm_lo*(0.75*E369+0.25*F369)/(0.75*C369+0.25*D369)+(1-w_hbm_lo)*(0.75*E371+0.25*F371)/(0.75*C371+0.25*D371)</f>
        <v>2.54594003878988</v>
      </c>
      <c r="F382" s="19" t="n">
        <f aca="false">w_hbm_lo*(0.75*F369+0.25*G369)/(0.75*C369+0.25*D369)+(1-w_hbm_lo)*(0.75*F371+0.25*G371)/(0.75*C371+0.25*D371)</f>
        <v>3.18901977892773</v>
      </c>
      <c r="G382" s="19" t="n">
        <f aca="false">w_hbm_lo*(0.75*G369+0.25*H369)/(0.75*C369+0.25*D369)+(1-w_hbm_lo)*(0.75*G371+0.25*H371)/(0.75*C371+0.25*D371)</f>
        <v>3.69240342759602</v>
      </c>
      <c r="J382" s="8" t="s">
        <v>572</v>
      </c>
    </row>
    <row r="383" customFormat="false" ht="15" hidden="false" customHeight="false" outlineLevel="0" collapsed="false">
      <c r="A383" s="0" t="s">
        <v>573</v>
      </c>
      <c r="B383" s="0" t="s">
        <v>33</v>
      </c>
      <c r="C383" s="11" t="n">
        <f aca="false">tl_25*w_tlai*C382</f>
        <v>25.4032258064516</v>
      </c>
      <c r="D383" s="11" t="n">
        <f aca="false">tl_25*w_tlai*D382</f>
        <v>42.1061662725398</v>
      </c>
      <c r="E383" s="11" t="n">
        <f aca="false">tl_25*w_tlai*E382</f>
        <v>64.6750896950656</v>
      </c>
      <c r="F383" s="11" t="n">
        <f aca="false">tl_25*w_tlai*F382</f>
        <v>81.0113895453414</v>
      </c>
      <c r="G383" s="11" t="n">
        <f aca="false">tl_25*w_tlai*G382</f>
        <v>93.7989580397376</v>
      </c>
      <c r="J383" s="5" t="s">
        <v>574</v>
      </c>
    </row>
    <row r="384" customFormat="false" ht="15" hidden="false" customHeight="false" outlineLevel="0" collapsed="false">
      <c r="A384" s="5" t="s">
        <v>575</v>
      </c>
      <c r="B384" s="0" t="s">
        <v>33</v>
      </c>
      <c r="C384" s="11" t="n">
        <f aca="false">tl_25*(1-w_tlai)</f>
        <v>66.3434641935484</v>
      </c>
      <c r="D384" s="11" t="n">
        <f aca="false">C384*(1+g_tl)</f>
        <v>69.6606374032258</v>
      </c>
      <c r="E384" s="11" t="n">
        <f aca="false">D384*(1+g_tl)</f>
        <v>73.1436692733871</v>
      </c>
      <c r="F384" s="11" t="n">
        <f aca="false">E384*(1+g_tl)</f>
        <v>76.8008527370565</v>
      </c>
      <c r="G384" s="11" t="n">
        <f aca="false">F384*(1+g_tl)</f>
        <v>80.6408953739093</v>
      </c>
    </row>
    <row r="385" customFormat="false" ht="15" hidden="false" customHeight="false" outlineLevel="0" collapsed="false">
      <c r="A385" s="5" t="s">
        <v>576</v>
      </c>
      <c r="B385" s="0" t="s">
        <v>33</v>
      </c>
      <c r="C385" s="11" t="n">
        <f aca="false">(C380+C381+C383+C384)*(1+r_ot)</f>
        <v>436.889</v>
      </c>
      <c r="D385" s="11" t="n">
        <f aca="false">(D380+D381+D383+D384)*(1+r_ot)</f>
        <v>508.515116759158</v>
      </c>
      <c r="E385" s="11" t="n">
        <f aca="false">(E380+E381+E383+E384)*(1+r_ot)</f>
        <v>539.542630359065</v>
      </c>
      <c r="F385" s="11" t="n">
        <f aca="false">(F380+F381+F383+F384)*(1+r_ot)</f>
        <v>570.685842984569</v>
      </c>
      <c r="G385" s="11" t="n">
        <f aca="false">(G380+G381+G383+G384)*(1+r_ot)</f>
        <v>585.864386272617</v>
      </c>
      <c r="J385" s="8" t="s">
        <v>577</v>
      </c>
    </row>
    <row r="386" customFormat="false" ht="15" hidden="false" customHeight="false" outlineLevel="0" collapsed="false">
      <c r="A386" s="1" t="s">
        <v>578</v>
      </c>
    </row>
    <row r="387" customFormat="false" ht="15" hidden="false" customHeight="false" outlineLevel="0" collapsed="false">
      <c r="A387" s="5" t="s">
        <v>579</v>
      </c>
      <c r="B387" s="0" t="s">
        <v>33</v>
      </c>
      <c r="D387" s="11" t="n">
        <f aca="false">g3_rev*(1+g_q4)</f>
        <v>145.6862</v>
      </c>
    </row>
    <row r="388" customFormat="false" ht="15" hidden="false" customHeight="false" outlineLevel="0" collapsed="false">
      <c r="A388" s="0" t="s">
        <v>580</v>
      </c>
      <c r="B388" s="0" t="s">
        <v>33</v>
      </c>
      <c r="D388" s="11" t="n">
        <f aca="false">q26h1_rev+g3_rev+D387</f>
        <v>535.1862</v>
      </c>
    </row>
    <row r="389" customFormat="false" ht="15" hidden="false" customHeight="false" outlineLevel="0" collapsed="false">
      <c r="A389" s="0" t="s">
        <v>581</v>
      </c>
      <c r="B389" s="0" t="s">
        <v>33</v>
      </c>
      <c r="D389" s="11" t="n">
        <f aca="false">q26h1_gp+(g3_rev+D387)*gm_q3</f>
        <v>378.0504836</v>
      </c>
    </row>
    <row r="390" customFormat="false" ht="15" hidden="false" customHeight="false" outlineLevel="0" collapsed="false">
      <c r="A390" s="0" t="s">
        <v>582</v>
      </c>
      <c r="B390" s="0" t="s">
        <v>33</v>
      </c>
      <c r="D390" s="11" t="n">
        <f aca="false">q26h1_oi+g3_oi+D387*m_q4</f>
        <v>238.5671</v>
      </c>
    </row>
    <row r="391" customFormat="false" ht="15" hidden="false" customHeight="false" outlineLevel="0" collapsed="false">
      <c r="A391" s="0" t="s">
        <v>583</v>
      </c>
      <c r="B391" s="0" t="s">
        <v>33</v>
      </c>
      <c r="D391" s="11" t="n">
        <f aca="false">q26h1_ni+g3_ni+D387*m_q4*nioi</f>
        <v>167.95938138934</v>
      </c>
    </row>
    <row r="392" customFormat="false" ht="15" hidden="false" customHeight="false" outlineLevel="0" collapsed="false">
      <c r="A392" s="5" t="s">
        <v>584</v>
      </c>
      <c r="B392" s="0" t="s">
        <v>80</v>
      </c>
      <c r="D392" s="16" t="n">
        <f aca="false">D388/D385</f>
        <v>1.05244894863858</v>
      </c>
      <c r="J392" s="8" t="s">
        <v>585</v>
      </c>
    </row>
    <row r="393" customFormat="false" ht="15" hidden="false" customHeight="false" outlineLevel="0" collapsed="false">
      <c r="A393" s="5" t="s">
        <v>586</v>
      </c>
      <c r="B393" s="0" t="s">
        <v>80</v>
      </c>
      <c r="D393" s="16" t="n">
        <f aca="false">1+anc_carry*(D392-1)</f>
        <v>1.05244894863858</v>
      </c>
      <c r="J393" s="8" t="s">
        <v>587</v>
      </c>
    </row>
    <row r="394" customFormat="false" ht="15" hidden="false" customHeight="false" outlineLevel="0" collapsed="false">
      <c r="A394" s="1" t="s">
        <v>588</v>
      </c>
    </row>
    <row r="395" customFormat="false" ht="15" hidden="false" customHeight="false" outlineLevel="0" collapsed="false">
      <c r="A395" s="0" t="s">
        <v>589</v>
      </c>
      <c r="B395" s="0" t="s">
        <v>33</v>
      </c>
      <c r="C395" s="11" t="n">
        <f aca="false">C378*1</f>
        <v>33.75</v>
      </c>
      <c r="D395" s="11" t="n">
        <f aca="false">D378*$D$392</f>
        <v>41.1074310863382</v>
      </c>
      <c r="E395" s="11" t="n">
        <f aca="false">E378*1</f>
        <v>44.8640074083815</v>
      </c>
      <c r="F395" s="11" t="n">
        <f aca="false">F378*1</f>
        <v>42.0397649224354</v>
      </c>
      <c r="G395" s="11" t="n">
        <f aca="false">G378*1</f>
        <v>25.551432324995</v>
      </c>
    </row>
    <row r="396" customFormat="false" ht="15" hidden="false" customHeight="false" outlineLevel="0" collapsed="false">
      <c r="A396" s="5" t="s">
        <v>590</v>
      </c>
      <c r="B396" s="0" t="s">
        <v>33</v>
      </c>
      <c r="C396" s="11" t="n">
        <f aca="false">C379*1</f>
        <v>41.25</v>
      </c>
      <c r="D396" s="11" t="n">
        <f aca="false">D379*$D$392</f>
        <v>66.9551773852344</v>
      </c>
      <c r="E396" s="11" t="n">
        <f aca="false">E379*1</f>
        <v>45.0567589731895</v>
      </c>
      <c r="F396" s="11" t="n">
        <f aca="false">F379*1</f>
        <v>40.5315331534787</v>
      </c>
      <c r="G396" s="11" t="n">
        <f aca="false">G379*1</f>
        <v>38.9933029896177</v>
      </c>
    </row>
    <row r="397" customFormat="false" ht="15" hidden="false" customHeight="false" outlineLevel="0" collapsed="false">
      <c r="A397" s="0" t="s">
        <v>591</v>
      </c>
      <c r="B397" s="0" t="s">
        <v>33</v>
      </c>
      <c r="C397" s="11" t="n">
        <f aca="false">C395+C396</f>
        <v>75</v>
      </c>
      <c r="D397" s="11" t="n">
        <f aca="false">D395+D396</f>
        <v>108.062608471573</v>
      </c>
      <c r="E397" s="11" t="n">
        <f aca="false">E395+E396</f>
        <v>89.920766381571</v>
      </c>
      <c r="F397" s="11" t="n">
        <f aca="false">F395+F396</f>
        <v>82.5712980759141</v>
      </c>
      <c r="G397" s="11" t="n">
        <f aca="false">G395+G396</f>
        <v>64.5447353146127</v>
      </c>
    </row>
    <row r="398" customFormat="false" ht="15" hidden="false" customHeight="false" outlineLevel="0" collapsed="false">
      <c r="A398" s="5" t="s">
        <v>592</v>
      </c>
      <c r="B398" s="0" t="s">
        <v>33</v>
      </c>
      <c r="C398" s="11" t="n">
        <f aca="false">C381*1</f>
        <v>195.87118</v>
      </c>
      <c r="D398" s="11" t="n">
        <f aca="false">D381*$D$392</f>
        <v>218.513082507174</v>
      </c>
      <c r="E398" s="11" t="n">
        <f aca="false">E381*$D$393</f>
        <v>231.623867457604</v>
      </c>
      <c r="F398" s="11" t="n">
        <f aca="false">F381*$D$393</f>
        <v>245.52129950506</v>
      </c>
      <c r="G398" s="11" t="n">
        <f aca="false">G381*$D$393</f>
        <v>260.252577475364</v>
      </c>
    </row>
    <row r="399" customFormat="false" ht="15" hidden="false" customHeight="false" outlineLevel="0" collapsed="false">
      <c r="A399" s="5" t="s">
        <v>593</v>
      </c>
      <c r="B399" s="0" t="s">
        <v>33</v>
      </c>
      <c r="C399" s="11" t="n">
        <f aca="false">C397+C398</f>
        <v>270.87118</v>
      </c>
      <c r="D399" s="11" t="n">
        <f aca="false">D397+D398</f>
        <v>326.575690978746</v>
      </c>
      <c r="E399" s="11" t="n">
        <f aca="false">E397+E398</f>
        <v>321.544633839175</v>
      </c>
      <c r="F399" s="11" t="n">
        <f aca="false">F397+F398</f>
        <v>328.092597580974</v>
      </c>
      <c r="G399" s="11" t="n">
        <f aca="false">G397+G398</f>
        <v>324.797312789977</v>
      </c>
    </row>
    <row r="400" customFormat="false" ht="15" hidden="false" customHeight="false" outlineLevel="0" collapsed="false">
      <c r="A400" s="0" t="s">
        <v>594</v>
      </c>
      <c r="B400" s="0" t="s">
        <v>33</v>
      </c>
      <c r="C400" s="11" t="n">
        <f aca="false">C383*1</f>
        <v>25.4032258064516</v>
      </c>
      <c r="D400" s="11" t="n">
        <f aca="false">D383*$D$392</f>
        <v>44.3145904247356</v>
      </c>
      <c r="E400" s="11" t="n">
        <f aca="false">E383*1</f>
        <v>64.6750896950656</v>
      </c>
      <c r="F400" s="11" t="n">
        <f aca="false">F383*1</f>
        <v>81.0113895453414</v>
      </c>
      <c r="G400" s="11" t="n">
        <f aca="false">G383*1</f>
        <v>93.7989580397376</v>
      </c>
    </row>
    <row r="401" customFormat="false" ht="15" hidden="false" customHeight="false" outlineLevel="0" collapsed="false">
      <c r="A401" s="5" t="s">
        <v>595</v>
      </c>
      <c r="B401" s="0" t="s">
        <v>33</v>
      </c>
      <c r="C401" s="11" t="n">
        <f aca="false">C384*1</f>
        <v>66.3434641935484</v>
      </c>
      <c r="D401" s="11" t="n">
        <f aca="false">D384*$D$392</f>
        <v>73.3142645965182</v>
      </c>
      <c r="E401" s="11" t="n">
        <f aca="false">E384*$D$393</f>
        <v>76.9799778263441</v>
      </c>
      <c r="F401" s="11" t="n">
        <f aca="false">F384*$D$393</f>
        <v>80.8289767176613</v>
      </c>
      <c r="G401" s="11" t="n">
        <f aca="false">G384*$D$393</f>
        <v>84.8704255535444</v>
      </c>
    </row>
    <row r="402" customFormat="false" ht="15" hidden="false" customHeight="false" outlineLevel="0" collapsed="false">
      <c r="A402" s="5" t="s">
        <v>596</v>
      </c>
      <c r="B402" s="0" t="s">
        <v>33</v>
      </c>
      <c r="C402" s="11" t="n">
        <f aca="false">C400+C401</f>
        <v>91.74669</v>
      </c>
      <c r="D402" s="11" t="n">
        <f aca="false">D400+D401</f>
        <v>117.628855021254</v>
      </c>
      <c r="E402" s="11" t="n">
        <f aca="false">E400+E401</f>
        <v>141.65506752141</v>
      </c>
      <c r="F402" s="11" t="n">
        <f aca="false">F400+F401</f>
        <v>161.840366263003</v>
      </c>
      <c r="G402" s="11" t="n">
        <f aca="false">G400+G401</f>
        <v>178.669383593282</v>
      </c>
    </row>
    <row r="403" customFormat="false" ht="15" hidden="false" customHeight="false" outlineLevel="0" collapsed="false">
      <c r="A403" s="5" t="s">
        <v>458</v>
      </c>
      <c r="B403" s="0" t="s">
        <v>33</v>
      </c>
      <c r="C403" s="11" t="n">
        <f aca="false">r_ot*(C399+C402)</f>
        <v>74.27113</v>
      </c>
      <c r="D403" s="11" t="n">
        <f aca="false">r_ot*(D399+D402)</f>
        <v>90.981654</v>
      </c>
      <c r="E403" s="11" t="n">
        <f aca="false">r_ot*(E399+E402)</f>
        <v>94.8722279895174</v>
      </c>
      <c r="F403" s="11" t="n">
        <f aca="false">r_ot*(F399+F402)</f>
        <v>100.347715486116</v>
      </c>
      <c r="G403" s="11" t="n">
        <f aca="false">r_ot*(G399+G402)</f>
        <v>103.11968480139</v>
      </c>
    </row>
    <row r="404" customFormat="false" ht="15" hidden="false" customHeight="false" outlineLevel="0" collapsed="false">
      <c r="A404" s="5" t="s">
        <v>428</v>
      </c>
      <c r="B404" s="0" t="s">
        <v>33</v>
      </c>
      <c r="C404" s="11" t="n">
        <f aca="false">C399+C402+C403</f>
        <v>436.889</v>
      </c>
      <c r="D404" s="11" t="n">
        <f aca="false">D399+D402+D403</f>
        <v>535.1862</v>
      </c>
      <c r="E404" s="11" t="n">
        <f aca="false">E399+E402+E403</f>
        <v>558.071929350102</v>
      </c>
      <c r="F404" s="11" t="n">
        <f aca="false">F399+F402+F403</f>
        <v>590.280679330093</v>
      </c>
      <c r="G404" s="11" t="n">
        <f aca="false">G399+G402+G403</f>
        <v>606.586381184649</v>
      </c>
      <c r="J404" s="8" t="s">
        <v>597</v>
      </c>
    </row>
    <row r="405" customFormat="false" ht="15" hidden="false" customHeight="false" outlineLevel="0" collapsed="false">
      <c r="A405" s="0" t="s">
        <v>598</v>
      </c>
      <c r="B405" s="0" t="s">
        <v>60</v>
      </c>
      <c r="C405" s="14" t="n">
        <f aca="false">(C397+C400)*(1+r_ot)/C404</f>
        <v>0.276884384673187</v>
      </c>
      <c r="D405" s="14" t="n">
        <f aca="false">(D397+D400)*(1+r_ot)/D404</f>
        <v>0.343033857416462</v>
      </c>
      <c r="E405" s="14" t="n">
        <f aca="false">(E397+E400)*(1+r_ot)/E404</f>
        <v>0.333756381151656</v>
      </c>
      <c r="F405" s="14" t="n">
        <f aca="false">(F397+F400)*(1+r_ot)/F404</f>
        <v>0.333887898331637</v>
      </c>
      <c r="G405" s="14" t="n">
        <f aca="false">(G397+G400)*(1+r_ot)/G404</f>
        <v>0.314506787622379</v>
      </c>
    </row>
    <row r="406" customFormat="false" ht="15" hidden="false" customHeight="false" outlineLevel="0" collapsed="false">
      <c r="A406" s="0" t="s">
        <v>599</v>
      </c>
      <c r="B406" s="0" t="s">
        <v>60</v>
      </c>
      <c r="C406" s="14" t="n">
        <f aca="false">C397*(1+r_ot)/C404</f>
        <v>0.206829299394429</v>
      </c>
      <c r="D406" s="14" t="n">
        <f aca="false">D397*(1+r_ot)/D404</f>
        <v>0.243272180450789</v>
      </c>
      <c r="E406" s="14" t="n">
        <f aca="false">E397*(1+r_ot)/E404</f>
        <v>0.194129586261479</v>
      </c>
      <c r="F406" s="14" t="n">
        <f aca="false">F397*(1+r_ot)/F404</f>
        <v>0.168535910358156</v>
      </c>
      <c r="G406" s="14" t="n">
        <f aca="false">G397*(1+r_ot)/G404</f>
        <v>0.128200605478537</v>
      </c>
      <c r="J406" s="5" t="s">
        <v>600</v>
      </c>
    </row>
    <row r="407" customFormat="false" ht="15" hidden="false" customHeight="false" outlineLevel="0" collapsed="false">
      <c r="A407" s="5" t="s">
        <v>466</v>
      </c>
      <c r="B407" s="0" t="s">
        <v>60</v>
      </c>
      <c r="C407" s="14" t="n">
        <f aca="false">a25_gp/a25_rev</f>
        <v>0.701498549974936</v>
      </c>
      <c r="D407" s="14" t="n">
        <f aca="false">D389/D404</f>
        <v>0.70639056761927</v>
      </c>
      <c r="E407" s="14" t="n">
        <f aca="false">gm_a+gm_b*LN(E404)+0</f>
        <v>0.730319349230507</v>
      </c>
      <c r="F407" s="14" t="n">
        <f aca="false">gm_a+gm_b*LN(F404)+0</f>
        <v>0.736706156994239</v>
      </c>
      <c r="G407" s="14" t="n">
        <f aca="false">gm_a+gm_b*LN(G404)+0</f>
        <v>0.739807799694005</v>
      </c>
      <c r="J407" s="8" t="s">
        <v>601</v>
      </c>
    </row>
    <row r="408" customFormat="false" ht="15" hidden="false" customHeight="false" outlineLevel="0" collapsed="false">
      <c r="A408" s="5" t="s">
        <v>463</v>
      </c>
      <c r="B408" s="0" t="s">
        <v>33</v>
      </c>
      <c r="C408" s="11" t="n">
        <f aca="false">C404*C407</f>
        <v>306.477</v>
      </c>
      <c r="D408" s="11" t="n">
        <f aca="false">D404*D407</f>
        <v>378.0504836</v>
      </c>
      <c r="E408" s="11" t="n">
        <f aca="false">E404*E407</f>
        <v>407.57072826678</v>
      </c>
      <c r="F408" s="11" t="n">
        <f aca="false">F404*F407</f>
        <v>434.863410817221</v>
      </c>
      <c r="G408" s="11" t="n">
        <f aca="false">G404*G407</f>
        <v>448.757335988564</v>
      </c>
    </row>
    <row r="409" customFormat="false" ht="15" hidden="false" customHeight="false" outlineLevel="0" collapsed="false">
      <c r="A409" s="5" t="s">
        <v>464</v>
      </c>
      <c r="B409" s="0" t="s">
        <v>33</v>
      </c>
      <c r="C409" s="11" t="n">
        <f aca="false">a25_sga</f>
        <v>121.487</v>
      </c>
      <c r="D409" s="11" t="n">
        <f aca="false">D408-D390</f>
        <v>139.4833836</v>
      </c>
      <c r="E409" s="11" t="n">
        <f aca="false">sg_f+sg_v*E404</f>
        <v>148.962299959599</v>
      </c>
      <c r="F409" s="11" t="n">
        <f aca="false">sg_f+sg_v*F404</f>
        <v>157.090726664617</v>
      </c>
      <c r="G409" s="11" t="n">
        <f aca="false">sg_f+sg_v*G404</f>
        <v>161.205748280823</v>
      </c>
      <c r="J409" s="8" t="s">
        <v>602</v>
      </c>
    </row>
    <row r="410" customFormat="false" ht="15" hidden="false" customHeight="false" outlineLevel="0" collapsed="false">
      <c r="A410" s="5" t="s">
        <v>432</v>
      </c>
      <c r="B410" s="0" t="s">
        <v>33</v>
      </c>
      <c r="C410" s="11" t="n">
        <f aca="false">C408-C409</f>
        <v>184.99</v>
      </c>
      <c r="D410" s="11" t="n">
        <f aca="false">D408-D409</f>
        <v>238.5671</v>
      </c>
      <c r="E410" s="11" t="n">
        <f aca="false">E408-E409</f>
        <v>258.608428307181</v>
      </c>
      <c r="F410" s="11" t="n">
        <f aca="false">F408-F409</f>
        <v>277.772684152604</v>
      </c>
      <c r="G410" s="11" t="n">
        <f aca="false">G408-G409</f>
        <v>287.551587707741</v>
      </c>
    </row>
    <row r="411" customFormat="false" ht="15" hidden="false" customHeight="false" outlineLevel="0" collapsed="false">
      <c r="A411" s="5" t="s">
        <v>603</v>
      </c>
      <c r="B411" s="0" t="s">
        <v>60</v>
      </c>
      <c r="C411" s="14" t="n">
        <f aca="false">C410/C404</f>
        <v>0.423425629851061</v>
      </c>
      <c r="D411" s="14" t="n">
        <f aca="false">D410/D404</f>
        <v>0.445764670314743</v>
      </c>
      <c r="E411" s="14" t="n">
        <f aca="false">E410/E404</f>
        <v>0.46339623031809</v>
      </c>
      <c r="F411" s="14" t="n">
        <f aca="false">F410/F404</f>
        <v>0.470577292937738</v>
      </c>
      <c r="G411" s="14" t="n">
        <f aca="false">G410/G404</f>
        <v>0.474048868598335</v>
      </c>
    </row>
    <row r="412" customFormat="false" ht="15" hidden="false" customHeight="false" outlineLevel="0" collapsed="false">
      <c r="A412" s="5" t="s">
        <v>435</v>
      </c>
      <c r="B412" s="0" t="s">
        <v>33</v>
      </c>
      <c r="C412" s="11" t="n">
        <f aca="false">a25_ni</f>
        <v>135.521</v>
      </c>
      <c r="D412" s="11" t="n">
        <f aca="false">D391</f>
        <v>167.95938138934</v>
      </c>
      <c r="E412" s="11" t="n">
        <f aca="false">E410*nioi</f>
        <v>186.502036727802</v>
      </c>
      <c r="F412" s="11" t="n">
        <f aca="false">F410*nioi</f>
        <v>200.322826602828</v>
      </c>
      <c r="G412" s="11" t="n">
        <f aca="false">G410*nioi</f>
        <v>207.375131285765</v>
      </c>
    </row>
    <row r="413" customFormat="false" ht="15" hidden="false" customHeight="false" outlineLevel="0" collapsed="false">
      <c r="A413" s="0" t="s">
        <v>524</v>
      </c>
      <c r="B413" s="0" t="s">
        <v>55</v>
      </c>
      <c r="C413" s="11" t="n">
        <f aca="false">a25_eps</f>
        <v>1249.84</v>
      </c>
      <c r="D413" s="11" t="n">
        <f aca="false">D412*1000/shares</f>
        <v>1548.28555816522</v>
      </c>
      <c r="E413" s="11" t="n">
        <f aca="false">E412*1000/shares</f>
        <v>1719.21572731145</v>
      </c>
      <c r="F413" s="11" t="n">
        <f aca="false">F412*1000/shares</f>
        <v>1846.61872909041</v>
      </c>
      <c r="G413" s="11" t="n">
        <f aca="false">G412*1000/shares</f>
        <v>1911.62838441333</v>
      </c>
    </row>
    <row r="414" customFormat="false" ht="15" hidden="false" customHeight="false" outlineLevel="0" collapsed="false">
      <c r="A414" s="5" t="s">
        <v>604</v>
      </c>
      <c r="B414" s="0" t="s">
        <v>33</v>
      </c>
      <c r="C414" s="16" t="n">
        <f aca="false">ABS(C404-a25_rev)+ABS(C410-a25_oi)+ABS(D404-D388)+ABS(D410-D390)</f>
        <v>0.000999999999976353</v>
      </c>
    </row>
    <row r="415" customFormat="false" ht="15" hidden="false" customHeight="false" outlineLevel="0" collapsed="false">
      <c r="A415" s="1" t="s">
        <v>605</v>
      </c>
    </row>
    <row r="416" customFormat="false" ht="15" hidden="false" customHeight="false" outlineLevel="0" collapsed="false">
      <c r="A416" s="5" t="s">
        <v>606</v>
      </c>
      <c r="B416" s="0" t="s">
        <v>60</v>
      </c>
      <c r="C416" s="14" t="n">
        <f aca="false">a25_gp/a25_rev</f>
        <v>0.701498549974936</v>
      </c>
      <c r="D416" s="14" t="n">
        <f aca="false">gm_a+gm_b*LN(D385)+0</f>
        <v>0.71973434133085</v>
      </c>
      <c r="E416" s="14" t="n">
        <f aca="false">gm_a+gm_b*LN(E385)+0</f>
        <v>0.726475895086119</v>
      </c>
      <c r="F416" s="14" t="n">
        <f aca="false">gm_a+gm_b*LN(F385)+0</f>
        <v>0.732863474503645</v>
      </c>
      <c r="G416" s="14" t="n">
        <f aca="false">gm_a+gm_b*LN(G385)+0</f>
        <v>0.735851345509696</v>
      </c>
    </row>
    <row r="417" customFormat="false" ht="15" hidden="false" customHeight="false" outlineLevel="0" collapsed="false">
      <c r="A417" s="5" t="s">
        <v>607</v>
      </c>
      <c r="B417" s="0" t="s">
        <v>33</v>
      </c>
      <c r="C417" s="11" t="n">
        <f aca="false">a25_oi</f>
        <v>184.989</v>
      </c>
      <c r="D417" s="11" t="n">
        <f aca="false">D385*D416-sg_f-sg_v*D385</f>
        <v>229.539998471628</v>
      </c>
      <c r="E417" s="11" t="n">
        <f aca="false">E385*E416-sg_f-sg_v*E385</f>
        <v>247.678599598229</v>
      </c>
      <c r="F417" s="11" t="n">
        <f aca="false">F385*F416-sg_f-sg_v*F385</f>
        <v>266.089173807594</v>
      </c>
      <c r="G417" s="11" t="n">
        <f aca="false">G385*G416-sg_f-sg_v*G385</f>
        <v>275.132897041001</v>
      </c>
    </row>
    <row r="418" customFormat="false" ht="15" hidden="false" customHeight="false" outlineLevel="0" collapsed="false">
      <c r="A418" s="0" t="s">
        <v>608</v>
      </c>
      <c r="B418" s="0" t="s">
        <v>55</v>
      </c>
      <c r="C418" s="11" t="n">
        <f aca="false">a25_eps</f>
        <v>1249.84</v>
      </c>
      <c r="D418" s="11" t="n">
        <f aca="false">D417*nioi_v01*1000/shares</f>
        <v>1550.12194205842</v>
      </c>
      <c r="E418" s="11" t="n">
        <f aca="false">E417*nioi_v01*1000/shares</f>
        <v>1672.61494454951</v>
      </c>
      <c r="F418" s="11" t="n">
        <f aca="false">F417*nioi_v01*1000/shares</f>
        <v>1796.94462668706</v>
      </c>
      <c r="G418" s="11" t="n">
        <f aca="false">G417*nioi_v01*1000/shares</f>
        <v>1858.01839995251</v>
      </c>
    </row>
    <row r="430" customFormat="false" ht="15" hidden="false" customHeight="false" outlineLevel="0" collapsed="false">
      <c r="A430" s="4" t="s">
        <v>826</v>
      </c>
    </row>
    <row r="431" customFormat="false" ht="15" hidden="false" customHeight="false" outlineLevel="0" collapsed="false">
      <c r="A431" s="6" t="s">
        <v>22</v>
      </c>
      <c r="B431" s="6" t="s">
        <v>23</v>
      </c>
      <c r="C431" s="9" t="s">
        <v>532</v>
      </c>
      <c r="D431" s="9" t="s">
        <v>533</v>
      </c>
      <c r="E431" s="9" t="s">
        <v>534</v>
      </c>
      <c r="F431" s="9" t="s">
        <v>535</v>
      </c>
      <c r="G431" s="9" t="s">
        <v>536</v>
      </c>
      <c r="H431" s="9" t="s">
        <v>537</v>
      </c>
      <c r="I431" s="9" t="s">
        <v>538</v>
      </c>
      <c r="J431" s="6" t="s">
        <v>515</v>
      </c>
    </row>
    <row r="432" customFormat="false" ht="15" hidden="false" customHeight="false" outlineLevel="0" collapsed="false">
      <c r="A432" s="1" t="s">
        <v>539</v>
      </c>
    </row>
    <row r="433" customFormat="false" ht="15" hidden="false" customHeight="false" outlineLevel="0" collapsed="false">
      <c r="A433" s="0" t="s">
        <v>540</v>
      </c>
      <c r="B433" s="0" t="s">
        <v>100</v>
      </c>
      <c r="C433" s="19" t="n">
        <f aca="false">hsA_25</f>
        <v>2.22511470588235</v>
      </c>
      <c r="D433" s="19" t="n">
        <f aca="false">hsA_26</f>
        <v>3.782695</v>
      </c>
      <c r="E433" s="19" t="n">
        <f aca="false">hsA_27</f>
        <v>5.86317725</v>
      </c>
      <c r="F433" s="19" t="n">
        <f aca="false">hsA_28</f>
        <v>8.5016070125</v>
      </c>
      <c r="G433" s="19" t="n">
        <f aca="false">hsA_29</f>
        <v>11.477169466875</v>
      </c>
      <c r="H433" s="19" t="n">
        <f aca="false">G433*(1+g_tail)</f>
        <v>12.6248864135625</v>
      </c>
      <c r="I433" s="19" t="n">
        <f aca="false">H433*(1+g_tail)</f>
        <v>13.8873750549188</v>
      </c>
      <c r="J433" s="8" t="s">
        <v>541</v>
      </c>
    </row>
    <row r="434" customFormat="false" ht="15" hidden="false" customHeight="false" outlineLevel="0" collapsed="false">
      <c r="A434" s="0" t="s">
        <v>542</v>
      </c>
      <c r="B434" s="0" t="s">
        <v>543</v>
      </c>
      <c r="C434" s="19" t="n">
        <f aca="false">den_25</f>
        <v>24</v>
      </c>
      <c r="D434" s="19" t="n">
        <f aca="false">den_26</f>
        <v>24</v>
      </c>
      <c r="E434" s="19" t="n">
        <f aca="false">den_27</f>
        <v>26</v>
      </c>
      <c r="F434" s="19" t="n">
        <f aca="false">den_28</f>
        <v>28</v>
      </c>
      <c r="G434" s="19" t="n">
        <f aca="false">den_29</f>
        <v>30</v>
      </c>
      <c r="H434" s="19" t="n">
        <f aca="false">den_30</f>
        <v>32</v>
      </c>
      <c r="I434" s="19" t="n">
        <f aca="false">den_30</f>
        <v>32</v>
      </c>
    </row>
    <row r="435" customFormat="false" ht="15" hidden="false" customHeight="false" outlineLevel="0" collapsed="false">
      <c r="A435" s="5" t="s">
        <v>544</v>
      </c>
      <c r="B435" s="5" t="s">
        <v>152</v>
      </c>
      <c r="C435" s="19" t="n">
        <f aca="false">stk_25</f>
        <v>10</v>
      </c>
      <c r="D435" s="19" t="n">
        <f aca="false">stk_26</f>
        <v>12</v>
      </c>
      <c r="E435" s="19" t="n">
        <f aca="false">stk_27</f>
        <v>12.5</v>
      </c>
      <c r="F435" s="19" t="n">
        <f aca="false">stk_28</f>
        <v>14</v>
      </c>
      <c r="G435" s="19" t="n">
        <f aca="false">stk_29</f>
        <v>15</v>
      </c>
      <c r="H435" s="19" t="n">
        <f aca="false">stk_30</f>
        <v>16</v>
      </c>
      <c r="I435" s="19" t="n">
        <f aca="false">stk_30</f>
        <v>16</v>
      </c>
    </row>
    <row r="436" customFormat="false" ht="15" hidden="false" customHeight="false" outlineLevel="0" collapsed="false">
      <c r="A436" s="0" t="s">
        <v>545</v>
      </c>
      <c r="B436" s="5" t="s">
        <v>546</v>
      </c>
      <c r="C436" s="19" t="n">
        <f aca="false">C433*8/C434</f>
        <v>0.741704901960783</v>
      </c>
      <c r="D436" s="19" t="n">
        <f aca="false">D433*8/D434</f>
        <v>1.26089833333333</v>
      </c>
      <c r="E436" s="19" t="n">
        <f aca="false">E433*8/E434</f>
        <v>1.80405453846154</v>
      </c>
      <c r="F436" s="19" t="n">
        <f aca="false">F433*8/F434</f>
        <v>2.429030575</v>
      </c>
      <c r="G436" s="19" t="n">
        <f aca="false">G433*8/G434</f>
        <v>3.0605785245</v>
      </c>
      <c r="H436" s="19" t="n">
        <f aca="false">H433*8/H434</f>
        <v>3.15622160339063</v>
      </c>
      <c r="I436" s="19" t="n">
        <f aca="false">I433*8/I434</f>
        <v>3.47184376372969</v>
      </c>
      <c r="J436" s="8" t="s">
        <v>547</v>
      </c>
    </row>
    <row r="437" customFormat="false" ht="15" hidden="false" customHeight="false" outlineLevel="0" collapsed="false">
      <c r="A437" s="0" t="s">
        <v>548</v>
      </c>
      <c r="B437" s="5" t="s">
        <v>549</v>
      </c>
      <c r="C437" s="19" t="n">
        <f aca="false">C436*(1+s_stk/C435)</f>
        <v>0.964216372549018</v>
      </c>
      <c r="D437" s="19" t="n">
        <f aca="false">D436*(1+s_stk/D435)</f>
        <v>1.57612291666667</v>
      </c>
      <c r="E437" s="19" t="n">
        <f aca="false">E436*(1+s_stk/E435)</f>
        <v>2.23702762769231</v>
      </c>
      <c r="F437" s="19" t="n">
        <f aca="false">F436*(1+s_stk/F435)</f>
        <v>2.94953712678571</v>
      </c>
      <c r="G437" s="19" t="n">
        <f aca="false">G436*(1+s_stk/G435)</f>
        <v>3.6726942294</v>
      </c>
      <c r="H437" s="19" t="n">
        <f aca="false">H436*(1+s_stk/H435)</f>
        <v>3.74801315402637</v>
      </c>
      <c r="I437" s="19" t="n">
        <f aca="false">I436*(1+s_stk/I435)</f>
        <v>4.12281446942901</v>
      </c>
      <c r="J437" s="5" t="s">
        <v>550</v>
      </c>
    </row>
    <row r="438" customFormat="false" ht="15" hidden="false" customHeight="false" outlineLevel="0" collapsed="false">
      <c r="A438" s="5" t="s">
        <v>551</v>
      </c>
      <c r="B438" s="0" t="s">
        <v>60</v>
      </c>
      <c r="C438" s="22" t="n">
        <f aca="false">hbp_25*hb_on</f>
        <v>0</v>
      </c>
      <c r="D438" s="22" t="n">
        <f aca="false">hbp_26*hb_on</f>
        <v>0</v>
      </c>
      <c r="E438" s="22" t="n">
        <f aca="false">hbp_27*hb_on</f>
        <v>0</v>
      </c>
      <c r="F438" s="22" t="n">
        <f aca="false">hbp_28*hb_on</f>
        <v>0.05</v>
      </c>
      <c r="G438" s="22" t="n">
        <f aca="false">hbp_29*hb_on</f>
        <v>0.15</v>
      </c>
      <c r="H438" s="22" t="n">
        <f aca="false">hbp_30*hb_on</f>
        <v>0.25</v>
      </c>
      <c r="I438" s="22" t="n">
        <f aca="false">hbp_30*hb_on</f>
        <v>0.25</v>
      </c>
    </row>
    <row r="439" customFormat="false" ht="15" hidden="false" customHeight="false" outlineLevel="0" collapsed="false">
      <c r="A439" s="0" t="s">
        <v>552</v>
      </c>
      <c r="B439" s="5" t="s">
        <v>549</v>
      </c>
      <c r="C439" s="19" t="n">
        <f aca="false">C437*(1+C438*hb_eff)</f>
        <v>0.964216372549018</v>
      </c>
      <c r="D439" s="19" t="n">
        <f aca="false">D437*(1+D438*hb_eff)</f>
        <v>1.57612291666667</v>
      </c>
      <c r="E439" s="19" t="n">
        <f aca="false">E437*(1+E438*hb_eff)</f>
        <v>2.23702762769231</v>
      </c>
      <c r="F439" s="19" t="n">
        <f aca="false">F437*(1+F438*hb_eff)</f>
        <v>2.96428481241964</v>
      </c>
      <c r="G439" s="19" t="n">
        <f aca="false">G437*(1+G438*hb_eff)</f>
        <v>3.727784642841</v>
      </c>
      <c r="H439" s="19" t="n">
        <f aca="false">H437*(1+H438*hb_eff)</f>
        <v>3.84171348287703</v>
      </c>
      <c r="I439" s="19" t="n">
        <f aca="false">I437*(1+I438*hb_eff)</f>
        <v>4.22588483116473</v>
      </c>
      <c r="J439" s="5" t="s">
        <v>553</v>
      </c>
    </row>
    <row r="440" customFormat="false" ht="15" hidden="false" customHeight="false" outlineLevel="0" collapsed="false">
      <c r="A440" s="0" t="s">
        <v>554</v>
      </c>
      <c r="B440" s="5" t="s">
        <v>549</v>
      </c>
      <c r="C440" s="19" t="n">
        <f aca="false">MAX(0,D439-C439)+dlt*C439</f>
        <v>0.70832818137255</v>
      </c>
      <c r="D440" s="19" t="n">
        <f aca="false">MAX(0,E439-D439)+dlt*D439</f>
        <v>0.818517002692307</v>
      </c>
      <c r="E440" s="19" t="n">
        <f aca="false">MAX(0,F439-E439)+dlt*E439</f>
        <v>0.950959947496565</v>
      </c>
      <c r="F440" s="19" t="n">
        <f aca="false">MAX(0,G439-F439)+dlt*F439</f>
        <v>1.05992831166332</v>
      </c>
      <c r="G440" s="19" t="n">
        <f aca="false">MAX(0,H439-G439)+dlt*G439</f>
        <v>0.486707304320127</v>
      </c>
      <c r="H440" s="19" t="n">
        <f aca="false">MAX(0,I439-H439)+dlt*H439</f>
        <v>0.768342696575406</v>
      </c>
      <c r="J440" s="5" t="s">
        <v>555</v>
      </c>
    </row>
    <row r="441" customFormat="false" ht="15" hidden="false" customHeight="false" outlineLevel="0" collapsed="false">
      <c r="A441" s="0" t="s">
        <v>556</v>
      </c>
      <c r="B441" s="5" t="s">
        <v>181</v>
      </c>
      <c r="C441" s="21" t="n">
        <f aca="false">cw_25</f>
        <v>670</v>
      </c>
      <c r="D441" s="21" t="n">
        <f aca="false">cw_26</f>
        <v>1107.85762580894</v>
      </c>
      <c r="E441" s="21" t="n">
        <f aca="false">cw_27</f>
        <v>2096.42857142857</v>
      </c>
      <c r="F441" s="21" t="n">
        <f aca="false">cw_28*um28_A</f>
        <v>2620.08928571429</v>
      </c>
      <c r="G441" s="21" t="n">
        <f aca="false">cw_29*um29_A</f>
        <v>3013.32589285714</v>
      </c>
      <c r="H441" s="21" t="n">
        <f aca="false">G441*(1+g_tail)</f>
        <v>3314.65848214285</v>
      </c>
      <c r="I441" s="21" t="n">
        <f aca="false">H441*(1+g_tail)</f>
        <v>3646.12433035714</v>
      </c>
      <c r="J441" s="5" t="s">
        <v>557</v>
      </c>
    </row>
    <row r="442" customFormat="false" ht="15" hidden="false" customHeight="false" outlineLevel="0" collapsed="false">
      <c r="A442" s="5" t="s">
        <v>558</v>
      </c>
      <c r="B442" s="5" t="s">
        <v>181</v>
      </c>
      <c r="C442" s="21" t="n">
        <f aca="false">MAX(0,D441-C441)+dlt*C441</f>
        <v>504.85762580894</v>
      </c>
      <c r="D442" s="21" t="n">
        <f aca="false">MAX(0,E441-D441)+dlt*D441</f>
        <v>1099.35670820052</v>
      </c>
      <c r="E442" s="21" t="n">
        <f aca="false">MAX(0,F441-E441)+dlt*E441</f>
        <v>733.303571428577</v>
      </c>
      <c r="F442" s="21" t="n">
        <f aca="false">MAX(0,G441-F441)+dlt*F441</f>
        <v>655.245535714279</v>
      </c>
      <c r="G442" s="21" t="n">
        <f aca="false">MAX(0,H441-G441)+dlt*G441</f>
        <v>602.665178571428</v>
      </c>
      <c r="H442" s="21" t="n">
        <f aca="false">MAX(0,I441-H441)+dlt*H441</f>
        <v>662.931696428571</v>
      </c>
    </row>
    <row r="443" customFormat="false" ht="15" hidden="false" customHeight="false" outlineLevel="0" collapsed="false">
      <c r="A443" s="1" t="s">
        <v>559</v>
      </c>
    </row>
    <row r="444" customFormat="false" ht="15" hidden="false" customHeight="false" outlineLevel="0" collapsed="false">
      <c r="A444" s="0" t="s">
        <v>560</v>
      </c>
      <c r="B444" s="0" t="s">
        <v>561</v>
      </c>
      <c r="C444" s="16" t="n">
        <f aca="false">ai_25*w_hbm_hi/(0.75*C440+0.25*D440)</f>
        <v>52.9981036256177</v>
      </c>
      <c r="J444" s="5" t="s">
        <v>562</v>
      </c>
    </row>
    <row r="445" customFormat="false" ht="15" hidden="false" customHeight="false" outlineLevel="0" collapsed="false">
      <c r="A445" s="5" t="s">
        <v>563</v>
      </c>
      <c r="B445" s="0" t="s">
        <v>564</v>
      </c>
      <c r="C445" s="18" t="n">
        <f aca="false">ai_25*(1-w_hbm_hi)/(0.75*C442+0.25*D442)</f>
        <v>0.0550894717255515</v>
      </c>
    </row>
    <row r="446" customFormat="false" ht="15" hidden="false" customHeight="false" outlineLevel="0" collapsed="false">
      <c r="A446" s="1" t="s">
        <v>565</v>
      </c>
    </row>
    <row r="447" customFormat="false" ht="15" hidden="false" customHeight="false" outlineLevel="0" collapsed="false">
      <c r="A447" s="5" t="s">
        <v>566</v>
      </c>
      <c r="B447" s="0" t="s">
        <v>80</v>
      </c>
      <c r="C447" s="16" t="n">
        <f aca="false">1-sh_loss/sh*0</f>
        <v>1</v>
      </c>
      <c r="D447" s="16" t="n">
        <f aca="false">1-sh_loss/sh*0.25</f>
        <v>1</v>
      </c>
      <c r="E447" s="16" t="n">
        <f aca="false">1-sh_loss/sh*0.5</f>
        <v>1</v>
      </c>
      <c r="F447" s="16" t="n">
        <f aca="false">1-sh_loss/sh*0.75</f>
        <v>1</v>
      </c>
      <c r="G447" s="16" t="n">
        <f aca="false">1-sh_loss/sh*1</f>
        <v>1</v>
      </c>
    </row>
    <row r="448" customFormat="false" ht="15" hidden="false" customHeight="false" outlineLevel="0" collapsed="false">
      <c r="A448" s="0" t="s">
        <v>567</v>
      </c>
      <c r="B448" s="0" t="s">
        <v>33</v>
      </c>
      <c r="C448" s="11" t="n">
        <f aca="false">$C$444*(0.75*C440+0.25*D440)*C447</f>
        <v>39</v>
      </c>
      <c r="D448" s="11" t="n">
        <f aca="false">$C$444*(0.75*D440+0.25*E440)*D447</f>
        <v>45.1346551563214</v>
      </c>
      <c r="E448" s="11" t="n">
        <f aca="false">$C$444*(0.75*E440+0.25*F440)*E447</f>
        <v>51.8428530052409</v>
      </c>
      <c r="F448" s="11" t="n">
        <f aca="false">$C$444*(0.75*F440+0.25*G440)*F447</f>
        <v>48.5792839103698</v>
      </c>
      <c r="G448" s="11" t="n">
        <f aca="false">$C$444*(0.75*G440+0.25*H440)*G447</f>
        <v>29.5260995755498</v>
      </c>
    </row>
    <row r="449" customFormat="false" ht="15" hidden="false" customHeight="false" outlineLevel="0" collapsed="false">
      <c r="A449" s="5" t="s">
        <v>568</v>
      </c>
      <c r="B449" s="0" t="s">
        <v>33</v>
      </c>
      <c r="C449" s="11" t="n">
        <f aca="false">$C$445*(0.75*C442+0.25*D442)*C447</f>
        <v>36</v>
      </c>
      <c r="D449" s="11" t="n">
        <f aca="false">$C$445*(0.75*D442+0.25*E442)*D447</f>
        <v>55.5215618106462</v>
      </c>
      <c r="E449" s="11" t="n">
        <f aca="false">$C$445*(0.75*E442+0.25*F442)*E447</f>
        <v>39.3222623766018</v>
      </c>
      <c r="F449" s="11" t="n">
        <f aca="false">$C$445*(0.75*F442+0.25*G442)*F447</f>
        <v>35.3729743884905</v>
      </c>
      <c r="G449" s="11" t="n">
        <f aca="false">$C$445*(0.75*G442+0.25*H442)*G447</f>
        <v>34.0305189727573</v>
      </c>
    </row>
    <row r="450" customFormat="false" ht="15" hidden="false" customHeight="false" outlineLevel="0" collapsed="false">
      <c r="A450" s="0" t="s">
        <v>569</v>
      </c>
      <c r="B450" s="0" t="s">
        <v>33</v>
      </c>
      <c r="C450" s="11" t="n">
        <f aca="false">C448+C449</f>
        <v>75</v>
      </c>
      <c r="D450" s="11" t="n">
        <f aca="false">D448+D449</f>
        <v>100.656216966968</v>
      </c>
      <c r="E450" s="11" t="n">
        <f aca="false">E448+E449</f>
        <v>91.1651153818426</v>
      </c>
      <c r="F450" s="11" t="n">
        <f aca="false">F448+F449</f>
        <v>83.9522582988603</v>
      </c>
      <c r="G450" s="11" t="n">
        <f aca="false">G448+G449</f>
        <v>63.556618548307</v>
      </c>
    </row>
    <row r="451" customFormat="false" ht="15" hidden="false" customHeight="false" outlineLevel="0" collapsed="false">
      <c r="A451" s="5" t="s">
        <v>570</v>
      </c>
      <c r="B451" s="0" t="s">
        <v>33</v>
      </c>
      <c r="C451" s="11" t="n">
        <f aca="false">eq_25-ai_25</f>
        <v>195.87118</v>
      </c>
      <c r="D451" s="11" t="n">
        <f aca="false">C451*(1+g_non)*D447/C447</f>
        <v>207.6234508</v>
      </c>
      <c r="E451" s="11" t="n">
        <f aca="false">D451*(1+g_non)*E447/D447</f>
        <v>220.080857848</v>
      </c>
      <c r="F451" s="11" t="n">
        <f aca="false">E451*(1+g_non)*F447/E447</f>
        <v>233.28570931888</v>
      </c>
      <c r="G451" s="11" t="n">
        <f aca="false">F451*(1+g_non)*G447/F447</f>
        <v>247.282851878013</v>
      </c>
    </row>
    <row r="452" customFormat="false" ht="15" hidden="false" customHeight="false" outlineLevel="0" collapsed="false">
      <c r="A452" s="0" t="s">
        <v>571</v>
      </c>
      <c r="B452" s="0" t="s">
        <v>80</v>
      </c>
      <c r="C452" s="19" t="n">
        <f aca="false">w_hbm_hi*(0.75*C439+0.25*D439)/(0.75*C439+0.25*D439)+(1-w_hbm_hi)*(0.75*C441+0.25*D441)/(0.75*C441+0.25*D441)</f>
        <v>1</v>
      </c>
      <c r="D452" s="19" t="n">
        <f aca="false">w_hbm_hi*(0.75*D439+0.25*E439)/(0.75*C439+0.25*D439)+(1-w_hbm_hi)*(0.75*D441+0.25*E441)/(0.75*C441+0.25*D441)</f>
        <v>1.64493419256165</v>
      </c>
      <c r="E452" s="19" t="n">
        <f aca="false">w_hbm_hi*(0.75*E439+0.25*F439)/(0.75*C439+0.25*D439)+(1-w_hbm_hi)*(0.75*E441+0.25*F441)/(0.75*C441+0.25*D441)</f>
        <v>2.49747032469907</v>
      </c>
      <c r="F452" s="19" t="n">
        <f aca="false">w_hbm_hi*(0.75*F439+0.25*G439)/(0.75*C439+0.25*D439)+(1-w_hbm_hi)*(0.75*F441+0.25*G441)/(0.75*C441+0.25*D441)</f>
        <v>3.14258626537966</v>
      </c>
      <c r="G452" s="19" t="n">
        <f aca="false">w_hbm_hi*(0.75*G439+0.25*H439)/(0.75*C439+0.25*D439)+(1-w_hbm_hi)*(0.75*G441+0.25*H441)/(0.75*C441+0.25*D441)</f>
        <v>3.65038215285814</v>
      </c>
      <c r="J452" s="8" t="s">
        <v>572</v>
      </c>
    </row>
    <row r="453" customFormat="false" ht="15" hidden="false" customHeight="false" outlineLevel="0" collapsed="false">
      <c r="A453" s="0" t="s">
        <v>573</v>
      </c>
      <c r="B453" s="0" t="s">
        <v>33</v>
      </c>
      <c r="C453" s="11" t="n">
        <f aca="false">tl_25*w_tlai*C452</f>
        <v>25.4032258064516</v>
      </c>
      <c r="D453" s="11" t="n">
        <f aca="false">tl_25*w_tlai*D452</f>
        <v>41.7866347303968</v>
      </c>
      <c r="E453" s="11" t="n">
        <f aca="false">tl_25*w_tlai*E452</f>
        <v>63.4438026032426</v>
      </c>
      <c r="F453" s="11" t="n">
        <f aca="false">tl_25*w_tlai*F452</f>
        <v>79.8318285156929</v>
      </c>
      <c r="G453" s="11" t="n">
        <f aca="false">tl_25*w_tlai*G452</f>
        <v>92.7314821088963</v>
      </c>
      <c r="J453" s="5" t="s">
        <v>574</v>
      </c>
    </row>
    <row r="454" customFormat="false" ht="15" hidden="false" customHeight="false" outlineLevel="0" collapsed="false">
      <c r="A454" s="5" t="s">
        <v>575</v>
      </c>
      <c r="B454" s="0" t="s">
        <v>33</v>
      </c>
      <c r="C454" s="11" t="n">
        <f aca="false">tl_25*(1-w_tlai)</f>
        <v>66.3434641935484</v>
      </c>
      <c r="D454" s="11" t="n">
        <f aca="false">C454*(1+g_tl)</f>
        <v>69.6606374032258</v>
      </c>
      <c r="E454" s="11" t="n">
        <f aca="false">D454*(1+g_tl)</f>
        <v>73.1436692733871</v>
      </c>
      <c r="F454" s="11" t="n">
        <f aca="false">E454*(1+g_tl)</f>
        <v>76.8008527370565</v>
      </c>
      <c r="G454" s="11" t="n">
        <f aca="false">F454*(1+g_tl)</f>
        <v>80.6408953739093</v>
      </c>
    </row>
    <row r="455" customFormat="false" ht="15" hidden="false" customHeight="false" outlineLevel="0" collapsed="false">
      <c r="A455" s="5" t="s">
        <v>576</v>
      </c>
      <c r="B455" s="0" t="s">
        <v>33</v>
      </c>
      <c r="C455" s="11" t="n">
        <f aca="false">(C450+C451+C453+C454)*(1+r_ot)</f>
        <v>436.889</v>
      </c>
      <c r="D455" s="11" t="n">
        <f aca="false">(D450+D451+D453+D454)*(1+r_ot)</f>
        <v>505.695108313964</v>
      </c>
      <c r="E455" s="11" t="n">
        <f aca="false">(E450+E451+E453+E454)*(1+r_ot)</f>
        <v>539.55836759816</v>
      </c>
      <c r="F455" s="11" t="n">
        <f aca="false">(F450+F451+F453+F454)*(1+r_ot)</f>
        <v>570.928492615048</v>
      </c>
      <c r="G455" s="11" t="n">
        <f aca="false">(G450+G451+G453+G454)*(1+r_ot)</f>
        <v>583.387768565211</v>
      </c>
      <c r="J455" s="8" t="s">
        <v>577</v>
      </c>
    </row>
    <row r="456" customFormat="false" ht="15" hidden="false" customHeight="false" outlineLevel="0" collapsed="false">
      <c r="A456" s="1" t="s">
        <v>578</v>
      </c>
    </row>
    <row r="457" customFormat="false" ht="15" hidden="false" customHeight="false" outlineLevel="0" collapsed="false">
      <c r="A457" s="5" t="s">
        <v>579</v>
      </c>
      <c r="B457" s="0" t="s">
        <v>33</v>
      </c>
      <c r="D457" s="11" t="n">
        <f aca="false">g3_rev*(1+g_q4)</f>
        <v>145.6862</v>
      </c>
    </row>
    <row r="458" customFormat="false" ht="15" hidden="false" customHeight="false" outlineLevel="0" collapsed="false">
      <c r="A458" s="0" t="s">
        <v>580</v>
      </c>
      <c r="B458" s="0" t="s">
        <v>33</v>
      </c>
      <c r="D458" s="11" t="n">
        <f aca="false">q26h1_rev+g3_rev+D457</f>
        <v>535.1862</v>
      </c>
    </row>
    <row r="459" customFormat="false" ht="15" hidden="false" customHeight="false" outlineLevel="0" collapsed="false">
      <c r="A459" s="0" t="s">
        <v>581</v>
      </c>
      <c r="B459" s="0" t="s">
        <v>33</v>
      </c>
      <c r="D459" s="11" t="n">
        <f aca="false">q26h1_gp+(g3_rev+D457)*gm_q3</f>
        <v>378.0504836</v>
      </c>
    </row>
    <row r="460" customFormat="false" ht="15" hidden="false" customHeight="false" outlineLevel="0" collapsed="false">
      <c r="A460" s="0" t="s">
        <v>582</v>
      </c>
      <c r="B460" s="0" t="s">
        <v>33</v>
      </c>
      <c r="D460" s="11" t="n">
        <f aca="false">q26h1_oi+g3_oi+D457*m_q4</f>
        <v>238.5671</v>
      </c>
    </row>
    <row r="461" customFormat="false" ht="15" hidden="false" customHeight="false" outlineLevel="0" collapsed="false">
      <c r="A461" s="0" t="s">
        <v>583</v>
      </c>
      <c r="B461" s="0" t="s">
        <v>33</v>
      </c>
      <c r="D461" s="11" t="n">
        <f aca="false">q26h1_ni+g3_ni+D457*m_q4*nioi</f>
        <v>167.95938138934</v>
      </c>
    </row>
    <row r="462" customFormat="false" ht="15" hidden="false" customHeight="false" outlineLevel="0" collapsed="false">
      <c r="A462" s="5" t="s">
        <v>584</v>
      </c>
      <c r="B462" s="0" t="s">
        <v>80</v>
      </c>
      <c r="D462" s="16" t="n">
        <f aca="false">D458/D455</f>
        <v>1.05831792952153</v>
      </c>
      <c r="J462" s="8" t="s">
        <v>585</v>
      </c>
    </row>
    <row r="463" customFormat="false" ht="15" hidden="false" customHeight="false" outlineLevel="0" collapsed="false">
      <c r="A463" s="5" t="s">
        <v>586</v>
      </c>
      <c r="B463" s="0" t="s">
        <v>80</v>
      </c>
      <c r="D463" s="16" t="n">
        <f aca="false">1+anc_carry*(D462-1)</f>
        <v>1.05831792952153</v>
      </c>
      <c r="J463" s="8" t="s">
        <v>587</v>
      </c>
    </row>
    <row r="464" customFormat="false" ht="15" hidden="false" customHeight="false" outlineLevel="0" collapsed="false">
      <c r="A464" s="1" t="s">
        <v>588</v>
      </c>
    </row>
    <row r="465" customFormat="false" ht="15" hidden="false" customHeight="false" outlineLevel="0" collapsed="false">
      <c r="A465" s="0" t="s">
        <v>589</v>
      </c>
      <c r="B465" s="0" t="s">
        <v>33</v>
      </c>
      <c r="C465" s="11" t="n">
        <f aca="false">C448*1</f>
        <v>39</v>
      </c>
      <c r="D465" s="11" t="n">
        <f aca="false">D448*$D$462</f>
        <v>47.7668147947063</v>
      </c>
      <c r="E465" s="11" t="n">
        <f aca="false">E448*1</f>
        <v>51.8428530052409</v>
      </c>
      <c r="F465" s="11" t="n">
        <f aca="false">F448*1</f>
        <v>48.5792839103698</v>
      </c>
      <c r="G465" s="11" t="n">
        <f aca="false">G448*1</f>
        <v>29.5260995755498</v>
      </c>
    </row>
    <row r="466" customFormat="false" ht="15" hidden="false" customHeight="false" outlineLevel="0" collapsed="false">
      <c r="A466" s="5" t="s">
        <v>590</v>
      </c>
      <c r="B466" s="0" t="s">
        <v>33</v>
      </c>
      <c r="C466" s="11" t="n">
        <f aca="false">C449*1</f>
        <v>36</v>
      </c>
      <c r="D466" s="11" t="n">
        <f aca="false">D449*$D$462</f>
        <v>58.7594643392447</v>
      </c>
      <c r="E466" s="11" t="n">
        <f aca="false">E449*1</f>
        <v>39.3222623766018</v>
      </c>
      <c r="F466" s="11" t="n">
        <f aca="false">F449*1</f>
        <v>35.3729743884905</v>
      </c>
      <c r="G466" s="11" t="n">
        <f aca="false">G449*1</f>
        <v>34.0305189727573</v>
      </c>
    </row>
    <row r="467" customFormat="false" ht="15" hidden="false" customHeight="false" outlineLevel="0" collapsed="false">
      <c r="A467" s="0" t="s">
        <v>591</v>
      </c>
      <c r="B467" s="0" t="s">
        <v>33</v>
      </c>
      <c r="C467" s="11" t="n">
        <f aca="false">C465+C466</f>
        <v>75</v>
      </c>
      <c r="D467" s="11" t="n">
        <f aca="false">D465+D466</f>
        <v>106.526279133951</v>
      </c>
      <c r="E467" s="11" t="n">
        <f aca="false">E465+E466</f>
        <v>91.1651153818426</v>
      </c>
      <c r="F467" s="11" t="n">
        <f aca="false">F465+F466</f>
        <v>83.9522582988603</v>
      </c>
      <c r="G467" s="11" t="n">
        <f aca="false">G465+G466</f>
        <v>63.556618548307</v>
      </c>
    </row>
    <row r="468" customFormat="false" ht="15" hidden="false" customHeight="false" outlineLevel="0" collapsed="false">
      <c r="A468" s="5" t="s">
        <v>592</v>
      </c>
      <c r="B468" s="0" t="s">
        <v>33</v>
      </c>
      <c r="C468" s="11" t="n">
        <f aca="false">C451*1</f>
        <v>195.87118</v>
      </c>
      <c r="D468" s="11" t="n">
        <f aca="false">D451*$D$462</f>
        <v>219.731620570771</v>
      </c>
      <c r="E468" s="11" t="n">
        <f aca="false">E451*$D$463</f>
        <v>232.915517805017</v>
      </c>
      <c r="F468" s="11" t="n">
        <f aca="false">F451*$D$463</f>
        <v>246.890448873318</v>
      </c>
      <c r="G468" s="11" t="n">
        <f aca="false">G451*$D$463</f>
        <v>261.703875805718</v>
      </c>
    </row>
    <row r="469" customFormat="false" ht="15" hidden="false" customHeight="false" outlineLevel="0" collapsed="false">
      <c r="A469" s="5" t="s">
        <v>593</v>
      </c>
      <c r="B469" s="0" t="s">
        <v>33</v>
      </c>
      <c r="C469" s="11" t="n">
        <f aca="false">C467+C468</f>
        <v>270.87118</v>
      </c>
      <c r="D469" s="11" t="n">
        <f aca="false">D467+D468</f>
        <v>326.257899704722</v>
      </c>
      <c r="E469" s="11" t="n">
        <f aca="false">E467+E468</f>
        <v>324.08063318686</v>
      </c>
      <c r="F469" s="11" t="n">
        <f aca="false">F467+F468</f>
        <v>330.842707172179</v>
      </c>
      <c r="G469" s="11" t="n">
        <f aca="false">G467+G468</f>
        <v>325.260494354025</v>
      </c>
    </row>
    <row r="470" customFormat="false" ht="15" hidden="false" customHeight="false" outlineLevel="0" collapsed="false">
      <c r="A470" s="0" t="s">
        <v>594</v>
      </c>
      <c r="B470" s="0" t="s">
        <v>33</v>
      </c>
      <c r="C470" s="11" t="n">
        <f aca="false">C453*1</f>
        <v>25.4032258064516</v>
      </c>
      <c r="D470" s="11" t="n">
        <f aca="false">D453*$D$462</f>
        <v>44.223544749546</v>
      </c>
      <c r="E470" s="11" t="n">
        <f aca="false">E453*1</f>
        <v>63.4438026032426</v>
      </c>
      <c r="F470" s="11" t="n">
        <f aca="false">F453*1</f>
        <v>79.8318285156929</v>
      </c>
      <c r="G470" s="11" t="n">
        <f aca="false">G453*1</f>
        <v>92.7314821088963</v>
      </c>
    </row>
    <row r="471" customFormat="false" ht="15" hidden="false" customHeight="false" outlineLevel="0" collapsed="false">
      <c r="A471" s="5" t="s">
        <v>595</v>
      </c>
      <c r="B471" s="0" t="s">
        <v>33</v>
      </c>
      <c r="C471" s="11" t="n">
        <f aca="false">C454*1</f>
        <v>66.3434641935484</v>
      </c>
      <c r="D471" s="11" t="n">
        <f aca="false">D454*$D$462</f>
        <v>73.7231015457319</v>
      </c>
      <c r="E471" s="11" t="n">
        <f aca="false">E454*$D$463</f>
        <v>77.4092566230185</v>
      </c>
      <c r="F471" s="11" t="n">
        <f aca="false">F454*$D$463</f>
        <v>81.2797194541695</v>
      </c>
      <c r="G471" s="11" t="n">
        <f aca="false">G454*$D$463</f>
        <v>85.343705426878</v>
      </c>
    </row>
    <row r="472" customFormat="false" ht="15" hidden="false" customHeight="false" outlineLevel="0" collapsed="false">
      <c r="A472" s="5" t="s">
        <v>596</v>
      </c>
      <c r="B472" s="0" t="s">
        <v>33</v>
      </c>
      <c r="C472" s="11" t="n">
        <f aca="false">C470+C471</f>
        <v>91.74669</v>
      </c>
      <c r="D472" s="11" t="n">
        <f aca="false">D470+D471</f>
        <v>117.946646295278</v>
      </c>
      <c r="E472" s="11" t="n">
        <f aca="false">E470+E471</f>
        <v>140.853059226261</v>
      </c>
      <c r="F472" s="11" t="n">
        <f aca="false">F470+F471</f>
        <v>161.111547969862</v>
      </c>
      <c r="G472" s="11" t="n">
        <f aca="false">G470+G471</f>
        <v>178.075187535774</v>
      </c>
    </row>
    <row r="473" customFormat="false" ht="15" hidden="false" customHeight="false" outlineLevel="0" collapsed="false">
      <c r="A473" s="5" t="s">
        <v>458</v>
      </c>
      <c r="B473" s="0" t="s">
        <v>33</v>
      </c>
      <c r="C473" s="11" t="n">
        <f aca="false">r_ot*(C469+C472)</f>
        <v>74.27113</v>
      </c>
      <c r="D473" s="11" t="n">
        <f aca="false">r_ot*(D469+D472)</f>
        <v>90.981654</v>
      </c>
      <c r="E473" s="11" t="n">
        <f aca="false">r_ot*(E469+E472)</f>
        <v>95.2273827834104</v>
      </c>
      <c r="F473" s="11" t="n">
        <f aca="false">r_ot*(F469+F472)</f>
        <v>100.761714908611</v>
      </c>
      <c r="G473" s="11" t="n">
        <f aca="false">r_ot*(G469+G472)</f>
        <v>103.092850507549</v>
      </c>
    </row>
    <row r="474" customFormat="false" ht="15" hidden="false" customHeight="false" outlineLevel="0" collapsed="false">
      <c r="A474" s="5" t="s">
        <v>428</v>
      </c>
      <c r="B474" s="0" t="s">
        <v>33</v>
      </c>
      <c r="C474" s="11" t="n">
        <f aca="false">C469+C472+C473</f>
        <v>436.889</v>
      </c>
      <c r="D474" s="11" t="n">
        <f aca="false">D469+D472+D473</f>
        <v>535.1862</v>
      </c>
      <c r="E474" s="11" t="n">
        <f aca="false">E469+E472+E473</f>
        <v>560.161075196531</v>
      </c>
      <c r="F474" s="11" t="n">
        <f aca="false">F469+F472+F473</f>
        <v>592.715970050652</v>
      </c>
      <c r="G474" s="11" t="n">
        <f aca="false">G469+G472+G473</f>
        <v>606.428532397348</v>
      </c>
      <c r="J474" s="8" t="s">
        <v>597</v>
      </c>
    </row>
    <row r="475" customFormat="false" ht="15" hidden="false" customHeight="false" outlineLevel="0" collapsed="false">
      <c r="A475" s="0" t="s">
        <v>598</v>
      </c>
      <c r="B475" s="0" t="s">
        <v>60</v>
      </c>
      <c r="C475" s="14" t="n">
        <f aca="false">(C467+C470)*(1+r_ot)/C474</f>
        <v>0.276884384673187</v>
      </c>
      <c r="D475" s="14" t="n">
        <f aca="false">(D467+D470)*(1+r_ot)/D474</f>
        <v>0.339370286146277</v>
      </c>
      <c r="E475" s="14" t="n">
        <f aca="false">(E467+E470)*(1+r_ot)/E474</f>
        <v>0.332539715895027</v>
      </c>
      <c r="F475" s="14" t="n">
        <f aca="false">(F467+F470)*(1+r_ot)/F474</f>
        <v>0.332925439921775</v>
      </c>
      <c r="G475" s="14" t="n">
        <f aca="false">(G467+G470)*(1+r_ot)/G474</f>
        <v>0.310504711429184</v>
      </c>
    </row>
    <row r="476" customFormat="false" ht="15" hidden="false" customHeight="false" outlineLevel="0" collapsed="false">
      <c r="A476" s="0" t="s">
        <v>599</v>
      </c>
      <c r="B476" s="0" t="s">
        <v>60</v>
      </c>
      <c r="C476" s="14" t="n">
        <f aca="false">C467*(1+r_ot)/C474</f>
        <v>0.206829299394429</v>
      </c>
      <c r="D476" s="14" t="n">
        <f aca="false">D467*(1+r_ot)/D474</f>
        <v>0.239813572583183</v>
      </c>
      <c r="E476" s="14" t="n">
        <f aca="false">E467*(1+r_ot)/E474</f>
        <v>0.196081972267213</v>
      </c>
      <c r="F476" s="14" t="n">
        <f aca="false">F467*(1+r_ot)/F474</f>
        <v>0.170650537974554</v>
      </c>
      <c r="G476" s="14" t="n">
        <f aca="false">G467*(1+r_ot)/G474</f>
        <v>0.1262708383989</v>
      </c>
      <c r="J476" s="5" t="s">
        <v>600</v>
      </c>
    </row>
    <row r="477" customFormat="false" ht="15" hidden="false" customHeight="false" outlineLevel="0" collapsed="false">
      <c r="A477" s="5" t="s">
        <v>466</v>
      </c>
      <c r="B477" s="0" t="s">
        <v>60</v>
      </c>
      <c r="C477" s="14" t="n">
        <f aca="false">a25_gp/a25_rev</f>
        <v>0.701498549974936</v>
      </c>
      <c r="D477" s="14" t="n">
        <f aca="false">D459/D474</f>
        <v>0.70639056761927</v>
      </c>
      <c r="E477" s="14" t="n">
        <f aca="false">gm_a+gm_b*LN(E474)+0</f>
        <v>0.730744661853288</v>
      </c>
      <c r="F477" s="14" t="n">
        <f aca="false">gm_a+gm_b*LN(F474)+0</f>
        <v>0.737174796856063</v>
      </c>
      <c r="G477" s="14" t="n">
        <f aca="false">gm_a+gm_b*LN(G474)+0</f>
        <v>0.739778175508047</v>
      </c>
      <c r="J477" s="8" t="s">
        <v>601</v>
      </c>
    </row>
    <row r="478" customFormat="false" ht="15" hidden="false" customHeight="false" outlineLevel="0" collapsed="false">
      <c r="A478" s="5" t="s">
        <v>463</v>
      </c>
      <c r="B478" s="0" t="s">
        <v>33</v>
      </c>
      <c r="C478" s="11" t="n">
        <f aca="false">C474*C477</f>
        <v>306.477</v>
      </c>
      <c r="D478" s="11" t="n">
        <f aca="false">D474*D477</f>
        <v>378.0504836</v>
      </c>
      <c r="E478" s="11" t="n">
        <f aca="false">E474*E477</f>
        <v>409.334715477864</v>
      </c>
      <c r="F478" s="11" t="n">
        <f aca="false">F474*F477</f>
        <v>436.935274815434</v>
      </c>
      <c r="G478" s="11" t="n">
        <f aca="false">G474*G477</f>
        <v>448.622593272933</v>
      </c>
    </row>
    <row r="479" customFormat="false" ht="15" hidden="false" customHeight="false" outlineLevel="0" collapsed="false">
      <c r="A479" s="5" t="s">
        <v>464</v>
      </c>
      <c r="B479" s="0" t="s">
        <v>33</v>
      </c>
      <c r="C479" s="11" t="n">
        <f aca="false">a25_sga</f>
        <v>121.487</v>
      </c>
      <c r="D479" s="11" t="n">
        <f aca="false">D478-D460</f>
        <v>139.4833836</v>
      </c>
      <c r="E479" s="11" t="n">
        <f aca="false">sg_f+sg_v*E474</f>
        <v>149.489531500697</v>
      </c>
      <c r="F479" s="11" t="n">
        <f aca="false">sg_f+sg_v*F474</f>
        <v>157.705313760974</v>
      </c>
      <c r="G479" s="11" t="n">
        <f aca="false">sg_f+sg_v*G474</f>
        <v>161.165912450533</v>
      </c>
      <c r="J479" s="8" t="s">
        <v>602</v>
      </c>
    </row>
    <row r="480" customFormat="false" ht="15" hidden="false" customHeight="false" outlineLevel="0" collapsed="false">
      <c r="A480" s="5" t="s">
        <v>432</v>
      </c>
      <c r="B480" s="0" t="s">
        <v>33</v>
      </c>
      <c r="C480" s="11" t="n">
        <f aca="false">C478-C479</f>
        <v>184.99</v>
      </c>
      <c r="D480" s="11" t="n">
        <f aca="false">D478-D479</f>
        <v>238.5671</v>
      </c>
      <c r="E480" s="11" t="n">
        <f aca="false">E478-E479</f>
        <v>259.845183977166</v>
      </c>
      <c r="F480" s="11" t="n">
        <f aca="false">F478-F479</f>
        <v>279.22996105446</v>
      </c>
      <c r="G480" s="11" t="n">
        <f aca="false">G478-G479</f>
        <v>287.4566808224</v>
      </c>
    </row>
    <row r="481" customFormat="false" ht="15" hidden="false" customHeight="false" outlineLevel="0" collapsed="false">
      <c r="A481" s="5" t="s">
        <v>603</v>
      </c>
      <c r="B481" s="0" t="s">
        <v>60</v>
      </c>
      <c r="C481" s="14" t="n">
        <f aca="false">C480/C474</f>
        <v>0.423425629851061</v>
      </c>
      <c r="D481" s="14" t="n">
        <f aca="false">D480/D474</f>
        <v>0.445764670314743</v>
      </c>
      <c r="E481" s="14" t="n">
        <f aca="false">E480/E474</f>
        <v>0.463875830511786</v>
      </c>
      <c r="F481" s="14" t="n">
        <f aca="false">F480/F474</f>
        <v>0.47110247599807</v>
      </c>
      <c r="G481" s="14" t="n">
        <f aca="false">G480/G474</f>
        <v>0.474015758602285</v>
      </c>
    </row>
    <row r="482" customFormat="false" ht="15" hidden="false" customHeight="false" outlineLevel="0" collapsed="false">
      <c r="A482" s="5" t="s">
        <v>435</v>
      </c>
      <c r="B482" s="0" t="s">
        <v>33</v>
      </c>
      <c r="C482" s="11" t="n">
        <f aca="false">a25_ni</f>
        <v>135.521</v>
      </c>
      <c r="D482" s="11" t="n">
        <f aca="false">D461</f>
        <v>167.95938138934</v>
      </c>
      <c r="E482" s="11" t="n">
        <f aca="false">E480*nioi</f>
        <v>187.393954492806</v>
      </c>
      <c r="F482" s="11" t="n">
        <f aca="false">F480*nioi</f>
        <v>201.373778855435</v>
      </c>
      <c r="G482" s="11" t="n">
        <f aca="false">G480*nioi</f>
        <v>207.306686774766</v>
      </c>
    </row>
    <row r="483" customFormat="false" ht="15" hidden="false" customHeight="false" outlineLevel="0" collapsed="false">
      <c r="A483" s="0" t="s">
        <v>524</v>
      </c>
      <c r="B483" s="0" t="s">
        <v>55</v>
      </c>
      <c r="C483" s="11" t="n">
        <f aca="false">a25_eps</f>
        <v>1249.84</v>
      </c>
      <c r="D483" s="11" t="n">
        <f aca="false">D482*1000/shares</f>
        <v>1548.28555816522</v>
      </c>
      <c r="E483" s="11" t="n">
        <f aca="false">E482*1000/shares</f>
        <v>1727.43761633726</v>
      </c>
      <c r="F483" s="11" t="n">
        <f aca="false">F482*1000/shares</f>
        <v>1856.30663209155</v>
      </c>
      <c r="G483" s="11" t="n">
        <f aca="false">G482*1000/shares</f>
        <v>1910.99744824866</v>
      </c>
    </row>
    <row r="484" customFormat="false" ht="15" hidden="false" customHeight="false" outlineLevel="0" collapsed="false">
      <c r="A484" s="5" t="s">
        <v>604</v>
      </c>
      <c r="B484" s="0" t="s">
        <v>33</v>
      </c>
      <c r="C484" s="16" t="n">
        <f aca="false">ABS(C474-a25_rev)+ABS(C480-a25_oi)+ABS(D474-D458)+ABS(D480-D460)</f>
        <v>0.000999999999976353</v>
      </c>
    </row>
    <row r="485" customFormat="false" ht="15" hidden="false" customHeight="false" outlineLevel="0" collapsed="false">
      <c r="A485" s="1" t="s">
        <v>605</v>
      </c>
    </row>
    <row r="486" customFormat="false" ht="15" hidden="false" customHeight="false" outlineLevel="0" collapsed="false">
      <c r="A486" s="5" t="s">
        <v>606</v>
      </c>
      <c r="B486" s="0" t="s">
        <v>60</v>
      </c>
      <c r="C486" s="14" t="n">
        <f aca="false">a25_gp/a25_rev</f>
        <v>0.701498549974936</v>
      </c>
      <c r="D486" s="14" t="n">
        <f aca="false">gm_a+gm_b*LN(D455)+0</f>
        <v>0.719101354234501</v>
      </c>
      <c r="E486" s="14" t="n">
        <f aca="false">gm_a+gm_b*LN(E455)+0</f>
        <v>0.726479215083663</v>
      </c>
      <c r="F486" s="14" t="n">
        <f aca="false">gm_a+gm_b*LN(F455)+0</f>
        <v>0.732911861820504</v>
      </c>
      <c r="G486" s="14" t="n">
        <f aca="false">gm_a+gm_b*LN(G455)+0</f>
        <v>0.735369150448677</v>
      </c>
    </row>
    <row r="487" customFormat="false" ht="15" hidden="false" customHeight="false" outlineLevel="0" collapsed="false">
      <c r="A487" s="5" t="s">
        <v>607</v>
      </c>
      <c r="B487" s="0" t="s">
        <v>33</v>
      </c>
      <c r="C487" s="11" t="n">
        <f aca="false">a25_oi</f>
        <v>184.989</v>
      </c>
      <c r="D487" s="11" t="n">
        <f aca="false">D455*D486-sg_f-sg_v*D455</f>
        <v>227.901920240023</v>
      </c>
      <c r="E487" s="11" t="n">
        <f aca="false">E455*E486-sg_f-sg_v*E455</f>
        <v>247.687852095186</v>
      </c>
      <c r="F487" s="11" t="n">
        <f aca="false">F455*F486-sg_f-sg_v*F455</f>
        <v>266.233391789177</v>
      </c>
      <c r="G487" s="11" t="n">
        <f aca="false">G455*G486-sg_f-sg_v*G455</f>
        <v>273.654184533487</v>
      </c>
    </row>
    <row r="488" customFormat="false" ht="15" hidden="false" customHeight="false" outlineLevel="0" collapsed="false">
      <c r="A488" s="0" t="s">
        <v>608</v>
      </c>
      <c r="B488" s="0" t="s">
        <v>55</v>
      </c>
      <c r="C488" s="11" t="n">
        <f aca="false">a25_eps</f>
        <v>1249.84</v>
      </c>
      <c r="D488" s="11" t="n">
        <f aca="false">D487*nioi_v01*1000/shares</f>
        <v>1539.05972620704</v>
      </c>
      <c r="E488" s="11" t="n">
        <f aca="false">E487*nioi_v01*1000/shares</f>
        <v>1672.6774282066</v>
      </c>
      <c r="F488" s="11" t="n">
        <f aca="false">F487*nioi_v01*1000/shares</f>
        <v>1797.91855480059</v>
      </c>
      <c r="G488" s="11" t="n">
        <f aca="false">G487*nioi_v01*1000/shares</f>
        <v>1848.03240744944</v>
      </c>
    </row>
    <row r="500" customFormat="false" ht="15" hidden="false" customHeight="false" outlineLevel="0" collapsed="false">
      <c r="A500" s="4" t="s">
        <v>827</v>
      </c>
    </row>
    <row r="501" customFormat="false" ht="15" hidden="false" customHeight="false" outlineLevel="0" collapsed="false">
      <c r="A501" s="6" t="s">
        <v>22</v>
      </c>
      <c r="B501" s="6" t="s">
        <v>23</v>
      </c>
      <c r="C501" s="9" t="s">
        <v>532</v>
      </c>
      <c r="D501" s="9" t="s">
        <v>533</v>
      </c>
      <c r="E501" s="9" t="s">
        <v>534</v>
      </c>
      <c r="F501" s="9" t="s">
        <v>535</v>
      </c>
      <c r="G501" s="9" t="s">
        <v>536</v>
      </c>
      <c r="H501" s="9" t="s">
        <v>537</v>
      </c>
      <c r="I501" s="9" t="s">
        <v>538</v>
      </c>
      <c r="J501" s="6" t="s">
        <v>515</v>
      </c>
    </row>
    <row r="502" customFormat="false" ht="15" hidden="false" customHeight="false" outlineLevel="0" collapsed="false">
      <c r="A502" s="1" t="s">
        <v>539</v>
      </c>
    </row>
    <row r="503" customFormat="false" ht="15" hidden="false" customHeight="false" outlineLevel="0" collapsed="false">
      <c r="A503" s="0" t="s">
        <v>540</v>
      </c>
      <c r="B503" s="0" t="s">
        <v>100</v>
      </c>
      <c r="C503" s="19" t="n">
        <f aca="false">hsA_25</f>
        <v>2.22511470588235</v>
      </c>
      <c r="D503" s="19" t="n">
        <f aca="false">hsA_26</f>
        <v>3.782695</v>
      </c>
      <c r="E503" s="19" t="n">
        <f aca="false">hsA_27</f>
        <v>5.86317725</v>
      </c>
      <c r="F503" s="19" t="n">
        <f aca="false">hsA_28</f>
        <v>8.5016070125</v>
      </c>
      <c r="G503" s="19" t="n">
        <f aca="false">hsA_29</f>
        <v>11.477169466875</v>
      </c>
      <c r="H503" s="19" t="n">
        <f aca="false">G503*(1+g_tail)</f>
        <v>12.6248864135625</v>
      </c>
      <c r="I503" s="19" t="n">
        <f aca="false">H503*(1+g_tail)</f>
        <v>13.8873750549188</v>
      </c>
      <c r="J503" s="8" t="s">
        <v>541</v>
      </c>
    </row>
    <row r="504" customFormat="false" ht="15" hidden="false" customHeight="false" outlineLevel="0" collapsed="false">
      <c r="A504" s="0" t="s">
        <v>542</v>
      </c>
      <c r="B504" s="0" t="s">
        <v>543</v>
      </c>
      <c r="C504" s="19" t="n">
        <f aca="false">den_25</f>
        <v>24</v>
      </c>
      <c r="D504" s="19" t="n">
        <f aca="false">den_26</f>
        <v>24</v>
      </c>
      <c r="E504" s="19" t="n">
        <f aca="false">den_27</f>
        <v>26</v>
      </c>
      <c r="F504" s="19" t="n">
        <f aca="false">den_28</f>
        <v>28</v>
      </c>
      <c r="G504" s="19" t="n">
        <f aca="false">den_29</f>
        <v>30</v>
      </c>
      <c r="H504" s="19" t="n">
        <f aca="false">den_30</f>
        <v>32</v>
      </c>
      <c r="I504" s="19" t="n">
        <f aca="false">den_30</f>
        <v>32</v>
      </c>
    </row>
    <row r="505" customFormat="false" ht="15" hidden="false" customHeight="false" outlineLevel="0" collapsed="false">
      <c r="A505" s="5" t="s">
        <v>544</v>
      </c>
      <c r="B505" s="5" t="s">
        <v>152</v>
      </c>
      <c r="C505" s="19" t="n">
        <f aca="false">stk_25</f>
        <v>10</v>
      </c>
      <c r="D505" s="19" t="n">
        <f aca="false">stk_26</f>
        <v>12</v>
      </c>
      <c r="E505" s="19" t="n">
        <f aca="false">stk_27</f>
        <v>12.5</v>
      </c>
      <c r="F505" s="19" t="n">
        <f aca="false">stk_28</f>
        <v>14</v>
      </c>
      <c r="G505" s="19" t="n">
        <f aca="false">stk_29</f>
        <v>15</v>
      </c>
      <c r="H505" s="19" t="n">
        <f aca="false">stk_30</f>
        <v>16</v>
      </c>
      <c r="I505" s="19" t="n">
        <f aca="false">stk_30</f>
        <v>16</v>
      </c>
    </row>
    <row r="506" customFormat="false" ht="15" hidden="false" customHeight="false" outlineLevel="0" collapsed="false">
      <c r="A506" s="0" t="s">
        <v>545</v>
      </c>
      <c r="B506" s="5" t="s">
        <v>546</v>
      </c>
      <c r="C506" s="19" t="n">
        <f aca="false">C503*8/C504</f>
        <v>0.741704901960783</v>
      </c>
      <c r="D506" s="19" t="n">
        <f aca="false">D503*8/D504</f>
        <v>1.26089833333333</v>
      </c>
      <c r="E506" s="19" t="n">
        <f aca="false">E503*8/E504</f>
        <v>1.80405453846154</v>
      </c>
      <c r="F506" s="19" t="n">
        <f aca="false">F503*8/F504</f>
        <v>2.429030575</v>
      </c>
      <c r="G506" s="19" t="n">
        <f aca="false">G503*8/G504</f>
        <v>3.0605785245</v>
      </c>
      <c r="H506" s="19" t="n">
        <f aca="false">H503*8/H504</f>
        <v>3.15622160339063</v>
      </c>
      <c r="I506" s="19" t="n">
        <f aca="false">I503*8/I504</f>
        <v>3.47184376372969</v>
      </c>
      <c r="J506" s="8" t="s">
        <v>547</v>
      </c>
    </row>
    <row r="507" customFormat="false" ht="15" hidden="false" customHeight="false" outlineLevel="0" collapsed="false">
      <c r="A507" s="0" t="s">
        <v>548</v>
      </c>
      <c r="B507" s="5" t="s">
        <v>549</v>
      </c>
      <c r="C507" s="19" t="n">
        <f aca="false">C506*(1+s_stk/C505)</f>
        <v>0.964216372549018</v>
      </c>
      <c r="D507" s="19" t="n">
        <f aca="false">D506*(1+s_stk/D505)</f>
        <v>1.57612291666667</v>
      </c>
      <c r="E507" s="19" t="n">
        <f aca="false">E506*(1+s_stk/E505)</f>
        <v>2.23702762769231</v>
      </c>
      <c r="F507" s="19" t="n">
        <f aca="false">F506*(1+s_stk/F505)</f>
        <v>2.94953712678571</v>
      </c>
      <c r="G507" s="19" t="n">
        <f aca="false">G506*(1+s_stk/G505)</f>
        <v>3.6726942294</v>
      </c>
      <c r="H507" s="19" t="n">
        <f aca="false">H506*(1+s_stk/H505)</f>
        <v>3.74801315402637</v>
      </c>
      <c r="I507" s="19" t="n">
        <f aca="false">I506*(1+s_stk/I505)</f>
        <v>4.12281446942901</v>
      </c>
      <c r="J507" s="5" t="s">
        <v>550</v>
      </c>
    </row>
    <row r="508" customFormat="false" ht="15" hidden="false" customHeight="false" outlineLevel="0" collapsed="false">
      <c r="A508" s="5" t="s">
        <v>551</v>
      </c>
      <c r="B508" s="0" t="s">
        <v>60</v>
      </c>
      <c r="C508" s="22" t="n">
        <f aca="false">hbp_25*0</f>
        <v>0</v>
      </c>
      <c r="D508" s="22" t="n">
        <f aca="false">hbp_26*0</f>
        <v>0</v>
      </c>
      <c r="E508" s="22" t="n">
        <f aca="false">hbp_27*0</f>
        <v>0</v>
      </c>
      <c r="F508" s="22" t="n">
        <f aca="false">hbp_28*0</f>
        <v>0</v>
      </c>
      <c r="G508" s="22" t="n">
        <f aca="false">hbp_29*0</f>
        <v>0</v>
      </c>
      <c r="H508" s="22" t="n">
        <f aca="false">hbp_30*0</f>
        <v>0</v>
      </c>
      <c r="I508" s="22" t="n">
        <f aca="false">hbp_30*0</f>
        <v>0</v>
      </c>
    </row>
    <row r="509" customFormat="false" ht="15" hidden="false" customHeight="false" outlineLevel="0" collapsed="false">
      <c r="A509" s="0" t="s">
        <v>552</v>
      </c>
      <c r="B509" s="5" t="s">
        <v>549</v>
      </c>
      <c r="C509" s="19" t="n">
        <f aca="false">C507*(1+C508*hb_eff)</f>
        <v>0.964216372549018</v>
      </c>
      <c r="D509" s="19" t="n">
        <f aca="false">D507*(1+D508*hb_eff)</f>
        <v>1.57612291666667</v>
      </c>
      <c r="E509" s="19" t="n">
        <f aca="false">E507*(1+E508*hb_eff)</f>
        <v>2.23702762769231</v>
      </c>
      <c r="F509" s="19" t="n">
        <f aca="false">F507*(1+F508*hb_eff)</f>
        <v>2.94953712678571</v>
      </c>
      <c r="G509" s="19" t="n">
        <f aca="false">G507*(1+G508*hb_eff)</f>
        <v>3.6726942294</v>
      </c>
      <c r="H509" s="19" t="n">
        <f aca="false">H507*(1+H508*hb_eff)</f>
        <v>3.74801315402637</v>
      </c>
      <c r="I509" s="19" t="n">
        <f aca="false">I507*(1+I508*hb_eff)</f>
        <v>4.12281446942901</v>
      </c>
      <c r="J509" s="5" t="s">
        <v>553</v>
      </c>
    </row>
    <row r="510" customFormat="false" ht="15" hidden="false" customHeight="false" outlineLevel="0" collapsed="false">
      <c r="A510" s="0" t="s">
        <v>554</v>
      </c>
      <c r="B510" s="5" t="s">
        <v>549</v>
      </c>
      <c r="C510" s="19" t="n">
        <f aca="false">MAX(0,D509-C509)+dlt*C509</f>
        <v>0.70832818137255</v>
      </c>
      <c r="D510" s="19" t="n">
        <f aca="false">MAX(0,E509-D509)+dlt*D509</f>
        <v>0.818517002692307</v>
      </c>
      <c r="E510" s="19" t="n">
        <f aca="false">MAX(0,F509-E509)+dlt*E509</f>
        <v>0.936212261862637</v>
      </c>
      <c r="F510" s="19" t="n">
        <f aca="false">MAX(0,G509-F509)+dlt*F509</f>
        <v>1.01811081529286</v>
      </c>
      <c r="G510" s="19" t="n">
        <f aca="false">MAX(0,H509-G509)+dlt*G509</f>
        <v>0.442588347566367</v>
      </c>
      <c r="H510" s="19" t="n">
        <f aca="false">MAX(0,I509-H509)+dlt*H509</f>
        <v>0.749602630805274</v>
      </c>
      <c r="J510" s="5" t="s">
        <v>555</v>
      </c>
    </row>
    <row r="511" customFormat="false" ht="15" hidden="false" customHeight="false" outlineLevel="0" collapsed="false">
      <c r="A511" s="0" t="s">
        <v>556</v>
      </c>
      <c r="B511" s="5" t="s">
        <v>181</v>
      </c>
      <c r="C511" s="21" t="n">
        <f aca="false">cw_25</f>
        <v>670</v>
      </c>
      <c r="D511" s="21" t="n">
        <f aca="false">cw_26</f>
        <v>1107.85762580894</v>
      </c>
      <c r="E511" s="21" t="n">
        <f aca="false">cw_27</f>
        <v>2096.42857142857</v>
      </c>
      <c r="F511" s="21" t="n">
        <f aca="false">cw_28*um28_A</f>
        <v>2620.08928571429</v>
      </c>
      <c r="G511" s="21" t="n">
        <f aca="false">cw_29*um29_A</f>
        <v>3013.32589285714</v>
      </c>
      <c r="H511" s="21" t="n">
        <f aca="false">G511*(1+g_tail)</f>
        <v>3314.65848214285</v>
      </c>
      <c r="I511" s="21" t="n">
        <f aca="false">H511*(1+g_tail)</f>
        <v>3646.12433035714</v>
      </c>
      <c r="J511" s="5" t="s">
        <v>557</v>
      </c>
    </row>
    <row r="512" customFormat="false" ht="15" hidden="false" customHeight="false" outlineLevel="0" collapsed="false">
      <c r="A512" s="5" t="s">
        <v>558</v>
      </c>
      <c r="B512" s="5" t="s">
        <v>181</v>
      </c>
      <c r="C512" s="21" t="n">
        <f aca="false">MAX(0,D511-C511)+dlt*C511</f>
        <v>504.85762580894</v>
      </c>
      <c r="D512" s="21" t="n">
        <f aca="false">MAX(0,E511-D511)+dlt*D511</f>
        <v>1099.35670820052</v>
      </c>
      <c r="E512" s="21" t="n">
        <f aca="false">MAX(0,F511-E511)+dlt*E511</f>
        <v>733.303571428577</v>
      </c>
      <c r="F512" s="21" t="n">
        <f aca="false">MAX(0,G511-F511)+dlt*F511</f>
        <v>655.245535714279</v>
      </c>
      <c r="G512" s="21" t="n">
        <f aca="false">MAX(0,H511-G511)+dlt*G511</f>
        <v>602.665178571428</v>
      </c>
      <c r="H512" s="21" t="n">
        <f aca="false">MAX(0,I511-H511)+dlt*H511</f>
        <v>662.931696428571</v>
      </c>
    </row>
    <row r="513" customFormat="false" ht="15" hidden="false" customHeight="false" outlineLevel="0" collapsed="false">
      <c r="A513" s="1" t="s">
        <v>559</v>
      </c>
    </row>
    <row r="514" customFormat="false" ht="15" hidden="false" customHeight="false" outlineLevel="0" collapsed="false">
      <c r="A514" s="0" t="s">
        <v>560</v>
      </c>
      <c r="B514" s="0" t="s">
        <v>561</v>
      </c>
      <c r="C514" s="16" t="n">
        <f aca="false">ai_25*w_hbm/(0.75*C510+0.25*D510)</f>
        <v>48.9213264236471</v>
      </c>
      <c r="J514" s="5" t="s">
        <v>562</v>
      </c>
    </row>
    <row r="515" customFormat="false" ht="15" hidden="false" customHeight="false" outlineLevel="0" collapsed="false">
      <c r="A515" s="5" t="s">
        <v>563</v>
      </c>
      <c r="B515" s="0" t="s">
        <v>564</v>
      </c>
      <c r="C515" s="18" t="n">
        <f aca="false">ai_25*(1-w_hbm)/(0.75*C512+0.25*D512)</f>
        <v>0.0596802610360141</v>
      </c>
    </row>
    <row r="516" customFormat="false" ht="15" hidden="false" customHeight="false" outlineLevel="0" collapsed="false">
      <c r="A516" s="1" t="s">
        <v>565</v>
      </c>
    </row>
    <row r="517" customFormat="false" ht="15" hidden="false" customHeight="false" outlineLevel="0" collapsed="false">
      <c r="A517" s="5" t="s">
        <v>566</v>
      </c>
      <c r="B517" s="0" t="s">
        <v>80</v>
      </c>
      <c r="C517" s="16" t="n">
        <f aca="false">1-sh_loss/sh*0</f>
        <v>1</v>
      </c>
      <c r="D517" s="16" t="n">
        <f aca="false">1-sh_loss/sh*0.25</f>
        <v>1</v>
      </c>
      <c r="E517" s="16" t="n">
        <f aca="false">1-sh_loss/sh*0.5</f>
        <v>1</v>
      </c>
      <c r="F517" s="16" t="n">
        <f aca="false">1-sh_loss/sh*0.75</f>
        <v>1</v>
      </c>
      <c r="G517" s="16" t="n">
        <f aca="false">1-sh_loss/sh*1</f>
        <v>1</v>
      </c>
    </row>
    <row r="518" customFormat="false" ht="15" hidden="false" customHeight="false" outlineLevel="0" collapsed="false">
      <c r="A518" s="0" t="s">
        <v>567</v>
      </c>
      <c r="B518" s="0" t="s">
        <v>33</v>
      </c>
      <c r="C518" s="11" t="n">
        <f aca="false">$C$514*(0.75*C510+0.25*D510)*C517</f>
        <v>36</v>
      </c>
      <c r="D518" s="11" t="n">
        <f aca="false">$C$514*(0.75*D510+0.25*E510)*D517</f>
        <v>41.4823895201124</v>
      </c>
      <c r="E518" s="11" t="n">
        <f aca="false">$C$514*(0.75*E510+0.25*F510)*E517</f>
        <v>46.8023921308991</v>
      </c>
      <c r="F518" s="11" t="n">
        <f aca="false">$C$514*(0.75*F510+0.25*G510)*F517</f>
        <v>42.7685009034397</v>
      </c>
      <c r="G518" s="11" t="n">
        <f aca="false">$C$514*(0.75*G510+0.25*H510)*G517</f>
        <v>25.40689551436</v>
      </c>
    </row>
    <row r="519" customFormat="false" ht="15" hidden="false" customHeight="false" outlineLevel="0" collapsed="false">
      <c r="A519" s="5" t="s">
        <v>568</v>
      </c>
      <c r="B519" s="0" t="s">
        <v>33</v>
      </c>
      <c r="C519" s="11" t="n">
        <f aca="false">$C$515*(0.75*C512+0.25*D512)*C517</f>
        <v>39</v>
      </c>
      <c r="D519" s="11" t="n">
        <f aca="false">$C$515*(0.75*D512+0.25*E512)*D517</f>
        <v>60.1483586282001</v>
      </c>
      <c r="E519" s="11" t="n">
        <f aca="false">$C$515*(0.75*E512+0.25*F512)*E517</f>
        <v>42.5991175746519</v>
      </c>
      <c r="F519" s="11" t="n">
        <f aca="false">$C$515*(0.75*F512+0.25*G512)*F517</f>
        <v>38.320722254198</v>
      </c>
      <c r="G519" s="11" t="n">
        <f aca="false">$C$515*(0.75*G512+0.25*H512)*G517</f>
        <v>36.8663955538204</v>
      </c>
    </row>
    <row r="520" customFormat="false" ht="15" hidden="false" customHeight="false" outlineLevel="0" collapsed="false">
      <c r="A520" s="0" t="s">
        <v>569</v>
      </c>
      <c r="B520" s="0" t="s">
        <v>33</v>
      </c>
      <c r="C520" s="11" t="n">
        <f aca="false">C518+C519</f>
        <v>75</v>
      </c>
      <c r="D520" s="11" t="n">
        <f aca="false">D518+D519</f>
        <v>101.630748148312</v>
      </c>
      <c r="E520" s="11" t="n">
        <f aca="false">E518+E519</f>
        <v>89.401509705551</v>
      </c>
      <c r="F520" s="11" t="n">
        <f aca="false">F518+F519</f>
        <v>81.0892231576377</v>
      </c>
      <c r="G520" s="11" t="n">
        <f aca="false">G518+G519</f>
        <v>62.2732910681803</v>
      </c>
    </row>
    <row r="521" customFormat="false" ht="15" hidden="false" customHeight="false" outlineLevel="0" collapsed="false">
      <c r="A521" s="5" t="s">
        <v>570</v>
      </c>
      <c r="B521" s="0" t="s">
        <v>33</v>
      </c>
      <c r="C521" s="11" t="n">
        <f aca="false">eq_25-ai_25</f>
        <v>195.87118</v>
      </c>
      <c r="D521" s="11" t="n">
        <f aca="false">C521*(1+g_non)*D517/C517</f>
        <v>207.6234508</v>
      </c>
      <c r="E521" s="11" t="n">
        <f aca="false">D521*(1+g_non)*E517/D517</f>
        <v>220.080857848</v>
      </c>
      <c r="F521" s="11" t="n">
        <f aca="false">E521*(1+g_non)*F517/E517</f>
        <v>233.28570931888</v>
      </c>
      <c r="G521" s="11" t="n">
        <f aca="false">F521*(1+g_non)*G517/F517</f>
        <v>247.282851878013</v>
      </c>
    </row>
    <row r="522" customFormat="false" ht="15" hidden="false" customHeight="false" outlineLevel="0" collapsed="false">
      <c r="A522" s="0" t="s">
        <v>571</v>
      </c>
      <c r="B522" s="0" t="s">
        <v>80</v>
      </c>
      <c r="C522" s="19" t="n">
        <f aca="false">w_hbm*(0.75*C509+0.25*D509)/(0.75*C509+0.25*D509)+(1-w_hbm)*(0.75*C511+0.25*D511)/(0.75*C511+0.25*D511)</f>
        <v>1</v>
      </c>
      <c r="D522" s="19" t="n">
        <f aca="false">w_hbm*(0.75*D509+0.25*E509)/(0.75*C509+0.25*D509)+(1-w_hbm)*(0.75*D511+0.25*E511)/(0.75*C511+0.25*D511)</f>
        <v>1.65212184085657</v>
      </c>
      <c r="E522" s="19" t="n">
        <f aca="false">w_hbm*(0.75*E509+0.25*F509)/(0.75*C509+0.25*D509)+(1-w_hbm)*(0.75*E511+0.25*F511)/(0.75*C511+0.25*D511)</f>
        <v>2.52358322491796</v>
      </c>
      <c r="F522" s="19" t="n">
        <f aca="false">w_hbm*(0.75*F509+0.25*G509)/(0.75*C509+0.25*D509)+(1-w_hbm)*(0.75*F511+0.25*G511)/(0.75*C511+0.25*D511)</f>
        <v>3.1584500892359</v>
      </c>
      <c r="G522" s="19" t="n">
        <f aca="false">w_hbm*(0.75*G509+0.25*H509)/(0.75*C509+0.25*D509)+(1-w_hbm)*(0.75*G511+0.25*H511)/(0.75*C511+0.25*D511)</f>
        <v>3.64657764069717</v>
      </c>
      <c r="J522" s="8" t="s">
        <v>572</v>
      </c>
    </row>
    <row r="523" customFormat="false" ht="15" hidden="false" customHeight="false" outlineLevel="0" collapsed="false">
      <c r="A523" s="0" t="s">
        <v>573</v>
      </c>
      <c r="B523" s="0" t="s">
        <v>33</v>
      </c>
      <c r="C523" s="11" t="n">
        <f aca="false">tl_25*w_tlai*C522</f>
        <v>25.4032258064516</v>
      </c>
      <c r="D523" s="11" t="n">
        <f aca="false">tl_25*w_tlai*D522</f>
        <v>41.9692241830499</v>
      </c>
      <c r="E523" s="11" t="n">
        <f aca="false">tl_25*w_tlai*E522</f>
        <v>64.1071545039642</v>
      </c>
      <c r="F523" s="11" t="n">
        <f aca="false">tl_25*w_tlai*F522</f>
        <v>80.2348208152668</v>
      </c>
      <c r="G523" s="11" t="n">
        <f aca="false">tl_25*w_tlai*G522</f>
        <v>92.6348352273877</v>
      </c>
      <c r="J523" s="5" t="s">
        <v>574</v>
      </c>
    </row>
    <row r="524" customFormat="false" ht="15" hidden="false" customHeight="false" outlineLevel="0" collapsed="false">
      <c r="A524" s="5" t="s">
        <v>575</v>
      </c>
      <c r="B524" s="0" t="s">
        <v>33</v>
      </c>
      <c r="C524" s="11" t="n">
        <f aca="false">tl_25*(1-w_tlai)</f>
        <v>66.3434641935484</v>
      </c>
      <c r="D524" s="11" t="n">
        <f aca="false">C524*(1+g_tl)</f>
        <v>69.6606374032258</v>
      </c>
      <c r="E524" s="11" t="n">
        <f aca="false">D524*(1+g_tl)</f>
        <v>73.1436692733871</v>
      </c>
      <c r="F524" s="11" t="n">
        <f aca="false">E524*(1+g_tl)</f>
        <v>76.8008527370565</v>
      </c>
      <c r="G524" s="11" t="n">
        <f aca="false">F524*(1+g_tl)</f>
        <v>80.6408953739093</v>
      </c>
    </row>
    <row r="525" customFormat="false" ht="15" hidden="false" customHeight="false" outlineLevel="0" collapsed="false">
      <c r="A525" s="5" t="s">
        <v>576</v>
      </c>
      <c r="B525" s="0" t="s">
        <v>33</v>
      </c>
      <c r="C525" s="11" t="n">
        <f aca="false">(C520+C521+C523+C524)*(1+r_ot)</f>
        <v>436.889</v>
      </c>
      <c r="D525" s="11" t="n">
        <f aca="false">(D520+D521+D523+D524)*(1+r_ot)</f>
        <v>507.089229559745</v>
      </c>
      <c r="E525" s="11" t="n">
        <f aca="false">(E520+E521+E523+E524)*(1+r_ot)</f>
        <v>538.232760639642</v>
      </c>
      <c r="F525" s="11" t="n">
        <f aca="false">(F520+F521+F523+F524)*(1+r_ot)</f>
        <v>567.964585576917</v>
      </c>
      <c r="G525" s="11" t="n">
        <f aca="false">(G520+G521+G523+G524)*(1+r_ot)</f>
        <v>581.725148852398</v>
      </c>
      <c r="J525" s="8" t="s">
        <v>577</v>
      </c>
    </row>
    <row r="526" customFormat="false" ht="15" hidden="false" customHeight="false" outlineLevel="0" collapsed="false">
      <c r="A526" s="1" t="s">
        <v>578</v>
      </c>
    </row>
    <row r="527" customFormat="false" ht="15" hidden="false" customHeight="false" outlineLevel="0" collapsed="false">
      <c r="A527" s="5" t="s">
        <v>579</v>
      </c>
      <c r="B527" s="0" t="s">
        <v>33</v>
      </c>
      <c r="D527" s="11" t="n">
        <f aca="false">g3_rev*(1+g_q4)</f>
        <v>145.6862</v>
      </c>
    </row>
    <row r="528" customFormat="false" ht="15" hidden="false" customHeight="false" outlineLevel="0" collapsed="false">
      <c r="A528" s="0" t="s">
        <v>580</v>
      </c>
      <c r="B528" s="0" t="s">
        <v>33</v>
      </c>
      <c r="D528" s="11" t="n">
        <f aca="false">q26h1_rev+g3_rev+D527</f>
        <v>535.1862</v>
      </c>
    </row>
    <row r="529" customFormat="false" ht="15" hidden="false" customHeight="false" outlineLevel="0" collapsed="false">
      <c r="A529" s="0" t="s">
        <v>581</v>
      </c>
      <c r="B529" s="0" t="s">
        <v>33</v>
      </c>
      <c r="D529" s="11" t="n">
        <f aca="false">q26h1_gp+(g3_rev+D527)*gm_q3</f>
        <v>378.0504836</v>
      </c>
    </row>
    <row r="530" customFormat="false" ht="15" hidden="false" customHeight="false" outlineLevel="0" collapsed="false">
      <c r="A530" s="0" t="s">
        <v>582</v>
      </c>
      <c r="B530" s="0" t="s">
        <v>33</v>
      </c>
      <c r="D530" s="11" t="n">
        <f aca="false">q26h1_oi+g3_oi+D527*m_q4</f>
        <v>238.5671</v>
      </c>
    </row>
    <row r="531" customFormat="false" ht="15" hidden="false" customHeight="false" outlineLevel="0" collapsed="false">
      <c r="A531" s="0" t="s">
        <v>583</v>
      </c>
      <c r="B531" s="0" t="s">
        <v>33</v>
      </c>
      <c r="D531" s="11" t="n">
        <f aca="false">q26h1_ni+g3_ni+D527*m_q4*nioi</f>
        <v>167.95938138934</v>
      </c>
    </row>
    <row r="532" customFormat="false" ht="15" hidden="false" customHeight="false" outlineLevel="0" collapsed="false">
      <c r="A532" s="5" t="s">
        <v>584</v>
      </c>
      <c r="B532" s="0" t="s">
        <v>80</v>
      </c>
      <c r="D532" s="16" t="n">
        <f aca="false">D528/D525</f>
        <v>1.05540833605291</v>
      </c>
      <c r="J532" s="8" t="s">
        <v>585</v>
      </c>
    </row>
    <row r="533" customFormat="false" ht="15" hidden="false" customHeight="false" outlineLevel="0" collapsed="false">
      <c r="A533" s="5" t="s">
        <v>586</v>
      </c>
      <c r="B533" s="0" t="s">
        <v>80</v>
      </c>
      <c r="D533" s="16" t="n">
        <f aca="false">1+anc_carry*(D532-1)</f>
        <v>1.05540833605291</v>
      </c>
      <c r="J533" s="8" t="s">
        <v>587</v>
      </c>
    </row>
    <row r="534" customFormat="false" ht="15" hidden="false" customHeight="false" outlineLevel="0" collapsed="false">
      <c r="A534" s="1" t="s">
        <v>588</v>
      </c>
    </row>
    <row r="535" customFormat="false" ht="15" hidden="false" customHeight="false" outlineLevel="0" collapsed="false">
      <c r="A535" s="0" t="s">
        <v>589</v>
      </c>
      <c r="B535" s="0" t="s">
        <v>33</v>
      </c>
      <c r="C535" s="11" t="n">
        <f aca="false">C518*1</f>
        <v>36</v>
      </c>
      <c r="D535" s="11" t="n">
        <f aca="false">D518*$D$532</f>
        <v>43.7808596989203</v>
      </c>
      <c r="E535" s="11" t="n">
        <f aca="false">E518*1</f>
        <v>46.8023921308991</v>
      </c>
      <c r="F535" s="11" t="n">
        <f aca="false">F518*1</f>
        <v>42.7685009034397</v>
      </c>
      <c r="G535" s="11" t="n">
        <f aca="false">G518*1</f>
        <v>25.40689551436</v>
      </c>
    </row>
    <row r="536" customFormat="false" ht="15" hidden="false" customHeight="false" outlineLevel="0" collapsed="false">
      <c r="A536" s="5" t="s">
        <v>590</v>
      </c>
      <c r="B536" s="0" t="s">
        <v>33</v>
      </c>
      <c r="C536" s="11" t="n">
        <f aca="false">C519*1</f>
        <v>39</v>
      </c>
      <c r="D536" s="11" t="n">
        <f aca="false">D519*$D$532</f>
        <v>63.481079096102</v>
      </c>
      <c r="E536" s="11" t="n">
        <f aca="false">E519*1</f>
        <v>42.5991175746519</v>
      </c>
      <c r="F536" s="11" t="n">
        <f aca="false">F519*1</f>
        <v>38.320722254198</v>
      </c>
      <c r="G536" s="11" t="n">
        <f aca="false">G519*1</f>
        <v>36.8663955538204</v>
      </c>
    </row>
    <row r="537" customFormat="false" ht="15" hidden="false" customHeight="false" outlineLevel="0" collapsed="false">
      <c r="A537" s="0" t="s">
        <v>591</v>
      </c>
      <c r="B537" s="0" t="s">
        <v>33</v>
      </c>
      <c r="C537" s="11" t="n">
        <f aca="false">C535+C536</f>
        <v>75</v>
      </c>
      <c r="D537" s="11" t="n">
        <f aca="false">D535+D536</f>
        <v>107.261938795022</v>
      </c>
      <c r="E537" s="11" t="n">
        <f aca="false">E535+E536</f>
        <v>89.401509705551</v>
      </c>
      <c r="F537" s="11" t="n">
        <f aca="false">F535+F536</f>
        <v>81.0892231576377</v>
      </c>
      <c r="G537" s="11" t="n">
        <f aca="false">G535+G536</f>
        <v>62.2732910681803</v>
      </c>
    </row>
    <row r="538" customFormat="false" ht="15" hidden="false" customHeight="false" outlineLevel="0" collapsed="false">
      <c r="A538" s="5" t="s">
        <v>592</v>
      </c>
      <c r="B538" s="0" t="s">
        <v>33</v>
      </c>
      <c r="C538" s="11" t="n">
        <f aca="false">C521*1</f>
        <v>195.87118</v>
      </c>
      <c r="D538" s="11" t="n">
        <f aca="false">D521*$D$532</f>
        <v>219.12752073439</v>
      </c>
      <c r="E538" s="11" t="n">
        <f aca="false">E521*$D$533</f>
        <v>232.275171978454</v>
      </c>
      <c r="F538" s="11" t="n">
        <f aca="false">F521*$D$533</f>
        <v>246.211682297161</v>
      </c>
      <c r="G538" s="11" t="n">
        <f aca="false">G521*$D$533</f>
        <v>260.984383234991</v>
      </c>
    </row>
    <row r="539" customFormat="false" ht="15" hidden="false" customHeight="false" outlineLevel="0" collapsed="false">
      <c r="A539" s="5" t="s">
        <v>593</v>
      </c>
      <c r="B539" s="0" t="s">
        <v>33</v>
      </c>
      <c r="C539" s="11" t="n">
        <f aca="false">C537+C538</f>
        <v>270.87118</v>
      </c>
      <c r="D539" s="11" t="n">
        <f aca="false">D537+D538</f>
        <v>326.389459529413</v>
      </c>
      <c r="E539" s="11" t="n">
        <f aca="false">E537+E538</f>
        <v>321.676681684005</v>
      </c>
      <c r="F539" s="11" t="n">
        <f aca="false">F537+F538</f>
        <v>327.300905454799</v>
      </c>
      <c r="G539" s="11" t="n">
        <f aca="false">G537+G538</f>
        <v>323.257674303171</v>
      </c>
    </row>
    <row r="540" customFormat="false" ht="15" hidden="false" customHeight="false" outlineLevel="0" collapsed="false">
      <c r="A540" s="0" t="s">
        <v>594</v>
      </c>
      <c r="B540" s="0" t="s">
        <v>33</v>
      </c>
      <c r="C540" s="11" t="n">
        <f aca="false">C523*1</f>
        <v>25.4032258064516</v>
      </c>
      <c r="D540" s="11" t="n">
        <f aca="false">D523*$D$532</f>
        <v>44.2946690604641</v>
      </c>
      <c r="E540" s="11" t="n">
        <f aca="false">E523*1</f>
        <v>64.1071545039642</v>
      </c>
      <c r="F540" s="11" t="n">
        <f aca="false">F523*1</f>
        <v>80.2348208152668</v>
      </c>
      <c r="G540" s="11" t="n">
        <f aca="false">G523*1</f>
        <v>92.6348352273877</v>
      </c>
    </row>
    <row r="541" customFormat="false" ht="15" hidden="false" customHeight="false" outlineLevel="0" collapsed="false">
      <c r="A541" s="5" t="s">
        <v>595</v>
      </c>
      <c r="B541" s="0" t="s">
        <v>33</v>
      </c>
      <c r="C541" s="11" t="n">
        <f aca="false">C524*1</f>
        <v>66.3434641935484</v>
      </c>
      <c r="D541" s="11" t="n">
        <f aca="false">D524*$D$532</f>
        <v>73.5204174101233</v>
      </c>
      <c r="E541" s="11" t="n">
        <f aca="false">E524*$D$533</f>
        <v>77.1964382806295</v>
      </c>
      <c r="F541" s="11" t="n">
        <f aca="false">F524*$D$533</f>
        <v>81.056260194661</v>
      </c>
      <c r="G541" s="11" t="n">
        <f aca="false">G524*$D$533</f>
        <v>85.109073204394</v>
      </c>
    </row>
    <row r="542" customFormat="false" ht="15" hidden="false" customHeight="false" outlineLevel="0" collapsed="false">
      <c r="A542" s="5" t="s">
        <v>596</v>
      </c>
      <c r="B542" s="0" t="s">
        <v>33</v>
      </c>
      <c r="C542" s="11" t="n">
        <f aca="false">C540+C541</f>
        <v>91.74669</v>
      </c>
      <c r="D542" s="11" t="n">
        <f aca="false">D540+D541</f>
        <v>117.815086470587</v>
      </c>
      <c r="E542" s="11" t="n">
        <f aca="false">E540+E541</f>
        <v>141.303592784594</v>
      </c>
      <c r="F542" s="11" t="n">
        <f aca="false">F540+F541</f>
        <v>161.291081009928</v>
      </c>
      <c r="G542" s="11" t="n">
        <f aca="false">G540+G541</f>
        <v>177.743908431782</v>
      </c>
    </row>
    <row r="543" customFormat="false" ht="15" hidden="false" customHeight="false" outlineLevel="0" collapsed="false">
      <c r="A543" s="5" t="s">
        <v>458</v>
      </c>
      <c r="B543" s="0" t="s">
        <v>33</v>
      </c>
      <c r="C543" s="11" t="n">
        <f aca="false">r_ot*(C539+C542)</f>
        <v>74.27113</v>
      </c>
      <c r="D543" s="11" t="n">
        <f aca="false">r_ot*(D539+D542)</f>
        <v>90.981654</v>
      </c>
      <c r="E543" s="11" t="n">
        <f aca="false">r_ot*(E539+E542)</f>
        <v>94.8272851321226</v>
      </c>
      <c r="F543" s="11" t="n">
        <f aca="false">r_ot*(F539+F542)</f>
        <v>100.073057468679</v>
      </c>
      <c r="G543" s="11" t="n">
        <f aca="false">r_ot*(G539+G542)</f>
        <v>102.614782005954</v>
      </c>
    </row>
    <row r="544" customFormat="false" ht="15" hidden="false" customHeight="false" outlineLevel="0" collapsed="false">
      <c r="A544" s="5" t="s">
        <v>428</v>
      </c>
      <c r="B544" s="0" t="s">
        <v>33</v>
      </c>
      <c r="C544" s="11" t="n">
        <f aca="false">C539+C542+C543</f>
        <v>436.889</v>
      </c>
      <c r="D544" s="11" t="n">
        <f aca="false">D539+D542+D543</f>
        <v>535.1862</v>
      </c>
      <c r="E544" s="11" t="n">
        <f aca="false">E539+E542+E543</f>
        <v>557.807559600721</v>
      </c>
      <c r="F544" s="11" t="n">
        <f aca="false">F539+F542+F543</f>
        <v>588.665043933405</v>
      </c>
      <c r="G544" s="11" t="n">
        <f aca="false">G539+G542+G543</f>
        <v>603.616364740907</v>
      </c>
      <c r="J544" s="8" t="s">
        <v>597</v>
      </c>
    </row>
    <row r="545" customFormat="false" ht="15" hidden="false" customHeight="false" outlineLevel="0" collapsed="false">
      <c r="A545" s="0" t="s">
        <v>598</v>
      </c>
      <c r="B545" s="0" t="s">
        <v>60</v>
      </c>
      <c r="C545" s="14" t="n">
        <f aca="false">(C537+C540)*(1+r_ot)/C544</f>
        <v>0.276884384673187</v>
      </c>
      <c r="D545" s="14" t="n">
        <f aca="false">(D537+D540)*(1+r_ot)/D544</f>
        <v>0.34118653044016</v>
      </c>
      <c r="E545" s="14" t="n">
        <f aca="false">(E537+E540)*(1+r_ot)/E544</f>
        <v>0.331566316482295</v>
      </c>
      <c r="F545" s="14" t="n">
        <f aca="false">(F537+F540)*(1+r_ot)/F544</f>
        <v>0.330181518408001</v>
      </c>
      <c r="G545" s="14" t="n">
        <f aca="false">(G537+G540)*(1+r_ot)/G544</f>
        <v>0.309196880077562</v>
      </c>
    </row>
    <row r="546" customFormat="false" ht="15" hidden="false" customHeight="false" outlineLevel="0" collapsed="false">
      <c r="A546" s="0" t="s">
        <v>599</v>
      </c>
      <c r="B546" s="0" t="s">
        <v>60</v>
      </c>
      <c r="C546" s="14" t="n">
        <f aca="false">C537*(1+r_ot)/C544</f>
        <v>0.206829299394429</v>
      </c>
      <c r="D546" s="14" t="n">
        <f aca="false">D537*(1+r_ot)/D544</f>
        <v>0.241469700751379</v>
      </c>
      <c r="E546" s="14" t="n">
        <f aca="false">E537*(1+r_ot)/E544</f>
        <v>0.193100040402725</v>
      </c>
      <c r="F546" s="14" t="n">
        <f aca="false">F537*(1+r_ot)/F544</f>
        <v>0.165965110775496</v>
      </c>
      <c r="G546" s="14" t="n">
        <f aca="false">G537*(1+r_ot)/G544</f>
        <v>0.124297593489091</v>
      </c>
      <c r="J546" s="5" t="s">
        <v>600</v>
      </c>
    </row>
    <row r="547" customFormat="false" ht="15" hidden="false" customHeight="false" outlineLevel="0" collapsed="false">
      <c r="A547" s="5" t="s">
        <v>466</v>
      </c>
      <c r="B547" s="0" t="s">
        <v>60</v>
      </c>
      <c r="C547" s="14" t="n">
        <f aca="false">a25_gp/a25_rev</f>
        <v>0.701498549974936</v>
      </c>
      <c r="D547" s="14" t="n">
        <f aca="false">D529/D544</f>
        <v>0.70639056761927</v>
      </c>
      <c r="E547" s="14" t="n">
        <f aca="false">gm_a+gm_b*LN(E544)+0</f>
        <v>0.730265414838664</v>
      </c>
      <c r="F547" s="14" t="n">
        <f aca="false">gm_a+gm_b*LN(F544)+0</f>
        <v>0.736394181031593</v>
      </c>
      <c r="G547" s="14" t="n">
        <f aca="false">gm_a+gm_b*LN(G544)+0</f>
        <v>0.739249107111883</v>
      </c>
      <c r="J547" s="8" t="s">
        <v>601</v>
      </c>
    </row>
    <row r="548" customFormat="false" ht="15" hidden="false" customHeight="false" outlineLevel="0" collapsed="false">
      <c r="A548" s="5" t="s">
        <v>463</v>
      </c>
      <c r="B548" s="0" t="s">
        <v>33</v>
      </c>
      <c r="C548" s="11" t="n">
        <f aca="false">C544*C547</f>
        <v>306.477</v>
      </c>
      <c r="D548" s="11" t="n">
        <f aca="false">D544*D547</f>
        <v>378.0504836</v>
      </c>
      <c r="E548" s="11" t="n">
        <f aca="false">E544*E547</f>
        <v>407.347568911963</v>
      </c>
      <c r="F548" s="11" t="n">
        <f aca="false">F544*F547</f>
        <v>433.489512929266</v>
      </c>
      <c r="G548" s="11" t="n">
        <f aca="false">G544*G547</f>
        <v>446.222858672836</v>
      </c>
    </row>
    <row r="549" customFormat="false" ht="15" hidden="false" customHeight="false" outlineLevel="0" collapsed="false">
      <c r="A549" s="5" t="s">
        <v>464</v>
      </c>
      <c r="B549" s="0" t="s">
        <v>33</v>
      </c>
      <c r="C549" s="11" t="n">
        <f aca="false">a25_sga</f>
        <v>121.487</v>
      </c>
      <c r="D549" s="11" t="n">
        <f aca="false">D548-D530</f>
        <v>139.4833836</v>
      </c>
      <c r="E549" s="11" t="n">
        <f aca="false">sg_f+sg_v*E544</f>
        <v>148.895581750038</v>
      </c>
      <c r="F549" s="11" t="n">
        <f aca="false">sg_f+sg_v*F544</f>
        <v>156.682993551343</v>
      </c>
      <c r="G549" s="11" t="n">
        <f aca="false">sg_f+sg_v*G544</f>
        <v>160.456214039642</v>
      </c>
      <c r="J549" s="8" t="s">
        <v>602</v>
      </c>
    </row>
    <row r="550" customFormat="false" ht="15" hidden="false" customHeight="false" outlineLevel="0" collapsed="false">
      <c r="A550" s="5" t="s">
        <v>432</v>
      </c>
      <c r="B550" s="0" t="s">
        <v>33</v>
      </c>
      <c r="C550" s="11" t="n">
        <f aca="false">C548-C549</f>
        <v>184.99</v>
      </c>
      <c r="D550" s="11" t="n">
        <f aca="false">D548-D549</f>
        <v>238.5671</v>
      </c>
      <c r="E550" s="11" t="n">
        <f aca="false">E548-E549</f>
        <v>258.451987161925</v>
      </c>
      <c r="F550" s="11" t="n">
        <f aca="false">F548-F549</f>
        <v>276.806519377923</v>
      </c>
      <c r="G550" s="11" t="n">
        <f aca="false">G548-G549</f>
        <v>285.766644633194</v>
      </c>
    </row>
    <row r="551" customFormat="false" ht="15" hidden="false" customHeight="false" outlineLevel="0" collapsed="false">
      <c r="A551" s="5" t="s">
        <v>603</v>
      </c>
      <c r="B551" s="0" t="s">
        <v>60</v>
      </c>
      <c r="C551" s="14" t="n">
        <f aca="false">C550/C544</f>
        <v>0.423425629851061</v>
      </c>
      <c r="D551" s="14" t="n">
        <f aca="false">D550/D544</f>
        <v>0.445764670314743</v>
      </c>
      <c r="E551" s="14" t="n">
        <f aca="false">E550/E544</f>
        <v>0.463335397151887</v>
      </c>
      <c r="F551" s="14" t="n">
        <f aca="false">F550/F544</f>
        <v>0.470227546599893</v>
      </c>
      <c r="G551" s="14" t="n">
        <f aca="false">G550/G544</f>
        <v>0.473424282914953</v>
      </c>
    </row>
    <row r="552" customFormat="false" ht="15" hidden="false" customHeight="false" outlineLevel="0" collapsed="false">
      <c r="A552" s="5" t="s">
        <v>435</v>
      </c>
      <c r="B552" s="0" t="s">
        <v>33</v>
      </c>
      <c r="C552" s="11" t="n">
        <f aca="false">a25_ni</f>
        <v>135.521</v>
      </c>
      <c r="D552" s="11" t="n">
        <f aca="false">D531</f>
        <v>167.95938138934</v>
      </c>
      <c r="E552" s="11" t="n">
        <f aca="false">E550*nioi</f>
        <v>186.389215222296</v>
      </c>
      <c r="F552" s="11" t="n">
        <f aca="false">F550*nioi</f>
        <v>199.626052334982</v>
      </c>
      <c r="G552" s="11" t="n">
        <f aca="false">G550*nioi</f>
        <v>206.087874250002</v>
      </c>
    </row>
    <row r="553" customFormat="false" ht="15" hidden="false" customHeight="false" outlineLevel="0" collapsed="false">
      <c r="A553" s="0" t="s">
        <v>524</v>
      </c>
      <c r="B553" s="0" t="s">
        <v>55</v>
      </c>
      <c r="C553" s="11" t="n">
        <f aca="false">a25_eps</f>
        <v>1249.84</v>
      </c>
      <c r="D553" s="11" t="n">
        <f aca="false">D552*1000/shares</f>
        <v>1548.28555816522</v>
      </c>
      <c r="E553" s="11" t="n">
        <f aca="false">E552*1000/shares</f>
        <v>1718.1757145049</v>
      </c>
      <c r="F553" s="11" t="n">
        <f aca="false">F552*1000/shares</f>
        <v>1840.19571462534</v>
      </c>
      <c r="G553" s="11" t="n">
        <f aca="false">G552*1000/shares</f>
        <v>1899.76217329947</v>
      </c>
    </row>
    <row r="554" customFormat="false" ht="15" hidden="false" customHeight="false" outlineLevel="0" collapsed="false">
      <c r="A554" s="5" t="s">
        <v>604</v>
      </c>
      <c r="B554" s="0" t="s">
        <v>33</v>
      </c>
      <c r="C554" s="16" t="n">
        <f aca="false">ABS(C544-a25_rev)+ABS(C550-a25_oi)+ABS(D544-D528)+ABS(D550-D530)</f>
        <v>0.000999999999976353</v>
      </c>
    </row>
    <row r="555" customFormat="false" ht="15" hidden="false" customHeight="false" outlineLevel="0" collapsed="false">
      <c r="A555" s="1" t="s">
        <v>605</v>
      </c>
    </row>
    <row r="556" customFormat="false" ht="15" hidden="false" customHeight="false" outlineLevel="0" collapsed="false">
      <c r="A556" s="5" t="s">
        <v>606</v>
      </c>
      <c r="B556" s="0" t="s">
        <v>60</v>
      </c>
      <c r="C556" s="14" t="n">
        <f aca="false">a25_gp/a25_rev</f>
        <v>0.701498549974936</v>
      </c>
      <c r="D556" s="14" t="n">
        <f aca="false">gm_a+gm_b*LN(D525)+0</f>
        <v>0.719414722603233</v>
      </c>
      <c r="E556" s="14" t="n">
        <f aca="false">gm_a+gm_b*LN(E525)+0</f>
        <v>0.72619921916354</v>
      </c>
      <c r="F556" s="14" t="n">
        <f aca="false">gm_a+gm_b*LN(F525)+0</f>
        <v>0.732319408799324</v>
      </c>
      <c r="G556" s="14" t="n">
        <f aca="false">gm_a+gm_b*LN(G525)+0</f>
        <v>0.7350442902419</v>
      </c>
    </row>
    <row r="557" customFormat="false" ht="15" hidden="false" customHeight="false" outlineLevel="0" collapsed="false">
      <c r="A557" s="5" t="s">
        <v>607</v>
      </c>
      <c r="B557" s="0" t="s">
        <v>33</v>
      </c>
      <c r="C557" s="11" t="n">
        <f aca="false">a25_oi</f>
        <v>184.989</v>
      </c>
      <c r="D557" s="11" t="n">
        <f aca="false">D525*D556-sg_f-sg_v*D525</f>
        <v>228.711510196505</v>
      </c>
      <c r="E557" s="11" t="n">
        <f aca="false">E525*E556-sg_f-sg_v*E525</f>
        <v>246.908662711921</v>
      </c>
      <c r="F557" s="11" t="n">
        <f aca="false">F525*F556-sg_f-sg_v*F525</f>
        <v>264.472609257557</v>
      </c>
      <c r="G557" s="11" t="n">
        <f aca="false">G525*G556-sg_f-sg_v*G525</f>
        <v>272.662156341398</v>
      </c>
    </row>
    <row r="558" customFormat="false" ht="15" hidden="false" customHeight="false" outlineLevel="0" collapsed="false">
      <c r="A558" s="0" t="s">
        <v>608</v>
      </c>
      <c r="B558" s="0" t="s">
        <v>55</v>
      </c>
      <c r="C558" s="11" t="n">
        <f aca="false">a25_eps</f>
        <v>1249.84</v>
      </c>
      <c r="D558" s="11" t="n">
        <f aca="false">D557*nioi_v01*1000/shares</f>
        <v>1544.52702238186</v>
      </c>
      <c r="E558" s="11" t="n">
        <f aca="false">E557*nioi_v01*1000/shares</f>
        <v>1667.41543217949</v>
      </c>
      <c r="F558" s="11" t="n">
        <f aca="false">F557*nioi_v01*1000/shares</f>
        <v>1786.02769632001</v>
      </c>
      <c r="G558" s="11" t="n">
        <f aca="false">G557*nioi_v01*1000/shares</f>
        <v>1841.33307540301</v>
      </c>
    </row>
    <row r="570" customFormat="false" ht="15" hidden="false" customHeight="false" outlineLevel="0" collapsed="false">
      <c r="A570" s="4" t="s">
        <v>828</v>
      </c>
    </row>
    <row r="571" customFormat="false" ht="15" hidden="false" customHeight="false" outlineLevel="0" collapsed="false">
      <c r="A571" s="6" t="s">
        <v>22</v>
      </c>
      <c r="B571" s="6" t="s">
        <v>23</v>
      </c>
      <c r="C571" s="9" t="s">
        <v>532</v>
      </c>
      <c r="D571" s="9" t="s">
        <v>533</v>
      </c>
      <c r="E571" s="9" t="s">
        <v>534</v>
      </c>
      <c r="F571" s="9" t="s">
        <v>535</v>
      </c>
      <c r="G571" s="9" t="s">
        <v>536</v>
      </c>
      <c r="H571" s="9" t="s">
        <v>537</v>
      </c>
      <c r="I571" s="9" t="s">
        <v>538</v>
      </c>
      <c r="J571" s="6" t="s">
        <v>515</v>
      </c>
    </row>
    <row r="572" customFormat="false" ht="15" hidden="false" customHeight="false" outlineLevel="0" collapsed="false">
      <c r="A572" s="1" t="s">
        <v>539</v>
      </c>
    </row>
    <row r="573" customFormat="false" ht="15" hidden="false" customHeight="false" outlineLevel="0" collapsed="false">
      <c r="A573" s="0" t="s">
        <v>540</v>
      </c>
      <c r="B573" s="0" t="s">
        <v>100</v>
      </c>
      <c r="C573" s="19" t="n">
        <f aca="false">hsA_25</f>
        <v>2.22511470588235</v>
      </c>
      <c r="D573" s="19" t="n">
        <f aca="false">hsA_26</f>
        <v>3.782695</v>
      </c>
      <c r="E573" s="19" t="n">
        <f aca="false">hsA_27</f>
        <v>5.86317725</v>
      </c>
      <c r="F573" s="19" t="n">
        <f aca="false">hsA_28</f>
        <v>8.5016070125</v>
      </c>
      <c r="G573" s="19" t="n">
        <f aca="false">hsA_29</f>
        <v>11.477169466875</v>
      </c>
      <c r="H573" s="19" t="n">
        <f aca="false">G573*(1+g_tail)</f>
        <v>12.6248864135625</v>
      </c>
      <c r="I573" s="19" t="n">
        <f aca="false">H573*(1+g_tail)</f>
        <v>13.8873750549188</v>
      </c>
      <c r="J573" s="8" t="s">
        <v>541</v>
      </c>
    </row>
    <row r="574" customFormat="false" ht="15" hidden="false" customHeight="false" outlineLevel="0" collapsed="false">
      <c r="A574" s="0" t="s">
        <v>542</v>
      </c>
      <c r="B574" s="0" t="s">
        <v>543</v>
      </c>
      <c r="C574" s="19" t="n">
        <f aca="false">den_25</f>
        <v>24</v>
      </c>
      <c r="D574" s="19" t="n">
        <f aca="false">den_26</f>
        <v>24</v>
      </c>
      <c r="E574" s="19" t="n">
        <f aca="false">den_27</f>
        <v>26</v>
      </c>
      <c r="F574" s="19" t="n">
        <f aca="false">den_28</f>
        <v>28</v>
      </c>
      <c r="G574" s="19" t="n">
        <f aca="false">den_29</f>
        <v>30</v>
      </c>
      <c r="H574" s="19" t="n">
        <f aca="false">den_30</f>
        <v>32</v>
      </c>
      <c r="I574" s="19" t="n">
        <f aca="false">den_30</f>
        <v>32</v>
      </c>
    </row>
    <row r="575" customFormat="false" ht="15" hidden="false" customHeight="false" outlineLevel="0" collapsed="false">
      <c r="A575" s="5" t="s">
        <v>544</v>
      </c>
      <c r="B575" s="5" t="s">
        <v>152</v>
      </c>
      <c r="C575" s="19" t="n">
        <f aca="false">stk_25</f>
        <v>10</v>
      </c>
      <c r="D575" s="19" t="n">
        <f aca="false">stk_26</f>
        <v>12</v>
      </c>
      <c r="E575" s="19" t="n">
        <f aca="false">stk_27</f>
        <v>12.5</v>
      </c>
      <c r="F575" s="19" t="n">
        <f aca="false">stk_28</f>
        <v>14</v>
      </c>
      <c r="G575" s="19" t="n">
        <f aca="false">stk_29</f>
        <v>15</v>
      </c>
      <c r="H575" s="19" t="n">
        <f aca="false">stk_30</f>
        <v>16</v>
      </c>
      <c r="I575" s="19" t="n">
        <f aca="false">stk_30</f>
        <v>16</v>
      </c>
    </row>
    <row r="576" customFormat="false" ht="15" hidden="false" customHeight="false" outlineLevel="0" collapsed="false">
      <c r="A576" s="0" t="s">
        <v>545</v>
      </c>
      <c r="B576" s="5" t="s">
        <v>546</v>
      </c>
      <c r="C576" s="19" t="n">
        <f aca="false">C573*8/C574</f>
        <v>0.741704901960783</v>
      </c>
      <c r="D576" s="19" t="n">
        <f aca="false">D573*8/D574</f>
        <v>1.26089833333333</v>
      </c>
      <c r="E576" s="19" t="n">
        <f aca="false">E573*8/E574</f>
        <v>1.80405453846154</v>
      </c>
      <c r="F576" s="19" t="n">
        <f aca="false">F573*8/F574</f>
        <v>2.429030575</v>
      </c>
      <c r="G576" s="19" t="n">
        <f aca="false">G573*8/G574</f>
        <v>3.0605785245</v>
      </c>
      <c r="H576" s="19" t="n">
        <f aca="false">H573*8/H574</f>
        <v>3.15622160339063</v>
      </c>
      <c r="I576" s="19" t="n">
        <f aca="false">I573*8/I574</f>
        <v>3.47184376372969</v>
      </c>
      <c r="J576" s="8" t="s">
        <v>547</v>
      </c>
    </row>
    <row r="577" customFormat="false" ht="15" hidden="false" customHeight="false" outlineLevel="0" collapsed="false">
      <c r="A577" s="0" t="s">
        <v>548</v>
      </c>
      <c r="B577" s="5" t="s">
        <v>549</v>
      </c>
      <c r="C577" s="19" t="n">
        <f aca="false">C576*(1+s_stk/C575)</f>
        <v>0.964216372549018</v>
      </c>
      <c r="D577" s="19" t="n">
        <f aca="false">D576*(1+s_stk/D575)</f>
        <v>1.57612291666667</v>
      </c>
      <c r="E577" s="19" t="n">
        <f aca="false">E576*(1+s_stk/E575)</f>
        <v>2.23702762769231</v>
      </c>
      <c r="F577" s="19" t="n">
        <f aca="false">F576*(1+s_stk/F575)</f>
        <v>2.94953712678571</v>
      </c>
      <c r="G577" s="19" t="n">
        <f aca="false">G576*(1+s_stk/G575)</f>
        <v>3.6726942294</v>
      </c>
      <c r="H577" s="19" t="n">
        <f aca="false">H576*(1+s_stk/H575)</f>
        <v>3.74801315402637</v>
      </c>
      <c r="I577" s="19" t="n">
        <f aca="false">I576*(1+s_stk/I575)</f>
        <v>4.12281446942901</v>
      </c>
      <c r="J577" s="5" t="s">
        <v>550</v>
      </c>
    </row>
    <row r="578" customFormat="false" ht="15" hidden="false" customHeight="false" outlineLevel="0" collapsed="false">
      <c r="A578" s="5" t="s">
        <v>551</v>
      </c>
      <c r="B578" s="0" t="s">
        <v>60</v>
      </c>
      <c r="C578" s="22" t="n">
        <f aca="false">hbp_25*hb_on</f>
        <v>0</v>
      </c>
      <c r="D578" s="22" t="n">
        <f aca="false">hbp_26*hb_on</f>
        <v>0</v>
      </c>
      <c r="E578" s="22" t="n">
        <f aca="false">hbp_27*hb_on</f>
        <v>0</v>
      </c>
      <c r="F578" s="22" t="n">
        <f aca="false">hbp_28*hb_on</f>
        <v>0.05</v>
      </c>
      <c r="G578" s="22" t="n">
        <f aca="false">hbp_29*hb_on</f>
        <v>0.15</v>
      </c>
      <c r="H578" s="22" t="n">
        <f aca="false">hbp_30*hb_on</f>
        <v>0.25</v>
      </c>
      <c r="I578" s="22" t="n">
        <f aca="false">hbp_30*hb_on</f>
        <v>0.25</v>
      </c>
    </row>
    <row r="579" customFormat="false" ht="15" hidden="false" customHeight="false" outlineLevel="0" collapsed="false">
      <c r="A579" s="0" t="s">
        <v>552</v>
      </c>
      <c r="B579" s="5" t="s">
        <v>549</v>
      </c>
      <c r="C579" s="19" t="n">
        <f aca="false">C577*(1+C578*hb_eff_lo)</f>
        <v>0.964216372549018</v>
      </c>
      <c r="D579" s="19" t="n">
        <f aca="false">D577*(1+D578*hb_eff_lo)</f>
        <v>1.57612291666667</v>
      </c>
      <c r="E579" s="19" t="n">
        <f aca="false">E577*(1+E578*hb_eff_lo)</f>
        <v>2.23702762769231</v>
      </c>
      <c r="F579" s="19" t="n">
        <f aca="false">F577*(1+F578*hb_eff_lo)</f>
        <v>2.92004175551786</v>
      </c>
      <c r="G579" s="19" t="n">
        <f aca="false">G577*(1+G578*hb_eff_lo)</f>
        <v>3.562513402518</v>
      </c>
      <c r="H579" s="19" t="n">
        <f aca="false">H577*(1+H578*hb_eff_lo)</f>
        <v>3.56061249632505</v>
      </c>
      <c r="I579" s="19" t="n">
        <f aca="false">I577*(1+I578*hb_eff_lo)</f>
        <v>3.91667374595755</v>
      </c>
      <c r="J579" s="5" t="s">
        <v>553</v>
      </c>
    </row>
    <row r="580" customFormat="false" ht="15" hidden="false" customHeight="false" outlineLevel="0" collapsed="false">
      <c r="A580" s="0" t="s">
        <v>554</v>
      </c>
      <c r="B580" s="5" t="s">
        <v>549</v>
      </c>
      <c r="C580" s="19" t="n">
        <f aca="false">MAX(0,D579-C579)+dlt*C579</f>
        <v>0.70832818137255</v>
      </c>
      <c r="D580" s="19" t="n">
        <f aca="false">MAX(0,E579-D579)+dlt*D579</f>
        <v>0.818517002692307</v>
      </c>
      <c r="E580" s="19" t="n">
        <f aca="false">MAX(0,F579-E579)+dlt*E579</f>
        <v>0.90671689059478</v>
      </c>
      <c r="F580" s="19" t="n">
        <f aca="false">MAX(0,G579-F579)+dlt*F579</f>
        <v>0.934475822551929</v>
      </c>
      <c r="G580" s="19" t="n">
        <f aca="false">MAX(0,H579-G579)+dlt*G579</f>
        <v>0.3562513402518</v>
      </c>
      <c r="H580" s="19" t="n">
        <f aca="false">MAX(0,I579-H579)+dlt*H579</f>
        <v>0.712122499265011</v>
      </c>
      <c r="J580" s="5" t="s">
        <v>555</v>
      </c>
    </row>
    <row r="581" customFormat="false" ht="15" hidden="false" customHeight="false" outlineLevel="0" collapsed="false">
      <c r="A581" s="0" t="s">
        <v>556</v>
      </c>
      <c r="B581" s="5" t="s">
        <v>181</v>
      </c>
      <c r="C581" s="21" t="n">
        <f aca="false">cw_25</f>
        <v>670</v>
      </c>
      <c r="D581" s="21" t="n">
        <f aca="false">cw_26</f>
        <v>1107.85762580894</v>
      </c>
      <c r="E581" s="21" t="n">
        <f aca="false">cw_27</f>
        <v>2096.42857142857</v>
      </c>
      <c r="F581" s="21" t="n">
        <f aca="false">cw_28*um28_A</f>
        <v>2620.08928571429</v>
      </c>
      <c r="G581" s="21" t="n">
        <f aca="false">cw_29*um29_A</f>
        <v>3013.32589285714</v>
      </c>
      <c r="H581" s="21" t="n">
        <f aca="false">G581*(1+g_tail)</f>
        <v>3314.65848214285</v>
      </c>
      <c r="I581" s="21" t="n">
        <f aca="false">H581*(1+g_tail)</f>
        <v>3646.12433035714</v>
      </c>
      <c r="J581" s="5" t="s">
        <v>557</v>
      </c>
    </row>
    <row r="582" customFormat="false" ht="15" hidden="false" customHeight="false" outlineLevel="0" collapsed="false">
      <c r="A582" s="5" t="s">
        <v>558</v>
      </c>
      <c r="B582" s="5" t="s">
        <v>181</v>
      </c>
      <c r="C582" s="21" t="n">
        <f aca="false">MAX(0,D581-C581)+dlt*C581</f>
        <v>504.85762580894</v>
      </c>
      <c r="D582" s="21" t="n">
        <f aca="false">MAX(0,E581-D581)+dlt*D581</f>
        <v>1099.35670820052</v>
      </c>
      <c r="E582" s="21" t="n">
        <f aca="false">MAX(0,F581-E581)+dlt*E581</f>
        <v>733.303571428577</v>
      </c>
      <c r="F582" s="21" t="n">
        <f aca="false">MAX(0,G581-F581)+dlt*F581</f>
        <v>655.245535714279</v>
      </c>
      <c r="G582" s="21" t="n">
        <f aca="false">MAX(0,H581-G581)+dlt*G581</f>
        <v>602.665178571428</v>
      </c>
      <c r="H582" s="21" t="n">
        <f aca="false">MAX(0,I581-H581)+dlt*H581</f>
        <v>662.931696428571</v>
      </c>
    </row>
    <row r="583" customFormat="false" ht="15" hidden="false" customHeight="false" outlineLevel="0" collapsed="false">
      <c r="A583" s="1" t="s">
        <v>559</v>
      </c>
    </row>
    <row r="584" customFormat="false" ht="15" hidden="false" customHeight="false" outlineLevel="0" collapsed="false">
      <c r="A584" s="0" t="s">
        <v>560</v>
      </c>
      <c r="B584" s="0" t="s">
        <v>561</v>
      </c>
      <c r="C584" s="16" t="n">
        <f aca="false">ai_25*w_hbm/(0.75*C580+0.25*D580)</f>
        <v>48.9213264236471</v>
      </c>
      <c r="J584" s="5" t="s">
        <v>562</v>
      </c>
    </row>
    <row r="585" customFormat="false" ht="15" hidden="false" customHeight="false" outlineLevel="0" collapsed="false">
      <c r="A585" s="5" t="s">
        <v>563</v>
      </c>
      <c r="B585" s="0" t="s">
        <v>564</v>
      </c>
      <c r="C585" s="18" t="n">
        <f aca="false">ai_25*(1-w_hbm)/(0.75*C582+0.25*D582)</f>
        <v>0.0596802610360141</v>
      </c>
    </row>
    <row r="586" customFormat="false" ht="15" hidden="false" customHeight="false" outlineLevel="0" collapsed="false">
      <c r="A586" s="1" t="s">
        <v>565</v>
      </c>
    </row>
    <row r="587" customFormat="false" ht="15" hidden="false" customHeight="false" outlineLevel="0" collapsed="false">
      <c r="A587" s="5" t="s">
        <v>566</v>
      </c>
      <c r="B587" s="0" t="s">
        <v>80</v>
      </c>
      <c r="C587" s="16" t="n">
        <f aca="false">1-sh_loss/sh*0</f>
        <v>1</v>
      </c>
      <c r="D587" s="16" t="n">
        <f aca="false">1-sh_loss/sh*0.25</f>
        <v>1</v>
      </c>
      <c r="E587" s="16" t="n">
        <f aca="false">1-sh_loss/sh*0.5</f>
        <v>1</v>
      </c>
      <c r="F587" s="16" t="n">
        <f aca="false">1-sh_loss/sh*0.75</f>
        <v>1</v>
      </c>
      <c r="G587" s="16" t="n">
        <f aca="false">1-sh_loss/sh*1</f>
        <v>1</v>
      </c>
    </row>
    <row r="588" customFormat="false" ht="15" hidden="false" customHeight="false" outlineLevel="0" collapsed="false">
      <c r="A588" s="0" t="s">
        <v>567</v>
      </c>
      <c r="B588" s="0" t="s">
        <v>33</v>
      </c>
      <c r="C588" s="11" t="n">
        <f aca="false">$C$584*(0.75*C580+0.25*D580)*C587</f>
        <v>36</v>
      </c>
      <c r="D588" s="11" t="n">
        <f aca="false">$C$584*(0.75*D580+0.25*E580)*D587</f>
        <v>41.1216513486671</v>
      </c>
      <c r="E588" s="11" t="n">
        <f aca="false">$C$584*(0.75*E580+0.25*F580)*E587</f>
        <v>44.6972939214834</v>
      </c>
      <c r="F588" s="11" t="n">
        <f aca="false">$C$584*(0.75*F580+0.25*G580)*F587</f>
        <v>38.6439195888818</v>
      </c>
      <c r="G588" s="11" t="n">
        <f aca="false">$C$584*(0.75*G580+0.25*H580)*G587</f>
        <v>21.7807103890318</v>
      </c>
    </row>
    <row r="589" customFormat="false" ht="15" hidden="false" customHeight="false" outlineLevel="0" collapsed="false">
      <c r="A589" s="5" t="s">
        <v>568</v>
      </c>
      <c r="B589" s="0" t="s">
        <v>33</v>
      </c>
      <c r="C589" s="11" t="n">
        <f aca="false">$C$585*(0.75*C582+0.25*D582)*C587</f>
        <v>39</v>
      </c>
      <c r="D589" s="11" t="n">
        <f aca="false">$C$585*(0.75*D582+0.25*E582)*D587</f>
        <v>60.1483586282001</v>
      </c>
      <c r="E589" s="11" t="n">
        <f aca="false">$C$585*(0.75*E582+0.25*F582)*E587</f>
        <v>42.5991175746519</v>
      </c>
      <c r="F589" s="11" t="n">
        <f aca="false">$C$585*(0.75*F582+0.25*G582)*F587</f>
        <v>38.320722254198</v>
      </c>
      <c r="G589" s="11" t="n">
        <f aca="false">$C$585*(0.75*G582+0.25*H582)*G587</f>
        <v>36.8663955538204</v>
      </c>
    </row>
    <row r="590" customFormat="false" ht="15" hidden="false" customHeight="false" outlineLevel="0" collapsed="false">
      <c r="A590" s="0" t="s">
        <v>569</v>
      </c>
      <c r="B590" s="0" t="s">
        <v>33</v>
      </c>
      <c r="C590" s="11" t="n">
        <f aca="false">C588+C589</f>
        <v>75</v>
      </c>
      <c r="D590" s="11" t="n">
        <f aca="false">D588+D589</f>
        <v>101.270009976867</v>
      </c>
      <c r="E590" s="11" t="n">
        <f aca="false">E588+E589</f>
        <v>87.2964114961353</v>
      </c>
      <c r="F590" s="11" t="n">
        <f aca="false">F588+F589</f>
        <v>76.9646418430798</v>
      </c>
      <c r="G590" s="11" t="n">
        <f aca="false">G588+G589</f>
        <v>58.6471059428521</v>
      </c>
    </row>
    <row r="591" customFormat="false" ht="15" hidden="false" customHeight="false" outlineLevel="0" collapsed="false">
      <c r="A591" s="5" t="s">
        <v>570</v>
      </c>
      <c r="B591" s="0" t="s">
        <v>33</v>
      </c>
      <c r="C591" s="11" t="n">
        <f aca="false">eq_25-ai_25</f>
        <v>195.87118</v>
      </c>
      <c r="D591" s="11" t="n">
        <f aca="false">C591*(1+g_non)*D587/C587</f>
        <v>207.6234508</v>
      </c>
      <c r="E591" s="11" t="n">
        <f aca="false">D591*(1+g_non)*E587/D587</f>
        <v>220.080857848</v>
      </c>
      <c r="F591" s="11" t="n">
        <f aca="false">E591*(1+g_non)*F587/E587</f>
        <v>233.28570931888</v>
      </c>
      <c r="G591" s="11" t="n">
        <f aca="false">F591*(1+g_non)*G587/F587</f>
        <v>247.282851878013</v>
      </c>
    </row>
    <row r="592" customFormat="false" ht="15" hidden="false" customHeight="false" outlineLevel="0" collapsed="false">
      <c r="A592" s="0" t="s">
        <v>571</v>
      </c>
      <c r="B592" s="0" t="s">
        <v>80</v>
      </c>
      <c r="C592" s="19" t="n">
        <f aca="false">w_hbm*(0.75*C579+0.25*D579)/(0.75*C579+0.25*D579)+(1-w_hbm)*(0.75*C581+0.25*D581)/(0.75*C581+0.25*D581)</f>
        <v>1</v>
      </c>
      <c r="D592" s="19" t="n">
        <f aca="false">w_hbm*(0.75*D579+0.25*E579)/(0.75*C579+0.25*D579)+(1-w_hbm)*(0.75*D581+0.25*E581)/(0.75*C581+0.25*D581)</f>
        <v>1.65212184085657</v>
      </c>
      <c r="E592" s="19" t="n">
        <f aca="false">w_hbm*(0.75*E579+0.25*F579)/(0.75*C579+0.25*D579)+(1-w_hbm)*(0.75*E581+0.25*F581)/(0.75*C581+0.25*D581)</f>
        <v>2.5204150663948</v>
      </c>
      <c r="F592" s="19" t="n">
        <f aca="false">w_hbm*(0.75*F579+0.25*G579)/(0.75*C579+0.25*D579)+(1-w_hbm)*(0.75*F581+0.25*G581)/(0.75*C581+0.25*D581)</f>
        <v>3.13711086432202</v>
      </c>
      <c r="G592" s="19" t="n">
        <f aca="false">w_hbm*(0.75*G579+0.25*H579)/(0.75*C579+0.25*D579)+(1-w_hbm)*(0.75*G581+0.25*H581)/(0.75*C581+0.25*D581)</f>
        <v>3.59094430238908</v>
      </c>
      <c r="J592" s="8" t="s">
        <v>572</v>
      </c>
    </row>
    <row r="593" customFormat="false" ht="15" hidden="false" customHeight="false" outlineLevel="0" collapsed="false">
      <c r="A593" s="0" t="s">
        <v>573</v>
      </c>
      <c r="B593" s="0" t="s">
        <v>33</v>
      </c>
      <c r="C593" s="11" t="n">
        <f aca="false">tl_25*w_tlai*C592</f>
        <v>25.4032258064516</v>
      </c>
      <c r="D593" s="11" t="n">
        <f aca="false">tl_25*w_tlai*D592</f>
        <v>41.9692241830499</v>
      </c>
      <c r="E593" s="11" t="n">
        <f aca="false">tl_25*w_tlai*E592</f>
        <v>64.0266730576097</v>
      </c>
      <c r="F593" s="11" t="n">
        <f aca="false">tl_25*w_tlai*F592</f>
        <v>79.6927356662449</v>
      </c>
      <c r="G593" s="11" t="n">
        <f aca="false">tl_25*w_tlai*G592</f>
        <v>91.2215689719806</v>
      </c>
      <c r="J593" s="5" t="s">
        <v>574</v>
      </c>
    </row>
    <row r="594" customFormat="false" ht="15" hidden="false" customHeight="false" outlineLevel="0" collapsed="false">
      <c r="A594" s="5" t="s">
        <v>575</v>
      </c>
      <c r="B594" s="0" t="s">
        <v>33</v>
      </c>
      <c r="C594" s="11" t="n">
        <f aca="false">tl_25*(1-w_tlai)</f>
        <v>66.3434641935484</v>
      </c>
      <c r="D594" s="11" t="n">
        <f aca="false">C594*(1+g_tl)</f>
        <v>69.6606374032258</v>
      </c>
      <c r="E594" s="11" t="n">
        <f aca="false">D594*(1+g_tl)</f>
        <v>73.1436692733871</v>
      </c>
      <c r="F594" s="11" t="n">
        <f aca="false">E594*(1+g_tl)</f>
        <v>76.8008527370565</v>
      </c>
      <c r="G594" s="11" t="n">
        <f aca="false">F594*(1+g_tl)</f>
        <v>80.6408953739093</v>
      </c>
    </row>
    <row r="595" customFormat="false" ht="15" hidden="false" customHeight="false" outlineLevel="0" collapsed="false">
      <c r="A595" s="5" t="s">
        <v>576</v>
      </c>
      <c r="B595" s="0" t="s">
        <v>33</v>
      </c>
      <c r="C595" s="11" t="n">
        <f aca="false">(C590+C591+C593+C594)*(1+r_ot)</f>
        <v>436.889</v>
      </c>
      <c r="D595" s="11" t="n">
        <f aca="false">(D590+D591+D593+D594)*(1+r_ot)</f>
        <v>506.654605256799</v>
      </c>
      <c r="E595" s="11" t="n">
        <f aca="false">(E590+E591+E593+E594)*(1+r_ot)</f>
        <v>535.599532138714</v>
      </c>
      <c r="F595" s="11" t="n">
        <f aca="false">(F590+F591+F593+F594)*(1+r_ot)</f>
        <v>562.342095861761</v>
      </c>
      <c r="G595" s="11" t="n">
        <f aca="false">(G590+G591+G593+G594)*(1+r_ot)</f>
        <v>575.653520682837</v>
      </c>
      <c r="J595" s="8" t="s">
        <v>577</v>
      </c>
    </row>
    <row r="596" customFormat="false" ht="15" hidden="false" customHeight="false" outlineLevel="0" collapsed="false">
      <c r="A596" s="1" t="s">
        <v>578</v>
      </c>
    </row>
    <row r="597" customFormat="false" ht="15" hidden="false" customHeight="false" outlineLevel="0" collapsed="false">
      <c r="A597" s="5" t="s">
        <v>579</v>
      </c>
      <c r="B597" s="0" t="s">
        <v>33</v>
      </c>
      <c r="D597" s="11" t="n">
        <f aca="false">g3_rev*(1+g_q4)</f>
        <v>145.6862</v>
      </c>
    </row>
    <row r="598" customFormat="false" ht="15" hidden="false" customHeight="false" outlineLevel="0" collapsed="false">
      <c r="A598" s="0" t="s">
        <v>580</v>
      </c>
      <c r="B598" s="0" t="s">
        <v>33</v>
      </c>
      <c r="D598" s="11" t="n">
        <f aca="false">q26h1_rev+g3_rev+D597</f>
        <v>535.1862</v>
      </c>
    </row>
    <row r="599" customFormat="false" ht="15" hidden="false" customHeight="false" outlineLevel="0" collapsed="false">
      <c r="A599" s="0" t="s">
        <v>581</v>
      </c>
      <c r="B599" s="0" t="s">
        <v>33</v>
      </c>
      <c r="D599" s="11" t="n">
        <f aca="false">q26h1_gp+(g3_rev+D597)*gm_q3</f>
        <v>378.0504836</v>
      </c>
    </row>
    <row r="600" customFormat="false" ht="15" hidden="false" customHeight="false" outlineLevel="0" collapsed="false">
      <c r="A600" s="0" t="s">
        <v>582</v>
      </c>
      <c r="B600" s="0" t="s">
        <v>33</v>
      </c>
      <c r="D600" s="11" t="n">
        <f aca="false">q26h1_oi+g3_oi+D597*m_q4</f>
        <v>238.5671</v>
      </c>
    </row>
    <row r="601" customFormat="false" ht="15" hidden="false" customHeight="false" outlineLevel="0" collapsed="false">
      <c r="A601" s="0" t="s">
        <v>583</v>
      </c>
      <c r="B601" s="0" t="s">
        <v>33</v>
      </c>
      <c r="D601" s="11" t="n">
        <f aca="false">q26h1_ni+g3_ni+D597*m_q4*nioi</f>
        <v>167.95938138934</v>
      </c>
    </row>
    <row r="602" customFormat="false" ht="15" hidden="false" customHeight="false" outlineLevel="0" collapsed="false">
      <c r="A602" s="5" t="s">
        <v>584</v>
      </c>
      <c r="B602" s="0" t="s">
        <v>80</v>
      </c>
      <c r="D602" s="16" t="n">
        <f aca="false">D598/D595</f>
        <v>1.05631369861671</v>
      </c>
      <c r="J602" s="8" t="s">
        <v>585</v>
      </c>
    </row>
    <row r="603" customFormat="false" ht="15" hidden="false" customHeight="false" outlineLevel="0" collapsed="false">
      <c r="A603" s="5" t="s">
        <v>586</v>
      </c>
      <c r="B603" s="0" t="s">
        <v>80</v>
      </c>
      <c r="D603" s="16" t="n">
        <f aca="false">1+anc_carry*(D602-1)</f>
        <v>1.05631369861671</v>
      </c>
      <c r="J603" s="8" t="s">
        <v>587</v>
      </c>
    </row>
    <row r="604" customFormat="false" ht="15" hidden="false" customHeight="false" outlineLevel="0" collapsed="false">
      <c r="A604" s="1" t="s">
        <v>588</v>
      </c>
    </row>
    <row r="605" customFormat="false" ht="15" hidden="false" customHeight="false" outlineLevel="0" collapsed="false">
      <c r="A605" s="0" t="s">
        <v>589</v>
      </c>
      <c r="B605" s="0" t="s">
        <v>33</v>
      </c>
      <c r="C605" s="11" t="n">
        <f aca="false">C588*1</f>
        <v>36</v>
      </c>
      <c r="D605" s="11" t="n">
        <f aca="false">D588*$D$602</f>
        <v>43.4373636293375</v>
      </c>
      <c r="E605" s="11" t="n">
        <f aca="false">E588*1</f>
        <v>44.6972939214834</v>
      </c>
      <c r="F605" s="11" t="n">
        <f aca="false">F588*1</f>
        <v>38.6439195888818</v>
      </c>
      <c r="G605" s="11" t="n">
        <f aca="false">G588*1</f>
        <v>21.7807103890318</v>
      </c>
    </row>
    <row r="606" customFormat="false" ht="15" hidden="false" customHeight="false" outlineLevel="0" collapsed="false">
      <c r="A606" s="5" t="s">
        <v>590</v>
      </c>
      <c r="B606" s="0" t="s">
        <v>33</v>
      </c>
      <c r="C606" s="11" t="n">
        <f aca="false">C589*1</f>
        <v>39</v>
      </c>
      <c r="D606" s="11" t="n">
        <f aca="false">D589*$D$602</f>
        <v>63.5355351682785</v>
      </c>
      <c r="E606" s="11" t="n">
        <f aca="false">E589*1</f>
        <v>42.5991175746519</v>
      </c>
      <c r="F606" s="11" t="n">
        <f aca="false">F589*1</f>
        <v>38.320722254198</v>
      </c>
      <c r="G606" s="11" t="n">
        <f aca="false">G589*1</f>
        <v>36.8663955538204</v>
      </c>
    </row>
    <row r="607" customFormat="false" ht="15" hidden="false" customHeight="false" outlineLevel="0" collapsed="false">
      <c r="A607" s="0" t="s">
        <v>591</v>
      </c>
      <c r="B607" s="0" t="s">
        <v>33</v>
      </c>
      <c r="C607" s="11" t="n">
        <f aca="false">C605+C606</f>
        <v>75</v>
      </c>
      <c r="D607" s="11" t="n">
        <f aca="false">D605+D606</f>
        <v>106.972898797616</v>
      </c>
      <c r="E607" s="11" t="n">
        <f aca="false">E605+E606</f>
        <v>87.2964114961353</v>
      </c>
      <c r="F607" s="11" t="n">
        <f aca="false">F605+F606</f>
        <v>76.9646418430798</v>
      </c>
      <c r="G607" s="11" t="n">
        <f aca="false">G605+G606</f>
        <v>58.6471059428521</v>
      </c>
    </row>
    <row r="608" customFormat="false" ht="15" hidden="false" customHeight="false" outlineLevel="0" collapsed="false">
      <c r="A608" s="5" t="s">
        <v>592</v>
      </c>
      <c r="B608" s="0" t="s">
        <v>33</v>
      </c>
      <c r="C608" s="11" t="n">
        <f aca="false">C591*1</f>
        <v>195.87118</v>
      </c>
      <c r="D608" s="11" t="n">
        <f aca="false">D591*$D$602</f>
        <v>219.315495234113</v>
      </c>
      <c r="E608" s="11" t="n">
        <f aca="false">E591*$D$603</f>
        <v>232.47442494816</v>
      </c>
      <c r="F608" s="11" t="n">
        <f aca="false">F591*$D$603</f>
        <v>246.42289044505</v>
      </c>
      <c r="G608" s="11" t="n">
        <f aca="false">G591*$D$603</f>
        <v>261.208263871753</v>
      </c>
    </row>
    <row r="609" customFormat="false" ht="15" hidden="false" customHeight="false" outlineLevel="0" collapsed="false">
      <c r="A609" s="5" t="s">
        <v>593</v>
      </c>
      <c r="B609" s="0" t="s">
        <v>33</v>
      </c>
      <c r="C609" s="11" t="n">
        <f aca="false">C607+C608</f>
        <v>270.87118</v>
      </c>
      <c r="D609" s="11" t="n">
        <f aca="false">D607+D608</f>
        <v>326.288394031729</v>
      </c>
      <c r="E609" s="11" t="n">
        <f aca="false">E607+E608</f>
        <v>319.770836444295</v>
      </c>
      <c r="F609" s="11" t="n">
        <f aca="false">F607+F608</f>
        <v>323.38753228813</v>
      </c>
      <c r="G609" s="11" t="n">
        <f aca="false">G607+G608</f>
        <v>319.855369814605</v>
      </c>
    </row>
    <row r="610" customFormat="false" ht="15" hidden="false" customHeight="false" outlineLevel="0" collapsed="false">
      <c r="A610" s="0" t="s">
        <v>594</v>
      </c>
      <c r="B610" s="0" t="s">
        <v>33</v>
      </c>
      <c r="C610" s="11" t="n">
        <f aca="false">C593*1</f>
        <v>25.4032258064516</v>
      </c>
      <c r="D610" s="11" t="n">
        <f aca="false">D593*$D$602</f>
        <v>44.3326664248715</v>
      </c>
      <c r="E610" s="11" t="n">
        <f aca="false">E593*1</f>
        <v>64.0266730576097</v>
      </c>
      <c r="F610" s="11" t="n">
        <f aca="false">F593*1</f>
        <v>79.6927356662449</v>
      </c>
      <c r="G610" s="11" t="n">
        <f aca="false">G593*1</f>
        <v>91.2215689719806</v>
      </c>
    </row>
    <row r="611" customFormat="false" ht="15" hidden="false" customHeight="false" outlineLevel="0" collapsed="false">
      <c r="A611" s="5" t="s">
        <v>595</v>
      </c>
      <c r="B611" s="0" t="s">
        <v>33</v>
      </c>
      <c r="C611" s="11" t="n">
        <f aca="false">C594*1</f>
        <v>66.3434641935484</v>
      </c>
      <c r="D611" s="11" t="n">
        <f aca="false">D594*$D$602</f>
        <v>73.5834855433992</v>
      </c>
      <c r="E611" s="11" t="n">
        <f aca="false">E594*$D$603</f>
        <v>77.2626598205692</v>
      </c>
      <c r="F611" s="11" t="n">
        <f aca="false">F594*$D$603</f>
        <v>81.1257928115977</v>
      </c>
      <c r="G611" s="11" t="n">
        <f aca="false">G594*$D$603</f>
        <v>85.1820824521776</v>
      </c>
    </row>
    <row r="612" customFormat="false" ht="15" hidden="false" customHeight="false" outlineLevel="0" collapsed="false">
      <c r="A612" s="5" t="s">
        <v>596</v>
      </c>
      <c r="B612" s="0" t="s">
        <v>33</v>
      </c>
      <c r="C612" s="11" t="n">
        <f aca="false">C610+C611</f>
        <v>91.74669</v>
      </c>
      <c r="D612" s="11" t="n">
        <f aca="false">D610+D611</f>
        <v>117.916151968271</v>
      </c>
      <c r="E612" s="11" t="n">
        <f aca="false">E610+E611</f>
        <v>141.289332878179</v>
      </c>
      <c r="F612" s="11" t="n">
        <f aca="false">F610+F611</f>
        <v>160.818528477843</v>
      </c>
      <c r="G612" s="11" t="n">
        <f aca="false">G610+G611</f>
        <v>176.403651424158</v>
      </c>
    </row>
    <row r="613" customFormat="false" ht="15" hidden="false" customHeight="false" outlineLevel="0" collapsed="false">
      <c r="A613" s="5" t="s">
        <v>458</v>
      </c>
      <c r="B613" s="0" t="s">
        <v>33</v>
      </c>
      <c r="C613" s="11" t="n">
        <f aca="false">r_ot*(C609+C612)</f>
        <v>74.27113</v>
      </c>
      <c r="D613" s="11" t="n">
        <f aca="false">r_ot*(D609+D612)</f>
        <v>90.981654</v>
      </c>
      <c r="E613" s="11" t="n">
        <f aca="false">r_ot*(E609+E612)</f>
        <v>94.4340105841213</v>
      </c>
      <c r="F613" s="11" t="n">
        <f aca="false">r_ot*(F609+F612)</f>
        <v>99.1747353376088</v>
      </c>
      <c r="G613" s="11" t="n">
        <f aca="false">r_ot*(G609+G612)</f>
        <v>101.643413988662</v>
      </c>
    </row>
    <row r="614" customFormat="false" ht="15" hidden="false" customHeight="false" outlineLevel="0" collapsed="false">
      <c r="A614" s="5" t="s">
        <v>428</v>
      </c>
      <c r="B614" s="0" t="s">
        <v>33</v>
      </c>
      <c r="C614" s="11" t="n">
        <f aca="false">C609+C612+C613</f>
        <v>436.889</v>
      </c>
      <c r="D614" s="11" t="n">
        <f aca="false">D609+D612+D613</f>
        <v>535.1862</v>
      </c>
      <c r="E614" s="11" t="n">
        <f aca="false">E609+E612+E613</f>
        <v>555.494179906596</v>
      </c>
      <c r="F614" s="11" t="n">
        <f aca="false">F609+F612+F613</f>
        <v>583.380796103581</v>
      </c>
      <c r="G614" s="11" t="n">
        <f aca="false">G609+G612+G613</f>
        <v>597.902435227425</v>
      </c>
      <c r="J614" s="8" t="s">
        <v>597</v>
      </c>
    </row>
    <row r="615" customFormat="false" ht="15" hidden="false" customHeight="false" outlineLevel="0" collapsed="false">
      <c r="A615" s="0" t="s">
        <v>598</v>
      </c>
      <c r="B615" s="0" t="s">
        <v>60</v>
      </c>
      <c r="C615" s="14" t="n">
        <f aca="false">(C607+C610)*(1+r_ot)/C614</f>
        <v>0.276884384673187</v>
      </c>
      <c r="D615" s="14" t="n">
        <f aca="false">(D607+D610)*(1+r_ot)/D614</f>
        <v>0.340621379463522</v>
      </c>
      <c r="E615" s="14" t="n">
        <f aca="false">(E607+E610)*(1+r_ot)/E614</f>
        <v>0.328206803845393</v>
      </c>
      <c r="F615" s="14" t="n">
        <f aca="false">(F607+F610)*(1+r_ot)/F614</f>
        <v>0.323534524250907</v>
      </c>
      <c r="G615" s="14" t="n">
        <f aca="false">(G607+G610)*(1+r_ot)/G614</f>
        <v>0.301996877640088</v>
      </c>
    </row>
    <row r="616" customFormat="false" ht="15" hidden="false" customHeight="false" outlineLevel="0" collapsed="false">
      <c r="A616" s="0" t="s">
        <v>599</v>
      </c>
      <c r="B616" s="0" t="s">
        <v>60</v>
      </c>
      <c r="C616" s="14" t="n">
        <f aca="false">C607*(1+r_ot)/C614</f>
        <v>0.206829299394429</v>
      </c>
      <c r="D616" s="14" t="n">
        <f aca="false">D607*(1+r_ot)/D614</f>
        <v>0.24081900953264</v>
      </c>
      <c r="E616" s="14" t="n">
        <f aca="false">E607*(1+r_ot)/E614</f>
        <v>0.189338436292202</v>
      </c>
      <c r="F616" s="14" t="n">
        <f aca="false">F607*(1+r_ot)/F614</f>
        <v>0.158950182741059</v>
      </c>
      <c r="G616" s="14" t="n">
        <f aca="false">G607*(1+r_ot)/G614</f>
        <v>0.118178417787665</v>
      </c>
      <c r="J616" s="5" t="s">
        <v>600</v>
      </c>
    </row>
    <row r="617" customFormat="false" ht="15" hidden="false" customHeight="false" outlineLevel="0" collapsed="false">
      <c r="A617" s="5" t="s">
        <v>466</v>
      </c>
      <c r="B617" s="0" t="s">
        <v>60</v>
      </c>
      <c r="C617" s="14" t="n">
        <f aca="false">a25_gp/a25_rev</f>
        <v>0.701498549974936</v>
      </c>
      <c r="D617" s="14" t="n">
        <f aca="false">D599/D614</f>
        <v>0.70639056761927</v>
      </c>
      <c r="E617" s="14" t="n">
        <f aca="false">gm_a+gm_b*LN(E614)+0</f>
        <v>0.729792366011473</v>
      </c>
      <c r="F617" s="14" t="n">
        <f aca="false">gm_a+gm_b*LN(F614)+0</f>
        <v>0.735367790029558</v>
      </c>
      <c r="G617" s="14" t="n">
        <f aca="false">gm_a+gm_b*LN(G614)+0</f>
        <v>0.738166480008028</v>
      </c>
      <c r="J617" s="8" t="s">
        <v>601</v>
      </c>
    </row>
    <row r="618" customFormat="false" ht="15" hidden="false" customHeight="false" outlineLevel="0" collapsed="false">
      <c r="A618" s="5" t="s">
        <v>463</v>
      </c>
      <c r="B618" s="0" t="s">
        <v>33</v>
      </c>
      <c r="C618" s="11" t="n">
        <f aca="false">C614*C617</f>
        <v>306.477</v>
      </c>
      <c r="D618" s="11" t="n">
        <f aca="false">D614*D617</f>
        <v>378.0504836</v>
      </c>
      <c r="E618" s="11" t="n">
        <f aca="false">E614*E617</f>
        <v>405.395411859637</v>
      </c>
      <c r="F618" s="11" t="n">
        <f aca="false">F614*F617</f>
        <v>428.999446776374</v>
      </c>
      <c r="G618" s="11" t="n">
        <f aca="false">G614*G617</f>
        <v>441.351536000057</v>
      </c>
    </row>
    <row r="619" customFormat="false" ht="15" hidden="false" customHeight="false" outlineLevel="0" collapsed="false">
      <c r="A619" s="5" t="s">
        <v>464</v>
      </c>
      <c r="B619" s="0" t="s">
        <v>33</v>
      </c>
      <c r="C619" s="11" t="n">
        <f aca="false">a25_sga</f>
        <v>121.487</v>
      </c>
      <c r="D619" s="11" t="n">
        <f aca="false">D618-D600</f>
        <v>139.4833836</v>
      </c>
      <c r="E619" s="11" t="n">
        <f aca="false">sg_f+sg_v*E614</f>
        <v>148.311760977849</v>
      </c>
      <c r="F619" s="11" t="n">
        <f aca="false">sg_f+sg_v*F614</f>
        <v>155.349423598999</v>
      </c>
      <c r="G619" s="11" t="n">
        <f aca="false">sg_f+sg_v*G614</f>
        <v>159.014206595179</v>
      </c>
      <c r="J619" s="8" t="s">
        <v>602</v>
      </c>
    </row>
    <row r="620" customFormat="false" ht="15" hidden="false" customHeight="false" outlineLevel="0" collapsed="false">
      <c r="A620" s="5" t="s">
        <v>432</v>
      </c>
      <c r="B620" s="0" t="s">
        <v>33</v>
      </c>
      <c r="C620" s="11" t="n">
        <f aca="false">C618-C619</f>
        <v>184.99</v>
      </c>
      <c r="D620" s="11" t="n">
        <f aca="false">D618-D619</f>
        <v>238.5671</v>
      </c>
      <c r="E620" s="11" t="n">
        <f aca="false">E618-E619</f>
        <v>257.083650881789</v>
      </c>
      <c r="F620" s="11" t="n">
        <f aca="false">F618-F619</f>
        <v>273.650023177375</v>
      </c>
      <c r="G620" s="11" t="n">
        <f aca="false">G618-G619</f>
        <v>282.337329404878</v>
      </c>
    </row>
    <row r="621" customFormat="false" ht="15" hidden="false" customHeight="false" outlineLevel="0" collapsed="false">
      <c r="A621" s="5" t="s">
        <v>603</v>
      </c>
      <c r="B621" s="0" t="s">
        <v>60</v>
      </c>
      <c r="C621" s="14" t="n">
        <f aca="false">C620/C614</f>
        <v>0.423425629851061</v>
      </c>
      <c r="D621" s="14" t="n">
        <f aca="false">D620/D614</f>
        <v>0.445764670314743</v>
      </c>
      <c r="E621" s="14" t="n">
        <f aca="false">E620/E614</f>
        <v>0.462801700145655</v>
      </c>
      <c r="F621" s="14" t="n">
        <f aca="false">F620/F614</f>
        <v>0.469076159182977</v>
      </c>
      <c r="G621" s="14" t="n">
        <f aca="false">G620/G614</f>
        <v>0.472213044754508</v>
      </c>
    </row>
    <row r="622" customFormat="false" ht="15" hidden="false" customHeight="false" outlineLevel="0" collapsed="false">
      <c r="A622" s="5" t="s">
        <v>435</v>
      </c>
      <c r="B622" s="0" t="s">
        <v>33</v>
      </c>
      <c r="C622" s="11" t="n">
        <f aca="false">a25_ni</f>
        <v>135.521</v>
      </c>
      <c r="D622" s="11" t="n">
        <f aca="false">D601</f>
        <v>167.95938138934</v>
      </c>
      <c r="E622" s="11" t="n">
        <f aca="false">E620*nioi</f>
        <v>185.402404758134</v>
      </c>
      <c r="F622" s="11" t="n">
        <f aca="false">F620*nioi</f>
        <v>197.349664924953</v>
      </c>
      <c r="G622" s="11" t="n">
        <f aca="false">G620*nioi</f>
        <v>203.614736468494</v>
      </c>
    </row>
    <row r="623" customFormat="false" ht="15" hidden="false" customHeight="false" outlineLevel="0" collapsed="false">
      <c r="A623" s="0" t="s">
        <v>524</v>
      </c>
      <c r="B623" s="0" t="s">
        <v>55</v>
      </c>
      <c r="C623" s="11" t="n">
        <f aca="false">a25_eps</f>
        <v>1249.84</v>
      </c>
      <c r="D623" s="11" t="n">
        <f aca="false">D622*1000/shares</f>
        <v>1548.28555816522</v>
      </c>
      <c r="E623" s="11" t="n">
        <f aca="false">E622*1000/shares</f>
        <v>1709.07908425019</v>
      </c>
      <c r="F623" s="11" t="n">
        <f aca="false">F622*1000/shares</f>
        <v>1819.21148782847</v>
      </c>
      <c r="G623" s="11" t="n">
        <f aca="false">G622*1000/shares</f>
        <v>1876.96425943014</v>
      </c>
    </row>
    <row r="624" customFormat="false" ht="15" hidden="false" customHeight="false" outlineLevel="0" collapsed="false">
      <c r="A624" s="5" t="s">
        <v>604</v>
      </c>
      <c r="B624" s="0" t="s">
        <v>33</v>
      </c>
      <c r="C624" s="16" t="n">
        <f aca="false">ABS(C614-a25_rev)+ABS(C620-a25_oi)+ABS(D614-D598)+ABS(D620-D600)</f>
        <v>0.000999999999976353</v>
      </c>
    </row>
    <row r="625" customFormat="false" ht="15" hidden="false" customHeight="false" outlineLevel="0" collapsed="false">
      <c r="A625" s="1" t="s">
        <v>605</v>
      </c>
    </row>
    <row r="626" customFormat="false" ht="15" hidden="false" customHeight="false" outlineLevel="0" collapsed="false">
      <c r="A626" s="5" t="s">
        <v>606</v>
      </c>
      <c r="B626" s="0" t="s">
        <v>60</v>
      </c>
      <c r="C626" s="14" t="n">
        <f aca="false">a25_gp/a25_rev</f>
        <v>0.701498549974936</v>
      </c>
      <c r="D626" s="14" t="n">
        <f aca="false">gm_a+gm_b*LN(D595)+0</f>
        <v>0.719317120961877</v>
      </c>
      <c r="E626" s="14" t="n">
        <f aca="false">gm_a+gm_b*LN(E595)+0</f>
        <v>0.725640974897575</v>
      </c>
      <c r="F626" s="14" t="n">
        <f aca="false">gm_a+gm_b*LN(F595)+0</f>
        <v>0.731186989478752</v>
      </c>
      <c r="G626" s="14" t="n">
        <f aca="false">gm_a+gm_b*LN(G595)+0</f>
        <v>0.733850013455911</v>
      </c>
    </row>
    <row r="627" customFormat="false" ht="15" hidden="false" customHeight="false" outlineLevel="0" collapsed="false">
      <c r="A627" s="5" t="s">
        <v>607</v>
      </c>
      <c r="B627" s="0" t="s">
        <v>33</v>
      </c>
      <c r="C627" s="11" t="n">
        <f aca="false">a25_oi</f>
        <v>184.989</v>
      </c>
      <c r="D627" s="11" t="n">
        <f aca="false">D595*D626-sg_f-sg_v*D595</f>
        <v>228.45906959938</v>
      </c>
      <c r="E627" s="11" t="n">
        <f aca="false">E595*E626-sg_f-sg_v*E595</f>
        <v>245.361958929926</v>
      </c>
      <c r="F627" s="11" t="n">
        <f aca="false">F595*F626-sg_f-sg_v*F595</f>
        <v>261.137274913007</v>
      </c>
      <c r="G627" s="11" t="n">
        <f aca="false">G595*G626-sg_f-sg_v*G595</f>
        <v>269.04402987977</v>
      </c>
    </row>
    <row r="628" customFormat="false" ht="15" hidden="false" customHeight="false" outlineLevel="0" collapsed="false">
      <c r="A628" s="0" t="s">
        <v>608</v>
      </c>
      <c r="B628" s="0" t="s">
        <v>55</v>
      </c>
      <c r="C628" s="11" t="n">
        <f aca="false">a25_eps</f>
        <v>1249.84</v>
      </c>
      <c r="D628" s="11" t="n">
        <f aca="false">D627*nioi_v01*1000/shares</f>
        <v>1542.82224887278</v>
      </c>
      <c r="E628" s="11" t="n">
        <f aca="false">E627*nioi_v01*1000/shares</f>
        <v>1656.97028324554</v>
      </c>
      <c r="F628" s="11" t="n">
        <f aca="false">F627*nioi_v01*1000/shares</f>
        <v>1763.50362650206</v>
      </c>
      <c r="G628" s="11" t="n">
        <f aca="false">G627*nioi_v01*1000/shares</f>
        <v>1816.89926319313</v>
      </c>
    </row>
    <row r="640" customFormat="false" ht="15" hidden="false" customHeight="false" outlineLevel="0" collapsed="false">
      <c r="A640" s="4" t="s">
        <v>829</v>
      </c>
    </row>
    <row r="641" customFormat="false" ht="15" hidden="false" customHeight="false" outlineLevel="0" collapsed="false">
      <c r="A641" s="6" t="s">
        <v>22</v>
      </c>
      <c r="B641" s="6" t="s">
        <v>23</v>
      </c>
      <c r="C641" s="9" t="s">
        <v>532</v>
      </c>
      <c r="D641" s="9" t="s">
        <v>533</v>
      </c>
      <c r="E641" s="9" t="s">
        <v>534</v>
      </c>
      <c r="F641" s="9" t="s">
        <v>535</v>
      </c>
      <c r="G641" s="9" t="s">
        <v>536</v>
      </c>
      <c r="H641" s="9" t="s">
        <v>537</v>
      </c>
      <c r="I641" s="9" t="s">
        <v>538</v>
      </c>
      <c r="J641" s="6" t="s">
        <v>515</v>
      </c>
    </row>
    <row r="642" customFormat="false" ht="15" hidden="false" customHeight="false" outlineLevel="0" collapsed="false">
      <c r="A642" s="1" t="s">
        <v>539</v>
      </c>
    </row>
    <row r="643" customFormat="false" ht="15" hidden="false" customHeight="false" outlineLevel="0" collapsed="false">
      <c r="A643" s="0" t="s">
        <v>540</v>
      </c>
      <c r="B643" s="0" t="s">
        <v>100</v>
      </c>
      <c r="C643" s="19" t="n">
        <f aca="false">hsA_25</f>
        <v>2.22511470588235</v>
      </c>
      <c r="D643" s="19" t="n">
        <f aca="false">hsA_26</f>
        <v>3.782695</v>
      </c>
      <c r="E643" s="19" t="n">
        <f aca="false">hsA_27</f>
        <v>5.86317725</v>
      </c>
      <c r="F643" s="19" t="n">
        <f aca="false">hsA_28</f>
        <v>8.5016070125</v>
      </c>
      <c r="G643" s="19" t="n">
        <f aca="false">hsA_29</f>
        <v>11.477169466875</v>
      </c>
      <c r="H643" s="19" t="n">
        <f aca="false">G643*(1+g_tail)</f>
        <v>12.6248864135625</v>
      </c>
      <c r="I643" s="19" t="n">
        <f aca="false">H643*(1+g_tail)</f>
        <v>13.8873750549188</v>
      </c>
      <c r="J643" s="8" t="s">
        <v>541</v>
      </c>
    </row>
    <row r="644" customFormat="false" ht="15" hidden="false" customHeight="false" outlineLevel="0" collapsed="false">
      <c r="A644" s="0" t="s">
        <v>542</v>
      </c>
      <c r="B644" s="0" t="s">
        <v>543</v>
      </c>
      <c r="C644" s="19" t="n">
        <f aca="false">den_25</f>
        <v>24</v>
      </c>
      <c r="D644" s="19" t="n">
        <f aca="false">den_26</f>
        <v>24</v>
      </c>
      <c r="E644" s="19" t="n">
        <f aca="false">den_27</f>
        <v>26</v>
      </c>
      <c r="F644" s="19" t="n">
        <f aca="false">den_28</f>
        <v>28</v>
      </c>
      <c r="G644" s="19" t="n">
        <f aca="false">den_29</f>
        <v>30</v>
      </c>
      <c r="H644" s="19" t="n">
        <f aca="false">den_30</f>
        <v>32</v>
      </c>
      <c r="I644" s="19" t="n">
        <f aca="false">den_30</f>
        <v>32</v>
      </c>
    </row>
    <row r="645" customFormat="false" ht="15" hidden="false" customHeight="false" outlineLevel="0" collapsed="false">
      <c r="A645" s="5" t="s">
        <v>544</v>
      </c>
      <c r="B645" s="5" t="s">
        <v>152</v>
      </c>
      <c r="C645" s="19" t="n">
        <f aca="false">stk_25</f>
        <v>10</v>
      </c>
      <c r="D645" s="19" t="n">
        <f aca="false">stk_26</f>
        <v>12</v>
      </c>
      <c r="E645" s="19" t="n">
        <f aca="false">stk_27</f>
        <v>12.5</v>
      </c>
      <c r="F645" s="19" t="n">
        <f aca="false">stk_28</f>
        <v>14</v>
      </c>
      <c r="G645" s="19" t="n">
        <f aca="false">stk_29</f>
        <v>15</v>
      </c>
      <c r="H645" s="19" t="n">
        <f aca="false">stk_30</f>
        <v>16</v>
      </c>
      <c r="I645" s="19" t="n">
        <f aca="false">stk_30</f>
        <v>16</v>
      </c>
    </row>
    <row r="646" customFormat="false" ht="15" hidden="false" customHeight="false" outlineLevel="0" collapsed="false">
      <c r="A646" s="0" t="s">
        <v>545</v>
      </c>
      <c r="B646" s="5" t="s">
        <v>546</v>
      </c>
      <c r="C646" s="19" t="n">
        <f aca="false">C643*8/C644</f>
        <v>0.741704901960783</v>
      </c>
      <c r="D646" s="19" t="n">
        <f aca="false">D643*8/D644</f>
        <v>1.26089833333333</v>
      </c>
      <c r="E646" s="19" t="n">
        <f aca="false">E643*8/E644</f>
        <v>1.80405453846154</v>
      </c>
      <c r="F646" s="19" t="n">
        <f aca="false">F643*8/F644</f>
        <v>2.429030575</v>
      </c>
      <c r="G646" s="19" t="n">
        <f aca="false">G643*8/G644</f>
        <v>3.0605785245</v>
      </c>
      <c r="H646" s="19" t="n">
        <f aca="false">H643*8/H644</f>
        <v>3.15622160339063</v>
      </c>
      <c r="I646" s="19" t="n">
        <f aca="false">I643*8/I644</f>
        <v>3.47184376372969</v>
      </c>
      <c r="J646" s="8" t="s">
        <v>547</v>
      </c>
    </row>
    <row r="647" customFormat="false" ht="15" hidden="false" customHeight="false" outlineLevel="0" collapsed="false">
      <c r="A647" s="0" t="s">
        <v>548</v>
      </c>
      <c r="B647" s="5" t="s">
        <v>549</v>
      </c>
      <c r="C647" s="19" t="n">
        <f aca="false">C646*(1+s_stk/C645)</f>
        <v>0.964216372549018</v>
      </c>
      <c r="D647" s="19" t="n">
        <f aca="false">D646*(1+s_stk/D645)</f>
        <v>1.57612291666667</v>
      </c>
      <c r="E647" s="19" t="n">
        <f aca="false">E646*(1+s_stk/E645)</f>
        <v>2.23702762769231</v>
      </c>
      <c r="F647" s="19" t="n">
        <f aca="false">F646*(1+s_stk/F645)</f>
        <v>2.94953712678571</v>
      </c>
      <c r="G647" s="19" t="n">
        <f aca="false">G646*(1+s_stk/G645)</f>
        <v>3.6726942294</v>
      </c>
      <c r="H647" s="19" t="n">
        <f aca="false">H646*(1+s_stk/H645)</f>
        <v>3.74801315402637</v>
      </c>
      <c r="I647" s="19" t="n">
        <f aca="false">I646*(1+s_stk/I645)</f>
        <v>4.12281446942901</v>
      </c>
      <c r="J647" s="5" t="s">
        <v>550</v>
      </c>
    </row>
    <row r="648" customFormat="false" ht="15" hidden="false" customHeight="false" outlineLevel="0" collapsed="false">
      <c r="A648" s="5" t="s">
        <v>551</v>
      </c>
      <c r="B648" s="0" t="s">
        <v>60</v>
      </c>
      <c r="C648" s="22" t="n">
        <f aca="false">hbp_25*hb_on</f>
        <v>0</v>
      </c>
      <c r="D648" s="22" t="n">
        <f aca="false">hbp_26*hb_on</f>
        <v>0</v>
      </c>
      <c r="E648" s="22" t="n">
        <f aca="false">hbp_27*hb_on</f>
        <v>0</v>
      </c>
      <c r="F648" s="22" t="n">
        <f aca="false">hbp_28*hb_on</f>
        <v>0.05</v>
      </c>
      <c r="G648" s="22" t="n">
        <f aca="false">hbp_29*hb_on</f>
        <v>0.15</v>
      </c>
      <c r="H648" s="22" t="n">
        <f aca="false">hbp_30*hb_on</f>
        <v>0.25</v>
      </c>
      <c r="I648" s="22" t="n">
        <f aca="false">hbp_30*hb_on</f>
        <v>0.25</v>
      </c>
    </row>
    <row r="649" customFormat="false" ht="15" hidden="false" customHeight="false" outlineLevel="0" collapsed="false">
      <c r="A649" s="0" t="s">
        <v>552</v>
      </c>
      <c r="B649" s="5" t="s">
        <v>549</v>
      </c>
      <c r="C649" s="19" t="n">
        <f aca="false">C647*(1+C648*hb_eff_hi)</f>
        <v>0.964216372549018</v>
      </c>
      <c r="D649" s="19" t="n">
        <f aca="false">D647*(1+D648*hb_eff_hi)</f>
        <v>1.57612291666667</v>
      </c>
      <c r="E649" s="19" t="n">
        <f aca="false">E647*(1+E648*hb_eff_hi)</f>
        <v>2.23702762769231</v>
      </c>
      <c r="F649" s="19" t="n">
        <f aca="false">F647*(1+F648*hb_eff_hi)</f>
        <v>2.9937801836875</v>
      </c>
      <c r="G649" s="19" t="n">
        <f aca="false">G647*(1+G648*hb_eff_hi)</f>
        <v>3.837965469723</v>
      </c>
      <c r="H649" s="19" t="n">
        <f aca="false">H647*(1+H648*hb_eff_hi)</f>
        <v>4.02911414057835</v>
      </c>
      <c r="I649" s="19" t="n">
        <f aca="false">I647*(1+I648*hb_eff_hi)</f>
        <v>4.43202555463618</v>
      </c>
      <c r="J649" s="5" t="s">
        <v>553</v>
      </c>
    </row>
    <row r="650" customFormat="false" ht="15" hidden="false" customHeight="false" outlineLevel="0" collapsed="false">
      <c r="A650" s="0" t="s">
        <v>554</v>
      </c>
      <c r="B650" s="5" t="s">
        <v>549</v>
      </c>
      <c r="C650" s="19" t="n">
        <f aca="false">MAX(0,D649-C649)+dlt*C649</f>
        <v>0.70832818137255</v>
      </c>
      <c r="D650" s="19" t="n">
        <f aca="false">MAX(0,E649-D649)+dlt*D649</f>
        <v>0.818517002692307</v>
      </c>
      <c r="E650" s="19" t="n">
        <f aca="false">MAX(0,F649-E649)+dlt*E649</f>
        <v>0.980455318764423</v>
      </c>
      <c r="F650" s="19" t="n">
        <f aca="false">MAX(0,G649-F649)+dlt*F649</f>
        <v>1.14356330440425</v>
      </c>
      <c r="G650" s="19" t="n">
        <f aca="false">MAX(0,H649-G649)+dlt*G649</f>
        <v>0.574945217827645</v>
      </c>
      <c r="H650" s="19" t="n">
        <f aca="false">MAX(0,I649-H649)+dlt*H649</f>
        <v>0.805822828115669</v>
      </c>
      <c r="J650" s="5" t="s">
        <v>555</v>
      </c>
    </row>
    <row r="651" customFormat="false" ht="15" hidden="false" customHeight="false" outlineLevel="0" collapsed="false">
      <c r="A651" s="0" t="s">
        <v>556</v>
      </c>
      <c r="B651" s="5" t="s">
        <v>181</v>
      </c>
      <c r="C651" s="21" t="n">
        <f aca="false">cw_25</f>
        <v>670</v>
      </c>
      <c r="D651" s="21" t="n">
        <f aca="false">cw_26</f>
        <v>1107.85762580894</v>
      </c>
      <c r="E651" s="21" t="n">
        <f aca="false">cw_27</f>
        <v>2096.42857142857</v>
      </c>
      <c r="F651" s="21" t="n">
        <f aca="false">cw_28*um28_A</f>
        <v>2620.08928571429</v>
      </c>
      <c r="G651" s="21" t="n">
        <f aca="false">cw_29*um29_A</f>
        <v>3013.32589285714</v>
      </c>
      <c r="H651" s="21" t="n">
        <f aca="false">G651*(1+g_tail)</f>
        <v>3314.65848214285</v>
      </c>
      <c r="I651" s="21" t="n">
        <f aca="false">H651*(1+g_tail)</f>
        <v>3646.12433035714</v>
      </c>
      <c r="J651" s="5" t="s">
        <v>557</v>
      </c>
    </row>
    <row r="652" customFormat="false" ht="15" hidden="false" customHeight="false" outlineLevel="0" collapsed="false">
      <c r="A652" s="5" t="s">
        <v>558</v>
      </c>
      <c r="B652" s="5" t="s">
        <v>181</v>
      </c>
      <c r="C652" s="21" t="n">
        <f aca="false">MAX(0,D651-C651)+dlt*C651</f>
        <v>504.85762580894</v>
      </c>
      <c r="D652" s="21" t="n">
        <f aca="false">MAX(0,E651-D651)+dlt*D651</f>
        <v>1099.35670820052</v>
      </c>
      <c r="E652" s="21" t="n">
        <f aca="false">MAX(0,F651-E651)+dlt*E651</f>
        <v>733.303571428577</v>
      </c>
      <c r="F652" s="21" t="n">
        <f aca="false">MAX(0,G651-F651)+dlt*F651</f>
        <v>655.245535714279</v>
      </c>
      <c r="G652" s="21" t="n">
        <f aca="false">MAX(0,H651-G651)+dlt*G651</f>
        <v>602.665178571428</v>
      </c>
      <c r="H652" s="21" t="n">
        <f aca="false">MAX(0,I651-H651)+dlt*H651</f>
        <v>662.931696428571</v>
      </c>
    </row>
    <row r="653" customFormat="false" ht="15" hidden="false" customHeight="false" outlineLevel="0" collapsed="false">
      <c r="A653" s="1" t="s">
        <v>559</v>
      </c>
    </row>
    <row r="654" customFormat="false" ht="15" hidden="false" customHeight="false" outlineLevel="0" collapsed="false">
      <c r="A654" s="0" t="s">
        <v>560</v>
      </c>
      <c r="B654" s="0" t="s">
        <v>561</v>
      </c>
      <c r="C654" s="16" t="n">
        <f aca="false">ai_25*w_hbm/(0.75*C650+0.25*D650)</f>
        <v>48.9213264236471</v>
      </c>
      <c r="J654" s="5" t="s">
        <v>562</v>
      </c>
    </row>
    <row r="655" customFormat="false" ht="15" hidden="false" customHeight="false" outlineLevel="0" collapsed="false">
      <c r="A655" s="5" t="s">
        <v>563</v>
      </c>
      <c r="B655" s="0" t="s">
        <v>564</v>
      </c>
      <c r="C655" s="18" t="n">
        <f aca="false">ai_25*(1-w_hbm)/(0.75*C652+0.25*D652)</f>
        <v>0.0596802610360141</v>
      </c>
    </row>
    <row r="656" customFormat="false" ht="15" hidden="false" customHeight="false" outlineLevel="0" collapsed="false">
      <c r="A656" s="1" t="s">
        <v>565</v>
      </c>
    </row>
    <row r="657" customFormat="false" ht="15" hidden="false" customHeight="false" outlineLevel="0" collapsed="false">
      <c r="A657" s="5" t="s">
        <v>566</v>
      </c>
      <c r="B657" s="0" t="s">
        <v>80</v>
      </c>
      <c r="C657" s="16" t="n">
        <f aca="false">1-sh_loss/sh*0</f>
        <v>1</v>
      </c>
      <c r="D657" s="16" t="n">
        <f aca="false">1-sh_loss/sh*0.25</f>
        <v>1</v>
      </c>
      <c r="E657" s="16" t="n">
        <f aca="false">1-sh_loss/sh*0.5</f>
        <v>1</v>
      </c>
      <c r="F657" s="16" t="n">
        <f aca="false">1-sh_loss/sh*0.75</f>
        <v>1</v>
      </c>
      <c r="G657" s="16" t="n">
        <f aca="false">1-sh_loss/sh*1</f>
        <v>1</v>
      </c>
    </row>
    <row r="658" customFormat="false" ht="15" hidden="false" customHeight="false" outlineLevel="0" collapsed="false">
      <c r="A658" s="0" t="s">
        <v>567</v>
      </c>
      <c r="B658" s="0" t="s">
        <v>33</v>
      </c>
      <c r="C658" s="11" t="n">
        <f aca="false">$C$654*(0.75*C650+0.25*D650)*C657</f>
        <v>36</v>
      </c>
      <c r="D658" s="11" t="n">
        <f aca="false">$C$654*(0.75*D650+0.25*E650)*D657</f>
        <v>42.0234967772805</v>
      </c>
      <c r="E658" s="11" t="n">
        <f aca="false">$C$654*(0.75*E650+0.25*F650)*E657</f>
        <v>49.9600394450226</v>
      </c>
      <c r="F658" s="11" t="n">
        <f aca="false">$C$654*(0.75*F650+0.25*G650)*F657</f>
        <v>48.9902459449139</v>
      </c>
      <c r="G658" s="11" t="n">
        <f aca="false">$C$654*(0.75*G650+0.25*H650)*G657</f>
        <v>30.9507924112641</v>
      </c>
    </row>
    <row r="659" customFormat="false" ht="15" hidden="false" customHeight="false" outlineLevel="0" collapsed="false">
      <c r="A659" s="5" t="s">
        <v>568</v>
      </c>
      <c r="B659" s="0" t="s">
        <v>33</v>
      </c>
      <c r="C659" s="11" t="n">
        <f aca="false">$C$655*(0.75*C652+0.25*D652)*C657</f>
        <v>39</v>
      </c>
      <c r="D659" s="11" t="n">
        <f aca="false">$C$655*(0.75*D652+0.25*E652)*D657</f>
        <v>60.1483586282001</v>
      </c>
      <c r="E659" s="11" t="n">
        <f aca="false">$C$655*(0.75*E652+0.25*F652)*E657</f>
        <v>42.5991175746519</v>
      </c>
      <c r="F659" s="11" t="n">
        <f aca="false">$C$655*(0.75*F652+0.25*G652)*F657</f>
        <v>38.320722254198</v>
      </c>
      <c r="G659" s="11" t="n">
        <f aca="false">$C$655*(0.75*G652+0.25*H652)*G657</f>
        <v>36.8663955538204</v>
      </c>
    </row>
    <row r="660" customFormat="false" ht="15" hidden="false" customHeight="false" outlineLevel="0" collapsed="false">
      <c r="A660" s="0" t="s">
        <v>569</v>
      </c>
      <c r="B660" s="0" t="s">
        <v>33</v>
      </c>
      <c r="C660" s="11" t="n">
        <f aca="false">C658+C659</f>
        <v>75</v>
      </c>
      <c r="D660" s="11" t="n">
        <f aca="false">D658+D659</f>
        <v>102.171855405481</v>
      </c>
      <c r="E660" s="11" t="n">
        <f aca="false">E658+E659</f>
        <v>92.5591570196746</v>
      </c>
      <c r="F660" s="11" t="n">
        <f aca="false">F658+F659</f>
        <v>87.3109681991119</v>
      </c>
      <c r="G660" s="11" t="n">
        <f aca="false">G658+G659</f>
        <v>67.8171879650844</v>
      </c>
    </row>
    <row r="661" customFormat="false" ht="15" hidden="false" customHeight="false" outlineLevel="0" collapsed="false">
      <c r="A661" s="5" t="s">
        <v>570</v>
      </c>
      <c r="B661" s="0" t="s">
        <v>33</v>
      </c>
      <c r="C661" s="11" t="n">
        <f aca="false">eq_25-ai_25</f>
        <v>195.87118</v>
      </c>
      <c r="D661" s="11" t="n">
        <f aca="false">C661*(1+g_non)*D657/C657</f>
        <v>207.6234508</v>
      </c>
      <c r="E661" s="11" t="n">
        <f aca="false">D661*(1+g_non)*E657/D657</f>
        <v>220.080857848</v>
      </c>
      <c r="F661" s="11" t="n">
        <f aca="false">E661*(1+g_non)*F657/E657</f>
        <v>233.28570931888</v>
      </c>
      <c r="G661" s="11" t="n">
        <f aca="false">F661*(1+g_non)*G657/F657</f>
        <v>247.282851878013</v>
      </c>
    </row>
    <row r="662" customFormat="false" ht="15" hidden="false" customHeight="false" outlineLevel="0" collapsed="false">
      <c r="A662" s="0" t="s">
        <v>571</v>
      </c>
      <c r="B662" s="0" t="s">
        <v>80</v>
      </c>
      <c r="C662" s="19" t="n">
        <f aca="false">w_hbm*(0.75*C649+0.25*D649)/(0.75*C649+0.25*D649)+(1-w_hbm)*(0.75*C651+0.25*D651)/(0.75*C651+0.25*D651)</f>
        <v>1</v>
      </c>
      <c r="D662" s="19" t="n">
        <f aca="false">w_hbm*(0.75*D649+0.25*E649)/(0.75*C649+0.25*D649)+(1-w_hbm)*(0.75*D651+0.25*E651)/(0.75*C651+0.25*D651)</f>
        <v>1.65212184085657</v>
      </c>
      <c r="E662" s="19" t="n">
        <f aca="false">w_hbm*(0.75*E649+0.25*F649)/(0.75*C649+0.25*D649)+(1-w_hbm)*(0.75*E651+0.25*F651)/(0.75*C651+0.25*D651)</f>
        <v>2.5283354627027</v>
      </c>
      <c r="F662" s="19" t="n">
        <f aca="false">w_hbm*(0.75*F649+0.25*G649)/(0.75*C649+0.25*D649)+(1-w_hbm)*(0.75*F651+0.25*G651)/(0.75*C651+0.25*D651)</f>
        <v>3.19045892660672</v>
      </c>
      <c r="G662" s="19" t="n">
        <f aca="false">w_hbm*(0.75*G649+0.25*H649)/(0.75*C649+0.25*D649)+(1-w_hbm)*(0.75*G651+0.25*H651)/(0.75*C651+0.25*D651)</f>
        <v>3.73002764815931</v>
      </c>
      <c r="J662" s="8" t="s">
        <v>572</v>
      </c>
    </row>
    <row r="663" customFormat="false" ht="15" hidden="false" customHeight="false" outlineLevel="0" collapsed="false">
      <c r="A663" s="0" t="s">
        <v>573</v>
      </c>
      <c r="B663" s="0" t="s">
        <v>33</v>
      </c>
      <c r="C663" s="11" t="n">
        <f aca="false">tl_25*w_tlai*C662</f>
        <v>25.4032258064516</v>
      </c>
      <c r="D663" s="11" t="n">
        <f aca="false">tl_25*w_tlai*D662</f>
        <v>41.9692241830499</v>
      </c>
      <c r="E663" s="11" t="n">
        <f aca="false">tl_25*w_tlai*E662</f>
        <v>64.2278766734959</v>
      </c>
      <c r="F663" s="11" t="n">
        <f aca="false">tl_25*w_tlai*F662</f>
        <v>81.0479485387997</v>
      </c>
      <c r="G663" s="11" t="n">
        <f aca="false">tl_25*w_tlai*G662</f>
        <v>94.7547346104985</v>
      </c>
      <c r="J663" s="5" t="s">
        <v>574</v>
      </c>
    </row>
    <row r="664" customFormat="false" ht="15" hidden="false" customHeight="false" outlineLevel="0" collapsed="false">
      <c r="A664" s="5" t="s">
        <v>575</v>
      </c>
      <c r="B664" s="0" t="s">
        <v>33</v>
      </c>
      <c r="C664" s="11" t="n">
        <f aca="false">tl_25*(1-w_tlai)</f>
        <v>66.3434641935484</v>
      </c>
      <c r="D664" s="11" t="n">
        <f aca="false">C664*(1+g_tl)</f>
        <v>69.6606374032258</v>
      </c>
      <c r="E664" s="11" t="n">
        <f aca="false">D664*(1+g_tl)</f>
        <v>73.1436692733871</v>
      </c>
      <c r="F664" s="11" t="n">
        <f aca="false">E664*(1+g_tl)</f>
        <v>76.8008527370565</v>
      </c>
      <c r="G664" s="11" t="n">
        <f aca="false">F664*(1+g_tl)</f>
        <v>80.6408953739093</v>
      </c>
    </row>
    <row r="665" customFormat="false" ht="15" hidden="false" customHeight="false" outlineLevel="0" collapsed="false">
      <c r="A665" s="5" t="s">
        <v>576</v>
      </c>
      <c r="B665" s="0" t="s">
        <v>33</v>
      </c>
      <c r="C665" s="11" t="n">
        <f aca="false">(C660+C661+C663+C664)*(1+r_ot)</f>
        <v>436.889</v>
      </c>
      <c r="D665" s="11" t="n">
        <f aca="false">(D660+D661+D663+D664)*(1+r_ot)</f>
        <v>507.741166014164</v>
      </c>
      <c r="E665" s="11" t="n">
        <f aca="false">(E660+E661+E663+E664)*(1+r_ot)</f>
        <v>542.182603391033</v>
      </c>
      <c r="F665" s="11" t="n">
        <f aca="false">(F660+F661+F663+F664)*(1+r_ot)</f>
        <v>576.440335896203</v>
      </c>
      <c r="G665" s="11" t="n">
        <f aca="false">(G660+G661+G663+G664)*(1+r_ot)</f>
        <v>590.958638346392</v>
      </c>
      <c r="J665" s="8" t="s">
        <v>577</v>
      </c>
    </row>
    <row r="666" customFormat="false" ht="15" hidden="false" customHeight="false" outlineLevel="0" collapsed="false">
      <c r="A666" s="1" t="s">
        <v>578</v>
      </c>
    </row>
    <row r="667" customFormat="false" ht="15" hidden="false" customHeight="false" outlineLevel="0" collapsed="false">
      <c r="A667" s="5" t="s">
        <v>579</v>
      </c>
      <c r="B667" s="0" t="s">
        <v>33</v>
      </c>
      <c r="D667" s="11" t="n">
        <f aca="false">g3_rev*(1+g_q4)</f>
        <v>145.6862</v>
      </c>
    </row>
    <row r="668" customFormat="false" ht="15" hidden="false" customHeight="false" outlineLevel="0" collapsed="false">
      <c r="A668" s="0" t="s">
        <v>580</v>
      </c>
      <c r="B668" s="0" t="s">
        <v>33</v>
      </c>
      <c r="D668" s="11" t="n">
        <f aca="false">q26h1_rev+g3_rev+D667</f>
        <v>535.1862</v>
      </c>
    </row>
    <row r="669" customFormat="false" ht="15" hidden="false" customHeight="false" outlineLevel="0" collapsed="false">
      <c r="A669" s="0" t="s">
        <v>581</v>
      </c>
      <c r="B669" s="0" t="s">
        <v>33</v>
      </c>
      <c r="D669" s="11" t="n">
        <f aca="false">q26h1_gp+(g3_rev+D667)*gm_q3</f>
        <v>378.0504836</v>
      </c>
    </row>
    <row r="670" customFormat="false" ht="15" hidden="false" customHeight="false" outlineLevel="0" collapsed="false">
      <c r="A670" s="0" t="s">
        <v>582</v>
      </c>
      <c r="B670" s="0" t="s">
        <v>33</v>
      </c>
      <c r="D670" s="11" t="n">
        <f aca="false">q26h1_oi+g3_oi+D667*m_q4</f>
        <v>238.5671</v>
      </c>
    </row>
    <row r="671" customFormat="false" ht="15" hidden="false" customHeight="false" outlineLevel="0" collapsed="false">
      <c r="A671" s="0" t="s">
        <v>583</v>
      </c>
      <c r="B671" s="0" t="s">
        <v>33</v>
      </c>
      <c r="D671" s="11" t="n">
        <f aca="false">q26h1_ni+g3_ni+D667*m_q4*nioi</f>
        <v>167.95938138934</v>
      </c>
    </row>
    <row r="672" customFormat="false" ht="15" hidden="false" customHeight="false" outlineLevel="0" collapsed="false">
      <c r="A672" s="5" t="s">
        <v>584</v>
      </c>
      <c r="B672" s="0" t="s">
        <v>80</v>
      </c>
      <c r="D672" s="16" t="n">
        <f aca="false">D668/D665</f>
        <v>1.05405319840675</v>
      </c>
      <c r="J672" s="8" t="s">
        <v>585</v>
      </c>
    </row>
    <row r="673" customFormat="false" ht="15" hidden="false" customHeight="false" outlineLevel="0" collapsed="false">
      <c r="A673" s="5" t="s">
        <v>586</v>
      </c>
      <c r="B673" s="0" t="s">
        <v>80</v>
      </c>
      <c r="D673" s="16" t="n">
        <f aca="false">1+anc_carry*(D672-1)</f>
        <v>1.05405319840675</v>
      </c>
      <c r="J673" s="8" t="s">
        <v>587</v>
      </c>
    </row>
    <row r="674" customFormat="false" ht="15" hidden="false" customHeight="false" outlineLevel="0" collapsed="false">
      <c r="A674" s="1" t="s">
        <v>588</v>
      </c>
    </row>
    <row r="675" customFormat="false" ht="15" hidden="false" customHeight="false" outlineLevel="0" collapsed="false">
      <c r="A675" s="0" t="s">
        <v>589</v>
      </c>
      <c r="B675" s="0" t="s">
        <v>33</v>
      </c>
      <c r="C675" s="11" t="n">
        <f aca="false">C658*1</f>
        <v>36</v>
      </c>
      <c r="D675" s="11" t="n">
        <f aca="false">D658*$D$672</f>
        <v>44.2950011863281</v>
      </c>
      <c r="E675" s="11" t="n">
        <f aca="false">E658*1</f>
        <v>49.9600394450226</v>
      </c>
      <c r="F675" s="11" t="n">
        <f aca="false">F658*1</f>
        <v>48.9902459449139</v>
      </c>
      <c r="G675" s="11" t="n">
        <f aca="false">G658*1</f>
        <v>30.9507924112641</v>
      </c>
    </row>
    <row r="676" customFormat="false" ht="15" hidden="false" customHeight="false" outlineLevel="0" collapsed="false">
      <c r="A676" s="5" t="s">
        <v>590</v>
      </c>
      <c r="B676" s="0" t="s">
        <v>33</v>
      </c>
      <c r="C676" s="11" t="n">
        <f aca="false">C659*1</f>
        <v>39</v>
      </c>
      <c r="D676" s="11" t="n">
        <f aca="false">D659*$D$672</f>
        <v>63.3995697909702</v>
      </c>
      <c r="E676" s="11" t="n">
        <f aca="false">E659*1</f>
        <v>42.5991175746519</v>
      </c>
      <c r="F676" s="11" t="n">
        <f aca="false">F659*1</f>
        <v>38.320722254198</v>
      </c>
      <c r="G676" s="11" t="n">
        <f aca="false">G659*1</f>
        <v>36.8663955538204</v>
      </c>
    </row>
    <row r="677" customFormat="false" ht="15" hidden="false" customHeight="false" outlineLevel="0" collapsed="false">
      <c r="A677" s="0" t="s">
        <v>591</v>
      </c>
      <c r="B677" s="0" t="s">
        <v>33</v>
      </c>
      <c r="C677" s="11" t="n">
        <f aca="false">C675+C676</f>
        <v>75</v>
      </c>
      <c r="D677" s="11" t="n">
        <f aca="false">D675+D676</f>
        <v>107.694570977298</v>
      </c>
      <c r="E677" s="11" t="n">
        <f aca="false">E675+E676</f>
        <v>92.5591570196746</v>
      </c>
      <c r="F677" s="11" t="n">
        <f aca="false">F675+F676</f>
        <v>87.3109681991119</v>
      </c>
      <c r="G677" s="11" t="n">
        <f aca="false">G675+G676</f>
        <v>67.8171879650844</v>
      </c>
    </row>
    <row r="678" customFormat="false" ht="15" hidden="false" customHeight="false" outlineLevel="0" collapsed="false">
      <c r="A678" s="5" t="s">
        <v>592</v>
      </c>
      <c r="B678" s="0" t="s">
        <v>33</v>
      </c>
      <c r="C678" s="11" t="n">
        <f aca="false">C661*1</f>
        <v>195.87118</v>
      </c>
      <c r="D678" s="11" t="n">
        <f aca="false">D661*$D$672</f>
        <v>218.846162379986</v>
      </c>
      <c r="E678" s="11" t="n">
        <f aca="false">E661*$D$673</f>
        <v>231.976932122785</v>
      </c>
      <c r="F678" s="11" t="n">
        <f aca="false">F661*$D$673</f>
        <v>245.895548050152</v>
      </c>
      <c r="G678" s="11" t="n">
        <f aca="false">G661*$D$673</f>
        <v>260.649280933161</v>
      </c>
    </row>
    <row r="679" customFormat="false" ht="15" hidden="false" customHeight="false" outlineLevel="0" collapsed="false">
      <c r="A679" s="5" t="s">
        <v>593</v>
      </c>
      <c r="B679" s="0" t="s">
        <v>33</v>
      </c>
      <c r="C679" s="11" t="n">
        <f aca="false">C677+C678</f>
        <v>270.87118</v>
      </c>
      <c r="D679" s="11" t="n">
        <f aca="false">D677+D678</f>
        <v>326.540733357284</v>
      </c>
      <c r="E679" s="11" t="n">
        <f aca="false">E677+E678</f>
        <v>324.536089142459</v>
      </c>
      <c r="F679" s="11" t="n">
        <f aca="false">F677+F678</f>
        <v>333.206516249264</v>
      </c>
      <c r="G679" s="11" t="n">
        <f aca="false">G677+G678</f>
        <v>328.466468898245</v>
      </c>
    </row>
    <row r="680" customFormat="false" ht="15" hidden="false" customHeight="false" outlineLevel="0" collapsed="false">
      <c r="A680" s="0" t="s">
        <v>594</v>
      </c>
      <c r="B680" s="0" t="s">
        <v>33</v>
      </c>
      <c r="C680" s="11" t="n">
        <f aca="false">C663*1</f>
        <v>25.4032258064516</v>
      </c>
      <c r="D680" s="11" t="n">
        <f aca="false">D663*$D$672</f>
        <v>44.2377949847935</v>
      </c>
      <c r="E680" s="11" t="n">
        <f aca="false">E663*1</f>
        <v>64.2278766734959</v>
      </c>
      <c r="F680" s="11" t="n">
        <f aca="false">F663*1</f>
        <v>81.0479485387997</v>
      </c>
      <c r="G680" s="11" t="n">
        <f aca="false">G663*1</f>
        <v>94.7547346104985</v>
      </c>
    </row>
    <row r="681" customFormat="false" ht="15" hidden="false" customHeight="false" outlineLevel="0" collapsed="false">
      <c r="A681" s="5" t="s">
        <v>595</v>
      </c>
      <c r="B681" s="0" t="s">
        <v>33</v>
      </c>
      <c r="C681" s="11" t="n">
        <f aca="false">C664*1</f>
        <v>66.3434641935484</v>
      </c>
      <c r="D681" s="11" t="n">
        <f aca="false">D664*$D$672</f>
        <v>73.4260176579227</v>
      </c>
      <c r="E681" s="11" t="n">
        <f aca="false">E664*$D$673</f>
        <v>77.0973185408189</v>
      </c>
      <c r="F681" s="11" t="n">
        <f aca="false">F664*$D$673</f>
        <v>80.9521844678598</v>
      </c>
      <c r="G681" s="11" t="n">
        <f aca="false">G664*$D$673</f>
        <v>84.9997936912528</v>
      </c>
    </row>
    <row r="682" customFormat="false" ht="15" hidden="false" customHeight="false" outlineLevel="0" collapsed="false">
      <c r="A682" s="5" t="s">
        <v>596</v>
      </c>
      <c r="B682" s="0" t="s">
        <v>33</v>
      </c>
      <c r="C682" s="11" t="n">
        <f aca="false">C680+C681</f>
        <v>91.74669</v>
      </c>
      <c r="D682" s="11" t="n">
        <f aca="false">D680+D681</f>
        <v>117.663812642716</v>
      </c>
      <c r="E682" s="11" t="n">
        <f aca="false">E680+E681</f>
        <v>141.325195214315</v>
      </c>
      <c r="F682" s="11" t="n">
        <f aca="false">F680+F681</f>
        <v>162.00013300666</v>
      </c>
      <c r="G682" s="11" t="n">
        <f aca="false">G680+G681</f>
        <v>179.754528301751</v>
      </c>
    </row>
    <row r="683" customFormat="false" ht="15" hidden="false" customHeight="false" outlineLevel="0" collapsed="false">
      <c r="A683" s="5" t="s">
        <v>458</v>
      </c>
      <c r="B683" s="0" t="s">
        <v>33</v>
      </c>
      <c r="C683" s="11" t="n">
        <f aca="false">r_ot*(C679+C682)</f>
        <v>74.27113</v>
      </c>
      <c r="D683" s="11" t="n">
        <f aca="false">r_ot*(D679+D682)</f>
        <v>90.981654</v>
      </c>
      <c r="E683" s="11" t="n">
        <f aca="false">r_ot*(E679+E682)</f>
        <v>95.417371494761</v>
      </c>
      <c r="F683" s="11" t="n">
        <f aca="false">r_ot*(F679+F682)</f>
        <v>101.427867919888</v>
      </c>
      <c r="G683" s="11" t="n">
        <f aca="false">r_ot*(G679+G682)</f>
        <v>104.093457257831</v>
      </c>
    </row>
    <row r="684" customFormat="false" ht="15" hidden="false" customHeight="false" outlineLevel="0" collapsed="false">
      <c r="A684" s="5" t="s">
        <v>428</v>
      </c>
      <c r="B684" s="0" t="s">
        <v>33</v>
      </c>
      <c r="C684" s="11" t="n">
        <f aca="false">C679+C682+C683</f>
        <v>436.889</v>
      </c>
      <c r="D684" s="11" t="n">
        <f aca="false">D679+D682+D683</f>
        <v>535.1862</v>
      </c>
      <c r="E684" s="11" t="n">
        <f aca="false">E679+E682+E683</f>
        <v>561.278655851535</v>
      </c>
      <c r="F684" s="11" t="n">
        <f aca="false">F679+F682+F683</f>
        <v>596.634517175811</v>
      </c>
      <c r="G684" s="11" t="n">
        <f aca="false">G679+G682+G683</f>
        <v>612.314454457827</v>
      </c>
      <c r="J684" s="8" t="s">
        <v>597</v>
      </c>
    </row>
    <row r="685" customFormat="false" ht="15" hidden="false" customHeight="false" outlineLevel="0" collapsed="false">
      <c r="A685" s="0" t="s">
        <v>598</v>
      </c>
      <c r="B685" s="0" t="s">
        <v>60</v>
      </c>
      <c r="C685" s="14" t="n">
        <f aca="false">(C677+C680)*(1+r_ot)/C684</f>
        <v>0.276884384673187</v>
      </c>
      <c r="D685" s="14" t="n">
        <f aca="false">(D677+D680)*(1+r_ot)/D684</f>
        <v>0.342032442779394</v>
      </c>
      <c r="E685" s="14" t="n">
        <f aca="false">(E677+E680)*(1+r_ot)/E684</f>
        <v>0.336553044775228</v>
      </c>
      <c r="F685" s="14" t="n">
        <f aca="false">(F677+F680)*(1+r_ot)/F684</f>
        <v>0.339977092373216</v>
      </c>
      <c r="G685" s="14" t="n">
        <f aca="false">(G677+G680)*(1+r_ot)/G684</f>
        <v>0.319884309131776</v>
      </c>
    </row>
    <row r="686" customFormat="false" ht="15" hidden="false" customHeight="false" outlineLevel="0" collapsed="false">
      <c r="A686" s="0" t="s">
        <v>599</v>
      </c>
      <c r="B686" s="0" t="s">
        <v>60</v>
      </c>
      <c r="C686" s="14" t="n">
        <f aca="false">C677*(1+r_ot)/C684</f>
        <v>0.206829299394429</v>
      </c>
      <c r="D686" s="14" t="n">
        <f aca="false">D677*(1+r_ot)/D684</f>
        <v>0.242443648870938</v>
      </c>
      <c r="E686" s="14" t="n">
        <f aca="false">E677*(1+r_ot)/E684</f>
        <v>0.198683943327622</v>
      </c>
      <c r="F686" s="14" t="n">
        <f aca="false">F677*(1+r_ot)/F684</f>
        <v>0.176312188720207</v>
      </c>
      <c r="G686" s="14" t="n">
        <f aca="false">G677*(1+r_ot)/G684</f>
        <v>0.133440350435574</v>
      </c>
      <c r="J686" s="5" t="s">
        <v>600</v>
      </c>
    </row>
    <row r="687" customFormat="false" ht="15" hidden="false" customHeight="false" outlineLevel="0" collapsed="false">
      <c r="A687" s="5" t="s">
        <v>466</v>
      </c>
      <c r="B687" s="0" t="s">
        <v>60</v>
      </c>
      <c r="C687" s="14" t="n">
        <f aca="false">a25_gp/a25_rev</f>
        <v>0.701498549974936</v>
      </c>
      <c r="D687" s="14" t="n">
        <f aca="false">D669/D684</f>
        <v>0.70639056761927</v>
      </c>
      <c r="E687" s="14" t="n">
        <f aca="false">gm_a+gm_b*LN(E684)+0</f>
        <v>0.730971530455046</v>
      </c>
      <c r="F687" s="14" t="n">
        <f aca="false">gm_a+gm_b*LN(F684)+0</f>
        <v>0.737924843209767</v>
      </c>
      <c r="G687" s="14" t="n">
        <f aca="false">gm_a+gm_b*LN(G684)+0</f>
        <v>0.740877629517539</v>
      </c>
      <c r="J687" s="8" t="s">
        <v>601</v>
      </c>
    </row>
    <row r="688" customFormat="false" ht="15" hidden="false" customHeight="false" outlineLevel="0" collapsed="false">
      <c r="A688" s="5" t="s">
        <v>463</v>
      </c>
      <c r="B688" s="0" t="s">
        <v>33</v>
      </c>
      <c r="C688" s="11" t="n">
        <f aca="false">C684*C687</f>
        <v>306.477</v>
      </c>
      <c r="D688" s="11" t="n">
        <f aca="false">D684*D687</f>
        <v>378.0504836</v>
      </c>
      <c r="E688" s="11" t="n">
        <f aca="false">E684*E687</f>
        <v>410.278718079547</v>
      </c>
      <c r="F688" s="11" t="n">
        <f aca="false">F684*F687</f>
        <v>440.271432540496</v>
      </c>
      <c r="G688" s="11" t="n">
        <f aca="false">G684*G687</f>
        <v>453.65008153804</v>
      </c>
    </row>
    <row r="689" customFormat="false" ht="15" hidden="false" customHeight="false" outlineLevel="0" collapsed="false">
      <c r="A689" s="5" t="s">
        <v>464</v>
      </c>
      <c r="B689" s="0" t="s">
        <v>33</v>
      </c>
      <c r="C689" s="11" t="n">
        <f aca="false">a25_sga</f>
        <v>121.487</v>
      </c>
      <c r="D689" s="11" t="n">
        <f aca="false">D688-D670</f>
        <v>139.4833836</v>
      </c>
      <c r="E689" s="11" t="n">
        <f aca="false">sg_f+sg_v*E684</f>
        <v>149.771572015985</v>
      </c>
      <c r="F689" s="11" t="n">
        <f aca="false">sg_f+sg_v*F684</f>
        <v>158.694225876992</v>
      </c>
      <c r="G689" s="11" t="n">
        <f aca="false">sg_f+sg_v*G684</f>
        <v>162.651325143971</v>
      </c>
      <c r="J689" s="8" t="s">
        <v>602</v>
      </c>
    </row>
    <row r="690" customFormat="false" ht="15" hidden="false" customHeight="false" outlineLevel="0" collapsed="false">
      <c r="A690" s="5" t="s">
        <v>432</v>
      </c>
      <c r="B690" s="0" t="s">
        <v>33</v>
      </c>
      <c r="C690" s="11" t="n">
        <f aca="false">C688-C689</f>
        <v>184.99</v>
      </c>
      <c r="D690" s="11" t="n">
        <f aca="false">D688-D689</f>
        <v>238.5671</v>
      </c>
      <c r="E690" s="11" t="n">
        <f aca="false">E688-E689</f>
        <v>260.507146063562</v>
      </c>
      <c r="F690" s="11" t="n">
        <f aca="false">F688-F689</f>
        <v>281.577206663504</v>
      </c>
      <c r="G690" s="11" t="n">
        <f aca="false">G688-G689</f>
        <v>290.998756394069</v>
      </c>
    </row>
    <row r="691" customFormat="false" ht="15" hidden="false" customHeight="false" outlineLevel="0" collapsed="false">
      <c r="A691" s="5" t="s">
        <v>603</v>
      </c>
      <c r="B691" s="0" t="s">
        <v>60</v>
      </c>
      <c r="C691" s="14" t="n">
        <f aca="false">C690/C684</f>
        <v>0.423425629851061</v>
      </c>
      <c r="D691" s="14" t="n">
        <f aca="false">D690/D684</f>
        <v>0.445764670314743</v>
      </c>
      <c r="E691" s="14" t="n">
        <f aca="false">E690/E684</f>
        <v>0.464131574125757</v>
      </c>
      <c r="F691" s="14" t="n">
        <f aca="false">F690/F684</f>
        <v>0.471942535266579</v>
      </c>
      <c r="G691" s="14" t="n">
        <f aca="false">G690/G684</f>
        <v>0.475243976808833</v>
      </c>
    </row>
    <row r="692" customFormat="false" ht="15" hidden="false" customHeight="false" outlineLevel="0" collapsed="false">
      <c r="A692" s="5" t="s">
        <v>435</v>
      </c>
      <c r="B692" s="0" t="s">
        <v>33</v>
      </c>
      <c r="C692" s="11" t="n">
        <f aca="false">a25_ni</f>
        <v>135.521</v>
      </c>
      <c r="D692" s="11" t="n">
        <f aca="false">D671</f>
        <v>167.95938138934</v>
      </c>
      <c r="E692" s="11" t="n">
        <f aca="false">E690*nioi</f>
        <v>187.871345265248</v>
      </c>
      <c r="F692" s="11" t="n">
        <f aca="false">F690*nioi</f>
        <v>203.066554646435</v>
      </c>
      <c r="G692" s="11" t="n">
        <f aca="false">G690*nioi</f>
        <v>209.861144541995</v>
      </c>
    </row>
    <row r="693" customFormat="false" ht="15" hidden="false" customHeight="false" outlineLevel="0" collapsed="false">
      <c r="A693" s="0" t="s">
        <v>524</v>
      </c>
      <c r="B693" s="0" t="s">
        <v>55</v>
      </c>
      <c r="C693" s="11" t="n">
        <f aca="false">a25_eps</f>
        <v>1249.84</v>
      </c>
      <c r="D693" s="11" t="n">
        <f aca="false">D692*1000/shares</f>
        <v>1548.28555816522</v>
      </c>
      <c r="E693" s="11" t="n">
        <f aca="false">E692*1000/shares</f>
        <v>1731.83830674502</v>
      </c>
      <c r="F693" s="11" t="n">
        <f aca="false">F692*1000/shares</f>
        <v>1871.91100196204</v>
      </c>
      <c r="G693" s="11" t="n">
        <f aca="false">G692*1000/shares</f>
        <v>1934.54498716687</v>
      </c>
    </row>
    <row r="694" customFormat="false" ht="15" hidden="false" customHeight="false" outlineLevel="0" collapsed="false">
      <c r="A694" s="5" t="s">
        <v>604</v>
      </c>
      <c r="B694" s="0" t="s">
        <v>33</v>
      </c>
      <c r="C694" s="16" t="n">
        <f aca="false">ABS(C684-a25_rev)+ABS(C690-a25_oi)+ABS(D684-D668)+ABS(D690-D670)</f>
        <v>0.000999999999976353</v>
      </c>
    </row>
    <row r="695" customFormat="false" ht="15" hidden="false" customHeight="false" outlineLevel="0" collapsed="false">
      <c r="A695" s="1" t="s">
        <v>605</v>
      </c>
    </row>
    <row r="696" customFormat="false" ht="15" hidden="false" customHeight="false" outlineLevel="0" collapsed="false">
      <c r="A696" s="5" t="s">
        <v>606</v>
      </c>
      <c r="B696" s="0" t="s">
        <v>60</v>
      </c>
      <c r="C696" s="14" t="n">
        <f aca="false">a25_gp/a25_rev</f>
        <v>0.701498549974936</v>
      </c>
      <c r="D696" s="14" t="n">
        <f aca="false">gm_a+gm_b*LN(D665)+0</f>
        <v>0.719560968325925</v>
      </c>
      <c r="E696" s="14" t="n">
        <f aca="false">gm_a+gm_b*LN(E665)+0</f>
        <v>0.727031485450823</v>
      </c>
      <c r="F696" s="14" t="n">
        <f aca="false">gm_a+gm_b*LN(F665)+0</f>
        <v>0.734005486917711</v>
      </c>
      <c r="G696" s="14" t="n">
        <f aca="false">gm_a+gm_b*LN(G665)+0</f>
        <v>0.736836815265558</v>
      </c>
    </row>
    <row r="697" customFormat="false" ht="15" hidden="false" customHeight="false" outlineLevel="0" collapsed="false">
      <c r="A697" s="5" t="s">
        <v>607</v>
      </c>
      <c r="B697" s="0" t="s">
        <v>33</v>
      </c>
      <c r="C697" s="11" t="n">
        <f aca="false">a25_oi</f>
        <v>184.989</v>
      </c>
      <c r="D697" s="11" t="n">
        <f aca="false">D665*D696-sg_f-sg_v*D665</f>
        <v>229.090250584347</v>
      </c>
      <c r="E697" s="11" t="n">
        <f aca="false">E665*E696-sg_f-sg_v*E665</f>
        <v>249.231465635763</v>
      </c>
      <c r="F697" s="11" t="n">
        <f aca="false">F665*F696-sg_f-sg_v*F665</f>
        <v>269.512489187435</v>
      </c>
      <c r="G697" s="11" t="n">
        <f aca="false">G665*G696-sg_f-sg_v*G665</f>
        <v>278.178259862014</v>
      </c>
    </row>
    <row r="698" customFormat="false" ht="15" hidden="false" customHeight="false" outlineLevel="0" collapsed="false">
      <c r="A698" s="0" t="s">
        <v>608</v>
      </c>
      <c r="B698" s="0" t="s">
        <v>55</v>
      </c>
      <c r="C698" s="11" t="n">
        <f aca="false">a25_eps</f>
        <v>1249.84</v>
      </c>
      <c r="D698" s="11" t="n">
        <f aca="false">D697*nioi_v01*1000/shares</f>
        <v>1547.08471946928</v>
      </c>
      <c r="E698" s="11" t="n">
        <f aca="false">E697*nioi_v01*1000/shares</f>
        <v>1683.10170822419</v>
      </c>
      <c r="F698" s="11" t="n">
        <f aca="false">F697*nioi_v01*1000/shares</f>
        <v>1820.06284712886</v>
      </c>
      <c r="G698" s="11" t="n">
        <f aca="false">G697*nioi_v01*1000/shares</f>
        <v>1878.58424364778</v>
      </c>
    </row>
    <row r="710" customFormat="false" ht="15" hidden="false" customHeight="false" outlineLevel="0" collapsed="false">
      <c r="A710" s="4" t="s">
        <v>830</v>
      </c>
    </row>
    <row r="711" customFormat="false" ht="15" hidden="false" customHeight="false" outlineLevel="0" collapsed="false">
      <c r="A711" s="6" t="s">
        <v>22</v>
      </c>
      <c r="B711" s="6" t="s">
        <v>23</v>
      </c>
      <c r="C711" s="9" t="s">
        <v>532</v>
      </c>
      <c r="D711" s="9" t="s">
        <v>533</v>
      </c>
      <c r="E711" s="9" t="s">
        <v>534</v>
      </c>
      <c r="F711" s="9" t="s">
        <v>535</v>
      </c>
      <c r="G711" s="9" t="s">
        <v>536</v>
      </c>
      <c r="H711" s="9" t="s">
        <v>537</v>
      </c>
      <c r="I711" s="9" t="s">
        <v>538</v>
      </c>
      <c r="J711" s="6" t="s">
        <v>515</v>
      </c>
    </row>
    <row r="712" customFormat="false" ht="15" hidden="false" customHeight="false" outlineLevel="0" collapsed="false">
      <c r="A712" s="1" t="s">
        <v>539</v>
      </c>
    </row>
    <row r="713" customFormat="false" ht="15" hidden="false" customHeight="false" outlineLevel="0" collapsed="false">
      <c r="A713" s="0" t="s">
        <v>540</v>
      </c>
      <c r="B713" s="0" t="s">
        <v>100</v>
      </c>
      <c r="C713" s="19" t="n">
        <f aca="false">hsA_25</f>
        <v>2.22511470588235</v>
      </c>
      <c r="D713" s="19" t="n">
        <f aca="false">hsA_26</f>
        <v>3.782695</v>
      </c>
      <c r="E713" s="19" t="n">
        <f aca="false">hsA_27</f>
        <v>5.86317725</v>
      </c>
      <c r="F713" s="19" t="n">
        <f aca="false">hsA_28</f>
        <v>8.5016070125</v>
      </c>
      <c r="G713" s="19" t="n">
        <f aca="false">hsA_29</f>
        <v>11.477169466875</v>
      </c>
      <c r="H713" s="19" t="n">
        <f aca="false">G713*(1+g_tail)</f>
        <v>12.6248864135625</v>
      </c>
      <c r="I713" s="19" t="n">
        <f aca="false">H713*(1+g_tail)</f>
        <v>13.8873750549188</v>
      </c>
      <c r="J713" s="8" t="s">
        <v>541</v>
      </c>
    </row>
    <row r="714" customFormat="false" ht="15" hidden="false" customHeight="false" outlineLevel="0" collapsed="false">
      <c r="A714" s="0" t="s">
        <v>542</v>
      </c>
      <c r="B714" s="0" t="s">
        <v>543</v>
      </c>
      <c r="C714" s="19" t="n">
        <f aca="false">den_25</f>
        <v>24</v>
      </c>
      <c r="D714" s="19" t="n">
        <f aca="false">den_26</f>
        <v>24</v>
      </c>
      <c r="E714" s="19" t="n">
        <f aca="false">den_27</f>
        <v>26</v>
      </c>
      <c r="F714" s="19" t="n">
        <f aca="false">den_28</f>
        <v>28</v>
      </c>
      <c r="G714" s="19" t="n">
        <f aca="false">den_29</f>
        <v>30</v>
      </c>
      <c r="H714" s="19" t="n">
        <f aca="false">den_30</f>
        <v>32</v>
      </c>
      <c r="I714" s="19" t="n">
        <f aca="false">den_30</f>
        <v>32</v>
      </c>
    </row>
    <row r="715" customFormat="false" ht="15" hidden="false" customHeight="false" outlineLevel="0" collapsed="false">
      <c r="A715" s="5" t="s">
        <v>544</v>
      </c>
      <c r="B715" s="5" t="s">
        <v>152</v>
      </c>
      <c r="C715" s="19" t="n">
        <f aca="false">stk_25</f>
        <v>10</v>
      </c>
      <c r="D715" s="19" t="n">
        <f aca="false">stk_26</f>
        <v>12</v>
      </c>
      <c r="E715" s="19" t="n">
        <f aca="false">stk_27</f>
        <v>12.5</v>
      </c>
      <c r="F715" s="19" t="n">
        <f aca="false">stk_28</f>
        <v>14</v>
      </c>
      <c r="G715" s="19" t="n">
        <f aca="false">stk_29</f>
        <v>15</v>
      </c>
      <c r="H715" s="19" t="n">
        <f aca="false">stk_30</f>
        <v>16</v>
      </c>
      <c r="I715" s="19" t="n">
        <f aca="false">stk_30</f>
        <v>16</v>
      </c>
    </row>
    <row r="716" customFormat="false" ht="15" hidden="false" customHeight="false" outlineLevel="0" collapsed="false">
      <c r="A716" s="0" t="s">
        <v>545</v>
      </c>
      <c r="B716" s="5" t="s">
        <v>546</v>
      </c>
      <c r="C716" s="19" t="n">
        <f aca="false">C713*8/C714</f>
        <v>0.741704901960783</v>
      </c>
      <c r="D716" s="19" t="n">
        <f aca="false">D713*8/D714</f>
        <v>1.26089833333333</v>
      </c>
      <c r="E716" s="19" t="n">
        <f aca="false">E713*8/E714</f>
        <v>1.80405453846154</v>
      </c>
      <c r="F716" s="19" t="n">
        <f aca="false">F713*8/F714</f>
        <v>2.429030575</v>
      </c>
      <c r="G716" s="19" t="n">
        <f aca="false">G713*8/G714</f>
        <v>3.0605785245</v>
      </c>
      <c r="H716" s="19" t="n">
        <f aca="false">H713*8/H714</f>
        <v>3.15622160339063</v>
      </c>
      <c r="I716" s="19" t="n">
        <f aca="false">I713*8/I714</f>
        <v>3.47184376372969</v>
      </c>
      <c r="J716" s="8" t="s">
        <v>547</v>
      </c>
    </row>
    <row r="717" customFormat="false" ht="15" hidden="false" customHeight="false" outlineLevel="0" collapsed="false">
      <c r="A717" s="0" t="s">
        <v>548</v>
      </c>
      <c r="B717" s="5" t="s">
        <v>549</v>
      </c>
      <c r="C717" s="19" t="n">
        <f aca="false">C716*(1+s_stk/C715)</f>
        <v>0.964216372549018</v>
      </c>
      <c r="D717" s="19" t="n">
        <f aca="false">D716*(1+s_stk/D715)</f>
        <v>1.57612291666667</v>
      </c>
      <c r="E717" s="19" t="n">
        <f aca="false">E716*(1+s_stk/E715)</f>
        <v>2.23702762769231</v>
      </c>
      <c r="F717" s="19" t="n">
        <f aca="false">F716*(1+s_stk/F715)</f>
        <v>2.94953712678571</v>
      </c>
      <c r="G717" s="19" t="n">
        <f aca="false">G716*(1+s_stk/G715)</f>
        <v>3.6726942294</v>
      </c>
      <c r="H717" s="19" t="n">
        <f aca="false">H716*(1+s_stk/H715)</f>
        <v>3.74801315402637</v>
      </c>
      <c r="I717" s="19" t="n">
        <f aca="false">I716*(1+s_stk/I715)</f>
        <v>4.12281446942901</v>
      </c>
      <c r="J717" s="5" t="s">
        <v>550</v>
      </c>
    </row>
    <row r="718" customFormat="false" ht="15" hidden="false" customHeight="false" outlineLevel="0" collapsed="false">
      <c r="A718" s="5" t="s">
        <v>551</v>
      </c>
      <c r="B718" s="0" t="s">
        <v>60</v>
      </c>
      <c r="C718" s="22" t="n">
        <f aca="false">hbp_25_hi*hb_on</f>
        <v>0</v>
      </c>
      <c r="D718" s="22" t="n">
        <f aca="false">hbp_26_hi*hb_on</f>
        <v>0</v>
      </c>
      <c r="E718" s="22" t="n">
        <f aca="false">hbp_27_hi*hb_on</f>
        <v>0.05</v>
      </c>
      <c r="F718" s="22" t="n">
        <f aca="false">hbp_28_hi*hb_on</f>
        <v>0.15</v>
      </c>
      <c r="G718" s="22" t="n">
        <f aca="false">hbp_29_hi*hb_on</f>
        <v>0.3</v>
      </c>
      <c r="H718" s="22" t="n">
        <f aca="false">hbp_30_hi*hb_on</f>
        <v>0.4</v>
      </c>
      <c r="I718" s="22" t="n">
        <f aca="false">hbp_30_hi*hb_on</f>
        <v>0.4</v>
      </c>
    </row>
    <row r="719" customFormat="false" ht="15" hidden="false" customHeight="false" outlineLevel="0" collapsed="false">
      <c r="A719" s="0" t="s">
        <v>552</v>
      </c>
      <c r="B719" s="5" t="s">
        <v>549</v>
      </c>
      <c r="C719" s="19" t="n">
        <f aca="false">C717*(1+C718*hb_eff)</f>
        <v>0.964216372549018</v>
      </c>
      <c r="D719" s="19" t="n">
        <f aca="false">D717*(1+D718*hb_eff)</f>
        <v>1.57612291666667</v>
      </c>
      <c r="E719" s="19" t="n">
        <f aca="false">E717*(1+E718*hb_eff)</f>
        <v>2.24821276583077</v>
      </c>
      <c r="F719" s="19" t="n">
        <f aca="false">F717*(1+F718*hb_eff)</f>
        <v>2.9937801836875</v>
      </c>
      <c r="G719" s="19" t="n">
        <f aca="false">G717*(1+G718*hb_eff)</f>
        <v>3.782875056282</v>
      </c>
      <c r="H719" s="19" t="n">
        <f aca="false">H717*(1+H718*hb_eff)</f>
        <v>3.89793368018742</v>
      </c>
      <c r="I719" s="19" t="n">
        <f aca="false">I717*(1+I718*hb_eff)</f>
        <v>4.28772704820617</v>
      </c>
      <c r="J719" s="5" t="s">
        <v>553</v>
      </c>
    </row>
    <row r="720" customFormat="false" ht="15" hidden="false" customHeight="false" outlineLevel="0" collapsed="false">
      <c r="A720" s="0" t="s">
        <v>554</v>
      </c>
      <c r="B720" s="5" t="s">
        <v>549</v>
      </c>
      <c r="C720" s="19" t="n">
        <f aca="false">MAX(0,D719-C719)+dlt*C719</f>
        <v>0.70832818137255</v>
      </c>
      <c r="D720" s="19" t="n">
        <f aca="false">MAX(0,E719-D719)+dlt*D719</f>
        <v>0.829702140830769</v>
      </c>
      <c r="E720" s="19" t="n">
        <f aca="false">MAX(0,F719-E719)+dlt*E719</f>
        <v>0.970388694439807</v>
      </c>
      <c r="F720" s="19" t="n">
        <f aca="false">MAX(0,G719-F719)+dlt*F719</f>
        <v>1.08847289096325</v>
      </c>
      <c r="G720" s="19" t="n">
        <f aca="false">MAX(0,H719-G719)+dlt*G719</f>
        <v>0.493346129533622</v>
      </c>
      <c r="H720" s="19" t="n">
        <f aca="false">MAX(0,I719-H719)+dlt*H719</f>
        <v>0.779586736037485</v>
      </c>
      <c r="J720" s="5" t="s">
        <v>555</v>
      </c>
    </row>
    <row r="721" customFormat="false" ht="15" hidden="false" customHeight="false" outlineLevel="0" collapsed="false">
      <c r="A721" s="0" t="s">
        <v>556</v>
      </c>
      <c r="B721" s="5" t="s">
        <v>181</v>
      </c>
      <c r="C721" s="21" t="n">
        <f aca="false">cw_25</f>
        <v>670</v>
      </c>
      <c r="D721" s="21" t="n">
        <f aca="false">cw_26</f>
        <v>1107.85762580894</v>
      </c>
      <c r="E721" s="21" t="n">
        <f aca="false">cw_27</f>
        <v>2096.42857142857</v>
      </c>
      <c r="F721" s="21" t="n">
        <f aca="false">cw_28*um28_A</f>
        <v>2620.08928571429</v>
      </c>
      <c r="G721" s="21" t="n">
        <f aca="false">cw_29*um29_A</f>
        <v>3013.32589285714</v>
      </c>
      <c r="H721" s="21" t="n">
        <f aca="false">G721*(1+g_tail)</f>
        <v>3314.65848214285</v>
      </c>
      <c r="I721" s="21" t="n">
        <f aca="false">H721*(1+g_tail)</f>
        <v>3646.12433035714</v>
      </c>
      <c r="J721" s="5" t="s">
        <v>557</v>
      </c>
    </row>
    <row r="722" customFormat="false" ht="15" hidden="false" customHeight="false" outlineLevel="0" collapsed="false">
      <c r="A722" s="5" t="s">
        <v>558</v>
      </c>
      <c r="B722" s="5" t="s">
        <v>181</v>
      </c>
      <c r="C722" s="21" t="n">
        <f aca="false">MAX(0,D721-C721)+dlt*C721</f>
        <v>504.85762580894</v>
      </c>
      <c r="D722" s="21" t="n">
        <f aca="false">MAX(0,E721-D721)+dlt*D721</f>
        <v>1099.35670820052</v>
      </c>
      <c r="E722" s="21" t="n">
        <f aca="false">MAX(0,F721-E721)+dlt*E721</f>
        <v>733.303571428577</v>
      </c>
      <c r="F722" s="21" t="n">
        <f aca="false">MAX(0,G721-F721)+dlt*F721</f>
        <v>655.245535714279</v>
      </c>
      <c r="G722" s="21" t="n">
        <f aca="false">MAX(0,H721-G721)+dlt*G721</f>
        <v>602.665178571428</v>
      </c>
      <c r="H722" s="21" t="n">
        <f aca="false">MAX(0,I721-H721)+dlt*H721</f>
        <v>662.931696428571</v>
      </c>
    </row>
    <row r="723" customFormat="false" ht="15" hidden="false" customHeight="false" outlineLevel="0" collapsed="false">
      <c r="A723" s="1" t="s">
        <v>559</v>
      </c>
    </row>
    <row r="724" customFormat="false" ht="15" hidden="false" customHeight="false" outlineLevel="0" collapsed="false">
      <c r="A724" s="0" t="s">
        <v>560</v>
      </c>
      <c r="B724" s="0" t="s">
        <v>561</v>
      </c>
      <c r="C724" s="16" t="n">
        <f aca="false">ai_25*w_hbm/(0.75*C720+0.25*D720)</f>
        <v>48.7361318997225</v>
      </c>
      <c r="J724" s="5" t="s">
        <v>562</v>
      </c>
    </row>
    <row r="725" customFormat="false" ht="15" hidden="false" customHeight="false" outlineLevel="0" collapsed="false">
      <c r="A725" s="5" t="s">
        <v>563</v>
      </c>
      <c r="B725" s="0" t="s">
        <v>564</v>
      </c>
      <c r="C725" s="18" t="n">
        <f aca="false">ai_25*(1-w_hbm)/(0.75*C722+0.25*D722)</f>
        <v>0.0596802610360141</v>
      </c>
    </row>
    <row r="726" customFormat="false" ht="15" hidden="false" customHeight="false" outlineLevel="0" collapsed="false">
      <c r="A726" s="1" t="s">
        <v>565</v>
      </c>
    </row>
    <row r="727" customFormat="false" ht="15" hidden="false" customHeight="false" outlineLevel="0" collapsed="false">
      <c r="A727" s="5" t="s">
        <v>566</v>
      </c>
      <c r="B727" s="0" t="s">
        <v>80</v>
      </c>
      <c r="C727" s="16" t="n">
        <f aca="false">1-sh_loss/sh*0</f>
        <v>1</v>
      </c>
      <c r="D727" s="16" t="n">
        <f aca="false">1-sh_loss/sh*0.25</f>
        <v>1</v>
      </c>
      <c r="E727" s="16" t="n">
        <f aca="false">1-sh_loss/sh*0.5</f>
        <v>1</v>
      </c>
      <c r="F727" s="16" t="n">
        <f aca="false">1-sh_loss/sh*0.75</f>
        <v>1</v>
      </c>
      <c r="G727" s="16" t="n">
        <f aca="false">1-sh_loss/sh*1</f>
        <v>1</v>
      </c>
    </row>
    <row r="728" customFormat="false" ht="15" hidden="false" customHeight="false" outlineLevel="0" collapsed="false">
      <c r="A728" s="0" t="s">
        <v>567</v>
      </c>
      <c r="B728" s="0" t="s">
        <v>33</v>
      </c>
      <c r="C728" s="11" t="n">
        <f aca="false">$C$724*(0.75*C720+0.25*D720)*C727</f>
        <v>36</v>
      </c>
      <c r="D728" s="11" t="n">
        <f aca="false">$C$724*(0.75*D720+0.25*E720)*D727</f>
        <v>42.1506025813124</v>
      </c>
      <c r="E728" s="11" t="n">
        <f aca="false">$C$724*(0.75*E720+0.25*F720)*E727</f>
        <v>48.7317331504778</v>
      </c>
      <c r="F728" s="11" t="n">
        <f aca="false">$C$724*(0.75*F720+0.25*G720)*F727</f>
        <v>45.796914297735</v>
      </c>
      <c r="G728" s="11" t="n">
        <f aca="false">$C$724*(0.75*G720+0.25*H720)*G727</f>
        <v>27.5313470295754</v>
      </c>
    </row>
    <row r="729" customFormat="false" ht="15" hidden="false" customHeight="false" outlineLevel="0" collapsed="false">
      <c r="A729" s="5" t="s">
        <v>568</v>
      </c>
      <c r="B729" s="0" t="s">
        <v>33</v>
      </c>
      <c r="C729" s="11" t="n">
        <f aca="false">$C$725*(0.75*C722+0.25*D722)*C727</f>
        <v>39</v>
      </c>
      <c r="D729" s="11" t="n">
        <f aca="false">$C$725*(0.75*D722+0.25*E722)*D727</f>
        <v>60.1483586282001</v>
      </c>
      <c r="E729" s="11" t="n">
        <f aca="false">$C$725*(0.75*E722+0.25*F722)*E727</f>
        <v>42.5991175746519</v>
      </c>
      <c r="F729" s="11" t="n">
        <f aca="false">$C$725*(0.75*F722+0.25*G722)*F727</f>
        <v>38.320722254198</v>
      </c>
      <c r="G729" s="11" t="n">
        <f aca="false">$C$725*(0.75*G722+0.25*H722)*G727</f>
        <v>36.8663955538204</v>
      </c>
    </row>
    <row r="730" customFormat="false" ht="15" hidden="false" customHeight="false" outlineLevel="0" collapsed="false">
      <c r="A730" s="0" t="s">
        <v>569</v>
      </c>
      <c r="B730" s="0" t="s">
        <v>33</v>
      </c>
      <c r="C730" s="11" t="n">
        <f aca="false">C728+C729</f>
        <v>75</v>
      </c>
      <c r="D730" s="11" t="n">
        <f aca="false">D728+D729</f>
        <v>102.298961209512</v>
      </c>
      <c r="E730" s="11" t="n">
        <f aca="false">E728+E729</f>
        <v>91.3308507251297</v>
      </c>
      <c r="F730" s="11" t="n">
        <f aca="false">F728+F729</f>
        <v>84.117636551933</v>
      </c>
      <c r="G730" s="11" t="n">
        <f aca="false">G728+G729</f>
        <v>64.3977425833958</v>
      </c>
    </row>
    <row r="731" customFormat="false" ht="15" hidden="false" customHeight="false" outlineLevel="0" collapsed="false">
      <c r="A731" s="5" t="s">
        <v>570</v>
      </c>
      <c r="B731" s="0" t="s">
        <v>33</v>
      </c>
      <c r="C731" s="11" t="n">
        <f aca="false">eq_25-ai_25</f>
        <v>195.87118</v>
      </c>
      <c r="D731" s="11" t="n">
        <f aca="false">C731*(1+g_non)*D727/C727</f>
        <v>207.6234508</v>
      </c>
      <c r="E731" s="11" t="n">
        <f aca="false">D731*(1+g_non)*E727/D727</f>
        <v>220.080857848</v>
      </c>
      <c r="F731" s="11" t="n">
        <f aca="false">E731*(1+g_non)*F727/E727</f>
        <v>233.28570931888</v>
      </c>
      <c r="G731" s="11" t="n">
        <f aca="false">F731*(1+g_non)*G727/F727</f>
        <v>247.282851878013</v>
      </c>
    </row>
    <row r="732" customFormat="false" ht="15" hidden="false" customHeight="false" outlineLevel="0" collapsed="false">
      <c r="A732" s="0" t="s">
        <v>571</v>
      </c>
      <c r="B732" s="0" t="s">
        <v>80</v>
      </c>
      <c r="C732" s="19" t="n">
        <f aca="false">w_hbm*(0.75*C719+0.25*D719)/(0.75*C719+0.25*D719)+(1-w_hbm)*(0.75*C721+0.25*D721)/(0.75*C721+0.25*D721)</f>
        <v>1</v>
      </c>
      <c r="D732" s="19" t="n">
        <f aca="false">w_hbm*(0.75*D719+0.25*E719)/(0.75*C719+0.25*D719)+(1-w_hbm)*(0.75*D721+0.25*E721)/(0.75*C721+0.25*D721)</f>
        <v>1.65332325956069</v>
      </c>
      <c r="E732" s="19" t="n">
        <f aca="false">w_hbm*(0.75*E719+0.25*F719)/(0.75*C719+0.25*D719)+(1-w_hbm)*(0.75*E721+0.25*F721)/(0.75*C721+0.25*D721)</f>
        <v>2.53193971881505</v>
      </c>
      <c r="F732" s="19" t="n">
        <f aca="false">w_hbm*(0.75*F719+0.25*G719)/(0.75*C719+0.25*D719)+(1-w_hbm)*(0.75*F721+0.25*G721)/(0.75*C721+0.25*D721)</f>
        <v>3.18454155193452</v>
      </c>
      <c r="G732" s="19" t="n">
        <f aca="false">w_hbm*(0.75*G719+0.25*H719)/(0.75*C719+0.25*D719)+(1-w_hbm)*(0.75*G721+0.25*H721)/(0.75*C721+0.25*D721)</f>
        <v>3.69818516095028</v>
      </c>
      <c r="J732" s="8" t="s">
        <v>572</v>
      </c>
    </row>
    <row r="733" customFormat="false" ht="15" hidden="false" customHeight="false" outlineLevel="0" collapsed="false">
      <c r="A733" s="0" t="s">
        <v>573</v>
      </c>
      <c r="B733" s="0" t="s">
        <v>33</v>
      </c>
      <c r="C733" s="11" t="n">
        <f aca="false">tl_25*w_tlai*C732</f>
        <v>25.4032258064516</v>
      </c>
      <c r="D733" s="11" t="n">
        <f aca="false">tl_25*w_tlai*D732</f>
        <v>41.9997440936787</v>
      </c>
      <c r="E733" s="11" t="n">
        <f aca="false">tl_25*w_tlai*E732</f>
        <v>64.3194364053823</v>
      </c>
      <c r="F733" s="11" t="n">
        <f aca="false">tl_25*w_tlai*F732</f>
        <v>80.8976281338205</v>
      </c>
      <c r="G733" s="11" t="n">
        <f aca="false">tl_25*w_tlai*G732</f>
        <v>93.9458327176886</v>
      </c>
      <c r="J733" s="5" t="s">
        <v>574</v>
      </c>
    </row>
    <row r="734" customFormat="false" ht="15" hidden="false" customHeight="false" outlineLevel="0" collapsed="false">
      <c r="A734" s="5" t="s">
        <v>575</v>
      </c>
      <c r="B734" s="0" t="s">
        <v>33</v>
      </c>
      <c r="C734" s="11" t="n">
        <f aca="false">tl_25*(1-w_tlai)</f>
        <v>66.3434641935484</v>
      </c>
      <c r="D734" s="11" t="n">
        <f aca="false">C734*(1+g_tl)</f>
        <v>69.6606374032258</v>
      </c>
      <c r="E734" s="11" t="n">
        <f aca="false">D734*(1+g_tl)</f>
        <v>73.1436692733871</v>
      </c>
      <c r="F734" s="11" t="n">
        <f aca="false">E734*(1+g_tl)</f>
        <v>76.8008527370565</v>
      </c>
      <c r="G734" s="11" t="n">
        <f aca="false">F734*(1+g_tl)</f>
        <v>80.6408953739093</v>
      </c>
    </row>
    <row r="735" customFormat="false" ht="15" hidden="false" customHeight="false" outlineLevel="0" collapsed="false">
      <c r="A735" s="5" t="s">
        <v>576</v>
      </c>
      <c r="B735" s="0" t="s">
        <v>33</v>
      </c>
      <c r="C735" s="11" t="n">
        <f aca="false">(C730+C731+C733+C734)*(1+r_ot)</f>
        <v>436.889</v>
      </c>
      <c r="D735" s="11" t="n">
        <f aca="false">(D730+D731+D733+D734)*(1+r_ot)</f>
        <v>507.931076513755</v>
      </c>
      <c r="E735" s="11" t="n">
        <f aca="false">(E730+E731+E733+E734)*(1+r_ot)</f>
        <v>540.813029219156</v>
      </c>
      <c r="F735" s="11" t="n">
        <f aca="false">(F730+F731+F733+F734)*(1+r_ot)</f>
        <v>572.411839447819</v>
      </c>
      <c r="G735" s="11" t="n">
        <f aca="false">(G730+G731+G733+G734)*(1+r_ot)</f>
        <v>585.864244039767</v>
      </c>
      <c r="J735" s="8" t="s">
        <v>577</v>
      </c>
    </row>
    <row r="736" customFormat="false" ht="15" hidden="false" customHeight="false" outlineLevel="0" collapsed="false">
      <c r="A736" s="1" t="s">
        <v>578</v>
      </c>
    </row>
    <row r="737" customFormat="false" ht="15" hidden="false" customHeight="false" outlineLevel="0" collapsed="false">
      <c r="A737" s="5" t="s">
        <v>579</v>
      </c>
      <c r="B737" s="0" t="s">
        <v>33</v>
      </c>
      <c r="D737" s="11" t="n">
        <f aca="false">g3_rev*(1+g_q4)</f>
        <v>145.6862</v>
      </c>
    </row>
    <row r="738" customFormat="false" ht="15" hidden="false" customHeight="false" outlineLevel="0" collapsed="false">
      <c r="A738" s="0" t="s">
        <v>580</v>
      </c>
      <c r="B738" s="0" t="s">
        <v>33</v>
      </c>
      <c r="D738" s="11" t="n">
        <f aca="false">q26h1_rev+g3_rev+D737</f>
        <v>535.1862</v>
      </c>
    </row>
    <row r="739" customFormat="false" ht="15" hidden="false" customHeight="false" outlineLevel="0" collapsed="false">
      <c r="A739" s="0" t="s">
        <v>581</v>
      </c>
      <c r="B739" s="0" t="s">
        <v>33</v>
      </c>
      <c r="D739" s="11" t="n">
        <f aca="false">q26h1_gp+(g3_rev+D737)*gm_q3</f>
        <v>378.0504836</v>
      </c>
    </row>
    <row r="740" customFormat="false" ht="15" hidden="false" customHeight="false" outlineLevel="0" collapsed="false">
      <c r="A740" s="0" t="s">
        <v>582</v>
      </c>
      <c r="B740" s="0" t="s">
        <v>33</v>
      </c>
      <c r="D740" s="11" t="n">
        <f aca="false">q26h1_oi+g3_oi+D737*m_q4</f>
        <v>238.5671</v>
      </c>
    </row>
    <row r="741" customFormat="false" ht="15" hidden="false" customHeight="false" outlineLevel="0" collapsed="false">
      <c r="A741" s="0" t="s">
        <v>583</v>
      </c>
      <c r="B741" s="0" t="s">
        <v>33</v>
      </c>
      <c r="D741" s="11" t="n">
        <f aca="false">q26h1_ni+g3_ni+D737*m_q4*nioi</f>
        <v>167.95938138934</v>
      </c>
    </row>
    <row r="742" customFormat="false" ht="15" hidden="false" customHeight="false" outlineLevel="0" collapsed="false">
      <c r="A742" s="5" t="s">
        <v>584</v>
      </c>
      <c r="B742" s="0" t="s">
        <v>80</v>
      </c>
      <c r="D742" s="16" t="n">
        <f aca="false">D738/D735</f>
        <v>1.05365909814637</v>
      </c>
      <c r="J742" s="8" t="s">
        <v>585</v>
      </c>
    </row>
    <row r="743" customFormat="false" ht="15" hidden="false" customHeight="false" outlineLevel="0" collapsed="false">
      <c r="A743" s="5" t="s">
        <v>586</v>
      </c>
      <c r="B743" s="0" t="s">
        <v>80</v>
      </c>
      <c r="D743" s="16" t="n">
        <f aca="false">1+anc_carry*(D742-1)</f>
        <v>1.05365909814637</v>
      </c>
      <c r="J743" s="8" t="s">
        <v>587</v>
      </c>
    </row>
    <row r="744" customFormat="false" ht="15" hidden="false" customHeight="false" outlineLevel="0" collapsed="false">
      <c r="A744" s="1" t="s">
        <v>588</v>
      </c>
    </row>
    <row r="745" customFormat="false" ht="15" hidden="false" customHeight="false" outlineLevel="0" collapsed="false">
      <c r="A745" s="0" t="s">
        <v>589</v>
      </c>
      <c r="B745" s="0" t="s">
        <v>33</v>
      </c>
      <c r="C745" s="11" t="n">
        <f aca="false">C728*1</f>
        <v>36</v>
      </c>
      <c r="D745" s="11" t="n">
        <f aca="false">D728*$D$742</f>
        <v>44.4123659021518</v>
      </c>
      <c r="E745" s="11" t="n">
        <f aca="false">E728*1</f>
        <v>48.7317331504778</v>
      </c>
      <c r="F745" s="11" t="n">
        <f aca="false">F728*1</f>
        <v>45.796914297735</v>
      </c>
      <c r="G745" s="11" t="n">
        <f aca="false">G728*1</f>
        <v>27.5313470295754</v>
      </c>
    </row>
    <row r="746" customFormat="false" ht="15" hidden="false" customHeight="false" outlineLevel="0" collapsed="false">
      <c r="A746" s="5" t="s">
        <v>590</v>
      </c>
      <c r="B746" s="0" t="s">
        <v>33</v>
      </c>
      <c r="C746" s="11" t="n">
        <f aca="false">C729*1</f>
        <v>39</v>
      </c>
      <c r="D746" s="11" t="n">
        <f aca="false">D729*$D$742</f>
        <v>63.3758653071739</v>
      </c>
      <c r="E746" s="11" t="n">
        <f aca="false">E729*1</f>
        <v>42.5991175746519</v>
      </c>
      <c r="F746" s="11" t="n">
        <f aca="false">F729*1</f>
        <v>38.320722254198</v>
      </c>
      <c r="G746" s="11" t="n">
        <f aca="false">G729*1</f>
        <v>36.8663955538204</v>
      </c>
    </row>
    <row r="747" customFormat="false" ht="15" hidden="false" customHeight="false" outlineLevel="0" collapsed="false">
      <c r="A747" s="0" t="s">
        <v>591</v>
      </c>
      <c r="B747" s="0" t="s">
        <v>33</v>
      </c>
      <c r="C747" s="11" t="n">
        <f aca="false">C745+C746</f>
        <v>75</v>
      </c>
      <c r="D747" s="11" t="n">
        <f aca="false">D745+D746</f>
        <v>107.788231209326</v>
      </c>
      <c r="E747" s="11" t="n">
        <f aca="false">E745+E746</f>
        <v>91.3308507251297</v>
      </c>
      <c r="F747" s="11" t="n">
        <f aca="false">F745+F746</f>
        <v>84.117636551933</v>
      </c>
      <c r="G747" s="11" t="n">
        <f aca="false">G745+G746</f>
        <v>64.3977425833958</v>
      </c>
    </row>
    <row r="748" customFormat="false" ht="15" hidden="false" customHeight="false" outlineLevel="0" collapsed="false">
      <c r="A748" s="5" t="s">
        <v>592</v>
      </c>
      <c r="B748" s="0" t="s">
        <v>33</v>
      </c>
      <c r="C748" s="11" t="n">
        <f aca="false">C731*1</f>
        <v>195.87118</v>
      </c>
      <c r="D748" s="11" t="n">
        <f aca="false">D731*$D$742</f>
        <v>218.764337923966</v>
      </c>
      <c r="E748" s="11" t="n">
        <f aca="false">E731*$D$743</f>
        <v>231.890198199404</v>
      </c>
      <c r="F748" s="11" t="n">
        <f aca="false">F731*$D$743</f>
        <v>245.803610091368</v>
      </c>
      <c r="G748" s="11" t="n">
        <f aca="false">G731*$D$743</f>
        <v>260.55182669685</v>
      </c>
    </row>
    <row r="749" customFormat="false" ht="15" hidden="false" customHeight="false" outlineLevel="0" collapsed="false">
      <c r="A749" s="5" t="s">
        <v>593</v>
      </c>
      <c r="B749" s="0" t="s">
        <v>33</v>
      </c>
      <c r="C749" s="11" t="n">
        <f aca="false">C747+C748</f>
        <v>270.87118</v>
      </c>
      <c r="D749" s="11" t="n">
        <f aca="false">D747+D748</f>
        <v>326.552569133292</v>
      </c>
      <c r="E749" s="11" t="n">
        <f aca="false">E747+E748</f>
        <v>323.221048924534</v>
      </c>
      <c r="F749" s="11" t="n">
        <f aca="false">F747+F748</f>
        <v>329.921246643301</v>
      </c>
      <c r="G749" s="11" t="n">
        <f aca="false">G747+G748</f>
        <v>324.949569280246</v>
      </c>
    </row>
    <row r="750" customFormat="false" ht="15" hidden="false" customHeight="false" outlineLevel="0" collapsed="false">
      <c r="A750" s="0" t="s">
        <v>594</v>
      </c>
      <c r="B750" s="0" t="s">
        <v>33</v>
      </c>
      <c r="C750" s="11" t="n">
        <f aca="false">C733*1</f>
        <v>25.4032258064516</v>
      </c>
      <c r="D750" s="11" t="n">
        <f aca="false">D733*$D$742</f>
        <v>44.253412484124</v>
      </c>
      <c r="E750" s="11" t="n">
        <f aca="false">E733*1</f>
        <v>64.3194364053823</v>
      </c>
      <c r="F750" s="11" t="n">
        <f aca="false">F733*1</f>
        <v>80.8976281338205</v>
      </c>
      <c r="G750" s="11" t="n">
        <f aca="false">G733*1</f>
        <v>93.9458327176886</v>
      </c>
    </row>
    <row r="751" customFormat="false" ht="15" hidden="false" customHeight="false" outlineLevel="0" collapsed="false">
      <c r="A751" s="5" t="s">
        <v>595</v>
      </c>
      <c r="B751" s="0" t="s">
        <v>33</v>
      </c>
      <c r="C751" s="11" t="n">
        <f aca="false">C734*1</f>
        <v>66.3434641935484</v>
      </c>
      <c r="D751" s="11" t="n">
        <f aca="false">D734*$D$742</f>
        <v>73.3985643825844</v>
      </c>
      <c r="E751" s="11" t="n">
        <f aca="false">E734*$D$743</f>
        <v>77.0684926017136</v>
      </c>
      <c r="F751" s="11" t="n">
        <f aca="false">F734*$D$743</f>
        <v>80.9219172317993</v>
      </c>
      <c r="G751" s="11" t="n">
        <f aca="false">G734*$D$743</f>
        <v>84.9680130933893</v>
      </c>
    </row>
    <row r="752" customFormat="false" ht="15" hidden="false" customHeight="false" outlineLevel="0" collapsed="false">
      <c r="A752" s="5" t="s">
        <v>596</v>
      </c>
      <c r="B752" s="0" t="s">
        <v>33</v>
      </c>
      <c r="C752" s="11" t="n">
        <f aca="false">C750+C751</f>
        <v>91.74669</v>
      </c>
      <c r="D752" s="11" t="n">
        <f aca="false">D750+D751</f>
        <v>117.651976866708</v>
      </c>
      <c r="E752" s="11" t="n">
        <f aca="false">E750+E751</f>
        <v>141.387929007096</v>
      </c>
      <c r="F752" s="11" t="n">
        <f aca="false">F750+F751</f>
        <v>161.81954536562</v>
      </c>
      <c r="G752" s="11" t="n">
        <f aca="false">G750+G751</f>
        <v>178.913845811078</v>
      </c>
    </row>
    <row r="753" customFormat="false" ht="15" hidden="false" customHeight="false" outlineLevel="0" collapsed="false">
      <c r="A753" s="5" t="s">
        <v>458</v>
      </c>
      <c r="B753" s="0" t="s">
        <v>33</v>
      </c>
      <c r="C753" s="11" t="n">
        <f aca="false">r_ot*(C749+C752)</f>
        <v>74.27113</v>
      </c>
      <c r="D753" s="11" t="n">
        <f aca="false">r_ot*(D749+D752)</f>
        <v>90.981654</v>
      </c>
      <c r="E753" s="11" t="n">
        <f aca="false">r_ot*(E749+E752)</f>
        <v>95.1608749980446</v>
      </c>
      <c r="F753" s="11" t="n">
        <f aca="false">r_ot*(F749+F752)</f>
        <v>100.717993543996</v>
      </c>
      <c r="G753" s="11" t="n">
        <f aca="false">r_ot*(G749+G752)</f>
        <v>103.200940440392</v>
      </c>
    </row>
    <row r="754" customFormat="false" ht="15" hidden="false" customHeight="false" outlineLevel="0" collapsed="false">
      <c r="A754" s="5" t="s">
        <v>428</v>
      </c>
      <c r="B754" s="0" t="s">
        <v>33</v>
      </c>
      <c r="C754" s="11" t="n">
        <f aca="false">C749+C752+C753</f>
        <v>436.889</v>
      </c>
      <c r="D754" s="11" t="n">
        <f aca="false">D749+D752+D753</f>
        <v>535.1862</v>
      </c>
      <c r="E754" s="11" t="n">
        <f aca="false">E749+E752+E753</f>
        <v>559.769852929674</v>
      </c>
      <c r="F754" s="11" t="n">
        <f aca="false">F749+F752+F753</f>
        <v>592.458785552917</v>
      </c>
      <c r="G754" s="11" t="n">
        <f aca="false">G749+G752+G753</f>
        <v>607.064355531716</v>
      </c>
      <c r="J754" s="8" t="s">
        <v>597</v>
      </c>
    </row>
    <row r="755" customFormat="false" ht="15" hidden="false" customHeight="false" outlineLevel="0" collapsed="false">
      <c r="A755" s="0" t="s">
        <v>598</v>
      </c>
      <c r="B755" s="0" t="s">
        <v>60</v>
      </c>
      <c r="C755" s="14" t="n">
        <f aca="false">(C747+C750)*(1+r_ot)/C754</f>
        <v>0.276884384673187</v>
      </c>
      <c r="D755" s="14" t="n">
        <f aca="false">(D747+D750)*(1+r_ot)/D754</f>
        <v>0.342278450462886</v>
      </c>
      <c r="E755" s="14" t="n">
        <f aca="false">(E747+E750)*(1+r_ot)/E754</f>
        <v>0.335013515716903</v>
      </c>
      <c r="F755" s="14" t="n">
        <f aca="false">(F747+F750)*(1+r_ot)/F754</f>
        <v>0.335573674926606</v>
      </c>
      <c r="G755" s="14" t="n">
        <f aca="false">(G747+G750)*(1+r_ot)/G754</f>
        <v>0.314258925253355</v>
      </c>
    </row>
    <row r="756" customFormat="false" ht="15" hidden="false" customHeight="false" outlineLevel="0" collapsed="false">
      <c r="A756" s="0" t="s">
        <v>599</v>
      </c>
      <c r="B756" s="0" t="s">
        <v>60</v>
      </c>
      <c r="C756" s="14" t="n">
        <f aca="false">C747*(1+r_ot)/C754</f>
        <v>0.206829299394429</v>
      </c>
      <c r="D756" s="14" t="n">
        <f aca="false">D747*(1+r_ot)/D754</f>
        <v>0.24265449820346</v>
      </c>
      <c r="E756" s="14" t="n">
        <f aca="false">E747*(1+r_ot)/E754</f>
        <v>0.196575733709928</v>
      </c>
      <c r="F756" s="14" t="n">
        <f aca="false">F747*(1+r_ot)/F754</f>
        <v>0.171060928682132</v>
      </c>
      <c r="G756" s="14" t="n">
        <f aca="false">G747*(1+r_ot)/G754</f>
        <v>0.127807934957381</v>
      </c>
      <c r="J756" s="5" t="s">
        <v>600</v>
      </c>
    </row>
    <row r="757" customFormat="false" ht="15" hidden="false" customHeight="false" outlineLevel="0" collapsed="false">
      <c r="A757" s="5" t="s">
        <v>466</v>
      </c>
      <c r="B757" s="0" t="s">
        <v>60</v>
      </c>
      <c r="C757" s="14" t="n">
        <f aca="false">a25_gp/a25_rev</f>
        <v>0.701498549974936</v>
      </c>
      <c r="D757" s="14" t="n">
        <f aca="false">D739/D754</f>
        <v>0.70639056761927</v>
      </c>
      <c r="E757" s="14" t="n">
        <f aca="false">gm_a+gm_b*LN(E754)+0</f>
        <v>0.730665136856916</v>
      </c>
      <c r="F757" s="14" t="n">
        <f aca="false">gm_a+gm_b*LN(F754)+0</f>
        <v>0.737125396086426</v>
      </c>
      <c r="G757" s="14" t="n">
        <f aca="false">gm_a+gm_b*LN(G754)+0</f>
        <v>0.739897456280656</v>
      </c>
      <c r="J757" s="8" t="s">
        <v>601</v>
      </c>
    </row>
    <row r="758" customFormat="false" ht="15" hidden="false" customHeight="false" outlineLevel="0" collapsed="false">
      <c r="A758" s="5" t="s">
        <v>463</v>
      </c>
      <c r="B758" s="0" t="s">
        <v>33</v>
      </c>
      <c r="C758" s="11" t="n">
        <f aca="false">C754*C757</f>
        <v>306.477</v>
      </c>
      <c r="D758" s="11" t="n">
        <f aca="false">D754*D757</f>
        <v>378.0504836</v>
      </c>
      <c r="E758" s="11" t="n">
        <f aca="false">E754*E757</f>
        <v>409.004316199236</v>
      </c>
      <c r="F758" s="11" t="n">
        <f aca="false">F754*F757</f>
        <v>436.716416965576</v>
      </c>
      <c r="G758" s="11" t="n">
        <f aca="false">G754*G757</f>
        <v>449.165372456572</v>
      </c>
    </row>
    <row r="759" customFormat="false" ht="15" hidden="false" customHeight="false" outlineLevel="0" collapsed="false">
      <c r="A759" s="5" t="s">
        <v>464</v>
      </c>
      <c r="B759" s="0" t="s">
        <v>33</v>
      </c>
      <c r="C759" s="11" t="n">
        <f aca="false">a25_sga</f>
        <v>121.487</v>
      </c>
      <c r="D759" s="11" t="n">
        <f aca="false">D758-D740</f>
        <v>139.4833836</v>
      </c>
      <c r="E759" s="11" t="n">
        <f aca="false">sg_f+sg_v*E754</f>
        <v>149.390799897531</v>
      </c>
      <c r="F759" s="11" t="n">
        <f aca="false">sg_f+sg_v*F754</f>
        <v>157.64040887206</v>
      </c>
      <c r="G759" s="11" t="n">
        <f aca="false">sg_f+sg_v*G754</f>
        <v>161.326373249176</v>
      </c>
      <c r="J759" s="8" t="s">
        <v>602</v>
      </c>
    </row>
    <row r="760" customFormat="false" ht="15" hidden="false" customHeight="false" outlineLevel="0" collapsed="false">
      <c r="A760" s="5" t="s">
        <v>432</v>
      </c>
      <c r="B760" s="0" t="s">
        <v>33</v>
      </c>
      <c r="C760" s="11" t="n">
        <f aca="false">C758-C759</f>
        <v>184.99</v>
      </c>
      <c r="D760" s="11" t="n">
        <f aca="false">D758-D759</f>
        <v>238.5671</v>
      </c>
      <c r="E760" s="11" t="n">
        <f aca="false">E758-E759</f>
        <v>259.613516301705</v>
      </c>
      <c r="F760" s="11" t="n">
        <f aca="false">F758-F759</f>
        <v>279.076008093517</v>
      </c>
      <c r="G760" s="11" t="n">
        <f aca="false">G758-G759</f>
        <v>287.838999207396</v>
      </c>
    </row>
    <row r="761" customFormat="false" ht="15" hidden="false" customHeight="false" outlineLevel="0" collapsed="false">
      <c r="A761" s="5" t="s">
        <v>603</v>
      </c>
      <c r="B761" s="0" t="s">
        <v>60</v>
      </c>
      <c r="C761" s="14" t="n">
        <f aca="false">C760/C754</f>
        <v>0.423425629851061</v>
      </c>
      <c r="D761" s="14" t="n">
        <f aca="false">D760/D754</f>
        <v>0.445764670314743</v>
      </c>
      <c r="E761" s="14" t="n">
        <f aca="false">E760/E754</f>
        <v>0.463786170232218</v>
      </c>
      <c r="F761" s="14" t="n">
        <f aca="false">F760/F754</f>
        <v>0.47104712580651</v>
      </c>
      <c r="G761" s="14" t="n">
        <f aca="false">G760/G754</f>
        <v>0.474149069344195</v>
      </c>
    </row>
    <row r="762" customFormat="false" ht="15" hidden="false" customHeight="false" outlineLevel="0" collapsed="false">
      <c r="A762" s="5" t="s">
        <v>435</v>
      </c>
      <c r="B762" s="0" t="s">
        <v>33</v>
      </c>
      <c r="C762" s="11" t="n">
        <f aca="false">a25_ni</f>
        <v>135.521</v>
      </c>
      <c r="D762" s="11" t="n">
        <f aca="false">D741</f>
        <v>167.95938138934</v>
      </c>
      <c r="E762" s="11" t="n">
        <f aca="false">E760*nioi</f>
        <v>187.226881464289</v>
      </c>
      <c r="F762" s="11" t="n">
        <f aca="false">F760*nioi</f>
        <v>201.262751767245</v>
      </c>
      <c r="G762" s="11" t="n">
        <f aca="false">G760*nioi</f>
        <v>207.582405388994</v>
      </c>
    </row>
    <row r="763" customFormat="false" ht="15" hidden="false" customHeight="false" outlineLevel="0" collapsed="false">
      <c r="A763" s="0" t="s">
        <v>524</v>
      </c>
      <c r="B763" s="0" t="s">
        <v>55</v>
      </c>
      <c r="C763" s="11" t="n">
        <f aca="false">a25_eps</f>
        <v>1249.84</v>
      </c>
      <c r="D763" s="11" t="n">
        <f aca="false">D762*1000/shares</f>
        <v>1548.28555816522</v>
      </c>
      <c r="E763" s="11" t="n">
        <f aca="false">E762*1000/shares</f>
        <v>1725.89750136975</v>
      </c>
      <c r="F763" s="11" t="n">
        <f aca="false">F762*1000/shares</f>
        <v>1855.28316060823</v>
      </c>
      <c r="G763" s="11" t="n">
        <f aca="false">G762*1000/shares</f>
        <v>1913.53908149947</v>
      </c>
    </row>
    <row r="764" customFormat="false" ht="15" hidden="false" customHeight="false" outlineLevel="0" collapsed="false">
      <c r="A764" s="5" t="s">
        <v>604</v>
      </c>
      <c r="B764" s="0" t="s">
        <v>33</v>
      </c>
      <c r="C764" s="16" t="n">
        <f aca="false">ABS(C754-a25_rev)+ABS(C760-a25_oi)+ABS(D754-D738)+ABS(D760-D740)</f>
        <v>0.000999999999976353</v>
      </c>
    </row>
    <row r="765" customFormat="false" ht="15" hidden="false" customHeight="false" outlineLevel="0" collapsed="false">
      <c r="A765" s="1" t="s">
        <v>605</v>
      </c>
    </row>
    <row r="766" customFormat="false" ht="15" hidden="false" customHeight="false" outlineLevel="0" collapsed="false">
      <c r="A766" s="5" t="s">
        <v>606</v>
      </c>
      <c r="B766" s="0" t="s">
        <v>60</v>
      </c>
      <c r="C766" s="14" t="n">
        <f aca="false">a25_gp/a25_rev</f>
        <v>0.701498549974936</v>
      </c>
      <c r="D766" s="14" t="n">
        <f aca="false">gm_a+gm_b*LN(D735)+0</f>
        <v>0.719603534705269</v>
      </c>
      <c r="E766" s="14" t="n">
        <f aca="false">gm_a+gm_b*LN(E735)+0</f>
        <v>0.726743592920374</v>
      </c>
      <c r="F766" s="14" t="n">
        <f aca="false">gm_a+gm_b*LN(F735)+0</f>
        <v>0.733207213022049</v>
      </c>
      <c r="G766" s="14" t="n">
        <f aca="false">gm_a+gm_b*LN(G735)+0</f>
        <v>0.735851317875669</v>
      </c>
    </row>
    <row r="767" customFormat="false" ht="15" hidden="false" customHeight="false" outlineLevel="0" collapsed="false">
      <c r="A767" s="5" t="s">
        <v>607</v>
      </c>
      <c r="B767" s="0" t="s">
        <v>33</v>
      </c>
      <c r="C767" s="11" t="n">
        <f aca="false">a25_oi</f>
        <v>184.989</v>
      </c>
      <c r="D767" s="11" t="n">
        <f aca="false">D735*D766-sg_f-sg_v*D735</f>
        <v>229.200596404682</v>
      </c>
      <c r="E767" s="11" t="n">
        <f aca="false">E735*E766-sg_f-sg_v*E735</f>
        <v>248.425681431424</v>
      </c>
      <c r="F767" s="11" t="n">
        <f aca="false">F735*F766-sg_f-sg_v*F735</f>
        <v>267.115268961917</v>
      </c>
      <c r="G767" s="11" t="n">
        <f aca="false">G735*G766-sg_f-sg_v*G735</f>
        <v>275.13281208386</v>
      </c>
    </row>
    <row r="768" customFormat="false" ht="15" hidden="false" customHeight="false" outlineLevel="0" collapsed="false">
      <c r="A768" s="0" t="s">
        <v>608</v>
      </c>
      <c r="B768" s="0" t="s">
        <v>55</v>
      </c>
      <c r="C768" s="11" t="n">
        <f aca="false">a25_eps</f>
        <v>1249.84</v>
      </c>
      <c r="D768" s="11" t="n">
        <f aca="false">D767*nioi_v01*1000/shares</f>
        <v>1547.82990322137</v>
      </c>
      <c r="E768" s="11" t="n">
        <f aca="false">E767*nioi_v01*1000/shares</f>
        <v>1677.66011292914</v>
      </c>
      <c r="F768" s="11" t="n">
        <f aca="false">F767*nioi_v01*1000/shares</f>
        <v>1803.87401861852</v>
      </c>
      <c r="G768" s="11" t="n">
        <f aca="false">G767*nioi_v01*1000/shares</f>
        <v>1858.01782622275</v>
      </c>
    </row>
    <row r="780" customFormat="false" ht="15" hidden="false" customHeight="false" outlineLevel="0" collapsed="false">
      <c r="A780" s="4" t="s">
        <v>831</v>
      </c>
    </row>
    <row r="781" customFormat="false" ht="15" hidden="false" customHeight="false" outlineLevel="0" collapsed="false">
      <c r="A781" s="6" t="s">
        <v>22</v>
      </c>
      <c r="B781" s="6" t="s">
        <v>23</v>
      </c>
      <c r="C781" s="9" t="s">
        <v>532</v>
      </c>
      <c r="D781" s="9" t="s">
        <v>533</v>
      </c>
      <c r="E781" s="9" t="s">
        <v>534</v>
      </c>
      <c r="F781" s="9" t="s">
        <v>535</v>
      </c>
      <c r="G781" s="9" t="s">
        <v>536</v>
      </c>
      <c r="H781" s="9" t="s">
        <v>537</v>
      </c>
      <c r="I781" s="9" t="s">
        <v>538</v>
      </c>
      <c r="J781" s="6" t="s">
        <v>515</v>
      </c>
    </row>
    <row r="782" customFormat="false" ht="15" hidden="false" customHeight="false" outlineLevel="0" collapsed="false">
      <c r="A782" s="1" t="s">
        <v>539</v>
      </c>
    </row>
    <row r="783" customFormat="false" ht="15" hidden="false" customHeight="false" outlineLevel="0" collapsed="false">
      <c r="A783" s="0" t="s">
        <v>540</v>
      </c>
      <c r="B783" s="0" t="s">
        <v>100</v>
      </c>
      <c r="C783" s="19" t="n">
        <f aca="false">hsA_25</f>
        <v>2.22511470588235</v>
      </c>
      <c r="D783" s="19" t="n">
        <f aca="false">hsA_26</f>
        <v>3.782695</v>
      </c>
      <c r="E783" s="19" t="n">
        <f aca="false">hsA_27</f>
        <v>5.86317725</v>
      </c>
      <c r="F783" s="19" t="n">
        <f aca="false">hsA_28</f>
        <v>8.5016070125</v>
      </c>
      <c r="G783" s="19" t="n">
        <f aca="false">hsA_29</f>
        <v>11.477169466875</v>
      </c>
      <c r="H783" s="19" t="n">
        <f aca="false">G783*(1+g_tail)</f>
        <v>12.6248864135625</v>
      </c>
      <c r="I783" s="19" t="n">
        <f aca="false">H783*(1+g_tail)</f>
        <v>13.8873750549188</v>
      </c>
      <c r="J783" s="8" t="s">
        <v>541</v>
      </c>
    </row>
    <row r="784" customFormat="false" ht="15" hidden="false" customHeight="false" outlineLevel="0" collapsed="false">
      <c r="A784" s="0" t="s">
        <v>542</v>
      </c>
      <c r="B784" s="0" t="s">
        <v>543</v>
      </c>
      <c r="C784" s="19" t="n">
        <f aca="false">den_25_lo</f>
        <v>22</v>
      </c>
      <c r="D784" s="19" t="n">
        <f aca="false">den_26_lo</f>
        <v>24</v>
      </c>
      <c r="E784" s="19" t="n">
        <f aca="false">den_27_lo</f>
        <v>24</v>
      </c>
      <c r="F784" s="19" t="n">
        <f aca="false">den_28_lo</f>
        <v>24</v>
      </c>
      <c r="G784" s="19" t="n">
        <f aca="false">den_29_lo</f>
        <v>26</v>
      </c>
      <c r="H784" s="19" t="n">
        <f aca="false">den_30_lo</f>
        <v>28</v>
      </c>
      <c r="I784" s="19" t="n">
        <f aca="false">den_30_lo</f>
        <v>28</v>
      </c>
    </row>
    <row r="785" customFormat="false" ht="15" hidden="false" customHeight="false" outlineLevel="0" collapsed="false">
      <c r="A785" s="5" t="s">
        <v>544</v>
      </c>
      <c r="B785" s="5" t="s">
        <v>152</v>
      </c>
      <c r="C785" s="19" t="n">
        <f aca="false">stk_25</f>
        <v>10</v>
      </c>
      <c r="D785" s="19" t="n">
        <f aca="false">stk_26</f>
        <v>12</v>
      </c>
      <c r="E785" s="19" t="n">
        <f aca="false">stk_27</f>
        <v>12.5</v>
      </c>
      <c r="F785" s="19" t="n">
        <f aca="false">stk_28</f>
        <v>14</v>
      </c>
      <c r="G785" s="19" t="n">
        <f aca="false">stk_29</f>
        <v>15</v>
      </c>
      <c r="H785" s="19" t="n">
        <f aca="false">stk_30</f>
        <v>16</v>
      </c>
      <c r="I785" s="19" t="n">
        <f aca="false">stk_30</f>
        <v>16</v>
      </c>
    </row>
    <row r="786" customFormat="false" ht="15" hidden="false" customHeight="false" outlineLevel="0" collapsed="false">
      <c r="A786" s="0" t="s">
        <v>545</v>
      </c>
      <c r="B786" s="5" t="s">
        <v>546</v>
      </c>
      <c r="C786" s="19" t="n">
        <f aca="false">C783*8/C784</f>
        <v>0.809132620320855</v>
      </c>
      <c r="D786" s="19" t="n">
        <f aca="false">D783*8/D784</f>
        <v>1.26089833333333</v>
      </c>
      <c r="E786" s="19" t="n">
        <f aca="false">E783*8/E784</f>
        <v>1.95439241666667</v>
      </c>
      <c r="F786" s="19" t="n">
        <f aca="false">F783*8/F784</f>
        <v>2.83386900416667</v>
      </c>
      <c r="G786" s="19" t="n">
        <f aca="false">G783*8/G784</f>
        <v>3.53143675903846</v>
      </c>
      <c r="H786" s="19" t="n">
        <f aca="false">H783*8/H784</f>
        <v>3.607110403875</v>
      </c>
      <c r="I786" s="19" t="n">
        <f aca="false">I783*8/I784</f>
        <v>3.9678214442625</v>
      </c>
      <c r="J786" s="8" t="s">
        <v>547</v>
      </c>
    </row>
    <row r="787" customFormat="false" ht="15" hidden="false" customHeight="false" outlineLevel="0" collapsed="false">
      <c r="A787" s="0" t="s">
        <v>548</v>
      </c>
      <c r="B787" s="5" t="s">
        <v>549</v>
      </c>
      <c r="C787" s="19" t="n">
        <f aca="false">C786*(1+s_stk/C785)</f>
        <v>1.05187240641711</v>
      </c>
      <c r="D787" s="19" t="n">
        <f aca="false">D786*(1+s_stk/D785)</f>
        <v>1.57612291666667</v>
      </c>
      <c r="E787" s="19" t="n">
        <f aca="false">E786*(1+s_stk/E785)</f>
        <v>2.42344659666667</v>
      </c>
      <c r="F787" s="19" t="n">
        <f aca="false">F786*(1+s_stk/F785)</f>
        <v>3.44112664791667</v>
      </c>
      <c r="G787" s="19" t="n">
        <f aca="false">G786*(1+s_stk/G785)</f>
        <v>4.23772411084615</v>
      </c>
      <c r="H787" s="19" t="n">
        <f aca="false">H786*(1+s_stk/H785)</f>
        <v>4.28344360460156</v>
      </c>
      <c r="I787" s="19" t="n">
        <f aca="false">I786*(1+s_stk/I785)</f>
        <v>4.71178796506172</v>
      </c>
      <c r="J787" s="5" t="s">
        <v>550</v>
      </c>
    </row>
    <row r="788" customFormat="false" ht="15" hidden="false" customHeight="false" outlineLevel="0" collapsed="false">
      <c r="A788" s="5" t="s">
        <v>551</v>
      </c>
      <c r="B788" s="0" t="s">
        <v>60</v>
      </c>
      <c r="C788" s="22" t="n">
        <f aca="false">hbp_25*hb_on</f>
        <v>0</v>
      </c>
      <c r="D788" s="22" t="n">
        <f aca="false">hbp_26*hb_on</f>
        <v>0</v>
      </c>
      <c r="E788" s="22" t="n">
        <f aca="false">hbp_27*hb_on</f>
        <v>0</v>
      </c>
      <c r="F788" s="22" t="n">
        <f aca="false">hbp_28*hb_on</f>
        <v>0.05</v>
      </c>
      <c r="G788" s="22" t="n">
        <f aca="false">hbp_29*hb_on</f>
        <v>0.15</v>
      </c>
      <c r="H788" s="22" t="n">
        <f aca="false">hbp_30*hb_on</f>
        <v>0.25</v>
      </c>
      <c r="I788" s="22" t="n">
        <f aca="false">hbp_30*hb_on</f>
        <v>0.25</v>
      </c>
    </row>
    <row r="789" customFormat="false" ht="15" hidden="false" customHeight="false" outlineLevel="0" collapsed="false">
      <c r="A789" s="0" t="s">
        <v>552</v>
      </c>
      <c r="B789" s="5" t="s">
        <v>549</v>
      </c>
      <c r="C789" s="19" t="n">
        <f aca="false">C787*(1+C788*hb_eff)</f>
        <v>1.05187240641711</v>
      </c>
      <c r="D789" s="19" t="n">
        <f aca="false">D787*(1+D788*hb_eff)</f>
        <v>1.57612291666667</v>
      </c>
      <c r="E789" s="19" t="n">
        <f aca="false">E787*(1+E788*hb_eff)</f>
        <v>2.42344659666667</v>
      </c>
      <c r="F789" s="19" t="n">
        <f aca="false">F787*(1+F788*hb_eff)</f>
        <v>3.45833228115625</v>
      </c>
      <c r="G789" s="19" t="n">
        <f aca="false">G787*(1+G788*hb_eff)</f>
        <v>4.30128997250885</v>
      </c>
      <c r="H789" s="19" t="n">
        <f aca="false">H787*(1+H788*hb_eff)</f>
        <v>4.3905296947166</v>
      </c>
      <c r="I789" s="19" t="n">
        <f aca="false">I787*(1+I788*hb_eff)</f>
        <v>4.82958266418826</v>
      </c>
      <c r="J789" s="5" t="s">
        <v>553</v>
      </c>
    </row>
    <row r="790" customFormat="false" ht="15" hidden="false" customHeight="false" outlineLevel="0" collapsed="false">
      <c r="A790" s="0" t="s">
        <v>554</v>
      </c>
      <c r="B790" s="5" t="s">
        <v>549</v>
      </c>
      <c r="C790" s="19" t="n">
        <f aca="false">MAX(0,D789-C789)+dlt*C789</f>
        <v>0.629437750891267</v>
      </c>
      <c r="D790" s="19" t="n">
        <f aca="false">MAX(0,E789-D789)+dlt*D789</f>
        <v>1.00493597166667</v>
      </c>
      <c r="E790" s="19" t="n">
        <f aca="false">MAX(0,F789-E789)+dlt*E789</f>
        <v>1.27723034415625</v>
      </c>
      <c r="F790" s="19" t="n">
        <f aca="false">MAX(0,G789-F789)+dlt*F789</f>
        <v>1.18879091946822</v>
      </c>
      <c r="G790" s="19" t="n">
        <f aca="false">MAX(0,H789-G789)+dlt*G789</f>
        <v>0.519368719458641</v>
      </c>
      <c r="H790" s="19" t="n">
        <f aca="false">MAX(0,I789-H789)+dlt*H789</f>
        <v>0.87810593894332</v>
      </c>
      <c r="J790" s="5" t="s">
        <v>555</v>
      </c>
    </row>
    <row r="791" customFormat="false" ht="15" hidden="false" customHeight="false" outlineLevel="0" collapsed="false">
      <c r="A791" s="0" t="s">
        <v>556</v>
      </c>
      <c r="B791" s="5" t="s">
        <v>181</v>
      </c>
      <c r="C791" s="21" t="n">
        <f aca="false">cw_25</f>
        <v>670</v>
      </c>
      <c r="D791" s="21" t="n">
        <f aca="false">cw_26</f>
        <v>1107.85762580894</v>
      </c>
      <c r="E791" s="21" t="n">
        <f aca="false">cw_27</f>
        <v>2096.42857142857</v>
      </c>
      <c r="F791" s="21" t="n">
        <f aca="false">cw_28*um28_A</f>
        <v>2620.08928571429</v>
      </c>
      <c r="G791" s="21" t="n">
        <f aca="false">cw_29*um29_A</f>
        <v>3013.32589285714</v>
      </c>
      <c r="H791" s="21" t="n">
        <f aca="false">G791*(1+g_tail)</f>
        <v>3314.65848214285</v>
      </c>
      <c r="I791" s="21" t="n">
        <f aca="false">H791*(1+g_tail)</f>
        <v>3646.12433035714</v>
      </c>
      <c r="J791" s="5" t="s">
        <v>557</v>
      </c>
    </row>
    <row r="792" customFormat="false" ht="15" hidden="false" customHeight="false" outlineLevel="0" collapsed="false">
      <c r="A792" s="5" t="s">
        <v>558</v>
      </c>
      <c r="B792" s="5" t="s">
        <v>181</v>
      </c>
      <c r="C792" s="21" t="n">
        <f aca="false">MAX(0,D791-C791)+dlt*C791</f>
        <v>504.85762580894</v>
      </c>
      <c r="D792" s="21" t="n">
        <f aca="false">MAX(0,E791-D791)+dlt*D791</f>
        <v>1099.35670820052</v>
      </c>
      <c r="E792" s="21" t="n">
        <f aca="false">MAX(0,F791-E791)+dlt*E791</f>
        <v>733.303571428577</v>
      </c>
      <c r="F792" s="21" t="n">
        <f aca="false">MAX(0,G791-F791)+dlt*F791</f>
        <v>655.245535714279</v>
      </c>
      <c r="G792" s="21" t="n">
        <f aca="false">MAX(0,H791-G791)+dlt*G791</f>
        <v>602.665178571428</v>
      </c>
      <c r="H792" s="21" t="n">
        <f aca="false">MAX(0,I791-H791)+dlt*H791</f>
        <v>662.931696428571</v>
      </c>
    </row>
    <row r="793" customFormat="false" ht="15" hidden="false" customHeight="false" outlineLevel="0" collapsed="false">
      <c r="A793" s="1" t="s">
        <v>559</v>
      </c>
    </row>
    <row r="794" customFormat="false" ht="15" hidden="false" customHeight="false" outlineLevel="0" collapsed="false">
      <c r="A794" s="0" t="s">
        <v>560</v>
      </c>
      <c r="B794" s="0" t="s">
        <v>561</v>
      </c>
      <c r="C794" s="16" t="n">
        <f aca="false">ai_25*w_hbm/(0.75*C790+0.25*D790)</f>
        <v>49.7710320937961</v>
      </c>
      <c r="J794" s="5" t="s">
        <v>562</v>
      </c>
    </row>
    <row r="795" customFormat="false" ht="15" hidden="false" customHeight="false" outlineLevel="0" collapsed="false">
      <c r="A795" s="5" t="s">
        <v>563</v>
      </c>
      <c r="B795" s="0" t="s">
        <v>564</v>
      </c>
      <c r="C795" s="18" t="n">
        <f aca="false">ai_25*(1-w_hbm)/(0.75*C792+0.25*D792)</f>
        <v>0.0596802610360141</v>
      </c>
    </row>
    <row r="796" customFormat="false" ht="15" hidden="false" customHeight="false" outlineLevel="0" collapsed="false">
      <c r="A796" s="1" t="s">
        <v>565</v>
      </c>
    </row>
    <row r="797" customFormat="false" ht="15" hidden="false" customHeight="false" outlineLevel="0" collapsed="false">
      <c r="A797" s="5" t="s">
        <v>566</v>
      </c>
      <c r="B797" s="0" t="s">
        <v>80</v>
      </c>
      <c r="C797" s="16" t="n">
        <f aca="false">1-sh_loss/sh*0</f>
        <v>1</v>
      </c>
      <c r="D797" s="16" t="n">
        <f aca="false">1-sh_loss/sh*0.25</f>
        <v>1</v>
      </c>
      <c r="E797" s="16" t="n">
        <f aca="false">1-sh_loss/sh*0.5</f>
        <v>1</v>
      </c>
      <c r="F797" s="16" t="n">
        <f aca="false">1-sh_loss/sh*0.75</f>
        <v>1</v>
      </c>
      <c r="G797" s="16" t="n">
        <f aca="false">1-sh_loss/sh*1</f>
        <v>1</v>
      </c>
    </row>
    <row r="798" customFormat="false" ht="15" hidden="false" customHeight="false" outlineLevel="0" collapsed="false">
      <c r="A798" s="0" t="s">
        <v>567</v>
      </c>
      <c r="B798" s="0" t="s">
        <v>33</v>
      </c>
      <c r="C798" s="11" t="n">
        <f aca="false">$C$794*(0.75*C790+0.25*D790)*C797</f>
        <v>36</v>
      </c>
      <c r="D798" s="11" t="n">
        <f aca="false">$C$794*(0.75*D790+0.25*E790)*D797</f>
        <v>53.4047934860666</v>
      </c>
      <c r="E798" s="11" t="n">
        <f aca="false">$C$794*(0.75*E790+0.25*F790)*E797</f>
        <v>62.4686420890447</v>
      </c>
      <c r="F798" s="11" t="n">
        <f aca="false">$C$794*(0.75*F790+0.25*G790)*F797</f>
        <v>50.8378925554221</v>
      </c>
      <c r="G798" s="11" t="n">
        <f aca="false">$C$794*(0.75*G790+0.25*H790)*G797</f>
        <v>30.3131976207426</v>
      </c>
    </row>
    <row r="799" customFormat="false" ht="15" hidden="false" customHeight="false" outlineLevel="0" collapsed="false">
      <c r="A799" s="5" t="s">
        <v>568</v>
      </c>
      <c r="B799" s="0" t="s">
        <v>33</v>
      </c>
      <c r="C799" s="11" t="n">
        <f aca="false">$C$795*(0.75*C792+0.25*D792)*C797</f>
        <v>39</v>
      </c>
      <c r="D799" s="11" t="n">
        <f aca="false">$C$795*(0.75*D792+0.25*E792)*D797</f>
        <v>60.1483586282001</v>
      </c>
      <c r="E799" s="11" t="n">
        <f aca="false">$C$795*(0.75*E792+0.25*F792)*E797</f>
        <v>42.5991175746519</v>
      </c>
      <c r="F799" s="11" t="n">
        <f aca="false">$C$795*(0.75*F792+0.25*G792)*F797</f>
        <v>38.320722254198</v>
      </c>
      <c r="G799" s="11" t="n">
        <f aca="false">$C$795*(0.75*G792+0.25*H792)*G797</f>
        <v>36.8663955538204</v>
      </c>
    </row>
    <row r="800" customFormat="false" ht="15" hidden="false" customHeight="false" outlineLevel="0" collapsed="false">
      <c r="A800" s="0" t="s">
        <v>569</v>
      </c>
      <c r="B800" s="0" t="s">
        <v>33</v>
      </c>
      <c r="C800" s="11" t="n">
        <f aca="false">C798+C799</f>
        <v>75</v>
      </c>
      <c r="D800" s="11" t="n">
        <f aca="false">D798+D799</f>
        <v>113.553152114267</v>
      </c>
      <c r="E800" s="11" t="n">
        <f aca="false">E798+E799</f>
        <v>105.067759663697</v>
      </c>
      <c r="F800" s="11" t="n">
        <f aca="false">F798+F799</f>
        <v>89.1586148096201</v>
      </c>
      <c r="G800" s="11" t="n">
        <f aca="false">G798+G799</f>
        <v>67.1795931745629</v>
      </c>
    </row>
    <row r="801" customFormat="false" ht="15" hidden="false" customHeight="false" outlineLevel="0" collapsed="false">
      <c r="A801" s="5" t="s">
        <v>570</v>
      </c>
      <c r="B801" s="0" t="s">
        <v>33</v>
      </c>
      <c r="C801" s="11" t="n">
        <f aca="false">eq_25-ai_25</f>
        <v>195.87118</v>
      </c>
      <c r="D801" s="11" t="n">
        <f aca="false">C801*(1+g_non)*D797/C797</f>
        <v>207.6234508</v>
      </c>
      <c r="E801" s="11" t="n">
        <f aca="false">D801*(1+g_non)*E797/D797</f>
        <v>220.080857848</v>
      </c>
      <c r="F801" s="11" t="n">
        <f aca="false">E801*(1+g_non)*F797/E797</f>
        <v>233.28570931888</v>
      </c>
      <c r="G801" s="11" t="n">
        <f aca="false">F801*(1+g_non)*G797/F797</f>
        <v>247.282851878013</v>
      </c>
    </row>
    <row r="802" customFormat="false" ht="15" hidden="false" customHeight="false" outlineLevel="0" collapsed="false">
      <c r="A802" s="0" t="s">
        <v>571</v>
      </c>
      <c r="B802" s="0" t="s">
        <v>80</v>
      </c>
      <c r="C802" s="19" t="n">
        <f aca="false">w_hbm*(0.75*C789+0.25*D789)/(0.75*C789+0.25*D789)+(1-w_hbm)*(0.75*C791+0.25*D791)/(0.75*C791+0.25*D791)</f>
        <v>1</v>
      </c>
      <c r="D802" s="19" t="n">
        <f aca="false">w_hbm*(0.75*D789+0.25*E789)/(0.75*C789+0.25*D789)+(1-w_hbm)*(0.75*D791+0.25*E791)/(0.75*C791+0.25*D791)</f>
        <v>1.62945299297263</v>
      </c>
      <c r="E802" s="19" t="n">
        <f aca="false">w_hbm*(0.75*E789+0.25*F789)/(0.75*C789+0.25*D789)+(1-w_hbm)*(0.75*E791+0.25*F791)/(0.75*C791+0.25*D791)</f>
        <v>2.57426048989429</v>
      </c>
      <c r="F802" s="19" t="n">
        <f aca="false">w_hbm*(0.75*F789+0.25*G789)/(0.75*C789+0.25*D789)+(1-w_hbm)*(0.75*F791+0.25*G791)/(0.75*C791+0.25*D791)</f>
        <v>3.30231151246966</v>
      </c>
      <c r="G802" s="19" t="n">
        <f aca="false">w_hbm*(0.75*G789+0.25*H789)/(0.75*C789+0.25*D789)+(1-w_hbm)*(0.75*G791+0.25*H791)/(0.75*C791+0.25*D791)</f>
        <v>3.81490968277695</v>
      </c>
      <c r="J802" s="8" t="s">
        <v>572</v>
      </c>
    </row>
    <row r="803" customFormat="false" ht="15" hidden="false" customHeight="false" outlineLevel="0" collapsed="false">
      <c r="A803" s="0" t="s">
        <v>573</v>
      </c>
      <c r="B803" s="0" t="s">
        <v>33</v>
      </c>
      <c r="C803" s="11" t="n">
        <f aca="false">tl_25*w_tlai*C802</f>
        <v>25.4032258064516</v>
      </c>
      <c r="D803" s="11" t="n">
        <f aca="false">tl_25*w_tlai*D802</f>
        <v>41.3933623214822</v>
      </c>
      <c r="E803" s="11" t="n">
        <f aca="false">tl_25*w_tlai*E802</f>
        <v>65.3945205094113</v>
      </c>
      <c r="F803" s="11" t="n">
        <f aca="false">tl_25*w_tlai*F802</f>
        <v>83.8893650345115</v>
      </c>
      <c r="G803" s="11" t="n">
        <f aca="false">tl_25*w_tlai*G802</f>
        <v>96.9110121028016</v>
      </c>
      <c r="J803" s="5" t="s">
        <v>574</v>
      </c>
    </row>
    <row r="804" customFormat="false" ht="15" hidden="false" customHeight="false" outlineLevel="0" collapsed="false">
      <c r="A804" s="5" t="s">
        <v>575</v>
      </c>
      <c r="B804" s="0" t="s">
        <v>33</v>
      </c>
      <c r="C804" s="11" t="n">
        <f aca="false">tl_25*(1-w_tlai)</f>
        <v>66.3434641935484</v>
      </c>
      <c r="D804" s="11" t="n">
        <f aca="false">C804*(1+g_tl)</f>
        <v>69.6606374032258</v>
      </c>
      <c r="E804" s="11" t="n">
        <f aca="false">D804*(1+g_tl)</f>
        <v>73.1436692733871</v>
      </c>
      <c r="F804" s="11" t="n">
        <f aca="false">E804*(1+g_tl)</f>
        <v>76.8008527370565</v>
      </c>
      <c r="G804" s="11" t="n">
        <f aca="false">F804*(1+g_tl)</f>
        <v>80.6408953739093</v>
      </c>
    </row>
    <row r="805" customFormat="false" ht="15" hidden="false" customHeight="false" outlineLevel="0" collapsed="false">
      <c r="A805" s="5" t="s">
        <v>576</v>
      </c>
      <c r="B805" s="0" t="s">
        <v>33</v>
      </c>
      <c r="C805" s="11" t="n">
        <f aca="false">(C800+C801+C803+C804)*(1+r_ot)</f>
        <v>436.889</v>
      </c>
      <c r="D805" s="11" t="n">
        <f aca="false">(D800+D801+D803+D804)*(1+r_ot)</f>
        <v>520.759762215632</v>
      </c>
      <c r="E805" s="11" t="n">
        <f aca="false">(E800+E801+E803+E804)*(1+r_ot)</f>
        <v>558.658803969271</v>
      </c>
      <c r="F805" s="11" t="n">
        <f aca="false">(F800+F801+F803+F804)*(1+r_ot)</f>
        <v>582.089809518154</v>
      </c>
      <c r="G805" s="11" t="n">
        <f aca="false">(G800+G801+G803+G804)*(1+r_ot)</f>
        <v>592.788376541309</v>
      </c>
      <c r="J805" s="8" t="s">
        <v>577</v>
      </c>
    </row>
    <row r="806" customFormat="false" ht="15" hidden="false" customHeight="false" outlineLevel="0" collapsed="false">
      <c r="A806" s="1" t="s">
        <v>578</v>
      </c>
    </row>
    <row r="807" customFormat="false" ht="15" hidden="false" customHeight="false" outlineLevel="0" collapsed="false">
      <c r="A807" s="5" t="s">
        <v>579</v>
      </c>
      <c r="B807" s="0" t="s">
        <v>33</v>
      </c>
      <c r="D807" s="11" t="n">
        <f aca="false">g3_rev*(1+g_q4)</f>
        <v>145.6862</v>
      </c>
    </row>
    <row r="808" customFormat="false" ht="15" hidden="false" customHeight="false" outlineLevel="0" collapsed="false">
      <c r="A808" s="0" t="s">
        <v>580</v>
      </c>
      <c r="B808" s="0" t="s">
        <v>33</v>
      </c>
      <c r="D808" s="11" t="n">
        <f aca="false">q26h1_rev+g3_rev+D807</f>
        <v>535.1862</v>
      </c>
    </row>
    <row r="809" customFormat="false" ht="15" hidden="false" customHeight="false" outlineLevel="0" collapsed="false">
      <c r="A809" s="0" t="s">
        <v>581</v>
      </c>
      <c r="B809" s="0" t="s">
        <v>33</v>
      </c>
      <c r="D809" s="11" t="n">
        <f aca="false">q26h1_gp+(g3_rev+D807)*gm_q3</f>
        <v>378.0504836</v>
      </c>
    </row>
    <row r="810" customFormat="false" ht="15" hidden="false" customHeight="false" outlineLevel="0" collapsed="false">
      <c r="A810" s="0" t="s">
        <v>582</v>
      </c>
      <c r="B810" s="0" t="s">
        <v>33</v>
      </c>
      <c r="D810" s="11" t="n">
        <f aca="false">q26h1_oi+g3_oi+D807*m_q4</f>
        <v>238.5671</v>
      </c>
    </row>
    <row r="811" customFormat="false" ht="15" hidden="false" customHeight="false" outlineLevel="0" collapsed="false">
      <c r="A811" s="0" t="s">
        <v>583</v>
      </c>
      <c r="B811" s="0" t="s">
        <v>33</v>
      </c>
      <c r="D811" s="11" t="n">
        <f aca="false">q26h1_ni+g3_ni+D807*m_q4*nioi</f>
        <v>167.95938138934</v>
      </c>
    </row>
    <row r="812" customFormat="false" ht="15" hidden="false" customHeight="false" outlineLevel="0" collapsed="false">
      <c r="A812" s="5" t="s">
        <v>584</v>
      </c>
      <c r="B812" s="0" t="s">
        <v>80</v>
      </c>
      <c r="D812" s="16" t="n">
        <f aca="false">D808/D805</f>
        <v>1.02770267372999</v>
      </c>
      <c r="J812" s="8" t="s">
        <v>585</v>
      </c>
    </row>
    <row r="813" customFormat="false" ht="15" hidden="false" customHeight="false" outlineLevel="0" collapsed="false">
      <c r="A813" s="5" t="s">
        <v>586</v>
      </c>
      <c r="B813" s="0" t="s">
        <v>80</v>
      </c>
      <c r="D813" s="16" t="n">
        <f aca="false">1+anc_carry*(D812-1)</f>
        <v>1.02770267372999</v>
      </c>
      <c r="J813" s="8" t="s">
        <v>587</v>
      </c>
    </row>
    <row r="814" customFormat="false" ht="15" hidden="false" customHeight="false" outlineLevel="0" collapsed="false">
      <c r="A814" s="1" t="s">
        <v>588</v>
      </c>
    </row>
    <row r="815" customFormat="false" ht="15" hidden="false" customHeight="false" outlineLevel="0" collapsed="false">
      <c r="A815" s="0" t="s">
        <v>589</v>
      </c>
      <c r="B815" s="0" t="s">
        <v>33</v>
      </c>
      <c r="C815" s="11" t="n">
        <f aca="false">C798*1</f>
        <v>36</v>
      </c>
      <c r="D815" s="11" t="n">
        <f aca="false">D798*$D$812</f>
        <v>54.8842490556287</v>
      </c>
      <c r="E815" s="11" t="n">
        <f aca="false">E798*1</f>
        <v>62.4686420890447</v>
      </c>
      <c r="F815" s="11" t="n">
        <f aca="false">F798*1</f>
        <v>50.8378925554221</v>
      </c>
      <c r="G815" s="11" t="n">
        <f aca="false">G798*1</f>
        <v>30.3131976207426</v>
      </c>
    </row>
    <row r="816" customFormat="false" ht="15" hidden="false" customHeight="false" outlineLevel="0" collapsed="false">
      <c r="A816" s="5" t="s">
        <v>590</v>
      </c>
      <c r="B816" s="0" t="s">
        <v>33</v>
      </c>
      <c r="C816" s="11" t="n">
        <f aca="false">C799*1</f>
        <v>39</v>
      </c>
      <c r="D816" s="11" t="n">
        <f aca="false">D799*$D$812</f>
        <v>61.8146289826716</v>
      </c>
      <c r="E816" s="11" t="n">
        <f aca="false">E799*1</f>
        <v>42.5991175746519</v>
      </c>
      <c r="F816" s="11" t="n">
        <f aca="false">F799*1</f>
        <v>38.320722254198</v>
      </c>
      <c r="G816" s="11" t="n">
        <f aca="false">G799*1</f>
        <v>36.8663955538204</v>
      </c>
    </row>
    <row r="817" customFormat="false" ht="15" hidden="false" customHeight="false" outlineLevel="0" collapsed="false">
      <c r="A817" s="0" t="s">
        <v>591</v>
      </c>
      <c r="B817" s="0" t="s">
        <v>33</v>
      </c>
      <c r="C817" s="11" t="n">
        <f aca="false">C815+C816</f>
        <v>75</v>
      </c>
      <c r="D817" s="11" t="n">
        <f aca="false">D815+D816</f>
        <v>116.6988780383</v>
      </c>
      <c r="E817" s="11" t="n">
        <f aca="false">E815+E816</f>
        <v>105.067759663697</v>
      </c>
      <c r="F817" s="11" t="n">
        <f aca="false">F815+F816</f>
        <v>89.1586148096201</v>
      </c>
      <c r="G817" s="11" t="n">
        <f aca="false">G815+G816</f>
        <v>67.1795931745629</v>
      </c>
    </row>
    <row r="818" customFormat="false" ht="15" hidden="false" customHeight="false" outlineLevel="0" collapsed="false">
      <c r="A818" s="5" t="s">
        <v>592</v>
      </c>
      <c r="B818" s="0" t="s">
        <v>33</v>
      </c>
      <c r="C818" s="11" t="n">
        <f aca="false">C801*1</f>
        <v>195.87118</v>
      </c>
      <c r="D818" s="11" t="n">
        <f aca="false">D801*$D$812</f>
        <v>213.375175516207</v>
      </c>
      <c r="E818" s="11" t="n">
        <f aca="false">E801*$D$813</f>
        <v>226.17768604718</v>
      </c>
      <c r="F818" s="11" t="n">
        <f aca="false">F801*$D$813</f>
        <v>239.748347210011</v>
      </c>
      <c r="G818" s="11" t="n">
        <f aca="false">G801*$D$813</f>
        <v>254.133248042611</v>
      </c>
    </row>
    <row r="819" customFormat="false" ht="15" hidden="false" customHeight="false" outlineLevel="0" collapsed="false">
      <c r="A819" s="5" t="s">
        <v>593</v>
      </c>
      <c r="B819" s="0" t="s">
        <v>33</v>
      </c>
      <c r="C819" s="11" t="n">
        <f aca="false">C817+C818</f>
        <v>270.87118</v>
      </c>
      <c r="D819" s="11" t="n">
        <f aca="false">D817+D818</f>
        <v>330.074053554508</v>
      </c>
      <c r="E819" s="11" t="n">
        <f aca="false">E817+E818</f>
        <v>331.245445710877</v>
      </c>
      <c r="F819" s="11" t="n">
        <f aca="false">F817+F818</f>
        <v>328.906962019631</v>
      </c>
      <c r="G819" s="11" t="n">
        <f aca="false">G817+G818</f>
        <v>321.312841217174</v>
      </c>
    </row>
    <row r="820" customFormat="false" ht="15" hidden="false" customHeight="false" outlineLevel="0" collapsed="false">
      <c r="A820" s="0" t="s">
        <v>594</v>
      </c>
      <c r="B820" s="0" t="s">
        <v>33</v>
      </c>
      <c r="C820" s="11" t="n">
        <f aca="false">C803*1</f>
        <v>25.4032258064516</v>
      </c>
      <c r="D820" s="11" t="n">
        <f aca="false">D803*$D$812</f>
        <v>42.5400691324615</v>
      </c>
      <c r="E820" s="11" t="n">
        <f aca="false">E803*1</f>
        <v>65.3945205094113</v>
      </c>
      <c r="F820" s="11" t="n">
        <f aca="false">F803*1</f>
        <v>83.8893650345115</v>
      </c>
      <c r="G820" s="11" t="n">
        <f aca="false">G803*1</f>
        <v>96.9110121028016</v>
      </c>
    </row>
    <row r="821" customFormat="false" ht="15" hidden="false" customHeight="false" outlineLevel="0" collapsed="false">
      <c r="A821" s="5" t="s">
        <v>595</v>
      </c>
      <c r="B821" s="0" t="s">
        <v>33</v>
      </c>
      <c r="C821" s="11" t="n">
        <f aca="false">C804*1</f>
        <v>66.3434641935484</v>
      </c>
      <c r="D821" s="11" t="n">
        <f aca="false">D804*$D$812</f>
        <v>71.5904233130307</v>
      </c>
      <c r="E821" s="11" t="n">
        <f aca="false">E804*$D$813</f>
        <v>75.1699444786822</v>
      </c>
      <c r="F821" s="11" t="n">
        <f aca="false">F804*$D$813</f>
        <v>78.9284417026163</v>
      </c>
      <c r="G821" s="11" t="n">
        <f aca="false">G804*$D$813</f>
        <v>82.8748637877471</v>
      </c>
    </row>
    <row r="822" customFormat="false" ht="15" hidden="false" customHeight="false" outlineLevel="0" collapsed="false">
      <c r="A822" s="5" t="s">
        <v>596</v>
      </c>
      <c r="B822" s="0" t="s">
        <v>33</v>
      </c>
      <c r="C822" s="11" t="n">
        <f aca="false">C820+C821</f>
        <v>91.74669</v>
      </c>
      <c r="D822" s="11" t="n">
        <f aca="false">D820+D821</f>
        <v>114.130492445492</v>
      </c>
      <c r="E822" s="11" t="n">
        <f aca="false">E820+E821</f>
        <v>140.564464988094</v>
      </c>
      <c r="F822" s="11" t="n">
        <f aca="false">F820+F821</f>
        <v>162.817806737128</v>
      </c>
      <c r="G822" s="11" t="n">
        <f aca="false">G820+G821</f>
        <v>179.785875890549</v>
      </c>
    </row>
    <row r="823" customFormat="false" ht="15" hidden="false" customHeight="false" outlineLevel="0" collapsed="false">
      <c r="A823" s="5" t="s">
        <v>458</v>
      </c>
      <c r="B823" s="0" t="s">
        <v>33</v>
      </c>
      <c r="C823" s="11" t="n">
        <f aca="false">r_ot*(C819+C822)</f>
        <v>74.27113</v>
      </c>
      <c r="D823" s="11" t="n">
        <f aca="false">r_ot*(D819+D822)</f>
        <v>90.9816540000001</v>
      </c>
      <c r="E823" s="11" t="n">
        <f aca="false">r_ot*(E819+E822)</f>
        <v>96.6357648419578</v>
      </c>
      <c r="F823" s="11" t="n">
        <f aca="false">r_ot*(F819+F822)</f>
        <v>100.714711673071</v>
      </c>
      <c r="G823" s="11" t="n">
        <f aca="false">r_ot*(G819+G822)</f>
        <v>102.634676997967</v>
      </c>
    </row>
    <row r="824" customFormat="false" ht="15" hidden="false" customHeight="false" outlineLevel="0" collapsed="false">
      <c r="A824" s="5" t="s">
        <v>428</v>
      </c>
      <c r="B824" s="0" t="s">
        <v>33</v>
      </c>
      <c r="C824" s="11" t="n">
        <f aca="false">C819+C822+C823</f>
        <v>436.889</v>
      </c>
      <c r="D824" s="11" t="n">
        <f aca="false">D819+D822+D823</f>
        <v>535.1862</v>
      </c>
      <c r="E824" s="11" t="n">
        <f aca="false">E819+E822+E823</f>
        <v>568.445675540928</v>
      </c>
      <c r="F824" s="11" t="n">
        <f aca="false">F819+F822+F823</f>
        <v>592.43948042983</v>
      </c>
      <c r="G824" s="11" t="n">
        <f aca="false">G819+G822+G823</f>
        <v>603.73339410569</v>
      </c>
      <c r="J824" s="8" t="s">
        <v>597</v>
      </c>
    </row>
    <row r="825" customFormat="false" ht="15" hidden="false" customHeight="false" outlineLevel="0" collapsed="false">
      <c r="A825" s="0" t="s">
        <v>598</v>
      </c>
      <c r="B825" s="0" t="s">
        <v>60</v>
      </c>
      <c r="C825" s="14" t="n">
        <f aca="false">(C817+C820)*(1+r_ot)/C824</f>
        <v>0.276884384673187</v>
      </c>
      <c r="D825" s="14" t="n">
        <f aca="false">(D817+D820)*(1+r_ot)/D824</f>
        <v>0.358481129030953</v>
      </c>
      <c r="E825" s="14" t="n">
        <f aca="false">(E817+E820)*(1+r_ot)/E824</f>
        <v>0.361294403334118</v>
      </c>
      <c r="F825" s="14" t="n">
        <f aca="false">(F817+F820)*(1+r_ot)/F824</f>
        <v>0.351920405151958</v>
      </c>
      <c r="G825" s="14" t="n">
        <f aca="false">(G817+G820)*(1+r_ot)/G824</f>
        <v>0.327461635153397</v>
      </c>
    </row>
    <row r="826" customFormat="false" ht="15" hidden="false" customHeight="false" outlineLevel="0" collapsed="false">
      <c r="A826" s="0" t="s">
        <v>599</v>
      </c>
      <c r="B826" s="0" t="s">
        <v>60</v>
      </c>
      <c r="C826" s="14" t="n">
        <f aca="false">C817*(1+r_ot)/C824</f>
        <v>0.206829299394429</v>
      </c>
      <c r="D826" s="14" t="n">
        <f aca="false">D817*(1+r_ot)/D824</f>
        <v>0.262714281267847</v>
      </c>
      <c r="E826" s="14" t="n">
        <f aca="false">E817*(1+r_ot)/E824</f>
        <v>0.222690870372016</v>
      </c>
      <c r="F826" s="14" t="n">
        <f aca="false">F817*(1+r_ot)/F824</f>
        <v>0.181318128503151</v>
      </c>
      <c r="G826" s="14" t="n">
        <f aca="false">G817*(1+r_ot)/G824</f>
        <v>0.134064588235857</v>
      </c>
      <c r="J826" s="5" t="s">
        <v>600</v>
      </c>
    </row>
    <row r="827" customFormat="false" ht="15" hidden="false" customHeight="false" outlineLevel="0" collapsed="false">
      <c r="A827" s="5" t="s">
        <v>466</v>
      </c>
      <c r="B827" s="0" t="s">
        <v>60</v>
      </c>
      <c r="C827" s="14" t="n">
        <f aca="false">a25_gp/a25_rev</f>
        <v>0.701498549974936</v>
      </c>
      <c r="D827" s="14" t="n">
        <f aca="false">D809/D824</f>
        <v>0.70639056761927</v>
      </c>
      <c r="E827" s="14" t="n">
        <f aca="false">gm_a+gm_b*LN(E824)+0</f>
        <v>0.732415783377483</v>
      </c>
      <c r="F827" s="14" t="n">
        <f aca="false">gm_a+gm_b*LN(F824)+0</f>
        <v>0.737121687035258</v>
      </c>
      <c r="G827" s="14" t="n">
        <f aca="false">gm_a+gm_b*LN(G824)+0</f>
        <v>0.739271173591982</v>
      </c>
      <c r="J827" s="8" t="s">
        <v>601</v>
      </c>
    </row>
    <row r="828" customFormat="false" ht="15" hidden="false" customHeight="false" outlineLevel="0" collapsed="false">
      <c r="A828" s="5" t="s">
        <v>463</v>
      </c>
      <c r="B828" s="0" t="s">
        <v>33</v>
      </c>
      <c r="C828" s="11" t="n">
        <f aca="false">C824*C827</f>
        <v>306.477</v>
      </c>
      <c r="D828" s="11" t="n">
        <f aca="false">D824*D827</f>
        <v>378.0504836</v>
      </c>
      <c r="E828" s="11" t="n">
        <f aca="false">E824*E827</f>
        <v>416.338584758851</v>
      </c>
      <c r="F828" s="11" t="n">
        <f aca="false">F824*F827</f>
        <v>436.699989280728</v>
      </c>
      <c r="G828" s="11" t="n">
        <f aca="false">G824*G827</f>
        <v>446.322694797184</v>
      </c>
    </row>
    <row r="829" customFormat="false" ht="15" hidden="false" customHeight="false" outlineLevel="0" collapsed="false">
      <c r="A829" s="5" t="s">
        <v>464</v>
      </c>
      <c r="B829" s="0" t="s">
        <v>33</v>
      </c>
      <c r="C829" s="11" t="n">
        <f aca="false">a25_sga</f>
        <v>121.487</v>
      </c>
      <c r="D829" s="11" t="n">
        <f aca="false">D828-D810</f>
        <v>139.4833836</v>
      </c>
      <c r="E829" s="11" t="n">
        <f aca="false">sg_f+sg_v*E824</f>
        <v>151.580291518445</v>
      </c>
      <c r="F829" s="11" t="n">
        <f aca="false">sg_f+sg_v*F824</f>
        <v>157.635536895403</v>
      </c>
      <c r="G829" s="11" t="n">
        <f aca="false">sg_f+sg_v*G824</f>
        <v>160.485748393336</v>
      </c>
      <c r="J829" s="8" t="s">
        <v>602</v>
      </c>
    </row>
    <row r="830" customFormat="false" ht="15" hidden="false" customHeight="false" outlineLevel="0" collapsed="false">
      <c r="A830" s="5" t="s">
        <v>432</v>
      </c>
      <c r="B830" s="0" t="s">
        <v>33</v>
      </c>
      <c r="C830" s="11" t="n">
        <f aca="false">C828-C829</f>
        <v>184.99</v>
      </c>
      <c r="D830" s="11" t="n">
        <f aca="false">D828-D829</f>
        <v>238.5671</v>
      </c>
      <c r="E830" s="11" t="n">
        <f aca="false">E828-E829</f>
        <v>264.758293240406</v>
      </c>
      <c r="F830" s="11" t="n">
        <f aca="false">F828-F829</f>
        <v>279.064452385325</v>
      </c>
      <c r="G830" s="11" t="n">
        <f aca="false">G828-G829</f>
        <v>285.836946403848</v>
      </c>
    </row>
    <row r="831" customFormat="false" ht="15" hidden="false" customHeight="false" outlineLevel="0" collapsed="false">
      <c r="A831" s="5" t="s">
        <v>603</v>
      </c>
      <c r="B831" s="0" t="s">
        <v>60</v>
      </c>
      <c r="C831" s="14" t="n">
        <f aca="false">C830/C824</f>
        <v>0.423425629851061</v>
      </c>
      <c r="D831" s="14" t="n">
        <f aca="false">D830/D824</f>
        <v>0.445764670314743</v>
      </c>
      <c r="E831" s="14" t="n">
        <f aca="false">E830/E824</f>
        <v>0.465758303092841</v>
      </c>
      <c r="F831" s="14" t="n">
        <f aca="false">F830/F824</f>
        <v>0.471042969963542</v>
      </c>
      <c r="G831" s="14" t="n">
        <f aca="false">G830/G824</f>
        <v>0.473448958090612</v>
      </c>
    </row>
    <row r="832" customFormat="false" ht="15" hidden="false" customHeight="false" outlineLevel="0" collapsed="false">
      <c r="A832" s="5" t="s">
        <v>435</v>
      </c>
      <c r="B832" s="0" t="s">
        <v>33</v>
      </c>
      <c r="C832" s="11" t="n">
        <f aca="false">a25_ni</f>
        <v>135.521</v>
      </c>
      <c r="D832" s="11" t="n">
        <f aca="false">D811</f>
        <v>167.95938138934</v>
      </c>
      <c r="E832" s="11" t="n">
        <f aca="false">E830*nioi</f>
        <v>190.937168030967</v>
      </c>
      <c r="F832" s="11" t="n">
        <f aca="false">F830*nioi</f>
        <v>201.254418074768</v>
      </c>
      <c r="G832" s="11" t="n">
        <f aca="false">G830*nioi</f>
        <v>206.138574157574</v>
      </c>
    </row>
    <row r="833" customFormat="false" ht="15" hidden="false" customHeight="false" outlineLevel="0" collapsed="false">
      <c r="A833" s="0" t="s">
        <v>524</v>
      </c>
      <c r="B833" s="0" t="s">
        <v>55</v>
      </c>
      <c r="C833" s="11" t="n">
        <f aca="false">a25_eps</f>
        <v>1249.84</v>
      </c>
      <c r="D833" s="11" t="n">
        <f aca="false">D832*1000/shares</f>
        <v>1548.28555816522</v>
      </c>
      <c r="E833" s="11" t="n">
        <f aca="false">E832*1000/shares</f>
        <v>1760.09971776471</v>
      </c>
      <c r="F833" s="11" t="n">
        <f aca="false">F832*1000/shares</f>
        <v>1855.20633884572</v>
      </c>
      <c r="G833" s="11" t="n">
        <f aca="false">G832*1000/shares</f>
        <v>1900.22953590848</v>
      </c>
    </row>
    <row r="834" customFormat="false" ht="15" hidden="false" customHeight="false" outlineLevel="0" collapsed="false">
      <c r="A834" s="5" t="s">
        <v>604</v>
      </c>
      <c r="B834" s="0" t="s">
        <v>33</v>
      </c>
      <c r="C834" s="16" t="n">
        <f aca="false">ABS(C824-a25_rev)+ABS(C830-a25_oi)+ABS(D824-D808)+ABS(D830-D810)</f>
        <v>0.000999999999976353</v>
      </c>
    </row>
    <row r="835" customFormat="false" ht="15" hidden="false" customHeight="false" outlineLevel="0" collapsed="false">
      <c r="A835" s="1" t="s">
        <v>605</v>
      </c>
    </row>
    <row r="836" customFormat="false" ht="15" hidden="false" customHeight="false" outlineLevel="0" collapsed="false">
      <c r="A836" s="5" t="s">
        <v>606</v>
      </c>
      <c r="B836" s="0" t="s">
        <v>60</v>
      </c>
      <c r="C836" s="14" t="n">
        <f aca="false">a25_gp/a25_rev</f>
        <v>0.701498549974936</v>
      </c>
      <c r="D836" s="14" t="n">
        <f aca="false">gm_a+gm_b*LN(D805)+0</f>
        <v>0.722442702906842</v>
      </c>
      <c r="E836" s="14" t="n">
        <f aca="false">gm_a+gm_b*LN(E805)+0</f>
        <v>0.730438986973905</v>
      </c>
      <c r="F836" s="14" t="n">
        <f aca="false">gm_a+gm_b*LN(F805)+0</f>
        <v>0.73511562091355</v>
      </c>
      <c r="G836" s="14" t="n">
        <f aca="false">gm_a+gm_b*LN(G805)+0</f>
        <v>0.737188701045055</v>
      </c>
    </row>
    <row r="837" customFormat="false" ht="15" hidden="false" customHeight="false" outlineLevel="0" collapsed="false">
      <c r="A837" s="5" t="s">
        <v>607</v>
      </c>
      <c r="B837" s="0" t="s">
        <v>33</v>
      </c>
      <c r="C837" s="11" t="n">
        <f aca="false">a25_oi</f>
        <v>184.989</v>
      </c>
      <c r="D837" s="11" t="n">
        <f aca="false">D805*D836-sg_f-sg_v*D805</f>
        <v>236.673151176734</v>
      </c>
      <c r="E837" s="11" t="n">
        <f aca="false">E805*E836-sg_f-sg_v*E805</f>
        <v>258.955763068731</v>
      </c>
      <c r="F837" s="11" t="n">
        <f aca="false">F805*F836-sg_f-sg_v*F805</f>
        <v>272.879690608036</v>
      </c>
      <c r="G837" s="11" t="n">
        <f aca="false">G805*G836-sg_f-sg_v*G805</f>
        <v>279.273306524824</v>
      </c>
    </row>
    <row r="838" customFormat="false" ht="15" hidden="false" customHeight="false" outlineLevel="0" collapsed="false">
      <c r="A838" s="0" t="s">
        <v>608</v>
      </c>
      <c r="B838" s="0" t="s">
        <v>55</v>
      </c>
      <c r="C838" s="11" t="n">
        <f aca="false">a25_eps</f>
        <v>1249.84</v>
      </c>
      <c r="D838" s="11" t="n">
        <f aca="false">D837*nioi_v01*1000/shares</f>
        <v>1598.29331348764</v>
      </c>
      <c r="E838" s="11" t="n">
        <f aca="false">E837*nioi_v01*1000/shares</f>
        <v>1748.7715127128</v>
      </c>
      <c r="F838" s="11" t="n">
        <f aca="false">F837*nioi_v01*1000/shares</f>
        <v>1842.80212063308</v>
      </c>
      <c r="G838" s="11" t="n">
        <f aca="false">G837*nioi_v01*1000/shares</f>
        <v>1885.97927663071</v>
      </c>
    </row>
    <row r="850" customFormat="false" ht="15" hidden="false" customHeight="false" outlineLevel="0" collapsed="false">
      <c r="A850" s="4" t="s">
        <v>832</v>
      </c>
    </row>
    <row r="851" customFormat="false" ht="15" hidden="false" customHeight="false" outlineLevel="0" collapsed="false">
      <c r="A851" s="6" t="s">
        <v>22</v>
      </c>
      <c r="B851" s="6" t="s">
        <v>23</v>
      </c>
      <c r="C851" s="9" t="s">
        <v>532</v>
      </c>
      <c r="D851" s="9" t="s">
        <v>533</v>
      </c>
      <c r="E851" s="9" t="s">
        <v>534</v>
      </c>
      <c r="F851" s="9" t="s">
        <v>535</v>
      </c>
      <c r="G851" s="9" t="s">
        <v>536</v>
      </c>
      <c r="H851" s="9" t="s">
        <v>537</v>
      </c>
      <c r="I851" s="9" t="s">
        <v>538</v>
      </c>
      <c r="J851" s="6" t="s">
        <v>515</v>
      </c>
    </row>
    <row r="852" customFormat="false" ht="15" hidden="false" customHeight="false" outlineLevel="0" collapsed="false">
      <c r="A852" s="1" t="s">
        <v>539</v>
      </c>
    </row>
    <row r="853" customFormat="false" ht="15" hidden="false" customHeight="false" outlineLevel="0" collapsed="false">
      <c r="A853" s="0" t="s">
        <v>540</v>
      </c>
      <c r="B853" s="0" t="s">
        <v>100</v>
      </c>
      <c r="C853" s="19" t="n">
        <f aca="false">hsA_25</f>
        <v>2.22511470588235</v>
      </c>
      <c r="D853" s="19" t="n">
        <f aca="false">hsA_26</f>
        <v>3.782695</v>
      </c>
      <c r="E853" s="19" t="n">
        <f aca="false">hsA_27</f>
        <v>5.86317725</v>
      </c>
      <c r="F853" s="19" t="n">
        <f aca="false">hsA_28</f>
        <v>8.5016070125</v>
      </c>
      <c r="G853" s="19" t="n">
        <f aca="false">hsA_29</f>
        <v>11.477169466875</v>
      </c>
      <c r="H853" s="19" t="n">
        <f aca="false">G853*(1+g_tail)</f>
        <v>12.6248864135625</v>
      </c>
      <c r="I853" s="19" t="n">
        <f aca="false">H853*(1+g_tail)</f>
        <v>13.8873750549188</v>
      </c>
      <c r="J853" s="8" t="s">
        <v>541</v>
      </c>
    </row>
    <row r="854" customFormat="false" ht="15" hidden="false" customHeight="false" outlineLevel="0" collapsed="false">
      <c r="A854" s="0" t="s">
        <v>542</v>
      </c>
      <c r="B854" s="0" t="s">
        <v>543</v>
      </c>
      <c r="C854" s="19" t="n">
        <f aca="false">den_25_hi</f>
        <v>24</v>
      </c>
      <c r="D854" s="19" t="n">
        <f aca="false">den_26_hi</f>
        <v>26</v>
      </c>
      <c r="E854" s="19" t="n">
        <f aca="false">den_27_hi</f>
        <v>28</v>
      </c>
      <c r="F854" s="19" t="n">
        <f aca="false">den_28_hi</f>
        <v>32</v>
      </c>
      <c r="G854" s="19" t="n">
        <f aca="false">den_29_hi</f>
        <v>32</v>
      </c>
      <c r="H854" s="19" t="n">
        <f aca="false">den_30_hi</f>
        <v>32</v>
      </c>
      <c r="I854" s="19" t="n">
        <f aca="false">den_30_hi</f>
        <v>32</v>
      </c>
    </row>
    <row r="855" customFormat="false" ht="15" hidden="false" customHeight="false" outlineLevel="0" collapsed="false">
      <c r="A855" s="5" t="s">
        <v>544</v>
      </c>
      <c r="B855" s="5" t="s">
        <v>152</v>
      </c>
      <c r="C855" s="19" t="n">
        <f aca="false">stk_25</f>
        <v>10</v>
      </c>
      <c r="D855" s="19" t="n">
        <f aca="false">stk_26</f>
        <v>12</v>
      </c>
      <c r="E855" s="19" t="n">
        <f aca="false">stk_27</f>
        <v>12.5</v>
      </c>
      <c r="F855" s="19" t="n">
        <f aca="false">stk_28</f>
        <v>14</v>
      </c>
      <c r="G855" s="19" t="n">
        <f aca="false">stk_29</f>
        <v>15</v>
      </c>
      <c r="H855" s="19" t="n">
        <f aca="false">stk_30</f>
        <v>16</v>
      </c>
      <c r="I855" s="19" t="n">
        <f aca="false">stk_30</f>
        <v>16</v>
      </c>
    </row>
    <row r="856" customFormat="false" ht="15" hidden="false" customHeight="false" outlineLevel="0" collapsed="false">
      <c r="A856" s="0" t="s">
        <v>545</v>
      </c>
      <c r="B856" s="5" t="s">
        <v>546</v>
      </c>
      <c r="C856" s="19" t="n">
        <f aca="false">C853*8/C854</f>
        <v>0.741704901960783</v>
      </c>
      <c r="D856" s="19" t="n">
        <f aca="false">D853*8/D854</f>
        <v>1.16390615384615</v>
      </c>
      <c r="E856" s="19" t="n">
        <f aca="false">E853*8/E854</f>
        <v>1.6751935</v>
      </c>
      <c r="F856" s="19" t="n">
        <f aca="false">F853*8/F854</f>
        <v>2.125401753125</v>
      </c>
      <c r="G856" s="19" t="n">
        <f aca="false">G853*8/G854</f>
        <v>2.86929236671875</v>
      </c>
      <c r="H856" s="19" t="n">
        <f aca="false">H853*8/H854</f>
        <v>3.15622160339063</v>
      </c>
      <c r="I856" s="19" t="n">
        <f aca="false">I853*8/I854</f>
        <v>3.47184376372969</v>
      </c>
      <c r="J856" s="8" t="s">
        <v>547</v>
      </c>
    </row>
    <row r="857" customFormat="false" ht="15" hidden="false" customHeight="false" outlineLevel="0" collapsed="false">
      <c r="A857" s="0" t="s">
        <v>548</v>
      </c>
      <c r="B857" s="5" t="s">
        <v>549</v>
      </c>
      <c r="C857" s="19" t="n">
        <f aca="false">C856*(1+s_stk/C855)</f>
        <v>0.964216372549018</v>
      </c>
      <c r="D857" s="19" t="n">
        <f aca="false">D856*(1+s_stk/D855)</f>
        <v>1.45488269230769</v>
      </c>
      <c r="E857" s="19" t="n">
        <f aca="false">E856*(1+s_stk/E855)</f>
        <v>2.07723994</v>
      </c>
      <c r="F857" s="19" t="n">
        <f aca="false">F856*(1+s_stk/F855)</f>
        <v>2.5808449859375</v>
      </c>
      <c r="G857" s="19" t="n">
        <f aca="false">G856*(1+s_stk/G855)</f>
        <v>3.4431508400625</v>
      </c>
      <c r="H857" s="19" t="n">
        <f aca="false">H856*(1+s_stk/H855)</f>
        <v>3.74801315402637</v>
      </c>
      <c r="I857" s="19" t="n">
        <f aca="false">I856*(1+s_stk/I855)</f>
        <v>4.12281446942901</v>
      </c>
      <c r="J857" s="5" t="s">
        <v>550</v>
      </c>
    </row>
    <row r="858" customFormat="false" ht="15" hidden="false" customHeight="false" outlineLevel="0" collapsed="false">
      <c r="A858" s="5" t="s">
        <v>551</v>
      </c>
      <c r="B858" s="0" t="s">
        <v>60</v>
      </c>
      <c r="C858" s="22" t="n">
        <f aca="false">hbp_25*hb_on</f>
        <v>0</v>
      </c>
      <c r="D858" s="22" t="n">
        <f aca="false">hbp_26*hb_on</f>
        <v>0</v>
      </c>
      <c r="E858" s="22" t="n">
        <f aca="false">hbp_27*hb_on</f>
        <v>0</v>
      </c>
      <c r="F858" s="22" t="n">
        <f aca="false">hbp_28*hb_on</f>
        <v>0.05</v>
      </c>
      <c r="G858" s="22" t="n">
        <f aca="false">hbp_29*hb_on</f>
        <v>0.15</v>
      </c>
      <c r="H858" s="22" t="n">
        <f aca="false">hbp_30*hb_on</f>
        <v>0.25</v>
      </c>
      <c r="I858" s="22" t="n">
        <f aca="false">hbp_30*hb_on</f>
        <v>0.25</v>
      </c>
    </row>
    <row r="859" customFormat="false" ht="15" hidden="false" customHeight="false" outlineLevel="0" collapsed="false">
      <c r="A859" s="0" t="s">
        <v>552</v>
      </c>
      <c r="B859" s="5" t="s">
        <v>549</v>
      </c>
      <c r="C859" s="19" t="n">
        <f aca="false">C857*(1+C858*hb_eff)</f>
        <v>0.964216372549018</v>
      </c>
      <c r="D859" s="19" t="n">
        <f aca="false">D857*(1+D858*hb_eff)</f>
        <v>1.45488269230769</v>
      </c>
      <c r="E859" s="19" t="n">
        <f aca="false">E857*(1+E858*hb_eff)</f>
        <v>2.07723994</v>
      </c>
      <c r="F859" s="19" t="n">
        <f aca="false">F857*(1+F858*hb_eff)</f>
        <v>2.59374921086719</v>
      </c>
      <c r="G859" s="19" t="n">
        <f aca="false">G857*(1+G858*hb_eff)</f>
        <v>3.49479810266344</v>
      </c>
      <c r="H859" s="19" t="n">
        <f aca="false">H857*(1+H858*hb_eff)</f>
        <v>3.84171348287703</v>
      </c>
      <c r="I859" s="19" t="n">
        <f aca="false">I857*(1+I858*hb_eff)</f>
        <v>4.22588483116473</v>
      </c>
      <c r="J859" s="5" t="s">
        <v>553</v>
      </c>
    </row>
    <row r="860" customFormat="false" ht="15" hidden="false" customHeight="false" outlineLevel="0" collapsed="false">
      <c r="A860" s="0" t="s">
        <v>554</v>
      </c>
      <c r="B860" s="5" t="s">
        <v>549</v>
      </c>
      <c r="C860" s="19" t="n">
        <f aca="false">MAX(0,D859-C859)+dlt*C859</f>
        <v>0.587087957013576</v>
      </c>
      <c r="D860" s="19" t="n">
        <f aca="false">MAX(0,E859-D859)+dlt*D859</f>
        <v>0.767845516923077</v>
      </c>
      <c r="E860" s="19" t="n">
        <f aca="false">MAX(0,F859-E859)+dlt*E859</f>
        <v>0.724233264867187</v>
      </c>
      <c r="F860" s="19" t="n">
        <f aca="false">MAX(0,G859-F859)+dlt*F859</f>
        <v>1.16042381288297</v>
      </c>
      <c r="G860" s="19" t="n">
        <f aca="false">MAX(0,H859-G859)+dlt*G859</f>
        <v>0.696395190479933</v>
      </c>
      <c r="H860" s="19" t="n">
        <f aca="false">MAX(0,I859-H859)+dlt*H859</f>
        <v>0.768342696575406</v>
      </c>
      <c r="J860" s="5" t="s">
        <v>555</v>
      </c>
    </row>
    <row r="861" customFormat="false" ht="15" hidden="false" customHeight="false" outlineLevel="0" collapsed="false">
      <c r="A861" s="0" t="s">
        <v>556</v>
      </c>
      <c r="B861" s="5" t="s">
        <v>181</v>
      </c>
      <c r="C861" s="21" t="n">
        <f aca="false">cw_25</f>
        <v>670</v>
      </c>
      <c r="D861" s="21" t="n">
        <f aca="false">cw_26</f>
        <v>1107.85762580894</v>
      </c>
      <c r="E861" s="21" t="n">
        <f aca="false">cw_27</f>
        <v>2096.42857142857</v>
      </c>
      <c r="F861" s="21" t="n">
        <f aca="false">cw_28*um28_A</f>
        <v>2620.08928571429</v>
      </c>
      <c r="G861" s="21" t="n">
        <f aca="false">cw_29*um29_A</f>
        <v>3013.32589285714</v>
      </c>
      <c r="H861" s="21" t="n">
        <f aca="false">G861*(1+g_tail)</f>
        <v>3314.65848214285</v>
      </c>
      <c r="I861" s="21" t="n">
        <f aca="false">H861*(1+g_tail)</f>
        <v>3646.12433035714</v>
      </c>
      <c r="J861" s="5" t="s">
        <v>557</v>
      </c>
    </row>
    <row r="862" customFormat="false" ht="15" hidden="false" customHeight="false" outlineLevel="0" collapsed="false">
      <c r="A862" s="5" t="s">
        <v>558</v>
      </c>
      <c r="B862" s="5" t="s">
        <v>181</v>
      </c>
      <c r="C862" s="21" t="n">
        <f aca="false">MAX(0,D861-C861)+dlt*C861</f>
        <v>504.85762580894</v>
      </c>
      <c r="D862" s="21" t="n">
        <f aca="false">MAX(0,E861-D861)+dlt*D861</f>
        <v>1099.35670820052</v>
      </c>
      <c r="E862" s="21" t="n">
        <f aca="false">MAX(0,F861-E861)+dlt*E861</f>
        <v>733.303571428577</v>
      </c>
      <c r="F862" s="21" t="n">
        <f aca="false">MAX(0,G861-F861)+dlt*F861</f>
        <v>655.245535714279</v>
      </c>
      <c r="G862" s="21" t="n">
        <f aca="false">MAX(0,H861-G861)+dlt*G861</f>
        <v>602.665178571428</v>
      </c>
      <c r="H862" s="21" t="n">
        <f aca="false">MAX(0,I861-H861)+dlt*H861</f>
        <v>662.931696428571</v>
      </c>
    </row>
    <row r="863" customFormat="false" ht="15" hidden="false" customHeight="false" outlineLevel="0" collapsed="false">
      <c r="A863" s="1" t="s">
        <v>559</v>
      </c>
    </row>
    <row r="864" customFormat="false" ht="15" hidden="false" customHeight="false" outlineLevel="0" collapsed="false">
      <c r="A864" s="0" t="s">
        <v>560</v>
      </c>
      <c r="B864" s="0" t="s">
        <v>561</v>
      </c>
      <c r="C864" s="16" t="n">
        <f aca="false">ai_25*w_hbm/(0.75*C860+0.25*D860)</f>
        <v>56.9370390562406</v>
      </c>
      <c r="J864" s="5" t="s">
        <v>562</v>
      </c>
    </row>
    <row r="865" customFormat="false" ht="15" hidden="false" customHeight="false" outlineLevel="0" collapsed="false">
      <c r="A865" s="5" t="s">
        <v>563</v>
      </c>
      <c r="B865" s="0" t="s">
        <v>564</v>
      </c>
      <c r="C865" s="18" t="n">
        <f aca="false">ai_25*(1-w_hbm)/(0.75*C862+0.25*D862)</f>
        <v>0.0596802610360141</v>
      </c>
    </row>
    <row r="866" customFormat="false" ht="15" hidden="false" customHeight="false" outlineLevel="0" collapsed="false">
      <c r="A866" s="1" t="s">
        <v>565</v>
      </c>
    </row>
    <row r="867" customFormat="false" ht="15" hidden="false" customHeight="false" outlineLevel="0" collapsed="false">
      <c r="A867" s="5" t="s">
        <v>566</v>
      </c>
      <c r="B867" s="0" t="s">
        <v>80</v>
      </c>
      <c r="C867" s="16" t="n">
        <f aca="false">1-sh_loss/sh*0</f>
        <v>1</v>
      </c>
      <c r="D867" s="16" t="n">
        <f aca="false">1-sh_loss/sh*0.25</f>
        <v>1</v>
      </c>
      <c r="E867" s="16" t="n">
        <f aca="false">1-sh_loss/sh*0.5</f>
        <v>1</v>
      </c>
      <c r="F867" s="16" t="n">
        <f aca="false">1-sh_loss/sh*0.75</f>
        <v>1</v>
      </c>
      <c r="G867" s="16" t="n">
        <f aca="false">1-sh_loss/sh*1</f>
        <v>1</v>
      </c>
    </row>
    <row r="868" customFormat="false" ht="15" hidden="false" customHeight="false" outlineLevel="0" collapsed="false">
      <c r="A868" s="0" t="s">
        <v>567</v>
      </c>
      <c r="B868" s="0" t="s">
        <v>33</v>
      </c>
      <c r="C868" s="11" t="n">
        <f aca="false">$C$864*(0.75*C860+0.25*D860)*C867</f>
        <v>36</v>
      </c>
      <c r="D868" s="11" t="n">
        <f aca="false">$C$864*(0.75*D860+0.25*E860)*D867</f>
        <v>43.0980620615493</v>
      </c>
      <c r="E868" s="11" t="n">
        <f aca="false">$C$864*(0.75*E860+0.25*F860)*E867</f>
        <v>47.4445472546561</v>
      </c>
      <c r="F868" s="11" t="n">
        <f aca="false">$C$864*(0.75*F860+0.25*G860)*F867</f>
        <v>59.4659920066655</v>
      </c>
      <c r="G868" s="11" t="n">
        <f aca="false">$C$864*(0.75*G860+0.25*H860)*G867</f>
        <v>40.6747996500733</v>
      </c>
    </row>
    <row r="869" customFormat="false" ht="15" hidden="false" customHeight="false" outlineLevel="0" collapsed="false">
      <c r="A869" s="5" t="s">
        <v>568</v>
      </c>
      <c r="B869" s="0" t="s">
        <v>33</v>
      </c>
      <c r="C869" s="11" t="n">
        <f aca="false">$C$865*(0.75*C862+0.25*D862)*C867</f>
        <v>39</v>
      </c>
      <c r="D869" s="11" t="n">
        <f aca="false">$C$865*(0.75*D862+0.25*E862)*D867</f>
        <v>60.1483586282001</v>
      </c>
      <c r="E869" s="11" t="n">
        <f aca="false">$C$865*(0.75*E862+0.25*F862)*E867</f>
        <v>42.5991175746519</v>
      </c>
      <c r="F869" s="11" t="n">
        <f aca="false">$C$865*(0.75*F862+0.25*G862)*F867</f>
        <v>38.320722254198</v>
      </c>
      <c r="G869" s="11" t="n">
        <f aca="false">$C$865*(0.75*G862+0.25*H862)*G867</f>
        <v>36.8663955538204</v>
      </c>
    </row>
    <row r="870" customFormat="false" ht="15" hidden="false" customHeight="false" outlineLevel="0" collapsed="false">
      <c r="A870" s="0" t="s">
        <v>569</v>
      </c>
      <c r="B870" s="0" t="s">
        <v>33</v>
      </c>
      <c r="C870" s="11" t="n">
        <f aca="false">C868+C869</f>
        <v>75</v>
      </c>
      <c r="D870" s="11" t="n">
        <f aca="false">D868+D869</f>
        <v>103.246420689749</v>
      </c>
      <c r="E870" s="11" t="n">
        <f aca="false">E868+E869</f>
        <v>90.043664829308</v>
      </c>
      <c r="F870" s="11" t="n">
        <f aca="false">F868+F869</f>
        <v>97.7867142608635</v>
      </c>
      <c r="G870" s="11" t="n">
        <f aca="false">G868+G869</f>
        <v>77.5411952038937</v>
      </c>
    </row>
    <row r="871" customFormat="false" ht="15" hidden="false" customHeight="false" outlineLevel="0" collapsed="false">
      <c r="A871" s="5" t="s">
        <v>570</v>
      </c>
      <c r="B871" s="0" t="s">
        <v>33</v>
      </c>
      <c r="C871" s="11" t="n">
        <f aca="false">eq_25-ai_25</f>
        <v>195.87118</v>
      </c>
      <c r="D871" s="11" t="n">
        <f aca="false">C871*(1+g_non)*D867/C867</f>
        <v>207.6234508</v>
      </c>
      <c r="E871" s="11" t="n">
        <f aca="false">D871*(1+g_non)*E867/D867</f>
        <v>220.080857848</v>
      </c>
      <c r="F871" s="11" t="n">
        <f aca="false">E871*(1+g_non)*F867/E867</f>
        <v>233.28570931888</v>
      </c>
      <c r="G871" s="11" t="n">
        <f aca="false">F871*(1+g_non)*G867/F867</f>
        <v>247.282851878013</v>
      </c>
    </row>
    <row r="872" customFormat="false" ht="15" hidden="false" customHeight="false" outlineLevel="0" collapsed="false">
      <c r="A872" s="0" t="s">
        <v>571</v>
      </c>
      <c r="B872" s="0" t="s">
        <v>80</v>
      </c>
      <c r="C872" s="19" t="n">
        <f aca="false">w_hbm*(0.75*C859+0.25*D859)/(0.75*C859+0.25*D859)+(1-w_hbm)*(0.75*C861+0.25*D861)/(0.75*C861+0.25*D861)</f>
        <v>1</v>
      </c>
      <c r="D872" s="19" t="n">
        <f aca="false">w_hbm*(0.75*D859+0.25*E859)/(0.75*C859+0.25*D859)+(1-w_hbm)*(0.75*D861+0.25*E861)/(0.75*C861+0.25*D861)</f>
        <v>1.6151868585337</v>
      </c>
      <c r="E872" s="19" t="n">
        <f aca="false">w_hbm*(0.75*E859+0.25*F859)/(0.75*C859+0.25*D859)+(1-w_hbm)*(0.75*E861+0.25*F861)/(0.75*C861+0.25*D861)</f>
        <v>2.46031388199309</v>
      </c>
      <c r="F872" s="19" t="n">
        <f aca="false">w_hbm*(0.75*F859+0.25*G859)/(0.75*C859+0.25*D859)+(1-w_hbm)*(0.75*F861+0.25*G861)/(0.75*C861+0.25*D861)</f>
        <v>3.05847060014045</v>
      </c>
      <c r="G872" s="19" t="n">
        <f aca="false">w_hbm*(0.75*G859+0.25*H859)/(0.75*C859+0.25*D859)+(1-w_hbm)*(0.75*G861+0.25*H861)/(0.75*C861+0.25*D861)</f>
        <v>3.64223025682917</v>
      </c>
      <c r="J872" s="8" t="s">
        <v>572</v>
      </c>
    </row>
    <row r="873" customFormat="false" ht="15" hidden="false" customHeight="false" outlineLevel="0" collapsed="false">
      <c r="A873" s="0" t="s">
        <v>573</v>
      </c>
      <c r="B873" s="0" t="s">
        <v>33</v>
      </c>
      <c r="C873" s="11" t="n">
        <f aca="false">tl_25*w_tlai*C872</f>
        <v>25.4032258064516</v>
      </c>
      <c r="D873" s="11" t="n">
        <f aca="false">tl_25*w_tlai*D872</f>
        <v>41.0309564869448</v>
      </c>
      <c r="E873" s="11" t="n">
        <f aca="false">tl_25*w_tlai*E872</f>
        <v>62.4999090990181</v>
      </c>
      <c r="F873" s="11" t="n">
        <f aca="false">tl_25*w_tlai*F872</f>
        <v>77.6950192777614</v>
      </c>
      <c r="G873" s="11" t="n">
        <f aca="false">tl_25*w_tlai*G872</f>
        <v>92.5243976533216</v>
      </c>
      <c r="J873" s="5" t="s">
        <v>574</v>
      </c>
    </row>
    <row r="874" customFormat="false" ht="15" hidden="false" customHeight="false" outlineLevel="0" collapsed="false">
      <c r="A874" s="5" t="s">
        <v>575</v>
      </c>
      <c r="B874" s="0" t="s">
        <v>33</v>
      </c>
      <c r="C874" s="11" t="n">
        <f aca="false">tl_25*(1-w_tlai)</f>
        <v>66.3434641935484</v>
      </c>
      <c r="D874" s="11" t="n">
        <f aca="false">C874*(1+g_tl)</f>
        <v>69.6606374032258</v>
      </c>
      <c r="E874" s="11" t="n">
        <f aca="false">D874*(1+g_tl)</f>
        <v>73.1436692733871</v>
      </c>
      <c r="F874" s="11" t="n">
        <f aca="false">E874*(1+g_tl)</f>
        <v>76.8008527370565</v>
      </c>
      <c r="G874" s="11" t="n">
        <f aca="false">F874*(1+g_tl)</f>
        <v>80.6408953739093</v>
      </c>
    </row>
    <row r="875" customFormat="false" ht="15" hidden="false" customHeight="false" outlineLevel="0" collapsed="false">
      <c r="A875" s="5" t="s">
        <v>576</v>
      </c>
      <c r="B875" s="0" t="s">
        <v>33</v>
      </c>
      <c r="C875" s="11" t="n">
        <f aca="false">(C870+C871+C873+C874)*(1+r_ot)</f>
        <v>436.889</v>
      </c>
      <c r="D875" s="11" t="n">
        <f aca="false">(D870+D871+D873+D874)*(1+r_ot)</f>
        <v>507.905379975807</v>
      </c>
      <c r="E875" s="11" t="n">
        <f aca="false">(E870+E871+E873+E874)*(1+r_ot)</f>
        <v>537.070001264715</v>
      </c>
      <c r="F875" s="11" t="n">
        <f aca="false">(F870+F871+F873+F874)*(1+r_ot)</f>
        <v>585.022042885014</v>
      </c>
      <c r="G875" s="11" t="n">
        <f aca="false">(G870+G871+G873+G874)*(1+r_ot)</f>
        <v>599.987156757997</v>
      </c>
      <c r="J875" s="8" t="s">
        <v>577</v>
      </c>
    </row>
    <row r="876" customFormat="false" ht="15" hidden="false" customHeight="false" outlineLevel="0" collapsed="false">
      <c r="A876" s="1" t="s">
        <v>578</v>
      </c>
    </row>
    <row r="877" customFormat="false" ht="15" hidden="false" customHeight="false" outlineLevel="0" collapsed="false">
      <c r="A877" s="5" t="s">
        <v>579</v>
      </c>
      <c r="B877" s="0" t="s">
        <v>33</v>
      </c>
      <c r="D877" s="11" t="n">
        <f aca="false">g3_rev*(1+g_q4)</f>
        <v>145.6862</v>
      </c>
    </row>
    <row r="878" customFormat="false" ht="15" hidden="false" customHeight="false" outlineLevel="0" collapsed="false">
      <c r="A878" s="0" t="s">
        <v>580</v>
      </c>
      <c r="B878" s="0" t="s">
        <v>33</v>
      </c>
      <c r="D878" s="11" t="n">
        <f aca="false">q26h1_rev+g3_rev+D877</f>
        <v>535.1862</v>
      </c>
    </row>
    <row r="879" customFormat="false" ht="15" hidden="false" customHeight="false" outlineLevel="0" collapsed="false">
      <c r="A879" s="0" t="s">
        <v>581</v>
      </c>
      <c r="B879" s="0" t="s">
        <v>33</v>
      </c>
      <c r="D879" s="11" t="n">
        <f aca="false">q26h1_gp+(g3_rev+D877)*gm_q3</f>
        <v>378.0504836</v>
      </c>
    </row>
    <row r="880" customFormat="false" ht="15" hidden="false" customHeight="false" outlineLevel="0" collapsed="false">
      <c r="A880" s="0" t="s">
        <v>582</v>
      </c>
      <c r="B880" s="0" t="s">
        <v>33</v>
      </c>
      <c r="D880" s="11" t="n">
        <f aca="false">q26h1_oi+g3_oi+D877*m_q4</f>
        <v>238.5671</v>
      </c>
    </row>
    <row r="881" customFormat="false" ht="15" hidden="false" customHeight="false" outlineLevel="0" collapsed="false">
      <c r="A881" s="0" t="s">
        <v>583</v>
      </c>
      <c r="B881" s="0" t="s">
        <v>33</v>
      </c>
      <c r="D881" s="11" t="n">
        <f aca="false">q26h1_ni+g3_ni+D877*m_q4*nioi</f>
        <v>167.95938138934</v>
      </c>
    </row>
    <row r="882" customFormat="false" ht="15" hidden="false" customHeight="false" outlineLevel="0" collapsed="false">
      <c r="A882" s="5" t="s">
        <v>584</v>
      </c>
      <c r="B882" s="0" t="s">
        <v>80</v>
      </c>
      <c r="D882" s="16" t="n">
        <f aca="false">D878/D875</f>
        <v>1.05371240608928</v>
      </c>
      <c r="J882" s="8" t="s">
        <v>585</v>
      </c>
    </row>
    <row r="883" customFormat="false" ht="15" hidden="false" customHeight="false" outlineLevel="0" collapsed="false">
      <c r="A883" s="5" t="s">
        <v>586</v>
      </c>
      <c r="B883" s="0" t="s">
        <v>80</v>
      </c>
      <c r="D883" s="16" t="n">
        <f aca="false">1+anc_carry*(D882-1)</f>
        <v>1.05371240608928</v>
      </c>
      <c r="J883" s="8" t="s">
        <v>587</v>
      </c>
    </row>
    <row r="884" customFormat="false" ht="15" hidden="false" customHeight="false" outlineLevel="0" collapsed="false">
      <c r="A884" s="1" t="s">
        <v>588</v>
      </c>
    </row>
    <row r="885" customFormat="false" ht="15" hidden="false" customHeight="false" outlineLevel="0" collapsed="false">
      <c r="A885" s="0" t="s">
        <v>589</v>
      </c>
      <c r="B885" s="0" t="s">
        <v>33</v>
      </c>
      <c r="C885" s="11" t="n">
        <f aca="false">C868*1</f>
        <v>36</v>
      </c>
      <c r="D885" s="11" t="n">
        <f aca="false">D868*$D$882</f>
        <v>45.4129626726604</v>
      </c>
      <c r="E885" s="11" t="n">
        <f aca="false">E868*1</f>
        <v>47.4445472546561</v>
      </c>
      <c r="F885" s="11" t="n">
        <f aca="false">F868*1</f>
        <v>59.4659920066655</v>
      </c>
      <c r="G885" s="11" t="n">
        <f aca="false">G868*1</f>
        <v>40.6747996500733</v>
      </c>
    </row>
    <row r="886" customFormat="false" ht="15" hidden="false" customHeight="false" outlineLevel="0" collapsed="false">
      <c r="A886" s="5" t="s">
        <v>590</v>
      </c>
      <c r="B886" s="0" t="s">
        <v>33</v>
      </c>
      <c r="C886" s="11" t="n">
        <f aca="false">C869*1</f>
        <v>39</v>
      </c>
      <c r="D886" s="11" t="n">
        <f aca="false">D869*$D$882</f>
        <v>63.3790716924418</v>
      </c>
      <c r="E886" s="11" t="n">
        <f aca="false">E869*1</f>
        <v>42.5991175746519</v>
      </c>
      <c r="F886" s="11" t="n">
        <f aca="false">F869*1</f>
        <v>38.320722254198</v>
      </c>
      <c r="G886" s="11" t="n">
        <f aca="false">G869*1</f>
        <v>36.8663955538204</v>
      </c>
    </row>
    <row r="887" customFormat="false" ht="15" hidden="false" customHeight="false" outlineLevel="0" collapsed="false">
      <c r="A887" s="0" t="s">
        <v>591</v>
      </c>
      <c r="B887" s="0" t="s">
        <v>33</v>
      </c>
      <c r="C887" s="11" t="n">
        <f aca="false">C885+C886</f>
        <v>75</v>
      </c>
      <c r="D887" s="11" t="n">
        <f aca="false">D885+D886</f>
        <v>108.792034365102</v>
      </c>
      <c r="E887" s="11" t="n">
        <f aca="false">E885+E886</f>
        <v>90.043664829308</v>
      </c>
      <c r="F887" s="11" t="n">
        <f aca="false">F885+F886</f>
        <v>97.7867142608635</v>
      </c>
      <c r="G887" s="11" t="n">
        <f aca="false">G885+G886</f>
        <v>77.5411952038937</v>
      </c>
    </row>
    <row r="888" customFormat="false" ht="15" hidden="false" customHeight="false" outlineLevel="0" collapsed="false">
      <c r="A888" s="5" t="s">
        <v>592</v>
      </c>
      <c r="B888" s="0" t="s">
        <v>33</v>
      </c>
      <c r="C888" s="11" t="n">
        <f aca="false">C871*1</f>
        <v>195.87118</v>
      </c>
      <c r="D888" s="11" t="n">
        <f aca="false">D871*$D$882</f>
        <v>218.775405903028</v>
      </c>
      <c r="E888" s="11" t="n">
        <f aca="false">E871*$D$883</f>
        <v>231.90193025721</v>
      </c>
      <c r="F888" s="11" t="n">
        <f aca="false">F871*$D$883</f>
        <v>245.816046072642</v>
      </c>
      <c r="G888" s="11" t="n">
        <f aca="false">G871*$D$883</f>
        <v>260.565008837001</v>
      </c>
    </row>
    <row r="889" customFormat="false" ht="15" hidden="false" customHeight="false" outlineLevel="0" collapsed="false">
      <c r="A889" s="5" t="s">
        <v>593</v>
      </c>
      <c r="B889" s="0" t="s">
        <v>33</v>
      </c>
      <c r="C889" s="11" t="n">
        <f aca="false">C887+C888</f>
        <v>270.87118</v>
      </c>
      <c r="D889" s="11" t="n">
        <f aca="false">D887+D888</f>
        <v>327.56744026813</v>
      </c>
      <c r="E889" s="11" t="n">
        <f aca="false">E887+E888</f>
        <v>321.945595086518</v>
      </c>
      <c r="F889" s="11" t="n">
        <f aca="false">F887+F888</f>
        <v>343.602760333506</v>
      </c>
      <c r="G889" s="11" t="n">
        <f aca="false">G887+G888</f>
        <v>338.106204040895</v>
      </c>
    </row>
    <row r="890" customFormat="false" ht="15" hidden="false" customHeight="false" outlineLevel="0" collapsed="false">
      <c r="A890" s="0" t="s">
        <v>594</v>
      </c>
      <c r="B890" s="0" t="s">
        <v>33</v>
      </c>
      <c r="C890" s="11" t="n">
        <f aca="false">C873*1</f>
        <v>25.4032258064516</v>
      </c>
      <c r="D890" s="11" t="n">
        <f aca="false">D873*$D$882</f>
        <v>43.2348278840033</v>
      </c>
      <c r="E890" s="11" t="n">
        <f aca="false">E873*1</f>
        <v>62.4999090990181</v>
      </c>
      <c r="F890" s="11" t="n">
        <f aca="false">F873*1</f>
        <v>77.6950192777614</v>
      </c>
      <c r="G890" s="11" t="n">
        <f aca="false">G873*1</f>
        <v>92.5243976533216</v>
      </c>
    </row>
    <row r="891" customFormat="false" ht="15" hidden="false" customHeight="false" outlineLevel="0" collapsed="false">
      <c r="A891" s="5" t="s">
        <v>595</v>
      </c>
      <c r="B891" s="0" t="s">
        <v>33</v>
      </c>
      <c r="C891" s="11" t="n">
        <f aca="false">C874*1</f>
        <v>66.3434641935484</v>
      </c>
      <c r="D891" s="11" t="n">
        <f aca="false">D874*$D$882</f>
        <v>73.4022778478662</v>
      </c>
      <c r="E891" s="11" t="n">
        <f aca="false">E874*$D$883</f>
        <v>77.0723917402596</v>
      </c>
      <c r="F891" s="11" t="n">
        <f aca="false">F874*$D$883</f>
        <v>80.9260113272726</v>
      </c>
      <c r="G891" s="11" t="n">
        <f aca="false">G874*$D$883</f>
        <v>84.9723118936362</v>
      </c>
    </row>
    <row r="892" customFormat="false" ht="15" hidden="false" customHeight="false" outlineLevel="0" collapsed="false">
      <c r="A892" s="5" t="s">
        <v>596</v>
      </c>
      <c r="B892" s="0" t="s">
        <v>33</v>
      </c>
      <c r="C892" s="11" t="n">
        <f aca="false">C890+C891</f>
        <v>91.74669</v>
      </c>
      <c r="D892" s="11" t="n">
        <f aca="false">D890+D891</f>
        <v>116.63710573187</v>
      </c>
      <c r="E892" s="11" t="n">
        <f aca="false">E890+E891</f>
        <v>139.572300839278</v>
      </c>
      <c r="F892" s="11" t="n">
        <f aca="false">F890+F891</f>
        <v>158.621030605034</v>
      </c>
      <c r="G892" s="11" t="n">
        <f aca="false">G890+G891</f>
        <v>177.496709546958</v>
      </c>
    </row>
    <row r="893" customFormat="false" ht="15" hidden="false" customHeight="false" outlineLevel="0" collapsed="false">
      <c r="A893" s="5" t="s">
        <v>458</v>
      </c>
      <c r="B893" s="0" t="s">
        <v>33</v>
      </c>
      <c r="C893" s="11" t="n">
        <f aca="false">r_ot*(C889+C892)</f>
        <v>74.27113</v>
      </c>
      <c r="D893" s="11" t="n">
        <f aca="false">r_ot*(D889+D892)</f>
        <v>90.981654</v>
      </c>
      <c r="E893" s="11" t="n">
        <f aca="false">r_ot*(E889+E892)</f>
        <v>94.5277618161268</v>
      </c>
      <c r="F893" s="11" t="n">
        <f aca="false">r_ot*(F889+F892)</f>
        <v>102.865113806689</v>
      </c>
      <c r="G893" s="11" t="n">
        <f aca="false">r_ot*(G889+G892)</f>
        <v>105.605416036066</v>
      </c>
    </row>
    <row r="894" customFormat="false" ht="15" hidden="false" customHeight="false" outlineLevel="0" collapsed="false">
      <c r="A894" s="5" t="s">
        <v>428</v>
      </c>
      <c r="B894" s="0" t="s">
        <v>33</v>
      </c>
      <c r="C894" s="11" t="n">
        <f aca="false">C889+C892+C893</f>
        <v>436.889</v>
      </c>
      <c r="D894" s="11" t="n">
        <f aca="false">D889+D892+D893</f>
        <v>535.1862</v>
      </c>
      <c r="E894" s="11" t="n">
        <f aca="false">E889+E892+E893</f>
        <v>556.045657741922</v>
      </c>
      <c r="F894" s="11" t="n">
        <f aca="false">F889+F892+F893</f>
        <v>605.088904745229</v>
      </c>
      <c r="G894" s="11" t="n">
        <f aca="false">G889+G892+G893</f>
        <v>621.208329623919</v>
      </c>
      <c r="J894" s="8" t="s">
        <v>597</v>
      </c>
    </row>
    <row r="895" customFormat="false" ht="15" hidden="false" customHeight="false" outlineLevel="0" collapsed="false">
      <c r="A895" s="0" t="s">
        <v>598</v>
      </c>
      <c r="B895" s="0" t="s">
        <v>60</v>
      </c>
      <c r="C895" s="14" t="n">
        <f aca="false">(C887+C890)*(1+r_ot)/C894</f>
        <v>0.276884384673187</v>
      </c>
      <c r="D895" s="14" t="n">
        <f aca="false">(D887+D890)*(1+r_ot)/D894</f>
        <v>0.342245174251561</v>
      </c>
      <c r="E895" s="14" t="n">
        <f aca="false">(E887+E890)*(1+r_ot)/E894</f>
        <v>0.330525804687003</v>
      </c>
      <c r="F895" s="14" t="n">
        <f aca="false">(F887+F890)*(1+r_ot)/F894</f>
        <v>0.349409439984295</v>
      </c>
      <c r="G895" s="14" t="n">
        <f aca="false">(G887+G890)*(1+r_ot)/G894</f>
        <v>0.329838308464559</v>
      </c>
    </row>
    <row r="896" customFormat="false" ht="15" hidden="false" customHeight="false" outlineLevel="0" collapsed="false">
      <c r="A896" s="0" t="s">
        <v>599</v>
      </c>
      <c r="B896" s="0" t="s">
        <v>60</v>
      </c>
      <c r="C896" s="14" t="n">
        <f aca="false">C887*(1+r_ot)/C894</f>
        <v>0.206829299394429</v>
      </c>
      <c r="D896" s="14" t="n">
        <f aca="false">D887*(1+r_ot)/D894</f>
        <v>0.244914275067104</v>
      </c>
      <c r="E896" s="14" t="n">
        <f aca="false">E887*(1+r_ot)/E894</f>
        <v>0.195103300704477</v>
      </c>
      <c r="F896" s="14" t="n">
        <f aca="false">F887*(1+r_ot)/F894</f>
        <v>0.19470745119048</v>
      </c>
      <c r="G896" s="14" t="n">
        <f aca="false">G887*(1+r_ot)/G894</f>
        <v>0.150389365848069</v>
      </c>
      <c r="J896" s="5" t="s">
        <v>600</v>
      </c>
    </row>
    <row r="897" customFormat="false" ht="15" hidden="false" customHeight="false" outlineLevel="0" collapsed="false">
      <c r="A897" s="5" t="s">
        <v>466</v>
      </c>
      <c r="B897" s="0" t="s">
        <v>60</v>
      </c>
      <c r="C897" s="14" t="n">
        <f aca="false">a25_gp/a25_rev</f>
        <v>0.701498549974936</v>
      </c>
      <c r="D897" s="14" t="n">
        <f aca="false">D879/D894</f>
        <v>0.70639056761927</v>
      </c>
      <c r="E897" s="14" t="n">
        <f aca="false">gm_a+gm_b*LN(E894)+0</f>
        <v>0.729905312927938</v>
      </c>
      <c r="F897" s="14" t="n">
        <f aca="false">gm_a+gm_b*LN(F894)+0</f>
        <v>0.739526450754269</v>
      </c>
      <c r="G897" s="14" t="n">
        <f aca="false">gm_a+gm_b*LN(G894)+0</f>
        <v>0.742519060751644</v>
      </c>
      <c r="J897" s="8" t="s">
        <v>601</v>
      </c>
    </row>
    <row r="898" customFormat="false" ht="15" hidden="false" customHeight="false" outlineLevel="0" collapsed="false">
      <c r="A898" s="5" t="s">
        <v>463</v>
      </c>
      <c r="B898" s="0" t="s">
        <v>33</v>
      </c>
      <c r="C898" s="11" t="n">
        <f aca="false">C894*C897</f>
        <v>306.477</v>
      </c>
      <c r="D898" s="11" t="n">
        <f aca="false">D894*D897</f>
        <v>378.0504836</v>
      </c>
      <c r="E898" s="11" t="n">
        <f aca="false">E894*E897</f>
        <v>405.860679816339</v>
      </c>
      <c r="F898" s="11" t="n">
        <f aca="false">F894*F897</f>
        <v>447.479250117027</v>
      </c>
      <c r="G898" s="11" t="n">
        <f aca="false">G894*G897</f>
        <v>461.25902544345</v>
      </c>
    </row>
    <row r="899" customFormat="false" ht="15" hidden="false" customHeight="false" outlineLevel="0" collapsed="false">
      <c r="A899" s="5" t="s">
        <v>464</v>
      </c>
      <c r="B899" s="0" t="s">
        <v>33</v>
      </c>
      <c r="C899" s="11" t="n">
        <f aca="false">a25_sga</f>
        <v>121.487</v>
      </c>
      <c r="D899" s="11" t="n">
        <f aca="false">D898-D880</f>
        <v>139.4833836</v>
      </c>
      <c r="E899" s="11" t="n">
        <f aca="false">sg_f+sg_v*E894</f>
        <v>148.45093580353</v>
      </c>
      <c r="F899" s="11" t="n">
        <f aca="false">sg_f+sg_v*F894</f>
        <v>160.827834593149</v>
      </c>
      <c r="G899" s="11" t="n">
        <f aca="false">sg_f+sg_v*G894</f>
        <v>164.895846041431</v>
      </c>
      <c r="J899" s="8" t="s">
        <v>602</v>
      </c>
    </row>
    <row r="900" customFormat="false" ht="15" hidden="false" customHeight="false" outlineLevel="0" collapsed="false">
      <c r="A900" s="5" t="s">
        <v>432</v>
      </c>
      <c r="B900" s="0" t="s">
        <v>33</v>
      </c>
      <c r="C900" s="11" t="n">
        <f aca="false">C898-C899</f>
        <v>184.99</v>
      </c>
      <c r="D900" s="11" t="n">
        <f aca="false">D898-D899</f>
        <v>238.5671</v>
      </c>
      <c r="E900" s="11" t="n">
        <f aca="false">E898-E899</f>
        <v>257.409744012808</v>
      </c>
      <c r="F900" s="11" t="n">
        <f aca="false">F898-F899</f>
        <v>286.651415523878</v>
      </c>
      <c r="G900" s="11" t="n">
        <f aca="false">G898-G899</f>
        <v>296.363179402019</v>
      </c>
    </row>
    <row r="901" customFormat="false" ht="15" hidden="false" customHeight="false" outlineLevel="0" collapsed="false">
      <c r="A901" s="5" t="s">
        <v>603</v>
      </c>
      <c r="B901" s="0" t="s">
        <v>60</v>
      </c>
      <c r="C901" s="14" t="n">
        <f aca="false">C900/C894</f>
        <v>0.423425629851061</v>
      </c>
      <c r="D901" s="14" t="n">
        <f aca="false">D900/D894</f>
        <v>0.445764670314743</v>
      </c>
      <c r="E901" s="14" t="n">
        <f aca="false">E900/E894</f>
        <v>0.462929150563172</v>
      </c>
      <c r="F901" s="14" t="n">
        <f aca="false">F900/F894</f>
        <v>0.473734377338437</v>
      </c>
      <c r="G901" s="14" t="n">
        <f aca="false">G900/G894</f>
        <v>0.477075346979712</v>
      </c>
    </row>
    <row r="902" customFormat="false" ht="15" hidden="false" customHeight="false" outlineLevel="0" collapsed="false">
      <c r="A902" s="5" t="s">
        <v>435</v>
      </c>
      <c r="B902" s="0" t="s">
        <v>33</v>
      </c>
      <c r="C902" s="11" t="n">
        <f aca="false">a25_ni</f>
        <v>135.521</v>
      </c>
      <c r="D902" s="11" t="n">
        <f aca="false">D881</f>
        <v>167.95938138934</v>
      </c>
      <c r="E902" s="11" t="n">
        <f aca="false">E900*nioi</f>
        <v>185.637575102335</v>
      </c>
      <c r="F902" s="11" t="n">
        <f aca="false">F900*nioi</f>
        <v>206.725949250999</v>
      </c>
      <c r="G902" s="11" t="n">
        <f aca="false">G900*nioi</f>
        <v>213.729834450522</v>
      </c>
    </row>
    <row r="903" customFormat="false" ht="15" hidden="false" customHeight="false" outlineLevel="0" collapsed="false">
      <c r="A903" s="0" t="s">
        <v>524</v>
      </c>
      <c r="B903" s="0" t="s">
        <v>55</v>
      </c>
      <c r="C903" s="11" t="n">
        <f aca="false">a25_eps</f>
        <v>1249.84</v>
      </c>
      <c r="D903" s="11" t="n">
        <f aca="false">D902*1000/shares</f>
        <v>1548.28555816522</v>
      </c>
      <c r="E903" s="11" t="n">
        <f aca="false">E902*1000/shares</f>
        <v>1711.24693486159</v>
      </c>
      <c r="F903" s="11" t="n">
        <f aca="false">F902*1000/shares</f>
        <v>1905.64408534808</v>
      </c>
      <c r="G903" s="11" t="n">
        <f aca="false">G902*1000/shares</f>
        <v>1970.2073995004</v>
      </c>
    </row>
    <row r="904" customFormat="false" ht="15" hidden="false" customHeight="false" outlineLevel="0" collapsed="false">
      <c r="A904" s="5" t="s">
        <v>604</v>
      </c>
      <c r="B904" s="0" t="s">
        <v>33</v>
      </c>
      <c r="C904" s="16" t="n">
        <f aca="false">ABS(C894-a25_rev)+ABS(C900-a25_oi)+ABS(D894-D878)+ABS(D900-D880)</f>
        <v>0.000999999999976353</v>
      </c>
    </row>
    <row r="905" customFormat="false" ht="15" hidden="false" customHeight="false" outlineLevel="0" collapsed="false">
      <c r="A905" s="1" t="s">
        <v>605</v>
      </c>
    </row>
    <row r="906" customFormat="false" ht="15" hidden="false" customHeight="false" outlineLevel="0" collapsed="false">
      <c r="A906" s="5" t="s">
        <v>606</v>
      </c>
      <c r="B906" s="0" t="s">
        <v>60</v>
      </c>
      <c r="C906" s="14" t="n">
        <f aca="false">a25_gp/a25_rev</f>
        <v>0.701498549974936</v>
      </c>
      <c r="D906" s="14" t="n">
        <f aca="false">gm_a+gm_b*LN(D875)+0</f>
        <v>0.719597776036035</v>
      </c>
      <c r="E906" s="14" t="n">
        <f aca="false">gm_a+gm_b*LN(E875)+0</f>
        <v>0.725953051745114</v>
      </c>
      <c r="F906" s="14" t="n">
        <f aca="false">gm_a+gm_b*LN(F875)+0</f>
        <v>0.735687571196474</v>
      </c>
      <c r="G906" s="14" t="n">
        <f aca="false">gm_a+gm_b*LN(G875)+0</f>
        <v>0.738562669554233</v>
      </c>
    </row>
    <row r="907" customFormat="false" ht="15" hidden="false" customHeight="false" outlineLevel="0" collapsed="false">
      <c r="A907" s="5" t="s">
        <v>607</v>
      </c>
      <c r="B907" s="0" t="s">
        <v>33</v>
      </c>
      <c r="C907" s="11" t="n">
        <f aca="false">a25_oi</f>
        <v>184.989</v>
      </c>
      <c r="D907" s="11" t="n">
        <f aca="false">D875*D906-sg_f-sg_v*D875</f>
        <v>229.185665185129</v>
      </c>
      <c r="E907" s="11" t="n">
        <f aca="false">E875*E906-sg_f-sg_v*E875</f>
        <v>246.225500760889</v>
      </c>
      <c r="F907" s="11" t="n">
        <f aca="false">F875*F906-sg_f-sg_v*F875</f>
        <v>274.629825644994</v>
      </c>
      <c r="G907" s="11" t="n">
        <f aca="false">G875*G906-sg_f-sg_v*G875</f>
        <v>283.587794608634</v>
      </c>
    </row>
    <row r="908" customFormat="false" ht="15" hidden="false" customHeight="false" outlineLevel="0" collapsed="false">
      <c r="A908" s="0" t="s">
        <v>608</v>
      </c>
      <c r="B908" s="0" t="s">
        <v>55</v>
      </c>
      <c r="C908" s="11" t="n">
        <f aca="false">a25_eps</f>
        <v>1249.84</v>
      </c>
      <c r="D908" s="11" t="n">
        <f aca="false">D907*nioi_v01*1000/shares</f>
        <v>1547.72907020227</v>
      </c>
      <c r="E908" s="11" t="n">
        <f aca="false">E907*nioi_v01*1000/shares</f>
        <v>1662.80192543851</v>
      </c>
      <c r="F908" s="11" t="n">
        <f aca="false">F907*nioi_v01*1000/shares</f>
        <v>1854.62107480411</v>
      </c>
      <c r="G908" s="11" t="n">
        <f aca="false">G907*nioi_v01*1000/shares</f>
        <v>1915.11573516515</v>
      </c>
    </row>
    <row r="920" customFormat="false" ht="15" hidden="false" customHeight="false" outlineLevel="0" collapsed="false">
      <c r="A920" s="4" t="s">
        <v>833</v>
      </c>
    </row>
    <row r="921" customFormat="false" ht="15" hidden="false" customHeight="false" outlineLevel="0" collapsed="false">
      <c r="A921" s="6" t="s">
        <v>22</v>
      </c>
      <c r="B921" s="6" t="s">
        <v>23</v>
      </c>
      <c r="C921" s="9" t="s">
        <v>532</v>
      </c>
      <c r="D921" s="9" t="s">
        <v>533</v>
      </c>
      <c r="E921" s="9" t="s">
        <v>534</v>
      </c>
      <c r="F921" s="9" t="s">
        <v>535</v>
      </c>
      <c r="G921" s="9" t="s">
        <v>536</v>
      </c>
      <c r="H921" s="9" t="s">
        <v>537</v>
      </c>
      <c r="I921" s="9" t="s">
        <v>538</v>
      </c>
      <c r="J921" s="6" t="s">
        <v>515</v>
      </c>
    </row>
    <row r="922" customFormat="false" ht="15" hidden="false" customHeight="false" outlineLevel="0" collapsed="false">
      <c r="A922" s="1" t="s">
        <v>539</v>
      </c>
    </row>
    <row r="923" customFormat="false" ht="15" hidden="false" customHeight="false" outlineLevel="0" collapsed="false">
      <c r="A923" s="0" t="s">
        <v>540</v>
      </c>
      <c r="B923" s="0" t="s">
        <v>100</v>
      </c>
      <c r="C923" s="19" t="n">
        <f aca="false">hsA_25</f>
        <v>2.22511470588235</v>
      </c>
      <c r="D923" s="19" t="n">
        <f aca="false">hsA_26</f>
        <v>3.782695</v>
      </c>
      <c r="E923" s="19" t="n">
        <f aca="false">hsA_27</f>
        <v>5.86317725</v>
      </c>
      <c r="F923" s="19" t="n">
        <f aca="false">hsA_28</f>
        <v>8.5016070125</v>
      </c>
      <c r="G923" s="19" t="n">
        <f aca="false">hsA_29</f>
        <v>11.477169466875</v>
      </c>
      <c r="H923" s="19" t="n">
        <f aca="false">G923*(1+g_tail)</f>
        <v>12.6248864135625</v>
      </c>
      <c r="I923" s="19" t="n">
        <f aca="false">H923*(1+g_tail)</f>
        <v>13.8873750549188</v>
      </c>
      <c r="J923" s="8" t="s">
        <v>541</v>
      </c>
    </row>
    <row r="924" customFormat="false" ht="15" hidden="false" customHeight="false" outlineLevel="0" collapsed="false">
      <c r="A924" s="0" t="s">
        <v>542</v>
      </c>
      <c r="B924" s="0" t="s">
        <v>543</v>
      </c>
      <c r="C924" s="19" t="n">
        <f aca="false">den_25</f>
        <v>24</v>
      </c>
      <c r="D924" s="19" t="n">
        <f aca="false">den_26</f>
        <v>24</v>
      </c>
      <c r="E924" s="19" t="n">
        <f aca="false">den_27</f>
        <v>26</v>
      </c>
      <c r="F924" s="19" t="n">
        <f aca="false">den_28</f>
        <v>28</v>
      </c>
      <c r="G924" s="19" t="n">
        <f aca="false">den_29</f>
        <v>30</v>
      </c>
      <c r="H924" s="19" t="n">
        <f aca="false">den_30</f>
        <v>32</v>
      </c>
      <c r="I924" s="19" t="n">
        <f aca="false">den_30</f>
        <v>32</v>
      </c>
    </row>
    <row r="925" customFormat="false" ht="15" hidden="false" customHeight="false" outlineLevel="0" collapsed="false">
      <c r="A925" s="5" t="s">
        <v>544</v>
      </c>
      <c r="B925" s="5" t="s">
        <v>152</v>
      </c>
      <c r="C925" s="19" t="n">
        <f aca="false">stk_25_lo</f>
        <v>8</v>
      </c>
      <c r="D925" s="19" t="n">
        <f aca="false">stk_26_lo</f>
        <v>10</v>
      </c>
      <c r="E925" s="19" t="n">
        <f aca="false">stk_27_lo</f>
        <v>12</v>
      </c>
      <c r="F925" s="19" t="n">
        <f aca="false">stk_28_lo</f>
        <v>12</v>
      </c>
      <c r="G925" s="19" t="n">
        <f aca="false">stk_29_lo</f>
        <v>12</v>
      </c>
      <c r="H925" s="19" t="n">
        <f aca="false">stk_30_lo</f>
        <v>14</v>
      </c>
      <c r="I925" s="19" t="n">
        <f aca="false">stk_30_lo</f>
        <v>14</v>
      </c>
    </row>
    <row r="926" customFormat="false" ht="15" hidden="false" customHeight="false" outlineLevel="0" collapsed="false">
      <c r="A926" s="0" t="s">
        <v>545</v>
      </c>
      <c r="B926" s="5" t="s">
        <v>546</v>
      </c>
      <c r="C926" s="19" t="n">
        <f aca="false">C923*8/C924</f>
        <v>0.741704901960783</v>
      </c>
      <c r="D926" s="19" t="n">
        <f aca="false">D923*8/D924</f>
        <v>1.26089833333333</v>
      </c>
      <c r="E926" s="19" t="n">
        <f aca="false">E923*8/E924</f>
        <v>1.80405453846154</v>
      </c>
      <c r="F926" s="19" t="n">
        <f aca="false">F923*8/F924</f>
        <v>2.429030575</v>
      </c>
      <c r="G926" s="19" t="n">
        <f aca="false">G923*8/G924</f>
        <v>3.0605785245</v>
      </c>
      <c r="H926" s="19" t="n">
        <f aca="false">H923*8/H924</f>
        <v>3.15622160339063</v>
      </c>
      <c r="I926" s="19" t="n">
        <f aca="false">I923*8/I924</f>
        <v>3.47184376372969</v>
      </c>
      <c r="J926" s="8" t="s">
        <v>547</v>
      </c>
    </row>
    <row r="927" customFormat="false" ht="15" hidden="false" customHeight="false" outlineLevel="0" collapsed="false">
      <c r="A927" s="0" t="s">
        <v>548</v>
      </c>
      <c r="B927" s="5" t="s">
        <v>549</v>
      </c>
      <c r="C927" s="19" t="n">
        <f aca="false">C926*(1+s_stk/C925)</f>
        <v>1.01984424019608</v>
      </c>
      <c r="D927" s="19" t="n">
        <f aca="false">D926*(1+s_stk/D925)</f>
        <v>1.63916783333333</v>
      </c>
      <c r="E927" s="19" t="n">
        <f aca="false">E926*(1+s_stk/E925)</f>
        <v>2.25506817307692</v>
      </c>
      <c r="F927" s="19" t="n">
        <f aca="false">F926*(1+s_stk/F925)</f>
        <v>3.03628821875</v>
      </c>
      <c r="G927" s="19" t="n">
        <f aca="false">G926*(1+s_stk/G925)</f>
        <v>3.825723155625</v>
      </c>
      <c r="H927" s="19" t="n">
        <f aca="false">H926*(1+s_stk/H925)</f>
        <v>3.83255480411719</v>
      </c>
      <c r="I927" s="19" t="n">
        <f aca="false">I926*(1+s_stk/I925)</f>
        <v>4.21581028452891</v>
      </c>
      <c r="J927" s="5" t="s">
        <v>550</v>
      </c>
    </row>
    <row r="928" customFormat="false" ht="15" hidden="false" customHeight="false" outlineLevel="0" collapsed="false">
      <c r="A928" s="5" t="s">
        <v>551</v>
      </c>
      <c r="B928" s="0" t="s">
        <v>60</v>
      </c>
      <c r="C928" s="22" t="n">
        <f aca="false">hbp_25*hb_on</f>
        <v>0</v>
      </c>
      <c r="D928" s="22" t="n">
        <f aca="false">hbp_26*hb_on</f>
        <v>0</v>
      </c>
      <c r="E928" s="22" t="n">
        <f aca="false">hbp_27*hb_on</f>
        <v>0</v>
      </c>
      <c r="F928" s="22" t="n">
        <f aca="false">hbp_28*hb_on</f>
        <v>0.05</v>
      </c>
      <c r="G928" s="22" t="n">
        <f aca="false">hbp_29*hb_on</f>
        <v>0.15</v>
      </c>
      <c r="H928" s="22" t="n">
        <f aca="false">hbp_30*hb_on</f>
        <v>0.25</v>
      </c>
      <c r="I928" s="22" t="n">
        <f aca="false">hbp_30*hb_on</f>
        <v>0.25</v>
      </c>
    </row>
    <row r="929" customFormat="false" ht="15" hidden="false" customHeight="false" outlineLevel="0" collapsed="false">
      <c r="A929" s="0" t="s">
        <v>552</v>
      </c>
      <c r="B929" s="5" t="s">
        <v>549</v>
      </c>
      <c r="C929" s="19" t="n">
        <f aca="false">C927*(1+C928*hb_eff)</f>
        <v>1.01984424019608</v>
      </c>
      <c r="D929" s="19" t="n">
        <f aca="false">D927*(1+D928*hb_eff)</f>
        <v>1.63916783333333</v>
      </c>
      <c r="E929" s="19" t="n">
        <f aca="false">E927*(1+E928*hb_eff)</f>
        <v>2.25506817307692</v>
      </c>
      <c r="F929" s="19" t="n">
        <f aca="false">F927*(1+F928*hb_eff)</f>
        <v>3.05146965984375</v>
      </c>
      <c r="G929" s="19" t="n">
        <f aca="false">G927*(1+G928*hb_eff)</f>
        <v>3.88310900295938</v>
      </c>
      <c r="H929" s="19" t="n">
        <f aca="false">H927*(1+H928*hb_eff)</f>
        <v>3.92836867422012</v>
      </c>
      <c r="I929" s="19" t="n">
        <f aca="false">I927*(1+I928*hb_eff)</f>
        <v>4.32120554164213</v>
      </c>
      <c r="J929" s="5" t="s">
        <v>553</v>
      </c>
    </row>
    <row r="930" customFormat="false" ht="15" hidden="false" customHeight="false" outlineLevel="0" collapsed="false">
      <c r="A930" s="0" t="s">
        <v>554</v>
      </c>
      <c r="B930" s="5" t="s">
        <v>549</v>
      </c>
      <c r="C930" s="19" t="n">
        <f aca="false">MAX(0,D929-C929)+dlt*C929</f>
        <v>0.721308017156864</v>
      </c>
      <c r="D930" s="19" t="n">
        <f aca="false">MAX(0,E929-D929)+dlt*D929</f>
        <v>0.779817123076923</v>
      </c>
      <c r="E930" s="19" t="n">
        <f aca="false">MAX(0,F929-E929)+dlt*E929</f>
        <v>1.02190830407452</v>
      </c>
      <c r="F930" s="19" t="n">
        <f aca="false">MAX(0,G929-F929)+dlt*F929</f>
        <v>1.1367863091</v>
      </c>
      <c r="G930" s="19" t="n">
        <f aca="false">MAX(0,H929-G929)+dlt*G929</f>
        <v>0.433570571556679</v>
      </c>
      <c r="H930" s="19" t="n">
        <f aca="false">MAX(0,I929-H929)+dlt*H929</f>
        <v>0.785673734844023</v>
      </c>
      <c r="J930" s="5" t="s">
        <v>555</v>
      </c>
    </row>
    <row r="931" customFormat="false" ht="15" hidden="false" customHeight="false" outlineLevel="0" collapsed="false">
      <c r="A931" s="0" t="s">
        <v>556</v>
      </c>
      <c r="B931" s="5" t="s">
        <v>181</v>
      </c>
      <c r="C931" s="21" t="n">
        <f aca="false">cw_25</f>
        <v>670</v>
      </c>
      <c r="D931" s="21" t="n">
        <f aca="false">cw_26</f>
        <v>1107.85762580894</v>
      </c>
      <c r="E931" s="21" t="n">
        <f aca="false">cw_27</f>
        <v>2096.42857142857</v>
      </c>
      <c r="F931" s="21" t="n">
        <f aca="false">cw_28*um28_A</f>
        <v>2620.08928571429</v>
      </c>
      <c r="G931" s="21" t="n">
        <f aca="false">cw_29*um29_A</f>
        <v>3013.32589285714</v>
      </c>
      <c r="H931" s="21" t="n">
        <f aca="false">G931*(1+g_tail)</f>
        <v>3314.65848214285</v>
      </c>
      <c r="I931" s="21" t="n">
        <f aca="false">H931*(1+g_tail)</f>
        <v>3646.12433035714</v>
      </c>
      <c r="J931" s="5" t="s">
        <v>557</v>
      </c>
    </row>
    <row r="932" customFormat="false" ht="15" hidden="false" customHeight="false" outlineLevel="0" collapsed="false">
      <c r="A932" s="5" t="s">
        <v>558</v>
      </c>
      <c r="B932" s="5" t="s">
        <v>181</v>
      </c>
      <c r="C932" s="21" t="n">
        <f aca="false">MAX(0,D931-C931)+dlt*C931</f>
        <v>504.85762580894</v>
      </c>
      <c r="D932" s="21" t="n">
        <f aca="false">MAX(0,E931-D931)+dlt*D931</f>
        <v>1099.35670820052</v>
      </c>
      <c r="E932" s="21" t="n">
        <f aca="false">MAX(0,F931-E931)+dlt*E931</f>
        <v>733.303571428577</v>
      </c>
      <c r="F932" s="21" t="n">
        <f aca="false">MAX(0,G931-F931)+dlt*F931</f>
        <v>655.245535714279</v>
      </c>
      <c r="G932" s="21" t="n">
        <f aca="false">MAX(0,H931-G931)+dlt*G931</f>
        <v>602.665178571428</v>
      </c>
      <c r="H932" s="21" t="n">
        <f aca="false">MAX(0,I931-H931)+dlt*H931</f>
        <v>662.931696428571</v>
      </c>
    </row>
    <row r="933" customFormat="false" ht="15" hidden="false" customHeight="false" outlineLevel="0" collapsed="false">
      <c r="A933" s="1" t="s">
        <v>559</v>
      </c>
    </row>
    <row r="934" customFormat="false" ht="15" hidden="false" customHeight="false" outlineLevel="0" collapsed="false">
      <c r="A934" s="0" t="s">
        <v>560</v>
      </c>
      <c r="B934" s="0" t="s">
        <v>561</v>
      </c>
      <c r="C934" s="16" t="n">
        <f aca="false">ai_25*w_hbm/(0.75*C930+0.25*D930)</f>
        <v>48.9173441079222</v>
      </c>
      <c r="J934" s="5" t="s">
        <v>562</v>
      </c>
    </row>
    <row r="935" customFormat="false" ht="15" hidden="false" customHeight="false" outlineLevel="0" collapsed="false">
      <c r="A935" s="5" t="s">
        <v>563</v>
      </c>
      <c r="B935" s="0" t="s">
        <v>564</v>
      </c>
      <c r="C935" s="18" t="n">
        <f aca="false">ai_25*(1-w_hbm)/(0.75*C932+0.25*D932)</f>
        <v>0.0596802610360141</v>
      </c>
    </row>
    <row r="936" customFormat="false" ht="15" hidden="false" customHeight="false" outlineLevel="0" collapsed="false">
      <c r="A936" s="1" t="s">
        <v>565</v>
      </c>
    </row>
    <row r="937" customFormat="false" ht="15" hidden="false" customHeight="false" outlineLevel="0" collapsed="false">
      <c r="A937" s="5" t="s">
        <v>566</v>
      </c>
      <c r="B937" s="0" t="s">
        <v>80</v>
      </c>
      <c r="C937" s="16" t="n">
        <f aca="false">1-sh_loss/sh*0</f>
        <v>1</v>
      </c>
      <c r="D937" s="16" t="n">
        <f aca="false">1-sh_loss/sh*0.25</f>
        <v>1</v>
      </c>
      <c r="E937" s="16" t="n">
        <f aca="false">1-sh_loss/sh*0.5</f>
        <v>1</v>
      </c>
      <c r="F937" s="16" t="n">
        <f aca="false">1-sh_loss/sh*0.75</f>
        <v>1</v>
      </c>
      <c r="G937" s="16" t="n">
        <f aca="false">1-sh_loss/sh*1</f>
        <v>1</v>
      </c>
    </row>
    <row r="938" customFormat="false" ht="15" hidden="false" customHeight="false" outlineLevel="0" collapsed="false">
      <c r="A938" s="0" t="s">
        <v>567</v>
      </c>
      <c r="B938" s="0" t="s">
        <v>33</v>
      </c>
      <c r="C938" s="11" t="n">
        <f aca="false">$C$934*(0.75*C930+0.25*D930)*C937</f>
        <v>36</v>
      </c>
      <c r="D938" s="11" t="n">
        <f aca="false">$C$934*(0.75*D930+0.25*E930)*D937</f>
        <v>41.107196952392</v>
      </c>
      <c r="E938" s="11" t="n">
        <f aca="false">$C$934*(0.75*E930+0.25*F930)*E937</f>
        <v>51.3939218827222</v>
      </c>
      <c r="F938" s="11" t="n">
        <f aca="false">$C$934*(0.75*F930+0.25*G930)*F937</f>
        <v>47.0087055055414</v>
      </c>
      <c r="G938" s="11" t="n">
        <f aca="false">$C$934*(0.75*G930+0.25*H930)*G937</f>
        <v>25.5151087439103</v>
      </c>
    </row>
    <row r="939" customFormat="false" ht="15" hidden="false" customHeight="false" outlineLevel="0" collapsed="false">
      <c r="A939" s="5" t="s">
        <v>568</v>
      </c>
      <c r="B939" s="0" t="s">
        <v>33</v>
      </c>
      <c r="C939" s="11" t="n">
        <f aca="false">$C$935*(0.75*C932+0.25*D932)*C937</f>
        <v>39</v>
      </c>
      <c r="D939" s="11" t="n">
        <f aca="false">$C$935*(0.75*D932+0.25*E932)*D937</f>
        <v>60.1483586282001</v>
      </c>
      <c r="E939" s="11" t="n">
        <f aca="false">$C$935*(0.75*E932+0.25*F932)*E937</f>
        <v>42.5991175746519</v>
      </c>
      <c r="F939" s="11" t="n">
        <f aca="false">$C$935*(0.75*F932+0.25*G932)*F937</f>
        <v>38.320722254198</v>
      </c>
      <c r="G939" s="11" t="n">
        <f aca="false">$C$935*(0.75*G932+0.25*H932)*G937</f>
        <v>36.8663955538204</v>
      </c>
    </row>
    <row r="940" customFormat="false" ht="15" hidden="false" customHeight="false" outlineLevel="0" collapsed="false">
      <c r="A940" s="0" t="s">
        <v>569</v>
      </c>
      <c r="B940" s="0" t="s">
        <v>33</v>
      </c>
      <c r="C940" s="11" t="n">
        <f aca="false">C938+C939</f>
        <v>75</v>
      </c>
      <c r="D940" s="11" t="n">
        <f aca="false">D938+D939</f>
        <v>101.255555580592</v>
      </c>
      <c r="E940" s="11" t="n">
        <f aca="false">E938+E939</f>
        <v>93.9930394573742</v>
      </c>
      <c r="F940" s="11" t="n">
        <f aca="false">F938+F939</f>
        <v>85.3294277597394</v>
      </c>
      <c r="G940" s="11" t="n">
        <f aca="false">G938+G939</f>
        <v>62.3815042977307</v>
      </c>
    </row>
    <row r="941" customFormat="false" ht="15" hidden="false" customHeight="false" outlineLevel="0" collapsed="false">
      <c r="A941" s="5" t="s">
        <v>570</v>
      </c>
      <c r="B941" s="0" t="s">
        <v>33</v>
      </c>
      <c r="C941" s="11" t="n">
        <f aca="false">eq_25-ai_25</f>
        <v>195.87118</v>
      </c>
      <c r="D941" s="11" t="n">
        <f aca="false">C941*(1+g_non)*D937/C937</f>
        <v>207.6234508</v>
      </c>
      <c r="E941" s="11" t="n">
        <f aca="false">D941*(1+g_non)*E937/D937</f>
        <v>220.080857848</v>
      </c>
      <c r="F941" s="11" t="n">
        <f aca="false">E941*(1+g_non)*F937/E937</f>
        <v>233.28570931888</v>
      </c>
      <c r="G941" s="11" t="n">
        <f aca="false">F941*(1+g_non)*G937/F937</f>
        <v>247.282851878013</v>
      </c>
    </row>
    <row r="942" customFormat="false" ht="15" hidden="false" customHeight="false" outlineLevel="0" collapsed="false">
      <c r="A942" s="0" t="s">
        <v>571</v>
      </c>
      <c r="B942" s="0" t="s">
        <v>80</v>
      </c>
      <c r="C942" s="19" t="n">
        <f aca="false">w_hbm*(0.75*C929+0.25*D929)/(0.75*C929+0.25*D929)+(1-w_hbm)*(0.75*C931+0.25*D931)/(0.75*C931+0.25*D931)</f>
        <v>1</v>
      </c>
      <c r="D942" s="19" t="n">
        <f aca="false">w_hbm*(0.75*D929+0.25*E929)/(0.75*C929+0.25*D929)+(1-w_hbm)*(0.75*D931+0.25*E931)/(0.75*C931+0.25*D931)</f>
        <v>1.63667482173507</v>
      </c>
      <c r="E942" s="19" t="n">
        <f aca="false">w_hbm*(0.75*E929+0.25*F929)/(0.75*C929+0.25*D929)+(1-w_hbm)*(0.75*E931+0.25*F931)/(0.75*C931+0.25*D931)</f>
        <v>2.48874736950403</v>
      </c>
      <c r="F942" s="19" t="n">
        <f aca="false">w_hbm*(0.75*F929+0.25*G929)/(0.75*C929+0.25*D929)+(1-w_hbm)*(0.75*F931+0.25*G931)/(0.75*C931+0.25*D931)</f>
        <v>3.14537031536945</v>
      </c>
      <c r="G942" s="19" t="n">
        <f aca="false">w_hbm*(0.75*G929+0.25*H929)/(0.75*C929+0.25*D929)+(1-w_hbm)*(0.75*G931+0.25*H931)/(0.75*C931+0.25*D931)</f>
        <v>3.65187447651485</v>
      </c>
      <c r="J942" s="8" t="s">
        <v>572</v>
      </c>
    </row>
    <row r="943" customFormat="false" ht="15" hidden="false" customHeight="false" outlineLevel="0" collapsed="false">
      <c r="A943" s="0" t="s">
        <v>573</v>
      </c>
      <c r="B943" s="0" t="s">
        <v>33</v>
      </c>
      <c r="C943" s="11" t="n">
        <f aca="false">tl_25*w_tlai*C942</f>
        <v>25.4032258064516</v>
      </c>
      <c r="D943" s="11" t="n">
        <f aca="false">tl_25*w_tlai*D942</f>
        <v>41.5768200682699</v>
      </c>
      <c r="E943" s="11" t="n">
        <f aca="false">tl_25*w_tlai*E942</f>
        <v>63.2222114027233</v>
      </c>
      <c r="F943" s="11" t="n">
        <f aca="false">tl_25*w_tlai*F942</f>
        <v>79.90255236624</v>
      </c>
      <c r="G943" s="11" t="n">
        <f aca="false">tl_25*w_tlai*G942</f>
        <v>92.769391943724</v>
      </c>
      <c r="J943" s="5" t="s">
        <v>574</v>
      </c>
    </row>
    <row r="944" customFormat="false" ht="15" hidden="false" customHeight="false" outlineLevel="0" collapsed="false">
      <c r="A944" s="5" t="s">
        <v>575</v>
      </c>
      <c r="B944" s="0" t="s">
        <v>33</v>
      </c>
      <c r="C944" s="11" t="n">
        <f aca="false">tl_25*(1-w_tlai)</f>
        <v>66.3434641935484</v>
      </c>
      <c r="D944" s="11" t="n">
        <f aca="false">C944*(1+g_tl)</f>
        <v>69.6606374032258</v>
      </c>
      <c r="E944" s="11" t="n">
        <f aca="false">D944*(1+g_tl)</f>
        <v>73.1436692733871</v>
      </c>
      <c r="F944" s="11" t="n">
        <f aca="false">E944*(1+g_tl)</f>
        <v>76.8008527370565</v>
      </c>
      <c r="G944" s="11" t="n">
        <f aca="false">F944*(1+g_tl)</f>
        <v>80.6408953739093</v>
      </c>
    </row>
    <row r="945" customFormat="false" ht="15" hidden="false" customHeight="false" outlineLevel="0" collapsed="false">
      <c r="A945" s="5" t="s">
        <v>576</v>
      </c>
      <c r="B945" s="0" t="s">
        <v>33</v>
      </c>
      <c r="C945" s="11" t="n">
        <f aca="false">(C940+C941+C943+C944)*(1+r_ot)</f>
        <v>436.889</v>
      </c>
      <c r="D945" s="11" t="n">
        <f aca="false">(D940+D941+D943+D944)*(1+r_ot)</f>
        <v>506.164414279624</v>
      </c>
      <c r="E945" s="11" t="n">
        <f aca="false">(E940+E941+E943+E944)*(1+r_ot)</f>
        <v>542.698527688536</v>
      </c>
      <c r="F945" s="11" t="n">
        <f aca="false">(F940+F941+F943+F944)*(1+r_ot)</f>
        <v>572.67294238785</v>
      </c>
      <c r="G945" s="11" t="n">
        <f aca="false">(G940+G941+G943+G944)*(1+r_ot)</f>
        <v>582.017642763105</v>
      </c>
      <c r="J945" s="8" t="s">
        <v>577</v>
      </c>
    </row>
    <row r="946" customFormat="false" ht="15" hidden="false" customHeight="false" outlineLevel="0" collapsed="false">
      <c r="A946" s="1" t="s">
        <v>578</v>
      </c>
    </row>
    <row r="947" customFormat="false" ht="15" hidden="false" customHeight="false" outlineLevel="0" collapsed="false">
      <c r="A947" s="5" t="s">
        <v>579</v>
      </c>
      <c r="B947" s="0" t="s">
        <v>33</v>
      </c>
      <c r="D947" s="11" t="n">
        <f aca="false">g3_rev*(1+g_q4)</f>
        <v>145.6862</v>
      </c>
    </row>
    <row r="948" customFormat="false" ht="15" hidden="false" customHeight="false" outlineLevel="0" collapsed="false">
      <c r="A948" s="0" t="s">
        <v>580</v>
      </c>
      <c r="B948" s="0" t="s">
        <v>33</v>
      </c>
      <c r="D948" s="11" t="n">
        <f aca="false">q26h1_rev+g3_rev+D947</f>
        <v>535.1862</v>
      </c>
    </row>
    <row r="949" customFormat="false" ht="15" hidden="false" customHeight="false" outlineLevel="0" collapsed="false">
      <c r="A949" s="0" t="s">
        <v>581</v>
      </c>
      <c r="B949" s="0" t="s">
        <v>33</v>
      </c>
      <c r="D949" s="11" t="n">
        <f aca="false">q26h1_gp+(g3_rev+D947)*gm_q3</f>
        <v>378.0504836</v>
      </c>
    </row>
    <row r="950" customFormat="false" ht="15" hidden="false" customHeight="false" outlineLevel="0" collapsed="false">
      <c r="A950" s="0" t="s">
        <v>582</v>
      </c>
      <c r="B950" s="0" t="s">
        <v>33</v>
      </c>
      <c r="D950" s="11" t="n">
        <f aca="false">q26h1_oi+g3_oi+D947*m_q4</f>
        <v>238.5671</v>
      </c>
    </row>
    <row r="951" customFormat="false" ht="15" hidden="false" customHeight="false" outlineLevel="0" collapsed="false">
      <c r="A951" s="0" t="s">
        <v>583</v>
      </c>
      <c r="B951" s="0" t="s">
        <v>33</v>
      </c>
      <c r="D951" s="11" t="n">
        <f aca="false">q26h1_ni+g3_ni+D947*m_q4*nioi</f>
        <v>167.95938138934</v>
      </c>
    </row>
    <row r="952" customFormat="false" ht="15" hidden="false" customHeight="false" outlineLevel="0" collapsed="false">
      <c r="A952" s="5" t="s">
        <v>584</v>
      </c>
      <c r="B952" s="0" t="s">
        <v>80</v>
      </c>
      <c r="D952" s="16" t="n">
        <f aca="false">D948/D945</f>
        <v>1.05733667737524</v>
      </c>
      <c r="J952" s="8" t="s">
        <v>585</v>
      </c>
    </row>
    <row r="953" customFormat="false" ht="15" hidden="false" customHeight="false" outlineLevel="0" collapsed="false">
      <c r="A953" s="5" t="s">
        <v>586</v>
      </c>
      <c r="B953" s="0" t="s">
        <v>80</v>
      </c>
      <c r="D953" s="16" t="n">
        <f aca="false">1+anc_carry*(D952-1)</f>
        <v>1.05733667737524</v>
      </c>
      <c r="J953" s="8" t="s">
        <v>587</v>
      </c>
    </row>
    <row r="954" customFormat="false" ht="15" hidden="false" customHeight="false" outlineLevel="0" collapsed="false">
      <c r="A954" s="1" t="s">
        <v>588</v>
      </c>
    </row>
    <row r="955" customFormat="false" ht="15" hidden="false" customHeight="false" outlineLevel="0" collapsed="false">
      <c r="A955" s="0" t="s">
        <v>589</v>
      </c>
      <c r="B955" s="0" t="s">
        <v>33</v>
      </c>
      <c r="C955" s="11" t="n">
        <f aca="false">C938*1</f>
        <v>36</v>
      </c>
      <c r="D955" s="11" t="n">
        <f aca="false">D938*$D$952</f>
        <v>43.4641470418516</v>
      </c>
      <c r="E955" s="11" t="n">
        <f aca="false">E938*1</f>
        <v>51.3939218827222</v>
      </c>
      <c r="F955" s="11" t="n">
        <f aca="false">F938*1</f>
        <v>47.0087055055414</v>
      </c>
      <c r="G955" s="11" t="n">
        <f aca="false">G938*1</f>
        <v>25.5151087439103</v>
      </c>
    </row>
    <row r="956" customFormat="false" ht="15" hidden="false" customHeight="false" outlineLevel="0" collapsed="false">
      <c r="A956" s="5" t="s">
        <v>590</v>
      </c>
      <c r="B956" s="0" t="s">
        <v>33</v>
      </c>
      <c r="C956" s="11" t="n">
        <f aca="false">C939*1</f>
        <v>39</v>
      </c>
      <c r="D956" s="11" t="n">
        <f aca="false">D939*$D$952</f>
        <v>63.5970656615152</v>
      </c>
      <c r="E956" s="11" t="n">
        <f aca="false">E939*1</f>
        <v>42.5991175746519</v>
      </c>
      <c r="F956" s="11" t="n">
        <f aca="false">F939*1</f>
        <v>38.320722254198</v>
      </c>
      <c r="G956" s="11" t="n">
        <f aca="false">G939*1</f>
        <v>36.8663955538204</v>
      </c>
    </row>
    <row r="957" customFormat="false" ht="15" hidden="false" customHeight="false" outlineLevel="0" collapsed="false">
      <c r="A957" s="0" t="s">
        <v>591</v>
      </c>
      <c r="B957" s="0" t="s">
        <v>33</v>
      </c>
      <c r="C957" s="11" t="n">
        <f aca="false">C955+C956</f>
        <v>75</v>
      </c>
      <c r="D957" s="11" t="n">
        <f aca="false">D955+D956</f>
        <v>107.061212703367</v>
      </c>
      <c r="E957" s="11" t="n">
        <f aca="false">E955+E956</f>
        <v>93.9930394573742</v>
      </c>
      <c r="F957" s="11" t="n">
        <f aca="false">F955+F956</f>
        <v>85.3294277597394</v>
      </c>
      <c r="G957" s="11" t="n">
        <f aca="false">G955+G956</f>
        <v>62.3815042977307</v>
      </c>
    </row>
    <row r="958" customFormat="false" ht="15" hidden="false" customHeight="false" outlineLevel="0" collapsed="false">
      <c r="A958" s="5" t="s">
        <v>592</v>
      </c>
      <c r="B958" s="0" t="s">
        <v>33</v>
      </c>
      <c r="C958" s="11" t="n">
        <f aca="false">C941*1</f>
        <v>195.87118</v>
      </c>
      <c r="D958" s="11" t="n">
        <f aca="false">D941*$D$952</f>
        <v>219.527889614053</v>
      </c>
      <c r="E958" s="11" t="n">
        <f aca="false">E941*$D$953</f>
        <v>232.699562990896</v>
      </c>
      <c r="F958" s="11" t="n">
        <f aca="false">F941*$D$953</f>
        <v>246.66153677035</v>
      </c>
      <c r="G958" s="11" t="n">
        <f aca="false">G941*$D$953</f>
        <v>261.461228976571</v>
      </c>
    </row>
    <row r="959" customFormat="false" ht="15" hidden="false" customHeight="false" outlineLevel="0" collapsed="false">
      <c r="A959" s="5" t="s">
        <v>593</v>
      </c>
      <c r="B959" s="0" t="s">
        <v>33</v>
      </c>
      <c r="C959" s="11" t="n">
        <f aca="false">C957+C958</f>
        <v>270.87118</v>
      </c>
      <c r="D959" s="11" t="n">
        <f aca="false">D957+D958</f>
        <v>326.58910231742</v>
      </c>
      <c r="E959" s="11" t="n">
        <f aca="false">E957+E958</f>
        <v>326.69260244827</v>
      </c>
      <c r="F959" s="11" t="n">
        <f aca="false">F957+F958</f>
        <v>331.990964530089</v>
      </c>
      <c r="G959" s="11" t="n">
        <f aca="false">G957+G958</f>
        <v>323.842733274302</v>
      </c>
    </row>
    <row r="960" customFormat="false" ht="15" hidden="false" customHeight="false" outlineLevel="0" collapsed="false">
      <c r="A960" s="0" t="s">
        <v>594</v>
      </c>
      <c r="B960" s="0" t="s">
        <v>33</v>
      </c>
      <c r="C960" s="11" t="n">
        <f aca="false">C943*1</f>
        <v>25.4032258064516</v>
      </c>
      <c r="D960" s="11" t="n">
        <f aca="false">D943*$D$952</f>
        <v>43.9606967868126</v>
      </c>
      <c r="E960" s="11" t="n">
        <f aca="false">E943*1</f>
        <v>63.2222114027233</v>
      </c>
      <c r="F960" s="11" t="n">
        <f aca="false">F943*1</f>
        <v>79.90255236624</v>
      </c>
      <c r="G960" s="11" t="n">
        <f aca="false">G943*1</f>
        <v>92.769391943724</v>
      </c>
    </row>
    <row r="961" customFormat="false" ht="15" hidden="false" customHeight="false" outlineLevel="0" collapsed="false">
      <c r="A961" s="5" t="s">
        <v>595</v>
      </c>
      <c r="B961" s="0" t="s">
        <v>33</v>
      </c>
      <c r="C961" s="11" t="n">
        <f aca="false">C944*1</f>
        <v>66.3434641935484</v>
      </c>
      <c r="D961" s="11" t="n">
        <f aca="false">D944*$D$952</f>
        <v>73.6547468957679</v>
      </c>
      <c r="E961" s="11" t="n">
        <f aca="false">E944*$D$953</f>
        <v>77.3374842405563</v>
      </c>
      <c r="F961" s="11" t="n">
        <f aca="false">F944*$D$953</f>
        <v>81.2043584525841</v>
      </c>
      <c r="G961" s="11" t="n">
        <f aca="false">G944*$D$953</f>
        <v>85.2645763752133</v>
      </c>
    </row>
    <row r="962" customFormat="false" ht="15" hidden="false" customHeight="false" outlineLevel="0" collapsed="false">
      <c r="A962" s="5" t="s">
        <v>596</v>
      </c>
      <c r="B962" s="0" t="s">
        <v>33</v>
      </c>
      <c r="C962" s="11" t="n">
        <f aca="false">C960+C961</f>
        <v>91.74669</v>
      </c>
      <c r="D962" s="11" t="n">
        <f aca="false">D960+D961</f>
        <v>117.61544368258</v>
      </c>
      <c r="E962" s="11" t="n">
        <f aca="false">E960+E961</f>
        <v>140.55969564328</v>
      </c>
      <c r="F962" s="11" t="n">
        <f aca="false">F960+F961</f>
        <v>161.106910818824</v>
      </c>
      <c r="G962" s="11" t="n">
        <f aca="false">G960+G961</f>
        <v>178.033968318937</v>
      </c>
    </row>
    <row r="963" customFormat="false" ht="15" hidden="false" customHeight="false" outlineLevel="0" collapsed="false">
      <c r="A963" s="5" t="s">
        <v>458</v>
      </c>
      <c r="B963" s="0" t="s">
        <v>33</v>
      </c>
      <c r="C963" s="11" t="n">
        <f aca="false">r_ot*(C959+C962)</f>
        <v>74.27113</v>
      </c>
      <c r="D963" s="11" t="n">
        <f aca="false">r_ot*(D959+D962)</f>
        <v>90.981654</v>
      </c>
      <c r="E963" s="11" t="n">
        <f aca="false">r_ot*(E959+E962)</f>
        <v>95.7022779223656</v>
      </c>
      <c r="F963" s="11" t="n">
        <f aca="false">r_ot*(F959+F962)</f>
        <v>100.995950372669</v>
      </c>
      <c r="G963" s="11" t="n">
        <f aca="false">r_ot*(G959+G962)</f>
        <v>102.794023217892</v>
      </c>
    </row>
    <row r="964" customFormat="false" ht="15" hidden="false" customHeight="false" outlineLevel="0" collapsed="false">
      <c r="A964" s="5" t="s">
        <v>428</v>
      </c>
      <c r="B964" s="0" t="s">
        <v>33</v>
      </c>
      <c r="C964" s="11" t="n">
        <f aca="false">C959+C962+C963</f>
        <v>436.889</v>
      </c>
      <c r="D964" s="11" t="n">
        <f aca="false">D959+D962+D963</f>
        <v>535.1862</v>
      </c>
      <c r="E964" s="11" t="n">
        <f aca="false">E959+E962+E963</f>
        <v>562.954576013915</v>
      </c>
      <c r="F964" s="11" t="n">
        <f aca="false">F959+F962+F963</f>
        <v>594.093825721582</v>
      </c>
      <c r="G964" s="11" t="n">
        <f aca="false">G959+G962+G963</f>
        <v>604.670724811131</v>
      </c>
      <c r="J964" s="8" t="s">
        <v>597</v>
      </c>
    </row>
    <row r="965" customFormat="false" ht="15" hidden="false" customHeight="false" outlineLevel="0" collapsed="false">
      <c r="A965" s="0" t="s">
        <v>598</v>
      </c>
      <c r="B965" s="0" t="s">
        <v>60</v>
      </c>
      <c r="C965" s="14" t="n">
        <f aca="false">(C957+C960)*(1+r_ot)/C964</f>
        <v>0.276884384673187</v>
      </c>
      <c r="D965" s="14" t="n">
        <f aca="false">(D957+D960)*(1+r_ot)/D964</f>
        <v>0.339982809383899</v>
      </c>
      <c r="E965" s="14" t="n">
        <f aca="false">(E957+E960)*(1+r_ot)/E964</f>
        <v>0.336467581865791</v>
      </c>
      <c r="F965" s="14" t="n">
        <f aca="false">(F957+F960)*(1+r_ot)/F964</f>
        <v>0.335089620917677</v>
      </c>
      <c r="G965" s="14" t="n">
        <f aca="false">(G957+G960)*(1+r_ot)/G964</f>
        <v>0.30914145994209</v>
      </c>
    </row>
    <row r="966" customFormat="false" ht="15" hidden="false" customHeight="false" outlineLevel="0" collapsed="false">
      <c r="A966" s="0" t="s">
        <v>599</v>
      </c>
      <c r="B966" s="0" t="s">
        <v>60</v>
      </c>
      <c r="C966" s="14" t="n">
        <f aca="false">C957*(1+r_ot)/C964</f>
        <v>0.206829299394429</v>
      </c>
      <c r="D966" s="14" t="n">
        <f aca="false">D957*(1+r_ot)/D964</f>
        <v>0.241017823134495</v>
      </c>
      <c r="E966" s="14" t="n">
        <f aca="false">E957*(1+r_ot)/E964</f>
        <v>0.201161213848022</v>
      </c>
      <c r="F966" s="14" t="n">
        <f aca="false">F957*(1+r_ot)/F964</f>
        <v>0.173047648399135</v>
      </c>
      <c r="G966" s="14" t="n">
        <f aca="false">G957*(1+r_ot)/G964</f>
        <v>0.124296473814578</v>
      </c>
      <c r="J966" s="5" t="s">
        <v>600</v>
      </c>
    </row>
    <row r="967" customFormat="false" ht="15" hidden="false" customHeight="false" outlineLevel="0" collapsed="false">
      <c r="A967" s="5" t="s">
        <v>466</v>
      </c>
      <c r="B967" s="0" t="s">
        <v>60</v>
      </c>
      <c r="C967" s="14" t="n">
        <f aca="false">a25_gp/a25_rev</f>
        <v>0.701498549974936</v>
      </c>
      <c r="D967" s="14" t="n">
        <f aca="false">D949/D964</f>
        <v>0.70639056761927</v>
      </c>
      <c r="E967" s="14" t="n">
        <f aca="false">gm_a+gm_b*LN(E964)+0</f>
        <v>0.731310896621255</v>
      </c>
      <c r="F967" s="14" t="n">
        <f aca="false">gm_a+gm_b*LN(F964)+0</f>
        <v>0.737439095000649</v>
      </c>
      <c r="G967" s="14" t="n">
        <f aca="false">gm_a+gm_b*LN(G964)+0</f>
        <v>0.739447757875544</v>
      </c>
      <c r="J967" s="8" t="s">
        <v>601</v>
      </c>
    </row>
    <row r="968" customFormat="false" ht="15" hidden="false" customHeight="false" outlineLevel="0" collapsed="false">
      <c r="A968" s="5" t="s">
        <v>463</v>
      </c>
      <c r="B968" s="0" t="s">
        <v>33</v>
      </c>
      <c r="C968" s="11" t="n">
        <f aca="false">C964*C967</f>
        <v>306.477</v>
      </c>
      <c r="D968" s="11" t="n">
        <f aca="false">D964*D967</f>
        <v>378.0504836</v>
      </c>
      <c r="E968" s="11" t="n">
        <f aca="false">E964*E967</f>
        <v>411.694815741775</v>
      </c>
      <c r="F968" s="11" t="n">
        <f aca="false">F964*F967</f>
        <v>438.108013185597</v>
      </c>
      <c r="G968" s="11" t="n">
        <f aca="false">G964*G967</f>
        <v>447.122411714571</v>
      </c>
    </row>
    <row r="969" customFormat="false" ht="15" hidden="false" customHeight="false" outlineLevel="0" collapsed="false">
      <c r="A969" s="5" t="s">
        <v>464</v>
      </c>
      <c r="B969" s="0" t="s">
        <v>33</v>
      </c>
      <c r="C969" s="11" t="n">
        <f aca="false">a25_sga</f>
        <v>121.487</v>
      </c>
      <c r="D969" s="11" t="n">
        <f aca="false">D968-D950</f>
        <v>139.4833836</v>
      </c>
      <c r="E969" s="11" t="n">
        <f aca="false">sg_f+sg_v*E964</f>
        <v>150.19451901678</v>
      </c>
      <c r="F969" s="11" t="n">
        <f aca="false">sg_f+sg_v*F964</f>
        <v>158.053039110086</v>
      </c>
      <c r="G969" s="11" t="n">
        <f aca="false">sg_f+sg_v*G964</f>
        <v>160.722299763454</v>
      </c>
      <c r="J969" s="8" t="s">
        <v>602</v>
      </c>
    </row>
    <row r="970" customFormat="false" ht="15" hidden="false" customHeight="false" outlineLevel="0" collapsed="false">
      <c r="A970" s="5" t="s">
        <v>432</v>
      </c>
      <c r="B970" s="0" t="s">
        <v>33</v>
      </c>
      <c r="C970" s="11" t="n">
        <f aca="false">C968-C969</f>
        <v>184.99</v>
      </c>
      <c r="D970" s="11" t="n">
        <f aca="false">D968-D969</f>
        <v>238.5671</v>
      </c>
      <c r="E970" s="11" t="n">
        <f aca="false">E968-E969</f>
        <v>261.500296724995</v>
      </c>
      <c r="F970" s="11" t="n">
        <f aca="false">F968-F969</f>
        <v>280.054974075511</v>
      </c>
      <c r="G970" s="11" t="n">
        <f aca="false">G968-G969</f>
        <v>286.400111951117</v>
      </c>
    </row>
    <row r="971" customFormat="false" ht="15" hidden="false" customHeight="false" outlineLevel="0" collapsed="false">
      <c r="A971" s="5" t="s">
        <v>603</v>
      </c>
      <c r="B971" s="0" t="s">
        <v>60</v>
      </c>
      <c r="C971" s="14" t="n">
        <f aca="false">C970/C964</f>
        <v>0.423425629851061</v>
      </c>
      <c r="D971" s="14" t="n">
        <f aca="false">D970/D964</f>
        <v>0.445764670314743</v>
      </c>
      <c r="E971" s="14" t="n">
        <f aca="false">E970/E964</f>
        <v>0.464514026294248</v>
      </c>
      <c r="F971" s="14" t="n">
        <f aca="false">F970/F964</f>
        <v>0.47139856021119</v>
      </c>
      <c r="G971" s="14" t="n">
        <f aca="false">G970/G964</f>
        <v>0.473646399932086</v>
      </c>
    </row>
    <row r="972" customFormat="false" ht="15" hidden="false" customHeight="false" outlineLevel="0" collapsed="false">
      <c r="A972" s="5" t="s">
        <v>435</v>
      </c>
      <c r="B972" s="0" t="s">
        <v>33</v>
      </c>
      <c r="C972" s="11" t="n">
        <f aca="false">a25_ni</f>
        <v>135.521</v>
      </c>
      <c r="D972" s="11" t="n">
        <f aca="false">D951</f>
        <v>167.95938138934</v>
      </c>
      <c r="E972" s="11" t="n">
        <f aca="false">E970*nioi</f>
        <v>188.587581090767</v>
      </c>
      <c r="F972" s="11" t="n">
        <f aca="false">F970*nioi</f>
        <v>201.968757950897</v>
      </c>
      <c r="G972" s="11" t="n">
        <f aca="false">G970*nioi</f>
        <v>206.544715296392</v>
      </c>
    </row>
    <row r="973" customFormat="false" ht="15" hidden="false" customHeight="false" outlineLevel="0" collapsed="false">
      <c r="A973" s="0" t="s">
        <v>524</v>
      </c>
      <c r="B973" s="0" t="s">
        <v>55</v>
      </c>
      <c r="C973" s="11" t="n">
        <f aca="false">a25_eps</f>
        <v>1249.84</v>
      </c>
      <c r="D973" s="11" t="n">
        <f aca="false">D972*1000/shares</f>
        <v>1548.28555816522</v>
      </c>
      <c r="E973" s="11" t="n">
        <f aca="false">E972*1000/shares</f>
        <v>1738.4407220178</v>
      </c>
      <c r="F973" s="11" t="n">
        <f aca="false">F972*1000/shares</f>
        <v>1861.79127685086</v>
      </c>
      <c r="G973" s="11" t="n">
        <f aca="false">G972*1000/shares</f>
        <v>1903.97343193029</v>
      </c>
    </row>
    <row r="974" customFormat="false" ht="15" hidden="false" customHeight="false" outlineLevel="0" collapsed="false">
      <c r="A974" s="5" t="s">
        <v>604</v>
      </c>
      <c r="B974" s="0" t="s">
        <v>33</v>
      </c>
      <c r="C974" s="16" t="n">
        <f aca="false">ABS(C964-a25_rev)+ABS(C970-a25_oi)+ABS(D964-D948)+ABS(D970-D950)</f>
        <v>0.000999999999976353</v>
      </c>
    </row>
    <row r="975" customFormat="false" ht="15" hidden="false" customHeight="false" outlineLevel="0" collapsed="false">
      <c r="A975" s="1" t="s">
        <v>605</v>
      </c>
    </row>
    <row r="976" customFormat="false" ht="15" hidden="false" customHeight="false" outlineLevel="0" collapsed="false">
      <c r="A976" s="5" t="s">
        <v>606</v>
      </c>
      <c r="B976" s="0" t="s">
        <v>60</v>
      </c>
      <c r="C976" s="14" t="n">
        <f aca="false">a25_gp/a25_rev</f>
        <v>0.701498549974936</v>
      </c>
      <c r="D976" s="14" t="n">
        <f aca="false">gm_a+gm_b*LN(D945)+0</f>
        <v>0.719206940443295</v>
      </c>
      <c r="E976" s="14" t="n">
        <f aca="false">gm_a+gm_b*LN(E945)+0</f>
        <v>0.727139747232971</v>
      </c>
      <c r="F976" s="14" t="n">
        <f aca="false">gm_a+gm_b*LN(F945)+0</f>
        <v>0.733259122354038</v>
      </c>
      <c r="G976" s="14" t="n">
        <f aca="false">gm_a+gm_b*LN(G945)+0</f>
        <v>0.735101508040908</v>
      </c>
    </row>
    <row r="977" customFormat="false" ht="15" hidden="false" customHeight="false" outlineLevel="0" collapsed="false">
      <c r="A977" s="5" t="s">
        <v>607</v>
      </c>
      <c r="B977" s="0" t="s">
        <v>33</v>
      </c>
      <c r="C977" s="11" t="n">
        <f aca="false">a25_oi</f>
        <v>184.989</v>
      </c>
      <c r="D977" s="11" t="n">
        <f aca="false">D945*D976-sg_f-sg_v*D945</f>
        <v>228.174405422364</v>
      </c>
      <c r="E977" s="11" t="n">
        <f aca="false">E945*E976-sg_f-sg_v*E945</f>
        <v>249.535110069144</v>
      </c>
      <c r="F977" s="11" t="n">
        <f aca="false">F945*F976-sg_f-sg_v*F945</f>
        <v>267.270544816202</v>
      </c>
      <c r="G977" s="11" t="n">
        <f aca="false">G945*G976-sg_f-sg_v*G945</f>
        <v>272.836638268154</v>
      </c>
    </row>
    <row r="978" customFormat="false" ht="15" hidden="false" customHeight="false" outlineLevel="0" collapsed="false">
      <c r="A978" s="0" t="s">
        <v>608</v>
      </c>
      <c r="B978" s="0" t="s">
        <v>55</v>
      </c>
      <c r="C978" s="11" t="n">
        <f aca="false">a25_eps</f>
        <v>1249.84</v>
      </c>
      <c r="D978" s="11" t="n">
        <f aca="false">D977*nioi_v01*1000/shares</f>
        <v>1540.89986414746</v>
      </c>
      <c r="E978" s="11" t="n">
        <f aca="false">E977*nioi_v01*1000/shares</f>
        <v>1685.15226979038</v>
      </c>
      <c r="F978" s="11" t="n">
        <f aca="false">F977*nioi_v01*1000/shares</f>
        <v>1804.92262239303</v>
      </c>
      <c r="G978" s="11" t="n">
        <f aca="false">G977*nioi_v01*1000/shares</f>
        <v>1842.51138099226</v>
      </c>
    </row>
    <row r="990" customFormat="false" ht="15" hidden="false" customHeight="false" outlineLevel="0" collapsed="false">
      <c r="A990" s="4" t="s">
        <v>834</v>
      </c>
    </row>
    <row r="991" customFormat="false" ht="15" hidden="false" customHeight="false" outlineLevel="0" collapsed="false">
      <c r="A991" s="6" t="s">
        <v>22</v>
      </c>
      <c r="B991" s="6" t="s">
        <v>23</v>
      </c>
      <c r="C991" s="9" t="s">
        <v>532</v>
      </c>
      <c r="D991" s="9" t="s">
        <v>533</v>
      </c>
      <c r="E991" s="9" t="s">
        <v>534</v>
      </c>
      <c r="F991" s="9" t="s">
        <v>535</v>
      </c>
      <c r="G991" s="9" t="s">
        <v>536</v>
      </c>
      <c r="H991" s="9" t="s">
        <v>537</v>
      </c>
      <c r="I991" s="9" t="s">
        <v>538</v>
      </c>
      <c r="J991" s="6" t="s">
        <v>515</v>
      </c>
    </row>
    <row r="992" customFormat="false" ht="15" hidden="false" customHeight="false" outlineLevel="0" collapsed="false">
      <c r="A992" s="1" t="s">
        <v>539</v>
      </c>
    </row>
    <row r="993" customFormat="false" ht="15" hidden="false" customHeight="false" outlineLevel="0" collapsed="false">
      <c r="A993" s="0" t="s">
        <v>540</v>
      </c>
      <c r="B993" s="0" t="s">
        <v>100</v>
      </c>
      <c r="C993" s="19" t="n">
        <f aca="false">hsA_25</f>
        <v>2.22511470588235</v>
      </c>
      <c r="D993" s="19" t="n">
        <f aca="false">hsA_26</f>
        <v>3.782695</v>
      </c>
      <c r="E993" s="19" t="n">
        <f aca="false">hsA_27</f>
        <v>5.86317725</v>
      </c>
      <c r="F993" s="19" t="n">
        <f aca="false">hsA_28</f>
        <v>8.5016070125</v>
      </c>
      <c r="G993" s="19" t="n">
        <f aca="false">hsA_29</f>
        <v>11.477169466875</v>
      </c>
      <c r="H993" s="19" t="n">
        <f aca="false">G993*(1+g_tail)</f>
        <v>12.6248864135625</v>
      </c>
      <c r="I993" s="19" t="n">
        <f aca="false">H993*(1+g_tail)</f>
        <v>13.8873750549188</v>
      </c>
      <c r="J993" s="8" t="s">
        <v>541</v>
      </c>
    </row>
    <row r="994" customFormat="false" ht="15" hidden="false" customHeight="false" outlineLevel="0" collapsed="false">
      <c r="A994" s="0" t="s">
        <v>542</v>
      </c>
      <c r="B994" s="0" t="s">
        <v>543</v>
      </c>
      <c r="C994" s="19" t="n">
        <f aca="false">den_25</f>
        <v>24</v>
      </c>
      <c r="D994" s="19" t="n">
        <f aca="false">den_26</f>
        <v>24</v>
      </c>
      <c r="E994" s="19" t="n">
        <f aca="false">den_27</f>
        <v>26</v>
      </c>
      <c r="F994" s="19" t="n">
        <f aca="false">den_28</f>
        <v>28</v>
      </c>
      <c r="G994" s="19" t="n">
        <f aca="false">den_29</f>
        <v>30</v>
      </c>
      <c r="H994" s="19" t="n">
        <f aca="false">den_30</f>
        <v>32</v>
      </c>
      <c r="I994" s="19" t="n">
        <f aca="false">den_30</f>
        <v>32</v>
      </c>
    </row>
    <row r="995" customFormat="false" ht="15" hidden="false" customHeight="false" outlineLevel="0" collapsed="false">
      <c r="A995" s="5" t="s">
        <v>544</v>
      </c>
      <c r="B995" s="5" t="s">
        <v>152</v>
      </c>
      <c r="C995" s="19" t="n">
        <f aca="false">stk_25_hi</f>
        <v>12</v>
      </c>
      <c r="D995" s="19" t="n">
        <f aca="false">stk_26_hi</f>
        <v>12</v>
      </c>
      <c r="E995" s="19" t="n">
        <f aca="false">stk_27_hi</f>
        <v>14</v>
      </c>
      <c r="F995" s="19" t="n">
        <f aca="false">stk_28_hi</f>
        <v>16</v>
      </c>
      <c r="G995" s="19" t="n">
        <f aca="false">stk_29_hi</f>
        <v>16</v>
      </c>
      <c r="H995" s="19" t="n">
        <f aca="false">stk_30_hi</f>
        <v>16</v>
      </c>
      <c r="I995" s="19" t="n">
        <f aca="false">stk_30_hi</f>
        <v>16</v>
      </c>
    </row>
    <row r="996" customFormat="false" ht="15" hidden="false" customHeight="false" outlineLevel="0" collapsed="false">
      <c r="A996" s="0" t="s">
        <v>545</v>
      </c>
      <c r="B996" s="5" t="s">
        <v>546</v>
      </c>
      <c r="C996" s="19" t="n">
        <f aca="false">C993*8/C994</f>
        <v>0.741704901960783</v>
      </c>
      <c r="D996" s="19" t="n">
        <f aca="false">D993*8/D994</f>
        <v>1.26089833333333</v>
      </c>
      <c r="E996" s="19" t="n">
        <f aca="false">E993*8/E994</f>
        <v>1.80405453846154</v>
      </c>
      <c r="F996" s="19" t="n">
        <f aca="false">F993*8/F994</f>
        <v>2.429030575</v>
      </c>
      <c r="G996" s="19" t="n">
        <f aca="false">G993*8/G994</f>
        <v>3.0605785245</v>
      </c>
      <c r="H996" s="19" t="n">
        <f aca="false">H993*8/H994</f>
        <v>3.15622160339063</v>
      </c>
      <c r="I996" s="19" t="n">
        <f aca="false">I993*8/I994</f>
        <v>3.47184376372969</v>
      </c>
      <c r="J996" s="8" t="s">
        <v>547</v>
      </c>
    </row>
    <row r="997" customFormat="false" ht="15" hidden="false" customHeight="false" outlineLevel="0" collapsed="false">
      <c r="A997" s="0" t="s">
        <v>548</v>
      </c>
      <c r="B997" s="5" t="s">
        <v>549</v>
      </c>
      <c r="C997" s="19" t="n">
        <f aca="false">C996*(1+s_stk/C995)</f>
        <v>0.927131127450979</v>
      </c>
      <c r="D997" s="19" t="n">
        <f aca="false">D996*(1+s_stk/D995)</f>
        <v>1.57612291666667</v>
      </c>
      <c r="E997" s="19" t="n">
        <f aca="false">E996*(1+s_stk/E995)</f>
        <v>2.19063765384615</v>
      </c>
      <c r="F997" s="19" t="n">
        <f aca="false">F996*(1+s_stk/F995)</f>
        <v>2.8844738078125</v>
      </c>
      <c r="G997" s="19" t="n">
        <f aca="false">G996*(1+s_stk/G995)</f>
        <v>3.63443699784375</v>
      </c>
      <c r="H997" s="19" t="n">
        <f aca="false">H996*(1+s_stk/H995)</f>
        <v>3.74801315402637</v>
      </c>
      <c r="I997" s="19" t="n">
        <f aca="false">I996*(1+s_stk/I995)</f>
        <v>4.12281446942901</v>
      </c>
      <c r="J997" s="5" t="s">
        <v>550</v>
      </c>
    </row>
    <row r="998" customFormat="false" ht="15" hidden="false" customHeight="false" outlineLevel="0" collapsed="false">
      <c r="A998" s="5" t="s">
        <v>551</v>
      </c>
      <c r="B998" s="0" t="s">
        <v>60</v>
      </c>
      <c r="C998" s="22" t="n">
        <f aca="false">hbp_25*hb_on</f>
        <v>0</v>
      </c>
      <c r="D998" s="22" t="n">
        <f aca="false">hbp_26*hb_on</f>
        <v>0</v>
      </c>
      <c r="E998" s="22" t="n">
        <f aca="false">hbp_27*hb_on</f>
        <v>0</v>
      </c>
      <c r="F998" s="22" t="n">
        <f aca="false">hbp_28*hb_on</f>
        <v>0.05</v>
      </c>
      <c r="G998" s="22" t="n">
        <f aca="false">hbp_29*hb_on</f>
        <v>0.15</v>
      </c>
      <c r="H998" s="22" t="n">
        <f aca="false">hbp_30*hb_on</f>
        <v>0.25</v>
      </c>
      <c r="I998" s="22" t="n">
        <f aca="false">hbp_30*hb_on</f>
        <v>0.25</v>
      </c>
    </row>
    <row r="999" customFormat="false" ht="15" hidden="false" customHeight="false" outlineLevel="0" collapsed="false">
      <c r="A999" s="0" t="s">
        <v>552</v>
      </c>
      <c r="B999" s="5" t="s">
        <v>549</v>
      </c>
      <c r="C999" s="19" t="n">
        <f aca="false">C997*(1+C998*hb_eff)</f>
        <v>0.927131127450979</v>
      </c>
      <c r="D999" s="19" t="n">
        <f aca="false">D997*(1+D998*hb_eff)</f>
        <v>1.57612291666667</v>
      </c>
      <c r="E999" s="19" t="n">
        <f aca="false">E997*(1+E998*hb_eff)</f>
        <v>2.19063765384615</v>
      </c>
      <c r="F999" s="19" t="n">
        <f aca="false">F997*(1+F998*hb_eff)</f>
        <v>2.89889617685156</v>
      </c>
      <c r="G999" s="19" t="n">
        <f aca="false">G997*(1+G998*hb_eff)</f>
        <v>3.68895355281141</v>
      </c>
      <c r="H999" s="19" t="n">
        <f aca="false">H997*(1+H998*hb_eff)</f>
        <v>3.84171348287703</v>
      </c>
      <c r="I999" s="19" t="n">
        <f aca="false">I997*(1+I998*hb_eff)</f>
        <v>4.22588483116473</v>
      </c>
      <c r="J999" s="5" t="s">
        <v>553</v>
      </c>
    </row>
    <row r="1000" customFormat="false" ht="15" hidden="false" customHeight="false" outlineLevel="0" collapsed="false">
      <c r="A1000" s="0" t="s">
        <v>554</v>
      </c>
      <c r="B1000" s="5" t="s">
        <v>549</v>
      </c>
      <c r="C1000" s="19" t="n">
        <f aca="false">MAX(0,D999-C999)+dlt*C999</f>
        <v>0.741704901960785</v>
      </c>
      <c r="D1000" s="19" t="n">
        <f aca="false">MAX(0,E999-D999)+dlt*D999</f>
        <v>0.772127028846154</v>
      </c>
      <c r="E1000" s="19" t="n">
        <f aca="false">MAX(0,F999-E999)+dlt*E999</f>
        <v>0.927322288390024</v>
      </c>
      <c r="F1000" s="19" t="n">
        <f aca="false">MAX(0,G999-F999)+dlt*F999</f>
        <v>1.079946993645</v>
      </c>
      <c r="G1000" s="19" t="n">
        <f aca="false">MAX(0,H999-G999)+dlt*G999</f>
        <v>0.521655285346761</v>
      </c>
      <c r="H1000" s="19" t="n">
        <f aca="false">MAX(0,I999-H999)+dlt*H999</f>
        <v>0.768342696575406</v>
      </c>
      <c r="J1000" s="5" t="s">
        <v>555</v>
      </c>
    </row>
    <row r="1001" customFormat="false" ht="15" hidden="false" customHeight="false" outlineLevel="0" collapsed="false">
      <c r="A1001" s="0" t="s">
        <v>556</v>
      </c>
      <c r="B1001" s="5" t="s">
        <v>181</v>
      </c>
      <c r="C1001" s="21" t="n">
        <f aca="false">cw_25</f>
        <v>670</v>
      </c>
      <c r="D1001" s="21" t="n">
        <f aca="false">cw_26</f>
        <v>1107.85762580894</v>
      </c>
      <c r="E1001" s="21" t="n">
        <f aca="false">cw_27</f>
        <v>2096.42857142857</v>
      </c>
      <c r="F1001" s="21" t="n">
        <f aca="false">cw_28*um28_A</f>
        <v>2620.08928571429</v>
      </c>
      <c r="G1001" s="21" t="n">
        <f aca="false">cw_29*um29_A</f>
        <v>3013.32589285714</v>
      </c>
      <c r="H1001" s="21" t="n">
        <f aca="false">G1001*(1+g_tail)</f>
        <v>3314.65848214285</v>
      </c>
      <c r="I1001" s="21" t="n">
        <f aca="false">H1001*(1+g_tail)</f>
        <v>3646.12433035714</v>
      </c>
      <c r="J1001" s="5" t="s">
        <v>557</v>
      </c>
    </row>
    <row r="1002" customFormat="false" ht="15" hidden="false" customHeight="false" outlineLevel="0" collapsed="false">
      <c r="A1002" s="5" t="s">
        <v>558</v>
      </c>
      <c r="B1002" s="5" t="s">
        <v>181</v>
      </c>
      <c r="C1002" s="21" t="n">
        <f aca="false">MAX(0,D1001-C1001)+dlt*C1001</f>
        <v>504.85762580894</v>
      </c>
      <c r="D1002" s="21" t="n">
        <f aca="false">MAX(0,E1001-D1001)+dlt*D1001</f>
        <v>1099.35670820052</v>
      </c>
      <c r="E1002" s="21" t="n">
        <f aca="false">MAX(0,F1001-E1001)+dlt*E1001</f>
        <v>733.303571428577</v>
      </c>
      <c r="F1002" s="21" t="n">
        <f aca="false">MAX(0,G1001-F1001)+dlt*F1001</f>
        <v>655.245535714279</v>
      </c>
      <c r="G1002" s="21" t="n">
        <f aca="false">MAX(0,H1001-G1001)+dlt*G1001</f>
        <v>602.665178571428</v>
      </c>
      <c r="H1002" s="21" t="n">
        <f aca="false">MAX(0,I1001-H1001)+dlt*H1001</f>
        <v>662.931696428571</v>
      </c>
    </row>
    <row r="1003" customFormat="false" ht="15" hidden="false" customHeight="false" outlineLevel="0" collapsed="false">
      <c r="A1003" s="1" t="s">
        <v>559</v>
      </c>
    </row>
    <row r="1004" customFormat="false" ht="15" hidden="false" customHeight="false" outlineLevel="0" collapsed="false">
      <c r="A1004" s="0" t="s">
        <v>560</v>
      </c>
      <c r="B1004" s="0" t="s">
        <v>561</v>
      </c>
      <c r="C1004" s="16" t="n">
        <f aca="false">ai_25*w_hbm/(0.75*C1000+0.25*D1000)</f>
        <v>48.0441728578304</v>
      </c>
      <c r="J1004" s="5" t="s">
        <v>562</v>
      </c>
    </row>
    <row r="1005" customFormat="false" ht="15" hidden="false" customHeight="false" outlineLevel="0" collapsed="false">
      <c r="A1005" s="5" t="s">
        <v>563</v>
      </c>
      <c r="B1005" s="0" t="s">
        <v>564</v>
      </c>
      <c r="C1005" s="18" t="n">
        <f aca="false">ai_25*(1-w_hbm)/(0.75*C1002+0.25*D1002)</f>
        <v>0.0596802610360141</v>
      </c>
    </row>
    <row r="1006" customFormat="false" ht="15" hidden="false" customHeight="false" outlineLevel="0" collapsed="false">
      <c r="A1006" s="1" t="s">
        <v>565</v>
      </c>
    </row>
    <row r="1007" customFormat="false" ht="15" hidden="false" customHeight="false" outlineLevel="0" collapsed="false">
      <c r="A1007" s="5" t="s">
        <v>566</v>
      </c>
      <c r="B1007" s="0" t="s">
        <v>80</v>
      </c>
      <c r="C1007" s="16" t="n">
        <f aca="false">1-sh_loss/sh*0</f>
        <v>1</v>
      </c>
      <c r="D1007" s="16" t="n">
        <f aca="false">1-sh_loss/sh*0.25</f>
        <v>1</v>
      </c>
      <c r="E1007" s="16" t="n">
        <f aca="false">1-sh_loss/sh*0.5</f>
        <v>1</v>
      </c>
      <c r="F1007" s="16" t="n">
        <f aca="false">1-sh_loss/sh*0.75</f>
        <v>1</v>
      </c>
      <c r="G1007" s="16" t="n">
        <f aca="false">1-sh_loss/sh*1</f>
        <v>1</v>
      </c>
    </row>
    <row r="1008" customFormat="false" ht="15" hidden="false" customHeight="false" outlineLevel="0" collapsed="false">
      <c r="A1008" s="0" t="s">
        <v>567</v>
      </c>
      <c r="B1008" s="0" t="s">
        <v>33</v>
      </c>
      <c r="C1008" s="11" t="n">
        <f aca="false">$C$1004*(0.75*C1000+0.25*D1000)*C1007</f>
        <v>36</v>
      </c>
      <c r="D1008" s="11" t="n">
        <f aca="false">$C$1004*(0.75*D1000+0.25*E1000)*D1007</f>
        <v>38.960261411148</v>
      </c>
      <c r="E1008" s="11" t="n">
        <f aca="false">$C$1004*(0.75*E1000+0.25*F1000)*E1007</f>
        <v>46.3856142487405</v>
      </c>
      <c r="F1008" s="11" t="n">
        <f aca="false">$C$1004*(0.75*F1000+0.25*G1000)*F1007</f>
        <v>45.1794942053312</v>
      </c>
      <c r="G1008" s="11" t="n">
        <f aca="false">$C$1004*(0.75*G1000+0.25*H1000)*G1007</f>
        <v>28.0254698581306</v>
      </c>
    </row>
    <row r="1009" customFormat="false" ht="15" hidden="false" customHeight="false" outlineLevel="0" collapsed="false">
      <c r="A1009" s="5" t="s">
        <v>568</v>
      </c>
      <c r="B1009" s="0" t="s">
        <v>33</v>
      </c>
      <c r="C1009" s="11" t="n">
        <f aca="false">$C$1005*(0.75*C1002+0.25*D1002)*C1007</f>
        <v>39</v>
      </c>
      <c r="D1009" s="11" t="n">
        <f aca="false">$C$1005*(0.75*D1002+0.25*E1002)*D1007</f>
        <v>60.1483586282001</v>
      </c>
      <c r="E1009" s="11" t="n">
        <f aca="false">$C$1005*(0.75*E1002+0.25*F1002)*E1007</f>
        <v>42.5991175746519</v>
      </c>
      <c r="F1009" s="11" t="n">
        <f aca="false">$C$1005*(0.75*F1002+0.25*G1002)*F1007</f>
        <v>38.320722254198</v>
      </c>
      <c r="G1009" s="11" t="n">
        <f aca="false">$C$1005*(0.75*G1002+0.25*H1002)*G1007</f>
        <v>36.8663955538204</v>
      </c>
    </row>
    <row r="1010" customFormat="false" ht="15" hidden="false" customHeight="false" outlineLevel="0" collapsed="false">
      <c r="A1010" s="0" t="s">
        <v>569</v>
      </c>
      <c r="B1010" s="0" t="s">
        <v>33</v>
      </c>
      <c r="C1010" s="11" t="n">
        <f aca="false">C1008+C1009</f>
        <v>75</v>
      </c>
      <c r="D1010" s="11" t="n">
        <f aca="false">D1008+D1009</f>
        <v>99.1086200393481</v>
      </c>
      <c r="E1010" s="11" t="n">
        <f aca="false">E1008+E1009</f>
        <v>88.9847318233925</v>
      </c>
      <c r="F1010" s="11" t="n">
        <f aca="false">F1008+F1009</f>
        <v>83.5002164595292</v>
      </c>
      <c r="G1010" s="11" t="n">
        <f aca="false">G1008+G1009</f>
        <v>64.8918654119509</v>
      </c>
    </row>
    <row r="1011" customFormat="false" ht="15" hidden="false" customHeight="false" outlineLevel="0" collapsed="false">
      <c r="A1011" s="5" t="s">
        <v>570</v>
      </c>
      <c r="B1011" s="0" t="s">
        <v>33</v>
      </c>
      <c r="C1011" s="11" t="n">
        <f aca="false">eq_25-ai_25</f>
        <v>195.87118</v>
      </c>
      <c r="D1011" s="11" t="n">
        <f aca="false">C1011*(1+g_non)*D1007/C1007</f>
        <v>207.6234508</v>
      </c>
      <c r="E1011" s="11" t="n">
        <f aca="false">D1011*(1+g_non)*E1007/D1007</f>
        <v>220.080857848</v>
      </c>
      <c r="F1011" s="11" t="n">
        <f aca="false">E1011*(1+g_non)*F1007/E1007</f>
        <v>233.28570931888</v>
      </c>
      <c r="G1011" s="11" t="n">
        <f aca="false">F1011*(1+g_non)*G1007/F1007</f>
        <v>247.282851878013</v>
      </c>
    </row>
    <row r="1012" customFormat="false" ht="15" hidden="false" customHeight="false" outlineLevel="0" collapsed="false">
      <c r="A1012" s="0" t="s">
        <v>571</v>
      </c>
      <c r="B1012" s="0" t="s">
        <v>80</v>
      </c>
      <c r="C1012" s="19" t="n">
        <f aca="false">w_hbm*(0.75*C999+0.25*D999)/(0.75*C999+0.25*D999)+(1-w_hbm)*(0.75*C1001+0.25*D1001)/(0.75*C1001+0.25*D1001)</f>
        <v>1</v>
      </c>
      <c r="D1012" s="19" t="n">
        <f aca="false">w_hbm*(0.75*D999+0.25*E999)/(0.75*C999+0.25*D999)+(1-w_hbm)*(0.75*D1001+0.25*E1001)/(0.75*C1001+0.25*D1001)</f>
        <v>1.6661139272164</v>
      </c>
      <c r="E1012" s="19" t="n">
        <f aca="false">w_hbm*(0.75*E999+0.25*F999)/(0.75*C999+0.25*D999)+(1-w_hbm)*(0.75*E1001+0.25*F1001)/(0.75*C1001+0.25*D1001)</f>
        <v>2.52916833198789</v>
      </c>
      <c r="F1012" s="19" t="n">
        <f aca="false">w_hbm*(0.75*F999+0.25*G999)/(0.75*C999+0.25*D999)+(1-w_hbm)*(0.75*F1001+0.25*G1001)/(0.75*C1001+0.25*D1001)</f>
        <v>3.17784501546237</v>
      </c>
      <c r="G1012" s="19" t="n">
        <f aca="false">w_hbm*(0.75*G999+0.25*H999)/(0.75*C999+0.25*D999)+(1-w_hbm)*(0.75*G1001+0.25*H1001)/(0.75*C1001+0.25*D1001)</f>
        <v>3.70276733124079</v>
      </c>
      <c r="J1012" s="8" t="s">
        <v>572</v>
      </c>
    </row>
    <row r="1013" customFormat="false" ht="15" hidden="false" customHeight="false" outlineLevel="0" collapsed="false">
      <c r="A1013" s="0" t="s">
        <v>573</v>
      </c>
      <c r="B1013" s="0" t="s">
        <v>33</v>
      </c>
      <c r="C1013" s="11" t="n">
        <f aca="false">tl_25*w_tlai*C1012</f>
        <v>25.4032258064516</v>
      </c>
      <c r="D1013" s="11" t="n">
        <f aca="false">tl_25*w_tlai*D1012</f>
        <v>42.3246683123521</v>
      </c>
      <c r="E1013" s="11" t="n">
        <f aca="false">tl_25*w_tlai*E1012</f>
        <v>64.249034240015</v>
      </c>
      <c r="F1013" s="11" t="n">
        <f aca="false">tl_25*w_tlai*F1012</f>
        <v>80.7275145056974</v>
      </c>
      <c r="G1013" s="11" t="n">
        <f aca="false">tl_25*w_tlai*G1012</f>
        <v>94.0622346242621</v>
      </c>
      <c r="J1013" s="5" t="s">
        <v>574</v>
      </c>
    </row>
    <row r="1014" customFormat="false" ht="15" hidden="false" customHeight="false" outlineLevel="0" collapsed="false">
      <c r="A1014" s="5" t="s">
        <v>575</v>
      </c>
      <c r="B1014" s="0" t="s">
        <v>33</v>
      </c>
      <c r="C1014" s="11" t="n">
        <f aca="false">tl_25*(1-w_tlai)</f>
        <v>66.3434641935484</v>
      </c>
      <c r="D1014" s="11" t="n">
        <f aca="false">C1014*(1+g_tl)</f>
        <v>69.6606374032258</v>
      </c>
      <c r="E1014" s="11" t="n">
        <f aca="false">D1014*(1+g_tl)</f>
        <v>73.1436692733871</v>
      </c>
      <c r="F1014" s="11" t="n">
        <f aca="false">E1014*(1+g_tl)</f>
        <v>76.8008527370565</v>
      </c>
      <c r="G1014" s="11" t="n">
        <f aca="false">F1014*(1+g_tl)</f>
        <v>80.6408953739093</v>
      </c>
    </row>
    <row r="1015" customFormat="false" ht="15" hidden="false" customHeight="false" outlineLevel="0" collapsed="false">
      <c r="A1015" s="5" t="s">
        <v>576</v>
      </c>
      <c r="B1015" s="0" t="s">
        <v>33</v>
      </c>
      <c r="C1015" s="11" t="n">
        <f aca="false">(C1010+C1011+C1013+C1014)*(1+r_ot)</f>
        <v>436.889</v>
      </c>
      <c r="D1015" s="11" t="n">
        <f aca="false">(D1010+D1011+D1013+D1014)*(1+r_ot)</f>
        <v>504.478766933646</v>
      </c>
      <c r="E1015" s="11" t="n">
        <f aca="false">(E1010+E1011+E1013+E1014)*(1+r_ot)</f>
        <v>537.901558053969</v>
      </c>
      <c r="F1015" s="11" t="n">
        <f aca="false">(F1010+F1011+F1013+F1014)*(1+r_ot)</f>
        <v>571.463003639956</v>
      </c>
      <c r="G1015" s="11" t="n">
        <f aca="false">(G1010+G1011+G1013+G1014)*(1+r_ot)</f>
        <v>586.599816009801</v>
      </c>
      <c r="J1015" s="8" t="s">
        <v>577</v>
      </c>
    </row>
    <row r="1016" customFormat="false" ht="15" hidden="false" customHeight="false" outlineLevel="0" collapsed="false">
      <c r="A1016" s="1" t="s">
        <v>578</v>
      </c>
    </row>
    <row r="1017" customFormat="false" ht="15" hidden="false" customHeight="false" outlineLevel="0" collapsed="false">
      <c r="A1017" s="5" t="s">
        <v>579</v>
      </c>
      <c r="B1017" s="0" t="s">
        <v>33</v>
      </c>
      <c r="D1017" s="11" t="n">
        <f aca="false">g3_rev*(1+g_q4)</f>
        <v>145.6862</v>
      </c>
    </row>
    <row r="1018" customFormat="false" ht="15" hidden="false" customHeight="false" outlineLevel="0" collapsed="false">
      <c r="A1018" s="0" t="s">
        <v>580</v>
      </c>
      <c r="B1018" s="0" t="s">
        <v>33</v>
      </c>
      <c r="D1018" s="11" t="n">
        <f aca="false">q26h1_rev+g3_rev+D1017</f>
        <v>535.1862</v>
      </c>
    </row>
    <row r="1019" customFormat="false" ht="15" hidden="false" customHeight="false" outlineLevel="0" collapsed="false">
      <c r="A1019" s="0" t="s">
        <v>581</v>
      </c>
      <c r="B1019" s="0" t="s">
        <v>33</v>
      </c>
      <c r="D1019" s="11" t="n">
        <f aca="false">q26h1_gp+(g3_rev+D1017)*gm_q3</f>
        <v>378.0504836</v>
      </c>
    </row>
    <row r="1020" customFormat="false" ht="15" hidden="false" customHeight="false" outlineLevel="0" collapsed="false">
      <c r="A1020" s="0" t="s">
        <v>582</v>
      </c>
      <c r="B1020" s="0" t="s">
        <v>33</v>
      </c>
      <c r="D1020" s="11" t="n">
        <f aca="false">q26h1_oi+g3_oi+D1017*m_q4</f>
        <v>238.5671</v>
      </c>
    </row>
    <row r="1021" customFormat="false" ht="15" hidden="false" customHeight="false" outlineLevel="0" collapsed="false">
      <c r="A1021" s="0" t="s">
        <v>583</v>
      </c>
      <c r="B1021" s="0" t="s">
        <v>33</v>
      </c>
      <c r="D1021" s="11" t="n">
        <f aca="false">q26h1_ni+g3_ni+D1017*m_q4*nioi</f>
        <v>167.95938138934</v>
      </c>
    </row>
    <row r="1022" customFormat="false" ht="15" hidden="false" customHeight="false" outlineLevel="0" collapsed="false">
      <c r="A1022" s="5" t="s">
        <v>584</v>
      </c>
      <c r="B1022" s="0" t="s">
        <v>80</v>
      </c>
      <c r="D1022" s="16" t="n">
        <f aca="false">D1018/D1015</f>
        <v>1.06086962441056</v>
      </c>
      <c r="J1022" s="8" t="s">
        <v>585</v>
      </c>
    </row>
    <row r="1023" customFormat="false" ht="15" hidden="false" customHeight="false" outlineLevel="0" collapsed="false">
      <c r="A1023" s="5" t="s">
        <v>586</v>
      </c>
      <c r="B1023" s="0" t="s">
        <v>80</v>
      </c>
      <c r="D1023" s="16" t="n">
        <f aca="false">1+anc_carry*(D1022-1)</f>
        <v>1.06086962441056</v>
      </c>
      <c r="J1023" s="8" t="s">
        <v>587</v>
      </c>
    </row>
    <row r="1024" customFormat="false" ht="15" hidden="false" customHeight="false" outlineLevel="0" collapsed="false">
      <c r="A1024" s="1" t="s">
        <v>588</v>
      </c>
    </row>
    <row r="1025" customFormat="false" ht="15" hidden="false" customHeight="false" outlineLevel="0" collapsed="false">
      <c r="A1025" s="0" t="s">
        <v>589</v>
      </c>
      <c r="B1025" s="0" t="s">
        <v>33</v>
      </c>
      <c r="C1025" s="11" t="n">
        <f aca="false">C1008*1</f>
        <v>36</v>
      </c>
      <c r="D1025" s="11" t="n">
        <f aca="false">D1008*$D$1022</f>
        <v>41.3317578901819</v>
      </c>
      <c r="E1025" s="11" t="n">
        <f aca="false">E1008*1</f>
        <v>46.3856142487405</v>
      </c>
      <c r="F1025" s="11" t="n">
        <f aca="false">F1008*1</f>
        <v>45.1794942053312</v>
      </c>
      <c r="G1025" s="11" t="n">
        <f aca="false">G1008*1</f>
        <v>28.0254698581306</v>
      </c>
    </row>
    <row r="1026" customFormat="false" ht="15" hidden="false" customHeight="false" outlineLevel="0" collapsed="false">
      <c r="A1026" s="5" t="s">
        <v>590</v>
      </c>
      <c r="B1026" s="0" t="s">
        <v>33</v>
      </c>
      <c r="C1026" s="11" t="n">
        <f aca="false">C1009*1</f>
        <v>39</v>
      </c>
      <c r="D1026" s="11" t="n">
        <f aca="false">D1009*$D$1022</f>
        <v>63.8095666268103</v>
      </c>
      <c r="E1026" s="11" t="n">
        <f aca="false">E1009*1</f>
        <v>42.5991175746519</v>
      </c>
      <c r="F1026" s="11" t="n">
        <f aca="false">F1009*1</f>
        <v>38.320722254198</v>
      </c>
      <c r="G1026" s="11" t="n">
        <f aca="false">G1009*1</f>
        <v>36.8663955538204</v>
      </c>
    </row>
    <row r="1027" customFormat="false" ht="15" hidden="false" customHeight="false" outlineLevel="0" collapsed="false">
      <c r="A1027" s="0" t="s">
        <v>591</v>
      </c>
      <c r="B1027" s="0" t="s">
        <v>33</v>
      </c>
      <c r="C1027" s="11" t="n">
        <f aca="false">C1025+C1026</f>
        <v>75</v>
      </c>
      <c r="D1027" s="11" t="n">
        <f aca="false">D1025+D1026</f>
        <v>105.141324516992</v>
      </c>
      <c r="E1027" s="11" t="n">
        <f aca="false">E1025+E1026</f>
        <v>88.9847318233925</v>
      </c>
      <c r="F1027" s="11" t="n">
        <f aca="false">F1025+F1026</f>
        <v>83.5002164595292</v>
      </c>
      <c r="G1027" s="11" t="n">
        <f aca="false">G1025+G1026</f>
        <v>64.8918654119509</v>
      </c>
    </row>
    <row r="1028" customFormat="false" ht="15" hidden="false" customHeight="false" outlineLevel="0" collapsed="false">
      <c r="A1028" s="5" t="s">
        <v>592</v>
      </c>
      <c r="B1028" s="0" t="s">
        <v>33</v>
      </c>
      <c r="C1028" s="11" t="n">
        <f aca="false">C1011*1</f>
        <v>195.87118</v>
      </c>
      <c r="D1028" s="11" t="n">
        <f aca="false">D1011*$D$1022</f>
        <v>220.261412269021</v>
      </c>
      <c r="E1028" s="11" t="n">
        <f aca="false">E1011*$D$1023</f>
        <v>233.477097005162</v>
      </c>
      <c r="F1028" s="11" t="n">
        <f aca="false">F1011*$D$1023</f>
        <v>247.485722825472</v>
      </c>
      <c r="G1028" s="11" t="n">
        <f aca="false">G1011*$D$1023</f>
        <v>262.334866195</v>
      </c>
    </row>
    <row r="1029" customFormat="false" ht="15" hidden="false" customHeight="false" outlineLevel="0" collapsed="false">
      <c r="A1029" s="5" t="s">
        <v>593</v>
      </c>
      <c r="B1029" s="0" t="s">
        <v>33</v>
      </c>
      <c r="C1029" s="11" t="n">
        <f aca="false">C1027+C1028</f>
        <v>270.87118</v>
      </c>
      <c r="D1029" s="11" t="n">
        <f aca="false">D1027+D1028</f>
        <v>325.402736786013</v>
      </c>
      <c r="E1029" s="11" t="n">
        <f aca="false">E1027+E1028</f>
        <v>322.461828828554</v>
      </c>
      <c r="F1029" s="11" t="n">
        <f aca="false">F1027+F1028</f>
        <v>330.985939285001</v>
      </c>
      <c r="G1029" s="11" t="n">
        <f aca="false">G1027+G1028</f>
        <v>327.226731606951</v>
      </c>
    </row>
    <row r="1030" customFormat="false" ht="15" hidden="false" customHeight="false" outlineLevel="0" collapsed="false">
      <c r="A1030" s="0" t="s">
        <v>594</v>
      </c>
      <c r="B1030" s="0" t="s">
        <v>33</v>
      </c>
      <c r="C1030" s="11" t="n">
        <f aca="false">C1013*1</f>
        <v>25.4032258064516</v>
      </c>
      <c r="D1030" s="11" t="n">
        <f aca="false">D1013*$D$1022</f>
        <v>44.9009549758266</v>
      </c>
      <c r="E1030" s="11" t="n">
        <f aca="false">E1013*1</f>
        <v>64.249034240015</v>
      </c>
      <c r="F1030" s="11" t="n">
        <f aca="false">F1013*1</f>
        <v>80.7275145056974</v>
      </c>
      <c r="G1030" s="11" t="n">
        <f aca="false">G1013*1</f>
        <v>94.0622346242621</v>
      </c>
    </row>
    <row r="1031" customFormat="false" ht="15" hidden="false" customHeight="false" outlineLevel="0" collapsed="false">
      <c r="A1031" s="5" t="s">
        <v>595</v>
      </c>
      <c r="B1031" s="0" t="s">
        <v>33</v>
      </c>
      <c r="C1031" s="11" t="n">
        <f aca="false">C1014*1</f>
        <v>66.3434641935484</v>
      </c>
      <c r="D1031" s="11" t="n">
        <f aca="false">D1014*$D$1022</f>
        <v>73.9008542381605</v>
      </c>
      <c r="E1031" s="11" t="n">
        <f aca="false">E1014*$D$1023</f>
        <v>77.5958969500685</v>
      </c>
      <c r="F1031" s="11" t="n">
        <f aca="false">F1014*$D$1023</f>
        <v>81.4756917975719</v>
      </c>
      <c r="G1031" s="11" t="n">
        <f aca="false">G1014*$D$1023</f>
        <v>85.5494763874505</v>
      </c>
    </row>
    <row r="1032" customFormat="false" ht="15" hidden="false" customHeight="false" outlineLevel="0" collapsed="false">
      <c r="A1032" s="5" t="s">
        <v>596</v>
      </c>
      <c r="B1032" s="0" t="s">
        <v>33</v>
      </c>
      <c r="C1032" s="11" t="n">
        <f aca="false">C1030+C1031</f>
        <v>91.74669</v>
      </c>
      <c r="D1032" s="11" t="n">
        <f aca="false">D1030+D1031</f>
        <v>118.801809213987</v>
      </c>
      <c r="E1032" s="11" t="n">
        <f aca="false">E1030+E1031</f>
        <v>141.844931190083</v>
      </c>
      <c r="F1032" s="11" t="n">
        <f aca="false">F1030+F1031</f>
        <v>162.203206303269</v>
      </c>
      <c r="G1032" s="11" t="n">
        <f aca="false">G1030+G1031</f>
        <v>179.611711011713</v>
      </c>
    </row>
    <row r="1033" customFormat="false" ht="15" hidden="false" customHeight="false" outlineLevel="0" collapsed="false">
      <c r="A1033" s="5" t="s">
        <v>458</v>
      </c>
      <c r="B1033" s="0" t="s">
        <v>33</v>
      </c>
      <c r="C1033" s="11" t="n">
        <f aca="false">r_ot*(C1029+C1032)</f>
        <v>74.27113</v>
      </c>
      <c r="D1033" s="11" t="n">
        <f aca="false">r_ot*(D1029+D1032)</f>
        <v>90.981654</v>
      </c>
      <c r="E1033" s="11" t="n">
        <f aca="false">r_ot*(E1029+E1032)</f>
        <v>95.0989749435765</v>
      </c>
      <c r="F1033" s="11" t="n">
        <f aca="false">r_ot*(F1029+F1032)</f>
        <v>101.014644277116</v>
      </c>
      <c r="G1033" s="11" t="n">
        <f aca="false">r_ot*(G1029+G1032)</f>
        <v>103.810283427919</v>
      </c>
    </row>
    <row r="1034" customFormat="false" ht="15" hidden="false" customHeight="false" outlineLevel="0" collapsed="false">
      <c r="A1034" s="5" t="s">
        <v>428</v>
      </c>
      <c r="B1034" s="0" t="s">
        <v>33</v>
      </c>
      <c r="C1034" s="11" t="n">
        <f aca="false">C1029+C1032+C1033</f>
        <v>436.889</v>
      </c>
      <c r="D1034" s="11" t="n">
        <f aca="false">D1029+D1032+D1033</f>
        <v>535.1862</v>
      </c>
      <c r="E1034" s="11" t="n">
        <f aca="false">E1029+E1032+E1033</f>
        <v>559.405734962214</v>
      </c>
      <c r="F1034" s="11" t="n">
        <f aca="false">F1029+F1032+F1033</f>
        <v>594.203789865386</v>
      </c>
      <c r="G1034" s="11" t="n">
        <f aca="false">G1029+G1032+G1033</f>
        <v>610.648726046583</v>
      </c>
      <c r="J1034" s="8" t="s">
        <v>597</v>
      </c>
    </row>
    <row r="1035" customFormat="false" ht="15" hidden="false" customHeight="false" outlineLevel="0" collapsed="false">
      <c r="A1035" s="0" t="s">
        <v>598</v>
      </c>
      <c r="B1035" s="0" t="s">
        <v>60</v>
      </c>
      <c r="C1035" s="14" t="n">
        <f aca="false">(C1027+C1030)*(1+r_ot)/C1034</f>
        <v>0.276884384673187</v>
      </c>
      <c r="D1035" s="14" t="n">
        <f aca="false">(D1027+D1030)*(1+r_ot)/D1034</f>
        <v>0.337777451500505</v>
      </c>
      <c r="E1035" s="14" t="n">
        <f aca="false">(E1027+E1030)*(1+r_ot)/E1034</f>
        <v>0.33002699779184</v>
      </c>
      <c r="F1035" s="14" t="n">
        <f aca="false">(F1027+F1030)*(1+r_ot)/F1034</f>
        <v>0.332991373460455</v>
      </c>
      <c r="G1035" s="14" t="n">
        <f aca="false">(G1027+G1030)*(1+r_ot)/G1034</f>
        <v>0.313618870768663</v>
      </c>
    </row>
    <row r="1036" customFormat="false" ht="15" hidden="false" customHeight="false" outlineLevel="0" collapsed="false">
      <c r="A1036" s="0" t="s">
        <v>599</v>
      </c>
      <c r="B1036" s="0" t="s">
        <v>60</v>
      </c>
      <c r="C1036" s="14" t="n">
        <f aca="false">C1027*(1+r_ot)/C1034</f>
        <v>0.206829299394429</v>
      </c>
      <c r="D1036" s="14" t="n">
        <f aca="false">D1027*(1+r_ot)/D1034</f>
        <v>0.236695741778816</v>
      </c>
      <c r="E1036" s="14" t="n">
        <f aca="false">E1027*(1+r_ot)/E1034</f>
        <v>0.191650735000758</v>
      </c>
      <c r="F1036" s="14" t="n">
        <f aca="false">F1027*(1+r_ot)/F1034</f>
        <v>0.169306679205057</v>
      </c>
      <c r="G1036" s="14" t="n">
        <f aca="false">G1027*(1+r_ot)/G1034</f>
        <v>0.128032643058164</v>
      </c>
      <c r="J1036" s="5" t="s">
        <v>600</v>
      </c>
    </row>
    <row r="1037" customFormat="false" ht="15" hidden="false" customHeight="false" outlineLevel="0" collapsed="false">
      <c r="A1037" s="5" t="s">
        <v>466</v>
      </c>
      <c r="B1037" s="0" t="s">
        <v>60</v>
      </c>
      <c r="C1037" s="14" t="n">
        <f aca="false">a25_gp/a25_rev</f>
        <v>0.701498549974936</v>
      </c>
      <c r="D1037" s="14" t="n">
        <f aca="false">D1019/D1034</f>
        <v>0.70639056761927</v>
      </c>
      <c r="E1037" s="14" t="n">
        <f aca="false">gm_a+gm_b*LN(E1034)+0</f>
        <v>0.730591071484642</v>
      </c>
      <c r="F1037" s="14" t="n">
        <f aca="false">gm_a+gm_b*LN(F1034)+0</f>
        <v>0.73746016173341</v>
      </c>
      <c r="G1037" s="14" t="n">
        <f aca="false">gm_a+gm_b*LN(G1034)+0</f>
        <v>0.740567557629804</v>
      </c>
      <c r="J1037" s="8" t="s">
        <v>601</v>
      </c>
    </row>
    <row r="1038" customFormat="false" ht="15" hidden="false" customHeight="false" outlineLevel="0" collapsed="false">
      <c r="A1038" s="5" t="s">
        <v>463</v>
      </c>
      <c r="B1038" s="0" t="s">
        <v>33</v>
      </c>
      <c r="C1038" s="11" t="n">
        <f aca="false">C1034*C1037</f>
        <v>306.477</v>
      </c>
      <c r="D1038" s="11" t="n">
        <f aca="false">D1034*D1037</f>
        <v>378.0504836</v>
      </c>
      <c r="E1038" s="11" t="n">
        <f aca="false">E1034*E1037</f>
        <v>408.696835300698</v>
      </c>
      <c r="F1038" s="11" t="n">
        <f aca="false">F1034*F1037</f>
        <v>438.201622976733</v>
      </c>
      <c r="G1038" s="11" t="n">
        <f aca="false">G1034*G1037</f>
        <v>452.226635618069</v>
      </c>
    </row>
    <row r="1039" customFormat="false" ht="15" hidden="false" customHeight="false" outlineLevel="0" collapsed="false">
      <c r="A1039" s="5" t="s">
        <v>464</v>
      </c>
      <c r="B1039" s="0" t="s">
        <v>33</v>
      </c>
      <c r="C1039" s="11" t="n">
        <f aca="false">a25_sga</f>
        <v>121.487</v>
      </c>
      <c r="D1039" s="11" t="n">
        <f aca="false">D1038-D1020</f>
        <v>139.4833836</v>
      </c>
      <c r="E1039" s="11" t="n">
        <f aca="false">sg_f+sg_v*E1034</f>
        <v>149.298908526015</v>
      </c>
      <c r="F1039" s="11" t="n">
        <f aca="false">sg_f+sg_v*F1034</f>
        <v>158.080790434916</v>
      </c>
      <c r="G1039" s="11" t="n">
        <f aca="false">sg_f+sg_v*G1034</f>
        <v>162.230950205184</v>
      </c>
      <c r="J1039" s="8" t="s">
        <v>602</v>
      </c>
    </row>
    <row r="1040" customFormat="false" ht="15" hidden="false" customHeight="false" outlineLevel="0" collapsed="false">
      <c r="A1040" s="5" t="s">
        <v>432</v>
      </c>
      <c r="B1040" s="0" t="s">
        <v>33</v>
      </c>
      <c r="C1040" s="11" t="n">
        <f aca="false">C1038-C1039</f>
        <v>184.99</v>
      </c>
      <c r="D1040" s="11" t="n">
        <f aca="false">D1038-D1039</f>
        <v>238.5671</v>
      </c>
      <c r="E1040" s="11" t="n">
        <f aca="false">E1038-E1039</f>
        <v>259.397926774683</v>
      </c>
      <c r="F1040" s="11" t="n">
        <f aca="false">F1038-F1039</f>
        <v>280.120832541816</v>
      </c>
      <c r="G1040" s="11" t="n">
        <f aca="false">G1038-G1039</f>
        <v>289.995685412885</v>
      </c>
    </row>
    <row r="1041" customFormat="false" ht="15" hidden="false" customHeight="false" outlineLevel="0" collapsed="false">
      <c r="A1041" s="5" t="s">
        <v>603</v>
      </c>
      <c r="B1041" s="0" t="s">
        <v>60</v>
      </c>
      <c r="C1041" s="14" t="n">
        <f aca="false">C1040/C1034</f>
        <v>0.423425629851061</v>
      </c>
      <c r="D1041" s="14" t="n">
        <f aca="false">D1040/D1034</f>
        <v>0.445764670314743</v>
      </c>
      <c r="E1041" s="14" t="n">
        <f aca="false">E1040/E1034</f>
        <v>0.46370265902298</v>
      </c>
      <c r="F1041" s="14" t="n">
        <f aca="false">F1040/F1034</f>
        <v>0.471422157380175</v>
      </c>
      <c r="G1041" s="14" t="n">
        <f aca="false">G1040/G1034</f>
        <v>0.474897716221164</v>
      </c>
    </row>
    <row r="1042" customFormat="false" ht="15" hidden="false" customHeight="false" outlineLevel="0" collapsed="false">
      <c r="A1042" s="5" t="s">
        <v>435</v>
      </c>
      <c r="B1042" s="0" t="s">
        <v>33</v>
      </c>
      <c r="C1042" s="11" t="n">
        <f aca="false">a25_ni</f>
        <v>135.521</v>
      </c>
      <c r="D1042" s="11" t="n">
        <f aca="false">D1021</f>
        <v>167.95938138934</v>
      </c>
      <c r="E1042" s="11" t="n">
        <f aca="false">E1040*nioi</f>
        <v>187.071403600903</v>
      </c>
      <c r="F1042" s="11" t="n">
        <f aca="false">F1040*nioi</f>
        <v>202.016253456677</v>
      </c>
      <c r="G1042" s="11" t="n">
        <f aca="false">G1040*nioi</f>
        <v>209.137754425912</v>
      </c>
    </row>
    <row r="1043" customFormat="false" ht="15" hidden="false" customHeight="false" outlineLevel="0" collapsed="false">
      <c r="A1043" s="0" t="s">
        <v>524</v>
      </c>
      <c r="B1043" s="0" t="s">
        <v>55</v>
      </c>
      <c r="C1043" s="11" t="n">
        <f aca="false">a25_eps</f>
        <v>1249.84</v>
      </c>
      <c r="D1043" s="11" t="n">
        <f aca="false">D1042*1000/shares</f>
        <v>1548.28555816522</v>
      </c>
      <c r="E1043" s="11" t="n">
        <f aca="false">E1042*1000/shares</f>
        <v>1724.46427311835</v>
      </c>
      <c r="F1043" s="11" t="n">
        <f aca="false">F1042*1000/shares</f>
        <v>1862.22910059771</v>
      </c>
      <c r="G1043" s="11" t="n">
        <f aca="false">G1042*1000/shares</f>
        <v>1927.87662211106</v>
      </c>
    </row>
    <row r="1044" customFormat="false" ht="15" hidden="false" customHeight="false" outlineLevel="0" collapsed="false">
      <c r="A1044" s="5" t="s">
        <v>604</v>
      </c>
      <c r="B1044" s="0" t="s">
        <v>33</v>
      </c>
      <c r="C1044" s="16" t="n">
        <f aca="false">ABS(C1034-a25_rev)+ABS(C1040-a25_oi)+ABS(D1034-D1018)+ABS(D1040-D1020)</f>
        <v>0.000999999999976353</v>
      </c>
    </row>
    <row r="1045" customFormat="false" ht="15" hidden="false" customHeight="false" outlineLevel="0" collapsed="false">
      <c r="A1045" s="1" t="s">
        <v>605</v>
      </c>
    </row>
    <row r="1046" customFormat="false" ht="15" hidden="false" customHeight="false" outlineLevel="0" collapsed="false">
      <c r="A1046" s="5" t="s">
        <v>606</v>
      </c>
      <c r="B1046" s="0" t="s">
        <v>60</v>
      </c>
      <c r="C1046" s="14" t="n">
        <f aca="false">a25_gp/a25_rev</f>
        <v>0.701498549974936</v>
      </c>
      <c r="D1046" s="14" t="n">
        <f aca="false">gm_a+gm_b*LN(D1015)+0</f>
        <v>0.71882724045206</v>
      </c>
      <c r="E1046" s="14" t="n">
        <f aca="false">gm_a+gm_b*LN(E1015)+0</f>
        <v>0.726129154576888</v>
      </c>
      <c r="F1046" s="14" t="n">
        <f aca="false">gm_a+gm_b*LN(F1015)+0</f>
        <v>0.733018377379518</v>
      </c>
      <c r="G1046" s="14" t="n">
        <f aca="false">gm_a+gm_b*LN(G1015)+0</f>
        <v>0.735994140498045</v>
      </c>
    </row>
    <row r="1047" customFormat="false" ht="15" hidden="false" customHeight="false" outlineLevel="0" collapsed="false">
      <c r="A1047" s="5" t="s">
        <v>607</v>
      </c>
      <c r="B1047" s="0" t="s">
        <v>33</v>
      </c>
      <c r="C1047" s="11" t="n">
        <f aca="false">a25_oi</f>
        <v>184.989</v>
      </c>
      <c r="D1047" s="11" t="n">
        <f aca="false">D1015*D1046-sg_f-sg_v*D1015</f>
        <v>227.195927389883</v>
      </c>
      <c r="E1047" s="11" t="n">
        <f aca="false">E1015*E1046-sg_f-sg_v*E1015</f>
        <v>246.714040416734</v>
      </c>
      <c r="F1047" s="11" t="n">
        <f aca="false">F1015*F1046-sg_f-sg_v*F1015</f>
        <v>266.551117998836</v>
      </c>
      <c r="G1047" s="11" t="n">
        <f aca="false">G1015*G1046-sg_f-sg_v*G1015</f>
        <v>275.572229294955</v>
      </c>
    </row>
    <row r="1048" customFormat="false" ht="15" hidden="false" customHeight="false" outlineLevel="0" collapsed="false">
      <c r="A1048" s="0" t="s">
        <v>608</v>
      </c>
      <c r="B1048" s="0" t="s">
        <v>55</v>
      </c>
      <c r="C1048" s="11" t="n">
        <f aca="false">a25_eps</f>
        <v>1249.84</v>
      </c>
      <c r="D1048" s="11" t="n">
        <f aca="false">D1047*nioi_v01*1000/shares</f>
        <v>1534.2920385917</v>
      </c>
      <c r="E1048" s="11" t="n">
        <f aca="false">E1047*nioi_v01*1000/shares</f>
        <v>1666.10111531885</v>
      </c>
      <c r="F1048" s="11" t="n">
        <f aca="false">F1047*nioi_v01*1000/shares</f>
        <v>1800.06421295359</v>
      </c>
      <c r="G1048" s="11" t="n">
        <f aca="false">G1047*nioi_v01*1000/shares</f>
        <v>1860.98528403041</v>
      </c>
    </row>
    <row r="1060" customFormat="false" ht="15" hidden="false" customHeight="false" outlineLevel="0" collapsed="false">
      <c r="A1060" s="4" t="s">
        <v>835</v>
      </c>
    </row>
    <row r="1061" customFormat="false" ht="15" hidden="false" customHeight="false" outlineLevel="0" collapsed="false">
      <c r="A1061" s="6" t="s">
        <v>22</v>
      </c>
      <c r="B1061" s="6" t="s">
        <v>23</v>
      </c>
      <c r="C1061" s="9" t="s">
        <v>532</v>
      </c>
      <c r="D1061" s="9" t="s">
        <v>533</v>
      </c>
      <c r="E1061" s="9" t="s">
        <v>534</v>
      </c>
      <c r="F1061" s="9" t="s">
        <v>535</v>
      </c>
      <c r="G1061" s="9" t="s">
        <v>536</v>
      </c>
      <c r="H1061" s="9" t="s">
        <v>537</v>
      </c>
      <c r="I1061" s="9" t="s">
        <v>538</v>
      </c>
      <c r="J1061" s="6" t="s">
        <v>515</v>
      </c>
    </row>
    <row r="1062" customFormat="false" ht="15" hidden="false" customHeight="false" outlineLevel="0" collapsed="false">
      <c r="A1062" s="1" t="s">
        <v>539</v>
      </c>
    </row>
    <row r="1063" customFormat="false" ht="15" hidden="false" customHeight="false" outlineLevel="0" collapsed="false">
      <c r="A1063" s="0" t="s">
        <v>540</v>
      </c>
      <c r="B1063" s="0" t="s">
        <v>100</v>
      </c>
      <c r="C1063" s="19" t="n">
        <f aca="false">hsA_25</f>
        <v>2.22511470588235</v>
      </c>
      <c r="D1063" s="19" t="n">
        <f aca="false">hsA_26</f>
        <v>3.782695</v>
      </c>
      <c r="E1063" s="19" t="n">
        <f aca="false">hsA_27</f>
        <v>5.86317725</v>
      </c>
      <c r="F1063" s="19" t="n">
        <f aca="false">hsA_28</f>
        <v>8.5016070125</v>
      </c>
      <c r="G1063" s="19" t="n">
        <f aca="false">hsA_29</f>
        <v>11.477169466875</v>
      </c>
      <c r="H1063" s="19" t="n">
        <f aca="false">G1063*(1+g_tail)</f>
        <v>12.6248864135625</v>
      </c>
      <c r="I1063" s="19" t="n">
        <f aca="false">H1063*(1+g_tail)</f>
        <v>13.8873750549188</v>
      </c>
      <c r="J1063" s="8" t="s">
        <v>541</v>
      </c>
    </row>
    <row r="1064" customFormat="false" ht="15" hidden="false" customHeight="false" outlineLevel="0" collapsed="false">
      <c r="A1064" s="0" t="s">
        <v>542</v>
      </c>
      <c r="B1064" s="0" t="s">
        <v>543</v>
      </c>
      <c r="C1064" s="19" t="n">
        <f aca="false">den_25</f>
        <v>24</v>
      </c>
      <c r="D1064" s="19" t="n">
        <f aca="false">den_26</f>
        <v>24</v>
      </c>
      <c r="E1064" s="19" t="n">
        <f aca="false">den_27</f>
        <v>26</v>
      </c>
      <c r="F1064" s="19" t="n">
        <f aca="false">den_28</f>
        <v>28</v>
      </c>
      <c r="G1064" s="19" t="n">
        <f aca="false">den_29</f>
        <v>30</v>
      </c>
      <c r="H1064" s="19" t="n">
        <f aca="false">den_30</f>
        <v>32</v>
      </c>
      <c r="I1064" s="19" t="n">
        <f aca="false">den_30</f>
        <v>32</v>
      </c>
    </row>
    <row r="1065" customFormat="false" ht="15" hidden="false" customHeight="false" outlineLevel="0" collapsed="false">
      <c r="A1065" s="5" t="s">
        <v>544</v>
      </c>
      <c r="B1065" s="5" t="s">
        <v>152</v>
      </c>
      <c r="C1065" s="19" t="n">
        <f aca="false">stk_25</f>
        <v>10</v>
      </c>
      <c r="D1065" s="19" t="n">
        <f aca="false">stk_26</f>
        <v>12</v>
      </c>
      <c r="E1065" s="19" t="n">
        <f aca="false">stk_27</f>
        <v>12.5</v>
      </c>
      <c r="F1065" s="19" t="n">
        <f aca="false">stk_28</f>
        <v>14</v>
      </c>
      <c r="G1065" s="19" t="n">
        <f aca="false">stk_29</f>
        <v>15</v>
      </c>
      <c r="H1065" s="19" t="n">
        <f aca="false">stk_30</f>
        <v>16</v>
      </c>
      <c r="I1065" s="19" t="n">
        <f aca="false">stk_30</f>
        <v>16</v>
      </c>
    </row>
    <row r="1066" customFormat="false" ht="15" hidden="false" customHeight="false" outlineLevel="0" collapsed="false">
      <c r="A1066" s="0" t="s">
        <v>545</v>
      </c>
      <c r="B1066" s="5" t="s">
        <v>546</v>
      </c>
      <c r="C1066" s="19" t="n">
        <f aca="false">C1063*8/C1064</f>
        <v>0.741704901960783</v>
      </c>
      <c r="D1066" s="19" t="n">
        <f aca="false">D1063*8/D1064</f>
        <v>1.26089833333333</v>
      </c>
      <c r="E1066" s="19" t="n">
        <f aca="false">E1063*8/E1064</f>
        <v>1.80405453846154</v>
      </c>
      <c r="F1066" s="19" t="n">
        <f aca="false">F1063*8/F1064</f>
        <v>2.429030575</v>
      </c>
      <c r="G1066" s="19" t="n">
        <f aca="false">G1063*8/G1064</f>
        <v>3.0605785245</v>
      </c>
      <c r="H1066" s="19" t="n">
        <f aca="false">H1063*8/H1064</f>
        <v>3.15622160339063</v>
      </c>
      <c r="I1066" s="19" t="n">
        <f aca="false">I1063*8/I1064</f>
        <v>3.47184376372969</v>
      </c>
      <c r="J1066" s="8" t="s">
        <v>547</v>
      </c>
    </row>
    <row r="1067" customFormat="false" ht="15" hidden="false" customHeight="false" outlineLevel="0" collapsed="false">
      <c r="A1067" s="0" t="s">
        <v>548</v>
      </c>
      <c r="B1067" s="5" t="s">
        <v>549</v>
      </c>
      <c r="C1067" s="19" t="n">
        <f aca="false">C1066*(1+s_stk_lo/C1065)</f>
        <v>0.89004588235294</v>
      </c>
      <c r="D1067" s="19" t="n">
        <f aca="false">D1066*(1+s_stk_lo/D1065)</f>
        <v>1.47104805555556</v>
      </c>
      <c r="E1067" s="19" t="n">
        <f aca="false">E1066*(1+s_stk_lo/E1065)</f>
        <v>2.09270326461538</v>
      </c>
      <c r="F1067" s="19" t="n">
        <f aca="false">F1066*(1+s_stk_lo/F1065)</f>
        <v>2.77603494285714</v>
      </c>
      <c r="G1067" s="19" t="n">
        <f aca="false">G1066*(1+s_stk_lo/G1065)</f>
        <v>3.4686556611</v>
      </c>
      <c r="H1067" s="19" t="n">
        <f aca="false">H1066*(1+s_stk_lo/H1065)</f>
        <v>3.55074930381445</v>
      </c>
      <c r="I1067" s="19" t="n">
        <f aca="false">I1066*(1+s_stk_lo/I1065)</f>
        <v>3.9058242341959</v>
      </c>
      <c r="J1067" s="5" t="s">
        <v>550</v>
      </c>
    </row>
    <row r="1068" customFormat="false" ht="15" hidden="false" customHeight="false" outlineLevel="0" collapsed="false">
      <c r="A1068" s="5" t="s">
        <v>551</v>
      </c>
      <c r="B1068" s="0" t="s">
        <v>60</v>
      </c>
      <c r="C1068" s="22" t="n">
        <f aca="false">hbp_25*hb_on</f>
        <v>0</v>
      </c>
      <c r="D1068" s="22" t="n">
        <f aca="false">hbp_26*hb_on</f>
        <v>0</v>
      </c>
      <c r="E1068" s="22" t="n">
        <f aca="false">hbp_27*hb_on</f>
        <v>0</v>
      </c>
      <c r="F1068" s="22" t="n">
        <f aca="false">hbp_28*hb_on</f>
        <v>0.05</v>
      </c>
      <c r="G1068" s="22" t="n">
        <f aca="false">hbp_29*hb_on</f>
        <v>0.15</v>
      </c>
      <c r="H1068" s="22" t="n">
        <f aca="false">hbp_30*hb_on</f>
        <v>0.25</v>
      </c>
      <c r="I1068" s="22" t="n">
        <f aca="false">hbp_30*hb_on</f>
        <v>0.25</v>
      </c>
    </row>
    <row r="1069" customFormat="false" ht="15" hidden="false" customHeight="false" outlineLevel="0" collapsed="false">
      <c r="A1069" s="0" t="s">
        <v>552</v>
      </c>
      <c r="B1069" s="5" t="s">
        <v>549</v>
      </c>
      <c r="C1069" s="19" t="n">
        <f aca="false">C1067*(1+C1068*hb_eff)</f>
        <v>0.89004588235294</v>
      </c>
      <c r="D1069" s="19" t="n">
        <f aca="false">D1067*(1+D1068*hb_eff)</f>
        <v>1.47104805555556</v>
      </c>
      <c r="E1069" s="19" t="n">
        <f aca="false">E1067*(1+E1068*hb_eff)</f>
        <v>2.09270326461538</v>
      </c>
      <c r="F1069" s="19" t="n">
        <f aca="false">F1067*(1+F1068*hb_eff)</f>
        <v>2.78991511757143</v>
      </c>
      <c r="G1069" s="19" t="n">
        <f aca="false">G1067*(1+G1068*hb_eff)</f>
        <v>3.5206854960165</v>
      </c>
      <c r="H1069" s="19" t="n">
        <f aca="false">H1067*(1+H1068*hb_eff)</f>
        <v>3.63951803640982</v>
      </c>
      <c r="I1069" s="19" t="n">
        <f aca="false">I1067*(1+I1068*hb_eff)</f>
        <v>4.0034698400508</v>
      </c>
      <c r="J1069" s="5" t="s">
        <v>553</v>
      </c>
    </row>
    <row r="1070" customFormat="false" ht="15" hidden="false" customHeight="false" outlineLevel="0" collapsed="false">
      <c r="A1070" s="0" t="s">
        <v>554</v>
      </c>
      <c r="B1070" s="5" t="s">
        <v>549</v>
      </c>
      <c r="C1070" s="19" t="n">
        <f aca="false">MAX(0,D1069-C1069)+dlt*C1069</f>
        <v>0.67000676143791</v>
      </c>
      <c r="D1070" s="19" t="n">
        <f aca="false">MAX(0,E1069-D1069)+dlt*D1069</f>
        <v>0.768760014615385</v>
      </c>
      <c r="E1070" s="19" t="n">
        <f aca="false">MAX(0,F1069-E1069)+dlt*E1069</f>
        <v>0.906482179417582</v>
      </c>
      <c r="F1070" s="19" t="n">
        <f aca="false">MAX(0,G1069-F1069)+dlt*F1069</f>
        <v>1.00976189020221</v>
      </c>
      <c r="G1070" s="19" t="n">
        <f aca="false">MAX(0,H1069-G1069)+dlt*G1069</f>
        <v>0.470901089994965</v>
      </c>
      <c r="H1070" s="19" t="n">
        <f aca="false">MAX(0,I1069-H1069)+dlt*H1069</f>
        <v>0.727903607281963</v>
      </c>
      <c r="J1070" s="5" t="s">
        <v>555</v>
      </c>
    </row>
    <row r="1071" customFormat="false" ht="15" hidden="false" customHeight="false" outlineLevel="0" collapsed="false">
      <c r="A1071" s="0" t="s">
        <v>556</v>
      </c>
      <c r="B1071" s="5" t="s">
        <v>181</v>
      </c>
      <c r="C1071" s="21" t="n">
        <f aca="false">cw_25</f>
        <v>670</v>
      </c>
      <c r="D1071" s="21" t="n">
        <f aca="false">cw_26</f>
        <v>1107.85762580894</v>
      </c>
      <c r="E1071" s="21" t="n">
        <f aca="false">cw_27</f>
        <v>2096.42857142857</v>
      </c>
      <c r="F1071" s="21" t="n">
        <f aca="false">cw_28*um28_A</f>
        <v>2620.08928571429</v>
      </c>
      <c r="G1071" s="21" t="n">
        <f aca="false">cw_29*um29_A</f>
        <v>3013.32589285714</v>
      </c>
      <c r="H1071" s="21" t="n">
        <f aca="false">G1071*(1+g_tail)</f>
        <v>3314.65848214285</v>
      </c>
      <c r="I1071" s="21" t="n">
        <f aca="false">H1071*(1+g_tail)</f>
        <v>3646.12433035714</v>
      </c>
      <c r="J1071" s="5" t="s">
        <v>557</v>
      </c>
    </row>
    <row r="1072" customFormat="false" ht="15" hidden="false" customHeight="false" outlineLevel="0" collapsed="false">
      <c r="A1072" s="5" t="s">
        <v>558</v>
      </c>
      <c r="B1072" s="5" t="s">
        <v>181</v>
      </c>
      <c r="C1072" s="21" t="n">
        <f aca="false">MAX(0,D1071-C1071)+dlt*C1071</f>
        <v>504.85762580894</v>
      </c>
      <c r="D1072" s="21" t="n">
        <f aca="false">MAX(0,E1071-D1071)+dlt*D1071</f>
        <v>1099.35670820052</v>
      </c>
      <c r="E1072" s="21" t="n">
        <f aca="false">MAX(0,F1071-E1071)+dlt*E1071</f>
        <v>733.303571428577</v>
      </c>
      <c r="F1072" s="21" t="n">
        <f aca="false">MAX(0,G1071-F1071)+dlt*F1071</f>
        <v>655.245535714279</v>
      </c>
      <c r="G1072" s="21" t="n">
        <f aca="false">MAX(0,H1071-G1071)+dlt*G1071</f>
        <v>602.665178571428</v>
      </c>
      <c r="H1072" s="21" t="n">
        <f aca="false">MAX(0,I1071-H1071)+dlt*H1071</f>
        <v>662.931696428571</v>
      </c>
    </row>
    <row r="1073" customFormat="false" ht="15" hidden="false" customHeight="false" outlineLevel="0" collapsed="false">
      <c r="A1073" s="1" t="s">
        <v>559</v>
      </c>
    </row>
    <row r="1074" customFormat="false" ht="15" hidden="false" customHeight="false" outlineLevel="0" collapsed="false">
      <c r="A1074" s="0" t="s">
        <v>560</v>
      </c>
      <c r="B1074" s="0" t="s">
        <v>561</v>
      </c>
      <c r="C1074" s="16" t="n">
        <f aca="false">ai_25*w_hbm/(0.75*C1070+0.25*D1070)</f>
        <v>51.8212972992124</v>
      </c>
      <c r="J1074" s="5" t="s">
        <v>562</v>
      </c>
    </row>
    <row r="1075" customFormat="false" ht="15" hidden="false" customHeight="false" outlineLevel="0" collapsed="false">
      <c r="A1075" s="5" t="s">
        <v>563</v>
      </c>
      <c r="B1075" s="0" t="s">
        <v>564</v>
      </c>
      <c r="C1075" s="18" t="n">
        <f aca="false">ai_25*(1-w_hbm)/(0.75*C1072+0.25*D1072)</f>
        <v>0.0596802610360141</v>
      </c>
    </row>
    <row r="1076" customFormat="false" ht="15" hidden="false" customHeight="false" outlineLevel="0" collapsed="false">
      <c r="A1076" s="1" t="s">
        <v>565</v>
      </c>
    </row>
    <row r="1077" customFormat="false" ht="15" hidden="false" customHeight="false" outlineLevel="0" collapsed="false">
      <c r="A1077" s="5" t="s">
        <v>566</v>
      </c>
      <c r="B1077" s="0" t="s">
        <v>80</v>
      </c>
      <c r="C1077" s="16" t="n">
        <f aca="false">1-sh_loss/sh*0</f>
        <v>1</v>
      </c>
      <c r="D1077" s="16" t="n">
        <f aca="false">1-sh_loss/sh*0.25</f>
        <v>1</v>
      </c>
      <c r="E1077" s="16" t="n">
        <f aca="false">1-sh_loss/sh*0.5</f>
        <v>1</v>
      </c>
      <c r="F1077" s="16" t="n">
        <f aca="false">1-sh_loss/sh*0.75</f>
        <v>1</v>
      </c>
      <c r="G1077" s="16" t="n">
        <f aca="false">1-sh_loss/sh*1</f>
        <v>1</v>
      </c>
    </row>
    <row r="1078" customFormat="false" ht="15" hidden="false" customHeight="false" outlineLevel="0" collapsed="false">
      <c r="A1078" s="0" t="s">
        <v>567</v>
      </c>
      <c r="B1078" s="0" t="s">
        <v>33</v>
      </c>
      <c r="C1078" s="11" t="n">
        <f aca="false">$C$1074*(0.75*C1070+0.25*D1070)*C1077</f>
        <v>36</v>
      </c>
      <c r="D1078" s="11" t="n">
        <f aca="false">$C$1074*(0.75*D1070+0.25*E1070)*D1077</f>
        <v>41.6223765808572</v>
      </c>
      <c r="E1078" s="11" t="n">
        <f aca="false">$C$1074*(0.75*E1070+0.25*F1070)*E1077</f>
        <v>48.3131046654233</v>
      </c>
      <c r="F1078" s="11" t="n">
        <f aca="false">$C$1074*(0.75*F1070+0.25*G1070)*F1077</f>
        <v>45.3460546809758</v>
      </c>
      <c r="G1078" s="11" t="n">
        <f aca="false">$C$1074*(0.75*G1070+0.25*H1070)*G1077</f>
        <v>27.7322563468962</v>
      </c>
    </row>
    <row r="1079" customFormat="false" ht="15" hidden="false" customHeight="false" outlineLevel="0" collapsed="false">
      <c r="A1079" s="5" t="s">
        <v>568</v>
      </c>
      <c r="B1079" s="0" t="s">
        <v>33</v>
      </c>
      <c r="C1079" s="11" t="n">
        <f aca="false">$C$1075*(0.75*C1072+0.25*D1072)*C1077</f>
        <v>39</v>
      </c>
      <c r="D1079" s="11" t="n">
        <f aca="false">$C$1075*(0.75*D1072+0.25*E1072)*D1077</f>
        <v>60.1483586282001</v>
      </c>
      <c r="E1079" s="11" t="n">
        <f aca="false">$C$1075*(0.75*E1072+0.25*F1072)*E1077</f>
        <v>42.5991175746519</v>
      </c>
      <c r="F1079" s="11" t="n">
        <f aca="false">$C$1075*(0.75*F1072+0.25*G1072)*F1077</f>
        <v>38.320722254198</v>
      </c>
      <c r="G1079" s="11" t="n">
        <f aca="false">$C$1075*(0.75*G1072+0.25*H1072)*G1077</f>
        <v>36.8663955538204</v>
      </c>
    </row>
    <row r="1080" customFormat="false" ht="15" hidden="false" customHeight="false" outlineLevel="0" collapsed="false">
      <c r="A1080" s="0" t="s">
        <v>569</v>
      </c>
      <c r="B1080" s="0" t="s">
        <v>33</v>
      </c>
      <c r="C1080" s="11" t="n">
        <f aca="false">C1078+C1079</f>
        <v>75</v>
      </c>
      <c r="D1080" s="11" t="n">
        <f aca="false">D1078+D1079</f>
        <v>101.770735209057</v>
      </c>
      <c r="E1080" s="11" t="n">
        <f aca="false">E1078+E1079</f>
        <v>90.9122222400752</v>
      </c>
      <c r="F1080" s="11" t="n">
        <f aca="false">F1078+F1079</f>
        <v>83.6667769351738</v>
      </c>
      <c r="G1080" s="11" t="n">
        <f aca="false">G1078+G1079</f>
        <v>64.5986519007165</v>
      </c>
    </row>
    <row r="1081" customFormat="false" ht="15" hidden="false" customHeight="false" outlineLevel="0" collapsed="false">
      <c r="A1081" s="5" t="s">
        <v>570</v>
      </c>
      <c r="B1081" s="0" t="s">
        <v>33</v>
      </c>
      <c r="C1081" s="11" t="n">
        <f aca="false">eq_25-ai_25</f>
        <v>195.87118</v>
      </c>
      <c r="D1081" s="11" t="n">
        <f aca="false">C1081*(1+g_non)*D1077/C1077</f>
        <v>207.6234508</v>
      </c>
      <c r="E1081" s="11" t="n">
        <f aca="false">D1081*(1+g_non)*E1077/D1077</f>
        <v>220.080857848</v>
      </c>
      <c r="F1081" s="11" t="n">
        <f aca="false">E1081*(1+g_non)*F1077/E1077</f>
        <v>233.28570931888</v>
      </c>
      <c r="G1081" s="11" t="n">
        <f aca="false">F1081*(1+g_non)*G1077/F1077</f>
        <v>247.282851878013</v>
      </c>
    </row>
    <row r="1082" customFormat="false" ht="15" hidden="false" customHeight="false" outlineLevel="0" collapsed="false">
      <c r="A1082" s="0" t="s">
        <v>571</v>
      </c>
      <c r="B1082" s="0" t="s">
        <v>80</v>
      </c>
      <c r="C1082" s="19" t="n">
        <f aca="false">w_hbm*(0.75*C1069+0.25*D1069)/(0.75*C1069+0.25*D1069)+(1-w_hbm)*(0.75*C1071+0.25*D1071)/(0.75*C1071+0.25*D1071)</f>
        <v>1</v>
      </c>
      <c r="D1082" s="19" t="n">
        <f aca="false">w_hbm*(0.75*D1069+0.25*E1069)/(0.75*C1069+0.25*D1069)+(1-w_hbm)*(0.75*D1071+0.25*E1071)/(0.75*C1071+0.25*D1071)</f>
        <v>1.65803946285827</v>
      </c>
      <c r="E1082" s="19" t="n">
        <f aca="false">w_hbm*(0.75*E1069+0.25*F1069)/(0.75*C1069+0.25*D1069)+(1-w_hbm)*(0.75*E1071+0.25*F1071)/(0.75*C1071+0.25*D1071)</f>
        <v>2.53698033079173</v>
      </c>
      <c r="F1082" s="19" t="n">
        <f aca="false">w_hbm*(0.75*F1069+0.25*G1069)/(0.75*C1069+0.25*D1069)+(1-w_hbm)*(0.75*F1071+0.25*G1071)/(0.75*C1071+0.25*D1071)</f>
        <v>3.19171684520003</v>
      </c>
      <c r="G1082" s="19" t="n">
        <f aca="false">w_hbm*(0.75*G1069+0.25*H1069)/(0.75*C1069+0.25*D1069)+(1-w_hbm)*(0.75*G1071+0.25*H1071)/(0.75*C1071+0.25*D1071)</f>
        <v>3.70660882370307</v>
      </c>
      <c r="J1082" s="8" t="s">
        <v>572</v>
      </c>
    </row>
    <row r="1083" customFormat="false" ht="15" hidden="false" customHeight="false" outlineLevel="0" collapsed="false">
      <c r="A1083" s="0" t="s">
        <v>573</v>
      </c>
      <c r="B1083" s="0" t="s">
        <v>33</v>
      </c>
      <c r="C1083" s="11" t="n">
        <f aca="false">tl_25*w_tlai*C1082</f>
        <v>25.4032258064516</v>
      </c>
      <c r="D1083" s="11" t="n">
        <f aca="false">tl_25*w_tlai*D1082</f>
        <v>42.1195508709965</v>
      </c>
      <c r="E1083" s="11" t="n">
        <f aca="false">tl_25*w_tlai*E1082</f>
        <v>64.4474842096286</v>
      </c>
      <c r="F1083" s="11" t="n">
        <f aca="false">tl_25*w_tlai*F1082</f>
        <v>81.0799037288716</v>
      </c>
      <c r="G1083" s="11" t="n">
        <f aca="false">tl_25*w_tlai*G1082</f>
        <v>94.159820924715</v>
      </c>
      <c r="J1083" s="5" t="s">
        <v>574</v>
      </c>
    </row>
    <row r="1084" customFormat="false" ht="15" hidden="false" customHeight="false" outlineLevel="0" collapsed="false">
      <c r="A1084" s="5" t="s">
        <v>575</v>
      </c>
      <c r="B1084" s="0" t="s">
        <v>33</v>
      </c>
      <c r="C1084" s="11" t="n">
        <f aca="false">tl_25*(1-w_tlai)</f>
        <v>66.3434641935484</v>
      </c>
      <c r="D1084" s="11" t="n">
        <f aca="false">C1084*(1+g_tl)</f>
        <v>69.6606374032258</v>
      </c>
      <c r="E1084" s="11" t="n">
        <f aca="false">D1084*(1+g_tl)</f>
        <v>73.1436692733871</v>
      </c>
      <c r="F1084" s="11" t="n">
        <f aca="false">E1084*(1+g_tl)</f>
        <v>76.8008527370565</v>
      </c>
      <c r="G1084" s="11" t="n">
        <f aca="false">F1084*(1+g_tl)</f>
        <v>80.6408953739093</v>
      </c>
    </row>
    <row r="1085" customFormat="false" ht="15" hidden="false" customHeight="false" outlineLevel="0" collapsed="false">
      <c r="A1085" s="5" t="s">
        <v>576</v>
      </c>
      <c r="B1085" s="0" t="s">
        <v>33</v>
      </c>
      <c r="C1085" s="11" t="n">
        <f aca="false">(C1080+C1081+C1083+C1084)*(1+r_ot)</f>
        <v>436.889</v>
      </c>
      <c r="D1085" s="11" t="n">
        <f aca="false">(D1080+D1081+D1083+D1084)*(1+r_ot)</f>
        <v>507.439005160578</v>
      </c>
      <c r="E1085" s="11" t="n">
        <f aca="false">(E1080+E1081+E1083+E1084)*(1+r_ot)</f>
        <v>540.462932013363</v>
      </c>
      <c r="F1085" s="11" t="n">
        <f aca="false">(F1080+F1081+F1083+F1084)*(1+r_ot)</f>
        <v>572.088244240942</v>
      </c>
      <c r="G1085" s="11" t="n">
        <f aca="false">(G1080+G1081+G1083+G1084)*(1+r_ot)</f>
        <v>586.364120575125</v>
      </c>
      <c r="J1085" s="8" t="s">
        <v>577</v>
      </c>
    </row>
    <row r="1086" customFormat="false" ht="15" hidden="false" customHeight="false" outlineLevel="0" collapsed="false">
      <c r="A1086" s="1" t="s">
        <v>578</v>
      </c>
    </row>
    <row r="1087" customFormat="false" ht="15" hidden="false" customHeight="false" outlineLevel="0" collapsed="false">
      <c r="A1087" s="5" t="s">
        <v>579</v>
      </c>
      <c r="B1087" s="0" t="s">
        <v>33</v>
      </c>
      <c r="D1087" s="11" t="n">
        <f aca="false">g3_rev*(1+g_q4)</f>
        <v>145.6862</v>
      </c>
    </row>
    <row r="1088" customFormat="false" ht="15" hidden="false" customHeight="false" outlineLevel="0" collapsed="false">
      <c r="A1088" s="0" t="s">
        <v>580</v>
      </c>
      <c r="B1088" s="0" t="s">
        <v>33</v>
      </c>
      <c r="D1088" s="11" t="n">
        <f aca="false">q26h1_rev+g3_rev+D1087</f>
        <v>535.1862</v>
      </c>
    </row>
    <row r="1089" customFormat="false" ht="15" hidden="false" customHeight="false" outlineLevel="0" collapsed="false">
      <c r="A1089" s="0" t="s">
        <v>581</v>
      </c>
      <c r="B1089" s="0" t="s">
        <v>33</v>
      </c>
      <c r="D1089" s="11" t="n">
        <f aca="false">q26h1_gp+(g3_rev+D1087)*gm_q3</f>
        <v>378.0504836</v>
      </c>
    </row>
    <row r="1090" customFormat="false" ht="15" hidden="false" customHeight="false" outlineLevel="0" collapsed="false">
      <c r="A1090" s="0" t="s">
        <v>582</v>
      </c>
      <c r="B1090" s="0" t="s">
        <v>33</v>
      </c>
      <c r="D1090" s="11" t="n">
        <f aca="false">q26h1_oi+g3_oi+D1087*m_q4</f>
        <v>238.5671</v>
      </c>
    </row>
    <row r="1091" customFormat="false" ht="15" hidden="false" customHeight="false" outlineLevel="0" collapsed="false">
      <c r="A1091" s="0" t="s">
        <v>583</v>
      </c>
      <c r="B1091" s="0" t="s">
        <v>33</v>
      </c>
      <c r="D1091" s="11" t="n">
        <f aca="false">q26h1_ni+g3_ni+D1087*m_q4*nioi</f>
        <v>167.95938138934</v>
      </c>
    </row>
    <row r="1092" customFormat="false" ht="15" hidden="false" customHeight="false" outlineLevel="0" collapsed="false">
      <c r="A1092" s="5" t="s">
        <v>584</v>
      </c>
      <c r="B1092" s="0" t="s">
        <v>80</v>
      </c>
      <c r="D1092" s="16" t="n">
        <f aca="false">D1088/D1085</f>
        <v>1.05468084746588</v>
      </c>
      <c r="J1092" s="8" t="s">
        <v>585</v>
      </c>
    </row>
    <row r="1093" customFormat="false" ht="15" hidden="false" customHeight="false" outlineLevel="0" collapsed="false">
      <c r="A1093" s="5" t="s">
        <v>586</v>
      </c>
      <c r="B1093" s="0" t="s">
        <v>80</v>
      </c>
      <c r="D1093" s="16" t="n">
        <f aca="false">1+anc_carry*(D1092-1)</f>
        <v>1.05468084746588</v>
      </c>
      <c r="J1093" s="8" t="s">
        <v>587</v>
      </c>
    </row>
    <row r="1094" customFormat="false" ht="15" hidden="false" customHeight="false" outlineLevel="0" collapsed="false">
      <c r="A1094" s="1" t="s">
        <v>588</v>
      </c>
    </row>
    <row r="1095" customFormat="false" ht="15" hidden="false" customHeight="false" outlineLevel="0" collapsed="false">
      <c r="A1095" s="0" t="s">
        <v>589</v>
      </c>
      <c r="B1095" s="0" t="s">
        <v>33</v>
      </c>
      <c r="C1095" s="11" t="n">
        <f aca="false">C1078*1</f>
        <v>36</v>
      </c>
      <c r="D1095" s="11" t="n">
        <f aca="false">D1078*$D$1092</f>
        <v>43.8983234058424</v>
      </c>
      <c r="E1095" s="11" t="n">
        <f aca="false">E1078*1</f>
        <v>48.3131046654233</v>
      </c>
      <c r="F1095" s="11" t="n">
        <f aca="false">F1078*1</f>
        <v>45.3460546809758</v>
      </c>
      <c r="G1095" s="11" t="n">
        <f aca="false">G1078*1</f>
        <v>27.7322563468962</v>
      </c>
    </row>
    <row r="1096" customFormat="false" ht="15" hidden="false" customHeight="false" outlineLevel="0" collapsed="false">
      <c r="A1096" s="5" t="s">
        <v>590</v>
      </c>
      <c r="B1096" s="0" t="s">
        <v>33</v>
      </c>
      <c r="C1096" s="11" t="n">
        <f aca="false">C1079*1</f>
        <v>39</v>
      </c>
      <c r="D1096" s="11" t="n">
        <f aca="false">D1079*$D$1092</f>
        <v>63.4373218516716</v>
      </c>
      <c r="E1096" s="11" t="n">
        <f aca="false">E1079*1</f>
        <v>42.5991175746519</v>
      </c>
      <c r="F1096" s="11" t="n">
        <f aca="false">F1079*1</f>
        <v>38.320722254198</v>
      </c>
      <c r="G1096" s="11" t="n">
        <f aca="false">G1079*1</f>
        <v>36.8663955538204</v>
      </c>
    </row>
    <row r="1097" customFormat="false" ht="15" hidden="false" customHeight="false" outlineLevel="0" collapsed="false">
      <c r="A1097" s="0" t="s">
        <v>591</v>
      </c>
      <c r="B1097" s="0" t="s">
        <v>33</v>
      </c>
      <c r="C1097" s="11" t="n">
        <f aca="false">C1095+C1096</f>
        <v>75</v>
      </c>
      <c r="D1097" s="11" t="n">
        <f aca="false">D1095+D1096</f>
        <v>107.335645257514</v>
      </c>
      <c r="E1097" s="11" t="n">
        <f aca="false">E1095+E1096</f>
        <v>90.9122222400752</v>
      </c>
      <c r="F1097" s="11" t="n">
        <f aca="false">F1095+F1096</f>
        <v>83.6667769351738</v>
      </c>
      <c r="G1097" s="11" t="n">
        <f aca="false">G1095+G1096</f>
        <v>64.5986519007165</v>
      </c>
    </row>
    <row r="1098" customFormat="false" ht="15" hidden="false" customHeight="false" outlineLevel="0" collapsed="false">
      <c r="A1098" s="5" t="s">
        <v>592</v>
      </c>
      <c r="B1098" s="0" t="s">
        <v>33</v>
      </c>
      <c r="C1098" s="11" t="n">
        <f aca="false">C1081*1</f>
        <v>195.87118</v>
      </c>
      <c r="D1098" s="11" t="n">
        <f aca="false">D1081*$D$1092</f>
        <v>218.976477043534</v>
      </c>
      <c r="E1098" s="11" t="n">
        <f aca="false">E1081*$D$1093</f>
        <v>232.115065666146</v>
      </c>
      <c r="F1098" s="11" t="n">
        <f aca="false">F1081*$D$1093</f>
        <v>246.041969606115</v>
      </c>
      <c r="G1098" s="11" t="n">
        <f aca="false">G1081*$D$1093</f>
        <v>260.804487782482</v>
      </c>
    </row>
    <row r="1099" customFormat="false" ht="15" hidden="false" customHeight="false" outlineLevel="0" collapsed="false">
      <c r="A1099" s="5" t="s">
        <v>593</v>
      </c>
      <c r="B1099" s="0" t="s">
        <v>33</v>
      </c>
      <c r="C1099" s="11" t="n">
        <f aca="false">C1097+C1098</f>
        <v>270.87118</v>
      </c>
      <c r="D1099" s="11" t="n">
        <f aca="false">D1097+D1098</f>
        <v>326.312122301048</v>
      </c>
      <c r="E1099" s="11" t="n">
        <f aca="false">E1097+E1098</f>
        <v>323.027287906221</v>
      </c>
      <c r="F1099" s="11" t="n">
        <f aca="false">F1097+F1098</f>
        <v>329.708746541289</v>
      </c>
      <c r="G1099" s="11" t="n">
        <f aca="false">G1097+G1098</f>
        <v>325.403139683198</v>
      </c>
    </row>
    <row r="1100" customFormat="false" ht="15" hidden="false" customHeight="false" outlineLevel="0" collapsed="false">
      <c r="A1100" s="0" t="s">
        <v>594</v>
      </c>
      <c r="B1100" s="0" t="s">
        <v>33</v>
      </c>
      <c r="C1100" s="11" t="n">
        <f aca="false">C1083*1</f>
        <v>25.4032258064516</v>
      </c>
      <c r="D1100" s="11" t="n">
        <f aca="false">D1083*$D$1092</f>
        <v>44.4226836075047</v>
      </c>
      <c r="E1100" s="11" t="n">
        <f aca="false">E1083*1</f>
        <v>64.4474842096286</v>
      </c>
      <c r="F1100" s="11" t="n">
        <f aca="false">F1083*1</f>
        <v>81.0799037288716</v>
      </c>
      <c r="G1100" s="11" t="n">
        <f aca="false">G1083*1</f>
        <v>94.159820924715</v>
      </c>
    </row>
    <row r="1101" customFormat="false" ht="15" hidden="false" customHeight="false" outlineLevel="0" collapsed="false">
      <c r="A1101" s="5" t="s">
        <v>595</v>
      </c>
      <c r="B1101" s="0" t="s">
        <v>33</v>
      </c>
      <c r="C1101" s="11" t="n">
        <f aca="false">C1084*1</f>
        <v>66.3434641935484</v>
      </c>
      <c r="D1101" s="11" t="n">
        <f aca="false">D1084*$D$1092</f>
        <v>73.4697400914474</v>
      </c>
      <c r="E1101" s="11" t="n">
        <f aca="false">E1084*$D$1093</f>
        <v>77.1432270960198</v>
      </c>
      <c r="F1101" s="11" t="n">
        <f aca="false">F1084*$D$1093</f>
        <v>81.0003884508208</v>
      </c>
      <c r="G1101" s="11" t="n">
        <f aca="false">G1084*$D$1093</f>
        <v>85.0504078733618</v>
      </c>
    </row>
    <row r="1102" customFormat="false" ht="15" hidden="false" customHeight="false" outlineLevel="0" collapsed="false">
      <c r="A1102" s="5" t="s">
        <v>596</v>
      </c>
      <c r="B1102" s="0" t="s">
        <v>33</v>
      </c>
      <c r="C1102" s="11" t="n">
        <f aca="false">C1100+C1101</f>
        <v>91.74669</v>
      </c>
      <c r="D1102" s="11" t="n">
        <f aca="false">D1100+D1101</f>
        <v>117.892423698952</v>
      </c>
      <c r="E1102" s="11" t="n">
        <f aca="false">E1100+E1101</f>
        <v>141.590711305648</v>
      </c>
      <c r="F1102" s="11" t="n">
        <f aca="false">F1100+F1101</f>
        <v>162.080292179692</v>
      </c>
      <c r="G1102" s="11" t="n">
        <f aca="false">G1100+G1101</f>
        <v>179.210228798077</v>
      </c>
    </row>
    <row r="1103" customFormat="false" ht="15" hidden="false" customHeight="false" outlineLevel="0" collapsed="false">
      <c r="A1103" s="5" t="s">
        <v>458</v>
      </c>
      <c r="B1103" s="0" t="s">
        <v>33</v>
      </c>
      <c r="C1103" s="11" t="n">
        <f aca="false">r_ot*(C1099+C1102)</f>
        <v>74.27113</v>
      </c>
      <c r="D1103" s="11" t="n">
        <f aca="false">r_ot*(D1099+D1102)</f>
        <v>90.981654</v>
      </c>
      <c r="E1103" s="11" t="n">
        <f aca="false">r_ot*(E1099+E1102)</f>
        <v>95.162722730142</v>
      </c>
      <c r="F1103" s="11" t="n">
        <f aca="false">r_ot*(F1099+F1102)</f>
        <v>100.727875400683</v>
      </c>
      <c r="G1103" s="11" t="n">
        <f aca="false">r_ot*(G1099+G1102)</f>
        <v>103.354545351586</v>
      </c>
    </row>
    <row r="1104" customFormat="false" ht="15" hidden="false" customHeight="false" outlineLevel="0" collapsed="false">
      <c r="A1104" s="5" t="s">
        <v>428</v>
      </c>
      <c r="B1104" s="0" t="s">
        <v>33</v>
      </c>
      <c r="C1104" s="11" t="n">
        <f aca="false">C1099+C1102+C1103</f>
        <v>436.889</v>
      </c>
      <c r="D1104" s="11" t="n">
        <f aca="false">D1099+D1102+D1103</f>
        <v>535.1862</v>
      </c>
      <c r="E1104" s="11" t="n">
        <f aca="false">E1099+E1102+E1103</f>
        <v>559.780721942012</v>
      </c>
      <c r="F1104" s="11" t="n">
        <f aca="false">F1099+F1102+F1103</f>
        <v>592.516914121664</v>
      </c>
      <c r="G1104" s="11" t="n">
        <f aca="false">G1099+G1102+G1103</f>
        <v>607.967913832861</v>
      </c>
      <c r="J1104" s="8" t="s">
        <v>597</v>
      </c>
    </row>
    <row r="1105" customFormat="false" ht="15" hidden="false" customHeight="false" outlineLevel="0" collapsed="false">
      <c r="A1105" s="0" t="s">
        <v>598</v>
      </c>
      <c r="B1105" s="0" t="s">
        <v>60</v>
      </c>
      <c r="C1105" s="14" t="n">
        <f aca="false">(C1097+C1100)*(1+r_ot)/C1104</f>
        <v>0.276884384673187</v>
      </c>
      <c r="D1105" s="14" t="n">
        <f aca="false">(D1097+D1100)*(1+r_ot)/D1104</f>
        <v>0.341640647831233</v>
      </c>
      <c r="E1105" s="14" t="n">
        <f aca="false">(E1097+E1100)*(1+r_ot)/E1104</f>
        <v>0.33438159243344</v>
      </c>
      <c r="F1105" s="14" t="n">
        <f aca="false">(F1097+F1100)*(1+r_ot)/F1104</f>
        <v>0.334994616985588</v>
      </c>
      <c r="G1105" s="14" t="n">
        <f aca="false">(G1097+G1100)*(1+r_ot)/G1104</f>
        <v>0.314614084250768</v>
      </c>
    </row>
    <row r="1106" customFormat="false" ht="15" hidden="false" customHeight="false" outlineLevel="0" collapsed="false">
      <c r="A1106" s="0" t="s">
        <v>599</v>
      </c>
      <c r="B1106" s="0" t="s">
        <v>60</v>
      </c>
      <c r="C1106" s="14" t="n">
        <f aca="false">C1097*(1+r_ot)/C1104</f>
        <v>0.206829299394429</v>
      </c>
      <c r="D1106" s="14" t="n">
        <f aca="false">D1097*(1+r_ot)/D1104</f>
        <v>0.241635629855787</v>
      </c>
      <c r="E1106" s="14" t="n">
        <f aca="false">E1097*(1+r_ot)/E1104</f>
        <v>0.195670900383303</v>
      </c>
      <c r="F1106" s="14" t="n">
        <f aca="false">F1097*(1+r_ot)/F1104</f>
        <v>0.170127372404985</v>
      </c>
      <c r="G1106" s="14" t="n">
        <f aca="false">G1097*(1+r_ot)/G1104</f>
        <v>0.128016132618796</v>
      </c>
      <c r="J1106" s="5" t="s">
        <v>600</v>
      </c>
    </row>
    <row r="1107" customFormat="false" ht="15" hidden="false" customHeight="false" outlineLevel="0" collapsed="false">
      <c r="A1107" s="5" t="s">
        <v>466</v>
      </c>
      <c r="B1107" s="0" t="s">
        <v>60</v>
      </c>
      <c r="C1107" s="14" t="n">
        <f aca="false">a25_gp/a25_rev</f>
        <v>0.701498549974936</v>
      </c>
      <c r="D1107" s="14" t="n">
        <f aca="false">D1089/D1104</f>
        <v>0.70639056761927</v>
      </c>
      <c r="E1107" s="14" t="n">
        <f aca="false">gm_a+gm_b*LN(E1104)+0</f>
        <v>0.730667346986194</v>
      </c>
      <c r="F1107" s="14" t="n">
        <f aca="false">gm_a+gm_b*LN(F1104)+0</f>
        <v>0.737136563471693</v>
      </c>
      <c r="G1107" s="14" t="n">
        <f aca="false">gm_a+gm_b*LN(G1104)+0</f>
        <v>0.740066749577049</v>
      </c>
      <c r="J1107" s="8" t="s">
        <v>601</v>
      </c>
    </row>
    <row r="1108" customFormat="false" ht="15" hidden="false" customHeight="false" outlineLevel="0" collapsed="false">
      <c r="A1108" s="5" t="s">
        <v>463</v>
      </c>
      <c r="B1108" s="0" t="s">
        <v>33</v>
      </c>
      <c r="C1108" s="11" t="n">
        <f aca="false">C1104*C1107</f>
        <v>306.477</v>
      </c>
      <c r="D1108" s="11" t="n">
        <f aca="false">D1104*D1107</f>
        <v>378.0504836</v>
      </c>
      <c r="E1108" s="11" t="n">
        <f aca="false">E1104*E1107</f>
        <v>409.013494995386</v>
      </c>
      <c r="F1108" s="11" t="n">
        <f aca="false">F1104*F1107</f>
        <v>436.765881874495</v>
      </c>
      <c r="G1108" s="11" t="n">
        <f aca="false">G1104*G1107</f>
        <v>449.936837837425</v>
      </c>
    </row>
    <row r="1109" customFormat="false" ht="15" hidden="false" customHeight="false" outlineLevel="0" collapsed="false">
      <c r="A1109" s="5" t="s">
        <v>464</v>
      </c>
      <c r="B1109" s="0" t="s">
        <v>33</v>
      </c>
      <c r="C1109" s="11" t="n">
        <f aca="false">a25_sga</f>
        <v>121.487</v>
      </c>
      <c r="D1109" s="11" t="n">
        <f aca="false">D1108-D1090</f>
        <v>139.4833836</v>
      </c>
      <c r="E1109" s="11" t="n">
        <f aca="false">sg_f+sg_v*E1104</f>
        <v>149.393542877938</v>
      </c>
      <c r="F1109" s="11" t="n">
        <f aca="false">sg_f+sg_v*F1104</f>
        <v>157.655078606552</v>
      </c>
      <c r="G1109" s="11" t="n">
        <f aca="false">sg_f+sg_v*G1104</f>
        <v>161.554401577786</v>
      </c>
      <c r="J1109" s="8" t="s">
        <v>602</v>
      </c>
    </row>
    <row r="1110" customFormat="false" ht="15" hidden="false" customHeight="false" outlineLevel="0" collapsed="false">
      <c r="A1110" s="5" t="s">
        <v>432</v>
      </c>
      <c r="B1110" s="0" t="s">
        <v>33</v>
      </c>
      <c r="C1110" s="11" t="n">
        <f aca="false">C1108-C1109</f>
        <v>184.99</v>
      </c>
      <c r="D1110" s="11" t="n">
        <f aca="false">D1108-D1109</f>
        <v>238.5671</v>
      </c>
      <c r="E1110" s="11" t="n">
        <f aca="false">E1108-E1109</f>
        <v>259.619952117448</v>
      </c>
      <c r="F1110" s="11" t="n">
        <f aca="false">F1108-F1109</f>
        <v>279.110803267944</v>
      </c>
      <c r="G1110" s="11" t="n">
        <f aca="false">G1108-G1109</f>
        <v>288.382436259639</v>
      </c>
    </row>
    <row r="1111" customFormat="false" ht="15" hidden="false" customHeight="false" outlineLevel="0" collapsed="false">
      <c r="A1111" s="5" t="s">
        <v>603</v>
      </c>
      <c r="B1111" s="0" t="s">
        <v>60</v>
      </c>
      <c r="C1111" s="14" t="n">
        <f aca="false">C1110/C1104</f>
        <v>0.423425629851061</v>
      </c>
      <c r="D1111" s="14" t="n">
        <f aca="false">D1110/D1104</f>
        <v>0.445764670314743</v>
      </c>
      <c r="E1111" s="14" t="n">
        <f aca="false">E1110/E1104</f>
        <v>0.46378866213321</v>
      </c>
      <c r="F1111" s="14" t="n">
        <f aca="false">F1110/F1104</f>
        <v>0.471059638325586</v>
      </c>
      <c r="G1111" s="14" t="n">
        <f aca="false">G1110/G1104</f>
        <v>0.474338249927642</v>
      </c>
    </row>
    <row r="1112" customFormat="false" ht="15" hidden="false" customHeight="false" outlineLevel="0" collapsed="false">
      <c r="A1112" s="5" t="s">
        <v>435</v>
      </c>
      <c r="B1112" s="0" t="s">
        <v>33</v>
      </c>
      <c r="C1112" s="11" t="n">
        <f aca="false">a25_ni</f>
        <v>135.521</v>
      </c>
      <c r="D1112" s="11" t="n">
        <f aca="false">D1091</f>
        <v>167.95938138934</v>
      </c>
      <c r="E1112" s="11" t="n">
        <f aca="false">E1110*nioi</f>
        <v>187.231522816281</v>
      </c>
      <c r="F1112" s="11" t="n">
        <f aca="false">F1110*nioi</f>
        <v>201.287845191081</v>
      </c>
      <c r="G1112" s="11" t="n">
        <f aca="false">G1110*nioi</f>
        <v>207.974318822519</v>
      </c>
    </row>
    <row r="1113" customFormat="false" ht="15" hidden="false" customHeight="false" outlineLevel="0" collapsed="false">
      <c r="A1113" s="0" t="s">
        <v>524</v>
      </c>
      <c r="B1113" s="0" t="s">
        <v>55</v>
      </c>
      <c r="C1113" s="11" t="n">
        <f aca="false">a25_eps</f>
        <v>1249.84</v>
      </c>
      <c r="D1113" s="11" t="n">
        <f aca="false">D1112*1000/shares</f>
        <v>1548.28555816522</v>
      </c>
      <c r="E1113" s="11" t="n">
        <f aca="false">E1112*1000/shares</f>
        <v>1725.94028634669</v>
      </c>
      <c r="F1113" s="11" t="n">
        <f aca="false">F1112*1000/shares</f>
        <v>1855.5144771647</v>
      </c>
      <c r="G1113" s="11" t="n">
        <f aca="false">G1112*1000/shares</f>
        <v>1917.15182348602</v>
      </c>
    </row>
    <row r="1114" customFormat="false" ht="15" hidden="false" customHeight="false" outlineLevel="0" collapsed="false">
      <c r="A1114" s="5" t="s">
        <v>604</v>
      </c>
      <c r="B1114" s="0" t="s">
        <v>33</v>
      </c>
      <c r="C1114" s="16" t="n">
        <f aca="false">ABS(C1104-a25_rev)+ABS(C1110-a25_oi)+ABS(D1104-D1088)+ABS(D1110-D1090)</f>
        <v>0.000999999999976353</v>
      </c>
    </row>
    <row r="1115" customFormat="false" ht="15" hidden="false" customHeight="false" outlineLevel="0" collapsed="false">
      <c r="A1115" s="1" t="s">
        <v>605</v>
      </c>
    </row>
    <row r="1116" customFormat="false" ht="15" hidden="false" customHeight="false" outlineLevel="0" collapsed="false">
      <c r="A1116" s="5" t="s">
        <v>606</v>
      </c>
      <c r="B1116" s="0" t="s">
        <v>60</v>
      </c>
      <c r="C1116" s="14" t="n">
        <f aca="false">a25_gp/a25_rev</f>
        <v>0.701498549974936</v>
      </c>
      <c r="D1116" s="14" t="n">
        <f aca="false">gm_a+gm_b*LN(D1085)+0</f>
        <v>0.719493209417885</v>
      </c>
      <c r="E1116" s="14" t="n">
        <f aca="false">gm_a+gm_b*LN(E1085)+0</f>
        <v>0.726669883427154</v>
      </c>
      <c r="F1116" s="14" t="n">
        <f aca="false">gm_a+gm_b*LN(F1085)+0</f>
        <v>0.73314284686561</v>
      </c>
      <c r="G1116" s="14" t="n">
        <f aca="false">gm_a+gm_b*LN(G1085)+0</f>
        <v>0.735948396109158</v>
      </c>
    </row>
    <row r="1117" customFormat="false" ht="15" hidden="false" customHeight="false" outlineLevel="0" collapsed="false">
      <c r="A1117" s="5" t="s">
        <v>607</v>
      </c>
      <c r="B1117" s="0" t="s">
        <v>33</v>
      </c>
      <c r="C1117" s="11" t="n">
        <f aca="false">a25_oi</f>
        <v>184.989</v>
      </c>
      <c r="D1117" s="11" t="n">
        <f aca="false">D1085*D1116-sg_f-sg_v*D1085</f>
        <v>228.914699353509</v>
      </c>
      <c r="E1117" s="11" t="n">
        <f aca="false">E1085*E1116-sg_f-sg_v*E1085</f>
        <v>248.21976627487</v>
      </c>
      <c r="F1117" s="11" t="n">
        <f aca="false">F1085*F1116-sg_f-sg_v*F1085</f>
        <v>266.922848263324</v>
      </c>
      <c r="G1117" s="11" t="n">
        <f aca="false">G1085*G1116-sg_f-sg_v*G1085</f>
        <v>275.431417725533</v>
      </c>
    </row>
    <row r="1118" customFormat="false" ht="15" hidden="false" customHeight="false" outlineLevel="0" collapsed="false">
      <c r="A1118" s="0" t="s">
        <v>608</v>
      </c>
      <c r="B1118" s="0" t="s">
        <v>55</v>
      </c>
      <c r="C1118" s="11" t="n">
        <f aca="false">a25_eps</f>
        <v>1249.84</v>
      </c>
      <c r="D1118" s="11" t="n">
        <f aca="false">D1117*nioi_v01*1000/shares</f>
        <v>1545.89919269099</v>
      </c>
      <c r="E1118" s="11" t="n">
        <f aca="false">E1117*nioi_v01*1000/shares</f>
        <v>1676.26953348981</v>
      </c>
      <c r="F1118" s="11" t="n">
        <f aca="false">F1117*nioi_v01*1000/shares</f>
        <v>1802.57456950733</v>
      </c>
      <c r="G1118" s="11" t="n">
        <f aca="false">G1117*nioi_v01*1000/shares</f>
        <v>1860.03435998707</v>
      </c>
    </row>
    <row r="1130" customFormat="false" ht="15" hidden="false" customHeight="false" outlineLevel="0" collapsed="false">
      <c r="A1130" s="4" t="s">
        <v>836</v>
      </c>
    </row>
    <row r="1131" customFormat="false" ht="15" hidden="false" customHeight="false" outlineLevel="0" collapsed="false">
      <c r="A1131" s="6" t="s">
        <v>22</v>
      </c>
      <c r="B1131" s="6" t="s">
        <v>23</v>
      </c>
      <c r="C1131" s="9" t="s">
        <v>532</v>
      </c>
      <c r="D1131" s="9" t="s">
        <v>533</v>
      </c>
      <c r="E1131" s="9" t="s">
        <v>534</v>
      </c>
      <c r="F1131" s="9" t="s">
        <v>535</v>
      </c>
      <c r="G1131" s="9" t="s">
        <v>536</v>
      </c>
      <c r="H1131" s="9" t="s">
        <v>537</v>
      </c>
      <c r="I1131" s="9" t="s">
        <v>538</v>
      </c>
      <c r="J1131" s="6" t="s">
        <v>515</v>
      </c>
    </row>
    <row r="1132" customFormat="false" ht="15" hidden="false" customHeight="false" outlineLevel="0" collapsed="false">
      <c r="A1132" s="1" t="s">
        <v>539</v>
      </c>
    </row>
    <row r="1133" customFormat="false" ht="15" hidden="false" customHeight="false" outlineLevel="0" collapsed="false">
      <c r="A1133" s="0" t="s">
        <v>540</v>
      </c>
      <c r="B1133" s="0" t="s">
        <v>100</v>
      </c>
      <c r="C1133" s="19" t="n">
        <f aca="false">hsA_25</f>
        <v>2.22511470588235</v>
      </c>
      <c r="D1133" s="19" t="n">
        <f aca="false">hsA_26</f>
        <v>3.782695</v>
      </c>
      <c r="E1133" s="19" t="n">
        <f aca="false">hsA_27</f>
        <v>5.86317725</v>
      </c>
      <c r="F1133" s="19" t="n">
        <f aca="false">hsA_28</f>
        <v>8.5016070125</v>
      </c>
      <c r="G1133" s="19" t="n">
        <f aca="false">hsA_29</f>
        <v>11.477169466875</v>
      </c>
      <c r="H1133" s="19" t="n">
        <f aca="false">G1133*(1+g_tail)</f>
        <v>12.6248864135625</v>
      </c>
      <c r="I1133" s="19" t="n">
        <f aca="false">H1133*(1+g_tail)</f>
        <v>13.8873750549188</v>
      </c>
      <c r="J1133" s="8" t="s">
        <v>541</v>
      </c>
    </row>
    <row r="1134" customFormat="false" ht="15" hidden="false" customHeight="false" outlineLevel="0" collapsed="false">
      <c r="A1134" s="0" t="s">
        <v>542</v>
      </c>
      <c r="B1134" s="0" t="s">
        <v>543</v>
      </c>
      <c r="C1134" s="19" t="n">
        <f aca="false">den_25</f>
        <v>24</v>
      </c>
      <c r="D1134" s="19" t="n">
        <f aca="false">den_26</f>
        <v>24</v>
      </c>
      <c r="E1134" s="19" t="n">
        <f aca="false">den_27</f>
        <v>26</v>
      </c>
      <c r="F1134" s="19" t="n">
        <f aca="false">den_28</f>
        <v>28</v>
      </c>
      <c r="G1134" s="19" t="n">
        <f aca="false">den_29</f>
        <v>30</v>
      </c>
      <c r="H1134" s="19" t="n">
        <f aca="false">den_30</f>
        <v>32</v>
      </c>
      <c r="I1134" s="19" t="n">
        <f aca="false">den_30</f>
        <v>32</v>
      </c>
    </row>
    <row r="1135" customFormat="false" ht="15" hidden="false" customHeight="false" outlineLevel="0" collapsed="false">
      <c r="A1135" s="5" t="s">
        <v>544</v>
      </c>
      <c r="B1135" s="5" t="s">
        <v>152</v>
      </c>
      <c r="C1135" s="19" t="n">
        <f aca="false">stk_25</f>
        <v>10</v>
      </c>
      <c r="D1135" s="19" t="n">
        <f aca="false">stk_26</f>
        <v>12</v>
      </c>
      <c r="E1135" s="19" t="n">
        <f aca="false">stk_27</f>
        <v>12.5</v>
      </c>
      <c r="F1135" s="19" t="n">
        <f aca="false">stk_28</f>
        <v>14</v>
      </c>
      <c r="G1135" s="19" t="n">
        <f aca="false">stk_29</f>
        <v>15</v>
      </c>
      <c r="H1135" s="19" t="n">
        <f aca="false">stk_30</f>
        <v>16</v>
      </c>
      <c r="I1135" s="19" t="n">
        <f aca="false">stk_30</f>
        <v>16</v>
      </c>
    </row>
    <row r="1136" customFormat="false" ht="15" hidden="false" customHeight="false" outlineLevel="0" collapsed="false">
      <c r="A1136" s="0" t="s">
        <v>545</v>
      </c>
      <c r="B1136" s="5" t="s">
        <v>546</v>
      </c>
      <c r="C1136" s="19" t="n">
        <f aca="false">C1133*8/C1134</f>
        <v>0.741704901960783</v>
      </c>
      <c r="D1136" s="19" t="n">
        <f aca="false">D1133*8/D1134</f>
        <v>1.26089833333333</v>
      </c>
      <c r="E1136" s="19" t="n">
        <f aca="false">E1133*8/E1134</f>
        <v>1.80405453846154</v>
      </c>
      <c r="F1136" s="19" t="n">
        <f aca="false">F1133*8/F1134</f>
        <v>2.429030575</v>
      </c>
      <c r="G1136" s="19" t="n">
        <f aca="false">G1133*8/G1134</f>
        <v>3.0605785245</v>
      </c>
      <c r="H1136" s="19" t="n">
        <f aca="false">H1133*8/H1134</f>
        <v>3.15622160339063</v>
      </c>
      <c r="I1136" s="19" t="n">
        <f aca="false">I1133*8/I1134</f>
        <v>3.47184376372969</v>
      </c>
      <c r="J1136" s="8" t="s">
        <v>547</v>
      </c>
    </row>
    <row r="1137" customFormat="false" ht="15" hidden="false" customHeight="false" outlineLevel="0" collapsed="false">
      <c r="A1137" s="0" t="s">
        <v>548</v>
      </c>
      <c r="B1137" s="5" t="s">
        <v>549</v>
      </c>
      <c r="C1137" s="19" t="n">
        <f aca="false">C1136*(1+s_stk_hi/C1135)</f>
        <v>1.0383868627451</v>
      </c>
      <c r="D1137" s="19" t="n">
        <f aca="false">D1136*(1+s_stk_hi/D1135)</f>
        <v>1.68119777777778</v>
      </c>
      <c r="E1137" s="19" t="n">
        <f aca="false">E1136*(1+s_stk_hi/E1135)</f>
        <v>2.38135199076923</v>
      </c>
      <c r="F1137" s="19" t="n">
        <f aca="false">F1136*(1+s_stk_hi/F1135)</f>
        <v>3.12303931071429</v>
      </c>
      <c r="G1137" s="19" t="n">
        <f aca="false">G1136*(1+s_stk_hi/G1135)</f>
        <v>3.8767327977</v>
      </c>
      <c r="H1137" s="19" t="n">
        <f aca="false">H1136*(1+s_stk_hi/H1135)</f>
        <v>3.94527700423828</v>
      </c>
      <c r="I1137" s="19" t="n">
        <f aca="false">I1136*(1+s_stk_hi/I1135)</f>
        <v>4.33980470466211</v>
      </c>
      <c r="J1137" s="5" t="s">
        <v>550</v>
      </c>
    </row>
    <row r="1138" customFormat="false" ht="15" hidden="false" customHeight="false" outlineLevel="0" collapsed="false">
      <c r="A1138" s="5" t="s">
        <v>551</v>
      </c>
      <c r="B1138" s="0" t="s">
        <v>60</v>
      </c>
      <c r="C1138" s="22" t="n">
        <f aca="false">hbp_25*hb_on</f>
        <v>0</v>
      </c>
      <c r="D1138" s="22" t="n">
        <f aca="false">hbp_26*hb_on</f>
        <v>0</v>
      </c>
      <c r="E1138" s="22" t="n">
        <f aca="false">hbp_27*hb_on</f>
        <v>0</v>
      </c>
      <c r="F1138" s="22" t="n">
        <f aca="false">hbp_28*hb_on</f>
        <v>0.05</v>
      </c>
      <c r="G1138" s="22" t="n">
        <f aca="false">hbp_29*hb_on</f>
        <v>0.15</v>
      </c>
      <c r="H1138" s="22" t="n">
        <f aca="false">hbp_30*hb_on</f>
        <v>0.25</v>
      </c>
      <c r="I1138" s="22" t="n">
        <f aca="false">hbp_30*hb_on</f>
        <v>0.25</v>
      </c>
    </row>
    <row r="1139" customFormat="false" ht="15" hidden="false" customHeight="false" outlineLevel="0" collapsed="false">
      <c r="A1139" s="0" t="s">
        <v>552</v>
      </c>
      <c r="B1139" s="5" t="s">
        <v>549</v>
      </c>
      <c r="C1139" s="19" t="n">
        <f aca="false">C1137*(1+C1138*hb_eff)</f>
        <v>1.0383868627451</v>
      </c>
      <c r="D1139" s="19" t="n">
        <f aca="false">D1137*(1+D1138*hb_eff)</f>
        <v>1.68119777777778</v>
      </c>
      <c r="E1139" s="19" t="n">
        <f aca="false">E1137*(1+E1138*hb_eff)</f>
        <v>2.38135199076923</v>
      </c>
      <c r="F1139" s="19" t="n">
        <f aca="false">F1137*(1+F1138*hb_eff)</f>
        <v>3.13865450726786</v>
      </c>
      <c r="G1139" s="19" t="n">
        <f aca="false">G1137*(1+G1138*hb_eff)</f>
        <v>3.9348837896655</v>
      </c>
      <c r="H1139" s="19" t="n">
        <f aca="false">H1137*(1+H1138*hb_eff)</f>
        <v>4.04390892934424</v>
      </c>
      <c r="I1139" s="19" t="n">
        <f aca="false">I1137*(1+I1138*hb_eff)</f>
        <v>4.44829982227866</v>
      </c>
      <c r="J1139" s="5" t="s">
        <v>553</v>
      </c>
    </row>
    <row r="1140" customFormat="false" ht="15" hidden="false" customHeight="false" outlineLevel="0" collapsed="false">
      <c r="A1140" s="0" t="s">
        <v>554</v>
      </c>
      <c r="B1140" s="5" t="s">
        <v>549</v>
      </c>
      <c r="C1140" s="19" t="n">
        <f aca="false">MAX(0,D1139-C1139)+dlt*C1139</f>
        <v>0.746649601307191</v>
      </c>
      <c r="D1140" s="19" t="n">
        <f aca="false">MAX(0,E1139-D1139)+dlt*D1139</f>
        <v>0.868273990769231</v>
      </c>
      <c r="E1140" s="19" t="n">
        <f aca="false">MAX(0,F1139-E1139)+dlt*E1139</f>
        <v>0.995437715575548</v>
      </c>
      <c r="F1140" s="19" t="n">
        <f aca="false">MAX(0,G1139-F1139)+dlt*F1139</f>
        <v>1.11009473312443</v>
      </c>
      <c r="G1140" s="19" t="n">
        <f aca="false">MAX(0,H1139-G1139)+dlt*G1139</f>
        <v>0.502513518645288</v>
      </c>
      <c r="H1140" s="19" t="n">
        <f aca="false">MAX(0,I1139-H1139)+dlt*H1139</f>
        <v>0.808781785868848</v>
      </c>
      <c r="J1140" s="5" t="s">
        <v>555</v>
      </c>
    </row>
    <row r="1141" customFormat="false" ht="15" hidden="false" customHeight="false" outlineLevel="0" collapsed="false">
      <c r="A1141" s="0" t="s">
        <v>556</v>
      </c>
      <c r="B1141" s="5" t="s">
        <v>181</v>
      </c>
      <c r="C1141" s="21" t="n">
        <f aca="false">cw_25</f>
        <v>670</v>
      </c>
      <c r="D1141" s="21" t="n">
        <f aca="false">cw_26</f>
        <v>1107.85762580894</v>
      </c>
      <c r="E1141" s="21" t="n">
        <f aca="false">cw_27</f>
        <v>2096.42857142857</v>
      </c>
      <c r="F1141" s="21" t="n">
        <f aca="false">cw_28*um28_A</f>
        <v>2620.08928571429</v>
      </c>
      <c r="G1141" s="21" t="n">
        <f aca="false">cw_29*um29_A</f>
        <v>3013.32589285714</v>
      </c>
      <c r="H1141" s="21" t="n">
        <f aca="false">G1141*(1+g_tail)</f>
        <v>3314.65848214285</v>
      </c>
      <c r="I1141" s="21" t="n">
        <f aca="false">H1141*(1+g_tail)</f>
        <v>3646.12433035714</v>
      </c>
      <c r="J1141" s="5" t="s">
        <v>557</v>
      </c>
    </row>
    <row r="1142" customFormat="false" ht="15" hidden="false" customHeight="false" outlineLevel="0" collapsed="false">
      <c r="A1142" s="5" t="s">
        <v>558</v>
      </c>
      <c r="B1142" s="5" t="s">
        <v>181</v>
      </c>
      <c r="C1142" s="21" t="n">
        <f aca="false">MAX(0,D1141-C1141)+dlt*C1141</f>
        <v>504.85762580894</v>
      </c>
      <c r="D1142" s="21" t="n">
        <f aca="false">MAX(0,E1141-D1141)+dlt*D1141</f>
        <v>1099.35670820052</v>
      </c>
      <c r="E1142" s="21" t="n">
        <f aca="false">MAX(0,F1141-E1141)+dlt*E1141</f>
        <v>733.303571428577</v>
      </c>
      <c r="F1142" s="21" t="n">
        <f aca="false">MAX(0,G1141-F1141)+dlt*F1141</f>
        <v>655.245535714279</v>
      </c>
      <c r="G1142" s="21" t="n">
        <f aca="false">MAX(0,H1141-G1141)+dlt*G1141</f>
        <v>602.665178571428</v>
      </c>
      <c r="H1142" s="21" t="n">
        <f aca="false">MAX(0,I1141-H1141)+dlt*H1141</f>
        <v>662.931696428571</v>
      </c>
    </row>
    <row r="1143" customFormat="false" ht="15" hidden="false" customHeight="false" outlineLevel="0" collapsed="false">
      <c r="A1143" s="1" t="s">
        <v>559</v>
      </c>
    </row>
    <row r="1144" customFormat="false" ht="15" hidden="false" customHeight="false" outlineLevel="0" collapsed="false">
      <c r="A1144" s="0" t="s">
        <v>560</v>
      </c>
      <c r="B1144" s="0" t="s">
        <v>561</v>
      </c>
      <c r="C1144" s="16" t="n">
        <f aca="false">ai_25*w_hbm/(0.75*C1140+0.25*D1140)</f>
        <v>46.3287252914972</v>
      </c>
      <c r="J1144" s="5" t="s">
        <v>562</v>
      </c>
    </row>
    <row r="1145" customFormat="false" ht="15" hidden="false" customHeight="false" outlineLevel="0" collapsed="false">
      <c r="A1145" s="5" t="s">
        <v>563</v>
      </c>
      <c r="B1145" s="0" t="s">
        <v>564</v>
      </c>
      <c r="C1145" s="18" t="n">
        <f aca="false">ai_25*(1-w_hbm)/(0.75*C1142+0.25*D1142)</f>
        <v>0.0596802610360141</v>
      </c>
    </row>
    <row r="1146" customFormat="false" ht="15" hidden="false" customHeight="false" outlineLevel="0" collapsed="false">
      <c r="A1146" s="1" t="s">
        <v>565</v>
      </c>
    </row>
    <row r="1147" customFormat="false" ht="15" hidden="false" customHeight="false" outlineLevel="0" collapsed="false">
      <c r="A1147" s="5" t="s">
        <v>566</v>
      </c>
      <c r="B1147" s="0" t="s">
        <v>80</v>
      </c>
      <c r="C1147" s="16" t="n">
        <f aca="false">1-sh_loss/sh*0</f>
        <v>1</v>
      </c>
      <c r="D1147" s="16" t="n">
        <f aca="false">1-sh_loss/sh*0.25</f>
        <v>1</v>
      </c>
      <c r="E1147" s="16" t="n">
        <f aca="false">1-sh_loss/sh*0.5</f>
        <v>1</v>
      </c>
      <c r="F1147" s="16" t="n">
        <f aca="false">1-sh_loss/sh*0.75</f>
        <v>1</v>
      </c>
      <c r="G1147" s="16" t="n">
        <f aca="false">1-sh_loss/sh*1</f>
        <v>1</v>
      </c>
    </row>
    <row r="1148" customFormat="false" ht="15" hidden="false" customHeight="false" outlineLevel="0" collapsed="false">
      <c r="A1148" s="0" t="s">
        <v>567</v>
      </c>
      <c r="B1148" s="0" t="s">
        <v>33</v>
      </c>
      <c r="C1148" s="11" t="n">
        <f aca="false">$C$1144*(0.75*C1140+0.25*D1140)*C1147</f>
        <v>36</v>
      </c>
      <c r="D1148" s="11" t="n">
        <f aca="false">$C$1144*(0.75*D1140+0.25*E1140)*D1147</f>
        <v>41.6988605144986</v>
      </c>
      <c r="E1148" s="11" t="n">
        <f aca="false">$C$1144*(0.75*E1140+0.25*F1140)*E1147</f>
        <v>47.4453388368863</v>
      </c>
      <c r="F1148" s="11" t="n">
        <f aca="false">$C$1144*(0.75*F1140+0.25*G1140)*F1147</f>
        <v>44.39215814399</v>
      </c>
      <c r="G1148" s="11" t="n">
        <f aca="false">$C$1144*(0.75*G1140+0.25*H1140)*G1147</f>
        <v>26.828065365007</v>
      </c>
    </row>
    <row r="1149" customFormat="false" ht="15" hidden="false" customHeight="false" outlineLevel="0" collapsed="false">
      <c r="A1149" s="5" t="s">
        <v>568</v>
      </c>
      <c r="B1149" s="0" t="s">
        <v>33</v>
      </c>
      <c r="C1149" s="11" t="n">
        <f aca="false">$C$1145*(0.75*C1142+0.25*D1142)*C1147</f>
        <v>39</v>
      </c>
      <c r="D1149" s="11" t="n">
        <f aca="false">$C$1145*(0.75*D1142+0.25*E1142)*D1147</f>
        <v>60.1483586282001</v>
      </c>
      <c r="E1149" s="11" t="n">
        <f aca="false">$C$1145*(0.75*E1142+0.25*F1142)*E1147</f>
        <v>42.5991175746519</v>
      </c>
      <c r="F1149" s="11" t="n">
        <f aca="false">$C$1145*(0.75*F1142+0.25*G1142)*F1147</f>
        <v>38.320722254198</v>
      </c>
      <c r="G1149" s="11" t="n">
        <f aca="false">$C$1145*(0.75*G1142+0.25*H1142)*G1147</f>
        <v>36.8663955538204</v>
      </c>
    </row>
    <row r="1150" customFormat="false" ht="15" hidden="false" customHeight="false" outlineLevel="0" collapsed="false">
      <c r="A1150" s="0" t="s">
        <v>569</v>
      </c>
      <c r="B1150" s="0" t="s">
        <v>33</v>
      </c>
      <c r="C1150" s="11" t="n">
        <f aca="false">C1148+C1149</f>
        <v>75</v>
      </c>
      <c r="D1150" s="11" t="n">
        <f aca="false">D1148+D1149</f>
        <v>101.847219142699</v>
      </c>
      <c r="E1150" s="11" t="n">
        <f aca="false">E1148+E1149</f>
        <v>90.0444564115382</v>
      </c>
      <c r="F1150" s="11" t="n">
        <f aca="false">F1148+F1149</f>
        <v>82.712880398188</v>
      </c>
      <c r="G1150" s="11" t="n">
        <f aca="false">G1148+G1149</f>
        <v>63.6944609188274</v>
      </c>
    </row>
    <row r="1151" customFormat="false" ht="15" hidden="false" customHeight="false" outlineLevel="0" collapsed="false">
      <c r="A1151" s="5" t="s">
        <v>570</v>
      </c>
      <c r="B1151" s="0" t="s">
        <v>33</v>
      </c>
      <c r="C1151" s="11" t="n">
        <f aca="false">eq_25-ai_25</f>
        <v>195.87118</v>
      </c>
      <c r="D1151" s="11" t="n">
        <f aca="false">C1151*(1+g_non)*D1147/C1147</f>
        <v>207.6234508</v>
      </c>
      <c r="E1151" s="11" t="n">
        <f aca="false">D1151*(1+g_non)*E1147/D1147</f>
        <v>220.080857848</v>
      </c>
      <c r="F1151" s="11" t="n">
        <f aca="false">E1151*(1+g_non)*F1147/E1147</f>
        <v>233.28570931888</v>
      </c>
      <c r="G1151" s="11" t="n">
        <f aca="false">F1151*(1+g_non)*G1147/F1147</f>
        <v>247.282851878013</v>
      </c>
    </row>
    <row r="1152" customFormat="false" ht="15" hidden="false" customHeight="false" outlineLevel="0" collapsed="false">
      <c r="A1152" s="0" t="s">
        <v>571</v>
      </c>
      <c r="B1152" s="0" t="s">
        <v>80</v>
      </c>
      <c r="C1152" s="19" t="n">
        <f aca="false">w_hbm*(0.75*C1139+0.25*D1139)/(0.75*C1139+0.25*D1139)+(1-w_hbm)*(0.75*C1141+0.25*D1141)/(0.75*C1141+0.25*D1141)</f>
        <v>1</v>
      </c>
      <c r="D1152" s="19" t="n">
        <f aca="false">w_hbm*(0.75*D1139+0.25*E1139)/(0.75*C1139+0.25*D1139)+(1-w_hbm)*(0.75*D1141+0.25*E1141)/(0.75*C1141+0.25*D1141)</f>
        <v>1.64701255381901</v>
      </c>
      <c r="E1152" s="19" t="n">
        <f aca="false">w_hbm*(0.75*E1139+0.25*F1139)/(0.75*C1139+0.25*D1139)+(1-w_hbm)*(0.75*E1141+0.25*F1141)/(0.75*C1141+0.25*D1141)</f>
        <v>2.51496791264581</v>
      </c>
      <c r="F1152" s="19" t="n">
        <f aca="false">w_hbm*(0.75*F1139+0.25*G1139)/(0.75*C1139+0.25*D1139)+(1-w_hbm)*(0.75*F1141+0.25*G1141)/(0.75*C1141+0.25*D1141)</f>
        <v>3.14960928139669</v>
      </c>
      <c r="G1152" s="19" t="n">
        <f aca="false">w_hbm*(0.75*G1139+0.25*H1139)/(0.75*C1139+0.25*D1139)+(1-w_hbm)*(0.75*G1141+0.25*H1141)/(0.75*C1141+0.25*D1141)</f>
        <v>3.64658023216985</v>
      </c>
      <c r="J1152" s="8" t="s">
        <v>572</v>
      </c>
    </row>
    <row r="1153" customFormat="false" ht="15" hidden="false" customHeight="false" outlineLevel="0" collapsed="false">
      <c r="A1153" s="0" t="s">
        <v>573</v>
      </c>
      <c r="B1153" s="0" t="s">
        <v>33</v>
      </c>
      <c r="C1153" s="11" t="n">
        <f aca="false">tl_25*w_tlai*C1152</f>
        <v>25.4032258064516</v>
      </c>
      <c r="D1153" s="11" t="n">
        <f aca="false">tl_25*w_tlai*D1152</f>
        <v>41.839431810725</v>
      </c>
      <c r="E1153" s="11" t="n">
        <f aca="false">tl_25*w_tlai*E1152</f>
        <v>63.8882977809219</v>
      </c>
      <c r="F1153" s="11" t="n">
        <f aca="false">tl_25*w_tlai*F1152</f>
        <v>80.0102357774158</v>
      </c>
      <c r="G1153" s="11" t="n">
        <f aca="false">tl_25*w_tlai*G1152</f>
        <v>92.6349010591534</v>
      </c>
      <c r="J1153" s="5" t="s">
        <v>574</v>
      </c>
    </row>
    <row r="1154" customFormat="false" ht="15" hidden="false" customHeight="false" outlineLevel="0" collapsed="false">
      <c r="A1154" s="5" t="s">
        <v>575</v>
      </c>
      <c r="B1154" s="0" t="s">
        <v>33</v>
      </c>
      <c r="C1154" s="11" t="n">
        <f aca="false">tl_25*(1-w_tlai)</f>
        <v>66.3434641935484</v>
      </c>
      <c r="D1154" s="11" t="n">
        <f aca="false">C1154*(1+g_tl)</f>
        <v>69.6606374032258</v>
      </c>
      <c r="E1154" s="11" t="n">
        <f aca="false">D1154*(1+g_tl)</f>
        <v>73.1436692733871</v>
      </c>
      <c r="F1154" s="11" t="n">
        <f aca="false">E1154*(1+g_tl)</f>
        <v>76.8008527370565</v>
      </c>
      <c r="G1154" s="11" t="n">
        <f aca="false">F1154*(1+g_tl)</f>
        <v>80.6408953739093</v>
      </c>
    </row>
    <row r="1155" customFormat="false" ht="15" hidden="false" customHeight="false" outlineLevel="0" collapsed="false">
      <c r="A1155" s="5" t="s">
        <v>576</v>
      </c>
      <c r="B1155" s="0" t="s">
        <v>33</v>
      </c>
      <c r="C1155" s="11" t="n">
        <f aca="false">(C1150+C1151+C1153+C1154)*(1+r_ot)</f>
        <v>436.889</v>
      </c>
      <c r="D1155" s="11" t="n">
        <f aca="false">(D1150+D1151+D1153+D1154)*(1+r_ot)</f>
        <v>507.193661634517</v>
      </c>
      <c r="E1155" s="11" t="n">
        <f aca="false">(E1150+E1151+E1153+E1154)*(1+r_ot)</f>
        <v>538.743712426322</v>
      </c>
      <c r="F1155" s="11" t="n">
        <f aca="false">(F1150+F1151+F1153+F1154)*(1+r_ot)</f>
        <v>569.650214736796</v>
      </c>
      <c r="G1155" s="11" t="n">
        <f aca="false">(G1150+G1151+G1153+G1154)*(1+r_ot)</f>
        <v>583.437480999883</v>
      </c>
      <c r="J1155" s="8" t="s">
        <v>577</v>
      </c>
    </row>
    <row r="1156" customFormat="false" ht="15" hidden="false" customHeight="false" outlineLevel="0" collapsed="false">
      <c r="A1156" s="1" t="s">
        <v>578</v>
      </c>
    </row>
    <row r="1157" customFormat="false" ht="15" hidden="false" customHeight="false" outlineLevel="0" collapsed="false">
      <c r="A1157" s="5" t="s">
        <v>579</v>
      </c>
      <c r="B1157" s="0" t="s">
        <v>33</v>
      </c>
      <c r="D1157" s="11" t="n">
        <f aca="false">g3_rev*(1+g_q4)</f>
        <v>145.6862</v>
      </c>
    </row>
    <row r="1158" customFormat="false" ht="15" hidden="false" customHeight="false" outlineLevel="0" collapsed="false">
      <c r="A1158" s="0" t="s">
        <v>580</v>
      </c>
      <c r="B1158" s="0" t="s">
        <v>33</v>
      </c>
      <c r="D1158" s="11" t="n">
        <f aca="false">q26h1_rev+g3_rev+D1157</f>
        <v>535.1862</v>
      </c>
    </row>
    <row r="1159" customFormat="false" ht="15" hidden="false" customHeight="false" outlineLevel="0" collapsed="false">
      <c r="A1159" s="0" t="s">
        <v>581</v>
      </c>
      <c r="B1159" s="0" t="s">
        <v>33</v>
      </c>
      <c r="D1159" s="11" t="n">
        <f aca="false">q26h1_gp+(g3_rev+D1157)*gm_q3</f>
        <v>378.0504836</v>
      </c>
    </row>
    <row r="1160" customFormat="false" ht="15" hidden="false" customHeight="false" outlineLevel="0" collapsed="false">
      <c r="A1160" s="0" t="s">
        <v>582</v>
      </c>
      <c r="B1160" s="0" t="s">
        <v>33</v>
      </c>
      <c r="D1160" s="11" t="n">
        <f aca="false">q26h1_oi+g3_oi+D1157*m_q4</f>
        <v>238.5671</v>
      </c>
    </row>
    <row r="1161" customFormat="false" ht="15" hidden="false" customHeight="false" outlineLevel="0" collapsed="false">
      <c r="A1161" s="0" t="s">
        <v>583</v>
      </c>
      <c r="B1161" s="0" t="s">
        <v>33</v>
      </c>
      <c r="D1161" s="11" t="n">
        <f aca="false">q26h1_ni+g3_ni+D1157*m_q4*nioi</f>
        <v>167.95938138934</v>
      </c>
    </row>
    <row r="1162" customFormat="false" ht="15" hidden="false" customHeight="false" outlineLevel="0" collapsed="false">
      <c r="A1162" s="5" t="s">
        <v>584</v>
      </c>
      <c r="B1162" s="0" t="s">
        <v>80</v>
      </c>
      <c r="D1162" s="16" t="n">
        <f aca="false">D1158/D1155</f>
        <v>1.05519102560405</v>
      </c>
      <c r="J1162" s="8" t="s">
        <v>585</v>
      </c>
    </row>
    <row r="1163" customFormat="false" ht="15" hidden="false" customHeight="false" outlineLevel="0" collapsed="false">
      <c r="A1163" s="5" t="s">
        <v>586</v>
      </c>
      <c r="B1163" s="0" t="s">
        <v>80</v>
      </c>
      <c r="D1163" s="16" t="n">
        <f aca="false">1+anc_carry*(D1162-1)</f>
        <v>1.05519102560405</v>
      </c>
      <c r="J1163" s="8" t="s">
        <v>587</v>
      </c>
    </row>
    <row r="1164" customFormat="false" ht="15" hidden="false" customHeight="false" outlineLevel="0" collapsed="false">
      <c r="A1164" s="1" t="s">
        <v>588</v>
      </c>
    </row>
    <row r="1165" customFormat="false" ht="15" hidden="false" customHeight="false" outlineLevel="0" collapsed="false">
      <c r="A1165" s="0" t="s">
        <v>589</v>
      </c>
      <c r="B1165" s="0" t="s">
        <v>33</v>
      </c>
      <c r="C1165" s="11" t="n">
        <f aca="false">C1148*1</f>
        <v>36</v>
      </c>
      <c r="D1165" s="11" t="n">
        <f aca="false">D1148*$D$1162</f>
        <v>44.000263392814</v>
      </c>
      <c r="E1165" s="11" t="n">
        <f aca="false">E1148*1</f>
        <v>47.4453388368863</v>
      </c>
      <c r="F1165" s="11" t="n">
        <f aca="false">F1148*1</f>
        <v>44.39215814399</v>
      </c>
      <c r="G1165" s="11" t="n">
        <f aca="false">G1148*1</f>
        <v>26.828065365007</v>
      </c>
    </row>
    <row r="1166" customFormat="false" ht="15" hidden="false" customHeight="false" outlineLevel="0" collapsed="false">
      <c r="A1166" s="5" t="s">
        <v>590</v>
      </c>
      <c r="B1166" s="0" t="s">
        <v>33</v>
      </c>
      <c r="C1166" s="11" t="n">
        <f aca="false">C1149*1</f>
        <v>39</v>
      </c>
      <c r="D1166" s="11" t="n">
        <f aca="false">D1149*$D$1162</f>
        <v>63.4680082292906</v>
      </c>
      <c r="E1166" s="11" t="n">
        <f aca="false">E1149*1</f>
        <v>42.5991175746519</v>
      </c>
      <c r="F1166" s="11" t="n">
        <f aca="false">F1149*1</f>
        <v>38.320722254198</v>
      </c>
      <c r="G1166" s="11" t="n">
        <f aca="false">G1149*1</f>
        <v>36.8663955538204</v>
      </c>
    </row>
    <row r="1167" customFormat="false" ht="15" hidden="false" customHeight="false" outlineLevel="0" collapsed="false">
      <c r="A1167" s="0" t="s">
        <v>591</v>
      </c>
      <c r="B1167" s="0" t="s">
        <v>33</v>
      </c>
      <c r="C1167" s="11" t="n">
        <f aca="false">C1165+C1166</f>
        <v>75</v>
      </c>
      <c r="D1167" s="11" t="n">
        <f aca="false">D1165+D1166</f>
        <v>107.468271622105</v>
      </c>
      <c r="E1167" s="11" t="n">
        <f aca="false">E1165+E1166</f>
        <v>90.0444564115382</v>
      </c>
      <c r="F1167" s="11" t="n">
        <f aca="false">F1165+F1166</f>
        <v>82.712880398188</v>
      </c>
      <c r="G1167" s="11" t="n">
        <f aca="false">G1165+G1166</f>
        <v>63.6944609188274</v>
      </c>
    </row>
    <row r="1168" customFormat="false" ht="15" hidden="false" customHeight="false" outlineLevel="0" collapsed="false">
      <c r="A1168" s="5" t="s">
        <v>592</v>
      </c>
      <c r="B1168" s="0" t="s">
        <v>33</v>
      </c>
      <c r="C1168" s="11" t="n">
        <f aca="false">C1151*1</f>
        <v>195.87118</v>
      </c>
      <c r="D1168" s="11" t="n">
        <f aca="false">D1151*$D$1162</f>
        <v>219.082401989104</v>
      </c>
      <c r="E1168" s="11" t="n">
        <f aca="false">E1151*$D$1163</f>
        <v>232.22734610845</v>
      </c>
      <c r="F1168" s="11" t="n">
        <f aca="false">F1151*$D$1163</f>
        <v>246.160986874957</v>
      </c>
      <c r="G1168" s="11" t="n">
        <f aca="false">G1151*$D$1163</f>
        <v>260.930646087455</v>
      </c>
    </row>
    <row r="1169" customFormat="false" ht="15" hidden="false" customHeight="false" outlineLevel="0" collapsed="false">
      <c r="A1169" s="5" t="s">
        <v>593</v>
      </c>
      <c r="B1169" s="0" t="s">
        <v>33</v>
      </c>
      <c r="C1169" s="11" t="n">
        <f aca="false">C1167+C1168</f>
        <v>270.87118</v>
      </c>
      <c r="D1169" s="11" t="n">
        <f aca="false">D1167+D1168</f>
        <v>326.550673611209</v>
      </c>
      <c r="E1169" s="11" t="n">
        <f aca="false">E1167+E1168</f>
        <v>322.271802519989</v>
      </c>
      <c r="F1169" s="11" t="n">
        <f aca="false">F1167+F1168</f>
        <v>328.873867273145</v>
      </c>
      <c r="G1169" s="11" t="n">
        <f aca="false">G1167+G1168</f>
        <v>324.625107006282</v>
      </c>
    </row>
    <row r="1170" customFormat="false" ht="15" hidden="false" customHeight="false" outlineLevel="0" collapsed="false">
      <c r="A1170" s="0" t="s">
        <v>594</v>
      </c>
      <c r="B1170" s="0" t="s">
        <v>33</v>
      </c>
      <c r="C1170" s="11" t="n">
        <f aca="false">C1153*1</f>
        <v>25.4032258064516</v>
      </c>
      <c r="D1170" s="11" t="n">
        <f aca="false">D1153*$D$1162</f>
        <v>44.1485929630496</v>
      </c>
      <c r="E1170" s="11" t="n">
        <f aca="false">E1153*1</f>
        <v>63.8882977809219</v>
      </c>
      <c r="F1170" s="11" t="n">
        <f aca="false">F1153*1</f>
        <v>80.0102357774158</v>
      </c>
      <c r="G1170" s="11" t="n">
        <f aca="false">G1153*1</f>
        <v>92.6349010591534</v>
      </c>
    </row>
    <row r="1171" customFormat="false" ht="15" hidden="false" customHeight="false" outlineLevel="0" collapsed="false">
      <c r="A1171" s="5" t="s">
        <v>595</v>
      </c>
      <c r="B1171" s="0" t="s">
        <v>33</v>
      </c>
      <c r="C1171" s="11" t="n">
        <f aca="false">C1154*1</f>
        <v>66.3434641935484</v>
      </c>
      <c r="D1171" s="11" t="n">
        <f aca="false">D1154*$D$1162</f>
        <v>73.5052794257417</v>
      </c>
      <c r="E1171" s="11" t="n">
        <f aca="false">E1154*$D$1163</f>
        <v>77.1805433970288</v>
      </c>
      <c r="F1171" s="11" t="n">
        <f aca="false">F1154*$D$1163</f>
        <v>81.0395705668802</v>
      </c>
      <c r="G1171" s="11" t="n">
        <f aca="false">G1154*$D$1163</f>
        <v>85.0915490952243</v>
      </c>
    </row>
    <row r="1172" customFormat="false" ht="15" hidden="false" customHeight="false" outlineLevel="0" collapsed="false">
      <c r="A1172" s="5" t="s">
        <v>596</v>
      </c>
      <c r="B1172" s="0" t="s">
        <v>33</v>
      </c>
      <c r="C1172" s="11" t="n">
        <f aca="false">C1170+C1171</f>
        <v>91.74669</v>
      </c>
      <c r="D1172" s="11" t="n">
        <f aca="false">D1170+D1171</f>
        <v>117.653872388791</v>
      </c>
      <c r="E1172" s="11" t="n">
        <f aca="false">E1170+E1171</f>
        <v>141.068841177951</v>
      </c>
      <c r="F1172" s="11" t="n">
        <f aca="false">F1170+F1171</f>
        <v>161.049806344296</v>
      </c>
      <c r="G1172" s="11" t="n">
        <f aca="false">G1170+G1171</f>
        <v>177.726450154378</v>
      </c>
    </row>
    <row r="1173" customFormat="false" ht="15" hidden="false" customHeight="false" outlineLevel="0" collapsed="false">
      <c r="A1173" s="5" t="s">
        <v>458</v>
      </c>
      <c r="B1173" s="0" t="s">
        <v>33</v>
      </c>
      <c r="C1173" s="11" t="n">
        <f aca="false">r_ot*(C1169+C1172)</f>
        <v>74.27113</v>
      </c>
      <c r="D1173" s="11" t="n">
        <f aca="false">r_ot*(D1169+D1172)</f>
        <v>90.9816540000001</v>
      </c>
      <c r="E1173" s="11" t="n">
        <f aca="false">r_ot*(E1169+E1172)</f>
        <v>94.9010956971683</v>
      </c>
      <c r="F1173" s="11" t="n">
        <f aca="false">r_ot*(F1169+F1172)</f>
        <v>100.345812668633</v>
      </c>
      <c r="G1173" s="11" t="n">
        <f aca="false">r_ot*(G1169+G1172)</f>
        <v>102.891282791942</v>
      </c>
    </row>
    <row r="1174" customFormat="false" ht="15" hidden="false" customHeight="false" outlineLevel="0" collapsed="false">
      <c r="A1174" s="5" t="s">
        <v>428</v>
      </c>
      <c r="B1174" s="0" t="s">
        <v>33</v>
      </c>
      <c r="C1174" s="11" t="n">
        <f aca="false">C1169+C1172+C1173</f>
        <v>436.889</v>
      </c>
      <c r="D1174" s="11" t="n">
        <f aca="false">D1169+D1172+D1173</f>
        <v>535.1862</v>
      </c>
      <c r="E1174" s="11" t="n">
        <f aca="false">E1169+E1172+E1173</f>
        <v>558.241739395108</v>
      </c>
      <c r="F1174" s="11" t="n">
        <f aca="false">F1169+F1172+F1173</f>
        <v>590.269486286074</v>
      </c>
      <c r="G1174" s="11" t="n">
        <f aca="false">G1169+G1172+G1173</f>
        <v>605.242839952602</v>
      </c>
      <c r="J1174" s="8" t="s">
        <v>597</v>
      </c>
    </row>
    <row r="1175" customFormat="false" ht="15" hidden="false" customHeight="false" outlineLevel="0" collapsed="false">
      <c r="A1175" s="0" t="s">
        <v>598</v>
      </c>
      <c r="B1175" s="0" t="s">
        <v>60</v>
      </c>
      <c r="C1175" s="14" t="n">
        <f aca="false">(C1167+C1170)*(1+r_ot)/C1174</f>
        <v>0.276884384673187</v>
      </c>
      <c r="D1175" s="14" t="n">
        <f aca="false">(D1167+D1170)*(1+r_ot)/D1174</f>
        <v>0.341322181302382</v>
      </c>
      <c r="E1175" s="14" t="n">
        <f aca="false">(E1167+E1170)*(1+r_ot)/E1174</f>
        <v>0.332223724135049</v>
      </c>
      <c r="F1175" s="14" t="n">
        <f aca="false">(F1167+F1170)*(1+r_ot)/F1174</f>
        <v>0.332139728978818</v>
      </c>
      <c r="G1175" s="14" t="n">
        <f aca="false">(G1167+G1170)*(1+r_ot)/G1174</f>
        <v>0.311195137647367</v>
      </c>
    </row>
    <row r="1176" customFormat="false" ht="15" hidden="false" customHeight="false" outlineLevel="0" collapsed="false">
      <c r="A1176" s="0" t="s">
        <v>599</v>
      </c>
      <c r="B1176" s="0" t="s">
        <v>60</v>
      </c>
      <c r="C1176" s="14" t="n">
        <f aca="false">C1167*(1+r_ot)/C1174</f>
        <v>0.206829299394429</v>
      </c>
      <c r="D1176" s="14" t="n">
        <f aca="false">D1167*(1+r_ot)/D1174</f>
        <v>0.241934200335952</v>
      </c>
      <c r="E1176" s="14" t="n">
        <f aca="false">E1167*(1+r_ot)/E1174</f>
        <v>0.194337487194928</v>
      </c>
      <c r="F1176" s="14" t="n">
        <f aca="false">F1167*(1+r_ot)/F1174</f>
        <v>0.168828094767216</v>
      </c>
      <c r="G1176" s="14" t="n">
        <f aca="false">G1167*(1+r_ot)/G1174</f>
        <v>0.12679260173659</v>
      </c>
      <c r="J1176" s="5" t="s">
        <v>600</v>
      </c>
    </row>
    <row r="1177" customFormat="false" ht="15" hidden="false" customHeight="false" outlineLevel="0" collapsed="false">
      <c r="A1177" s="5" t="s">
        <v>466</v>
      </c>
      <c r="B1177" s="0" t="s">
        <v>60</v>
      </c>
      <c r="C1177" s="14" t="n">
        <f aca="false">a25_gp/a25_rev</f>
        <v>0.701498549974936</v>
      </c>
      <c r="D1177" s="14" t="n">
        <f aca="false">D1159/D1174</f>
        <v>0.70639056761927</v>
      </c>
      <c r="E1177" s="14" t="n">
        <f aca="false">gm_a+gm_b*LN(E1174)+0</f>
        <v>0.730353978908351</v>
      </c>
      <c r="F1177" s="14" t="n">
        <f aca="false">gm_a+gm_b*LN(F1174)+0</f>
        <v>0.736703998578602</v>
      </c>
      <c r="G1177" s="14" t="n">
        <f aca="false">gm_a+gm_b*LN(G1174)+0</f>
        <v>0.739555404506438</v>
      </c>
      <c r="J1177" s="8" t="s">
        <v>601</v>
      </c>
    </row>
    <row r="1178" customFormat="false" ht="15" hidden="false" customHeight="false" outlineLevel="0" collapsed="false">
      <c r="A1178" s="5" t="s">
        <v>463</v>
      </c>
      <c r="B1178" s="0" t="s">
        <v>33</v>
      </c>
      <c r="C1178" s="11" t="n">
        <f aca="false">C1174*C1177</f>
        <v>306.477</v>
      </c>
      <c r="D1178" s="11" t="n">
        <f aca="false">D1174*D1177</f>
        <v>378.0504836</v>
      </c>
      <c r="E1178" s="11" t="n">
        <f aca="false">E1174*E1177</f>
        <v>407.714075559935</v>
      </c>
      <c r="F1178" s="11" t="n">
        <f aca="false">F1174*F1177</f>
        <v>434.853890785888</v>
      </c>
      <c r="G1178" s="11" t="n">
        <f aca="false">G1174*G1177</f>
        <v>447.610613325772</v>
      </c>
    </row>
    <row r="1179" customFormat="false" ht="15" hidden="false" customHeight="false" outlineLevel="0" collapsed="false">
      <c r="A1179" s="5" t="s">
        <v>464</v>
      </c>
      <c r="B1179" s="0" t="s">
        <v>33</v>
      </c>
      <c r="C1179" s="11" t="n">
        <f aca="false">a25_sga</f>
        <v>121.487</v>
      </c>
      <c r="D1179" s="11" t="n">
        <f aca="false">D1178-D1160</f>
        <v>139.4833836</v>
      </c>
      <c r="E1179" s="11" t="n">
        <f aca="false">sg_f+sg_v*E1174</f>
        <v>149.00515441702</v>
      </c>
      <c r="F1179" s="11" t="n">
        <f aca="false">sg_f+sg_v*F1174</f>
        <v>157.087901909295</v>
      </c>
      <c r="G1179" s="11" t="n">
        <f aca="false">sg_f+sg_v*G1174</f>
        <v>160.86668276488</v>
      </c>
      <c r="J1179" s="8" t="s">
        <v>602</v>
      </c>
    </row>
    <row r="1180" customFormat="false" ht="15" hidden="false" customHeight="false" outlineLevel="0" collapsed="false">
      <c r="A1180" s="5" t="s">
        <v>432</v>
      </c>
      <c r="B1180" s="0" t="s">
        <v>33</v>
      </c>
      <c r="C1180" s="11" t="n">
        <f aca="false">C1178-C1179</f>
        <v>184.99</v>
      </c>
      <c r="D1180" s="11" t="n">
        <f aca="false">D1178-D1179</f>
        <v>238.5671</v>
      </c>
      <c r="E1180" s="11" t="n">
        <f aca="false">E1178-E1179</f>
        <v>258.708921142915</v>
      </c>
      <c r="F1180" s="11" t="n">
        <f aca="false">F1178-F1179</f>
        <v>277.765988876592</v>
      </c>
      <c r="G1180" s="11" t="n">
        <f aca="false">G1178-G1179</f>
        <v>286.743930560893</v>
      </c>
    </row>
    <row r="1181" customFormat="false" ht="15" hidden="false" customHeight="false" outlineLevel="0" collapsed="false">
      <c r="A1181" s="5" t="s">
        <v>603</v>
      </c>
      <c r="B1181" s="0" t="s">
        <v>60</v>
      </c>
      <c r="C1181" s="14" t="n">
        <f aca="false">C1180/C1174</f>
        <v>0.423425629851061</v>
      </c>
      <c r="D1181" s="14" t="n">
        <f aca="false">D1180/D1174</f>
        <v>0.445764670314743</v>
      </c>
      <c r="E1181" s="14" t="n">
        <f aca="false">E1180/E1174</f>
        <v>0.463435287772003</v>
      </c>
      <c r="F1181" s="14" t="n">
        <f aca="false">F1180/F1174</f>
        <v>0.470574873562028</v>
      </c>
      <c r="G1181" s="14" t="n">
        <f aca="false">G1180/G1174</f>
        <v>0.47376674556505</v>
      </c>
    </row>
    <row r="1182" customFormat="false" ht="15" hidden="false" customHeight="false" outlineLevel="0" collapsed="false">
      <c r="A1182" s="5" t="s">
        <v>435</v>
      </c>
      <c r="B1182" s="0" t="s">
        <v>33</v>
      </c>
      <c r="C1182" s="11" t="n">
        <f aca="false">a25_ni</f>
        <v>135.521</v>
      </c>
      <c r="D1182" s="11" t="n">
        <f aca="false">D1161</f>
        <v>167.95938138934</v>
      </c>
      <c r="E1182" s="11" t="n">
        <f aca="false">E1180*nioi</f>
        <v>186.57450968881</v>
      </c>
      <c r="F1182" s="11" t="n">
        <f aca="false">F1180*nioi</f>
        <v>200.317998134472</v>
      </c>
      <c r="G1182" s="11" t="n">
        <f aca="false">G1180*nioi</f>
        <v>206.792668819824</v>
      </c>
    </row>
    <row r="1183" customFormat="false" ht="15" hidden="false" customHeight="false" outlineLevel="0" collapsed="false">
      <c r="A1183" s="0" t="s">
        <v>524</v>
      </c>
      <c r="B1183" s="0" t="s">
        <v>55</v>
      </c>
      <c r="C1183" s="11" t="n">
        <f aca="false">a25_eps</f>
        <v>1249.84</v>
      </c>
      <c r="D1183" s="11" t="n">
        <f aca="false">D1182*1000/shares</f>
        <v>1548.28555816522</v>
      </c>
      <c r="E1183" s="11" t="n">
        <f aca="false">E1182*1000/shares</f>
        <v>1719.8837985913</v>
      </c>
      <c r="F1183" s="11" t="n">
        <f aca="false">F1182*1000/shares</f>
        <v>1846.57421923474</v>
      </c>
      <c r="G1183" s="11" t="n">
        <f aca="false">G1182*1000/shares</f>
        <v>1906.25912062628</v>
      </c>
    </row>
    <row r="1184" customFormat="false" ht="15" hidden="false" customHeight="false" outlineLevel="0" collapsed="false">
      <c r="A1184" s="5" t="s">
        <v>604</v>
      </c>
      <c r="B1184" s="0" t="s">
        <v>33</v>
      </c>
      <c r="C1184" s="16" t="n">
        <f aca="false">ABS(C1174-a25_rev)+ABS(C1180-a25_oi)+ABS(D1174-D1158)+ABS(D1180-D1160)</f>
        <v>0.000999999999976353</v>
      </c>
    </row>
    <row r="1185" customFormat="false" ht="15" hidden="false" customHeight="false" outlineLevel="0" collapsed="false">
      <c r="A1185" s="1" t="s">
        <v>605</v>
      </c>
    </row>
    <row r="1186" customFormat="false" ht="15" hidden="false" customHeight="false" outlineLevel="0" collapsed="false">
      <c r="A1186" s="5" t="s">
        <v>606</v>
      </c>
      <c r="B1186" s="0" t="s">
        <v>60</v>
      </c>
      <c r="C1186" s="14" t="n">
        <f aca="false">a25_gp/a25_rev</f>
        <v>0.701498549974936</v>
      </c>
      <c r="D1186" s="14" t="n">
        <f aca="false">gm_a+gm_b*LN(D1155)+0</f>
        <v>0.719438161983313</v>
      </c>
      <c r="E1186" s="14" t="n">
        <f aca="false">gm_a+gm_b*LN(E1155)+0</f>
        <v>0.726307224459687</v>
      </c>
      <c r="F1186" s="14" t="n">
        <f aca="false">gm_a+gm_b*LN(F1155)+0</f>
        <v>0.732656725957851</v>
      </c>
      <c r="G1186" s="14" t="n">
        <f aca="false">gm_a+gm_b*LN(G1155)+0</f>
        <v>0.735378849528387</v>
      </c>
    </row>
    <row r="1187" customFormat="false" ht="15" hidden="false" customHeight="false" outlineLevel="0" collapsed="false">
      <c r="A1187" s="5" t="s">
        <v>607</v>
      </c>
      <c r="B1187" s="0" t="s">
        <v>33</v>
      </c>
      <c r="C1187" s="11" t="n">
        <f aca="false">a25_oi</f>
        <v>184.989</v>
      </c>
      <c r="D1187" s="11" t="n">
        <f aca="false">D1155*D1186-sg_f-sg_v*D1155</f>
        <v>228.772173260641</v>
      </c>
      <c r="E1187" s="11" t="n">
        <f aca="false">E1155*E1186-sg_f-sg_v*E1155</f>
        <v>247.208955287666</v>
      </c>
      <c r="F1187" s="11" t="n">
        <f aca="false">F1155*F1186-sg_f-sg_v*F1155</f>
        <v>265.473783767465</v>
      </c>
      <c r="G1187" s="11" t="n">
        <f aca="false">G1155*G1186-sg_f-sg_v*G1155</f>
        <v>273.683854551276</v>
      </c>
    </row>
    <row r="1188" customFormat="false" ht="15" hidden="false" customHeight="false" outlineLevel="0" collapsed="false">
      <c r="A1188" s="0" t="s">
        <v>608</v>
      </c>
      <c r="B1188" s="0" t="s">
        <v>55</v>
      </c>
      <c r="C1188" s="11" t="n">
        <f aca="false">a25_eps</f>
        <v>1249.84</v>
      </c>
      <c r="D1188" s="11" t="n">
        <f aca="false">D1187*nioi_v01*1000/shares</f>
        <v>1544.93669018449</v>
      </c>
      <c r="E1188" s="11" t="n">
        <f aca="false">E1187*nioi_v01*1000/shares</f>
        <v>1669.44335809132</v>
      </c>
      <c r="F1188" s="11" t="n">
        <f aca="false">F1187*nioi_v01*1000/shares</f>
        <v>1792.78879497808</v>
      </c>
      <c r="G1188" s="11" t="n">
        <f aca="false">G1187*nioi_v01*1000/shares</f>
        <v>1848.23277403435</v>
      </c>
    </row>
    <row r="1200" customFormat="false" ht="15" hidden="false" customHeight="false" outlineLevel="0" collapsed="false">
      <c r="A1200" s="4" t="s">
        <v>837</v>
      </c>
    </row>
    <row r="1201" customFormat="false" ht="15" hidden="false" customHeight="false" outlineLevel="0" collapsed="false">
      <c r="A1201" s="6" t="s">
        <v>22</v>
      </c>
      <c r="B1201" s="6" t="s">
        <v>23</v>
      </c>
      <c r="C1201" s="9" t="s">
        <v>532</v>
      </c>
      <c r="D1201" s="9" t="s">
        <v>533</v>
      </c>
      <c r="E1201" s="9" t="s">
        <v>534</v>
      </c>
      <c r="F1201" s="9" t="s">
        <v>535</v>
      </c>
      <c r="G1201" s="9" t="s">
        <v>536</v>
      </c>
      <c r="H1201" s="9" t="s">
        <v>537</v>
      </c>
      <c r="I1201" s="9" t="s">
        <v>538</v>
      </c>
      <c r="J1201" s="6" t="s">
        <v>515</v>
      </c>
    </row>
    <row r="1202" customFormat="false" ht="15" hidden="false" customHeight="false" outlineLevel="0" collapsed="false">
      <c r="A1202" s="1" t="s">
        <v>539</v>
      </c>
    </row>
    <row r="1203" customFormat="false" ht="15" hidden="false" customHeight="false" outlineLevel="0" collapsed="false">
      <c r="A1203" s="0" t="s">
        <v>540</v>
      </c>
      <c r="B1203" s="0" t="s">
        <v>100</v>
      </c>
      <c r="C1203" s="19" t="n">
        <f aca="false">hsA_25</f>
        <v>2.22511470588235</v>
      </c>
      <c r="D1203" s="19" t="n">
        <f aca="false">hsA_26</f>
        <v>3.782695</v>
      </c>
      <c r="E1203" s="19" t="n">
        <f aca="false">hsA_27</f>
        <v>5.86317725</v>
      </c>
      <c r="F1203" s="19" t="n">
        <f aca="false">hsA_28</f>
        <v>8.5016070125</v>
      </c>
      <c r="G1203" s="19" t="n">
        <f aca="false">hsA_29</f>
        <v>11.477169466875</v>
      </c>
      <c r="H1203" s="19" t="n">
        <f aca="false">G1203*(1+g_tail_lo)</f>
        <v>11.477169466875</v>
      </c>
      <c r="I1203" s="19" t="n">
        <f aca="false">H1203*(1+g_tail_lo)</f>
        <v>11.477169466875</v>
      </c>
      <c r="J1203" s="8" t="s">
        <v>541</v>
      </c>
    </row>
    <row r="1204" customFormat="false" ht="15" hidden="false" customHeight="false" outlineLevel="0" collapsed="false">
      <c r="A1204" s="0" t="s">
        <v>542</v>
      </c>
      <c r="B1204" s="0" t="s">
        <v>543</v>
      </c>
      <c r="C1204" s="19" t="n">
        <f aca="false">den_25</f>
        <v>24</v>
      </c>
      <c r="D1204" s="19" t="n">
        <f aca="false">den_26</f>
        <v>24</v>
      </c>
      <c r="E1204" s="19" t="n">
        <f aca="false">den_27</f>
        <v>26</v>
      </c>
      <c r="F1204" s="19" t="n">
        <f aca="false">den_28</f>
        <v>28</v>
      </c>
      <c r="G1204" s="19" t="n">
        <f aca="false">den_29</f>
        <v>30</v>
      </c>
      <c r="H1204" s="19" t="n">
        <f aca="false">den_30</f>
        <v>32</v>
      </c>
      <c r="I1204" s="19" t="n">
        <f aca="false">den_30</f>
        <v>32</v>
      </c>
    </row>
    <row r="1205" customFormat="false" ht="15" hidden="false" customHeight="false" outlineLevel="0" collapsed="false">
      <c r="A1205" s="5" t="s">
        <v>544</v>
      </c>
      <c r="B1205" s="5" t="s">
        <v>152</v>
      </c>
      <c r="C1205" s="19" t="n">
        <f aca="false">stk_25</f>
        <v>10</v>
      </c>
      <c r="D1205" s="19" t="n">
        <f aca="false">stk_26</f>
        <v>12</v>
      </c>
      <c r="E1205" s="19" t="n">
        <f aca="false">stk_27</f>
        <v>12.5</v>
      </c>
      <c r="F1205" s="19" t="n">
        <f aca="false">stk_28</f>
        <v>14</v>
      </c>
      <c r="G1205" s="19" t="n">
        <f aca="false">stk_29</f>
        <v>15</v>
      </c>
      <c r="H1205" s="19" t="n">
        <f aca="false">stk_30</f>
        <v>16</v>
      </c>
      <c r="I1205" s="19" t="n">
        <f aca="false">stk_30</f>
        <v>16</v>
      </c>
    </row>
    <row r="1206" customFormat="false" ht="15" hidden="false" customHeight="false" outlineLevel="0" collapsed="false">
      <c r="A1206" s="0" t="s">
        <v>545</v>
      </c>
      <c r="B1206" s="5" t="s">
        <v>546</v>
      </c>
      <c r="C1206" s="19" t="n">
        <f aca="false">C1203*8/C1204</f>
        <v>0.741704901960783</v>
      </c>
      <c r="D1206" s="19" t="n">
        <f aca="false">D1203*8/D1204</f>
        <v>1.26089833333333</v>
      </c>
      <c r="E1206" s="19" t="n">
        <f aca="false">E1203*8/E1204</f>
        <v>1.80405453846154</v>
      </c>
      <c r="F1206" s="19" t="n">
        <f aca="false">F1203*8/F1204</f>
        <v>2.429030575</v>
      </c>
      <c r="G1206" s="19" t="n">
        <f aca="false">G1203*8/G1204</f>
        <v>3.0605785245</v>
      </c>
      <c r="H1206" s="19" t="n">
        <f aca="false">H1203*8/H1204</f>
        <v>2.86929236671875</v>
      </c>
      <c r="I1206" s="19" t="n">
        <f aca="false">I1203*8/I1204</f>
        <v>2.86929236671875</v>
      </c>
      <c r="J1206" s="8" t="s">
        <v>547</v>
      </c>
    </row>
    <row r="1207" customFormat="false" ht="15" hidden="false" customHeight="false" outlineLevel="0" collapsed="false">
      <c r="A1207" s="0" t="s">
        <v>548</v>
      </c>
      <c r="B1207" s="5" t="s">
        <v>549</v>
      </c>
      <c r="C1207" s="19" t="n">
        <f aca="false">C1206*(1+s_stk/C1205)</f>
        <v>0.964216372549018</v>
      </c>
      <c r="D1207" s="19" t="n">
        <f aca="false">D1206*(1+s_stk/D1205)</f>
        <v>1.57612291666667</v>
      </c>
      <c r="E1207" s="19" t="n">
        <f aca="false">E1206*(1+s_stk/E1205)</f>
        <v>2.23702762769231</v>
      </c>
      <c r="F1207" s="19" t="n">
        <f aca="false">F1206*(1+s_stk/F1205)</f>
        <v>2.94953712678571</v>
      </c>
      <c r="G1207" s="19" t="n">
        <f aca="false">G1206*(1+s_stk/G1205)</f>
        <v>3.6726942294</v>
      </c>
      <c r="H1207" s="19" t="n">
        <f aca="false">H1206*(1+s_stk/H1205)</f>
        <v>3.40728468547852</v>
      </c>
      <c r="I1207" s="19" t="n">
        <f aca="false">I1206*(1+s_stk/I1205)</f>
        <v>3.40728468547852</v>
      </c>
      <c r="J1207" s="5" t="s">
        <v>550</v>
      </c>
    </row>
    <row r="1208" customFormat="false" ht="15" hidden="false" customHeight="false" outlineLevel="0" collapsed="false">
      <c r="A1208" s="5" t="s">
        <v>551</v>
      </c>
      <c r="B1208" s="0" t="s">
        <v>60</v>
      </c>
      <c r="C1208" s="22" t="n">
        <f aca="false">hbp_25*hb_on</f>
        <v>0</v>
      </c>
      <c r="D1208" s="22" t="n">
        <f aca="false">hbp_26*hb_on</f>
        <v>0</v>
      </c>
      <c r="E1208" s="22" t="n">
        <f aca="false">hbp_27*hb_on</f>
        <v>0</v>
      </c>
      <c r="F1208" s="22" t="n">
        <f aca="false">hbp_28*hb_on</f>
        <v>0.05</v>
      </c>
      <c r="G1208" s="22" t="n">
        <f aca="false">hbp_29*hb_on</f>
        <v>0.15</v>
      </c>
      <c r="H1208" s="22" t="n">
        <f aca="false">hbp_30*hb_on</f>
        <v>0.25</v>
      </c>
      <c r="I1208" s="22" t="n">
        <f aca="false">hbp_30*hb_on</f>
        <v>0.25</v>
      </c>
    </row>
    <row r="1209" customFormat="false" ht="15" hidden="false" customHeight="false" outlineLevel="0" collapsed="false">
      <c r="A1209" s="0" t="s">
        <v>552</v>
      </c>
      <c r="B1209" s="5" t="s">
        <v>549</v>
      </c>
      <c r="C1209" s="19" t="n">
        <f aca="false">C1207*(1+C1208*hb_eff)</f>
        <v>0.964216372549018</v>
      </c>
      <c r="D1209" s="19" t="n">
        <f aca="false">D1207*(1+D1208*hb_eff)</f>
        <v>1.57612291666667</v>
      </c>
      <c r="E1209" s="19" t="n">
        <f aca="false">E1207*(1+E1208*hb_eff)</f>
        <v>2.23702762769231</v>
      </c>
      <c r="F1209" s="19" t="n">
        <f aca="false">F1207*(1+F1208*hb_eff)</f>
        <v>2.96428481241964</v>
      </c>
      <c r="G1209" s="19" t="n">
        <f aca="false">G1207*(1+G1208*hb_eff)</f>
        <v>3.727784642841</v>
      </c>
      <c r="H1209" s="19" t="n">
        <f aca="false">H1207*(1+H1208*hb_eff)</f>
        <v>3.49246680261548</v>
      </c>
      <c r="I1209" s="19" t="n">
        <f aca="false">I1207*(1+I1208*hb_eff)</f>
        <v>3.49246680261548</v>
      </c>
      <c r="J1209" s="5" t="s">
        <v>553</v>
      </c>
    </row>
    <row r="1210" customFormat="false" ht="15" hidden="false" customHeight="false" outlineLevel="0" collapsed="false">
      <c r="A1210" s="0" t="s">
        <v>554</v>
      </c>
      <c r="B1210" s="5" t="s">
        <v>549</v>
      </c>
      <c r="C1210" s="19" t="n">
        <f aca="false">MAX(0,D1209-C1209)+dlt*C1209</f>
        <v>0.70832818137255</v>
      </c>
      <c r="D1210" s="19" t="n">
        <f aca="false">MAX(0,E1209-D1209)+dlt*D1209</f>
        <v>0.818517002692307</v>
      </c>
      <c r="E1210" s="19" t="n">
        <f aca="false">MAX(0,F1209-E1209)+dlt*E1209</f>
        <v>0.950959947496565</v>
      </c>
      <c r="F1210" s="19" t="n">
        <f aca="false">MAX(0,G1209-F1209)+dlt*F1209</f>
        <v>1.05992831166332</v>
      </c>
      <c r="G1210" s="19" t="n">
        <f aca="false">MAX(0,H1209-G1209)+dlt*G1209</f>
        <v>0.3727784642841</v>
      </c>
      <c r="H1210" s="19" t="n">
        <f aca="false">MAX(0,I1209-H1209)+dlt*H1209</f>
        <v>0.349246680261548</v>
      </c>
      <c r="J1210" s="5" t="s">
        <v>555</v>
      </c>
    </row>
    <row r="1211" customFormat="false" ht="15" hidden="false" customHeight="false" outlineLevel="0" collapsed="false">
      <c r="A1211" s="0" t="s">
        <v>556</v>
      </c>
      <c r="B1211" s="5" t="s">
        <v>181</v>
      </c>
      <c r="C1211" s="21" t="n">
        <f aca="false">cw_25</f>
        <v>670</v>
      </c>
      <c r="D1211" s="21" t="n">
        <f aca="false">cw_26</f>
        <v>1107.85762580894</v>
      </c>
      <c r="E1211" s="21" t="n">
        <f aca="false">cw_27</f>
        <v>2096.42857142857</v>
      </c>
      <c r="F1211" s="21" t="n">
        <f aca="false">cw_28*um28_A</f>
        <v>2620.08928571429</v>
      </c>
      <c r="G1211" s="21" t="n">
        <f aca="false">cw_29*um29_A</f>
        <v>3013.32589285714</v>
      </c>
      <c r="H1211" s="21" t="n">
        <f aca="false">G1211*(1+g_tail_lo)</f>
        <v>3013.32589285714</v>
      </c>
      <c r="I1211" s="21" t="n">
        <f aca="false">H1211*(1+g_tail_lo)</f>
        <v>3013.32589285714</v>
      </c>
      <c r="J1211" s="5" t="s">
        <v>557</v>
      </c>
    </row>
    <row r="1212" customFormat="false" ht="15" hidden="false" customHeight="false" outlineLevel="0" collapsed="false">
      <c r="A1212" s="5" t="s">
        <v>558</v>
      </c>
      <c r="B1212" s="5" t="s">
        <v>181</v>
      </c>
      <c r="C1212" s="21" t="n">
        <f aca="false">MAX(0,D1211-C1211)+dlt*C1211</f>
        <v>504.85762580894</v>
      </c>
      <c r="D1212" s="21" t="n">
        <f aca="false">MAX(0,E1211-D1211)+dlt*D1211</f>
        <v>1099.35670820052</v>
      </c>
      <c r="E1212" s="21" t="n">
        <f aca="false">MAX(0,F1211-E1211)+dlt*E1211</f>
        <v>733.303571428577</v>
      </c>
      <c r="F1212" s="21" t="n">
        <f aca="false">MAX(0,G1211-F1211)+dlt*F1211</f>
        <v>655.245535714279</v>
      </c>
      <c r="G1212" s="21" t="n">
        <f aca="false">MAX(0,H1211-G1211)+dlt*G1211</f>
        <v>301.332589285714</v>
      </c>
      <c r="H1212" s="21" t="n">
        <f aca="false">MAX(0,I1211-H1211)+dlt*H1211</f>
        <v>301.332589285714</v>
      </c>
    </row>
    <row r="1213" customFormat="false" ht="15" hidden="false" customHeight="false" outlineLevel="0" collapsed="false">
      <c r="A1213" s="1" t="s">
        <v>559</v>
      </c>
    </row>
    <row r="1214" customFormat="false" ht="15" hidden="false" customHeight="false" outlineLevel="0" collapsed="false">
      <c r="A1214" s="0" t="s">
        <v>560</v>
      </c>
      <c r="B1214" s="0" t="s">
        <v>561</v>
      </c>
      <c r="C1214" s="16" t="n">
        <f aca="false">ai_25*w_hbm/(0.75*C1210+0.25*D1210)</f>
        <v>48.9213264236471</v>
      </c>
      <c r="J1214" s="5" t="s">
        <v>562</v>
      </c>
    </row>
    <row r="1215" customFormat="false" ht="15" hidden="false" customHeight="false" outlineLevel="0" collapsed="false">
      <c r="A1215" s="5" t="s">
        <v>563</v>
      </c>
      <c r="B1215" s="0" t="s">
        <v>564</v>
      </c>
      <c r="C1215" s="18" t="n">
        <f aca="false">ai_25*(1-w_hbm)/(0.75*C1212+0.25*D1212)</f>
        <v>0.0596802610360141</v>
      </c>
    </row>
    <row r="1216" customFormat="false" ht="15" hidden="false" customHeight="false" outlineLevel="0" collapsed="false">
      <c r="A1216" s="1" t="s">
        <v>565</v>
      </c>
    </row>
    <row r="1217" customFormat="false" ht="15" hidden="false" customHeight="false" outlineLevel="0" collapsed="false">
      <c r="A1217" s="5" t="s">
        <v>566</v>
      </c>
      <c r="B1217" s="0" t="s">
        <v>80</v>
      </c>
      <c r="C1217" s="16" t="n">
        <f aca="false">1-sh_loss/sh*0</f>
        <v>1</v>
      </c>
      <c r="D1217" s="16" t="n">
        <f aca="false">1-sh_loss/sh*0.25</f>
        <v>1</v>
      </c>
      <c r="E1217" s="16" t="n">
        <f aca="false">1-sh_loss/sh*0.5</f>
        <v>1</v>
      </c>
      <c r="F1217" s="16" t="n">
        <f aca="false">1-sh_loss/sh*0.75</f>
        <v>1</v>
      </c>
      <c r="G1217" s="16" t="n">
        <f aca="false">1-sh_loss/sh*1</f>
        <v>1</v>
      </c>
    </row>
    <row r="1218" customFormat="false" ht="15" hidden="false" customHeight="false" outlineLevel="0" collapsed="false">
      <c r="A1218" s="0" t="s">
        <v>567</v>
      </c>
      <c r="B1218" s="0" t="s">
        <v>33</v>
      </c>
      <c r="C1218" s="11" t="n">
        <f aca="false">$C$1214*(0.75*C1210+0.25*D1210)*C1217</f>
        <v>36</v>
      </c>
      <c r="D1218" s="11" t="n">
        <f aca="false">$C$1214*(0.75*D1210+0.25*E1210)*D1217</f>
        <v>41.6627586058351</v>
      </c>
      <c r="E1218" s="11" t="n">
        <f aca="false">$C$1214*(0.75*E1210+0.25*F1210)*E1217</f>
        <v>47.8549412356069</v>
      </c>
      <c r="F1218" s="11" t="n">
        <f aca="false">$C$1214*(0.75*F1210+0.25*G1210)*F1217</f>
        <v>43.449028424147</v>
      </c>
      <c r="G1218" s="11" t="n">
        <f aca="false">$C$1214*(0.75*G1210+0.25*H1210)*G1217</f>
        <v>17.9490154130738</v>
      </c>
    </row>
    <row r="1219" customFormat="false" ht="15" hidden="false" customHeight="false" outlineLevel="0" collapsed="false">
      <c r="A1219" s="5" t="s">
        <v>568</v>
      </c>
      <c r="B1219" s="0" t="s">
        <v>33</v>
      </c>
      <c r="C1219" s="11" t="n">
        <f aca="false">$C$1215*(0.75*C1212+0.25*D1212)*C1217</f>
        <v>39</v>
      </c>
      <c r="D1219" s="11" t="n">
        <f aca="false">$C$1215*(0.75*D1212+0.25*E1212)*D1217</f>
        <v>60.1483586282001</v>
      </c>
      <c r="E1219" s="11" t="n">
        <f aca="false">$C$1215*(0.75*E1212+0.25*F1212)*E1217</f>
        <v>42.5991175746519</v>
      </c>
      <c r="F1219" s="11" t="n">
        <f aca="false">$C$1215*(0.75*F1212+0.25*G1212)*F1217</f>
        <v>33.8248203573907</v>
      </c>
      <c r="G1219" s="11" t="n">
        <f aca="false">$C$1215*(0.75*G1212+0.25*H1212)*G1217</f>
        <v>17.9836075872294</v>
      </c>
    </row>
    <row r="1220" customFormat="false" ht="15" hidden="false" customHeight="false" outlineLevel="0" collapsed="false">
      <c r="A1220" s="0" t="s">
        <v>569</v>
      </c>
      <c r="B1220" s="0" t="s">
        <v>33</v>
      </c>
      <c r="C1220" s="11" t="n">
        <f aca="false">C1218+C1219</f>
        <v>75</v>
      </c>
      <c r="D1220" s="11" t="n">
        <f aca="false">D1218+D1219</f>
        <v>101.811117234035</v>
      </c>
      <c r="E1220" s="11" t="n">
        <f aca="false">E1218+E1219</f>
        <v>90.4540588102588</v>
      </c>
      <c r="F1220" s="11" t="n">
        <f aca="false">F1218+F1219</f>
        <v>77.2738487815376</v>
      </c>
      <c r="G1220" s="11" t="n">
        <f aca="false">G1218+G1219</f>
        <v>35.9326230003032</v>
      </c>
    </row>
    <row r="1221" customFormat="false" ht="15" hidden="false" customHeight="false" outlineLevel="0" collapsed="false">
      <c r="A1221" s="5" t="s">
        <v>570</v>
      </c>
      <c r="B1221" s="0" t="s">
        <v>33</v>
      </c>
      <c r="C1221" s="11" t="n">
        <f aca="false">eq_25-ai_25</f>
        <v>195.87118</v>
      </c>
      <c r="D1221" s="11" t="n">
        <f aca="false">C1221*(1+g_non)*D1217/C1217</f>
        <v>207.6234508</v>
      </c>
      <c r="E1221" s="11" t="n">
        <f aca="false">D1221*(1+g_non)*E1217/D1217</f>
        <v>220.080857848</v>
      </c>
      <c r="F1221" s="11" t="n">
        <f aca="false">E1221*(1+g_non)*F1217/E1217</f>
        <v>233.28570931888</v>
      </c>
      <c r="G1221" s="11" t="n">
        <f aca="false">F1221*(1+g_non)*G1217/F1217</f>
        <v>247.282851878013</v>
      </c>
    </row>
    <row r="1222" customFormat="false" ht="15" hidden="false" customHeight="false" outlineLevel="0" collapsed="false">
      <c r="A1222" s="0" t="s">
        <v>571</v>
      </c>
      <c r="B1222" s="0" t="s">
        <v>80</v>
      </c>
      <c r="C1222" s="19" t="n">
        <f aca="false">w_hbm*(0.75*C1209+0.25*D1209)/(0.75*C1209+0.25*D1209)+(1-w_hbm)*(0.75*C1211+0.25*D1211)/(0.75*C1211+0.25*D1211)</f>
        <v>1</v>
      </c>
      <c r="D1222" s="19" t="n">
        <f aca="false">w_hbm*(0.75*D1209+0.25*E1209)/(0.75*C1209+0.25*D1209)+(1-w_hbm)*(0.75*D1211+0.25*E1211)/(0.75*C1211+0.25*D1211)</f>
        <v>1.65212184085657</v>
      </c>
      <c r="E1222" s="19" t="n">
        <f aca="false">w_hbm*(0.75*E1209+0.25*F1209)/(0.75*C1209+0.25*D1209)+(1-w_hbm)*(0.75*E1211+0.25*F1211)/(0.75*C1211+0.25*D1211)</f>
        <v>2.52516730417954</v>
      </c>
      <c r="F1222" s="19" t="n">
        <f aca="false">w_hbm*(0.75*F1209+0.25*G1209)/(0.75*C1209+0.25*D1209)+(1-w_hbm)*(0.75*F1211+0.25*G1211)/(0.75*C1211+0.25*D1211)</f>
        <v>3.16911970169284</v>
      </c>
      <c r="G1222" s="19" t="n">
        <f aca="false">w_hbm*(0.75*G1209+0.25*H1209)/(0.75*C1209+0.25*D1209)+(1-w_hbm)*(0.75*G1211+0.25*H1211)/(0.75*C1211+0.25*D1211)</f>
        <v>3.5866243979124</v>
      </c>
      <c r="J1222" s="8" t="s">
        <v>572</v>
      </c>
    </row>
    <row r="1223" customFormat="false" ht="15" hidden="false" customHeight="false" outlineLevel="0" collapsed="false">
      <c r="A1223" s="0" t="s">
        <v>573</v>
      </c>
      <c r="B1223" s="0" t="s">
        <v>33</v>
      </c>
      <c r="C1223" s="11" t="n">
        <f aca="false">tl_25*w_tlai*C1222</f>
        <v>25.4032258064516</v>
      </c>
      <c r="D1223" s="11" t="n">
        <f aca="false">tl_25*w_tlai*D1222</f>
        <v>41.9692241830499</v>
      </c>
      <c r="E1223" s="11" t="n">
        <f aca="false">tl_25*w_tlai*E1222</f>
        <v>64.1473952271414</v>
      </c>
      <c r="F1223" s="11" t="n">
        <f aca="false">tl_25*w_tlai*F1222</f>
        <v>80.5058633897778</v>
      </c>
      <c r="G1223" s="11" t="n">
        <f aca="false">tl_25*w_tlai*G1222</f>
        <v>91.1118294630973</v>
      </c>
      <c r="J1223" s="5" t="s">
        <v>574</v>
      </c>
    </row>
    <row r="1224" customFormat="false" ht="15" hidden="false" customHeight="false" outlineLevel="0" collapsed="false">
      <c r="A1224" s="5" t="s">
        <v>575</v>
      </c>
      <c r="B1224" s="0" t="s">
        <v>33</v>
      </c>
      <c r="C1224" s="11" t="n">
        <f aca="false">tl_25*(1-w_tlai)</f>
        <v>66.3434641935484</v>
      </c>
      <c r="D1224" s="11" t="n">
        <f aca="false">C1224*(1+g_tl)</f>
        <v>69.6606374032258</v>
      </c>
      <c r="E1224" s="11" t="n">
        <f aca="false">D1224*(1+g_tl)</f>
        <v>73.1436692733871</v>
      </c>
      <c r="F1224" s="11" t="n">
        <f aca="false">E1224*(1+g_tl)</f>
        <v>76.8008527370565</v>
      </c>
      <c r="G1224" s="11" t="n">
        <f aca="false">F1224*(1+g_tl)</f>
        <v>80.6408953739093</v>
      </c>
    </row>
    <row r="1225" customFormat="false" ht="15" hidden="false" customHeight="false" outlineLevel="0" collapsed="false">
      <c r="A1225" s="5" t="s">
        <v>576</v>
      </c>
      <c r="B1225" s="0" t="s">
        <v>33</v>
      </c>
      <c r="C1225" s="11" t="n">
        <f aca="false">(C1220+C1221+C1223+C1224)*(1+r_ot)</f>
        <v>436.889</v>
      </c>
      <c r="D1225" s="11" t="n">
        <f aca="false">(D1220+D1221+D1223+D1224)*(1+r_ot)</f>
        <v>507.306541711218</v>
      </c>
      <c r="E1225" s="11" t="n">
        <f aca="false">(E1220+E1221+E1223+E1224)*(1+r_ot)</f>
        <v>539.549374890105</v>
      </c>
      <c r="F1225" s="11" t="n">
        <f aca="false">(F1220+F1221+F1223+F1224)*(1+r_ot)</f>
        <v>563.694306297894</v>
      </c>
      <c r="G1225" s="11" t="n">
        <f aca="false">(G1220+G1221+G1223+G1224)*(1+r_ot)</f>
        <v>548.154457488341</v>
      </c>
      <c r="J1225" s="8" t="s">
        <v>577</v>
      </c>
    </row>
    <row r="1226" customFormat="false" ht="15" hidden="false" customHeight="false" outlineLevel="0" collapsed="false">
      <c r="A1226" s="1" t="s">
        <v>578</v>
      </c>
    </row>
    <row r="1227" customFormat="false" ht="15" hidden="false" customHeight="false" outlineLevel="0" collapsed="false">
      <c r="A1227" s="5" t="s">
        <v>579</v>
      </c>
      <c r="B1227" s="0" t="s">
        <v>33</v>
      </c>
      <c r="D1227" s="11" t="n">
        <f aca="false">g3_rev*(1+g_q4)</f>
        <v>145.6862</v>
      </c>
    </row>
    <row r="1228" customFormat="false" ht="15" hidden="false" customHeight="false" outlineLevel="0" collapsed="false">
      <c r="A1228" s="0" t="s">
        <v>580</v>
      </c>
      <c r="B1228" s="0" t="s">
        <v>33</v>
      </c>
      <c r="D1228" s="11" t="n">
        <f aca="false">q26h1_rev+g3_rev+D1227</f>
        <v>535.1862</v>
      </c>
    </row>
    <row r="1229" customFormat="false" ht="15" hidden="false" customHeight="false" outlineLevel="0" collapsed="false">
      <c r="A1229" s="0" t="s">
        <v>581</v>
      </c>
      <c r="B1229" s="0" t="s">
        <v>33</v>
      </c>
      <c r="D1229" s="11" t="n">
        <f aca="false">q26h1_gp+(g3_rev+D1227)*gm_q3</f>
        <v>378.0504836</v>
      </c>
    </row>
    <row r="1230" customFormat="false" ht="15" hidden="false" customHeight="false" outlineLevel="0" collapsed="false">
      <c r="A1230" s="0" t="s">
        <v>582</v>
      </c>
      <c r="B1230" s="0" t="s">
        <v>33</v>
      </c>
      <c r="D1230" s="11" t="n">
        <f aca="false">q26h1_oi+g3_oi+D1227*m_q4</f>
        <v>238.5671</v>
      </c>
    </row>
    <row r="1231" customFormat="false" ht="15" hidden="false" customHeight="false" outlineLevel="0" collapsed="false">
      <c r="A1231" s="0" t="s">
        <v>583</v>
      </c>
      <c r="B1231" s="0" t="s">
        <v>33</v>
      </c>
      <c r="D1231" s="11" t="n">
        <f aca="false">q26h1_ni+g3_ni+D1227*m_q4*nioi</f>
        <v>167.95938138934</v>
      </c>
    </row>
    <row r="1232" customFormat="false" ht="15" hidden="false" customHeight="false" outlineLevel="0" collapsed="false">
      <c r="A1232" s="5" t="s">
        <v>584</v>
      </c>
      <c r="B1232" s="0" t="s">
        <v>80</v>
      </c>
      <c r="D1232" s="16" t="n">
        <f aca="false">D1228/D1225</f>
        <v>1.05495623650888</v>
      </c>
      <c r="J1232" s="8" t="s">
        <v>585</v>
      </c>
    </row>
    <row r="1233" customFormat="false" ht="15" hidden="false" customHeight="false" outlineLevel="0" collapsed="false">
      <c r="A1233" s="5" t="s">
        <v>586</v>
      </c>
      <c r="B1233" s="0" t="s">
        <v>80</v>
      </c>
      <c r="D1233" s="16" t="n">
        <f aca="false">1+anc_carry*(D1232-1)</f>
        <v>1.05495623650888</v>
      </c>
      <c r="J1233" s="8" t="s">
        <v>587</v>
      </c>
    </row>
    <row r="1234" customFormat="false" ht="15" hidden="false" customHeight="false" outlineLevel="0" collapsed="false">
      <c r="A1234" s="1" t="s">
        <v>588</v>
      </c>
    </row>
    <row r="1235" customFormat="false" ht="15" hidden="false" customHeight="false" outlineLevel="0" collapsed="false">
      <c r="A1235" s="0" t="s">
        <v>589</v>
      </c>
      <c r="B1235" s="0" t="s">
        <v>33</v>
      </c>
      <c r="C1235" s="11" t="n">
        <f aca="false">C1218*1</f>
        <v>36</v>
      </c>
      <c r="D1235" s="11" t="n">
        <f aca="false">D1218*$D$1232</f>
        <v>43.9523870213896</v>
      </c>
      <c r="E1235" s="11" t="n">
        <f aca="false">E1218*1</f>
        <v>47.8549412356069</v>
      </c>
      <c r="F1235" s="11" t="n">
        <f aca="false">F1218*1</f>
        <v>43.449028424147</v>
      </c>
      <c r="G1235" s="11" t="n">
        <f aca="false">G1218*1</f>
        <v>17.9490154130738</v>
      </c>
    </row>
    <row r="1236" customFormat="false" ht="15" hidden="false" customHeight="false" outlineLevel="0" collapsed="false">
      <c r="A1236" s="5" t="s">
        <v>590</v>
      </c>
      <c r="B1236" s="0" t="s">
        <v>33</v>
      </c>
      <c r="C1236" s="11" t="n">
        <f aca="false">C1219*1</f>
        <v>39</v>
      </c>
      <c r="D1236" s="11" t="n">
        <f aca="false">D1219*$D$1232</f>
        <v>63.4538860505921</v>
      </c>
      <c r="E1236" s="11" t="n">
        <f aca="false">E1219*1</f>
        <v>42.5991175746519</v>
      </c>
      <c r="F1236" s="11" t="n">
        <f aca="false">F1219*1</f>
        <v>33.8248203573907</v>
      </c>
      <c r="G1236" s="11" t="n">
        <f aca="false">G1219*1</f>
        <v>17.9836075872294</v>
      </c>
    </row>
    <row r="1237" customFormat="false" ht="15" hidden="false" customHeight="false" outlineLevel="0" collapsed="false">
      <c r="A1237" s="0" t="s">
        <v>591</v>
      </c>
      <c r="B1237" s="0" t="s">
        <v>33</v>
      </c>
      <c r="C1237" s="11" t="n">
        <f aca="false">C1235+C1236</f>
        <v>75</v>
      </c>
      <c r="D1237" s="11" t="n">
        <f aca="false">D1235+D1236</f>
        <v>107.406273071982</v>
      </c>
      <c r="E1237" s="11" t="n">
        <f aca="false">E1235+E1236</f>
        <v>90.4540588102588</v>
      </c>
      <c r="F1237" s="11" t="n">
        <f aca="false">F1235+F1236</f>
        <v>77.2738487815376</v>
      </c>
      <c r="G1237" s="11" t="n">
        <f aca="false">G1235+G1236</f>
        <v>35.9326230003032</v>
      </c>
    </row>
    <row r="1238" customFormat="false" ht="15" hidden="false" customHeight="false" outlineLevel="0" collapsed="false">
      <c r="A1238" s="5" t="s">
        <v>592</v>
      </c>
      <c r="B1238" s="0" t="s">
        <v>33</v>
      </c>
      <c r="C1238" s="11" t="n">
        <f aca="false">C1221*1</f>
        <v>195.87118</v>
      </c>
      <c r="D1238" s="11" t="n">
        <f aca="false">D1221*$D$1232</f>
        <v>219.033654266954</v>
      </c>
      <c r="E1238" s="11" t="n">
        <f aca="false">E1221*$D$1233</f>
        <v>232.175673522971</v>
      </c>
      <c r="F1238" s="11" t="n">
        <f aca="false">F1221*$D$1233</f>
        <v>246.106213934349</v>
      </c>
      <c r="G1238" s="11" t="n">
        <f aca="false">G1221*$D$1233</f>
        <v>260.87258677041</v>
      </c>
    </row>
    <row r="1239" customFormat="false" ht="15" hidden="false" customHeight="false" outlineLevel="0" collapsed="false">
      <c r="A1239" s="5" t="s">
        <v>593</v>
      </c>
      <c r="B1239" s="0" t="s">
        <v>33</v>
      </c>
      <c r="C1239" s="11" t="n">
        <f aca="false">C1237+C1238</f>
        <v>270.87118</v>
      </c>
      <c r="D1239" s="11" t="n">
        <f aca="false">D1237+D1238</f>
        <v>326.439927338936</v>
      </c>
      <c r="E1239" s="11" t="n">
        <f aca="false">E1237+E1238</f>
        <v>322.62973233323</v>
      </c>
      <c r="F1239" s="11" t="n">
        <f aca="false">F1237+F1238</f>
        <v>323.380062715887</v>
      </c>
      <c r="G1239" s="11" t="n">
        <f aca="false">G1237+G1238</f>
        <v>296.805209770714</v>
      </c>
    </row>
    <row r="1240" customFormat="false" ht="15" hidden="false" customHeight="false" outlineLevel="0" collapsed="false">
      <c r="A1240" s="0" t="s">
        <v>594</v>
      </c>
      <c r="B1240" s="0" t="s">
        <v>33</v>
      </c>
      <c r="C1240" s="11" t="n">
        <f aca="false">C1223*1</f>
        <v>25.4032258064516</v>
      </c>
      <c r="D1240" s="11" t="n">
        <f aca="false">D1223*$D$1232</f>
        <v>44.2756947933477</v>
      </c>
      <c r="E1240" s="11" t="n">
        <f aca="false">E1223*1</f>
        <v>64.1473952271414</v>
      </c>
      <c r="F1240" s="11" t="n">
        <f aca="false">F1223*1</f>
        <v>80.5058633897778</v>
      </c>
      <c r="G1240" s="11" t="n">
        <f aca="false">G1223*1</f>
        <v>91.1118294630973</v>
      </c>
    </row>
    <row r="1241" customFormat="false" ht="15" hidden="false" customHeight="false" outlineLevel="0" collapsed="false">
      <c r="A1241" s="5" t="s">
        <v>595</v>
      </c>
      <c r="B1241" s="0" t="s">
        <v>33</v>
      </c>
      <c r="C1241" s="11" t="n">
        <f aca="false">C1224*1</f>
        <v>66.3434641935484</v>
      </c>
      <c r="D1241" s="11" t="n">
        <f aca="false">D1224*$D$1232</f>
        <v>73.4889238677166</v>
      </c>
      <c r="E1241" s="11" t="n">
        <f aca="false">E1224*$D$1233</f>
        <v>77.1633700611024</v>
      </c>
      <c r="F1241" s="11" t="n">
        <f aca="false">F1224*$D$1233</f>
        <v>81.0215385641575</v>
      </c>
      <c r="G1241" s="11" t="n">
        <f aca="false">G1224*$D$1233</f>
        <v>85.0726154923654</v>
      </c>
    </row>
    <row r="1242" customFormat="false" ht="15" hidden="false" customHeight="false" outlineLevel="0" collapsed="false">
      <c r="A1242" s="5" t="s">
        <v>596</v>
      </c>
      <c r="B1242" s="0" t="s">
        <v>33</v>
      </c>
      <c r="C1242" s="11" t="n">
        <f aca="false">C1240+C1241</f>
        <v>91.74669</v>
      </c>
      <c r="D1242" s="11" t="n">
        <f aca="false">D1240+D1241</f>
        <v>117.764618661064</v>
      </c>
      <c r="E1242" s="11" t="n">
        <f aca="false">E1240+E1241</f>
        <v>141.310765288244</v>
      </c>
      <c r="F1242" s="11" t="n">
        <f aca="false">F1240+F1241</f>
        <v>161.527401953935</v>
      </c>
      <c r="G1242" s="11" t="n">
        <f aca="false">G1240+G1241</f>
        <v>176.184444955463</v>
      </c>
    </row>
    <row r="1243" customFormat="false" ht="15" hidden="false" customHeight="false" outlineLevel="0" collapsed="false">
      <c r="A1243" s="5" t="s">
        <v>458</v>
      </c>
      <c r="B1243" s="0" t="s">
        <v>33</v>
      </c>
      <c r="C1243" s="11" t="n">
        <f aca="false">r_ot*(C1239+C1242)</f>
        <v>74.27113</v>
      </c>
      <c r="D1243" s="11" t="n">
        <f aca="false">r_ot*(D1239+D1242)</f>
        <v>90.981654</v>
      </c>
      <c r="E1243" s="11" t="n">
        <f aca="false">r_ot*(E1239+E1242)</f>
        <v>95.0239573441573</v>
      </c>
      <c r="F1243" s="11" t="n">
        <f aca="false">r_ot*(F1239+F1242)</f>
        <v>99.3183963781564</v>
      </c>
      <c r="G1243" s="11" t="n">
        <f aca="false">r_ot*(G1239+G1242)</f>
        <v>96.8773991607831</v>
      </c>
    </row>
    <row r="1244" customFormat="false" ht="15" hidden="false" customHeight="false" outlineLevel="0" collapsed="false">
      <c r="A1244" s="5" t="s">
        <v>428</v>
      </c>
      <c r="B1244" s="0" t="s">
        <v>33</v>
      </c>
      <c r="C1244" s="11" t="n">
        <f aca="false">C1239+C1242+C1243</f>
        <v>436.889</v>
      </c>
      <c r="D1244" s="11" t="n">
        <f aca="false">D1239+D1242+D1243</f>
        <v>535.1862</v>
      </c>
      <c r="E1244" s="11" t="n">
        <f aca="false">E1239+E1242+E1243</f>
        <v>558.964454965631</v>
      </c>
      <c r="F1244" s="11" t="n">
        <f aca="false">F1239+F1242+F1243</f>
        <v>584.225861047979</v>
      </c>
      <c r="G1244" s="11" t="n">
        <f aca="false">G1239+G1242+G1243</f>
        <v>569.86705388696</v>
      </c>
      <c r="J1244" s="8" t="s">
        <v>597</v>
      </c>
    </row>
    <row r="1245" customFormat="false" ht="15" hidden="false" customHeight="false" outlineLevel="0" collapsed="false">
      <c r="A1245" s="0" t="s">
        <v>598</v>
      </c>
      <c r="B1245" s="0" t="s">
        <v>60</v>
      </c>
      <c r="C1245" s="14" t="n">
        <f aca="false">(C1237+C1240)*(1+r_ot)/C1244</f>
        <v>0.276884384673187</v>
      </c>
      <c r="D1245" s="14" t="n">
        <f aca="false">(D1237+D1240)*(1+r_ot)/D1244</f>
        <v>0.341468742792492</v>
      </c>
      <c r="E1245" s="14" t="n">
        <f aca="false">(E1237+E1240)*(1+r_ot)/E1244</f>
        <v>0.333235522292211</v>
      </c>
      <c r="F1245" s="14" t="n">
        <f aca="false">(F1237+F1240)*(1+r_ot)/F1244</f>
        <v>0.325381075085633</v>
      </c>
      <c r="G1245" s="14" t="n">
        <f aca="false">(G1237+G1240)*(1+r_ot)/G1244</f>
        <v>0.26859879744505</v>
      </c>
    </row>
    <row r="1246" customFormat="false" ht="15" hidden="false" customHeight="false" outlineLevel="0" collapsed="false">
      <c r="A1246" s="0" t="s">
        <v>599</v>
      </c>
      <c r="B1246" s="0" t="s">
        <v>60</v>
      </c>
      <c r="C1246" s="14" t="n">
        <f aca="false">C1237*(1+r_ot)/C1244</f>
        <v>0.206829299394429</v>
      </c>
      <c r="D1246" s="14" t="n">
        <f aca="false">D1237*(1+r_ot)/D1244</f>
        <v>0.241794628261148</v>
      </c>
      <c r="E1246" s="14" t="n">
        <f aca="false">E1237*(1+r_ot)/E1244</f>
        <v>0.194969094687784</v>
      </c>
      <c r="F1246" s="14" t="n">
        <f aca="false">F1237*(1+r_ot)/F1244</f>
        <v>0.159357927876309</v>
      </c>
      <c r="G1246" s="14" t="n">
        <f aca="false">G1237*(1+r_ot)/G1244</f>
        <v>0.0759691520549332</v>
      </c>
      <c r="J1246" s="5" t="s">
        <v>600</v>
      </c>
    </row>
    <row r="1247" customFormat="false" ht="15" hidden="false" customHeight="false" outlineLevel="0" collapsed="false">
      <c r="A1247" s="5" t="s">
        <v>466</v>
      </c>
      <c r="B1247" s="0" t="s">
        <v>60</v>
      </c>
      <c r="C1247" s="14" t="n">
        <f aca="false">a25_gp/a25_rev</f>
        <v>0.701498549974936</v>
      </c>
      <c r="D1247" s="14" t="n">
        <f aca="false">D1229/D1244</f>
        <v>0.70639056761927</v>
      </c>
      <c r="E1247" s="14" t="n">
        <f aca="false">gm_a+gm_b*LN(E1244)+0</f>
        <v>0.730501245911974</v>
      </c>
      <c r="F1247" s="14" t="n">
        <f aca="false">gm_a+gm_b*LN(F1244)+0</f>
        <v>0.735532555010771</v>
      </c>
      <c r="G1247" s="14" t="n">
        <f aca="false">gm_a+gm_b*LN(G1244)+0</f>
        <v>0.732700045923563</v>
      </c>
      <c r="J1247" s="8" t="s">
        <v>601</v>
      </c>
    </row>
    <row r="1248" customFormat="false" ht="15" hidden="false" customHeight="false" outlineLevel="0" collapsed="false">
      <c r="A1248" s="5" t="s">
        <v>463</v>
      </c>
      <c r="B1248" s="0" t="s">
        <v>33</v>
      </c>
      <c r="C1248" s="11" t="n">
        <f aca="false">C1244*C1247</f>
        <v>306.477</v>
      </c>
      <c r="D1248" s="11" t="n">
        <f aca="false">D1244*D1247</f>
        <v>378.0504836</v>
      </c>
      <c r="E1248" s="11" t="n">
        <f aca="false">E1244*E1247</f>
        <v>408.324230772901</v>
      </c>
      <c r="F1248" s="11" t="n">
        <f aca="false">F1244*F1247</f>
        <v>429.717140279988</v>
      </c>
      <c r="G1248" s="11" t="n">
        <f aca="false">G1244*G1247</f>
        <v>417.541616553301</v>
      </c>
    </row>
    <row r="1249" customFormat="false" ht="15" hidden="false" customHeight="false" outlineLevel="0" collapsed="false">
      <c r="A1249" s="5" t="s">
        <v>464</v>
      </c>
      <c r="B1249" s="0" t="s">
        <v>33</v>
      </c>
      <c r="C1249" s="11" t="n">
        <f aca="false">a25_sga</f>
        <v>121.487</v>
      </c>
      <c r="D1249" s="11" t="n">
        <f aca="false">D1248-D1230</f>
        <v>139.4833836</v>
      </c>
      <c r="E1249" s="11" t="n">
        <f aca="false">sg_f+sg_v*E1244</f>
        <v>149.187544002062</v>
      </c>
      <c r="F1249" s="11" t="n">
        <f aca="false">sg_f+sg_v*F1244</f>
        <v>155.562690132652</v>
      </c>
      <c r="G1249" s="11" t="n">
        <f aca="false">sg_f+sg_v*G1244</f>
        <v>151.939000555989</v>
      </c>
      <c r="J1249" s="8" t="s">
        <v>602</v>
      </c>
    </row>
    <row r="1250" customFormat="false" ht="15" hidden="false" customHeight="false" outlineLevel="0" collapsed="false">
      <c r="A1250" s="5" t="s">
        <v>432</v>
      </c>
      <c r="B1250" s="0" t="s">
        <v>33</v>
      </c>
      <c r="C1250" s="11" t="n">
        <f aca="false">C1248-C1249</f>
        <v>184.99</v>
      </c>
      <c r="D1250" s="11" t="n">
        <f aca="false">D1248-D1249</f>
        <v>238.5671</v>
      </c>
      <c r="E1250" s="11" t="n">
        <f aca="false">E1248-E1249</f>
        <v>259.136686770839</v>
      </c>
      <c r="F1250" s="11" t="n">
        <f aca="false">F1248-F1249</f>
        <v>274.154450147336</v>
      </c>
      <c r="G1250" s="11" t="n">
        <f aca="false">G1248-G1249</f>
        <v>265.602615997312</v>
      </c>
    </row>
    <row r="1251" customFormat="false" ht="15" hidden="false" customHeight="false" outlineLevel="0" collapsed="false">
      <c r="A1251" s="5" t="s">
        <v>603</v>
      </c>
      <c r="B1251" s="0" t="s">
        <v>60</v>
      </c>
      <c r="C1251" s="14" t="n">
        <f aca="false">C1250/C1244</f>
        <v>0.423425629851061</v>
      </c>
      <c r="D1251" s="14" t="n">
        <f aca="false">D1250/D1244</f>
        <v>0.445764670314743</v>
      </c>
      <c r="E1251" s="14" t="n">
        <f aca="false">E1250/E1244</f>
        <v>0.463601369405094</v>
      </c>
      <c r="F1251" s="14" t="n">
        <f aca="false">F1250/F1244</f>
        <v>0.469261065669979</v>
      </c>
      <c r="G1251" s="14" t="n">
        <f aca="false">G1250/G1244</f>
        <v>0.466078209269486</v>
      </c>
    </row>
    <row r="1252" customFormat="false" ht="15" hidden="false" customHeight="false" outlineLevel="0" collapsed="false">
      <c r="A1252" s="5" t="s">
        <v>435</v>
      </c>
      <c r="B1252" s="0" t="s">
        <v>33</v>
      </c>
      <c r="C1252" s="11" t="n">
        <f aca="false">a25_ni</f>
        <v>135.521</v>
      </c>
      <c r="D1252" s="11" t="n">
        <f aca="false">D1231</f>
        <v>167.95938138934</v>
      </c>
      <c r="E1252" s="11" t="n">
        <f aca="false">E1250*nioi</f>
        <v>186.883003736634</v>
      </c>
      <c r="F1252" s="11" t="n">
        <f aca="false">F1250*nioi</f>
        <v>197.713445246785</v>
      </c>
      <c r="G1252" s="11" t="n">
        <f aca="false">G1250*nioi</f>
        <v>191.546072832908</v>
      </c>
    </row>
    <row r="1253" customFormat="false" ht="15" hidden="false" customHeight="false" outlineLevel="0" collapsed="false">
      <c r="A1253" s="0" t="s">
        <v>524</v>
      </c>
      <c r="B1253" s="0" t="s">
        <v>55</v>
      </c>
      <c r="C1253" s="11" t="n">
        <f aca="false">a25_eps</f>
        <v>1249.84</v>
      </c>
      <c r="D1253" s="11" t="n">
        <f aca="false">D1252*1000/shares</f>
        <v>1548.28555816522</v>
      </c>
      <c r="E1253" s="11" t="n">
        <f aca="false">E1252*1000/shares</f>
        <v>1722.72756281021</v>
      </c>
      <c r="F1253" s="11" t="n">
        <f aca="false">F1252*1000/shares</f>
        <v>1822.5648927647</v>
      </c>
      <c r="G1253" s="11" t="n">
        <f aca="false">G1252*1000/shares</f>
        <v>1765.71273266953</v>
      </c>
    </row>
    <row r="1254" customFormat="false" ht="15" hidden="false" customHeight="false" outlineLevel="0" collapsed="false">
      <c r="A1254" s="5" t="s">
        <v>604</v>
      </c>
      <c r="B1254" s="0" t="s">
        <v>33</v>
      </c>
      <c r="C1254" s="16" t="n">
        <f aca="false">ABS(C1244-a25_rev)+ABS(C1250-a25_oi)+ABS(D1244-D1228)+ABS(D1250-D1230)</f>
        <v>0.000999999999976353</v>
      </c>
    </row>
    <row r="1255" customFormat="false" ht="15" hidden="false" customHeight="false" outlineLevel="0" collapsed="false">
      <c r="A1255" s="1" t="s">
        <v>605</v>
      </c>
    </row>
    <row r="1256" customFormat="false" ht="15" hidden="false" customHeight="false" outlineLevel="0" collapsed="false">
      <c r="A1256" s="5" t="s">
        <v>606</v>
      </c>
      <c r="B1256" s="0" t="s">
        <v>60</v>
      </c>
      <c r="C1256" s="14" t="n">
        <f aca="false">a25_gp/a25_rev</f>
        <v>0.701498549974936</v>
      </c>
      <c r="D1256" s="14" t="n">
        <f aca="false">gm_a+gm_b*LN(D1225)+0</f>
        <v>0.719463492058136</v>
      </c>
      <c r="E1256" s="14" t="n">
        <f aca="false">gm_a+gm_b*LN(E1225)+0</f>
        <v>0.726477317954067</v>
      </c>
      <c r="F1256" s="14" t="n">
        <f aca="false">gm_a+gm_b*LN(F1225)+0</f>
        <v>0.731460367361177</v>
      </c>
      <c r="G1256" s="14" t="n">
        <f aca="false">gm_a+gm_b*LN(G1225)+0</f>
        <v>0.728278363762077</v>
      </c>
    </row>
    <row r="1257" customFormat="false" ht="15" hidden="false" customHeight="false" outlineLevel="0" collapsed="false">
      <c r="A1257" s="5" t="s">
        <v>607</v>
      </c>
      <c r="B1257" s="0" t="s">
        <v>33</v>
      </c>
      <c r="C1257" s="11" t="n">
        <f aca="false">a25_oi</f>
        <v>184.989</v>
      </c>
      <c r="D1257" s="11" t="n">
        <f aca="false">D1225*D1256-sg_f-sg_v*D1225</f>
        <v>228.837746398039</v>
      </c>
      <c r="E1257" s="11" t="n">
        <f aca="false">E1225*E1256-sg_f-sg_v*E1225</f>
        <v>247.68256494767</v>
      </c>
      <c r="F1257" s="11" t="n">
        <f aca="false">F1225*F1256-sg_f-sg_v*F1225</f>
        <v>261.938841809469</v>
      </c>
      <c r="G1257" s="11" t="n">
        <f aca="false">G1225*G1256-sg_f-sg_v*G1225</f>
        <v>252.749574388575</v>
      </c>
    </row>
    <row r="1258" customFormat="false" ht="15" hidden="false" customHeight="false" outlineLevel="0" collapsed="false">
      <c r="A1258" s="0" t="s">
        <v>608</v>
      </c>
      <c r="B1258" s="0" t="s">
        <v>55</v>
      </c>
      <c r="C1258" s="11" t="n">
        <f aca="false">a25_eps</f>
        <v>1249.84</v>
      </c>
      <c r="D1258" s="11" t="n">
        <f aca="false">D1257*nioi_v01*1000/shares</f>
        <v>1545.37951653183</v>
      </c>
      <c r="E1258" s="11" t="n">
        <f aca="false">E1257*nioi_v01*1000/shares</f>
        <v>1672.64172321648</v>
      </c>
      <c r="F1258" s="11" t="n">
        <f aca="false">F1257*nioi_v01*1000/shares</f>
        <v>1768.91674161275</v>
      </c>
      <c r="G1258" s="11" t="n">
        <f aca="false">G1257*nioi_v01*1000/shares</f>
        <v>1706.86008414383</v>
      </c>
    </row>
    <row r="1270" customFormat="false" ht="15" hidden="false" customHeight="false" outlineLevel="0" collapsed="false">
      <c r="A1270" s="4" t="s">
        <v>838</v>
      </c>
    </row>
    <row r="1271" customFormat="false" ht="15" hidden="false" customHeight="false" outlineLevel="0" collapsed="false">
      <c r="A1271" s="6" t="s">
        <v>22</v>
      </c>
      <c r="B1271" s="6" t="s">
        <v>23</v>
      </c>
      <c r="C1271" s="9" t="s">
        <v>532</v>
      </c>
      <c r="D1271" s="9" t="s">
        <v>533</v>
      </c>
      <c r="E1271" s="9" t="s">
        <v>534</v>
      </c>
      <c r="F1271" s="9" t="s">
        <v>535</v>
      </c>
      <c r="G1271" s="9" t="s">
        <v>536</v>
      </c>
      <c r="H1271" s="9" t="s">
        <v>537</v>
      </c>
      <c r="I1271" s="9" t="s">
        <v>538</v>
      </c>
      <c r="J1271" s="6" t="s">
        <v>515</v>
      </c>
    </row>
    <row r="1272" customFormat="false" ht="15" hidden="false" customHeight="false" outlineLevel="0" collapsed="false">
      <c r="A1272" s="1" t="s">
        <v>539</v>
      </c>
    </row>
    <row r="1273" customFormat="false" ht="15" hidden="false" customHeight="false" outlineLevel="0" collapsed="false">
      <c r="A1273" s="0" t="s">
        <v>540</v>
      </c>
      <c r="B1273" s="0" t="s">
        <v>100</v>
      </c>
      <c r="C1273" s="19" t="n">
        <f aca="false">hsA_25</f>
        <v>2.22511470588235</v>
      </c>
      <c r="D1273" s="19" t="n">
        <f aca="false">hsA_26</f>
        <v>3.782695</v>
      </c>
      <c r="E1273" s="19" t="n">
        <f aca="false">hsA_27</f>
        <v>5.86317725</v>
      </c>
      <c r="F1273" s="19" t="n">
        <f aca="false">hsA_28</f>
        <v>8.5016070125</v>
      </c>
      <c r="G1273" s="19" t="n">
        <f aca="false">hsA_29</f>
        <v>11.477169466875</v>
      </c>
      <c r="H1273" s="19" t="n">
        <f aca="false">G1273*(1+g_tail_hi)</f>
        <v>13.77260336025</v>
      </c>
      <c r="I1273" s="19" t="n">
        <f aca="false">H1273*(1+g_tail_hi)</f>
        <v>16.5271240323</v>
      </c>
      <c r="J1273" s="8" t="s">
        <v>541</v>
      </c>
    </row>
    <row r="1274" customFormat="false" ht="15" hidden="false" customHeight="false" outlineLevel="0" collapsed="false">
      <c r="A1274" s="0" t="s">
        <v>542</v>
      </c>
      <c r="B1274" s="0" t="s">
        <v>543</v>
      </c>
      <c r="C1274" s="19" t="n">
        <f aca="false">den_25</f>
        <v>24</v>
      </c>
      <c r="D1274" s="19" t="n">
        <f aca="false">den_26</f>
        <v>24</v>
      </c>
      <c r="E1274" s="19" t="n">
        <f aca="false">den_27</f>
        <v>26</v>
      </c>
      <c r="F1274" s="19" t="n">
        <f aca="false">den_28</f>
        <v>28</v>
      </c>
      <c r="G1274" s="19" t="n">
        <f aca="false">den_29</f>
        <v>30</v>
      </c>
      <c r="H1274" s="19" t="n">
        <f aca="false">den_30</f>
        <v>32</v>
      </c>
      <c r="I1274" s="19" t="n">
        <f aca="false">den_30</f>
        <v>32</v>
      </c>
    </row>
    <row r="1275" customFormat="false" ht="15" hidden="false" customHeight="false" outlineLevel="0" collapsed="false">
      <c r="A1275" s="5" t="s">
        <v>544</v>
      </c>
      <c r="B1275" s="5" t="s">
        <v>152</v>
      </c>
      <c r="C1275" s="19" t="n">
        <f aca="false">stk_25</f>
        <v>10</v>
      </c>
      <c r="D1275" s="19" t="n">
        <f aca="false">stk_26</f>
        <v>12</v>
      </c>
      <c r="E1275" s="19" t="n">
        <f aca="false">stk_27</f>
        <v>12.5</v>
      </c>
      <c r="F1275" s="19" t="n">
        <f aca="false">stk_28</f>
        <v>14</v>
      </c>
      <c r="G1275" s="19" t="n">
        <f aca="false">stk_29</f>
        <v>15</v>
      </c>
      <c r="H1275" s="19" t="n">
        <f aca="false">stk_30</f>
        <v>16</v>
      </c>
      <c r="I1275" s="19" t="n">
        <f aca="false">stk_30</f>
        <v>16</v>
      </c>
    </row>
    <row r="1276" customFormat="false" ht="15" hidden="false" customHeight="false" outlineLevel="0" collapsed="false">
      <c r="A1276" s="0" t="s">
        <v>545</v>
      </c>
      <c r="B1276" s="5" t="s">
        <v>546</v>
      </c>
      <c r="C1276" s="19" t="n">
        <f aca="false">C1273*8/C1274</f>
        <v>0.741704901960783</v>
      </c>
      <c r="D1276" s="19" t="n">
        <f aca="false">D1273*8/D1274</f>
        <v>1.26089833333333</v>
      </c>
      <c r="E1276" s="19" t="n">
        <f aca="false">E1273*8/E1274</f>
        <v>1.80405453846154</v>
      </c>
      <c r="F1276" s="19" t="n">
        <f aca="false">F1273*8/F1274</f>
        <v>2.429030575</v>
      </c>
      <c r="G1276" s="19" t="n">
        <f aca="false">G1273*8/G1274</f>
        <v>3.0605785245</v>
      </c>
      <c r="H1276" s="19" t="n">
        <f aca="false">H1273*8/H1274</f>
        <v>3.4431508400625</v>
      </c>
      <c r="I1276" s="19" t="n">
        <f aca="false">I1273*8/I1274</f>
        <v>4.131781008075</v>
      </c>
      <c r="J1276" s="8" t="s">
        <v>547</v>
      </c>
    </row>
    <row r="1277" customFormat="false" ht="15" hidden="false" customHeight="false" outlineLevel="0" collapsed="false">
      <c r="A1277" s="0" t="s">
        <v>548</v>
      </c>
      <c r="B1277" s="5" t="s">
        <v>549</v>
      </c>
      <c r="C1277" s="19" t="n">
        <f aca="false">C1276*(1+s_stk/C1275)</f>
        <v>0.964216372549018</v>
      </c>
      <c r="D1277" s="19" t="n">
        <f aca="false">D1276*(1+s_stk/D1275)</f>
        <v>1.57612291666667</v>
      </c>
      <c r="E1277" s="19" t="n">
        <f aca="false">E1276*(1+s_stk/E1275)</f>
        <v>2.23702762769231</v>
      </c>
      <c r="F1277" s="19" t="n">
        <f aca="false">F1276*(1+s_stk/F1275)</f>
        <v>2.94953712678571</v>
      </c>
      <c r="G1277" s="19" t="n">
        <f aca="false">G1276*(1+s_stk/G1275)</f>
        <v>3.6726942294</v>
      </c>
      <c r="H1277" s="19" t="n">
        <f aca="false">H1276*(1+s_stk/H1275)</f>
        <v>4.08874162257422</v>
      </c>
      <c r="I1277" s="19" t="n">
        <f aca="false">I1276*(1+s_stk/I1275)</f>
        <v>4.90648994708906</v>
      </c>
      <c r="J1277" s="5" t="s">
        <v>550</v>
      </c>
    </row>
    <row r="1278" customFormat="false" ht="15" hidden="false" customHeight="false" outlineLevel="0" collapsed="false">
      <c r="A1278" s="5" t="s">
        <v>551</v>
      </c>
      <c r="B1278" s="0" t="s">
        <v>60</v>
      </c>
      <c r="C1278" s="22" t="n">
        <f aca="false">hbp_25*hb_on</f>
        <v>0</v>
      </c>
      <c r="D1278" s="22" t="n">
        <f aca="false">hbp_26*hb_on</f>
        <v>0</v>
      </c>
      <c r="E1278" s="22" t="n">
        <f aca="false">hbp_27*hb_on</f>
        <v>0</v>
      </c>
      <c r="F1278" s="22" t="n">
        <f aca="false">hbp_28*hb_on</f>
        <v>0.05</v>
      </c>
      <c r="G1278" s="22" t="n">
        <f aca="false">hbp_29*hb_on</f>
        <v>0.15</v>
      </c>
      <c r="H1278" s="22" t="n">
        <f aca="false">hbp_30*hb_on</f>
        <v>0.25</v>
      </c>
      <c r="I1278" s="22" t="n">
        <f aca="false">hbp_30*hb_on</f>
        <v>0.25</v>
      </c>
    </row>
    <row r="1279" customFormat="false" ht="15" hidden="false" customHeight="false" outlineLevel="0" collapsed="false">
      <c r="A1279" s="0" t="s">
        <v>552</v>
      </c>
      <c r="B1279" s="5" t="s">
        <v>549</v>
      </c>
      <c r="C1279" s="19" t="n">
        <f aca="false">C1277*(1+C1278*hb_eff)</f>
        <v>0.964216372549018</v>
      </c>
      <c r="D1279" s="19" t="n">
        <f aca="false">D1277*(1+D1278*hb_eff)</f>
        <v>1.57612291666667</v>
      </c>
      <c r="E1279" s="19" t="n">
        <f aca="false">E1277*(1+E1278*hb_eff)</f>
        <v>2.23702762769231</v>
      </c>
      <c r="F1279" s="19" t="n">
        <f aca="false">F1277*(1+F1278*hb_eff)</f>
        <v>2.96428481241964</v>
      </c>
      <c r="G1279" s="19" t="n">
        <f aca="false">G1277*(1+G1278*hb_eff)</f>
        <v>3.727784642841</v>
      </c>
      <c r="H1279" s="19" t="n">
        <f aca="false">H1277*(1+H1278*hb_eff)</f>
        <v>4.19096016313857</v>
      </c>
      <c r="I1279" s="19" t="n">
        <f aca="false">I1277*(1+I1278*hb_eff)</f>
        <v>5.02915219576629</v>
      </c>
      <c r="J1279" s="5" t="s">
        <v>553</v>
      </c>
    </row>
    <row r="1280" customFormat="false" ht="15" hidden="false" customHeight="false" outlineLevel="0" collapsed="false">
      <c r="A1280" s="0" t="s">
        <v>554</v>
      </c>
      <c r="B1280" s="5" t="s">
        <v>549</v>
      </c>
      <c r="C1280" s="19" t="n">
        <f aca="false">MAX(0,D1279-C1279)+dlt*C1279</f>
        <v>0.70832818137255</v>
      </c>
      <c r="D1280" s="19" t="n">
        <f aca="false">MAX(0,E1279-D1279)+dlt*D1279</f>
        <v>0.818517002692307</v>
      </c>
      <c r="E1280" s="19" t="n">
        <f aca="false">MAX(0,F1279-E1279)+dlt*E1279</f>
        <v>0.950959947496565</v>
      </c>
      <c r="F1280" s="19" t="n">
        <f aca="false">MAX(0,G1279-F1279)+dlt*F1279</f>
        <v>1.05992831166332</v>
      </c>
      <c r="G1280" s="19" t="n">
        <f aca="false">MAX(0,H1279-G1279)+dlt*G1279</f>
        <v>0.835953984581674</v>
      </c>
      <c r="H1280" s="19" t="n">
        <f aca="false">MAX(0,I1279-H1279)+dlt*H1279</f>
        <v>1.25728804894157</v>
      </c>
      <c r="J1280" s="5" t="s">
        <v>555</v>
      </c>
    </row>
    <row r="1281" customFormat="false" ht="15" hidden="false" customHeight="false" outlineLevel="0" collapsed="false">
      <c r="A1281" s="0" t="s">
        <v>556</v>
      </c>
      <c r="B1281" s="5" t="s">
        <v>181</v>
      </c>
      <c r="C1281" s="21" t="n">
        <f aca="false">cw_25</f>
        <v>670</v>
      </c>
      <c r="D1281" s="21" t="n">
        <f aca="false">cw_26</f>
        <v>1107.85762580894</v>
      </c>
      <c r="E1281" s="21" t="n">
        <f aca="false">cw_27</f>
        <v>2096.42857142857</v>
      </c>
      <c r="F1281" s="21" t="n">
        <f aca="false">cw_28*um28_A</f>
        <v>2620.08928571429</v>
      </c>
      <c r="G1281" s="21" t="n">
        <f aca="false">cw_29*um29_A</f>
        <v>3013.32589285714</v>
      </c>
      <c r="H1281" s="21" t="n">
        <f aca="false">G1281*(1+g_tail_hi)</f>
        <v>3615.99107142857</v>
      </c>
      <c r="I1281" s="21" t="n">
        <f aca="false">H1281*(1+g_tail_hi)</f>
        <v>4339.18928571428</v>
      </c>
      <c r="J1281" s="5" t="s">
        <v>557</v>
      </c>
    </row>
    <row r="1282" customFormat="false" ht="15" hidden="false" customHeight="false" outlineLevel="0" collapsed="false">
      <c r="A1282" s="5" t="s">
        <v>558</v>
      </c>
      <c r="B1282" s="5" t="s">
        <v>181</v>
      </c>
      <c r="C1282" s="21" t="n">
        <f aca="false">MAX(0,D1281-C1281)+dlt*C1281</f>
        <v>504.85762580894</v>
      </c>
      <c r="D1282" s="21" t="n">
        <f aca="false">MAX(0,E1281-D1281)+dlt*D1281</f>
        <v>1099.35670820052</v>
      </c>
      <c r="E1282" s="21" t="n">
        <f aca="false">MAX(0,F1281-E1281)+dlt*E1281</f>
        <v>733.303571428577</v>
      </c>
      <c r="F1282" s="21" t="n">
        <f aca="false">MAX(0,G1281-F1281)+dlt*F1281</f>
        <v>655.245535714279</v>
      </c>
      <c r="G1282" s="21" t="n">
        <f aca="false">MAX(0,H1281-G1281)+dlt*G1281</f>
        <v>903.997767857142</v>
      </c>
      <c r="H1282" s="21" t="n">
        <f aca="false">MAX(0,I1281-H1281)+dlt*H1281</f>
        <v>1084.79732142857</v>
      </c>
    </row>
    <row r="1283" customFormat="false" ht="15" hidden="false" customHeight="false" outlineLevel="0" collapsed="false">
      <c r="A1283" s="1" t="s">
        <v>559</v>
      </c>
    </row>
    <row r="1284" customFormat="false" ht="15" hidden="false" customHeight="false" outlineLevel="0" collapsed="false">
      <c r="A1284" s="0" t="s">
        <v>560</v>
      </c>
      <c r="B1284" s="0" t="s">
        <v>561</v>
      </c>
      <c r="C1284" s="16" t="n">
        <f aca="false">ai_25*w_hbm/(0.75*C1280+0.25*D1280)</f>
        <v>48.9213264236471</v>
      </c>
      <c r="J1284" s="5" t="s">
        <v>562</v>
      </c>
    </row>
    <row r="1285" customFormat="false" ht="15" hidden="false" customHeight="false" outlineLevel="0" collapsed="false">
      <c r="A1285" s="5" t="s">
        <v>563</v>
      </c>
      <c r="B1285" s="0" t="s">
        <v>564</v>
      </c>
      <c r="C1285" s="18" t="n">
        <f aca="false">ai_25*(1-w_hbm)/(0.75*C1282+0.25*D1282)</f>
        <v>0.0596802610360141</v>
      </c>
    </row>
    <row r="1286" customFormat="false" ht="15" hidden="false" customHeight="false" outlineLevel="0" collapsed="false">
      <c r="A1286" s="1" t="s">
        <v>565</v>
      </c>
    </row>
    <row r="1287" customFormat="false" ht="15" hidden="false" customHeight="false" outlineLevel="0" collapsed="false">
      <c r="A1287" s="5" t="s">
        <v>566</v>
      </c>
      <c r="B1287" s="0" t="s">
        <v>80</v>
      </c>
      <c r="C1287" s="16" t="n">
        <f aca="false">1-sh_loss/sh*0</f>
        <v>1</v>
      </c>
      <c r="D1287" s="16" t="n">
        <f aca="false">1-sh_loss/sh*0.25</f>
        <v>1</v>
      </c>
      <c r="E1287" s="16" t="n">
        <f aca="false">1-sh_loss/sh*0.5</f>
        <v>1</v>
      </c>
      <c r="F1287" s="16" t="n">
        <f aca="false">1-sh_loss/sh*0.75</f>
        <v>1</v>
      </c>
      <c r="G1287" s="16" t="n">
        <f aca="false">1-sh_loss/sh*1</f>
        <v>1</v>
      </c>
    </row>
    <row r="1288" customFormat="false" ht="15" hidden="false" customHeight="false" outlineLevel="0" collapsed="false">
      <c r="A1288" s="0" t="s">
        <v>567</v>
      </c>
      <c r="B1288" s="0" t="s">
        <v>33</v>
      </c>
      <c r="C1288" s="11" t="n">
        <f aca="false">$C$1284*(0.75*C1280+0.25*D1280)*C1287</f>
        <v>36</v>
      </c>
      <c r="D1288" s="11" t="n">
        <f aca="false">$C$1284*(0.75*D1280+0.25*E1280)*D1287</f>
        <v>41.6627586058351</v>
      </c>
      <c r="E1288" s="11" t="n">
        <f aca="false">$C$1284*(0.75*E1280+0.25*F1280)*E1287</f>
        <v>47.8549412356069</v>
      </c>
      <c r="F1288" s="11" t="n">
        <f aca="false">$C$1284*(0.75*F1280+0.25*G1280)*F1287</f>
        <v>49.113818629127</v>
      </c>
      <c r="G1288" s="11" t="n">
        <f aca="false">$C$1284*(0.75*G1280+0.25*H1280)*G1287</f>
        <v>46.0490330788566</v>
      </c>
    </row>
    <row r="1289" customFormat="false" ht="15" hidden="false" customHeight="false" outlineLevel="0" collapsed="false">
      <c r="A1289" s="5" t="s">
        <v>568</v>
      </c>
      <c r="B1289" s="0" t="s">
        <v>33</v>
      </c>
      <c r="C1289" s="11" t="n">
        <f aca="false">$C$1285*(0.75*C1282+0.25*D1282)*C1287</f>
        <v>39</v>
      </c>
      <c r="D1289" s="11" t="n">
        <f aca="false">$C$1285*(0.75*D1282+0.25*E1282)*D1287</f>
        <v>60.1483586282001</v>
      </c>
      <c r="E1289" s="11" t="n">
        <f aca="false">$C$1285*(0.75*E1282+0.25*F1282)*E1287</f>
        <v>42.5991175746519</v>
      </c>
      <c r="F1289" s="11" t="n">
        <f aca="false">$C$1285*(0.75*F1282+0.25*G1282)*F1287</f>
        <v>42.8166241510054</v>
      </c>
      <c r="G1289" s="11" t="n">
        <f aca="false">$C$1285*(0.75*G1282+0.25*H1282)*G1287</f>
        <v>56.6483638997727</v>
      </c>
    </row>
    <row r="1290" customFormat="false" ht="15" hidden="false" customHeight="false" outlineLevel="0" collapsed="false">
      <c r="A1290" s="0" t="s">
        <v>569</v>
      </c>
      <c r="B1290" s="0" t="s">
        <v>33</v>
      </c>
      <c r="C1290" s="11" t="n">
        <f aca="false">C1288+C1289</f>
        <v>75</v>
      </c>
      <c r="D1290" s="11" t="n">
        <f aca="false">D1288+D1289</f>
        <v>101.811117234035</v>
      </c>
      <c r="E1290" s="11" t="n">
        <f aca="false">E1288+E1289</f>
        <v>90.4540588102588</v>
      </c>
      <c r="F1290" s="11" t="n">
        <f aca="false">F1288+F1289</f>
        <v>91.9304427801324</v>
      </c>
      <c r="G1290" s="11" t="n">
        <f aca="false">G1288+G1289</f>
        <v>102.697396978629</v>
      </c>
    </row>
    <row r="1291" customFormat="false" ht="15" hidden="false" customHeight="false" outlineLevel="0" collapsed="false">
      <c r="A1291" s="5" t="s">
        <v>570</v>
      </c>
      <c r="B1291" s="0" t="s">
        <v>33</v>
      </c>
      <c r="C1291" s="11" t="n">
        <f aca="false">eq_25-ai_25</f>
        <v>195.87118</v>
      </c>
      <c r="D1291" s="11" t="n">
        <f aca="false">C1291*(1+g_non)*D1287/C1287</f>
        <v>207.6234508</v>
      </c>
      <c r="E1291" s="11" t="n">
        <f aca="false">D1291*(1+g_non)*E1287/D1287</f>
        <v>220.080857848</v>
      </c>
      <c r="F1291" s="11" t="n">
        <f aca="false">E1291*(1+g_non)*F1287/E1287</f>
        <v>233.28570931888</v>
      </c>
      <c r="G1291" s="11" t="n">
        <f aca="false">F1291*(1+g_non)*G1287/F1287</f>
        <v>247.282851878013</v>
      </c>
    </row>
    <row r="1292" customFormat="false" ht="15" hidden="false" customHeight="false" outlineLevel="0" collapsed="false">
      <c r="A1292" s="0" t="s">
        <v>571</v>
      </c>
      <c r="B1292" s="0" t="s">
        <v>80</v>
      </c>
      <c r="C1292" s="19" t="n">
        <f aca="false">w_hbm*(0.75*C1279+0.25*D1279)/(0.75*C1279+0.25*D1279)+(1-w_hbm)*(0.75*C1281+0.25*D1281)/(0.75*C1281+0.25*D1281)</f>
        <v>1</v>
      </c>
      <c r="D1292" s="19" t="n">
        <f aca="false">w_hbm*(0.75*D1279+0.25*E1279)/(0.75*C1279+0.25*D1279)+(1-w_hbm)*(0.75*D1281+0.25*E1281)/(0.75*C1281+0.25*D1281)</f>
        <v>1.65212184085657</v>
      </c>
      <c r="E1292" s="19" t="n">
        <f aca="false">w_hbm*(0.75*E1279+0.25*F1279)/(0.75*C1279+0.25*D1279)+(1-w_hbm)*(0.75*E1281+0.25*F1281)/(0.75*C1281+0.25*D1281)</f>
        <v>2.52516730417954</v>
      </c>
      <c r="F1292" s="19" t="n">
        <f aca="false">w_hbm*(0.75*F1279+0.25*G1279)/(0.75*C1279+0.25*D1279)+(1-w_hbm)*(0.75*F1281+0.25*G1281)/(0.75*C1281+0.25*D1281)</f>
        <v>3.16911970169284</v>
      </c>
      <c r="G1292" s="19" t="n">
        <f aca="false">w_hbm*(0.75*G1279+0.25*H1279)/(0.75*C1279+0.25*D1279)+(1-w_hbm)*(0.75*G1281+0.25*H1281)/(0.75*C1281+0.25*D1281)</f>
        <v>3.76216422179002</v>
      </c>
      <c r="J1292" s="8" t="s">
        <v>572</v>
      </c>
    </row>
    <row r="1293" customFormat="false" ht="15" hidden="false" customHeight="false" outlineLevel="0" collapsed="false">
      <c r="A1293" s="0" t="s">
        <v>573</v>
      </c>
      <c r="B1293" s="0" t="s">
        <v>33</v>
      </c>
      <c r="C1293" s="11" t="n">
        <f aca="false">tl_25*w_tlai*C1292</f>
        <v>25.4032258064516</v>
      </c>
      <c r="D1293" s="11" t="n">
        <f aca="false">tl_25*w_tlai*D1292</f>
        <v>41.9692241830499</v>
      </c>
      <c r="E1293" s="11" t="n">
        <f aca="false">tl_25*w_tlai*E1292</f>
        <v>64.1473952271414</v>
      </c>
      <c r="F1293" s="11" t="n">
        <f aca="false">tl_25*w_tlai*F1292</f>
        <v>80.5058633897778</v>
      </c>
      <c r="G1293" s="11" t="n">
        <f aca="false">tl_25*w_tlai*G1292</f>
        <v>95.5711072470853</v>
      </c>
      <c r="J1293" s="5" t="s">
        <v>574</v>
      </c>
    </row>
    <row r="1294" customFormat="false" ht="15" hidden="false" customHeight="false" outlineLevel="0" collapsed="false">
      <c r="A1294" s="5" t="s">
        <v>575</v>
      </c>
      <c r="B1294" s="0" t="s">
        <v>33</v>
      </c>
      <c r="C1294" s="11" t="n">
        <f aca="false">tl_25*(1-w_tlai)</f>
        <v>66.3434641935484</v>
      </c>
      <c r="D1294" s="11" t="n">
        <f aca="false">C1294*(1+g_tl)</f>
        <v>69.6606374032258</v>
      </c>
      <c r="E1294" s="11" t="n">
        <f aca="false">D1294*(1+g_tl)</f>
        <v>73.1436692733871</v>
      </c>
      <c r="F1294" s="11" t="n">
        <f aca="false">E1294*(1+g_tl)</f>
        <v>76.8008527370565</v>
      </c>
      <c r="G1294" s="11" t="n">
        <f aca="false">F1294*(1+g_tl)</f>
        <v>80.6408953739093</v>
      </c>
    </row>
    <row r="1295" customFormat="false" ht="15" hidden="false" customHeight="false" outlineLevel="0" collapsed="false">
      <c r="A1295" s="5" t="s">
        <v>576</v>
      </c>
      <c r="B1295" s="0" t="s">
        <v>33</v>
      </c>
      <c r="C1295" s="11" t="n">
        <f aca="false">(C1290+C1291+C1293+C1294)*(1+r_ot)</f>
        <v>436.889</v>
      </c>
      <c r="D1295" s="11" t="n">
        <f aca="false">(D1290+D1291+D1293+D1294)*(1+r_ot)</f>
        <v>507.306541711218</v>
      </c>
      <c r="E1295" s="11" t="n">
        <f aca="false">(E1290+E1291+E1293+E1294)*(1+r_ot)</f>
        <v>539.549374890105</v>
      </c>
      <c r="F1295" s="11" t="n">
        <f aca="false">(F1290+F1291+F1293+F1294)*(1+r_ot)</f>
        <v>581.352853284153</v>
      </c>
      <c r="G1295" s="11" t="n">
        <f aca="false">(G1290+G1291+G1293+G1294)*(1+r_ot)</f>
        <v>633.966568045346</v>
      </c>
      <c r="J1295" s="8" t="s">
        <v>577</v>
      </c>
    </row>
    <row r="1296" customFormat="false" ht="15" hidden="false" customHeight="false" outlineLevel="0" collapsed="false">
      <c r="A1296" s="1" t="s">
        <v>578</v>
      </c>
    </row>
    <row r="1297" customFormat="false" ht="15" hidden="false" customHeight="false" outlineLevel="0" collapsed="false">
      <c r="A1297" s="5" t="s">
        <v>579</v>
      </c>
      <c r="B1297" s="0" t="s">
        <v>33</v>
      </c>
      <c r="D1297" s="11" t="n">
        <f aca="false">g3_rev*(1+g_q4)</f>
        <v>145.6862</v>
      </c>
    </row>
    <row r="1298" customFormat="false" ht="15" hidden="false" customHeight="false" outlineLevel="0" collapsed="false">
      <c r="A1298" s="0" t="s">
        <v>580</v>
      </c>
      <c r="B1298" s="0" t="s">
        <v>33</v>
      </c>
      <c r="D1298" s="11" t="n">
        <f aca="false">q26h1_rev+g3_rev+D1297</f>
        <v>535.1862</v>
      </c>
    </row>
    <row r="1299" customFormat="false" ht="15" hidden="false" customHeight="false" outlineLevel="0" collapsed="false">
      <c r="A1299" s="0" t="s">
        <v>581</v>
      </c>
      <c r="B1299" s="0" t="s">
        <v>33</v>
      </c>
      <c r="D1299" s="11" t="n">
        <f aca="false">q26h1_gp+(g3_rev+D1297)*gm_q3</f>
        <v>378.0504836</v>
      </c>
    </row>
    <row r="1300" customFormat="false" ht="15" hidden="false" customHeight="false" outlineLevel="0" collapsed="false">
      <c r="A1300" s="0" t="s">
        <v>582</v>
      </c>
      <c r="B1300" s="0" t="s">
        <v>33</v>
      </c>
      <c r="D1300" s="11" t="n">
        <f aca="false">q26h1_oi+g3_oi+D1297*m_q4</f>
        <v>238.5671</v>
      </c>
    </row>
    <row r="1301" customFormat="false" ht="15" hidden="false" customHeight="false" outlineLevel="0" collapsed="false">
      <c r="A1301" s="0" t="s">
        <v>583</v>
      </c>
      <c r="B1301" s="0" t="s">
        <v>33</v>
      </c>
      <c r="D1301" s="11" t="n">
        <f aca="false">q26h1_ni+g3_ni+D1297*m_q4*nioi</f>
        <v>167.95938138934</v>
      </c>
    </row>
    <row r="1302" customFormat="false" ht="15" hidden="false" customHeight="false" outlineLevel="0" collapsed="false">
      <c r="A1302" s="5" t="s">
        <v>584</v>
      </c>
      <c r="B1302" s="0" t="s">
        <v>80</v>
      </c>
      <c r="D1302" s="16" t="n">
        <f aca="false">D1298/D1295</f>
        <v>1.05495623650888</v>
      </c>
      <c r="J1302" s="8" t="s">
        <v>585</v>
      </c>
    </row>
    <row r="1303" customFormat="false" ht="15" hidden="false" customHeight="false" outlineLevel="0" collapsed="false">
      <c r="A1303" s="5" t="s">
        <v>586</v>
      </c>
      <c r="B1303" s="0" t="s">
        <v>80</v>
      </c>
      <c r="D1303" s="16" t="n">
        <f aca="false">1+anc_carry*(D1302-1)</f>
        <v>1.05495623650888</v>
      </c>
      <c r="J1303" s="8" t="s">
        <v>587</v>
      </c>
    </row>
    <row r="1304" customFormat="false" ht="15" hidden="false" customHeight="false" outlineLevel="0" collapsed="false">
      <c r="A1304" s="1" t="s">
        <v>588</v>
      </c>
    </row>
    <row r="1305" customFormat="false" ht="15" hidden="false" customHeight="false" outlineLevel="0" collapsed="false">
      <c r="A1305" s="0" t="s">
        <v>589</v>
      </c>
      <c r="B1305" s="0" t="s">
        <v>33</v>
      </c>
      <c r="C1305" s="11" t="n">
        <f aca="false">C1288*1</f>
        <v>36</v>
      </c>
      <c r="D1305" s="11" t="n">
        <f aca="false">D1288*$D$1302</f>
        <v>43.9523870213896</v>
      </c>
      <c r="E1305" s="11" t="n">
        <f aca="false">E1288*1</f>
        <v>47.8549412356069</v>
      </c>
      <c r="F1305" s="11" t="n">
        <f aca="false">F1288*1</f>
        <v>49.113818629127</v>
      </c>
      <c r="G1305" s="11" t="n">
        <f aca="false">G1288*1</f>
        <v>46.0490330788566</v>
      </c>
    </row>
    <row r="1306" customFormat="false" ht="15" hidden="false" customHeight="false" outlineLevel="0" collapsed="false">
      <c r="A1306" s="5" t="s">
        <v>590</v>
      </c>
      <c r="B1306" s="0" t="s">
        <v>33</v>
      </c>
      <c r="C1306" s="11" t="n">
        <f aca="false">C1289*1</f>
        <v>39</v>
      </c>
      <c r="D1306" s="11" t="n">
        <f aca="false">D1289*$D$1302</f>
        <v>63.4538860505921</v>
      </c>
      <c r="E1306" s="11" t="n">
        <f aca="false">E1289*1</f>
        <v>42.5991175746519</v>
      </c>
      <c r="F1306" s="11" t="n">
        <f aca="false">F1289*1</f>
        <v>42.8166241510054</v>
      </c>
      <c r="G1306" s="11" t="n">
        <f aca="false">G1289*1</f>
        <v>56.6483638997727</v>
      </c>
    </row>
    <row r="1307" customFormat="false" ht="15" hidden="false" customHeight="false" outlineLevel="0" collapsed="false">
      <c r="A1307" s="0" t="s">
        <v>591</v>
      </c>
      <c r="B1307" s="0" t="s">
        <v>33</v>
      </c>
      <c r="C1307" s="11" t="n">
        <f aca="false">C1305+C1306</f>
        <v>75</v>
      </c>
      <c r="D1307" s="11" t="n">
        <f aca="false">D1305+D1306</f>
        <v>107.406273071982</v>
      </c>
      <c r="E1307" s="11" t="n">
        <f aca="false">E1305+E1306</f>
        <v>90.4540588102588</v>
      </c>
      <c r="F1307" s="11" t="n">
        <f aca="false">F1305+F1306</f>
        <v>91.9304427801324</v>
      </c>
      <c r="G1307" s="11" t="n">
        <f aca="false">G1305+G1306</f>
        <v>102.697396978629</v>
      </c>
    </row>
    <row r="1308" customFormat="false" ht="15" hidden="false" customHeight="false" outlineLevel="0" collapsed="false">
      <c r="A1308" s="5" t="s">
        <v>592</v>
      </c>
      <c r="B1308" s="0" t="s">
        <v>33</v>
      </c>
      <c r="C1308" s="11" t="n">
        <f aca="false">C1291*1</f>
        <v>195.87118</v>
      </c>
      <c r="D1308" s="11" t="n">
        <f aca="false">D1291*$D$1302</f>
        <v>219.033654266954</v>
      </c>
      <c r="E1308" s="11" t="n">
        <f aca="false">E1291*$D$1303</f>
        <v>232.175673522971</v>
      </c>
      <c r="F1308" s="11" t="n">
        <f aca="false">F1291*$D$1303</f>
        <v>246.106213934349</v>
      </c>
      <c r="G1308" s="11" t="n">
        <f aca="false">G1291*$D$1303</f>
        <v>260.87258677041</v>
      </c>
    </row>
    <row r="1309" customFormat="false" ht="15" hidden="false" customHeight="false" outlineLevel="0" collapsed="false">
      <c r="A1309" s="5" t="s">
        <v>593</v>
      </c>
      <c r="B1309" s="0" t="s">
        <v>33</v>
      </c>
      <c r="C1309" s="11" t="n">
        <f aca="false">C1307+C1308</f>
        <v>270.87118</v>
      </c>
      <c r="D1309" s="11" t="n">
        <f aca="false">D1307+D1308</f>
        <v>326.439927338936</v>
      </c>
      <c r="E1309" s="11" t="n">
        <f aca="false">E1307+E1308</f>
        <v>322.62973233323</v>
      </c>
      <c r="F1309" s="11" t="n">
        <f aca="false">F1307+F1308</f>
        <v>338.036656714482</v>
      </c>
      <c r="G1309" s="11" t="n">
        <f aca="false">G1307+G1308</f>
        <v>363.56998374904</v>
      </c>
    </row>
    <row r="1310" customFormat="false" ht="15" hidden="false" customHeight="false" outlineLevel="0" collapsed="false">
      <c r="A1310" s="0" t="s">
        <v>594</v>
      </c>
      <c r="B1310" s="0" t="s">
        <v>33</v>
      </c>
      <c r="C1310" s="11" t="n">
        <f aca="false">C1293*1</f>
        <v>25.4032258064516</v>
      </c>
      <c r="D1310" s="11" t="n">
        <f aca="false">D1293*$D$1302</f>
        <v>44.2756947933477</v>
      </c>
      <c r="E1310" s="11" t="n">
        <f aca="false">E1293*1</f>
        <v>64.1473952271414</v>
      </c>
      <c r="F1310" s="11" t="n">
        <f aca="false">F1293*1</f>
        <v>80.5058633897778</v>
      </c>
      <c r="G1310" s="11" t="n">
        <f aca="false">G1293*1</f>
        <v>95.5711072470853</v>
      </c>
    </row>
    <row r="1311" customFormat="false" ht="15" hidden="false" customHeight="false" outlineLevel="0" collapsed="false">
      <c r="A1311" s="5" t="s">
        <v>595</v>
      </c>
      <c r="B1311" s="0" t="s">
        <v>33</v>
      </c>
      <c r="C1311" s="11" t="n">
        <f aca="false">C1294*1</f>
        <v>66.3434641935484</v>
      </c>
      <c r="D1311" s="11" t="n">
        <f aca="false">D1294*$D$1302</f>
        <v>73.4889238677166</v>
      </c>
      <c r="E1311" s="11" t="n">
        <f aca="false">E1294*$D$1303</f>
        <v>77.1633700611024</v>
      </c>
      <c r="F1311" s="11" t="n">
        <f aca="false">F1294*$D$1303</f>
        <v>81.0215385641575</v>
      </c>
      <c r="G1311" s="11" t="n">
        <f aca="false">G1294*$D$1303</f>
        <v>85.0726154923654</v>
      </c>
    </row>
    <row r="1312" customFormat="false" ht="15" hidden="false" customHeight="false" outlineLevel="0" collapsed="false">
      <c r="A1312" s="5" t="s">
        <v>596</v>
      </c>
      <c r="B1312" s="0" t="s">
        <v>33</v>
      </c>
      <c r="C1312" s="11" t="n">
        <f aca="false">C1310+C1311</f>
        <v>91.74669</v>
      </c>
      <c r="D1312" s="11" t="n">
        <f aca="false">D1310+D1311</f>
        <v>117.764618661064</v>
      </c>
      <c r="E1312" s="11" t="n">
        <f aca="false">E1310+E1311</f>
        <v>141.310765288244</v>
      </c>
      <c r="F1312" s="11" t="n">
        <f aca="false">F1310+F1311</f>
        <v>161.527401953935</v>
      </c>
      <c r="G1312" s="11" t="n">
        <f aca="false">G1310+G1311</f>
        <v>180.643722739451</v>
      </c>
    </row>
    <row r="1313" customFormat="false" ht="15" hidden="false" customHeight="false" outlineLevel="0" collapsed="false">
      <c r="A1313" s="5" t="s">
        <v>458</v>
      </c>
      <c r="B1313" s="0" t="s">
        <v>33</v>
      </c>
      <c r="C1313" s="11" t="n">
        <f aca="false">r_ot*(C1309+C1312)</f>
        <v>74.27113</v>
      </c>
      <c r="D1313" s="11" t="n">
        <f aca="false">r_ot*(D1309+D1312)</f>
        <v>90.981654</v>
      </c>
      <c r="E1313" s="11" t="n">
        <f aca="false">r_ot*(E1309+E1312)</f>
        <v>95.0239573441573</v>
      </c>
      <c r="F1313" s="11" t="n">
        <f aca="false">r_ot*(F1309+F1312)</f>
        <v>102.32034936582</v>
      </c>
      <c r="G1313" s="11" t="n">
        <f aca="false">r_ot*(G1309+G1312)</f>
        <v>111.465457955474</v>
      </c>
    </row>
    <row r="1314" customFormat="false" ht="15" hidden="false" customHeight="false" outlineLevel="0" collapsed="false">
      <c r="A1314" s="5" t="s">
        <v>428</v>
      </c>
      <c r="B1314" s="0" t="s">
        <v>33</v>
      </c>
      <c r="C1314" s="11" t="n">
        <f aca="false">C1309+C1312+C1313</f>
        <v>436.889</v>
      </c>
      <c r="D1314" s="11" t="n">
        <f aca="false">D1309+D1312+D1313</f>
        <v>535.1862</v>
      </c>
      <c r="E1314" s="11" t="n">
        <f aca="false">E1309+E1312+E1313</f>
        <v>558.964454965631</v>
      </c>
      <c r="F1314" s="11" t="n">
        <f aca="false">F1309+F1312+F1313</f>
        <v>601.884408034237</v>
      </c>
      <c r="G1314" s="11" t="n">
        <f aca="false">G1309+G1312+G1313</f>
        <v>655.679164443965</v>
      </c>
      <c r="J1314" s="8" t="s">
        <v>597</v>
      </c>
    </row>
    <row r="1315" customFormat="false" ht="15" hidden="false" customHeight="false" outlineLevel="0" collapsed="false">
      <c r="A1315" s="0" t="s">
        <v>598</v>
      </c>
      <c r="B1315" s="0" t="s">
        <v>60</v>
      </c>
      <c r="C1315" s="14" t="n">
        <f aca="false">(C1307+C1310)*(1+r_ot)/C1314</f>
        <v>0.276884384673187</v>
      </c>
      <c r="D1315" s="14" t="n">
        <f aca="false">(D1307+D1310)*(1+r_ot)/D1314</f>
        <v>0.341468742792492</v>
      </c>
      <c r="E1315" s="14" t="n">
        <f aca="false">(E1307+E1310)*(1+r_ot)/E1314</f>
        <v>0.333235522292211</v>
      </c>
      <c r="F1315" s="14" t="n">
        <f aca="false">(F1307+F1310)*(1+r_ot)/F1314</f>
        <v>0.345173563185345</v>
      </c>
      <c r="G1315" s="14" t="n">
        <f aca="false">(G1307+G1310)*(1+r_ot)/G1314</f>
        <v>0.364321041278125</v>
      </c>
    </row>
    <row r="1316" customFormat="false" ht="15" hidden="false" customHeight="false" outlineLevel="0" collapsed="false">
      <c r="A1316" s="0" t="s">
        <v>599</v>
      </c>
      <c r="B1316" s="0" t="s">
        <v>60</v>
      </c>
      <c r="C1316" s="14" t="n">
        <f aca="false">C1307*(1+r_ot)/C1314</f>
        <v>0.206829299394429</v>
      </c>
      <c r="D1316" s="14" t="n">
        <f aca="false">D1307*(1+r_ot)/D1314</f>
        <v>0.241794628261148</v>
      </c>
      <c r="E1316" s="14" t="n">
        <f aca="false">E1307*(1+r_ot)/E1314</f>
        <v>0.194969094687784</v>
      </c>
      <c r="F1316" s="14" t="n">
        <f aca="false">F1307*(1+r_ot)/F1314</f>
        <v>0.18402133056804</v>
      </c>
      <c r="G1316" s="14" t="n">
        <f aca="false">G1307*(1+r_ot)/G1314</f>
        <v>0.188707847219209</v>
      </c>
      <c r="J1316" s="5" t="s">
        <v>600</v>
      </c>
    </row>
    <row r="1317" customFormat="false" ht="15" hidden="false" customHeight="false" outlineLevel="0" collapsed="false">
      <c r="A1317" s="5" t="s">
        <v>466</v>
      </c>
      <c r="B1317" s="0" t="s">
        <v>60</v>
      </c>
      <c r="C1317" s="14" t="n">
        <f aca="false">a25_gp/a25_rev</f>
        <v>0.701498549974936</v>
      </c>
      <c r="D1317" s="14" t="n">
        <f aca="false">D1299/D1314</f>
        <v>0.70639056761927</v>
      </c>
      <c r="E1317" s="14" t="n">
        <f aca="false">gm_a+gm_b*LN(E1314)+0</f>
        <v>0.730501245911974</v>
      </c>
      <c r="F1317" s="14" t="n">
        <f aca="false">gm_a+gm_b*LN(F1314)+0</f>
        <v>0.738922036780469</v>
      </c>
      <c r="G1317" s="14" t="n">
        <f aca="false">gm_a+gm_b*LN(G1314)+0</f>
        <v>0.748666241977879</v>
      </c>
      <c r="J1317" s="8" t="s">
        <v>601</v>
      </c>
    </row>
    <row r="1318" customFormat="false" ht="15" hidden="false" customHeight="false" outlineLevel="0" collapsed="false">
      <c r="A1318" s="5" t="s">
        <v>463</v>
      </c>
      <c r="B1318" s="0" t="s">
        <v>33</v>
      </c>
      <c r="C1318" s="11" t="n">
        <f aca="false">C1314*C1317</f>
        <v>306.477</v>
      </c>
      <c r="D1318" s="11" t="n">
        <f aca="false">D1314*D1317</f>
        <v>378.0504836</v>
      </c>
      <c r="E1318" s="11" t="n">
        <f aca="false">E1314*E1317</f>
        <v>408.324230772901</v>
      </c>
      <c r="F1318" s="11" t="n">
        <f aca="false">F1314*F1317</f>
        <v>444.745652691065</v>
      </c>
      <c r="G1318" s="11" t="n">
        <f aca="false">G1314*G1317</f>
        <v>490.884855987459</v>
      </c>
    </row>
    <row r="1319" customFormat="false" ht="15" hidden="false" customHeight="false" outlineLevel="0" collapsed="false">
      <c r="A1319" s="5" t="s">
        <v>464</v>
      </c>
      <c r="B1319" s="0" t="s">
        <v>33</v>
      </c>
      <c r="C1319" s="11" t="n">
        <f aca="false">a25_sga</f>
        <v>121.487</v>
      </c>
      <c r="D1319" s="11" t="n">
        <f aca="false">D1318-D1300</f>
        <v>139.4833836</v>
      </c>
      <c r="E1319" s="11" t="n">
        <f aca="false">sg_f+sg_v*E1314</f>
        <v>149.187544002062</v>
      </c>
      <c r="F1319" s="11" t="n">
        <f aca="false">sg_f+sg_v*F1314</f>
        <v>160.019125262363</v>
      </c>
      <c r="G1319" s="11" t="n">
        <f aca="false">sg_f+sg_v*G1314</f>
        <v>173.595148388452</v>
      </c>
      <c r="J1319" s="8" t="s">
        <v>602</v>
      </c>
    </row>
    <row r="1320" customFormat="false" ht="15" hidden="false" customHeight="false" outlineLevel="0" collapsed="false">
      <c r="A1320" s="5" t="s">
        <v>432</v>
      </c>
      <c r="B1320" s="0" t="s">
        <v>33</v>
      </c>
      <c r="C1320" s="11" t="n">
        <f aca="false">C1318-C1319</f>
        <v>184.99</v>
      </c>
      <c r="D1320" s="11" t="n">
        <f aca="false">D1318-D1319</f>
        <v>238.5671</v>
      </c>
      <c r="E1320" s="11" t="n">
        <f aca="false">E1318-E1319</f>
        <v>259.136686770839</v>
      </c>
      <c r="F1320" s="11" t="n">
        <f aca="false">F1318-F1319</f>
        <v>284.726527428702</v>
      </c>
      <c r="G1320" s="11" t="n">
        <f aca="false">G1318-G1319</f>
        <v>317.289707599007</v>
      </c>
    </row>
    <row r="1321" customFormat="false" ht="15" hidden="false" customHeight="false" outlineLevel="0" collapsed="false">
      <c r="A1321" s="5" t="s">
        <v>603</v>
      </c>
      <c r="B1321" s="0" t="s">
        <v>60</v>
      </c>
      <c r="C1321" s="14" t="n">
        <f aca="false">C1320/C1314</f>
        <v>0.423425629851061</v>
      </c>
      <c r="D1321" s="14" t="n">
        <f aca="false">D1320/D1314</f>
        <v>0.445764670314743</v>
      </c>
      <c r="E1321" s="14" t="n">
        <f aca="false">E1320/E1314</f>
        <v>0.463601369405094</v>
      </c>
      <c r="F1321" s="14" t="n">
        <f aca="false">F1320/F1314</f>
        <v>0.473058487025147</v>
      </c>
      <c r="G1321" s="14" t="n">
        <f aca="false">G1320/G1314</f>
        <v>0.483910004778142</v>
      </c>
    </row>
    <row r="1322" customFormat="false" ht="15" hidden="false" customHeight="false" outlineLevel="0" collapsed="false">
      <c r="A1322" s="5" t="s">
        <v>435</v>
      </c>
      <c r="B1322" s="0" t="s">
        <v>33</v>
      </c>
      <c r="C1322" s="11" t="n">
        <f aca="false">a25_ni</f>
        <v>135.521</v>
      </c>
      <c r="D1322" s="11" t="n">
        <f aca="false">D1301</f>
        <v>167.95938138934</v>
      </c>
      <c r="E1322" s="11" t="n">
        <f aca="false">E1320*nioi</f>
        <v>186.883003736634</v>
      </c>
      <c r="F1322" s="11" t="n">
        <f aca="false">F1320*nioi</f>
        <v>205.337767309005</v>
      </c>
      <c r="G1322" s="11" t="n">
        <f aca="false">G1320*nioi</f>
        <v>228.821531793597</v>
      </c>
    </row>
    <row r="1323" customFormat="false" ht="15" hidden="false" customHeight="false" outlineLevel="0" collapsed="false">
      <c r="A1323" s="0" t="s">
        <v>524</v>
      </c>
      <c r="B1323" s="0" t="s">
        <v>55</v>
      </c>
      <c r="C1323" s="11" t="n">
        <f aca="false">a25_eps</f>
        <v>1249.84</v>
      </c>
      <c r="D1323" s="11" t="n">
        <f aca="false">D1322*1000/shares</f>
        <v>1548.28555816522</v>
      </c>
      <c r="E1323" s="11" t="n">
        <f aca="false">E1322*1000/shares</f>
        <v>1722.72756281021</v>
      </c>
      <c r="F1323" s="11" t="n">
        <f aca="false">F1322*1000/shares</f>
        <v>1892.8475268283</v>
      </c>
      <c r="G1323" s="11" t="n">
        <f aca="false">G1322*1000/shares</f>
        <v>2109.32589857559</v>
      </c>
    </row>
    <row r="1324" customFormat="false" ht="15" hidden="false" customHeight="false" outlineLevel="0" collapsed="false">
      <c r="A1324" s="5" t="s">
        <v>604</v>
      </c>
      <c r="B1324" s="0" t="s">
        <v>33</v>
      </c>
      <c r="C1324" s="16" t="n">
        <f aca="false">ABS(C1314-a25_rev)+ABS(C1320-a25_oi)+ABS(D1314-D1298)+ABS(D1320-D1300)</f>
        <v>0.000999999999976353</v>
      </c>
    </row>
    <row r="1325" customFormat="false" ht="15" hidden="false" customHeight="false" outlineLevel="0" collapsed="false">
      <c r="A1325" s="1" t="s">
        <v>605</v>
      </c>
    </row>
    <row r="1326" customFormat="false" ht="15" hidden="false" customHeight="false" outlineLevel="0" collapsed="false">
      <c r="A1326" s="5" t="s">
        <v>606</v>
      </c>
      <c r="B1326" s="0" t="s">
        <v>60</v>
      </c>
      <c r="C1326" s="14" t="n">
        <f aca="false">a25_gp/a25_rev</f>
        <v>0.701498549974936</v>
      </c>
      <c r="D1326" s="14" t="n">
        <f aca="false">gm_a+gm_b*LN(D1295)+0</f>
        <v>0.719463492058136</v>
      </c>
      <c r="E1326" s="14" t="n">
        <f aca="false">gm_a+gm_b*LN(E1295)+0</f>
        <v>0.726477317954067</v>
      </c>
      <c r="F1326" s="14" t="n">
        <f aca="false">gm_a+gm_b*LN(F1295)+0</f>
        <v>0.734971419976213</v>
      </c>
      <c r="G1326" s="14" t="n">
        <f aca="false">gm_a+gm_b*LN(G1295)+0</f>
        <v>0.74483311075646</v>
      </c>
    </row>
    <row r="1327" customFormat="false" ht="15" hidden="false" customHeight="false" outlineLevel="0" collapsed="false">
      <c r="A1327" s="5" t="s">
        <v>607</v>
      </c>
      <c r="B1327" s="0" t="s">
        <v>33</v>
      </c>
      <c r="C1327" s="11" t="n">
        <f aca="false">a25_oi</f>
        <v>184.989</v>
      </c>
      <c r="D1327" s="11" t="n">
        <f aca="false">D1295*D1326-sg_f-sg_v*D1295</f>
        <v>228.837746398039</v>
      </c>
      <c r="E1327" s="11" t="n">
        <f aca="false">E1295*E1326-sg_f-sg_v*E1295</f>
        <v>247.68256494767</v>
      </c>
      <c r="F1327" s="11" t="n">
        <f aca="false">F1295*F1326-sg_f-sg_v*F1295</f>
        <v>272.440094401173</v>
      </c>
      <c r="G1327" s="11" t="n">
        <f aca="false">G1295*G1326-sg_f-sg_v*G1295</f>
        <v>304.083686160427</v>
      </c>
    </row>
    <row r="1328" customFormat="false" ht="15" hidden="false" customHeight="false" outlineLevel="0" collapsed="false">
      <c r="A1328" s="0" t="s">
        <v>608</v>
      </c>
      <c r="B1328" s="0" t="s">
        <v>55</v>
      </c>
      <c r="C1328" s="11" t="n">
        <f aca="false">a25_eps</f>
        <v>1249.84</v>
      </c>
      <c r="D1328" s="11" t="n">
        <f aca="false">D1327*nioi_v01*1000/shares</f>
        <v>1545.37951653183</v>
      </c>
      <c r="E1328" s="11" t="n">
        <f aca="false">E1327*nioi_v01*1000/shares</f>
        <v>1672.64172321648</v>
      </c>
      <c r="F1328" s="11" t="n">
        <f aca="false">F1327*nioi_v01*1000/shares</f>
        <v>1839.8334540371</v>
      </c>
      <c r="G1328" s="11" t="n">
        <f aca="false">G1327*nioi_v01*1000/shares</f>
        <v>2053.52791355685</v>
      </c>
    </row>
    <row r="1340" customFormat="false" ht="15" hidden="false" customHeight="false" outlineLevel="0" collapsed="false">
      <c r="A1340" s="4" t="s">
        <v>839</v>
      </c>
    </row>
    <row r="1341" customFormat="false" ht="15" hidden="false" customHeight="false" outlineLevel="0" collapsed="false">
      <c r="A1341" s="6" t="s">
        <v>22</v>
      </c>
      <c r="B1341" s="6" t="s">
        <v>23</v>
      </c>
      <c r="C1341" s="9" t="s">
        <v>532</v>
      </c>
      <c r="D1341" s="9" t="s">
        <v>533</v>
      </c>
      <c r="E1341" s="9" t="s">
        <v>534</v>
      </c>
      <c r="F1341" s="9" t="s">
        <v>535</v>
      </c>
      <c r="G1341" s="9" t="s">
        <v>536</v>
      </c>
      <c r="H1341" s="9" t="s">
        <v>537</v>
      </c>
      <c r="I1341" s="9" t="s">
        <v>538</v>
      </c>
      <c r="J1341" s="6" t="s">
        <v>515</v>
      </c>
    </row>
    <row r="1342" customFormat="false" ht="15" hidden="false" customHeight="false" outlineLevel="0" collapsed="false">
      <c r="A1342" s="1" t="s">
        <v>539</v>
      </c>
    </row>
    <row r="1343" customFormat="false" ht="15" hidden="false" customHeight="false" outlineLevel="0" collapsed="false">
      <c r="A1343" s="0" t="s">
        <v>540</v>
      </c>
      <c r="B1343" s="0" t="s">
        <v>100</v>
      </c>
      <c r="C1343" s="19" t="n">
        <f aca="false">hsA_25</f>
        <v>2.22511470588235</v>
      </c>
      <c r="D1343" s="19" t="n">
        <f aca="false">hsA_26</f>
        <v>3.782695</v>
      </c>
      <c r="E1343" s="19" t="n">
        <f aca="false">hsA_27</f>
        <v>5.86317725</v>
      </c>
      <c r="F1343" s="19" t="n">
        <f aca="false">hsA_28</f>
        <v>8.5016070125</v>
      </c>
      <c r="G1343" s="19" t="n">
        <f aca="false">hsA_29</f>
        <v>11.477169466875</v>
      </c>
      <c r="H1343" s="19" t="n">
        <f aca="false">G1343*(1+g_tail)</f>
        <v>12.6248864135625</v>
      </c>
      <c r="I1343" s="19" t="n">
        <f aca="false">H1343*(1+g_tail)</f>
        <v>13.8873750549188</v>
      </c>
      <c r="J1343" s="8" t="s">
        <v>541</v>
      </c>
    </row>
    <row r="1344" customFormat="false" ht="15" hidden="false" customHeight="false" outlineLevel="0" collapsed="false">
      <c r="A1344" s="0" t="s">
        <v>542</v>
      </c>
      <c r="B1344" s="0" t="s">
        <v>543</v>
      </c>
      <c r="C1344" s="19" t="n">
        <f aca="false">den_25</f>
        <v>24</v>
      </c>
      <c r="D1344" s="19" t="n">
        <f aca="false">den_26</f>
        <v>24</v>
      </c>
      <c r="E1344" s="19" t="n">
        <f aca="false">den_27</f>
        <v>26</v>
      </c>
      <c r="F1344" s="19" t="n">
        <f aca="false">den_28</f>
        <v>28</v>
      </c>
      <c r="G1344" s="19" t="n">
        <f aca="false">den_29</f>
        <v>30</v>
      </c>
      <c r="H1344" s="19" t="n">
        <f aca="false">den_30</f>
        <v>32</v>
      </c>
      <c r="I1344" s="19" t="n">
        <f aca="false">den_30</f>
        <v>32</v>
      </c>
    </row>
    <row r="1345" customFormat="false" ht="15" hidden="false" customHeight="false" outlineLevel="0" collapsed="false">
      <c r="A1345" s="5" t="s">
        <v>544</v>
      </c>
      <c r="B1345" s="5" t="s">
        <v>152</v>
      </c>
      <c r="C1345" s="19" t="n">
        <f aca="false">stk_25</f>
        <v>10</v>
      </c>
      <c r="D1345" s="19" t="n">
        <f aca="false">stk_26</f>
        <v>12</v>
      </c>
      <c r="E1345" s="19" t="n">
        <f aca="false">stk_27</f>
        <v>12.5</v>
      </c>
      <c r="F1345" s="19" t="n">
        <f aca="false">stk_28</f>
        <v>14</v>
      </c>
      <c r="G1345" s="19" t="n">
        <f aca="false">stk_29</f>
        <v>15</v>
      </c>
      <c r="H1345" s="19" t="n">
        <f aca="false">stk_30</f>
        <v>16</v>
      </c>
      <c r="I1345" s="19" t="n">
        <f aca="false">stk_30</f>
        <v>16</v>
      </c>
    </row>
    <row r="1346" customFormat="false" ht="15" hidden="false" customHeight="false" outlineLevel="0" collapsed="false">
      <c r="A1346" s="0" t="s">
        <v>545</v>
      </c>
      <c r="B1346" s="5" t="s">
        <v>546</v>
      </c>
      <c r="C1346" s="19" t="n">
        <f aca="false">C1343*8/C1344</f>
        <v>0.741704901960783</v>
      </c>
      <c r="D1346" s="19" t="n">
        <f aca="false">D1343*8/D1344</f>
        <v>1.26089833333333</v>
      </c>
      <c r="E1346" s="19" t="n">
        <f aca="false">E1343*8/E1344</f>
        <v>1.80405453846154</v>
      </c>
      <c r="F1346" s="19" t="n">
        <f aca="false">F1343*8/F1344</f>
        <v>2.429030575</v>
      </c>
      <c r="G1346" s="19" t="n">
        <f aca="false">G1343*8/G1344</f>
        <v>3.0605785245</v>
      </c>
      <c r="H1346" s="19" t="n">
        <f aca="false">H1343*8/H1344</f>
        <v>3.15622160339063</v>
      </c>
      <c r="I1346" s="19" t="n">
        <f aca="false">I1343*8/I1344</f>
        <v>3.47184376372969</v>
      </c>
      <c r="J1346" s="8" t="s">
        <v>547</v>
      </c>
    </row>
    <row r="1347" customFormat="false" ht="15" hidden="false" customHeight="false" outlineLevel="0" collapsed="false">
      <c r="A1347" s="0" t="s">
        <v>548</v>
      </c>
      <c r="B1347" s="5" t="s">
        <v>549</v>
      </c>
      <c r="C1347" s="19" t="n">
        <f aca="false">C1346*(1+s_stk/C1345)</f>
        <v>0.964216372549018</v>
      </c>
      <c r="D1347" s="19" t="n">
        <f aca="false">D1346*(1+s_stk/D1345)</f>
        <v>1.57612291666667</v>
      </c>
      <c r="E1347" s="19" t="n">
        <f aca="false">E1346*(1+s_stk/E1345)</f>
        <v>2.23702762769231</v>
      </c>
      <c r="F1347" s="19" t="n">
        <f aca="false">F1346*(1+s_stk/F1345)</f>
        <v>2.94953712678571</v>
      </c>
      <c r="G1347" s="19" t="n">
        <f aca="false">G1346*(1+s_stk/G1345)</f>
        <v>3.6726942294</v>
      </c>
      <c r="H1347" s="19" t="n">
        <f aca="false">H1346*(1+s_stk/H1345)</f>
        <v>3.74801315402637</v>
      </c>
      <c r="I1347" s="19" t="n">
        <f aca="false">I1346*(1+s_stk/I1345)</f>
        <v>4.12281446942901</v>
      </c>
      <c r="J1347" s="5" t="s">
        <v>550</v>
      </c>
    </row>
    <row r="1348" customFormat="false" ht="15" hidden="false" customHeight="false" outlineLevel="0" collapsed="false">
      <c r="A1348" s="5" t="s">
        <v>551</v>
      </c>
      <c r="B1348" s="0" t="s">
        <v>60</v>
      </c>
      <c r="C1348" s="22" t="n">
        <f aca="false">hbp_25*hb_on</f>
        <v>0</v>
      </c>
      <c r="D1348" s="22" t="n">
        <f aca="false">hbp_26*hb_on</f>
        <v>0</v>
      </c>
      <c r="E1348" s="22" t="n">
        <f aca="false">hbp_27*hb_on</f>
        <v>0</v>
      </c>
      <c r="F1348" s="22" t="n">
        <f aca="false">hbp_28*hb_on</f>
        <v>0.05</v>
      </c>
      <c r="G1348" s="22" t="n">
        <f aca="false">hbp_29*hb_on</f>
        <v>0.15</v>
      </c>
      <c r="H1348" s="22" t="n">
        <f aca="false">hbp_30*hb_on</f>
        <v>0.25</v>
      </c>
      <c r="I1348" s="22" t="n">
        <f aca="false">hbp_30*hb_on</f>
        <v>0.25</v>
      </c>
    </row>
    <row r="1349" customFormat="false" ht="15" hidden="false" customHeight="false" outlineLevel="0" collapsed="false">
      <c r="A1349" s="0" t="s">
        <v>552</v>
      </c>
      <c r="B1349" s="5" t="s">
        <v>549</v>
      </c>
      <c r="C1349" s="19" t="n">
        <f aca="false">C1347*(1+C1348*hb_eff)</f>
        <v>0.964216372549018</v>
      </c>
      <c r="D1349" s="19" t="n">
        <f aca="false">D1347*(1+D1348*hb_eff)</f>
        <v>1.57612291666667</v>
      </c>
      <c r="E1349" s="19" t="n">
        <f aca="false">E1347*(1+E1348*hb_eff)</f>
        <v>2.23702762769231</v>
      </c>
      <c r="F1349" s="19" t="n">
        <f aca="false">F1347*(1+F1348*hb_eff)</f>
        <v>2.96428481241964</v>
      </c>
      <c r="G1349" s="19" t="n">
        <f aca="false">G1347*(1+G1348*hb_eff)</f>
        <v>3.727784642841</v>
      </c>
      <c r="H1349" s="19" t="n">
        <f aca="false">H1347*(1+H1348*hb_eff)</f>
        <v>3.84171348287703</v>
      </c>
      <c r="I1349" s="19" t="n">
        <f aca="false">I1347*(1+I1348*hb_eff)</f>
        <v>4.22588483116473</v>
      </c>
      <c r="J1349" s="5" t="s">
        <v>553</v>
      </c>
    </row>
    <row r="1350" customFormat="false" ht="15" hidden="false" customHeight="false" outlineLevel="0" collapsed="false">
      <c r="A1350" s="0" t="s">
        <v>554</v>
      </c>
      <c r="B1350" s="5" t="s">
        <v>549</v>
      </c>
      <c r="C1350" s="19" t="n">
        <f aca="false">MAX(0,D1349-C1349)+dlt*C1349</f>
        <v>0.70832818137255</v>
      </c>
      <c r="D1350" s="19" t="n">
        <f aca="false">MAX(0,E1349-D1349)+dlt*D1349</f>
        <v>0.818517002692307</v>
      </c>
      <c r="E1350" s="19" t="n">
        <f aca="false">MAX(0,F1349-E1349)+dlt*E1349</f>
        <v>0.950959947496565</v>
      </c>
      <c r="F1350" s="19" t="n">
        <f aca="false">MAX(0,G1349-F1349)+dlt*F1349</f>
        <v>1.05992831166332</v>
      </c>
      <c r="G1350" s="19" t="n">
        <f aca="false">MAX(0,H1349-G1349)+dlt*G1349</f>
        <v>0.486707304320127</v>
      </c>
      <c r="H1350" s="19" t="n">
        <f aca="false">MAX(0,I1349-H1349)+dlt*H1349</f>
        <v>0.768342696575406</v>
      </c>
      <c r="J1350" s="5" t="s">
        <v>555</v>
      </c>
    </row>
    <row r="1351" customFormat="false" ht="15" hidden="false" customHeight="false" outlineLevel="0" collapsed="false">
      <c r="A1351" s="0" t="s">
        <v>556</v>
      </c>
      <c r="B1351" s="5" t="s">
        <v>181</v>
      </c>
      <c r="C1351" s="21" t="n">
        <f aca="false">cw_25_lo</f>
        <v>600</v>
      </c>
      <c r="D1351" s="21" t="n">
        <f aca="false">cw_26</f>
        <v>1107.85762580894</v>
      </c>
      <c r="E1351" s="21" t="n">
        <f aca="false">cw_27</f>
        <v>2096.42857142857</v>
      </c>
      <c r="F1351" s="21" t="n">
        <f aca="false">cw_28*um28_A</f>
        <v>2620.08928571429</v>
      </c>
      <c r="G1351" s="21" t="n">
        <f aca="false">cw_29*um29_A</f>
        <v>3013.32589285714</v>
      </c>
      <c r="H1351" s="21" t="n">
        <f aca="false">G1351*(1+g_tail)</f>
        <v>3314.65848214285</v>
      </c>
      <c r="I1351" s="21" t="n">
        <f aca="false">H1351*(1+g_tail)</f>
        <v>3646.12433035714</v>
      </c>
      <c r="J1351" s="5" t="s">
        <v>557</v>
      </c>
    </row>
    <row r="1352" customFormat="false" ht="15" hidden="false" customHeight="false" outlineLevel="0" collapsed="false">
      <c r="A1352" s="5" t="s">
        <v>558</v>
      </c>
      <c r="B1352" s="5" t="s">
        <v>181</v>
      </c>
      <c r="C1352" s="21" t="n">
        <f aca="false">MAX(0,D1351-C1351)+dlt*C1351</f>
        <v>567.85762580894</v>
      </c>
      <c r="D1352" s="21" t="n">
        <f aca="false">MAX(0,E1351-D1351)+dlt*D1351</f>
        <v>1099.35670820052</v>
      </c>
      <c r="E1352" s="21" t="n">
        <f aca="false">MAX(0,F1351-E1351)+dlt*E1351</f>
        <v>733.303571428577</v>
      </c>
      <c r="F1352" s="21" t="n">
        <f aca="false">MAX(0,G1351-F1351)+dlt*F1351</f>
        <v>655.245535714279</v>
      </c>
      <c r="G1352" s="21" t="n">
        <f aca="false">MAX(0,H1351-G1351)+dlt*G1351</f>
        <v>602.665178571428</v>
      </c>
      <c r="H1352" s="21" t="n">
        <f aca="false">MAX(0,I1351-H1351)+dlt*H1351</f>
        <v>662.931696428571</v>
      </c>
    </row>
    <row r="1353" customFormat="false" ht="15" hidden="false" customHeight="false" outlineLevel="0" collapsed="false">
      <c r="A1353" s="1" t="s">
        <v>559</v>
      </c>
    </row>
    <row r="1354" customFormat="false" ht="15" hidden="false" customHeight="false" outlineLevel="0" collapsed="false">
      <c r="A1354" s="0" t="s">
        <v>560</v>
      </c>
      <c r="B1354" s="0" t="s">
        <v>561</v>
      </c>
      <c r="C1354" s="16" t="n">
        <f aca="false">ai_25*w_hbm/(0.75*C1350+0.25*D1350)</f>
        <v>48.9213264236471</v>
      </c>
      <c r="J1354" s="5" t="s">
        <v>562</v>
      </c>
    </row>
    <row r="1355" customFormat="false" ht="15" hidden="false" customHeight="false" outlineLevel="0" collapsed="false">
      <c r="A1355" s="5" t="s">
        <v>563</v>
      </c>
      <c r="B1355" s="0" t="s">
        <v>564</v>
      </c>
      <c r="C1355" s="18" t="n">
        <f aca="false">ai_25*(1-w_hbm)/(0.75*C1352+0.25*D1352)</f>
        <v>0.0556560538658999</v>
      </c>
    </row>
    <row r="1356" customFormat="false" ht="15" hidden="false" customHeight="false" outlineLevel="0" collapsed="false">
      <c r="A1356" s="1" t="s">
        <v>565</v>
      </c>
    </row>
    <row r="1357" customFormat="false" ht="15" hidden="false" customHeight="false" outlineLevel="0" collapsed="false">
      <c r="A1357" s="5" t="s">
        <v>566</v>
      </c>
      <c r="B1357" s="0" t="s">
        <v>80</v>
      </c>
      <c r="C1357" s="16" t="n">
        <f aca="false">1-sh_loss/sh*0</f>
        <v>1</v>
      </c>
      <c r="D1357" s="16" t="n">
        <f aca="false">1-sh_loss/sh*0.25</f>
        <v>1</v>
      </c>
      <c r="E1357" s="16" t="n">
        <f aca="false">1-sh_loss/sh*0.5</f>
        <v>1</v>
      </c>
      <c r="F1357" s="16" t="n">
        <f aca="false">1-sh_loss/sh*0.75</f>
        <v>1</v>
      </c>
      <c r="G1357" s="16" t="n">
        <f aca="false">1-sh_loss/sh*1</f>
        <v>1</v>
      </c>
    </row>
    <row r="1358" customFormat="false" ht="15" hidden="false" customHeight="false" outlineLevel="0" collapsed="false">
      <c r="A1358" s="0" t="s">
        <v>567</v>
      </c>
      <c r="B1358" s="0" t="s">
        <v>33</v>
      </c>
      <c r="C1358" s="11" t="n">
        <f aca="false">$C$1354*(0.75*C1350+0.25*D1350)*C1357</f>
        <v>36</v>
      </c>
      <c r="D1358" s="11" t="n">
        <f aca="false">$C$1354*(0.75*D1350+0.25*E1350)*D1357</f>
        <v>41.6627586058351</v>
      </c>
      <c r="E1358" s="11" t="n">
        <f aca="false">$C$1354*(0.75*E1350+0.25*F1350)*E1357</f>
        <v>47.8549412356069</v>
      </c>
      <c r="F1358" s="11" t="n">
        <f aca="false">$C$1354*(0.75*F1350+0.25*G1350)*F1357</f>
        <v>44.8424159172644</v>
      </c>
      <c r="G1358" s="11" t="n">
        <f aca="false">$C$1354*(0.75*G1350+0.25*H1350)*G1357</f>
        <v>27.2548611466613</v>
      </c>
    </row>
    <row r="1359" customFormat="false" ht="15" hidden="false" customHeight="false" outlineLevel="0" collapsed="false">
      <c r="A1359" s="5" t="s">
        <v>568</v>
      </c>
      <c r="B1359" s="0" t="s">
        <v>33</v>
      </c>
      <c r="C1359" s="11" t="n">
        <f aca="false">$C$1355*(0.75*C1352+0.25*D1352)*C1357</f>
        <v>39</v>
      </c>
      <c r="D1359" s="11" t="n">
        <f aca="false">$C$1355*(0.75*D1352+0.25*E1352)*D1357</f>
        <v>56.0925878949565</v>
      </c>
      <c r="E1359" s="11" t="n">
        <f aca="false">$C$1355*(0.75*E1352+0.25*F1352)*E1357</f>
        <v>39.7266825113903</v>
      </c>
      <c r="F1359" s="11" t="n">
        <f aca="false">$C$1355*(0.75*F1352+0.25*G1352)*F1357</f>
        <v>35.7367770337467</v>
      </c>
      <c r="G1359" s="11" t="n">
        <f aca="false">$C$1355*(0.75*G1352+0.25*H1352)*G1357</f>
        <v>34.3805147827155</v>
      </c>
    </row>
    <row r="1360" customFormat="false" ht="15" hidden="false" customHeight="false" outlineLevel="0" collapsed="false">
      <c r="A1360" s="0" t="s">
        <v>569</v>
      </c>
      <c r="B1360" s="0" t="s">
        <v>33</v>
      </c>
      <c r="C1360" s="11" t="n">
        <f aca="false">C1358+C1359</f>
        <v>75</v>
      </c>
      <c r="D1360" s="11" t="n">
        <f aca="false">D1358+D1359</f>
        <v>97.7553465007916</v>
      </c>
      <c r="E1360" s="11" t="n">
        <f aca="false">E1358+E1359</f>
        <v>87.5816237469973</v>
      </c>
      <c r="F1360" s="11" t="n">
        <f aca="false">F1358+F1359</f>
        <v>80.5791929510111</v>
      </c>
      <c r="G1360" s="11" t="n">
        <f aca="false">G1358+G1359</f>
        <v>61.6353759293768</v>
      </c>
    </row>
    <row r="1361" customFormat="false" ht="15" hidden="false" customHeight="false" outlineLevel="0" collapsed="false">
      <c r="A1361" s="5" t="s">
        <v>570</v>
      </c>
      <c r="B1361" s="0" t="s">
        <v>33</v>
      </c>
      <c r="C1361" s="11" t="n">
        <f aca="false">eq_25-ai_25</f>
        <v>195.87118</v>
      </c>
      <c r="D1361" s="11" t="n">
        <f aca="false">C1361*(1+g_non)*D1357/C1357</f>
        <v>207.6234508</v>
      </c>
      <c r="E1361" s="11" t="n">
        <f aca="false">D1361*(1+g_non)*E1357/D1357</f>
        <v>220.080857848</v>
      </c>
      <c r="F1361" s="11" t="n">
        <f aca="false">E1361*(1+g_non)*F1357/E1357</f>
        <v>233.28570931888</v>
      </c>
      <c r="G1361" s="11" t="n">
        <f aca="false">F1361*(1+g_non)*G1357/F1357</f>
        <v>247.282851878013</v>
      </c>
    </row>
    <row r="1362" customFormat="false" ht="15" hidden="false" customHeight="false" outlineLevel="0" collapsed="false">
      <c r="A1362" s="0" t="s">
        <v>571</v>
      </c>
      <c r="B1362" s="0" t="s">
        <v>80</v>
      </c>
      <c r="C1362" s="19" t="n">
        <f aca="false">w_hbm*(0.75*C1349+0.25*D1349)/(0.75*C1349+0.25*D1349)+(1-w_hbm)*(0.75*C1351+0.25*D1351)/(0.75*C1351+0.25*D1351)</f>
        <v>1</v>
      </c>
      <c r="D1362" s="19" t="n">
        <f aca="false">w_hbm*(0.75*D1349+0.25*E1349)/(0.75*C1349+0.25*D1349)+(1-w_hbm)*(0.75*D1351+0.25*E1351)/(0.75*C1351+0.25*D1351)</f>
        <v>1.71740371630409</v>
      </c>
      <c r="E1362" s="19" t="n">
        <f aca="false">w_hbm*(0.75*E1349+0.25*F1349)/(0.75*C1349+0.25*D1349)+(1-w_hbm)*(0.75*E1351+0.25*F1351)/(0.75*C1351+0.25*D1351)</f>
        <v>2.63247736941727</v>
      </c>
      <c r="F1362" s="19" t="n">
        <f aca="false">w_hbm*(0.75*F1349+0.25*G1349)/(0.75*C1349+0.25*D1349)+(1-w_hbm)*(0.75*F1351+0.25*G1351)/(0.75*C1351+0.25*D1351)</f>
        <v>3.30008804174825</v>
      </c>
      <c r="G1362" s="19" t="n">
        <f aca="false">w_hbm*(0.75*G1349+0.25*H1349)/(0.75*C1349+0.25*D1349)+(1-w_hbm)*(0.75*G1351+0.25*H1351)/(0.75*C1351+0.25*D1351)</f>
        <v>3.82320124775592</v>
      </c>
      <c r="J1362" s="8" t="s">
        <v>572</v>
      </c>
    </row>
    <row r="1363" customFormat="false" ht="15" hidden="false" customHeight="false" outlineLevel="0" collapsed="false">
      <c r="A1363" s="0" t="s">
        <v>573</v>
      </c>
      <c r="B1363" s="0" t="s">
        <v>33</v>
      </c>
      <c r="C1363" s="11" t="n">
        <f aca="false">tl_25*w_tlai*C1362</f>
        <v>25.4032258064516</v>
      </c>
      <c r="D1363" s="11" t="n">
        <f aca="false">tl_25*w_tlai*D1362</f>
        <v>43.6275944061121</v>
      </c>
      <c r="E1363" s="11" t="n">
        <f aca="false">tl_25*w_tlai*E1362</f>
        <v>66.8734170456807</v>
      </c>
      <c r="F1363" s="11" t="n">
        <f aca="false">tl_25*w_tlai*F1362</f>
        <v>83.8328817057014</v>
      </c>
      <c r="G1363" s="11" t="n">
        <f aca="false">tl_25*w_tlai*G1362</f>
        <v>97.1216446002512</v>
      </c>
      <c r="J1363" s="5" t="s">
        <v>574</v>
      </c>
    </row>
    <row r="1364" customFormat="false" ht="15" hidden="false" customHeight="false" outlineLevel="0" collapsed="false">
      <c r="A1364" s="5" t="s">
        <v>575</v>
      </c>
      <c r="B1364" s="0" t="s">
        <v>33</v>
      </c>
      <c r="C1364" s="11" t="n">
        <f aca="false">tl_25*(1-w_tlai)</f>
        <v>66.3434641935484</v>
      </c>
      <c r="D1364" s="11" t="n">
        <f aca="false">C1364*(1+g_tl)</f>
        <v>69.6606374032258</v>
      </c>
      <c r="E1364" s="11" t="n">
        <f aca="false">D1364*(1+g_tl)</f>
        <v>73.1436692733871</v>
      </c>
      <c r="F1364" s="11" t="n">
        <f aca="false">E1364*(1+g_tl)</f>
        <v>76.8008527370565</v>
      </c>
      <c r="G1364" s="11" t="n">
        <f aca="false">F1364*(1+g_tl)</f>
        <v>80.6408953739093</v>
      </c>
    </row>
    <row r="1365" customFormat="false" ht="15" hidden="false" customHeight="false" outlineLevel="0" collapsed="false">
      <c r="A1365" s="5" t="s">
        <v>576</v>
      </c>
      <c r="B1365" s="0" t="s">
        <v>33</v>
      </c>
      <c r="C1365" s="11" t="n">
        <f aca="false">(C1360+C1361+C1363+C1364)*(1+r_ot)</f>
        <v>436.889</v>
      </c>
      <c r="D1365" s="11" t="n">
        <f aca="false">(D1360+D1361+D1363+D1364)*(1+r_ot)</f>
        <v>504.418107361602</v>
      </c>
      <c r="E1365" s="11" t="n">
        <f aca="false">(E1360+E1361+E1363+E1364)*(1+r_ot)</f>
        <v>539.37297339044</v>
      </c>
      <c r="F1365" s="11" t="n">
        <f aca="false">(F1360+F1361+F1363+F1364)*(1+r_ot)</f>
        <v>571.685104473071</v>
      </c>
      <c r="G1365" s="11" t="n">
        <f aca="false">(G1360+G1361+G1363+G1364)*(1+r_ot)</f>
        <v>586.362370821145</v>
      </c>
      <c r="J1365" s="8" t="s">
        <v>577</v>
      </c>
    </row>
    <row r="1366" customFormat="false" ht="15" hidden="false" customHeight="false" outlineLevel="0" collapsed="false">
      <c r="A1366" s="1" t="s">
        <v>578</v>
      </c>
    </row>
    <row r="1367" customFormat="false" ht="15" hidden="false" customHeight="false" outlineLevel="0" collapsed="false">
      <c r="A1367" s="5" t="s">
        <v>579</v>
      </c>
      <c r="B1367" s="0" t="s">
        <v>33</v>
      </c>
      <c r="D1367" s="11" t="n">
        <f aca="false">g3_rev*(1+g_q4)</f>
        <v>145.6862</v>
      </c>
    </row>
    <row r="1368" customFormat="false" ht="15" hidden="false" customHeight="false" outlineLevel="0" collapsed="false">
      <c r="A1368" s="0" t="s">
        <v>580</v>
      </c>
      <c r="B1368" s="0" t="s">
        <v>33</v>
      </c>
      <c r="D1368" s="11" t="n">
        <f aca="false">q26h1_rev+g3_rev+D1367</f>
        <v>535.1862</v>
      </c>
    </row>
    <row r="1369" customFormat="false" ht="15" hidden="false" customHeight="false" outlineLevel="0" collapsed="false">
      <c r="A1369" s="0" t="s">
        <v>581</v>
      </c>
      <c r="B1369" s="0" t="s">
        <v>33</v>
      </c>
      <c r="D1369" s="11" t="n">
        <f aca="false">q26h1_gp+(g3_rev+D1367)*gm_q3</f>
        <v>378.0504836</v>
      </c>
    </row>
    <row r="1370" customFormat="false" ht="15" hidden="false" customHeight="false" outlineLevel="0" collapsed="false">
      <c r="A1370" s="0" t="s">
        <v>582</v>
      </c>
      <c r="B1370" s="0" t="s">
        <v>33</v>
      </c>
      <c r="D1370" s="11" t="n">
        <f aca="false">q26h1_oi+g3_oi+D1367*m_q4</f>
        <v>238.5671</v>
      </c>
    </row>
    <row r="1371" customFormat="false" ht="15" hidden="false" customHeight="false" outlineLevel="0" collapsed="false">
      <c r="A1371" s="0" t="s">
        <v>583</v>
      </c>
      <c r="B1371" s="0" t="s">
        <v>33</v>
      </c>
      <c r="D1371" s="11" t="n">
        <f aca="false">q26h1_ni+g3_ni+D1367*m_q4*nioi</f>
        <v>167.95938138934</v>
      </c>
    </row>
    <row r="1372" customFormat="false" ht="15" hidden="false" customHeight="false" outlineLevel="0" collapsed="false">
      <c r="A1372" s="5" t="s">
        <v>584</v>
      </c>
      <c r="B1372" s="0" t="s">
        <v>80</v>
      </c>
      <c r="D1372" s="16" t="n">
        <f aca="false">D1368/D1365</f>
        <v>1.06099720091202</v>
      </c>
      <c r="J1372" s="8" t="s">
        <v>585</v>
      </c>
    </row>
    <row r="1373" customFormat="false" ht="15" hidden="false" customHeight="false" outlineLevel="0" collapsed="false">
      <c r="A1373" s="5" t="s">
        <v>586</v>
      </c>
      <c r="B1373" s="0" t="s">
        <v>80</v>
      </c>
      <c r="D1373" s="16" t="n">
        <f aca="false">1+anc_carry*(D1372-1)</f>
        <v>1.06099720091202</v>
      </c>
      <c r="J1373" s="8" t="s">
        <v>587</v>
      </c>
    </row>
    <row r="1374" customFormat="false" ht="15" hidden="false" customHeight="false" outlineLevel="0" collapsed="false">
      <c r="A1374" s="1" t="s">
        <v>588</v>
      </c>
    </row>
    <row r="1375" customFormat="false" ht="15" hidden="false" customHeight="false" outlineLevel="0" collapsed="false">
      <c r="A1375" s="0" t="s">
        <v>589</v>
      </c>
      <c r="B1375" s="0" t="s">
        <v>33</v>
      </c>
      <c r="C1375" s="11" t="n">
        <f aca="false">C1358*1</f>
        <v>36</v>
      </c>
      <c r="D1375" s="11" t="n">
        <f aca="false">D1358*$D$1372</f>
        <v>44.2040702630644</v>
      </c>
      <c r="E1375" s="11" t="n">
        <f aca="false">E1358*1</f>
        <v>47.8549412356069</v>
      </c>
      <c r="F1375" s="11" t="n">
        <f aca="false">F1358*1</f>
        <v>44.8424159172644</v>
      </c>
      <c r="G1375" s="11" t="n">
        <f aca="false">G1358*1</f>
        <v>27.2548611466613</v>
      </c>
    </row>
    <row r="1376" customFormat="false" ht="15" hidden="false" customHeight="false" outlineLevel="0" collapsed="false">
      <c r="A1376" s="5" t="s">
        <v>590</v>
      </c>
      <c r="B1376" s="0" t="s">
        <v>33</v>
      </c>
      <c r="C1376" s="11" t="n">
        <f aca="false">C1359*1</f>
        <v>39</v>
      </c>
      <c r="D1376" s="11" t="n">
        <f aca="false">D1359*$D$1372</f>
        <v>59.5140787484605</v>
      </c>
      <c r="E1376" s="11" t="n">
        <f aca="false">E1359*1</f>
        <v>39.7266825113903</v>
      </c>
      <c r="F1376" s="11" t="n">
        <f aca="false">F1359*1</f>
        <v>35.7367770337467</v>
      </c>
      <c r="G1376" s="11" t="n">
        <f aca="false">G1359*1</f>
        <v>34.3805147827155</v>
      </c>
    </row>
    <row r="1377" customFormat="false" ht="15" hidden="false" customHeight="false" outlineLevel="0" collapsed="false">
      <c r="A1377" s="0" t="s">
        <v>591</v>
      </c>
      <c r="B1377" s="0" t="s">
        <v>33</v>
      </c>
      <c r="C1377" s="11" t="n">
        <f aca="false">C1375+C1376</f>
        <v>75</v>
      </c>
      <c r="D1377" s="11" t="n">
        <f aca="false">D1375+D1376</f>
        <v>103.718149011525</v>
      </c>
      <c r="E1377" s="11" t="n">
        <f aca="false">E1375+E1376</f>
        <v>87.5816237469973</v>
      </c>
      <c r="F1377" s="11" t="n">
        <f aca="false">F1375+F1376</f>
        <v>80.5791929510111</v>
      </c>
      <c r="G1377" s="11" t="n">
        <f aca="false">G1375+G1376</f>
        <v>61.6353759293768</v>
      </c>
    </row>
    <row r="1378" customFormat="false" ht="15" hidden="false" customHeight="false" outlineLevel="0" collapsed="false">
      <c r="A1378" s="5" t="s">
        <v>592</v>
      </c>
      <c r="B1378" s="0" t="s">
        <v>33</v>
      </c>
      <c r="C1378" s="11" t="n">
        <f aca="false">C1361*1</f>
        <v>195.87118</v>
      </c>
      <c r="D1378" s="11" t="n">
        <f aca="false">D1361*$D$1372</f>
        <v>220.287900142495</v>
      </c>
      <c r="E1378" s="11" t="n">
        <f aca="false">E1361*$D$1373</f>
        <v>233.505174151045</v>
      </c>
      <c r="F1378" s="11" t="n">
        <f aca="false">F1361*$D$1373</f>
        <v>247.515484600108</v>
      </c>
      <c r="G1378" s="11" t="n">
        <f aca="false">G1361*$D$1373</f>
        <v>262.366413676114</v>
      </c>
    </row>
    <row r="1379" customFormat="false" ht="15" hidden="false" customHeight="false" outlineLevel="0" collapsed="false">
      <c r="A1379" s="5" t="s">
        <v>593</v>
      </c>
      <c r="B1379" s="0" t="s">
        <v>33</v>
      </c>
      <c r="C1379" s="11" t="n">
        <f aca="false">C1377+C1378</f>
        <v>270.87118</v>
      </c>
      <c r="D1379" s="11" t="n">
        <f aca="false">D1377+D1378</f>
        <v>324.00604915402</v>
      </c>
      <c r="E1379" s="11" t="n">
        <f aca="false">E1377+E1378</f>
        <v>321.086797898042</v>
      </c>
      <c r="F1379" s="11" t="n">
        <f aca="false">F1377+F1378</f>
        <v>328.094677551119</v>
      </c>
      <c r="G1379" s="11" t="n">
        <f aca="false">G1377+G1378</f>
        <v>324.001789605491</v>
      </c>
    </row>
    <row r="1380" customFormat="false" ht="15" hidden="false" customHeight="false" outlineLevel="0" collapsed="false">
      <c r="A1380" s="0" t="s">
        <v>594</v>
      </c>
      <c r="B1380" s="0" t="s">
        <v>33</v>
      </c>
      <c r="C1380" s="11" t="n">
        <f aca="false">C1363*1</f>
        <v>25.4032258064516</v>
      </c>
      <c r="D1380" s="11" t="n">
        <f aca="false">D1363*$D$1372</f>
        <v>46.28875554741</v>
      </c>
      <c r="E1380" s="11" t="n">
        <f aca="false">E1363*1</f>
        <v>66.8734170456807</v>
      </c>
      <c r="F1380" s="11" t="n">
        <f aca="false">F1363*1</f>
        <v>83.8328817057014</v>
      </c>
      <c r="G1380" s="11" t="n">
        <f aca="false">G1363*1</f>
        <v>97.1216446002512</v>
      </c>
    </row>
    <row r="1381" customFormat="false" ht="15" hidden="false" customHeight="false" outlineLevel="0" collapsed="false">
      <c r="A1381" s="5" t="s">
        <v>595</v>
      </c>
      <c r="B1381" s="0" t="s">
        <v>33</v>
      </c>
      <c r="C1381" s="11" t="n">
        <f aca="false">C1364*1</f>
        <v>66.3434641935484</v>
      </c>
      <c r="D1381" s="11" t="n">
        <f aca="false">D1364*$D$1372</f>
        <v>73.90974129857</v>
      </c>
      <c r="E1381" s="11" t="n">
        <f aca="false">E1364*$D$1373</f>
        <v>77.6052283634985</v>
      </c>
      <c r="F1381" s="11" t="n">
        <f aca="false">F1364*$D$1373</f>
        <v>81.4854897816734</v>
      </c>
      <c r="G1381" s="11" t="n">
        <f aca="false">G1364*$D$1373</f>
        <v>85.5597642707571</v>
      </c>
    </row>
    <row r="1382" customFormat="false" ht="15" hidden="false" customHeight="false" outlineLevel="0" collapsed="false">
      <c r="A1382" s="5" t="s">
        <v>596</v>
      </c>
      <c r="B1382" s="0" t="s">
        <v>33</v>
      </c>
      <c r="C1382" s="11" t="n">
        <f aca="false">C1380+C1381</f>
        <v>91.74669</v>
      </c>
      <c r="D1382" s="11" t="n">
        <f aca="false">D1380+D1381</f>
        <v>120.19849684598</v>
      </c>
      <c r="E1382" s="11" t="n">
        <f aca="false">E1380+E1381</f>
        <v>144.478645409179</v>
      </c>
      <c r="F1382" s="11" t="n">
        <f aca="false">F1380+F1381</f>
        <v>165.318371487375</v>
      </c>
      <c r="G1382" s="11" t="n">
        <f aca="false">G1380+G1381</f>
        <v>182.681408871008</v>
      </c>
    </row>
    <row r="1383" customFormat="false" ht="15" hidden="false" customHeight="false" outlineLevel="0" collapsed="false">
      <c r="A1383" s="5" t="s">
        <v>458</v>
      </c>
      <c r="B1383" s="0" t="s">
        <v>33</v>
      </c>
      <c r="C1383" s="11" t="n">
        <f aca="false">r_ot*(C1379+C1382)</f>
        <v>74.27113</v>
      </c>
      <c r="D1383" s="11" t="n">
        <f aca="false">r_ot*(D1379+D1382)</f>
        <v>90.981654</v>
      </c>
      <c r="E1383" s="11" t="n">
        <f aca="false">r_ot*(E1379+E1382)</f>
        <v>95.3567775448526</v>
      </c>
      <c r="F1383" s="11" t="n">
        <f aca="false">r_ot*(F1379+F1382)</f>
        <v>101.060504019932</v>
      </c>
      <c r="G1383" s="11" t="n">
        <f aca="false">r_ot*(G1379+G1382)</f>
        <v>103.778486434946</v>
      </c>
    </row>
    <row r="1384" customFormat="false" ht="15" hidden="false" customHeight="false" outlineLevel="0" collapsed="false">
      <c r="A1384" s="5" t="s">
        <v>428</v>
      </c>
      <c r="B1384" s="0" t="s">
        <v>33</v>
      </c>
      <c r="C1384" s="11" t="n">
        <f aca="false">C1379+C1382+C1383</f>
        <v>436.889</v>
      </c>
      <c r="D1384" s="11" t="n">
        <f aca="false">D1379+D1382+D1383</f>
        <v>535.1862</v>
      </c>
      <c r="E1384" s="11" t="n">
        <f aca="false">E1379+E1382+E1383</f>
        <v>560.922220852074</v>
      </c>
      <c r="F1384" s="11" t="n">
        <f aca="false">F1379+F1382+F1383</f>
        <v>594.473553058426</v>
      </c>
      <c r="G1384" s="11" t="n">
        <f aca="false">G1379+G1382+G1383</f>
        <v>610.461684911445</v>
      </c>
      <c r="J1384" s="8" t="s">
        <v>597</v>
      </c>
    </row>
    <row r="1385" customFormat="false" ht="15" hidden="false" customHeight="false" outlineLevel="0" collapsed="false">
      <c r="A1385" s="0" t="s">
        <v>598</v>
      </c>
      <c r="B1385" s="0" t="s">
        <v>60</v>
      </c>
      <c r="C1385" s="14" t="n">
        <f aca="false">(C1377+C1380)*(1+r_ot)/C1384</f>
        <v>0.276884384673187</v>
      </c>
      <c r="D1385" s="14" t="n">
        <f aca="false">(D1377+D1380)*(1+r_ot)/D1384</f>
        <v>0.337697814913706</v>
      </c>
      <c r="E1385" s="14" t="n">
        <f aca="false">(E1377+E1380)*(1+r_ot)/E1384</f>
        <v>0.331757958012263</v>
      </c>
      <c r="F1385" s="14" t="n">
        <f aca="false">(F1377+F1380)*(1+r_ot)/F1384</f>
        <v>0.333213876238376</v>
      </c>
      <c r="G1385" s="14" t="n">
        <f aca="false">(G1377+G1380)*(1+r_ot)/G1384</f>
        <v>0.313326001349523</v>
      </c>
    </row>
    <row r="1386" customFormat="false" ht="15" hidden="false" customHeight="false" outlineLevel="0" collapsed="false">
      <c r="A1386" s="0" t="s">
        <v>599</v>
      </c>
      <c r="B1386" s="0" t="s">
        <v>60</v>
      </c>
      <c r="C1386" s="14" t="n">
        <f aca="false">C1377*(1+r_ot)/C1384</f>
        <v>0.206829299394429</v>
      </c>
      <c r="D1386" s="14" t="n">
        <f aca="false">D1377*(1+r_ot)/D1384</f>
        <v>0.233491867531506</v>
      </c>
      <c r="E1386" s="14" t="n">
        <f aca="false">E1377*(1+r_ot)/E1384</f>
        <v>0.188118824122441</v>
      </c>
      <c r="F1386" s="14" t="n">
        <f aca="false">F1377*(1+r_ot)/F1384</f>
        <v>0.163309813366376</v>
      </c>
      <c r="G1386" s="14" t="n">
        <f aca="false">G1377*(1+r_ot)/G1384</f>
        <v>0.121644799185572</v>
      </c>
      <c r="J1386" s="5" t="s">
        <v>600</v>
      </c>
    </row>
    <row r="1387" customFormat="false" ht="15" hidden="false" customHeight="false" outlineLevel="0" collapsed="false">
      <c r="A1387" s="5" t="s">
        <v>466</v>
      </c>
      <c r="B1387" s="0" t="s">
        <v>60</v>
      </c>
      <c r="C1387" s="14" t="n">
        <f aca="false">a25_gp/a25_rev</f>
        <v>0.701498549974936</v>
      </c>
      <c r="D1387" s="14" t="n">
        <f aca="false">D1369/D1384</f>
        <v>0.70639056761927</v>
      </c>
      <c r="E1387" s="14" t="n">
        <f aca="false">gm_a+gm_b*LN(E1384)+0</f>
        <v>0.730899223334596</v>
      </c>
      <c r="F1387" s="14" t="n">
        <f aca="false">gm_a+gm_b*LN(F1384)+0</f>
        <v>0.737511825971559</v>
      </c>
      <c r="G1387" s="14" t="n">
        <f aca="false">gm_a+gm_b*LN(G1384)+0</f>
        <v>0.740532687504146</v>
      </c>
      <c r="J1387" s="8" t="s">
        <v>601</v>
      </c>
    </row>
    <row r="1388" customFormat="false" ht="15" hidden="false" customHeight="false" outlineLevel="0" collapsed="false">
      <c r="A1388" s="5" t="s">
        <v>463</v>
      </c>
      <c r="B1388" s="0" t="s">
        <v>33</v>
      </c>
      <c r="C1388" s="11" t="n">
        <f aca="false">C1384*C1387</f>
        <v>306.477</v>
      </c>
      <c r="D1388" s="11" t="n">
        <f aca="false">D1384*D1387</f>
        <v>378.0504836</v>
      </c>
      <c r="E1388" s="11" t="n">
        <f aca="false">E1384*E1387</f>
        <v>409.977615571897</v>
      </c>
      <c r="F1388" s="11" t="n">
        <f aca="false">F1384*F1387</f>
        <v>438.43127560792</v>
      </c>
      <c r="G1388" s="11" t="n">
        <f aca="false">G1384*G1387</f>
        <v>452.066832145781</v>
      </c>
    </row>
    <row r="1389" customFormat="false" ht="15" hidden="false" customHeight="false" outlineLevel="0" collapsed="false">
      <c r="A1389" s="5" t="s">
        <v>464</v>
      </c>
      <c r="B1389" s="0" t="s">
        <v>33</v>
      </c>
      <c r="C1389" s="11" t="n">
        <f aca="false">a25_sga</f>
        <v>121.487</v>
      </c>
      <c r="D1389" s="11" t="n">
        <f aca="false">D1388-D1370</f>
        <v>139.4833836</v>
      </c>
      <c r="E1389" s="11" t="n">
        <f aca="false">sg_f+sg_v*E1384</f>
        <v>149.681619572316</v>
      </c>
      <c r="F1389" s="11" t="n">
        <f aca="false">sg_f+sg_v*F1384</f>
        <v>158.148869771857</v>
      </c>
      <c r="G1389" s="11" t="n">
        <f aca="false">sg_f+sg_v*G1384</f>
        <v>162.183747188651</v>
      </c>
      <c r="J1389" s="8" t="s">
        <v>602</v>
      </c>
    </row>
    <row r="1390" customFormat="false" ht="15" hidden="false" customHeight="false" outlineLevel="0" collapsed="false">
      <c r="A1390" s="5" t="s">
        <v>432</v>
      </c>
      <c r="B1390" s="0" t="s">
        <v>33</v>
      </c>
      <c r="C1390" s="11" t="n">
        <f aca="false">C1388-C1389</f>
        <v>184.99</v>
      </c>
      <c r="D1390" s="11" t="n">
        <f aca="false">D1388-D1389</f>
        <v>238.5671</v>
      </c>
      <c r="E1390" s="11" t="n">
        <f aca="false">E1388-E1389</f>
        <v>260.295995999581</v>
      </c>
      <c r="F1390" s="11" t="n">
        <f aca="false">F1388-F1389</f>
        <v>280.282405836063</v>
      </c>
      <c r="G1390" s="11" t="n">
        <f aca="false">G1388-G1389</f>
        <v>289.88308495713</v>
      </c>
    </row>
    <row r="1391" customFormat="false" ht="15" hidden="false" customHeight="false" outlineLevel="0" collapsed="false">
      <c r="A1391" s="5" t="s">
        <v>603</v>
      </c>
      <c r="B1391" s="0" t="s">
        <v>60</v>
      </c>
      <c r="C1391" s="14" t="n">
        <f aca="false">C1390/C1384</f>
        <v>0.423425629851061</v>
      </c>
      <c r="D1391" s="14" t="n">
        <f aca="false">D1390/D1384</f>
        <v>0.445764670314743</v>
      </c>
      <c r="E1391" s="14" t="n">
        <f aca="false">E1390/E1384</f>
        <v>0.464050070264957</v>
      </c>
      <c r="F1391" s="14" t="n">
        <f aca="false">F1390/F1384</f>
        <v>0.471480025299824</v>
      </c>
      <c r="G1391" s="14" t="n">
        <f aca="false">G1390/G1384</f>
        <v>0.474858770209602</v>
      </c>
    </row>
    <row r="1392" customFormat="false" ht="15" hidden="false" customHeight="false" outlineLevel="0" collapsed="false">
      <c r="A1392" s="5" t="s">
        <v>435</v>
      </c>
      <c r="B1392" s="0" t="s">
        <v>33</v>
      </c>
      <c r="C1392" s="11" t="n">
        <f aca="false">a25_ni</f>
        <v>135.521</v>
      </c>
      <c r="D1392" s="11" t="n">
        <f aca="false">D1371</f>
        <v>167.95938138934</v>
      </c>
      <c r="E1392" s="11" t="n">
        <f aca="false">E1390*nioi</f>
        <v>187.719069033396</v>
      </c>
      <c r="F1392" s="11" t="n">
        <f aca="false">F1390*nioi</f>
        <v>202.132776141785</v>
      </c>
      <c r="G1392" s="11" t="n">
        <f aca="false">G1390*nioi</f>
        <v>209.056549747192</v>
      </c>
    </row>
    <row r="1393" customFormat="false" ht="15" hidden="false" customHeight="false" outlineLevel="0" collapsed="false">
      <c r="A1393" s="0" t="s">
        <v>524</v>
      </c>
      <c r="B1393" s="0" t="s">
        <v>55</v>
      </c>
      <c r="C1393" s="11" t="n">
        <f aca="false">a25_eps</f>
        <v>1249.84</v>
      </c>
      <c r="D1393" s="11" t="n">
        <f aca="false">D1392*1000/shares</f>
        <v>1548.28555816522</v>
      </c>
      <c r="E1393" s="11" t="n">
        <f aca="false">E1392*1000/shares</f>
        <v>1730.43459181896</v>
      </c>
      <c r="F1393" s="11" t="n">
        <f aca="false">F1392*1000/shares</f>
        <v>1863.3032316707</v>
      </c>
      <c r="G1393" s="11" t="n">
        <f aca="false">G1392*1000/shares</f>
        <v>1927.12805998683</v>
      </c>
    </row>
    <row r="1394" customFormat="false" ht="15" hidden="false" customHeight="false" outlineLevel="0" collapsed="false">
      <c r="A1394" s="5" t="s">
        <v>604</v>
      </c>
      <c r="B1394" s="0" t="s">
        <v>33</v>
      </c>
      <c r="C1394" s="16" t="n">
        <f aca="false">ABS(C1384-a25_rev)+ABS(C1390-a25_oi)+ABS(D1384-D1368)+ABS(D1390-D1370)</f>
        <v>0.000999999999976353</v>
      </c>
    </row>
    <row r="1395" customFormat="false" ht="15" hidden="false" customHeight="false" outlineLevel="0" collapsed="false">
      <c r="A1395" s="1" t="s">
        <v>605</v>
      </c>
    </row>
    <row r="1396" customFormat="false" ht="15" hidden="false" customHeight="false" outlineLevel="0" collapsed="false">
      <c r="A1396" s="5" t="s">
        <v>606</v>
      </c>
      <c r="B1396" s="0" t="s">
        <v>60</v>
      </c>
      <c r="C1396" s="14" t="n">
        <f aca="false">a25_gp/a25_rev</f>
        <v>0.701498549974936</v>
      </c>
      <c r="D1396" s="14" t="n">
        <f aca="false">gm_a+gm_b*LN(D1365)+0</f>
        <v>0.718813552960025</v>
      </c>
      <c r="E1396" s="14" t="n">
        <f aca="false">gm_a+gm_b*LN(E1365)+0</f>
        <v>0.72644009735136</v>
      </c>
      <c r="F1396" s="14" t="n">
        <f aca="false">gm_a+gm_b*LN(F1365)+0</f>
        <v>0.733062607589848</v>
      </c>
      <c r="G1396" s="14" t="n">
        <f aca="false">gm_a+gm_b*LN(G1365)+0</f>
        <v>0.735948056443556</v>
      </c>
    </row>
    <row r="1397" customFormat="false" ht="15" hidden="false" customHeight="false" outlineLevel="0" collapsed="false">
      <c r="A1397" s="5" t="s">
        <v>607</v>
      </c>
      <c r="B1397" s="0" t="s">
        <v>33</v>
      </c>
      <c r="C1397" s="11" t="n">
        <f aca="false">a25_oi</f>
        <v>184.989</v>
      </c>
      <c r="D1397" s="11" t="n">
        <f aca="false">D1365*D1396-sg_f-sg_v*D1365</f>
        <v>227.160727894564</v>
      </c>
      <c r="E1397" s="11" t="n">
        <f aca="false">E1365*E1396-sg_f-sg_v*E1365</f>
        <v>247.578855395441</v>
      </c>
      <c r="F1397" s="11" t="n">
        <f aca="false">F1365*F1396-sg_f-sg_v*F1365</f>
        <v>266.683156815027</v>
      </c>
      <c r="G1397" s="11" t="n">
        <f aca="false">G1365*G1396-sg_f-sg_v*G1365</f>
        <v>275.430372409993</v>
      </c>
    </row>
    <row r="1398" customFormat="false" ht="15" hidden="false" customHeight="false" outlineLevel="0" collapsed="false">
      <c r="A1398" s="0" t="s">
        <v>608</v>
      </c>
      <c r="B1398" s="0" t="s">
        <v>55</v>
      </c>
      <c r="C1398" s="11" t="n">
        <f aca="false">a25_eps</f>
        <v>1249.84</v>
      </c>
      <c r="D1398" s="11" t="n">
        <f aca="false">D1397*nioi_v01*1000/shares</f>
        <v>1534.05433052161</v>
      </c>
      <c r="E1398" s="11" t="n">
        <f aca="false">E1397*nioi_v01*1000/shares</f>
        <v>1671.94135529115</v>
      </c>
      <c r="F1398" s="11" t="n">
        <f aca="false">F1397*nioi_v01*1000/shares</f>
        <v>1800.95589312935</v>
      </c>
      <c r="G1398" s="11" t="n">
        <f aca="false">G1397*nioi_v01*1000/shares</f>
        <v>1860.02730079666</v>
      </c>
    </row>
    <row r="1410" customFormat="false" ht="15" hidden="false" customHeight="false" outlineLevel="0" collapsed="false">
      <c r="A1410" s="4" t="s">
        <v>840</v>
      </c>
    </row>
    <row r="1411" customFormat="false" ht="15" hidden="false" customHeight="false" outlineLevel="0" collapsed="false">
      <c r="A1411" s="6" t="s">
        <v>22</v>
      </c>
      <c r="B1411" s="6" t="s">
        <v>23</v>
      </c>
      <c r="C1411" s="9" t="s">
        <v>532</v>
      </c>
      <c r="D1411" s="9" t="s">
        <v>533</v>
      </c>
      <c r="E1411" s="9" t="s">
        <v>534</v>
      </c>
      <c r="F1411" s="9" t="s">
        <v>535</v>
      </c>
      <c r="G1411" s="9" t="s">
        <v>536</v>
      </c>
      <c r="H1411" s="9" t="s">
        <v>537</v>
      </c>
      <c r="I1411" s="9" t="s">
        <v>538</v>
      </c>
      <c r="J1411" s="6" t="s">
        <v>515</v>
      </c>
    </row>
    <row r="1412" customFormat="false" ht="15" hidden="false" customHeight="false" outlineLevel="0" collapsed="false">
      <c r="A1412" s="1" t="s">
        <v>539</v>
      </c>
    </row>
    <row r="1413" customFormat="false" ht="15" hidden="false" customHeight="false" outlineLevel="0" collapsed="false">
      <c r="A1413" s="0" t="s">
        <v>540</v>
      </c>
      <c r="B1413" s="0" t="s">
        <v>100</v>
      </c>
      <c r="C1413" s="19" t="n">
        <f aca="false">hsA_25</f>
        <v>2.22511470588235</v>
      </c>
      <c r="D1413" s="19" t="n">
        <f aca="false">hsA_26</f>
        <v>3.782695</v>
      </c>
      <c r="E1413" s="19" t="n">
        <f aca="false">hsA_27</f>
        <v>5.86317725</v>
      </c>
      <c r="F1413" s="19" t="n">
        <f aca="false">hsA_28</f>
        <v>8.5016070125</v>
      </c>
      <c r="G1413" s="19" t="n">
        <f aca="false">hsA_29</f>
        <v>11.477169466875</v>
      </c>
      <c r="H1413" s="19" t="n">
        <f aca="false">G1413*(1+g_tail)</f>
        <v>12.6248864135625</v>
      </c>
      <c r="I1413" s="19" t="n">
        <f aca="false">H1413*(1+g_tail)</f>
        <v>13.8873750549188</v>
      </c>
      <c r="J1413" s="8" t="s">
        <v>541</v>
      </c>
    </row>
    <row r="1414" customFormat="false" ht="15" hidden="false" customHeight="false" outlineLevel="0" collapsed="false">
      <c r="A1414" s="0" t="s">
        <v>542</v>
      </c>
      <c r="B1414" s="0" t="s">
        <v>543</v>
      </c>
      <c r="C1414" s="19" t="n">
        <f aca="false">den_25</f>
        <v>24</v>
      </c>
      <c r="D1414" s="19" t="n">
        <f aca="false">den_26</f>
        <v>24</v>
      </c>
      <c r="E1414" s="19" t="n">
        <f aca="false">den_27</f>
        <v>26</v>
      </c>
      <c r="F1414" s="19" t="n">
        <f aca="false">den_28</f>
        <v>28</v>
      </c>
      <c r="G1414" s="19" t="n">
        <f aca="false">den_29</f>
        <v>30</v>
      </c>
      <c r="H1414" s="19" t="n">
        <f aca="false">den_30</f>
        <v>32</v>
      </c>
      <c r="I1414" s="19" t="n">
        <f aca="false">den_30</f>
        <v>32</v>
      </c>
    </row>
    <row r="1415" customFormat="false" ht="15" hidden="false" customHeight="false" outlineLevel="0" collapsed="false">
      <c r="A1415" s="5" t="s">
        <v>544</v>
      </c>
      <c r="B1415" s="5" t="s">
        <v>152</v>
      </c>
      <c r="C1415" s="19" t="n">
        <f aca="false">stk_25</f>
        <v>10</v>
      </c>
      <c r="D1415" s="19" t="n">
        <f aca="false">stk_26</f>
        <v>12</v>
      </c>
      <c r="E1415" s="19" t="n">
        <f aca="false">stk_27</f>
        <v>12.5</v>
      </c>
      <c r="F1415" s="19" t="n">
        <f aca="false">stk_28</f>
        <v>14</v>
      </c>
      <c r="G1415" s="19" t="n">
        <f aca="false">stk_29</f>
        <v>15</v>
      </c>
      <c r="H1415" s="19" t="n">
        <f aca="false">stk_30</f>
        <v>16</v>
      </c>
      <c r="I1415" s="19" t="n">
        <f aca="false">stk_30</f>
        <v>16</v>
      </c>
    </row>
    <row r="1416" customFormat="false" ht="15" hidden="false" customHeight="false" outlineLevel="0" collapsed="false">
      <c r="A1416" s="0" t="s">
        <v>545</v>
      </c>
      <c r="B1416" s="5" t="s">
        <v>546</v>
      </c>
      <c r="C1416" s="19" t="n">
        <f aca="false">C1413*8/C1414</f>
        <v>0.741704901960783</v>
      </c>
      <c r="D1416" s="19" t="n">
        <f aca="false">D1413*8/D1414</f>
        <v>1.26089833333333</v>
      </c>
      <c r="E1416" s="19" t="n">
        <f aca="false">E1413*8/E1414</f>
        <v>1.80405453846154</v>
      </c>
      <c r="F1416" s="19" t="n">
        <f aca="false">F1413*8/F1414</f>
        <v>2.429030575</v>
      </c>
      <c r="G1416" s="19" t="n">
        <f aca="false">G1413*8/G1414</f>
        <v>3.0605785245</v>
      </c>
      <c r="H1416" s="19" t="n">
        <f aca="false">H1413*8/H1414</f>
        <v>3.15622160339063</v>
      </c>
      <c r="I1416" s="19" t="n">
        <f aca="false">I1413*8/I1414</f>
        <v>3.47184376372969</v>
      </c>
      <c r="J1416" s="8" t="s">
        <v>547</v>
      </c>
    </row>
    <row r="1417" customFormat="false" ht="15" hidden="false" customHeight="false" outlineLevel="0" collapsed="false">
      <c r="A1417" s="0" t="s">
        <v>548</v>
      </c>
      <c r="B1417" s="5" t="s">
        <v>549</v>
      </c>
      <c r="C1417" s="19" t="n">
        <f aca="false">C1416*(1+s_stk/C1415)</f>
        <v>0.964216372549018</v>
      </c>
      <c r="D1417" s="19" t="n">
        <f aca="false">D1416*(1+s_stk/D1415)</f>
        <v>1.57612291666667</v>
      </c>
      <c r="E1417" s="19" t="n">
        <f aca="false">E1416*(1+s_stk/E1415)</f>
        <v>2.23702762769231</v>
      </c>
      <c r="F1417" s="19" t="n">
        <f aca="false">F1416*(1+s_stk/F1415)</f>
        <v>2.94953712678571</v>
      </c>
      <c r="G1417" s="19" t="n">
        <f aca="false">G1416*(1+s_stk/G1415)</f>
        <v>3.6726942294</v>
      </c>
      <c r="H1417" s="19" t="n">
        <f aca="false">H1416*(1+s_stk/H1415)</f>
        <v>3.74801315402637</v>
      </c>
      <c r="I1417" s="19" t="n">
        <f aca="false">I1416*(1+s_stk/I1415)</f>
        <v>4.12281446942901</v>
      </c>
      <c r="J1417" s="5" t="s">
        <v>550</v>
      </c>
    </row>
    <row r="1418" customFormat="false" ht="15" hidden="false" customHeight="false" outlineLevel="0" collapsed="false">
      <c r="A1418" s="5" t="s">
        <v>551</v>
      </c>
      <c r="B1418" s="0" t="s">
        <v>60</v>
      </c>
      <c r="C1418" s="22" t="n">
        <f aca="false">hbp_25*hb_on</f>
        <v>0</v>
      </c>
      <c r="D1418" s="22" t="n">
        <f aca="false">hbp_26*hb_on</f>
        <v>0</v>
      </c>
      <c r="E1418" s="22" t="n">
        <f aca="false">hbp_27*hb_on</f>
        <v>0</v>
      </c>
      <c r="F1418" s="22" t="n">
        <f aca="false">hbp_28*hb_on</f>
        <v>0.05</v>
      </c>
      <c r="G1418" s="22" t="n">
        <f aca="false">hbp_29*hb_on</f>
        <v>0.15</v>
      </c>
      <c r="H1418" s="22" t="n">
        <f aca="false">hbp_30*hb_on</f>
        <v>0.25</v>
      </c>
      <c r="I1418" s="22" t="n">
        <f aca="false">hbp_30*hb_on</f>
        <v>0.25</v>
      </c>
    </row>
    <row r="1419" customFormat="false" ht="15" hidden="false" customHeight="false" outlineLevel="0" collapsed="false">
      <c r="A1419" s="0" t="s">
        <v>552</v>
      </c>
      <c r="B1419" s="5" t="s">
        <v>549</v>
      </c>
      <c r="C1419" s="19" t="n">
        <f aca="false">C1417*(1+C1418*hb_eff)</f>
        <v>0.964216372549018</v>
      </c>
      <c r="D1419" s="19" t="n">
        <f aca="false">D1417*(1+D1418*hb_eff)</f>
        <v>1.57612291666667</v>
      </c>
      <c r="E1419" s="19" t="n">
        <f aca="false">E1417*(1+E1418*hb_eff)</f>
        <v>2.23702762769231</v>
      </c>
      <c r="F1419" s="19" t="n">
        <f aca="false">F1417*(1+F1418*hb_eff)</f>
        <v>2.96428481241964</v>
      </c>
      <c r="G1419" s="19" t="n">
        <f aca="false">G1417*(1+G1418*hb_eff)</f>
        <v>3.727784642841</v>
      </c>
      <c r="H1419" s="19" t="n">
        <f aca="false">H1417*(1+H1418*hb_eff)</f>
        <v>3.84171348287703</v>
      </c>
      <c r="I1419" s="19" t="n">
        <f aca="false">I1417*(1+I1418*hb_eff)</f>
        <v>4.22588483116473</v>
      </c>
      <c r="J1419" s="5" t="s">
        <v>553</v>
      </c>
    </row>
    <row r="1420" customFormat="false" ht="15" hidden="false" customHeight="false" outlineLevel="0" collapsed="false">
      <c r="A1420" s="0" t="s">
        <v>554</v>
      </c>
      <c r="B1420" s="5" t="s">
        <v>549</v>
      </c>
      <c r="C1420" s="19" t="n">
        <f aca="false">MAX(0,D1419-C1419)+dlt*C1419</f>
        <v>0.70832818137255</v>
      </c>
      <c r="D1420" s="19" t="n">
        <f aca="false">MAX(0,E1419-D1419)+dlt*D1419</f>
        <v>0.818517002692307</v>
      </c>
      <c r="E1420" s="19" t="n">
        <f aca="false">MAX(0,F1419-E1419)+dlt*E1419</f>
        <v>0.950959947496565</v>
      </c>
      <c r="F1420" s="19" t="n">
        <f aca="false">MAX(0,G1419-F1419)+dlt*F1419</f>
        <v>1.05992831166332</v>
      </c>
      <c r="G1420" s="19" t="n">
        <f aca="false">MAX(0,H1419-G1419)+dlt*G1419</f>
        <v>0.486707304320127</v>
      </c>
      <c r="H1420" s="19" t="n">
        <f aca="false">MAX(0,I1419-H1419)+dlt*H1419</f>
        <v>0.768342696575406</v>
      </c>
      <c r="J1420" s="5" t="s">
        <v>555</v>
      </c>
    </row>
    <row r="1421" customFormat="false" ht="15" hidden="false" customHeight="false" outlineLevel="0" collapsed="false">
      <c r="A1421" s="0" t="s">
        <v>556</v>
      </c>
      <c r="B1421" s="5" t="s">
        <v>181</v>
      </c>
      <c r="C1421" s="21" t="n">
        <f aca="false">cw_25</f>
        <v>670</v>
      </c>
      <c r="D1421" s="21" t="n">
        <f aca="false">cw_26</f>
        <v>1107.85762580894</v>
      </c>
      <c r="E1421" s="21" t="n">
        <f aca="false">cw_27</f>
        <v>2096.42857142857</v>
      </c>
      <c r="F1421" s="21" t="n">
        <f aca="false">cw_28*um28_A</f>
        <v>2620.08928571429</v>
      </c>
      <c r="G1421" s="21" t="n">
        <f aca="false">cw_29*um29_A</f>
        <v>3013.32589285714</v>
      </c>
      <c r="H1421" s="21" t="n">
        <f aca="false">G1421*(1+g_tail)</f>
        <v>3314.65848214285</v>
      </c>
      <c r="I1421" s="21" t="n">
        <f aca="false">H1421*(1+g_tail)</f>
        <v>3646.12433035714</v>
      </c>
      <c r="J1421" s="5" t="s">
        <v>557</v>
      </c>
    </row>
    <row r="1422" customFormat="false" ht="15" hidden="false" customHeight="false" outlineLevel="0" collapsed="false">
      <c r="A1422" s="5" t="s">
        <v>558</v>
      </c>
      <c r="B1422" s="5" t="s">
        <v>181</v>
      </c>
      <c r="C1422" s="21" t="n">
        <f aca="false">MAX(0,D1421-C1421)+dlt*C1421</f>
        <v>504.85762580894</v>
      </c>
      <c r="D1422" s="21" t="n">
        <f aca="false">MAX(0,E1421-D1421)+dlt*D1421</f>
        <v>1099.35670820052</v>
      </c>
      <c r="E1422" s="21" t="n">
        <f aca="false">MAX(0,F1421-E1421)+dlt*E1421</f>
        <v>733.303571428577</v>
      </c>
      <c r="F1422" s="21" t="n">
        <f aca="false">MAX(0,G1421-F1421)+dlt*F1421</f>
        <v>655.245535714279</v>
      </c>
      <c r="G1422" s="21" t="n">
        <f aca="false">MAX(0,H1421-G1421)+dlt*G1421</f>
        <v>602.665178571428</v>
      </c>
      <c r="H1422" s="21" t="n">
        <f aca="false">MAX(0,I1421-H1421)+dlt*H1421</f>
        <v>662.931696428571</v>
      </c>
    </row>
    <row r="1423" customFormat="false" ht="15" hidden="false" customHeight="false" outlineLevel="0" collapsed="false">
      <c r="A1423" s="1" t="s">
        <v>559</v>
      </c>
    </row>
    <row r="1424" customFormat="false" ht="15" hidden="false" customHeight="false" outlineLevel="0" collapsed="false">
      <c r="A1424" s="0" t="s">
        <v>560</v>
      </c>
      <c r="B1424" s="0" t="s">
        <v>561</v>
      </c>
      <c r="C1424" s="16" t="n">
        <f aca="false">ai_25*w_hbm/(0.75*C1420+0.25*D1420)</f>
        <v>48.9213264236471</v>
      </c>
      <c r="J1424" s="5" t="s">
        <v>562</v>
      </c>
    </row>
    <row r="1425" customFormat="false" ht="15" hidden="false" customHeight="false" outlineLevel="0" collapsed="false">
      <c r="A1425" s="5" t="s">
        <v>563</v>
      </c>
      <c r="B1425" s="0" t="s">
        <v>564</v>
      </c>
      <c r="C1425" s="18" t="n">
        <f aca="false">ai_25*(1-w_hbm)/(0.75*C1422+0.25*D1422)</f>
        <v>0.0596802610360141</v>
      </c>
    </row>
    <row r="1426" customFormat="false" ht="15" hidden="false" customHeight="false" outlineLevel="0" collapsed="false">
      <c r="A1426" s="1" t="s">
        <v>565</v>
      </c>
    </row>
    <row r="1427" customFormat="false" ht="15" hidden="false" customHeight="false" outlineLevel="0" collapsed="false">
      <c r="A1427" s="5" t="s">
        <v>566</v>
      </c>
      <c r="B1427" s="0" t="s">
        <v>80</v>
      </c>
      <c r="C1427" s="16" t="n">
        <f aca="false">1-sh_loss/sh*0</f>
        <v>1</v>
      </c>
      <c r="D1427" s="16" t="n">
        <f aca="false">1-sh_loss/sh*0.25</f>
        <v>1</v>
      </c>
      <c r="E1427" s="16" t="n">
        <f aca="false">1-sh_loss/sh*0.5</f>
        <v>1</v>
      </c>
      <c r="F1427" s="16" t="n">
        <f aca="false">1-sh_loss/sh*0.75</f>
        <v>1</v>
      </c>
      <c r="G1427" s="16" t="n">
        <f aca="false">1-sh_loss/sh*1</f>
        <v>1</v>
      </c>
    </row>
    <row r="1428" customFormat="false" ht="15" hidden="false" customHeight="false" outlineLevel="0" collapsed="false">
      <c r="A1428" s="0" t="s">
        <v>567</v>
      </c>
      <c r="B1428" s="0" t="s">
        <v>33</v>
      </c>
      <c r="C1428" s="11" t="n">
        <f aca="false">$C$1424*(0.75*C1420+0.25*D1420)*C1427</f>
        <v>36</v>
      </c>
      <c r="D1428" s="11" t="n">
        <f aca="false">$C$1424*(0.75*D1420+0.25*E1420)*D1427</f>
        <v>41.6627586058351</v>
      </c>
      <c r="E1428" s="11" t="n">
        <f aca="false">$C$1424*(0.75*E1420+0.25*F1420)*E1427</f>
        <v>47.8549412356069</v>
      </c>
      <c r="F1428" s="11" t="n">
        <f aca="false">$C$1424*(0.75*F1420+0.25*G1420)*F1427</f>
        <v>44.8424159172644</v>
      </c>
      <c r="G1428" s="11" t="n">
        <f aca="false">$C$1424*(0.75*G1420+0.25*H1420)*G1427</f>
        <v>27.2548611466613</v>
      </c>
    </row>
    <row r="1429" customFormat="false" ht="15" hidden="false" customHeight="false" outlineLevel="0" collapsed="false">
      <c r="A1429" s="5" t="s">
        <v>568</v>
      </c>
      <c r="B1429" s="0" t="s">
        <v>33</v>
      </c>
      <c r="C1429" s="11" t="n">
        <f aca="false">$C$1425*(0.75*C1422+0.25*D1422)*C1427</f>
        <v>39</v>
      </c>
      <c r="D1429" s="11" t="n">
        <f aca="false">$C$1425*(0.75*D1422+0.25*E1422)*D1427</f>
        <v>60.1483586282001</v>
      </c>
      <c r="E1429" s="11" t="n">
        <f aca="false">$C$1425*(0.75*E1422+0.25*F1422)*E1427</f>
        <v>42.5991175746519</v>
      </c>
      <c r="F1429" s="11" t="n">
        <f aca="false">$C$1425*(0.75*F1422+0.25*G1422)*F1427</f>
        <v>38.320722254198</v>
      </c>
      <c r="G1429" s="11" t="n">
        <f aca="false">$C$1425*(0.75*G1422+0.25*H1422)*G1427</f>
        <v>36.8663955538204</v>
      </c>
    </row>
    <row r="1430" customFormat="false" ht="15" hidden="false" customHeight="false" outlineLevel="0" collapsed="false">
      <c r="A1430" s="0" t="s">
        <v>569</v>
      </c>
      <c r="B1430" s="0" t="s">
        <v>33</v>
      </c>
      <c r="C1430" s="11" t="n">
        <f aca="false">C1428+C1429</f>
        <v>75</v>
      </c>
      <c r="D1430" s="11" t="n">
        <f aca="false">D1428+D1429</f>
        <v>101.811117234035</v>
      </c>
      <c r="E1430" s="11" t="n">
        <f aca="false">E1428+E1429</f>
        <v>90.4540588102588</v>
      </c>
      <c r="F1430" s="11" t="n">
        <f aca="false">F1428+F1429</f>
        <v>83.1631381714624</v>
      </c>
      <c r="G1430" s="11" t="n">
        <f aca="false">G1428+G1429</f>
        <v>64.1212567004817</v>
      </c>
    </row>
    <row r="1431" customFormat="false" ht="15" hidden="false" customHeight="false" outlineLevel="0" collapsed="false">
      <c r="A1431" s="5" t="s">
        <v>570</v>
      </c>
      <c r="B1431" s="0" t="s">
        <v>33</v>
      </c>
      <c r="C1431" s="11" t="n">
        <f aca="false">eq_25-ai_25</f>
        <v>195.87118</v>
      </c>
      <c r="D1431" s="11" t="n">
        <f aca="false">C1431*(1+g_non_lo)*D1427/C1427</f>
        <v>195.87118</v>
      </c>
      <c r="E1431" s="11" t="n">
        <f aca="false">D1431*(1+g_non_lo)*E1427/D1427</f>
        <v>195.87118</v>
      </c>
      <c r="F1431" s="11" t="n">
        <f aca="false">E1431*(1+g_non_lo)*F1427/E1427</f>
        <v>195.87118</v>
      </c>
      <c r="G1431" s="11" t="n">
        <f aca="false">F1431*(1+g_non_lo)*G1427/F1427</f>
        <v>195.87118</v>
      </c>
    </row>
    <row r="1432" customFormat="false" ht="15" hidden="false" customHeight="false" outlineLevel="0" collapsed="false">
      <c r="A1432" s="0" t="s">
        <v>571</v>
      </c>
      <c r="B1432" s="0" t="s">
        <v>80</v>
      </c>
      <c r="C1432" s="19" t="n">
        <f aca="false">w_hbm*(0.75*C1419+0.25*D1419)/(0.75*C1419+0.25*D1419)+(1-w_hbm)*(0.75*C1421+0.25*D1421)/(0.75*C1421+0.25*D1421)</f>
        <v>1</v>
      </c>
      <c r="D1432" s="19" t="n">
        <f aca="false">w_hbm*(0.75*D1419+0.25*E1419)/(0.75*C1419+0.25*D1419)+(1-w_hbm)*(0.75*D1421+0.25*E1421)/(0.75*C1421+0.25*D1421)</f>
        <v>1.65212184085657</v>
      </c>
      <c r="E1432" s="19" t="n">
        <f aca="false">w_hbm*(0.75*E1419+0.25*F1419)/(0.75*C1419+0.25*D1419)+(1-w_hbm)*(0.75*E1421+0.25*F1421)/(0.75*C1421+0.25*D1421)</f>
        <v>2.52516730417954</v>
      </c>
      <c r="F1432" s="19" t="n">
        <f aca="false">w_hbm*(0.75*F1419+0.25*G1419)/(0.75*C1419+0.25*D1419)+(1-w_hbm)*(0.75*F1421+0.25*G1421)/(0.75*C1421+0.25*D1421)</f>
        <v>3.16911970169284</v>
      </c>
      <c r="G1432" s="19" t="n">
        <f aca="false">w_hbm*(0.75*G1419+0.25*H1419)/(0.75*C1419+0.25*D1419)+(1-w_hbm)*(0.75*G1421+0.25*H1421)/(0.75*C1421+0.25*D1421)</f>
        <v>3.67439430985121</v>
      </c>
      <c r="J1432" s="8" t="s">
        <v>572</v>
      </c>
    </row>
    <row r="1433" customFormat="false" ht="15" hidden="false" customHeight="false" outlineLevel="0" collapsed="false">
      <c r="A1433" s="0" t="s">
        <v>573</v>
      </c>
      <c r="B1433" s="0" t="s">
        <v>33</v>
      </c>
      <c r="C1433" s="11" t="n">
        <f aca="false">tl_25*w_tlai*C1432</f>
        <v>25.4032258064516</v>
      </c>
      <c r="D1433" s="11" t="n">
        <f aca="false">tl_25*w_tlai*D1432</f>
        <v>41.9692241830499</v>
      </c>
      <c r="E1433" s="11" t="n">
        <f aca="false">tl_25*w_tlai*E1432</f>
        <v>64.1473952271414</v>
      </c>
      <c r="F1433" s="11" t="n">
        <f aca="false">tl_25*w_tlai*F1432</f>
        <v>80.5058633897778</v>
      </c>
      <c r="G1433" s="11" t="n">
        <f aca="false">tl_25*w_tlai*G1432</f>
        <v>93.3414683550913</v>
      </c>
      <c r="J1433" s="5" t="s">
        <v>574</v>
      </c>
    </row>
    <row r="1434" customFormat="false" ht="15" hidden="false" customHeight="false" outlineLevel="0" collapsed="false">
      <c r="A1434" s="5" t="s">
        <v>575</v>
      </c>
      <c r="B1434" s="0" t="s">
        <v>33</v>
      </c>
      <c r="C1434" s="11" t="n">
        <f aca="false">tl_25*(1-w_tlai)</f>
        <v>66.3434641935484</v>
      </c>
      <c r="D1434" s="11" t="n">
        <f aca="false">C1434*(1+g_tl)</f>
        <v>69.6606374032258</v>
      </c>
      <c r="E1434" s="11" t="n">
        <f aca="false">D1434*(1+g_tl)</f>
        <v>73.1436692733871</v>
      </c>
      <c r="F1434" s="11" t="n">
        <f aca="false">E1434*(1+g_tl)</f>
        <v>76.8008527370565</v>
      </c>
      <c r="G1434" s="11" t="n">
        <f aca="false">F1434*(1+g_tl)</f>
        <v>80.6408953739093</v>
      </c>
    </row>
    <row r="1435" customFormat="false" ht="15" hidden="false" customHeight="false" outlineLevel="0" collapsed="false">
      <c r="A1435" s="5" t="s">
        <v>576</v>
      </c>
      <c r="B1435" s="0" t="s">
        <v>33</v>
      </c>
      <c r="C1435" s="11" t="n">
        <f aca="false">(C1430+C1431+C1433+C1434)*(1+r_ot)</f>
        <v>436.889</v>
      </c>
      <c r="D1435" s="11" t="n">
        <f aca="false">(D1430+D1431+D1433+D1434)*(1+r_ot)</f>
        <v>493.147179301579</v>
      </c>
      <c r="E1435" s="11" t="n">
        <f aca="false">(E1430+E1431+E1433+E1434)*(1+r_ot)</f>
        <v>510.38108832625</v>
      </c>
      <c r="F1435" s="11" t="n">
        <f aca="false">(F1430+F1431+F1433+F1434)*(1+r_ot)</f>
        <v>525.71208951602</v>
      </c>
      <c r="G1435" s="11" t="n">
        <f aca="false">(G1430+G1431+G1433+G1434)*(1+r_ot)</f>
        <v>522.861205336726</v>
      </c>
      <c r="J1435" s="8" t="s">
        <v>577</v>
      </c>
    </row>
    <row r="1436" customFormat="false" ht="15" hidden="false" customHeight="false" outlineLevel="0" collapsed="false">
      <c r="A1436" s="1" t="s">
        <v>578</v>
      </c>
    </row>
    <row r="1437" customFormat="false" ht="15" hidden="false" customHeight="false" outlineLevel="0" collapsed="false">
      <c r="A1437" s="5" t="s">
        <v>579</v>
      </c>
      <c r="B1437" s="0" t="s">
        <v>33</v>
      </c>
      <c r="D1437" s="11" t="n">
        <f aca="false">g3_rev*(1+g_q4)</f>
        <v>145.6862</v>
      </c>
    </row>
    <row r="1438" customFormat="false" ht="15" hidden="false" customHeight="false" outlineLevel="0" collapsed="false">
      <c r="A1438" s="0" t="s">
        <v>580</v>
      </c>
      <c r="B1438" s="0" t="s">
        <v>33</v>
      </c>
      <c r="D1438" s="11" t="n">
        <f aca="false">q26h1_rev+g3_rev+D1437</f>
        <v>535.1862</v>
      </c>
    </row>
    <row r="1439" customFormat="false" ht="15" hidden="false" customHeight="false" outlineLevel="0" collapsed="false">
      <c r="A1439" s="0" t="s">
        <v>581</v>
      </c>
      <c r="B1439" s="0" t="s">
        <v>33</v>
      </c>
      <c r="D1439" s="11" t="n">
        <f aca="false">q26h1_gp+(g3_rev+D1437)*gm_q3</f>
        <v>378.0504836</v>
      </c>
    </row>
    <row r="1440" customFormat="false" ht="15" hidden="false" customHeight="false" outlineLevel="0" collapsed="false">
      <c r="A1440" s="0" t="s">
        <v>582</v>
      </c>
      <c r="B1440" s="0" t="s">
        <v>33</v>
      </c>
      <c r="D1440" s="11" t="n">
        <f aca="false">q26h1_oi+g3_oi+D1437*m_q4</f>
        <v>238.5671</v>
      </c>
    </row>
    <row r="1441" customFormat="false" ht="15" hidden="false" customHeight="false" outlineLevel="0" collapsed="false">
      <c r="A1441" s="0" t="s">
        <v>583</v>
      </c>
      <c r="B1441" s="0" t="s">
        <v>33</v>
      </c>
      <c r="D1441" s="11" t="n">
        <f aca="false">q26h1_ni+g3_ni+D1437*m_q4*nioi</f>
        <v>167.95938138934</v>
      </c>
    </row>
    <row r="1442" customFormat="false" ht="15" hidden="false" customHeight="false" outlineLevel="0" collapsed="false">
      <c r="A1442" s="5" t="s">
        <v>584</v>
      </c>
      <c r="B1442" s="0" t="s">
        <v>80</v>
      </c>
      <c r="D1442" s="16" t="n">
        <f aca="false">D1438/D1435</f>
        <v>1.08524639795762</v>
      </c>
      <c r="J1442" s="8" t="s">
        <v>585</v>
      </c>
    </row>
    <row r="1443" customFormat="false" ht="15" hidden="false" customHeight="false" outlineLevel="0" collapsed="false">
      <c r="A1443" s="5" t="s">
        <v>586</v>
      </c>
      <c r="B1443" s="0" t="s">
        <v>80</v>
      </c>
      <c r="D1443" s="16" t="n">
        <f aca="false">1+anc_carry*(D1442-1)</f>
        <v>1.08524639795762</v>
      </c>
      <c r="J1443" s="8" t="s">
        <v>587</v>
      </c>
    </row>
    <row r="1444" customFormat="false" ht="15" hidden="false" customHeight="false" outlineLevel="0" collapsed="false">
      <c r="A1444" s="1" t="s">
        <v>588</v>
      </c>
    </row>
    <row r="1445" customFormat="false" ht="15" hidden="false" customHeight="false" outlineLevel="0" collapsed="false">
      <c r="A1445" s="0" t="s">
        <v>589</v>
      </c>
      <c r="B1445" s="0" t="s">
        <v>33</v>
      </c>
      <c r="C1445" s="11" t="n">
        <f aca="false">C1428*1</f>
        <v>36</v>
      </c>
      <c r="D1445" s="11" t="n">
        <f aca="false">D1428*$D$1442</f>
        <v>45.2143587059604</v>
      </c>
      <c r="E1445" s="11" t="n">
        <f aca="false">E1428*1</f>
        <v>47.8549412356069</v>
      </c>
      <c r="F1445" s="11" t="n">
        <f aca="false">F1428*1</f>
        <v>44.8424159172644</v>
      </c>
      <c r="G1445" s="11" t="n">
        <f aca="false">G1428*1</f>
        <v>27.2548611466613</v>
      </c>
    </row>
    <row r="1446" customFormat="false" ht="15" hidden="false" customHeight="false" outlineLevel="0" collapsed="false">
      <c r="A1446" s="5" t="s">
        <v>590</v>
      </c>
      <c r="B1446" s="0" t="s">
        <v>33</v>
      </c>
      <c r="C1446" s="11" t="n">
        <f aca="false">C1429*1</f>
        <v>39</v>
      </c>
      <c r="D1446" s="11" t="n">
        <f aca="false">D1429*$D$1442</f>
        <v>65.2757895443173</v>
      </c>
      <c r="E1446" s="11" t="n">
        <f aca="false">E1429*1</f>
        <v>42.5991175746519</v>
      </c>
      <c r="F1446" s="11" t="n">
        <f aca="false">F1429*1</f>
        <v>38.320722254198</v>
      </c>
      <c r="G1446" s="11" t="n">
        <f aca="false">G1429*1</f>
        <v>36.8663955538204</v>
      </c>
    </row>
    <row r="1447" customFormat="false" ht="15" hidden="false" customHeight="false" outlineLevel="0" collapsed="false">
      <c r="A1447" s="0" t="s">
        <v>591</v>
      </c>
      <c r="B1447" s="0" t="s">
        <v>33</v>
      </c>
      <c r="C1447" s="11" t="n">
        <f aca="false">C1445+C1446</f>
        <v>75</v>
      </c>
      <c r="D1447" s="11" t="n">
        <f aca="false">D1445+D1446</f>
        <v>110.490148250278</v>
      </c>
      <c r="E1447" s="11" t="n">
        <f aca="false">E1445+E1446</f>
        <v>90.4540588102588</v>
      </c>
      <c r="F1447" s="11" t="n">
        <f aca="false">F1445+F1446</f>
        <v>83.1631381714624</v>
      </c>
      <c r="G1447" s="11" t="n">
        <f aca="false">G1445+G1446</f>
        <v>64.1212567004817</v>
      </c>
    </row>
    <row r="1448" customFormat="false" ht="15" hidden="false" customHeight="false" outlineLevel="0" collapsed="false">
      <c r="A1448" s="5" t="s">
        <v>592</v>
      </c>
      <c r="B1448" s="0" t="s">
        <v>33</v>
      </c>
      <c r="C1448" s="11" t="n">
        <f aca="false">C1431*1</f>
        <v>195.87118</v>
      </c>
      <c r="D1448" s="11" t="n">
        <f aca="false">D1431*$D$1442</f>
        <v>212.568492558709</v>
      </c>
      <c r="E1448" s="11" t="n">
        <f aca="false">E1431*$D$1443</f>
        <v>212.568492558709</v>
      </c>
      <c r="F1448" s="11" t="n">
        <f aca="false">F1431*$D$1443</f>
        <v>212.568492558709</v>
      </c>
      <c r="G1448" s="11" t="n">
        <f aca="false">G1431*$D$1443</f>
        <v>212.568492558709</v>
      </c>
    </row>
    <row r="1449" customFormat="false" ht="15" hidden="false" customHeight="false" outlineLevel="0" collapsed="false">
      <c r="A1449" s="5" t="s">
        <v>593</v>
      </c>
      <c r="B1449" s="0" t="s">
        <v>33</v>
      </c>
      <c r="C1449" s="11" t="n">
        <f aca="false">C1447+C1448</f>
        <v>270.87118</v>
      </c>
      <c r="D1449" s="11" t="n">
        <f aca="false">D1447+D1448</f>
        <v>323.058640808986</v>
      </c>
      <c r="E1449" s="11" t="n">
        <f aca="false">E1447+E1448</f>
        <v>303.022551368968</v>
      </c>
      <c r="F1449" s="11" t="n">
        <f aca="false">F1447+F1448</f>
        <v>295.731630730171</v>
      </c>
      <c r="G1449" s="11" t="n">
        <f aca="false">G1447+G1448</f>
        <v>276.68974925919</v>
      </c>
    </row>
    <row r="1450" customFormat="false" ht="15" hidden="false" customHeight="false" outlineLevel="0" collapsed="false">
      <c r="A1450" s="0" t="s">
        <v>594</v>
      </c>
      <c r="B1450" s="0" t="s">
        <v>33</v>
      </c>
      <c r="C1450" s="11" t="n">
        <f aca="false">C1433*1</f>
        <v>25.4032258064516</v>
      </c>
      <c r="D1450" s="11" t="n">
        <f aca="false">D1433*$D$1442</f>
        <v>45.5469493697308</v>
      </c>
      <c r="E1450" s="11" t="n">
        <f aca="false">E1433*1</f>
        <v>64.1473952271414</v>
      </c>
      <c r="F1450" s="11" t="n">
        <f aca="false">F1433*1</f>
        <v>80.5058633897778</v>
      </c>
      <c r="G1450" s="11" t="n">
        <f aca="false">G1433*1</f>
        <v>93.3414683550913</v>
      </c>
    </row>
    <row r="1451" customFormat="false" ht="15" hidden="false" customHeight="false" outlineLevel="0" collapsed="false">
      <c r="A1451" s="5" t="s">
        <v>595</v>
      </c>
      <c r="B1451" s="0" t="s">
        <v>33</v>
      </c>
      <c r="C1451" s="11" t="n">
        <f aca="false">C1434*1</f>
        <v>66.3434641935484</v>
      </c>
      <c r="D1451" s="11" t="n">
        <f aca="false">D1434*$D$1442</f>
        <v>75.5989558212827</v>
      </c>
      <c r="E1451" s="11" t="n">
        <f aca="false">E1434*$D$1443</f>
        <v>79.3789036123469</v>
      </c>
      <c r="F1451" s="11" t="n">
        <f aca="false">F1434*$D$1443</f>
        <v>83.3478487929642</v>
      </c>
      <c r="G1451" s="11" t="n">
        <f aca="false">G1434*$D$1443</f>
        <v>87.5152412326124</v>
      </c>
    </row>
    <row r="1452" customFormat="false" ht="15" hidden="false" customHeight="false" outlineLevel="0" collapsed="false">
      <c r="A1452" s="5" t="s">
        <v>596</v>
      </c>
      <c r="B1452" s="0" t="s">
        <v>33</v>
      </c>
      <c r="C1452" s="11" t="n">
        <f aca="false">C1450+C1451</f>
        <v>91.74669</v>
      </c>
      <c r="D1452" s="11" t="n">
        <f aca="false">D1450+D1451</f>
        <v>121.145905191014</v>
      </c>
      <c r="E1452" s="11" t="n">
        <f aca="false">E1450+E1451</f>
        <v>143.526298839488</v>
      </c>
      <c r="F1452" s="11" t="n">
        <f aca="false">F1450+F1451</f>
        <v>163.853712182742</v>
      </c>
      <c r="G1452" s="11" t="n">
        <f aca="false">G1450+G1451</f>
        <v>180.856709587704</v>
      </c>
    </row>
    <row r="1453" customFormat="false" ht="15" hidden="false" customHeight="false" outlineLevel="0" collapsed="false">
      <c r="A1453" s="5" t="s">
        <v>458</v>
      </c>
      <c r="B1453" s="0" t="s">
        <v>33</v>
      </c>
      <c r="C1453" s="11" t="n">
        <f aca="false">r_ot*(C1449+C1452)</f>
        <v>74.27113</v>
      </c>
      <c r="D1453" s="11" t="n">
        <f aca="false">r_ot*(D1449+D1452)</f>
        <v>90.981654</v>
      </c>
      <c r="E1453" s="11" t="n">
        <f aca="false">r_ot*(E1449+E1452)</f>
        <v>91.4618126932982</v>
      </c>
      <c r="F1453" s="11" t="n">
        <f aca="false">r_ot*(F1449+F1452)</f>
        <v>94.1319377050545</v>
      </c>
      <c r="G1453" s="11" t="n">
        <f aca="false">r_ot*(G1449+G1452)</f>
        <v>93.7143349445446</v>
      </c>
    </row>
    <row r="1454" customFormat="false" ht="15" hidden="false" customHeight="false" outlineLevel="0" collapsed="false">
      <c r="A1454" s="5" t="s">
        <v>428</v>
      </c>
      <c r="B1454" s="0" t="s">
        <v>33</v>
      </c>
      <c r="C1454" s="11" t="n">
        <f aca="false">C1449+C1452+C1453</f>
        <v>436.889</v>
      </c>
      <c r="D1454" s="11" t="n">
        <f aca="false">D1449+D1452+D1453</f>
        <v>535.1862</v>
      </c>
      <c r="E1454" s="11" t="n">
        <f aca="false">E1449+E1452+E1453</f>
        <v>538.010662901754</v>
      </c>
      <c r="F1454" s="11" t="n">
        <f aca="false">F1449+F1452+F1453</f>
        <v>553.717280617968</v>
      </c>
      <c r="G1454" s="11" t="n">
        <f aca="false">G1449+G1452+G1453</f>
        <v>551.260793791439</v>
      </c>
      <c r="J1454" s="8" t="s">
        <v>597</v>
      </c>
    </row>
    <row r="1455" customFormat="false" ht="15" hidden="false" customHeight="false" outlineLevel="0" collapsed="false">
      <c r="A1455" s="0" t="s">
        <v>598</v>
      </c>
      <c r="B1455" s="0" t="s">
        <v>60</v>
      </c>
      <c r="C1455" s="14" t="n">
        <f aca="false">(C1447+C1450)*(1+r_ot)/C1454</f>
        <v>0.276884384673187</v>
      </c>
      <c r="D1455" s="14" t="n">
        <f aca="false">(D1447+D1450)*(1+r_ot)/D1454</f>
        <v>0.351273076840615</v>
      </c>
      <c r="E1455" s="14" t="n">
        <f aca="false">(E1447+E1450)*(1+r_ot)/E1454</f>
        <v>0.346213978527164</v>
      </c>
      <c r="F1455" s="14" t="n">
        <f aca="false">(F1447+F1450)*(1+r_ot)/F1454</f>
        <v>0.356123196888492</v>
      </c>
      <c r="G1455" s="14" t="n">
        <f aca="false">(G1447+G1450)*(1+r_ot)/G1454</f>
        <v>0.344145871989502</v>
      </c>
    </row>
    <row r="1456" customFormat="false" ht="15" hidden="false" customHeight="false" outlineLevel="0" collapsed="false">
      <c r="A1456" s="0" t="s">
        <v>599</v>
      </c>
      <c r="B1456" s="0" t="s">
        <v>60</v>
      </c>
      <c r="C1456" s="14" t="n">
        <f aca="false">C1447*(1+r_ot)/C1454</f>
        <v>0.206829299394429</v>
      </c>
      <c r="D1456" s="14" t="n">
        <f aca="false">D1447*(1+r_ot)/D1454</f>
        <v>0.248737094757868</v>
      </c>
      <c r="E1456" s="14" t="n">
        <f aca="false">E1447*(1+r_ot)/E1454</f>
        <v>0.202562516436967</v>
      </c>
      <c r="F1456" s="14" t="n">
        <f aca="false">F1447*(1+r_ot)/F1454</f>
        <v>0.180952546581149</v>
      </c>
      <c r="G1456" s="14" t="n">
        <f aca="false">G1447*(1+r_ot)/G1454</f>
        <v>0.140141521064505</v>
      </c>
      <c r="J1456" s="5" t="s">
        <v>600</v>
      </c>
    </row>
    <row r="1457" customFormat="false" ht="15" hidden="false" customHeight="false" outlineLevel="0" collapsed="false">
      <c r="A1457" s="5" t="s">
        <v>466</v>
      </c>
      <c r="B1457" s="0" t="s">
        <v>60</v>
      </c>
      <c r="C1457" s="14" t="n">
        <f aca="false">a25_gp/a25_rev</f>
        <v>0.701498549974936</v>
      </c>
      <c r="D1457" s="14" t="n">
        <f aca="false">D1439/D1454</f>
        <v>0.70639056761927</v>
      </c>
      <c r="E1457" s="14" t="n">
        <f aca="false">gm_a+gm_b*LN(E1454)+0</f>
        <v>0.726152240036325</v>
      </c>
      <c r="F1457" s="14" t="n">
        <f aca="false">gm_a+gm_b*LN(F1454)+0</f>
        <v>0.729427679122284</v>
      </c>
      <c r="G1457" s="14" t="n">
        <f aca="false">gm_a+gm_b*LN(G1454)+0</f>
        <v>0.728921583235346</v>
      </c>
      <c r="J1457" s="8" t="s">
        <v>601</v>
      </c>
    </row>
    <row r="1458" customFormat="false" ht="15" hidden="false" customHeight="false" outlineLevel="0" collapsed="false">
      <c r="A1458" s="5" t="s">
        <v>463</v>
      </c>
      <c r="B1458" s="0" t="s">
        <v>33</v>
      </c>
      <c r="C1458" s="11" t="n">
        <f aca="false">C1454*C1457</f>
        <v>306.477</v>
      </c>
      <c r="D1458" s="11" t="n">
        <f aca="false">D1454*D1457</f>
        <v>378.0504836</v>
      </c>
      <c r="E1458" s="11" t="n">
        <f aca="false">E1454*E1457</f>
        <v>390.677648029537</v>
      </c>
      <c r="F1458" s="11" t="n">
        <f aca="false">F1454*F1457</f>
        <v>403.896710891067</v>
      </c>
      <c r="G1458" s="11" t="n">
        <f aca="false">G1454*G1457</f>
        <v>401.825890586029</v>
      </c>
    </row>
    <row r="1459" customFormat="false" ht="15" hidden="false" customHeight="false" outlineLevel="0" collapsed="false">
      <c r="A1459" s="5" t="s">
        <v>464</v>
      </c>
      <c r="B1459" s="0" t="s">
        <v>33</v>
      </c>
      <c r="C1459" s="11" t="n">
        <f aca="false">a25_sga</f>
        <v>121.487</v>
      </c>
      <c r="D1459" s="11" t="n">
        <f aca="false">D1458-D1440</f>
        <v>139.4833836</v>
      </c>
      <c r="E1459" s="11" t="n">
        <f aca="false">sg_f+sg_v*E1454</f>
        <v>143.899497645429</v>
      </c>
      <c r="F1459" s="11" t="n">
        <f aca="false">sg_f+sg_v*F1454</f>
        <v>147.863330174456</v>
      </c>
      <c r="G1459" s="11" t="n">
        <f aca="false">sg_f+sg_v*G1454</f>
        <v>147.243393879701</v>
      </c>
      <c r="J1459" s="8" t="s">
        <v>602</v>
      </c>
    </row>
    <row r="1460" customFormat="false" ht="15" hidden="false" customHeight="false" outlineLevel="0" collapsed="false">
      <c r="A1460" s="5" t="s">
        <v>432</v>
      </c>
      <c r="B1460" s="0" t="s">
        <v>33</v>
      </c>
      <c r="C1460" s="11" t="n">
        <f aca="false">C1458-C1459</f>
        <v>184.99</v>
      </c>
      <c r="D1460" s="11" t="n">
        <f aca="false">D1458-D1459</f>
        <v>238.5671</v>
      </c>
      <c r="E1460" s="11" t="n">
        <f aca="false">E1458-E1459</f>
        <v>246.778150384108</v>
      </c>
      <c r="F1460" s="11" t="n">
        <f aca="false">F1458-F1459</f>
        <v>256.033380716611</v>
      </c>
      <c r="G1460" s="11" t="n">
        <f aca="false">G1458-G1459</f>
        <v>254.582496706328</v>
      </c>
    </row>
    <row r="1461" customFormat="false" ht="15" hidden="false" customHeight="false" outlineLevel="0" collapsed="false">
      <c r="A1461" s="5" t="s">
        <v>603</v>
      </c>
      <c r="B1461" s="0" t="s">
        <v>60</v>
      </c>
      <c r="C1461" s="14" t="n">
        <f aca="false">C1460/C1454</f>
        <v>0.423425629851061</v>
      </c>
      <c r="D1461" s="14" t="n">
        <f aca="false">D1460/D1454</f>
        <v>0.445764670314743</v>
      </c>
      <c r="E1461" s="14" t="n">
        <f aca="false">E1460/E1454</f>
        <v>0.458686355867211</v>
      </c>
      <c r="F1461" s="14" t="n">
        <f aca="false">F1460/F1454</f>
        <v>0.462390085479848</v>
      </c>
      <c r="G1461" s="14" t="n">
        <f aca="false">G1460/G1454</f>
        <v>0.46181861575058</v>
      </c>
    </row>
    <row r="1462" customFormat="false" ht="15" hidden="false" customHeight="false" outlineLevel="0" collapsed="false">
      <c r="A1462" s="5" t="s">
        <v>435</v>
      </c>
      <c r="B1462" s="0" t="s">
        <v>33</v>
      </c>
      <c r="C1462" s="11" t="n">
        <f aca="false">a25_ni</f>
        <v>135.521</v>
      </c>
      <c r="D1462" s="11" t="n">
        <f aca="false">D1441</f>
        <v>167.95938138934</v>
      </c>
      <c r="E1462" s="11" t="n">
        <f aca="false">E1460*nioi</f>
        <v>177.970331314519</v>
      </c>
      <c r="F1462" s="11" t="n">
        <f aca="false">F1460*nioi</f>
        <v>184.644975751654</v>
      </c>
      <c r="G1462" s="11" t="n">
        <f aca="false">G1460*nioi</f>
        <v>183.598633895185</v>
      </c>
    </row>
    <row r="1463" customFormat="false" ht="15" hidden="false" customHeight="false" outlineLevel="0" collapsed="false">
      <c r="A1463" s="0" t="s">
        <v>524</v>
      </c>
      <c r="B1463" s="0" t="s">
        <v>55</v>
      </c>
      <c r="C1463" s="11" t="n">
        <f aca="false">a25_eps</f>
        <v>1249.84</v>
      </c>
      <c r="D1463" s="11" t="n">
        <f aca="false">D1462*1000/shares</f>
        <v>1548.28555816522</v>
      </c>
      <c r="E1463" s="11" t="n">
        <f aca="false">E1462*1000/shares</f>
        <v>1640.56863913669</v>
      </c>
      <c r="F1463" s="11" t="n">
        <f aca="false">F1462*1000/shares</f>
        <v>1702.09694141085</v>
      </c>
      <c r="G1463" s="11" t="n">
        <f aca="false">G1462*1000/shares</f>
        <v>1692.45153802895</v>
      </c>
    </row>
    <row r="1464" customFormat="false" ht="15" hidden="false" customHeight="false" outlineLevel="0" collapsed="false">
      <c r="A1464" s="5" t="s">
        <v>604</v>
      </c>
      <c r="B1464" s="0" t="s">
        <v>33</v>
      </c>
      <c r="C1464" s="16" t="n">
        <f aca="false">ABS(C1454-a25_rev)+ABS(C1460-a25_oi)+ABS(D1454-D1438)+ABS(D1460-D1440)</f>
        <v>0.000999999999976353</v>
      </c>
    </row>
    <row r="1465" customFormat="false" ht="15" hidden="false" customHeight="false" outlineLevel="0" collapsed="false">
      <c r="A1465" s="1" t="s">
        <v>605</v>
      </c>
    </row>
    <row r="1466" customFormat="false" ht="15" hidden="false" customHeight="false" outlineLevel="0" collapsed="false">
      <c r="A1466" s="5" t="s">
        <v>606</v>
      </c>
      <c r="B1466" s="0" t="s">
        <v>60</v>
      </c>
      <c r="C1466" s="14" t="n">
        <f aca="false">a25_gp/a25_rev</f>
        <v>0.701498549974936</v>
      </c>
      <c r="D1466" s="14" t="n">
        <f aca="false">gm_a+gm_b*LN(D1435)+0</f>
        <v>0.716241332762671</v>
      </c>
      <c r="E1466" s="14" t="n">
        <f aca="false">gm_a+gm_b*LN(E1435)+0</f>
        <v>0.72015125571209</v>
      </c>
      <c r="F1466" s="14" t="n">
        <f aca="false">gm_a+gm_b*LN(F1435)+0</f>
        <v>0.723520051736208</v>
      </c>
      <c r="G1466" s="14" t="n">
        <f aca="false">gm_a+gm_b*LN(G1435)+0</f>
        <v>0.722901105160451</v>
      </c>
    </row>
    <row r="1467" customFormat="false" ht="15" hidden="false" customHeight="false" outlineLevel="0" collapsed="false">
      <c r="A1467" s="5" t="s">
        <v>607</v>
      </c>
      <c r="B1467" s="0" t="s">
        <v>33</v>
      </c>
      <c r="C1467" s="11" t="n">
        <f aca="false">a25_oi</f>
        <v>184.989</v>
      </c>
      <c r="D1467" s="11" t="n">
        <f aca="false">D1435*D1466-sg_f-sg_v*D1435</f>
        <v>220.634959601952</v>
      </c>
      <c r="E1467" s="11" t="n">
        <f aca="false">E1435*E1466-sg_f-sg_v*E1435</f>
        <v>230.624877793916</v>
      </c>
      <c r="F1467" s="11" t="n">
        <f aca="false">F1435*F1466-sg_f-sg_v*F1435</f>
        <v>239.567495048762</v>
      </c>
      <c r="G1467" s="11" t="n">
        <f aca="false">G1435*G1466-sg_f-sg_v*G1435</f>
        <v>237.900669212161</v>
      </c>
    </row>
    <row r="1468" customFormat="false" ht="15" hidden="false" customHeight="false" outlineLevel="0" collapsed="false">
      <c r="A1468" s="0" t="s">
        <v>608</v>
      </c>
      <c r="B1468" s="0" t="s">
        <v>55</v>
      </c>
      <c r="C1468" s="11" t="n">
        <f aca="false">a25_eps</f>
        <v>1249.84</v>
      </c>
      <c r="D1468" s="11" t="n">
        <f aca="false">D1467*nioi_v01*1000/shares</f>
        <v>1489.98472746105</v>
      </c>
      <c r="E1468" s="11" t="n">
        <f aca="false">E1467*nioi_v01*1000/shares</f>
        <v>1557.4483132929</v>
      </c>
      <c r="F1468" s="11" t="n">
        <f aca="false">F1467*nioi_v01*1000/shares</f>
        <v>1617.83930100077</v>
      </c>
      <c r="G1468" s="11" t="n">
        <f aca="false">G1467*nioi_v01*1000/shares</f>
        <v>1606.5829477721</v>
      </c>
    </row>
    <row r="1480" customFormat="false" ht="15" hidden="false" customHeight="false" outlineLevel="0" collapsed="false">
      <c r="A1480" s="4" t="s">
        <v>841</v>
      </c>
    </row>
    <row r="1481" customFormat="false" ht="15" hidden="false" customHeight="false" outlineLevel="0" collapsed="false">
      <c r="A1481" s="6" t="s">
        <v>22</v>
      </c>
      <c r="B1481" s="6" t="s">
        <v>23</v>
      </c>
      <c r="C1481" s="9" t="s">
        <v>532</v>
      </c>
      <c r="D1481" s="9" t="s">
        <v>533</v>
      </c>
      <c r="E1481" s="9" t="s">
        <v>534</v>
      </c>
      <c r="F1481" s="9" t="s">
        <v>535</v>
      </c>
      <c r="G1481" s="9" t="s">
        <v>536</v>
      </c>
      <c r="H1481" s="9" t="s">
        <v>537</v>
      </c>
      <c r="I1481" s="9" t="s">
        <v>538</v>
      </c>
      <c r="J1481" s="6" t="s">
        <v>515</v>
      </c>
    </row>
    <row r="1482" customFormat="false" ht="15" hidden="false" customHeight="false" outlineLevel="0" collapsed="false">
      <c r="A1482" s="1" t="s">
        <v>539</v>
      </c>
    </row>
    <row r="1483" customFormat="false" ht="15" hidden="false" customHeight="false" outlineLevel="0" collapsed="false">
      <c r="A1483" s="0" t="s">
        <v>540</v>
      </c>
      <c r="B1483" s="0" t="s">
        <v>100</v>
      </c>
      <c r="C1483" s="19" t="n">
        <f aca="false">hsA_25</f>
        <v>2.22511470588235</v>
      </c>
      <c r="D1483" s="19" t="n">
        <f aca="false">hsA_26</f>
        <v>3.782695</v>
      </c>
      <c r="E1483" s="19" t="n">
        <f aca="false">hsA_27</f>
        <v>5.86317725</v>
      </c>
      <c r="F1483" s="19" t="n">
        <f aca="false">hsA_28</f>
        <v>8.5016070125</v>
      </c>
      <c r="G1483" s="19" t="n">
        <f aca="false">hsA_29</f>
        <v>11.477169466875</v>
      </c>
      <c r="H1483" s="19" t="n">
        <f aca="false">G1483*(1+g_tail)</f>
        <v>12.6248864135625</v>
      </c>
      <c r="I1483" s="19" t="n">
        <f aca="false">H1483*(1+g_tail)</f>
        <v>13.8873750549188</v>
      </c>
      <c r="J1483" s="8" t="s">
        <v>541</v>
      </c>
    </row>
    <row r="1484" customFormat="false" ht="15" hidden="false" customHeight="false" outlineLevel="0" collapsed="false">
      <c r="A1484" s="0" t="s">
        <v>542</v>
      </c>
      <c r="B1484" s="0" t="s">
        <v>543</v>
      </c>
      <c r="C1484" s="19" t="n">
        <f aca="false">den_25</f>
        <v>24</v>
      </c>
      <c r="D1484" s="19" t="n">
        <f aca="false">den_26</f>
        <v>24</v>
      </c>
      <c r="E1484" s="19" t="n">
        <f aca="false">den_27</f>
        <v>26</v>
      </c>
      <c r="F1484" s="19" t="n">
        <f aca="false">den_28</f>
        <v>28</v>
      </c>
      <c r="G1484" s="19" t="n">
        <f aca="false">den_29</f>
        <v>30</v>
      </c>
      <c r="H1484" s="19" t="n">
        <f aca="false">den_30</f>
        <v>32</v>
      </c>
      <c r="I1484" s="19" t="n">
        <f aca="false">den_30</f>
        <v>32</v>
      </c>
    </row>
    <row r="1485" customFormat="false" ht="15" hidden="false" customHeight="false" outlineLevel="0" collapsed="false">
      <c r="A1485" s="5" t="s">
        <v>544</v>
      </c>
      <c r="B1485" s="5" t="s">
        <v>152</v>
      </c>
      <c r="C1485" s="19" t="n">
        <f aca="false">stk_25</f>
        <v>10</v>
      </c>
      <c r="D1485" s="19" t="n">
        <f aca="false">stk_26</f>
        <v>12</v>
      </c>
      <c r="E1485" s="19" t="n">
        <f aca="false">stk_27</f>
        <v>12.5</v>
      </c>
      <c r="F1485" s="19" t="n">
        <f aca="false">stk_28</f>
        <v>14</v>
      </c>
      <c r="G1485" s="19" t="n">
        <f aca="false">stk_29</f>
        <v>15</v>
      </c>
      <c r="H1485" s="19" t="n">
        <f aca="false">stk_30</f>
        <v>16</v>
      </c>
      <c r="I1485" s="19" t="n">
        <f aca="false">stk_30</f>
        <v>16</v>
      </c>
    </row>
    <row r="1486" customFormat="false" ht="15" hidden="false" customHeight="false" outlineLevel="0" collapsed="false">
      <c r="A1486" s="0" t="s">
        <v>545</v>
      </c>
      <c r="B1486" s="5" t="s">
        <v>546</v>
      </c>
      <c r="C1486" s="19" t="n">
        <f aca="false">C1483*8/C1484</f>
        <v>0.741704901960783</v>
      </c>
      <c r="D1486" s="19" t="n">
        <f aca="false">D1483*8/D1484</f>
        <v>1.26089833333333</v>
      </c>
      <c r="E1486" s="19" t="n">
        <f aca="false">E1483*8/E1484</f>
        <v>1.80405453846154</v>
      </c>
      <c r="F1486" s="19" t="n">
        <f aca="false">F1483*8/F1484</f>
        <v>2.429030575</v>
      </c>
      <c r="G1486" s="19" t="n">
        <f aca="false">G1483*8/G1484</f>
        <v>3.0605785245</v>
      </c>
      <c r="H1486" s="19" t="n">
        <f aca="false">H1483*8/H1484</f>
        <v>3.15622160339063</v>
      </c>
      <c r="I1486" s="19" t="n">
        <f aca="false">I1483*8/I1484</f>
        <v>3.47184376372969</v>
      </c>
      <c r="J1486" s="8" t="s">
        <v>547</v>
      </c>
    </row>
    <row r="1487" customFormat="false" ht="15" hidden="false" customHeight="false" outlineLevel="0" collapsed="false">
      <c r="A1487" s="0" t="s">
        <v>548</v>
      </c>
      <c r="B1487" s="5" t="s">
        <v>549</v>
      </c>
      <c r="C1487" s="19" t="n">
        <f aca="false">C1486*(1+s_stk/C1485)</f>
        <v>0.964216372549018</v>
      </c>
      <c r="D1487" s="19" t="n">
        <f aca="false">D1486*(1+s_stk/D1485)</f>
        <v>1.57612291666667</v>
      </c>
      <c r="E1487" s="19" t="n">
        <f aca="false">E1486*(1+s_stk/E1485)</f>
        <v>2.23702762769231</v>
      </c>
      <c r="F1487" s="19" t="n">
        <f aca="false">F1486*(1+s_stk/F1485)</f>
        <v>2.94953712678571</v>
      </c>
      <c r="G1487" s="19" t="n">
        <f aca="false">G1486*(1+s_stk/G1485)</f>
        <v>3.6726942294</v>
      </c>
      <c r="H1487" s="19" t="n">
        <f aca="false">H1486*(1+s_stk/H1485)</f>
        <v>3.74801315402637</v>
      </c>
      <c r="I1487" s="19" t="n">
        <f aca="false">I1486*(1+s_stk/I1485)</f>
        <v>4.12281446942901</v>
      </c>
      <c r="J1487" s="5" t="s">
        <v>550</v>
      </c>
    </row>
    <row r="1488" customFormat="false" ht="15" hidden="false" customHeight="false" outlineLevel="0" collapsed="false">
      <c r="A1488" s="5" t="s">
        <v>551</v>
      </c>
      <c r="B1488" s="0" t="s">
        <v>60</v>
      </c>
      <c r="C1488" s="22" t="n">
        <f aca="false">hbp_25*hb_on</f>
        <v>0</v>
      </c>
      <c r="D1488" s="22" t="n">
        <f aca="false">hbp_26*hb_on</f>
        <v>0</v>
      </c>
      <c r="E1488" s="22" t="n">
        <f aca="false">hbp_27*hb_on</f>
        <v>0</v>
      </c>
      <c r="F1488" s="22" t="n">
        <f aca="false">hbp_28*hb_on</f>
        <v>0.05</v>
      </c>
      <c r="G1488" s="22" t="n">
        <f aca="false">hbp_29*hb_on</f>
        <v>0.15</v>
      </c>
      <c r="H1488" s="22" t="n">
        <f aca="false">hbp_30*hb_on</f>
        <v>0.25</v>
      </c>
      <c r="I1488" s="22" t="n">
        <f aca="false">hbp_30*hb_on</f>
        <v>0.25</v>
      </c>
    </row>
    <row r="1489" customFormat="false" ht="15" hidden="false" customHeight="false" outlineLevel="0" collapsed="false">
      <c r="A1489" s="0" t="s">
        <v>552</v>
      </c>
      <c r="B1489" s="5" t="s">
        <v>549</v>
      </c>
      <c r="C1489" s="19" t="n">
        <f aca="false">C1487*(1+C1488*hb_eff)</f>
        <v>0.964216372549018</v>
      </c>
      <c r="D1489" s="19" t="n">
        <f aca="false">D1487*(1+D1488*hb_eff)</f>
        <v>1.57612291666667</v>
      </c>
      <c r="E1489" s="19" t="n">
        <f aca="false">E1487*(1+E1488*hb_eff)</f>
        <v>2.23702762769231</v>
      </c>
      <c r="F1489" s="19" t="n">
        <f aca="false">F1487*(1+F1488*hb_eff)</f>
        <v>2.96428481241964</v>
      </c>
      <c r="G1489" s="19" t="n">
        <f aca="false">G1487*(1+G1488*hb_eff)</f>
        <v>3.727784642841</v>
      </c>
      <c r="H1489" s="19" t="n">
        <f aca="false">H1487*(1+H1488*hb_eff)</f>
        <v>3.84171348287703</v>
      </c>
      <c r="I1489" s="19" t="n">
        <f aca="false">I1487*(1+I1488*hb_eff)</f>
        <v>4.22588483116473</v>
      </c>
      <c r="J1489" s="5" t="s">
        <v>553</v>
      </c>
    </row>
    <row r="1490" customFormat="false" ht="15" hidden="false" customHeight="false" outlineLevel="0" collapsed="false">
      <c r="A1490" s="0" t="s">
        <v>554</v>
      </c>
      <c r="B1490" s="5" t="s">
        <v>549</v>
      </c>
      <c r="C1490" s="19" t="n">
        <f aca="false">MAX(0,D1489-C1489)+dlt*C1489</f>
        <v>0.70832818137255</v>
      </c>
      <c r="D1490" s="19" t="n">
        <f aca="false">MAX(0,E1489-D1489)+dlt*D1489</f>
        <v>0.818517002692307</v>
      </c>
      <c r="E1490" s="19" t="n">
        <f aca="false">MAX(0,F1489-E1489)+dlt*E1489</f>
        <v>0.950959947496565</v>
      </c>
      <c r="F1490" s="19" t="n">
        <f aca="false">MAX(0,G1489-F1489)+dlt*F1489</f>
        <v>1.05992831166332</v>
      </c>
      <c r="G1490" s="19" t="n">
        <f aca="false">MAX(0,H1489-G1489)+dlt*G1489</f>
        <v>0.486707304320127</v>
      </c>
      <c r="H1490" s="19" t="n">
        <f aca="false">MAX(0,I1489-H1489)+dlt*H1489</f>
        <v>0.768342696575406</v>
      </c>
      <c r="J1490" s="5" t="s">
        <v>555</v>
      </c>
    </row>
    <row r="1491" customFormat="false" ht="15" hidden="false" customHeight="false" outlineLevel="0" collapsed="false">
      <c r="A1491" s="0" t="s">
        <v>556</v>
      </c>
      <c r="B1491" s="5" t="s">
        <v>181</v>
      </c>
      <c r="C1491" s="21" t="n">
        <f aca="false">cw_25</f>
        <v>670</v>
      </c>
      <c r="D1491" s="21" t="n">
        <f aca="false">cw_26</f>
        <v>1107.85762580894</v>
      </c>
      <c r="E1491" s="21" t="n">
        <f aca="false">cw_27</f>
        <v>2096.42857142857</v>
      </c>
      <c r="F1491" s="21" t="n">
        <f aca="false">cw_28*um28_A</f>
        <v>2620.08928571429</v>
      </c>
      <c r="G1491" s="21" t="n">
        <f aca="false">cw_29*um29_A</f>
        <v>3013.32589285714</v>
      </c>
      <c r="H1491" s="21" t="n">
        <f aca="false">G1491*(1+g_tail)</f>
        <v>3314.65848214285</v>
      </c>
      <c r="I1491" s="21" t="n">
        <f aca="false">H1491*(1+g_tail)</f>
        <v>3646.12433035714</v>
      </c>
      <c r="J1491" s="5" t="s">
        <v>557</v>
      </c>
    </row>
    <row r="1492" customFormat="false" ht="15" hidden="false" customHeight="false" outlineLevel="0" collapsed="false">
      <c r="A1492" s="5" t="s">
        <v>558</v>
      </c>
      <c r="B1492" s="5" t="s">
        <v>181</v>
      </c>
      <c r="C1492" s="21" t="n">
        <f aca="false">MAX(0,D1491-C1491)+dlt*C1491</f>
        <v>504.85762580894</v>
      </c>
      <c r="D1492" s="21" t="n">
        <f aca="false">MAX(0,E1491-D1491)+dlt*D1491</f>
        <v>1099.35670820052</v>
      </c>
      <c r="E1492" s="21" t="n">
        <f aca="false">MAX(0,F1491-E1491)+dlt*E1491</f>
        <v>733.303571428577</v>
      </c>
      <c r="F1492" s="21" t="n">
        <f aca="false">MAX(0,G1491-F1491)+dlt*F1491</f>
        <v>655.245535714279</v>
      </c>
      <c r="G1492" s="21" t="n">
        <f aca="false">MAX(0,H1491-G1491)+dlt*G1491</f>
        <v>602.665178571428</v>
      </c>
      <c r="H1492" s="21" t="n">
        <f aca="false">MAX(0,I1491-H1491)+dlt*H1491</f>
        <v>662.931696428571</v>
      </c>
    </row>
    <row r="1493" customFormat="false" ht="15" hidden="false" customHeight="false" outlineLevel="0" collapsed="false">
      <c r="A1493" s="1" t="s">
        <v>559</v>
      </c>
    </row>
    <row r="1494" customFormat="false" ht="15" hidden="false" customHeight="false" outlineLevel="0" collapsed="false">
      <c r="A1494" s="0" t="s">
        <v>560</v>
      </c>
      <c r="B1494" s="0" t="s">
        <v>561</v>
      </c>
      <c r="C1494" s="16" t="n">
        <f aca="false">ai_25*w_hbm/(0.75*C1490+0.25*D1490)</f>
        <v>48.9213264236471</v>
      </c>
      <c r="J1494" s="5" t="s">
        <v>562</v>
      </c>
    </row>
    <row r="1495" customFormat="false" ht="15" hidden="false" customHeight="false" outlineLevel="0" collapsed="false">
      <c r="A1495" s="5" t="s">
        <v>563</v>
      </c>
      <c r="B1495" s="0" t="s">
        <v>564</v>
      </c>
      <c r="C1495" s="18" t="n">
        <f aca="false">ai_25*(1-w_hbm)/(0.75*C1492+0.25*D1492)</f>
        <v>0.0596802610360141</v>
      </c>
    </row>
    <row r="1496" customFormat="false" ht="15" hidden="false" customHeight="false" outlineLevel="0" collapsed="false">
      <c r="A1496" s="1" t="s">
        <v>565</v>
      </c>
    </row>
    <row r="1497" customFormat="false" ht="15" hidden="false" customHeight="false" outlineLevel="0" collapsed="false">
      <c r="A1497" s="5" t="s">
        <v>566</v>
      </c>
      <c r="B1497" s="0" t="s">
        <v>80</v>
      </c>
      <c r="C1497" s="16" t="n">
        <f aca="false">1-sh_loss/sh*0</f>
        <v>1</v>
      </c>
      <c r="D1497" s="16" t="n">
        <f aca="false">1-sh_loss/sh*0.25</f>
        <v>1</v>
      </c>
      <c r="E1497" s="16" t="n">
        <f aca="false">1-sh_loss/sh*0.5</f>
        <v>1</v>
      </c>
      <c r="F1497" s="16" t="n">
        <f aca="false">1-sh_loss/sh*0.75</f>
        <v>1</v>
      </c>
      <c r="G1497" s="16" t="n">
        <f aca="false">1-sh_loss/sh*1</f>
        <v>1</v>
      </c>
    </row>
    <row r="1498" customFormat="false" ht="15" hidden="false" customHeight="false" outlineLevel="0" collapsed="false">
      <c r="A1498" s="0" t="s">
        <v>567</v>
      </c>
      <c r="B1498" s="0" t="s">
        <v>33</v>
      </c>
      <c r="C1498" s="11" t="n">
        <f aca="false">$C$1494*(0.75*C1490+0.25*D1490)*C1497</f>
        <v>36</v>
      </c>
      <c r="D1498" s="11" t="n">
        <f aca="false">$C$1494*(0.75*D1490+0.25*E1490)*D1497</f>
        <v>41.6627586058351</v>
      </c>
      <c r="E1498" s="11" t="n">
        <f aca="false">$C$1494*(0.75*E1490+0.25*F1490)*E1497</f>
        <v>47.8549412356069</v>
      </c>
      <c r="F1498" s="11" t="n">
        <f aca="false">$C$1494*(0.75*F1490+0.25*G1490)*F1497</f>
        <v>44.8424159172644</v>
      </c>
      <c r="G1498" s="11" t="n">
        <f aca="false">$C$1494*(0.75*G1490+0.25*H1490)*G1497</f>
        <v>27.2548611466613</v>
      </c>
    </row>
    <row r="1499" customFormat="false" ht="15" hidden="false" customHeight="false" outlineLevel="0" collapsed="false">
      <c r="A1499" s="5" t="s">
        <v>568</v>
      </c>
      <c r="B1499" s="0" t="s">
        <v>33</v>
      </c>
      <c r="C1499" s="11" t="n">
        <f aca="false">$C$1495*(0.75*C1492+0.25*D1492)*C1497</f>
        <v>39</v>
      </c>
      <c r="D1499" s="11" t="n">
        <f aca="false">$C$1495*(0.75*D1492+0.25*E1492)*D1497</f>
        <v>60.1483586282001</v>
      </c>
      <c r="E1499" s="11" t="n">
        <f aca="false">$C$1495*(0.75*E1492+0.25*F1492)*E1497</f>
        <v>42.5991175746519</v>
      </c>
      <c r="F1499" s="11" t="n">
        <f aca="false">$C$1495*(0.75*F1492+0.25*G1492)*F1497</f>
        <v>38.320722254198</v>
      </c>
      <c r="G1499" s="11" t="n">
        <f aca="false">$C$1495*(0.75*G1492+0.25*H1492)*G1497</f>
        <v>36.8663955538204</v>
      </c>
    </row>
    <row r="1500" customFormat="false" ht="15" hidden="false" customHeight="false" outlineLevel="0" collapsed="false">
      <c r="A1500" s="0" t="s">
        <v>569</v>
      </c>
      <c r="B1500" s="0" t="s">
        <v>33</v>
      </c>
      <c r="C1500" s="11" t="n">
        <f aca="false">C1498+C1499</f>
        <v>75</v>
      </c>
      <c r="D1500" s="11" t="n">
        <f aca="false">D1498+D1499</f>
        <v>101.811117234035</v>
      </c>
      <c r="E1500" s="11" t="n">
        <f aca="false">E1498+E1499</f>
        <v>90.4540588102588</v>
      </c>
      <c r="F1500" s="11" t="n">
        <f aca="false">F1498+F1499</f>
        <v>83.1631381714624</v>
      </c>
      <c r="G1500" s="11" t="n">
        <f aca="false">G1498+G1499</f>
        <v>64.1212567004817</v>
      </c>
    </row>
    <row r="1501" customFormat="false" ht="15" hidden="false" customHeight="false" outlineLevel="0" collapsed="false">
      <c r="A1501" s="5" t="s">
        <v>570</v>
      </c>
      <c r="B1501" s="0" t="s">
        <v>33</v>
      </c>
      <c r="C1501" s="11" t="n">
        <f aca="false">eq_25-ai_25</f>
        <v>195.87118</v>
      </c>
      <c r="D1501" s="11" t="n">
        <f aca="false">C1501*(1+g_non_hi)*D1497/C1497</f>
        <v>219.3757216</v>
      </c>
      <c r="E1501" s="11" t="n">
        <f aca="false">D1501*(1+g_non_hi)*E1497/D1497</f>
        <v>245.700808192</v>
      </c>
      <c r="F1501" s="11" t="n">
        <f aca="false">E1501*(1+g_non_hi)*F1497/E1497</f>
        <v>275.18490517504</v>
      </c>
      <c r="G1501" s="11" t="n">
        <f aca="false">F1501*(1+g_non_hi)*G1497/F1497</f>
        <v>308.207093796045</v>
      </c>
    </row>
    <row r="1502" customFormat="false" ht="15" hidden="false" customHeight="false" outlineLevel="0" collapsed="false">
      <c r="A1502" s="0" t="s">
        <v>571</v>
      </c>
      <c r="B1502" s="0" t="s">
        <v>80</v>
      </c>
      <c r="C1502" s="19" t="n">
        <f aca="false">w_hbm*(0.75*C1489+0.25*D1489)/(0.75*C1489+0.25*D1489)+(1-w_hbm)*(0.75*C1491+0.25*D1491)/(0.75*C1491+0.25*D1491)</f>
        <v>1</v>
      </c>
      <c r="D1502" s="19" t="n">
        <f aca="false">w_hbm*(0.75*D1489+0.25*E1489)/(0.75*C1489+0.25*D1489)+(1-w_hbm)*(0.75*D1491+0.25*E1491)/(0.75*C1491+0.25*D1491)</f>
        <v>1.65212184085657</v>
      </c>
      <c r="E1502" s="19" t="n">
        <f aca="false">w_hbm*(0.75*E1489+0.25*F1489)/(0.75*C1489+0.25*D1489)+(1-w_hbm)*(0.75*E1491+0.25*F1491)/(0.75*C1491+0.25*D1491)</f>
        <v>2.52516730417954</v>
      </c>
      <c r="F1502" s="19" t="n">
        <f aca="false">w_hbm*(0.75*F1489+0.25*G1489)/(0.75*C1489+0.25*D1489)+(1-w_hbm)*(0.75*F1491+0.25*G1491)/(0.75*C1491+0.25*D1491)</f>
        <v>3.16911970169284</v>
      </c>
      <c r="G1502" s="19" t="n">
        <f aca="false">w_hbm*(0.75*G1489+0.25*H1489)/(0.75*C1489+0.25*D1489)+(1-w_hbm)*(0.75*G1491+0.25*H1491)/(0.75*C1491+0.25*D1491)</f>
        <v>3.67439430985121</v>
      </c>
      <c r="J1502" s="8" t="s">
        <v>572</v>
      </c>
    </row>
    <row r="1503" customFormat="false" ht="15" hidden="false" customHeight="false" outlineLevel="0" collapsed="false">
      <c r="A1503" s="0" t="s">
        <v>573</v>
      </c>
      <c r="B1503" s="0" t="s">
        <v>33</v>
      </c>
      <c r="C1503" s="11" t="n">
        <f aca="false">tl_25*w_tlai*C1502</f>
        <v>25.4032258064516</v>
      </c>
      <c r="D1503" s="11" t="n">
        <f aca="false">tl_25*w_tlai*D1502</f>
        <v>41.9692241830499</v>
      </c>
      <c r="E1503" s="11" t="n">
        <f aca="false">tl_25*w_tlai*E1502</f>
        <v>64.1473952271414</v>
      </c>
      <c r="F1503" s="11" t="n">
        <f aca="false">tl_25*w_tlai*F1502</f>
        <v>80.5058633897778</v>
      </c>
      <c r="G1503" s="11" t="n">
        <f aca="false">tl_25*w_tlai*G1502</f>
        <v>93.3414683550913</v>
      </c>
      <c r="J1503" s="5" t="s">
        <v>574</v>
      </c>
    </row>
    <row r="1504" customFormat="false" ht="15" hidden="false" customHeight="false" outlineLevel="0" collapsed="false">
      <c r="A1504" s="5" t="s">
        <v>575</v>
      </c>
      <c r="B1504" s="0" t="s">
        <v>33</v>
      </c>
      <c r="C1504" s="11" t="n">
        <f aca="false">tl_25*(1-w_tlai)</f>
        <v>66.3434641935484</v>
      </c>
      <c r="D1504" s="11" t="n">
        <f aca="false">C1504*(1+g_tl)</f>
        <v>69.6606374032258</v>
      </c>
      <c r="E1504" s="11" t="n">
        <f aca="false">D1504*(1+g_tl)</f>
        <v>73.1436692733871</v>
      </c>
      <c r="F1504" s="11" t="n">
        <f aca="false">E1504*(1+g_tl)</f>
        <v>76.8008527370565</v>
      </c>
      <c r="G1504" s="11" t="n">
        <f aca="false">F1504*(1+g_tl)</f>
        <v>80.6408953739093</v>
      </c>
    </row>
    <row r="1505" customFormat="false" ht="15" hidden="false" customHeight="false" outlineLevel="0" collapsed="false">
      <c r="A1505" s="5" t="s">
        <v>576</v>
      </c>
      <c r="B1505" s="0" t="s">
        <v>33</v>
      </c>
      <c r="C1505" s="11" t="n">
        <f aca="false">(C1500+C1501+C1503+C1504)*(1+r_ot)</f>
        <v>436.889</v>
      </c>
      <c r="D1505" s="11" t="n">
        <f aca="false">(D1500+D1501+D1503+D1504)*(1+r_ot)</f>
        <v>521.465904120857</v>
      </c>
      <c r="E1505" s="11" t="n">
        <f aca="false">(E1500+E1501+E1503+E1504)*(1+r_ot)</f>
        <v>570.416784943117</v>
      </c>
      <c r="F1505" s="11" t="n">
        <f aca="false">(F1500+F1501+F1503+F1504)*(1+r_ot)</f>
        <v>621.270794546189</v>
      </c>
      <c r="G1505" s="11" t="n">
        <f aca="false">(G1500+G1501+G1503+G1504)*(1+r_ot)</f>
        <v>658.205679789792</v>
      </c>
      <c r="J1505" s="8" t="s">
        <v>577</v>
      </c>
    </row>
    <row r="1506" customFormat="false" ht="15" hidden="false" customHeight="false" outlineLevel="0" collapsed="false">
      <c r="A1506" s="1" t="s">
        <v>578</v>
      </c>
    </row>
    <row r="1507" customFormat="false" ht="15" hidden="false" customHeight="false" outlineLevel="0" collapsed="false">
      <c r="A1507" s="5" t="s">
        <v>579</v>
      </c>
      <c r="B1507" s="0" t="s">
        <v>33</v>
      </c>
      <c r="D1507" s="11" t="n">
        <f aca="false">g3_rev*(1+g_q4)</f>
        <v>145.6862</v>
      </c>
    </row>
    <row r="1508" customFormat="false" ht="15" hidden="false" customHeight="false" outlineLevel="0" collapsed="false">
      <c r="A1508" s="0" t="s">
        <v>580</v>
      </c>
      <c r="B1508" s="0" t="s">
        <v>33</v>
      </c>
      <c r="D1508" s="11" t="n">
        <f aca="false">q26h1_rev+g3_rev+D1507</f>
        <v>535.1862</v>
      </c>
    </row>
    <row r="1509" customFormat="false" ht="15" hidden="false" customHeight="false" outlineLevel="0" collapsed="false">
      <c r="A1509" s="0" t="s">
        <v>581</v>
      </c>
      <c r="B1509" s="0" t="s">
        <v>33</v>
      </c>
      <c r="D1509" s="11" t="n">
        <f aca="false">q26h1_gp+(g3_rev+D1507)*gm_q3</f>
        <v>378.0504836</v>
      </c>
    </row>
    <row r="1510" customFormat="false" ht="15" hidden="false" customHeight="false" outlineLevel="0" collapsed="false">
      <c r="A1510" s="0" t="s">
        <v>582</v>
      </c>
      <c r="B1510" s="0" t="s">
        <v>33</v>
      </c>
      <c r="D1510" s="11" t="n">
        <f aca="false">q26h1_oi+g3_oi+D1507*m_q4</f>
        <v>238.5671</v>
      </c>
    </row>
    <row r="1511" customFormat="false" ht="15" hidden="false" customHeight="false" outlineLevel="0" collapsed="false">
      <c r="A1511" s="0" t="s">
        <v>583</v>
      </c>
      <c r="B1511" s="0" t="s">
        <v>33</v>
      </c>
      <c r="D1511" s="11" t="n">
        <f aca="false">q26h1_ni+g3_ni+D1507*m_q4*nioi</f>
        <v>167.95938138934</v>
      </c>
    </row>
    <row r="1512" customFormat="false" ht="15" hidden="false" customHeight="false" outlineLevel="0" collapsed="false">
      <c r="A1512" s="5" t="s">
        <v>584</v>
      </c>
      <c r="B1512" s="0" t="s">
        <v>80</v>
      </c>
      <c r="D1512" s="16" t="n">
        <f aca="false">D1508/D1505</f>
        <v>1.02631101241849</v>
      </c>
      <c r="J1512" s="8" t="s">
        <v>585</v>
      </c>
    </row>
    <row r="1513" customFormat="false" ht="15" hidden="false" customHeight="false" outlineLevel="0" collapsed="false">
      <c r="A1513" s="5" t="s">
        <v>586</v>
      </c>
      <c r="B1513" s="0" t="s">
        <v>80</v>
      </c>
      <c r="D1513" s="16" t="n">
        <f aca="false">1+anc_carry*(D1512-1)</f>
        <v>1.02631101241849</v>
      </c>
      <c r="J1513" s="8" t="s">
        <v>587</v>
      </c>
    </row>
    <row r="1514" customFormat="false" ht="15" hidden="false" customHeight="false" outlineLevel="0" collapsed="false">
      <c r="A1514" s="1" t="s">
        <v>588</v>
      </c>
    </row>
    <row r="1515" customFormat="false" ht="15" hidden="false" customHeight="false" outlineLevel="0" collapsed="false">
      <c r="A1515" s="0" t="s">
        <v>589</v>
      </c>
      <c r="B1515" s="0" t="s">
        <v>33</v>
      </c>
      <c r="C1515" s="11" t="n">
        <f aca="false">C1498*1</f>
        <v>36</v>
      </c>
      <c r="D1515" s="11" t="n">
        <f aca="false">D1498*$D$1512</f>
        <v>42.7589479649018</v>
      </c>
      <c r="E1515" s="11" t="n">
        <f aca="false">E1498*1</f>
        <v>47.8549412356069</v>
      </c>
      <c r="F1515" s="11" t="n">
        <f aca="false">F1498*1</f>
        <v>44.8424159172644</v>
      </c>
      <c r="G1515" s="11" t="n">
        <f aca="false">G1498*1</f>
        <v>27.2548611466613</v>
      </c>
    </row>
    <row r="1516" customFormat="false" ht="15" hidden="false" customHeight="false" outlineLevel="0" collapsed="false">
      <c r="A1516" s="5" t="s">
        <v>590</v>
      </c>
      <c r="B1516" s="0" t="s">
        <v>33</v>
      </c>
      <c r="C1516" s="11" t="n">
        <f aca="false">C1499*1</f>
        <v>39</v>
      </c>
      <c r="D1516" s="11" t="n">
        <f aca="false">D1499*$D$1512</f>
        <v>61.7309228390185</v>
      </c>
      <c r="E1516" s="11" t="n">
        <f aca="false">E1499*1</f>
        <v>42.5991175746519</v>
      </c>
      <c r="F1516" s="11" t="n">
        <f aca="false">F1499*1</f>
        <v>38.320722254198</v>
      </c>
      <c r="G1516" s="11" t="n">
        <f aca="false">G1499*1</f>
        <v>36.8663955538204</v>
      </c>
    </row>
    <row r="1517" customFormat="false" ht="15" hidden="false" customHeight="false" outlineLevel="0" collapsed="false">
      <c r="A1517" s="0" t="s">
        <v>591</v>
      </c>
      <c r="B1517" s="0" t="s">
        <v>33</v>
      </c>
      <c r="C1517" s="11" t="n">
        <f aca="false">C1515+C1516</f>
        <v>75</v>
      </c>
      <c r="D1517" s="11" t="n">
        <f aca="false">D1515+D1516</f>
        <v>104.48987080392</v>
      </c>
      <c r="E1517" s="11" t="n">
        <f aca="false">E1515+E1516</f>
        <v>90.4540588102588</v>
      </c>
      <c r="F1517" s="11" t="n">
        <f aca="false">F1515+F1516</f>
        <v>83.1631381714624</v>
      </c>
      <c r="G1517" s="11" t="n">
        <f aca="false">G1515+G1516</f>
        <v>64.1212567004817</v>
      </c>
    </row>
    <row r="1518" customFormat="false" ht="15" hidden="false" customHeight="false" outlineLevel="0" collapsed="false">
      <c r="A1518" s="5" t="s">
        <v>592</v>
      </c>
      <c r="B1518" s="0" t="s">
        <v>33</v>
      </c>
      <c r="C1518" s="11" t="n">
        <f aca="false">C1501*1</f>
        <v>195.87118</v>
      </c>
      <c r="D1518" s="11" t="n">
        <f aca="false">D1501*$D$1512</f>
        <v>225.147718935333</v>
      </c>
      <c r="E1518" s="11" t="n">
        <f aca="false">E1501*$D$1513</f>
        <v>252.165445207573</v>
      </c>
      <c r="F1518" s="11" t="n">
        <f aca="false">F1501*$D$1513</f>
        <v>282.425298632482</v>
      </c>
      <c r="G1518" s="11" t="n">
        <f aca="false">G1501*$D$1513</f>
        <v>316.31633446838</v>
      </c>
    </row>
    <row r="1519" customFormat="false" ht="15" hidden="false" customHeight="false" outlineLevel="0" collapsed="false">
      <c r="A1519" s="5" t="s">
        <v>593</v>
      </c>
      <c r="B1519" s="0" t="s">
        <v>33</v>
      </c>
      <c r="C1519" s="11" t="n">
        <f aca="false">C1517+C1518</f>
        <v>270.87118</v>
      </c>
      <c r="D1519" s="11" t="n">
        <f aca="false">D1517+D1518</f>
        <v>329.637589739253</v>
      </c>
      <c r="E1519" s="11" t="n">
        <f aca="false">E1517+E1518</f>
        <v>342.619504017832</v>
      </c>
      <c r="F1519" s="11" t="n">
        <f aca="false">F1517+F1518</f>
        <v>365.588436803944</v>
      </c>
      <c r="G1519" s="11" t="n">
        <f aca="false">G1517+G1518</f>
        <v>380.437591168861</v>
      </c>
    </row>
    <row r="1520" customFormat="false" ht="15" hidden="false" customHeight="false" outlineLevel="0" collapsed="false">
      <c r="A1520" s="0" t="s">
        <v>594</v>
      </c>
      <c r="B1520" s="0" t="s">
        <v>33</v>
      </c>
      <c r="C1520" s="11" t="n">
        <f aca="false">C1503*1</f>
        <v>25.4032258064516</v>
      </c>
      <c r="D1520" s="11" t="n">
        <f aca="false">D1503*$D$1512</f>
        <v>43.0734769617246</v>
      </c>
      <c r="E1520" s="11" t="n">
        <f aca="false">E1503*1</f>
        <v>64.1473952271414</v>
      </c>
      <c r="F1520" s="11" t="n">
        <f aca="false">F1503*1</f>
        <v>80.5058633897778</v>
      </c>
      <c r="G1520" s="11" t="n">
        <f aca="false">G1503*1</f>
        <v>93.3414683550913</v>
      </c>
    </row>
    <row r="1521" customFormat="false" ht="15" hidden="false" customHeight="false" outlineLevel="0" collapsed="false">
      <c r="A1521" s="5" t="s">
        <v>595</v>
      </c>
      <c r="B1521" s="0" t="s">
        <v>33</v>
      </c>
      <c r="C1521" s="11" t="n">
        <f aca="false">C1504*1</f>
        <v>66.3434641935484</v>
      </c>
      <c r="D1521" s="11" t="n">
        <f aca="false">D1504*$D$1512</f>
        <v>71.4934792990221</v>
      </c>
      <c r="E1521" s="11" t="n">
        <f aca="false">E1504*$D$1513</f>
        <v>75.0681532639732</v>
      </c>
      <c r="F1521" s="11" t="n">
        <f aca="false">F1504*$D$1513</f>
        <v>78.8215609271718</v>
      </c>
      <c r="G1521" s="11" t="n">
        <f aca="false">G1504*$D$1513</f>
        <v>82.7626389735304</v>
      </c>
    </row>
    <row r="1522" customFormat="false" ht="15" hidden="false" customHeight="false" outlineLevel="0" collapsed="false">
      <c r="A1522" s="5" t="s">
        <v>596</v>
      </c>
      <c r="B1522" s="0" t="s">
        <v>33</v>
      </c>
      <c r="C1522" s="11" t="n">
        <f aca="false">C1520+C1521</f>
        <v>91.74669</v>
      </c>
      <c r="D1522" s="11" t="n">
        <f aca="false">D1520+D1521</f>
        <v>114.566956260747</v>
      </c>
      <c r="E1522" s="11" t="n">
        <f aca="false">E1520+E1521</f>
        <v>139.215548491115</v>
      </c>
      <c r="F1522" s="11" t="n">
        <f aca="false">F1520+F1521</f>
        <v>159.32742431695</v>
      </c>
      <c r="G1522" s="11" t="n">
        <f aca="false">G1520+G1521</f>
        <v>176.104107328622</v>
      </c>
    </row>
    <row r="1523" customFormat="false" ht="15" hidden="false" customHeight="false" outlineLevel="0" collapsed="false">
      <c r="A1523" s="5" t="s">
        <v>458</v>
      </c>
      <c r="B1523" s="0" t="s">
        <v>33</v>
      </c>
      <c r="C1523" s="11" t="n">
        <f aca="false">r_ot*(C1519+C1522)</f>
        <v>74.27113</v>
      </c>
      <c r="D1523" s="11" t="n">
        <f aca="false">r_ot*(D1519+D1522)</f>
        <v>90.981654</v>
      </c>
      <c r="E1523" s="11" t="n">
        <f aca="false">r_ot*(E1519+E1522)</f>
        <v>98.6891071403867</v>
      </c>
      <c r="F1523" s="11" t="n">
        <f aca="false">r_ot*(F1519+F1522)</f>
        <v>107.512887217533</v>
      </c>
      <c r="G1523" s="11" t="n">
        <f aca="false">r_ot*(G1519+G1522)</f>
        <v>113.990468366954</v>
      </c>
    </row>
    <row r="1524" customFormat="false" ht="15" hidden="false" customHeight="false" outlineLevel="0" collapsed="false">
      <c r="A1524" s="5" t="s">
        <v>428</v>
      </c>
      <c r="B1524" s="0" t="s">
        <v>33</v>
      </c>
      <c r="C1524" s="11" t="n">
        <f aca="false">C1519+C1522+C1523</f>
        <v>436.889</v>
      </c>
      <c r="D1524" s="11" t="n">
        <f aca="false">D1519+D1522+D1523</f>
        <v>535.1862</v>
      </c>
      <c r="E1524" s="11" t="n">
        <f aca="false">E1519+E1522+E1523</f>
        <v>580.524159649333</v>
      </c>
      <c r="F1524" s="11" t="n">
        <f aca="false">F1519+F1522+F1523</f>
        <v>632.428748338426</v>
      </c>
      <c r="G1524" s="11" t="n">
        <f aca="false">G1519+G1522+G1523</f>
        <v>670.532166864437</v>
      </c>
      <c r="J1524" s="8" t="s">
        <v>597</v>
      </c>
    </row>
    <row r="1525" customFormat="false" ht="15" hidden="false" customHeight="false" outlineLevel="0" collapsed="false">
      <c r="A1525" s="0" t="s">
        <v>598</v>
      </c>
      <c r="B1525" s="0" t="s">
        <v>60</v>
      </c>
      <c r="C1525" s="14" t="n">
        <f aca="false">(C1517+C1520)*(1+r_ot)/C1524</f>
        <v>0.276884384673187</v>
      </c>
      <c r="D1525" s="14" t="n">
        <f aca="false">(D1517+D1520)*(1+r_ot)/D1524</f>
        <v>0.332196842860867</v>
      </c>
      <c r="E1525" s="14" t="n">
        <f aca="false">(E1517+E1520)*(1+r_ot)/E1524</f>
        <v>0.320859707554236</v>
      </c>
      <c r="F1525" s="14" t="n">
        <f aca="false">(F1517+F1520)*(1+r_ot)/F1524</f>
        <v>0.311800449717303</v>
      </c>
      <c r="G1525" s="14" t="n">
        <f aca="false">(G1517+G1520)*(1+r_ot)/G1524</f>
        <v>0.282930686920102</v>
      </c>
    </row>
    <row r="1526" customFormat="false" ht="15" hidden="false" customHeight="false" outlineLevel="0" collapsed="false">
      <c r="A1526" s="0" t="s">
        <v>599</v>
      </c>
      <c r="B1526" s="0" t="s">
        <v>60</v>
      </c>
      <c r="C1526" s="14" t="n">
        <f aca="false">C1517*(1+r_ot)/C1524</f>
        <v>0.206829299394429</v>
      </c>
      <c r="D1526" s="14" t="n">
        <f aca="false">D1517*(1+r_ot)/D1524</f>
        <v>0.235229179315784</v>
      </c>
      <c r="E1526" s="14" t="n">
        <f aca="false">E1517*(1+r_ot)/E1524</f>
        <v>0.187728265802288</v>
      </c>
      <c r="F1526" s="14" t="n">
        <f aca="false">F1517*(1+r_ot)/F1524</f>
        <v>0.158431368398504</v>
      </c>
      <c r="G1526" s="14" t="n">
        <f aca="false">G1517*(1+r_ot)/G1524</f>
        <v>0.115213751051525</v>
      </c>
      <c r="J1526" s="5" t="s">
        <v>600</v>
      </c>
    </row>
    <row r="1527" customFormat="false" ht="15" hidden="false" customHeight="false" outlineLevel="0" collapsed="false">
      <c r="A1527" s="5" t="s">
        <v>466</v>
      </c>
      <c r="B1527" s="0" t="s">
        <v>60</v>
      </c>
      <c r="C1527" s="14" t="n">
        <f aca="false">a25_gp/a25_rev</f>
        <v>0.701498549974936</v>
      </c>
      <c r="D1527" s="14" t="n">
        <f aca="false">D1509/D1524</f>
        <v>0.70639056761927</v>
      </c>
      <c r="E1527" s="14" t="n">
        <f aca="false">gm_a+gm_b*LN(E1524)+0</f>
        <v>0.734809050185603</v>
      </c>
      <c r="F1527" s="14" t="n">
        <f aca="false">gm_a+gm_b*LN(F1524)+0</f>
        <v>0.744556666447793</v>
      </c>
      <c r="G1527" s="14" t="n">
        <f aca="false">gm_a+gm_b*LN(G1524)+0</f>
        <v>0.751215953167663</v>
      </c>
      <c r="J1527" s="8" t="s">
        <v>601</v>
      </c>
    </row>
    <row r="1528" customFormat="false" ht="15" hidden="false" customHeight="false" outlineLevel="0" collapsed="false">
      <c r="A1528" s="5" t="s">
        <v>463</v>
      </c>
      <c r="B1528" s="0" t="s">
        <v>33</v>
      </c>
      <c r="C1528" s="11" t="n">
        <f aca="false">C1524*C1527</f>
        <v>306.477</v>
      </c>
      <c r="D1528" s="11" t="n">
        <f aca="false">D1524*D1527</f>
        <v>378.0504836</v>
      </c>
      <c r="E1528" s="11" t="n">
        <f aca="false">E1524*E1527</f>
        <v>426.574406361722</v>
      </c>
      <c r="F1528" s="11" t="n">
        <f aca="false">F1524*F1527</f>
        <v>470.879040628609</v>
      </c>
      <c r="G1528" s="11" t="n">
        <f aca="false">G1524*G1527</f>
        <v>503.714460860647</v>
      </c>
    </row>
    <row r="1529" customFormat="false" ht="15" hidden="false" customHeight="false" outlineLevel="0" collapsed="false">
      <c r="A1529" s="5" t="s">
        <v>464</v>
      </c>
      <c r="B1529" s="0" t="s">
        <v>33</v>
      </c>
      <c r="C1529" s="11" t="n">
        <f aca="false">a25_sga</f>
        <v>121.487</v>
      </c>
      <c r="D1529" s="11" t="n">
        <f aca="false">D1528-D1510</f>
        <v>139.4833836</v>
      </c>
      <c r="E1529" s="11" t="n">
        <f aca="false">sg_f+sg_v*E1524</f>
        <v>154.628502729494</v>
      </c>
      <c r="F1529" s="11" t="n">
        <f aca="false">sg_f+sg_v*F1524</f>
        <v>167.727509833946</v>
      </c>
      <c r="G1529" s="11" t="n">
        <f aca="false">sg_f+sg_v*G1524</f>
        <v>177.343556557017</v>
      </c>
      <c r="J1529" s="8" t="s">
        <v>602</v>
      </c>
    </row>
    <row r="1530" customFormat="false" ht="15" hidden="false" customHeight="false" outlineLevel="0" collapsed="false">
      <c r="A1530" s="5" t="s">
        <v>432</v>
      </c>
      <c r="B1530" s="0" t="s">
        <v>33</v>
      </c>
      <c r="C1530" s="11" t="n">
        <f aca="false">C1528-C1529</f>
        <v>184.99</v>
      </c>
      <c r="D1530" s="11" t="n">
        <f aca="false">D1528-D1529</f>
        <v>238.5671</v>
      </c>
      <c r="E1530" s="11" t="n">
        <f aca="false">E1528-E1529</f>
        <v>271.945903632228</v>
      </c>
      <c r="F1530" s="11" t="n">
        <f aca="false">F1528-F1529</f>
        <v>303.151530794664</v>
      </c>
      <c r="G1530" s="11" t="n">
        <f aca="false">G1528-G1529</f>
        <v>326.37090430363</v>
      </c>
    </row>
    <row r="1531" customFormat="false" ht="15" hidden="false" customHeight="false" outlineLevel="0" collapsed="false">
      <c r="A1531" s="5" t="s">
        <v>603</v>
      </c>
      <c r="B1531" s="0" t="s">
        <v>60</v>
      </c>
      <c r="C1531" s="14" t="n">
        <f aca="false">C1530/C1524</f>
        <v>0.423425629851061</v>
      </c>
      <c r="D1531" s="14" t="n">
        <f aca="false">D1530/D1524</f>
        <v>0.445764670314743</v>
      </c>
      <c r="E1531" s="14" t="n">
        <f aca="false">E1530/E1524</f>
        <v>0.468448899347268</v>
      </c>
      <c r="F1531" s="14" t="n">
        <f aca="false">F1530/F1524</f>
        <v>0.479344956394108</v>
      </c>
      <c r="G1531" s="14" t="n">
        <f aca="false">G1530/G1524</f>
        <v>0.486734150025666</v>
      </c>
    </row>
    <row r="1532" customFormat="false" ht="15" hidden="false" customHeight="false" outlineLevel="0" collapsed="false">
      <c r="A1532" s="5" t="s">
        <v>435</v>
      </c>
      <c r="B1532" s="0" t="s">
        <v>33</v>
      </c>
      <c r="C1532" s="11" t="n">
        <f aca="false">a25_ni</f>
        <v>135.521</v>
      </c>
      <c r="D1532" s="11" t="n">
        <f aca="false">D1511</f>
        <v>167.95938138934</v>
      </c>
      <c r="E1532" s="11" t="n">
        <f aca="false">E1530*nioi</f>
        <v>196.120695830333</v>
      </c>
      <c r="F1532" s="11" t="n">
        <f aca="false">F1530*nioi</f>
        <v>218.625426481454</v>
      </c>
      <c r="G1532" s="11" t="n">
        <f aca="false">G1530*nioi</f>
        <v>235.370667459532</v>
      </c>
    </row>
    <row r="1533" customFormat="false" ht="15" hidden="false" customHeight="false" outlineLevel="0" collapsed="false">
      <c r="A1533" s="0" t="s">
        <v>524</v>
      </c>
      <c r="B1533" s="0" t="s">
        <v>55</v>
      </c>
      <c r="C1533" s="11" t="n">
        <f aca="false">a25_eps</f>
        <v>1249.84</v>
      </c>
      <c r="D1533" s="11" t="n">
        <f aca="false">D1532*1000/shares</f>
        <v>1548.28555816522</v>
      </c>
      <c r="E1533" s="11" t="n">
        <f aca="false">E1532*1000/shares</f>
        <v>1807.8825874426</v>
      </c>
      <c r="F1533" s="11" t="n">
        <f aca="false">F1532*1000/shares</f>
        <v>2015.33601558282</v>
      </c>
      <c r="G1533" s="11" t="n">
        <f aca="false">G1532*1000/shares</f>
        <v>2169.69723411015</v>
      </c>
    </row>
    <row r="1534" customFormat="false" ht="15" hidden="false" customHeight="false" outlineLevel="0" collapsed="false">
      <c r="A1534" s="5" t="s">
        <v>604</v>
      </c>
      <c r="B1534" s="0" t="s">
        <v>33</v>
      </c>
      <c r="C1534" s="16" t="n">
        <f aca="false">ABS(C1524-a25_rev)+ABS(C1530-a25_oi)+ABS(D1524-D1508)+ABS(D1530-D1510)</f>
        <v>0.000999999999976353</v>
      </c>
    </row>
    <row r="1535" customFormat="false" ht="15" hidden="false" customHeight="false" outlineLevel="0" collapsed="false">
      <c r="A1535" s="1" t="s">
        <v>605</v>
      </c>
    </row>
    <row r="1536" customFormat="false" ht="15" hidden="false" customHeight="false" outlineLevel="0" collapsed="false">
      <c r="A1536" s="5" t="s">
        <v>606</v>
      </c>
      <c r="B1536" s="0" t="s">
        <v>60</v>
      </c>
      <c r="C1536" s="14" t="n">
        <f aca="false">a25_gp/a25_rev</f>
        <v>0.701498549974936</v>
      </c>
      <c r="D1536" s="14" t="n">
        <f aca="false">gm_a+gm_b*LN(D1505)+0</f>
        <v>0.722596944534947</v>
      </c>
      <c r="E1536" s="14" t="n">
        <f aca="false">gm_a+gm_b*LN(E1505)+0</f>
        <v>0.732809796965098</v>
      </c>
      <c r="F1536" s="14" t="n">
        <f aca="false">gm_a+gm_b*LN(F1505)+0</f>
        <v>0.742530505820693</v>
      </c>
      <c r="G1536" s="14" t="n">
        <f aca="false">gm_a+gm_b*LN(G1505)+0</f>
        <v>0.749104002391604</v>
      </c>
    </row>
    <row r="1537" customFormat="false" ht="15" hidden="false" customHeight="false" outlineLevel="0" collapsed="false">
      <c r="A1537" s="5" t="s">
        <v>607</v>
      </c>
      <c r="B1537" s="0" t="s">
        <v>33</v>
      </c>
      <c r="C1537" s="11" t="n">
        <f aca="false">a25_oi</f>
        <v>184.989</v>
      </c>
      <c r="D1537" s="11" t="n">
        <f aca="false">D1505*D1536-sg_f-sg_v*D1505</f>
        <v>237.085523055147</v>
      </c>
      <c r="E1537" s="11" t="n">
        <f aca="false">E1505*E1536-sg_f-sg_v*E1505</f>
        <v>265.929273807457</v>
      </c>
      <c r="F1537" s="11" t="n">
        <f aca="false">F1505*F1536-sg_f-sg_v*F1505</f>
        <v>296.400907197405</v>
      </c>
      <c r="G1537" s="11" t="n">
        <f aca="false">G1505*G1536-sg_f-sg_v*G1505</f>
        <v>318.831751554494</v>
      </c>
    </row>
    <row r="1538" customFormat="false" ht="15" hidden="false" customHeight="false" outlineLevel="0" collapsed="false">
      <c r="A1538" s="0" t="s">
        <v>608</v>
      </c>
      <c r="B1538" s="0" t="s">
        <v>55</v>
      </c>
      <c r="C1538" s="11" t="n">
        <f aca="false">a25_eps</f>
        <v>1249.84</v>
      </c>
      <c r="D1538" s="11" t="n">
        <f aca="false">D1537*nioi_v01*1000/shares</f>
        <v>1601.07812964723</v>
      </c>
      <c r="E1538" s="11" t="n">
        <f aca="false">E1537*nioi_v01*1000/shares</f>
        <v>1795.86479528339</v>
      </c>
      <c r="F1538" s="11" t="n">
        <f aca="false">F1537*nioi_v01*1000/shares</f>
        <v>2001.64482422225</v>
      </c>
      <c r="G1538" s="11" t="n">
        <f aca="false">G1537*nioi_v01*1000/shares</f>
        <v>2153.12406203849</v>
      </c>
    </row>
    <row r="1550" customFormat="false" ht="15" hidden="false" customHeight="false" outlineLevel="0" collapsed="false">
      <c r="A1550" s="4" t="s">
        <v>842</v>
      </c>
    </row>
    <row r="1551" customFormat="false" ht="15" hidden="false" customHeight="false" outlineLevel="0" collapsed="false">
      <c r="A1551" s="6" t="s">
        <v>22</v>
      </c>
      <c r="B1551" s="6" t="s">
        <v>23</v>
      </c>
      <c r="C1551" s="9" t="s">
        <v>532</v>
      </c>
      <c r="D1551" s="9" t="s">
        <v>533</v>
      </c>
      <c r="E1551" s="9" t="s">
        <v>534</v>
      </c>
      <c r="F1551" s="9" t="s">
        <v>535</v>
      </c>
      <c r="G1551" s="9" t="s">
        <v>536</v>
      </c>
      <c r="H1551" s="9" t="s">
        <v>537</v>
      </c>
      <c r="I1551" s="9" t="s">
        <v>538</v>
      </c>
      <c r="J1551" s="6" t="s">
        <v>515</v>
      </c>
    </row>
    <row r="1552" customFormat="false" ht="15" hidden="false" customHeight="false" outlineLevel="0" collapsed="false">
      <c r="A1552" s="1" t="s">
        <v>539</v>
      </c>
    </row>
    <row r="1553" customFormat="false" ht="15" hidden="false" customHeight="false" outlineLevel="0" collapsed="false">
      <c r="A1553" s="0" t="s">
        <v>540</v>
      </c>
      <c r="B1553" s="0" t="s">
        <v>100</v>
      </c>
      <c r="C1553" s="19" t="n">
        <f aca="false">hsA_25</f>
        <v>2.22511470588235</v>
      </c>
      <c r="D1553" s="19" t="n">
        <f aca="false">hsA_26</f>
        <v>3.782695</v>
      </c>
      <c r="E1553" s="19" t="n">
        <f aca="false">hsA_27</f>
        <v>5.86317725</v>
      </c>
      <c r="F1553" s="19" t="n">
        <f aca="false">hsA_28</f>
        <v>8.5016070125</v>
      </c>
      <c r="G1553" s="19" t="n">
        <f aca="false">hsA_29</f>
        <v>11.477169466875</v>
      </c>
      <c r="H1553" s="19" t="n">
        <f aca="false">G1553*(1+g_tail)</f>
        <v>12.6248864135625</v>
      </c>
      <c r="I1553" s="19" t="n">
        <f aca="false">H1553*(1+g_tail)</f>
        <v>13.8873750549188</v>
      </c>
      <c r="J1553" s="8" t="s">
        <v>541</v>
      </c>
    </row>
    <row r="1554" customFormat="false" ht="15" hidden="false" customHeight="false" outlineLevel="0" collapsed="false">
      <c r="A1554" s="0" t="s">
        <v>542</v>
      </c>
      <c r="B1554" s="0" t="s">
        <v>543</v>
      </c>
      <c r="C1554" s="19" t="n">
        <f aca="false">den_25</f>
        <v>24</v>
      </c>
      <c r="D1554" s="19" t="n">
        <f aca="false">den_26</f>
        <v>24</v>
      </c>
      <c r="E1554" s="19" t="n">
        <f aca="false">den_27</f>
        <v>26</v>
      </c>
      <c r="F1554" s="19" t="n">
        <f aca="false">den_28</f>
        <v>28</v>
      </c>
      <c r="G1554" s="19" t="n">
        <f aca="false">den_29</f>
        <v>30</v>
      </c>
      <c r="H1554" s="19" t="n">
        <f aca="false">den_30</f>
        <v>32</v>
      </c>
      <c r="I1554" s="19" t="n">
        <f aca="false">den_30</f>
        <v>32</v>
      </c>
    </row>
    <row r="1555" customFormat="false" ht="15" hidden="false" customHeight="false" outlineLevel="0" collapsed="false">
      <c r="A1555" s="5" t="s">
        <v>544</v>
      </c>
      <c r="B1555" s="5" t="s">
        <v>152</v>
      </c>
      <c r="C1555" s="19" t="n">
        <f aca="false">stk_25</f>
        <v>10</v>
      </c>
      <c r="D1555" s="19" t="n">
        <f aca="false">stk_26</f>
        <v>12</v>
      </c>
      <c r="E1555" s="19" t="n">
        <f aca="false">stk_27</f>
        <v>12.5</v>
      </c>
      <c r="F1555" s="19" t="n">
        <f aca="false">stk_28</f>
        <v>14</v>
      </c>
      <c r="G1555" s="19" t="n">
        <f aca="false">stk_29</f>
        <v>15</v>
      </c>
      <c r="H1555" s="19" t="n">
        <f aca="false">stk_30</f>
        <v>16</v>
      </c>
      <c r="I1555" s="19" t="n">
        <f aca="false">stk_30</f>
        <v>16</v>
      </c>
    </row>
    <row r="1556" customFormat="false" ht="15" hidden="false" customHeight="false" outlineLevel="0" collapsed="false">
      <c r="A1556" s="0" t="s">
        <v>545</v>
      </c>
      <c r="B1556" s="5" t="s">
        <v>546</v>
      </c>
      <c r="C1556" s="19" t="n">
        <f aca="false">C1553*8/C1554</f>
        <v>0.741704901960783</v>
      </c>
      <c r="D1556" s="19" t="n">
        <f aca="false">D1553*8/D1554</f>
        <v>1.26089833333333</v>
      </c>
      <c r="E1556" s="19" t="n">
        <f aca="false">E1553*8/E1554</f>
        <v>1.80405453846154</v>
      </c>
      <c r="F1556" s="19" t="n">
        <f aca="false">F1553*8/F1554</f>
        <v>2.429030575</v>
      </c>
      <c r="G1556" s="19" t="n">
        <f aca="false">G1553*8/G1554</f>
        <v>3.0605785245</v>
      </c>
      <c r="H1556" s="19" t="n">
        <f aca="false">H1553*8/H1554</f>
        <v>3.15622160339063</v>
      </c>
      <c r="I1556" s="19" t="n">
        <f aca="false">I1553*8/I1554</f>
        <v>3.47184376372969</v>
      </c>
      <c r="J1556" s="8" t="s">
        <v>547</v>
      </c>
    </row>
    <row r="1557" customFormat="false" ht="15" hidden="false" customHeight="false" outlineLevel="0" collapsed="false">
      <c r="A1557" s="0" t="s">
        <v>548</v>
      </c>
      <c r="B1557" s="5" t="s">
        <v>549</v>
      </c>
      <c r="C1557" s="19" t="n">
        <f aca="false">C1556*(1+s_stk/C1555)</f>
        <v>0.964216372549018</v>
      </c>
      <c r="D1557" s="19" t="n">
        <f aca="false">D1556*(1+s_stk/D1555)</f>
        <v>1.57612291666667</v>
      </c>
      <c r="E1557" s="19" t="n">
        <f aca="false">E1556*(1+s_stk/E1555)</f>
        <v>2.23702762769231</v>
      </c>
      <c r="F1557" s="19" t="n">
        <f aca="false">F1556*(1+s_stk/F1555)</f>
        <v>2.94953712678571</v>
      </c>
      <c r="G1557" s="19" t="n">
        <f aca="false">G1556*(1+s_stk/G1555)</f>
        <v>3.6726942294</v>
      </c>
      <c r="H1557" s="19" t="n">
        <f aca="false">H1556*(1+s_stk/H1555)</f>
        <v>3.74801315402637</v>
      </c>
      <c r="I1557" s="19" t="n">
        <f aca="false">I1556*(1+s_stk/I1555)</f>
        <v>4.12281446942901</v>
      </c>
      <c r="J1557" s="5" t="s">
        <v>550</v>
      </c>
    </row>
    <row r="1558" customFormat="false" ht="15" hidden="false" customHeight="false" outlineLevel="0" collapsed="false">
      <c r="A1558" s="5" t="s">
        <v>551</v>
      </c>
      <c r="B1558" s="0" t="s">
        <v>60</v>
      </c>
      <c r="C1558" s="22" t="n">
        <f aca="false">hbp_25*hb_on</f>
        <v>0</v>
      </c>
      <c r="D1558" s="22" t="n">
        <f aca="false">hbp_26*hb_on</f>
        <v>0</v>
      </c>
      <c r="E1558" s="22" t="n">
        <f aca="false">hbp_27*hb_on</f>
        <v>0</v>
      </c>
      <c r="F1558" s="22" t="n">
        <f aca="false">hbp_28*hb_on</f>
        <v>0.05</v>
      </c>
      <c r="G1558" s="22" t="n">
        <f aca="false">hbp_29*hb_on</f>
        <v>0.15</v>
      </c>
      <c r="H1558" s="22" t="n">
        <f aca="false">hbp_30*hb_on</f>
        <v>0.25</v>
      </c>
      <c r="I1558" s="22" t="n">
        <f aca="false">hbp_30*hb_on</f>
        <v>0.25</v>
      </c>
    </row>
    <row r="1559" customFormat="false" ht="15" hidden="false" customHeight="false" outlineLevel="0" collapsed="false">
      <c r="A1559" s="0" t="s">
        <v>552</v>
      </c>
      <c r="B1559" s="5" t="s">
        <v>549</v>
      </c>
      <c r="C1559" s="19" t="n">
        <f aca="false">C1557*(1+C1558*hb_eff)</f>
        <v>0.964216372549018</v>
      </c>
      <c r="D1559" s="19" t="n">
        <f aca="false">D1557*(1+D1558*hb_eff)</f>
        <v>1.57612291666667</v>
      </c>
      <c r="E1559" s="19" t="n">
        <f aca="false">E1557*(1+E1558*hb_eff)</f>
        <v>2.23702762769231</v>
      </c>
      <c r="F1559" s="19" t="n">
        <f aca="false">F1557*(1+F1558*hb_eff)</f>
        <v>2.96428481241964</v>
      </c>
      <c r="G1559" s="19" t="n">
        <f aca="false">G1557*(1+G1558*hb_eff)</f>
        <v>3.727784642841</v>
      </c>
      <c r="H1559" s="19" t="n">
        <f aca="false">H1557*(1+H1558*hb_eff)</f>
        <v>3.84171348287703</v>
      </c>
      <c r="I1559" s="19" t="n">
        <f aca="false">I1557*(1+I1558*hb_eff)</f>
        <v>4.22588483116473</v>
      </c>
      <c r="J1559" s="5" t="s">
        <v>553</v>
      </c>
    </row>
    <row r="1560" customFormat="false" ht="15" hidden="false" customHeight="false" outlineLevel="0" collapsed="false">
      <c r="A1560" s="0" t="s">
        <v>554</v>
      </c>
      <c r="B1560" s="5" t="s">
        <v>549</v>
      </c>
      <c r="C1560" s="19" t="n">
        <f aca="false">MAX(0,D1559-C1559)+dlt*C1559</f>
        <v>0.70832818137255</v>
      </c>
      <c r="D1560" s="19" t="n">
        <f aca="false">MAX(0,E1559-D1559)+dlt*D1559</f>
        <v>0.818517002692307</v>
      </c>
      <c r="E1560" s="19" t="n">
        <f aca="false">MAX(0,F1559-E1559)+dlt*E1559</f>
        <v>0.950959947496565</v>
      </c>
      <c r="F1560" s="19" t="n">
        <f aca="false">MAX(0,G1559-F1559)+dlt*F1559</f>
        <v>1.05992831166332</v>
      </c>
      <c r="G1560" s="19" t="n">
        <f aca="false">MAX(0,H1559-G1559)+dlt*G1559</f>
        <v>0.486707304320127</v>
      </c>
      <c r="H1560" s="19" t="n">
        <f aca="false">MAX(0,I1559-H1559)+dlt*H1559</f>
        <v>0.768342696575406</v>
      </c>
      <c r="J1560" s="5" t="s">
        <v>555</v>
      </c>
    </row>
    <row r="1561" customFormat="false" ht="15" hidden="false" customHeight="false" outlineLevel="0" collapsed="false">
      <c r="A1561" s="0" t="s">
        <v>556</v>
      </c>
      <c r="B1561" s="5" t="s">
        <v>181</v>
      </c>
      <c r="C1561" s="21" t="n">
        <f aca="false">cw_25</f>
        <v>670</v>
      </c>
      <c r="D1561" s="21" t="n">
        <f aca="false">cw_26</f>
        <v>1107.85762580894</v>
      </c>
      <c r="E1561" s="21" t="n">
        <f aca="false">cw_27</f>
        <v>2096.42857142857</v>
      </c>
      <c r="F1561" s="21" t="n">
        <f aca="false">cw_28*um28_A</f>
        <v>2620.08928571429</v>
      </c>
      <c r="G1561" s="21" t="n">
        <f aca="false">cw_29*um29_A</f>
        <v>3013.32589285714</v>
      </c>
      <c r="H1561" s="21" t="n">
        <f aca="false">G1561*(1+g_tail)</f>
        <v>3314.65848214285</v>
      </c>
      <c r="I1561" s="21" t="n">
        <f aca="false">H1561*(1+g_tail)</f>
        <v>3646.12433035714</v>
      </c>
      <c r="J1561" s="5" t="s">
        <v>557</v>
      </c>
    </row>
    <row r="1562" customFormat="false" ht="15" hidden="false" customHeight="false" outlineLevel="0" collapsed="false">
      <c r="A1562" s="5" t="s">
        <v>558</v>
      </c>
      <c r="B1562" s="5" t="s">
        <v>181</v>
      </c>
      <c r="C1562" s="21" t="n">
        <f aca="false">MAX(0,D1561-C1561)+dlt*C1561</f>
        <v>504.85762580894</v>
      </c>
      <c r="D1562" s="21" t="n">
        <f aca="false">MAX(0,E1561-D1561)+dlt*D1561</f>
        <v>1099.35670820052</v>
      </c>
      <c r="E1562" s="21" t="n">
        <f aca="false">MAX(0,F1561-E1561)+dlt*E1561</f>
        <v>733.303571428577</v>
      </c>
      <c r="F1562" s="21" t="n">
        <f aca="false">MAX(0,G1561-F1561)+dlt*F1561</f>
        <v>655.245535714279</v>
      </c>
      <c r="G1562" s="21" t="n">
        <f aca="false">MAX(0,H1561-G1561)+dlt*G1561</f>
        <v>602.665178571428</v>
      </c>
      <c r="H1562" s="21" t="n">
        <f aca="false">MAX(0,I1561-H1561)+dlt*H1561</f>
        <v>662.931696428571</v>
      </c>
    </row>
    <row r="1563" customFormat="false" ht="15" hidden="false" customHeight="false" outlineLevel="0" collapsed="false">
      <c r="A1563" s="1" t="s">
        <v>559</v>
      </c>
    </row>
    <row r="1564" customFormat="false" ht="15" hidden="false" customHeight="false" outlineLevel="0" collapsed="false">
      <c r="A1564" s="0" t="s">
        <v>560</v>
      </c>
      <c r="B1564" s="0" t="s">
        <v>561</v>
      </c>
      <c r="C1564" s="16" t="n">
        <f aca="false">ai_25*w_hbm/(0.75*C1560+0.25*D1560)</f>
        <v>48.9213264236471</v>
      </c>
      <c r="J1564" s="5" t="s">
        <v>562</v>
      </c>
    </row>
    <row r="1565" customFormat="false" ht="15" hidden="false" customHeight="false" outlineLevel="0" collapsed="false">
      <c r="A1565" s="5" t="s">
        <v>563</v>
      </c>
      <c r="B1565" s="0" t="s">
        <v>564</v>
      </c>
      <c r="C1565" s="18" t="n">
        <f aca="false">ai_25*(1-w_hbm)/(0.75*C1562+0.25*D1562)</f>
        <v>0.0596802610360141</v>
      </c>
    </row>
    <row r="1566" customFormat="false" ht="15" hidden="false" customHeight="false" outlineLevel="0" collapsed="false">
      <c r="A1566" s="1" t="s">
        <v>565</v>
      </c>
    </row>
    <row r="1567" customFormat="false" ht="15" hidden="false" customHeight="false" outlineLevel="0" collapsed="false">
      <c r="A1567" s="5" t="s">
        <v>566</v>
      </c>
      <c r="B1567" s="0" t="s">
        <v>80</v>
      </c>
      <c r="C1567" s="16" t="n">
        <f aca="false">1-sh_loss/sh*0</f>
        <v>1</v>
      </c>
      <c r="D1567" s="16" t="n">
        <f aca="false">1-sh_loss/sh*0.25</f>
        <v>1</v>
      </c>
      <c r="E1567" s="16" t="n">
        <f aca="false">1-sh_loss/sh*0.5</f>
        <v>1</v>
      </c>
      <c r="F1567" s="16" t="n">
        <f aca="false">1-sh_loss/sh*0.75</f>
        <v>1</v>
      </c>
      <c r="G1567" s="16" t="n">
        <f aca="false">1-sh_loss/sh*1</f>
        <v>1</v>
      </c>
    </row>
    <row r="1568" customFormat="false" ht="15" hidden="false" customHeight="false" outlineLevel="0" collapsed="false">
      <c r="A1568" s="0" t="s">
        <v>567</v>
      </c>
      <c r="B1568" s="0" t="s">
        <v>33</v>
      </c>
      <c r="C1568" s="11" t="n">
        <f aca="false">$C$1564*(0.75*C1560+0.25*D1560)*C1567</f>
        <v>36</v>
      </c>
      <c r="D1568" s="11" t="n">
        <f aca="false">$C$1564*(0.75*D1560+0.25*E1560)*D1567</f>
        <v>41.6627586058351</v>
      </c>
      <c r="E1568" s="11" t="n">
        <f aca="false">$C$1564*(0.75*E1560+0.25*F1560)*E1567</f>
        <v>47.8549412356069</v>
      </c>
      <c r="F1568" s="11" t="n">
        <f aca="false">$C$1564*(0.75*F1560+0.25*G1560)*F1567</f>
        <v>44.8424159172644</v>
      </c>
      <c r="G1568" s="11" t="n">
        <f aca="false">$C$1564*(0.75*G1560+0.25*H1560)*G1567</f>
        <v>27.2548611466613</v>
      </c>
    </row>
    <row r="1569" customFormat="false" ht="15" hidden="false" customHeight="false" outlineLevel="0" collapsed="false">
      <c r="A1569" s="5" t="s">
        <v>568</v>
      </c>
      <c r="B1569" s="0" t="s">
        <v>33</v>
      </c>
      <c r="C1569" s="11" t="n">
        <f aca="false">$C$1565*(0.75*C1562+0.25*D1562)*C1567</f>
        <v>39</v>
      </c>
      <c r="D1569" s="11" t="n">
        <f aca="false">$C$1565*(0.75*D1562+0.25*E1562)*D1567</f>
        <v>60.1483586282001</v>
      </c>
      <c r="E1569" s="11" t="n">
        <f aca="false">$C$1565*(0.75*E1562+0.25*F1562)*E1567</f>
        <v>42.5991175746519</v>
      </c>
      <c r="F1569" s="11" t="n">
        <f aca="false">$C$1565*(0.75*F1562+0.25*G1562)*F1567</f>
        <v>38.320722254198</v>
      </c>
      <c r="G1569" s="11" t="n">
        <f aca="false">$C$1565*(0.75*G1562+0.25*H1562)*G1567</f>
        <v>36.8663955538204</v>
      </c>
    </row>
    <row r="1570" customFormat="false" ht="15" hidden="false" customHeight="false" outlineLevel="0" collapsed="false">
      <c r="A1570" s="0" t="s">
        <v>569</v>
      </c>
      <c r="B1570" s="0" t="s">
        <v>33</v>
      </c>
      <c r="C1570" s="11" t="n">
        <f aca="false">C1568+C1569</f>
        <v>75</v>
      </c>
      <c r="D1570" s="11" t="n">
        <f aca="false">D1568+D1569</f>
        <v>101.811117234035</v>
      </c>
      <c r="E1570" s="11" t="n">
        <f aca="false">E1568+E1569</f>
        <v>90.4540588102588</v>
      </c>
      <c r="F1570" s="11" t="n">
        <f aca="false">F1568+F1569</f>
        <v>83.1631381714624</v>
      </c>
      <c r="G1570" s="11" t="n">
        <f aca="false">G1568+G1569</f>
        <v>64.1212567004817</v>
      </c>
    </row>
    <row r="1571" customFormat="false" ht="15" hidden="false" customHeight="false" outlineLevel="0" collapsed="false">
      <c r="A1571" s="5" t="s">
        <v>570</v>
      </c>
      <c r="B1571" s="0" t="s">
        <v>33</v>
      </c>
      <c r="C1571" s="11" t="n">
        <f aca="false">eq_25-ai_25</f>
        <v>195.87118</v>
      </c>
      <c r="D1571" s="11" t="n">
        <f aca="false">C1571*(1+g_non)*D1567/C1567</f>
        <v>207.6234508</v>
      </c>
      <c r="E1571" s="11" t="n">
        <f aca="false">D1571*(1+g_non)*E1567/D1567</f>
        <v>220.080857848</v>
      </c>
      <c r="F1571" s="11" t="n">
        <f aca="false">E1571*(1+g_non)*F1567/E1567</f>
        <v>233.28570931888</v>
      </c>
      <c r="G1571" s="11" t="n">
        <f aca="false">F1571*(1+g_non)*G1567/F1567</f>
        <v>247.282851878013</v>
      </c>
    </row>
    <row r="1572" customFormat="false" ht="15" hidden="false" customHeight="false" outlineLevel="0" collapsed="false">
      <c r="A1572" s="0" t="s">
        <v>571</v>
      </c>
      <c r="B1572" s="0" t="s">
        <v>80</v>
      </c>
      <c r="C1572" s="19" t="n">
        <f aca="false">w_hbm*(0.75*C1559+0.25*D1559)/(0.75*C1559+0.25*D1559)+(1-w_hbm)*(0.75*C1561+0.25*D1561)/(0.75*C1561+0.25*D1561)</f>
        <v>1</v>
      </c>
      <c r="D1572" s="19" t="n">
        <f aca="false">w_hbm*(0.75*D1559+0.25*E1559)/(0.75*C1559+0.25*D1559)+(1-w_hbm)*(0.75*D1561+0.25*E1561)/(0.75*C1561+0.25*D1561)</f>
        <v>1.65212184085657</v>
      </c>
      <c r="E1572" s="19" t="n">
        <f aca="false">w_hbm*(0.75*E1559+0.25*F1559)/(0.75*C1559+0.25*D1559)+(1-w_hbm)*(0.75*E1561+0.25*F1561)/(0.75*C1561+0.25*D1561)</f>
        <v>2.52516730417954</v>
      </c>
      <c r="F1572" s="19" t="n">
        <f aca="false">w_hbm*(0.75*F1559+0.25*G1559)/(0.75*C1559+0.25*D1559)+(1-w_hbm)*(0.75*F1561+0.25*G1561)/(0.75*C1561+0.25*D1561)</f>
        <v>3.16911970169284</v>
      </c>
      <c r="G1572" s="19" t="n">
        <f aca="false">w_hbm*(0.75*G1559+0.25*H1559)/(0.75*C1559+0.25*D1559)+(1-w_hbm)*(0.75*G1561+0.25*H1561)/(0.75*C1561+0.25*D1561)</f>
        <v>3.67439430985121</v>
      </c>
      <c r="J1572" s="8" t="s">
        <v>572</v>
      </c>
    </row>
    <row r="1573" customFormat="false" ht="15" hidden="false" customHeight="false" outlineLevel="0" collapsed="false">
      <c r="A1573" s="0" t="s">
        <v>573</v>
      </c>
      <c r="B1573" s="0" t="s">
        <v>33</v>
      </c>
      <c r="C1573" s="11" t="n">
        <f aca="false">tl_25*w_tlai*C1572</f>
        <v>25.4032258064516</v>
      </c>
      <c r="D1573" s="11" t="n">
        <f aca="false">tl_25*w_tlai*D1572</f>
        <v>41.9692241830499</v>
      </c>
      <c r="E1573" s="11" t="n">
        <f aca="false">tl_25*w_tlai*E1572</f>
        <v>64.1473952271414</v>
      </c>
      <c r="F1573" s="11" t="n">
        <f aca="false">tl_25*w_tlai*F1572</f>
        <v>80.5058633897778</v>
      </c>
      <c r="G1573" s="11" t="n">
        <f aca="false">tl_25*w_tlai*G1572</f>
        <v>93.3414683550913</v>
      </c>
      <c r="J1573" s="5" t="s">
        <v>574</v>
      </c>
    </row>
    <row r="1574" customFormat="false" ht="15" hidden="false" customHeight="false" outlineLevel="0" collapsed="false">
      <c r="A1574" s="5" t="s">
        <v>575</v>
      </c>
      <c r="B1574" s="0" t="s">
        <v>33</v>
      </c>
      <c r="C1574" s="11" t="n">
        <f aca="false">tl_25*(1-w_tlai)</f>
        <v>66.3434641935484</v>
      </c>
      <c r="D1574" s="11" t="n">
        <f aca="false">C1574*(1+g_tl_lo)</f>
        <v>66.3434641935484</v>
      </c>
      <c r="E1574" s="11" t="n">
        <f aca="false">D1574*(1+g_tl_lo)</f>
        <v>66.3434641935484</v>
      </c>
      <c r="F1574" s="11" t="n">
        <f aca="false">E1574*(1+g_tl_lo)</f>
        <v>66.3434641935484</v>
      </c>
      <c r="G1574" s="11" t="n">
        <f aca="false">F1574*(1+g_tl_lo)</f>
        <v>66.3434641935484</v>
      </c>
    </row>
    <row r="1575" customFormat="false" ht="15" hidden="false" customHeight="false" outlineLevel="0" collapsed="false">
      <c r="A1575" s="5" t="s">
        <v>576</v>
      </c>
      <c r="B1575" s="0" t="s">
        <v>33</v>
      </c>
      <c r="C1575" s="11" t="n">
        <f aca="false">(C1570+C1571+C1573+C1574)*(1+r_ot)</f>
        <v>436.889</v>
      </c>
      <c r="D1575" s="11" t="n">
        <f aca="false">(D1570+D1571+D1573+D1574)*(1+r_ot)</f>
        <v>503.309947482691</v>
      </c>
      <c r="E1575" s="11" t="n">
        <f aca="false">(E1570+E1571+E1573+E1574)*(1+r_ot)</f>
        <v>531.356356721625</v>
      </c>
      <c r="F1575" s="11" t="n">
        <f aca="false">(F1570+F1571+F1573+F1574)*(1+r_ot)</f>
        <v>558.190572377914</v>
      </c>
      <c r="G1575" s="11" t="n">
        <f aca="false">(G1570+G1571+G1573+G1574)*(1+r_ot)</f>
        <v>567.577157984499</v>
      </c>
      <c r="J1575" s="8" t="s">
        <v>577</v>
      </c>
    </row>
    <row r="1576" customFormat="false" ht="15" hidden="false" customHeight="false" outlineLevel="0" collapsed="false">
      <c r="A1576" s="1" t="s">
        <v>578</v>
      </c>
    </row>
    <row r="1577" customFormat="false" ht="15" hidden="false" customHeight="false" outlineLevel="0" collapsed="false">
      <c r="A1577" s="5" t="s">
        <v>579</v>
      </c>
      <c r="B1577" s="0" t="s">
        <v>33</v>
      </c>
      <c r="D1577" s="11" t="n">
        <f aca="false">g3_rev*(1+g_q4)</f>
        <v>145.6862</v>
      </c>
    </row>
    <row r="1578" customFormat="false" ht="15" hidden="false" customHeight="false" outlineLevel="0" collapsed="false">
      <c r="A1578" s="0" t="s">
        <v>580</v>
      </c>
      <c r="B1578" s="0" t="s">
        <v>33</v>
      </c>
      <c r="D1578" s="11" t="n">
        <f aca="false">q26h1_rev+g3_rev+D1577</f>
        <v>535.1862</v>
      </c>
    </row>
    <row r="1579" customFormat="false" ht="15" hidden="false" customHeight="false" outlineLevel="0" collapsed="false">
      <c r="A1579" s="0" t="s">
        <v>581</v>
      </c>
      <c r="B1579" s="0" t="s">
        <v>33</v>
      </c>
      <c r="D1579" s="11" t="n">
        <f aca="false">q26h1_gp+(g3_rev+D1577)*gm_q3</f>
        <v>378.0504836</v>
      </c>
    </row>
    <row r="1580" customFormat="false" ht="15" hidden="false" customHeight="false" outlineLevel="0" collapsed="false">
      <c r="A1580" s="0" t="s">
        <v>582</v>
      </c>
      <c r="B1580" s="0" t="s">
        <v>33</v>
      </c>
      <c r="D1580" s="11" t="n">
        <f aca="false">q26h1_oi+g3_oi+D1577*m_q4</f>
        <v>238.5671</v>
      </c>
    </row>
    <row r="1581" customFormat="false" ht="15" hidden="false" customHeight="false" outlineLevel="0" collapsed="false">
      <c r="A1581" s="0" t="s">
        <v>583</v>
      </c>
      <c r="B1581" s="0" t="s">
        <v>33</v>
      </c>
      <c r="D1581" s="11" t="n">
        <f aca="false">q26h1_ni+g3_ni+D1577*m_q4*nioi</f>
        <v>167.95938138934</v>
      </c>
    </row>
    <row r="1582" customFormat="false" ht="15" hidden="false" customHeight="false" outlineLevel="0" collapsed="false">
      <c r="A1582" s="5" t="s">
        <v>584</v>
      </c>
      <c r="B1582" s="0" t="s">
        <v>80</v>
      </c>
      <c r="D1582" s="16" t="n">
        <f aca="false">D1578/D1575</f>
        <v>1.06333324560092</v>
      </c>
      <c r="J1582" s="8" t="s">
        <v>585</v>
      </c>
    </row>
    <row r="1583" customFormat="false" ht="15" hidden="false" customHeight="false" outlineLevel="0" collapsed="false">
      <c r="A1583" s="5" t="s">
        <v>586</v>
      </c>
      <c r="B1583" s="0" t="s">
        <v>80</v>
      </c>
      <c r="D1583" s="16" t="n">
        <f aca="false">1+anc_carry*(D1582-1)</f>
        <v>1.06333324560092</v>
      </c>
      <c r="J1583" s="8" t="s">
        <v>587</v>
      </c>
    </row>
    <row r="1584" customFormat="false" ht="15" hidden="false" customHeight="false" outlineLevel="0" collapsed="false">
      <c r="A1584" s="1" t="s">
        <v>588</v>
      </c>
    </row>
    <row r="1585" customFormat="false" ht="15" hidden="false" customHeight="false" outlineLevel="0" collapsed="false">
      <c r="A1585" s="0" t="s">
        <v>589</v>
      </c>
      <c r="B1585" s="0" t="s">
        <v>33</v>
      </c>
      <c r="C1585" s="11" t="n">
        <f aca="false">C1568*1</f>
        <v>36</v>
      </c>
      <c r="D1585" s="11" t="n">
        <f aca="false">D1568*$D$1582</f>
        <v>44.3013963290304</v>
      </c>
      <c r="E1585" s="11" t="n">
        <f aca="false">E1568*1</f>
        <v>47.8549412356069</v>
      </c>
      <c r="F1585" s="11" t="n">
        <f aca="false">F1568*1</f>
        <v>44.8424159172644</v>
      </c>
      <c r="G1585" s="11" t="n">
        <f aca="false">G1568*1</f>
        <v>27.2548611466613</v>
      </c>
    </row>
    <row r="1586" customFormat="false" ht="15" hidden="false" customHeight="false" outlineLevel="0" collapsed="false">
      <c r="A1586" s="5" t="s">
        <v>590</v>
      </c>
      <c r="B1586" s="0" t="s">
        <v>33</v>
      </c>
      <c r="C1586" s="11" t="n">
        <f aca="false">C1569*1</f>
        <v>39</v>
      </c>
      <c r="D1586" s="11" t="n">
        <f aca="false">D1569*$D$1582</f>
        <v>63.9577493976922</v>
      </c>
      <c r="E1586" s="11" t="n">
        <f aca="false">E1569*1</f>
        <v>42.5991175746519</v>
      </c>
      <c r="F1586" s="11" t="n">
        <f aca="false">F1569*1</f>
        <v>38.320722254198</v>
      </c>
      <c r="G1586" s="11" t="n">
        <f aca="false">G1569*1</f>
        <v>36.8663955538204</v>
      </c>
    </row>
    <row r="1587" customFormat="false" ht="15" hidden="false" customHeight="false" outlineLevel="0" collapsed="false">
      <c r="A1587" s="0" t="s">
        <v>591</v>
      </c>
      <c r="B1587" s="0" t="s">
        <v>33</v>
      </c>
      <c r="C1587" s="11" t="n">
        <f aca="false">C1585+C1586</f>
        <v>75</v>
      </c>
      <c r="D1587" s="11" t="n">
        <f aca="false">D1585+D1586</f>
        <v>108.259145726723</v>
      </c>
      <c r="E1587" s="11" t="n">
        <f aca="false">E1585+E1586</f>
        <v>90.4540588102588</v>
      </c>
      <c r="F1587" s="11" t="n">
        <f aca="false">F1585+F1586</f>
        <v>83.1631381714624</v>
      </c>
      <c r="G1587" s="11" t="n">
        <f aca="false">G1585+G1586</f>
        <v>64.1212567004817</v>
      </c>
    </row>
    <row r="1588" customFormat="false" ht="15" hidden="false" customHeight="false" outlineLevel="0" collapsed="false">
      <c r="A1588" s="5" t="s">
        <v>592</v>
      </c>
      <c r="B1588" s="0" t="s">
        <v>33</v>
      </c>
      <c r="C1588" s="11" t="n">
        <f aca="false">C1571*1</f>
        <v>195.87118</v>
      </c>
      <c r="D1588" s="11" t="n">
        <f aca="false">D1571*$D$1582</f>
        <v>220.772917802028</v>
      </c>
      <c r="E1588" s="11" t="n">
        <f aca="false">E1571*$D$1583</f>
        <v>234.019292870149</v>
      </c>
      <c r="F1588" s="11" t="n">
        <f aca="false">F1571*$D$1583</f>
        <v>248.060450442358</v>
      </c>
      <c r="G1588" s="11" t="n">
        <f aca="false">G1571*$D$1583</f>
        <v>262.9440774689</v>
      </c>
    </row>
    <row r="1589" customFormat="false" ht="15" hidden="false" customHeight="false" outlineLevel="0" collapsed="false">
      <c r="A1589" s="5" t="s">
        <v>593</v>
      </c>
      <c r="B1589" s="0" t="s">
        <v>33</v>
      </c>
      <c r="C1589" s="11" t="n">
        <f aca="false">C1587+C1588</f>
        <v>270.87118</v>
      </c>
      <c r="D1589" s="11" t="n">
        <f aca="false">D1587+D1588</f>
        <v>329.03206352875</v>
      </c>
      <c r="E1589" s="11" t="n">
        <f aca="false">E1587+E1588</f>
        <v>324.473351680408</v>
      </c>
      <c r="F1589" s="11" t="n">
        <f aca="false">F1587+F1588</f>
        <v>331.223588613821</v>
      </c>
      <c r="G1589" s="11" t="n">
        <f aca="false">G1587+G1588</f>
        <v>327.065334169381</v>
      </c>
    </row>
    <row r="1590" customFormat="false" ht="15" hidden="false" customHeight="false" outlineLevel="0" collapsed="false">
      <c r="A1590" s="0" t="s">
        <v>594</v>
      </c>
      <c r="B1590" s="0" t="s">
        <v>33</v>
      </c>
      <c r="C1590" s="11" t="n">
        <f aca="false">C1573*1</f>
        <v>25.4032258064516</v>
      </c>
      <c r="D1590" s="11" t="n">
        <f aca="false">D1573*$D$1582</f>
        <v>44.6272713659152</v>
      </c>
      <c r="E1590" s="11" t="n">
        <f aca="false">E1573*1</f>
        <v>64.1473952271414</v>
      </c>
      <c r="F1590" s="11" t="n">
        <f aca="false">F1573*1</f>
        <v>80.5058633897778</v>
      </c>
      <c r="G1590" s="11" t="n">
        <f aca="false">G1573*1</f>
        <v>93.3414683550913</v>
      </c>
    </row>
    <row r="1591" customFormat="false" ht="15" hidden="false" customHeight="false" outlineLevel="0" collapsed="false">
      <c r="A1591" s="5" t="s">
        <v>595</v>
      </c>
      <c r="B1591" s="0" t="s">
        <v>33</v>
      </c>
      <c r="C1591" s="11" t="n">
        <f aca="false">C1574*1</f>
        <v>66.3434641935484</v>
      </c>
      <c r="D1591" s="11" t="n">
        <f aca="false">D1574*$D$1582</f>
        <v>70.5452111053344</v>
      </c>
      <c r="E1591" s="11" t="n">
        <f aca="false">E1574*$D$1583</f>
        <v>70.5452111053344</v>
      </c>
      <c r="F1591" s="11" t="n">
        <f aca="false">F1574*$D$1583</f>
        <v>70.5452111053344</v>
      </c>
      <c r="G1591" s="11" t="n">
        <f aca="false">G1574*$D$1583</f>
        <v>70.5452111053344</v>
      </c>
    </row>
    <row r="1592" customFormat="false" ht="15" hidden="false" customHeight="false" outlineLevel="0" collapsed="false">
      <c r="A1592" s="5" t="s">
        <v>596</v>
      </c>
      <c r="B1592" s="0" t="s">
        <v>33</v>
      </c>
      <c r="C1592" s="11" t="n">
        <f aca="false">C1590+C1591</f>
        <v>91.74669</v>
      </c>
      <c r="D1592" s="11" t="n">
        <f aca="false">D1590+D1591</f>
        <v>115.17248247125</v>
      </c>
      <c r="E1592" s="11" t="n">
        <f aca="false">E1590+E1591</f>
        <v>134.692606332476</v>
      </c>
      <c r="F1592" s="11" t="n">
        <f aca="false">F1590+F1591</f>
        <v>151.051074495112</v>
      </c>
      <c r="G1592" s="11" t="n">
        <f aca="false">G1590+G1591</f>
        <v>163.886679460426</v>
      </c>
    </row>
    <row r="1593" customFormat="false" ht="15" hidden="false" customHeight="false" outlineLevel="0" collapsed="false">
      <c r="A1593" s="5" t="s">
        <v>458</v>
      </c>
      <c r="B1593" s="0" t="s">
        <v>33</v>
      </c>
      <c r="C1593" s="11" t="n">
        <f aca="false">r_ot*(C1589+C1592)</f>
        <v>74.27113</v>
      </c>
      <c r="D1593" s="11" t="n">
        <f aca="false">r_ot*(D1589+D1592)</f>
        <v>90.981654</v>
      </c>
      <c r="E1593" s="11" t="n">
        <f aca="false">r_ot*(E1589+E1592)</f>
        <v>94.0460395930004</v>
      </c>
      <c r="F1593" s="11" t="n">
        <f aca="false">r_ot*(F1589+F1592)</f>
        <v>98.7791478656851</v>
      </c>
      <c r="G1593" s="11" t="n">
        <f aca="false">r_ot*(G1589+G1592)</f>
        <v>100.556436526587</v>
      </c>
    </row>
    <row r="1594" customFormat="false" ht="15" hidden="false" customHeight="false" outlineLevel="0" collapsed="false">
      <c r="A1594" s="5" t="s">
        <v>428</v>
      </c>
      <c r="B1594" s="0" t="s">
        <v>33</v>
      </c>
      <c r="C1594" s="11" t="n">
        <f aca="false">C1589+C1592+C1593</f>
        <v>436.889</v>
      </c>
      <c r="D1594" s="11" t="n">
        <f aca="false">D1589+D1592+D1593</f>
        <v>535.1862</v>
      </c>
      <c r="E1594" s="11" t="n">
        <f aca="false">E1589+E1592+E1593</f>
        <v>553.211997605884</v>
      </c>
      <c r="F1594" s="11" t="n">
        <f aca="false">F1589+F1592+F1593</f>
        <v>581.053810974618</v>
      </c>
      <c r="G1594" s="11" t="n">
        <f aca="false">G1589+G1592+G1593</f>
        <v>591.508450156394</v>
      </c>
      <c r="J1594" s="8" t="s">
        <v>597</v>
      </c>
    </row>
    <row r="1595" customFormat="false" ht="15" hidden="false" customHeight="false" outlineLevel="0" collapsed="false">
      <c r="A1595" s="0" t="s">
        <v>598</v>
      </c>
      <c r="B1595" s="0" t="s">
        <v>60</v>
      </c>
      <c r="C1595" s="14" t="n">
        <f aca="false">(C1587+C1590)*(1+r_ot)/C1594</f>
        <v>0.276884384673187</v>
      </c>
      <c r="D1595" s="14" t="n">
        <f aca="false">(D1587+D1590)*(1+r_ot)/D1594</f>
        <v>0.344180217130506</v>
      </c>
      <c r="E1595" s="14" t="n">
        <f aca="false">(E1587+E1590)*(1+r_ot)/E1594</f>
        <v>0.336700601034239</v>
      </c>
      <c r="F1595" s="14" t="n">
        <f aca="false">(F1587+F1590)*(1+r_ot)/F1594</f>
        <v>0.339368857791876</v>
      </c>
      <c r="G1595" s="14" t="n">
        <f aca="false">(G1587+G1590)*(1+r_ot)/G1594</f>
        <v>0.320729359864292</v>
      </c>
    </row>
    <row r="1596" customFormat="false" ht="15" hidden="false" customHeight="false" outlineLevel="0" collapsed="false">
      <c r="A1596" s="0" t="s">
        <v>599</v>
      </c>
      <c r="B1596" s="0" t="s">
        <v>60</v>
      </c>
      <c r="C1596" s="14" t="n">
        <f aca="false">C1587*(1+r_ot)/C1594</f>
        <v>0.206829299394429</v>
      </c>
      <c r="D1596" s="14" t="n">
        <f aca="false">D1587*(1+r_ot)/D1594</f>
        <v>0.243714628095505</v>
      </c>
      <c r="E1596" s="14" t="n">
        <f aca="false">E1587*(1+r_ot)/E1594</f>
        <v>0.196996439373933</v>
      </c>
      <c r="F1596" s="14" t="n">
        <f aca="false">F1587*(1+r_ot)/F1594</f>
        <v>0.172439368129688</v>
      </c>
      <c r="G1596" s="14" t="n">
        <f aca="false">G1587*(1+r_ot)/G1594</f>
        <v>0.130605955206105</v>
      </c>
      <c r="J1596" s="5" t="s">
        <v>600</v>
      </c>
    </row>
    <row r="1597" customFormat="false" ht="15" hidden="false" customHeight="false" outlineLevel="0" collapsed="false">
      <c r="A1597" s="5" t="s">
        <v>466</v>
      </c>
      <c r="B1597" s="0" t="s">
        <v>60</v>
      </c>
      <c r="C1597" s="14" t="n">
        <f aca="false">a25_gp/a25_rev</f>
        <v>0.701498549974936</v>
      </c>
      <c r="D1597" s="14" t="n">
        <f aca="false">D1579/D1594</f>
        <v>0.70639056761927</v>
      </c>
      <c r="E1597" s="14" t="n">
        <f aca="false">gm_a+gm_b*LN(E1594)+0</f>
        <v>0.729323762226207</v>
      </c>
      <c r="F1597" s="14" t="n">
        <f aca="false">gm_a+gm_b*LN(F1594)+0</f>
        <v>0.734912853934833</v>
      </c>
      <c r="G1597" s="14" t="n">
        <f aca="false">gm_a+gm_b*LN(G1594)+0</f>
        <v>0.736942666602366</v>
      </c>
      <c r="J1597" s="8" t="s">
        <v>601</v>
      </c>
    </row>
    <row r="1598" customFormat="false" ht="15" hidden="false" customHeight="false" outlineLevel="0" collapsed="false">
      <c r="A1598" s="5" t="s">
        <v>463</v>
      </c>
      <c r="B1598" s="0" t="s">
        <v>33</v>
      </c>
      <c r="C1598" s="11" t="n">
        <f aca="false">C1594*C1597</f>
        <v>306.477</v>
      </c>
      <c r="D1598" s="11" t="n">
        <f aca="false">D1594*D1597</f>
        <v>378.0504836</v>
      </c>
      <c r="E1598" s="11" t="n">
        <f aca="false">E1594*E1597</f>
        <v>403.470655402599</v>
      </c>
      <c r="F1598" s="11" t="n">
        <f aca="false">F1594*F1597</f>
        <v>427.023914513068</v>
      </c>
      <c r="G1598" s="11" t="n">
        <f aca="false">G1594*G1597</f>
        <v>435.907814576086</v>
      </c>
    </row>
    <row r="1599" customFormat="false" ht="15" hidden="false" customHeight="false" outlineLevel="0" collapsed="false">
      <c r="A1599" s="5" t="s">
        <v>464</v>
      </c>
      <c r="B1599" s="0" t="s">
        <v>33</v>
      </c>
      <c r="C1599" s="11" t="n">
        <f aca="false">a25_sga</f>
        <v>121.487</v>
      </c>
      <c r="D1599" s="11" t="n">
        <f aca="false">D1598-D1580</f>
        <v>139.4833836</v>
      </c>
      <c r="E1599" s="11" t="n">
        <f aca="false">sg_f+sg_v*E1594</f>
        <v>147.735813399307</v>
      </c>
      <c r="F1599" s="11" t="n">
        <f aca="false">sg_f+sg_v*F1594</f>
        <v>154.762169263572</v>
      </c>
      <c r="G1599" s="11" t="n">
        <f aca="false">sg_f+sg_v*G1594</f>
        <v>157.400575546624</v>
      </c>
      <c r="J1599" s="8" t="s">
        <v>602</v>
      </c>
    </row>
    <row r="1600" customFormat="false" ht="15" hidden="false" customHeight="false" outlineLevel="0" collapsed="false">
      <c r="A1600" s="5" t="s">
        <v>432</v>
      </c>
      <c r="B1600" s="0" t="s">
        <v>33</v>
      </c>
      <c r="C1600" s="11" t="n">
        <f aca="false">C1598-C1599</f>
        <v>184.99</v>
      </c>
      <c r="D1600" s="11" t="n">
        <f aca="false">D1598-D1599</f>
        <v>238.5671</v>
      </c>
      <c r="E1600" s="11" t="n">
        <f aca="false">E1598-E1599</f>
        <v>255.734842003292</v>
      </c>
      <c r="F1600" s="11" t="n">
        <f aca="false">F1598-F1599</f>
        <v>272.261745249496</v>
      </c>
      <c r="G1600" s="11" t="n">
        <f aca="false">G1598-G1599</f>
        <v>278.507239029461</v>
      </c>
    </row>
    <row r="1601" customFormat="false" ht="15" hidden="false" customHeight="false" outlineLevel="0" collapsed="false">
      <c r="A1601" s="5" t="s">
        <v>603</v>
      </c>
      <c r="B1601" s="0" t="s">
        <v>60</v>
      </c>
      <c r="C1601" s="14" t="n">
        <f aca="false">C1600/C1594</f>
        <v>0.423425629851061</v>
      </c>
      <c r="D1601" s="14" t="n">
        <f aca="false">D1600/D1594</f>
        <v>0.445764670314743</v>
      </c>
      <c r="E1601" s="14" t="n">
        <f aca="false">E1600/E1594</f>
        <v>0.462272769046995</v>
      </c>
      <c r="F1601" s="14" t="n">
        <f aca="false">F1600/F1594</f>
        <v>0.468565458322739</v>
      </c>
      <c r="G1601" s="14" t="n">
        <f aca="false">G1600/G1594</f>
        <v>0.470842367435029</v>
      </c>
    </row>
    <row r="1602" customFormat="false" ht="15" hidden="false" customHeight="false" outlineLevel="0" collapsed="false">
      <c r="A1602" s="5" t="s">
        <v>435</v>
      </c>
      <c r="B1602" s="0" t="s">
        <v>33</v>
      </c>
      <c r="C1602" s="11" t="n">
        <f aca="false">a25_ni</f>
        <v>135.521</v>
      </c>
      <c r="D1602" s="11" t="n">
        <f aca="false">D1581</f>
        <v>167.95938138934</v>
      </c>
      <c r="E1602" s="11" t="n">
        <f aca="false">E1600*nioi</f>
        <v>184.429676975661</v>
      </c>
      <c r="F1602" s="11" t="n">
        <f aca="false">F1600*nioi</f>
        <v>196.348473035003</v>
      </c>
      <c r="G1602" s="11" t="n">
        <f aca="false">G1600*nioi</f>
        <v>200.852569509967</v>
      </c>
    </row>
    <row r="1603" customFormat="false" ht="15" hidden="false" customHeight="false" outlineLevel="0" collapsed="false">
      <c r="A1603" s="0" t="s">
        <v>524</v>
      </c>
      <c r="B1603" s="0" t="s">
        <v>55</v>
      </c>
      <c r="C1603" s="11" t="n">
        <f aca="false">a25_eps</f>
        <v>1249.84</v>
      </c>
      <c r="D1603" s="11" t="n">
        <f aca="false">D1602*1000/shares</f>
        <v>1548.28555816522</v>
      </c>
      <c r="E1603" s="11" t="n">
        <f aca="false">E1602*1000/shares</f>
        <v>1700.1122711721</v>
      </c>
      <c r="F1603" s="11" t="n">
        <f aca="false">F1602*1000/shares</f>
        <v>1809.98228651004</v>
      </c>
      <c r="G1603" s="11" t="n">
        <f aca="false">G1602*1000/shares</f>
        <v>1851.50201269076</v>
      </c>
    </row>
    <row r="1604" customFormat="false" ht="15" hidden="false" customHeight="false" outlineLevel="0" collapsed="false">
      <c r="A1604" s="5" t="s">
        <v>604</v>
      </c>
      <c r="B1604" s="0" t="s">
        <v>33</v>
      </c>
      <c r="C1604" s="16" t="n">
        <f aca="false">ABS(C1594-a25_rev)+ABS(C1600-a25_oi)+ABS(D1594-D1578)+ABS(D1600-D1580)</f>
        <v>0.000999999999976353</v>
      </c>
    </row>
    <row r="1605" customFormat="false" ht="15" hidden="false" customHeight="false" outlineLevel="0" collapsed="false">
      <c r="A1605" s="1" t="s">
        <v>605</v>
      </c>
    </row>
    <row r="1606" customFormat="false" ht="15" hidden="false" customHeight="false" outlineLevel="0" collapsed="false">
      <c r="A1606" s="5" t="s">
        <v>606</v>
      </c>
      <c r="B1606" s="0" t="s">
        <v>60</v>
      </c>
      <c r="C1606" s="14" t="n">
        <f aca="false">a25_gp/a25_rev</f>
        <v>0.701498549974936</v>
      </c>
      <c r="D1606" s="14" t="n">
        <f aca="false">gm_a+gm_b*LN(D1575)+0</f>
        <v>0.718563212779215</v>
      </c>
      <c r="E1606" s="14" t="n">
        <f aca="false">gm_a+gm_b*LN(E1575)+0</f>
        <v>0.724735621523278</v>
      </c>
      <c r="F1606" s="14" t="n">
        <f aca="false">gm_a+gm_b*LN(F1575)+0</f>
        <v>0.730343545432463</v>
      </c>
      <c r="G1606" s="14" t="n">
        <f aca="false">gm_a+gm_b*LN(G1575)+0</f>
        <v>0.732241737821237</v>
      </c>
    </row>
    <row r="1607" customFormat="false" ht="15" hidden="false" customHeight="false" outlineLevel="0" collapsed="false">
      <c r="A1607" s="5" t="s">
        <v>607</v>
      </c>
      <c r="B1607" s="0" t="s">
        <v>33</v>
      </c>
      <c r="C1607" s="11" t="n">
        <f aca="false">a25_oi</f>
        <v>184.989</v>
      </c>
      <c r="D1607" s="11" t="n">
        <f aca="false">D1575*D1606-sg_f-sg_v*D1575</f>
        <v>226.517831873466</v>
      </c>
      <c r="E1607" s="11" t="n">
        <f aca="false">E1575*E1606-sg_f-sg_v*E1575</f>
        <v>242.872709308339</v>
      </c>
      <c r="F1607" s="11" t="n">
        <f aca="false">F1575*F1606-sg_f-sg_v*F1575</f>
        <v>258.678640108815</v>
      </c>
      <c r="G1607" s="11" t="n">
        <f aca="false">G1575*G1606-sg_f-sg_v*G1575</f>
        <v>264.242578191557</v>
      </c>
    </row>
    <row r="1608" customFormat="false" ht="15" hidden="false" customHeight="false" outlineLevel="0" collapsed="false">
      <c r="A1608" s="0" t="s">
        <v>608</v>
      </c>
      <c r="B1608" s="0" t="s">
        <v>55</v>
      </c>
      <c r="C1608" s="11" t="n">
        <f aca="false">a25_eps</f>
        <v>1249.84</v>
      </c>
      <c r="D1608" s="11" t="n">
        <f aca="false">D1607*nioi_v01*1000/shares</f>
        <v>1529.71274632975</v>
      </c>
      <c r="E1608" s="11" t="n">
        <f aca="false">E1607*nioi_v01*1000/shares</f>
        <v>1640.15996485496</v>
      </c>
      <c r="F1608" s="11" t="n">
        <f aca="false">F1607*nioi_v01*1000/shares</f>
        <v>1746.90005508591</v>
      </c>
      <c r="G1608" s="11" t="n">
        <f aca="false">G1607*nioi_v01*1000/shares</f>
        <v>1784.47425811693</v>
      </c>
    </row>
    <row r="1620" customFormat="false" ht="15" hidden="false" customHeight="false" outlineLevel="0" collapsed="false">
      <c r="A1620" s="4" t="s">
        <v>843</v>
      </c>
    </row>
    <row r="1621" customFormat="false" ht="15" hidden="false" customHeight="false" outlineLevel="0" collapsed="false">
      <c r="A1621" s="6" t="s">
        <v>22</v>
      </c>
      <c r="B1621" s="6" t="s">
        <v>23</v>
      </c>
      <c r="C1621" s="9" t="s">
        <v>532</v>
      </c>
      <c r="D1621" s="9" t="s">
        <v>533</v>
      </c>
      <c r="E1621" s="9" t="s">
        <v>534</v>
      </c>
      <c r="F1621" s="9" t="s">
        <v>535</v>
      </c>
      <c r="G1621" s="9" t="s">
        <v>536</v>
      </c>
      <c r="H1621" s="9" t="s">
        <v>537</v>
      </c>
      <c r="I1621" s="9" t="s">
        <v>538</v>
      </c>
      <c r="J1621" s="6" t="s">
        <v>515</v>
      </c>
    </row>
    <row r="1622" customFormat="false" ht="15" hidden="false" customHeight="false" outlineLevel="0" collapsed="false">
      <c r="A1622" s="1" t="s">
        <v>539</v>
      </c>
    </row>
    <row r="1623" customFormat="false" ht="15" hidden="false" customHeight="false" outlineLevel="0" collapsed="false">
      <c r="A1623" s="0" t="s">
        <v>540</v>
      </c>
      <c r="B1623" s="0" t="s">
        <v>100</v>
      </c>
      <c r="C1623" s="19" t="n">
        <f aca="false">hsA_25</f>
        <v>2.22511470588235</v>
      </c>
      <c r="D1623" s="19" t="n">
        <f aca="false">hsA_26</f>
        <v>3.782695</v>
      </c>
      <c r="E1623" s="19" t="n">
        <f aca="false">hsA_27</f>
        <v>5.86317725</v>
      </c>
      <c r="F1623" s="19" t="n">
        <f aca="false">hsA_28</f>
        <v>8.5016070125</v>
      </c>
      <c r="G1623" s="19" t="n">
        <f aca="false">hsA_29</f>
        <v>11.477169466875</v>
      </c>
      <c r="H1623" s="19" t="n">
        <f aca="false">G1623*(1+g_tail)</f>
        <v>12.6248864135625</v>
      </c>
      <c r="I1623" s="19" t="n">
        <f aca="false">H1623*(1+g_tail)</f>
        <v>13.8873750549188</v>
      </c>
      <c r="J1623" s="8" t="s">
        <v>541</v>
      </c>
    </row>
    <row r="1624" customFormat="false" ht="15" hidden="false" customHeight="false" outlineLevel="0" collapsed="false">
      <c r="A1624" s="0" t="s">
        <v>542</v>
      </c>
      <c r="B1624" s="0" t="s">
        <v>543</v>
      </c>
      <c r="C1624" s="19" t="n">
        <f aca="false">den_25</f>
        <v>24</v>
      </c>
      <c r="D1624" s="19" t="n">
        <f aca="false">den_26</f>
        <v>24</v>
      </c>
      <c r="E1624" s="19" t="n">
        <f aca="false">den_27</f>
        <v>26</v>
      </c>
      <c r="F1624" s="19" t="n">
        <f aca="false">den_28</f>
        <v>28</v>
      </c>
      <c r="G1624" s="19" t="n">
        <f aca="false">den_29</f>
        <v>30</v>
      </c>
      <c r="H1624" s="19" t="n">
        <f aca="false">den_30</f>
        <v>32</v>
      </c>
      <c r="I1624" s="19" t="n">
        <f aca="false">den_30</f>
        <v>32</v>
      </c>
    </row>
    <row r="1625" customFormat="false" ht="15" hidden="false" customHeight="false" outlineLevel="0" collapsed="false">
      <c r="A1625" s="5" t="s">
        <v>544</v>
      </c>
      <c r="B1625" s="5" t="s">
        <v>152</v>
      </c>
      <c r="C1625" s="19" t="n">
        <f aca="false">stk_25</f>
        <v>10</v>
      </c>
      <c r="D1625" s="19" t="n">
        <f aca="false">stk_26</f>
        <v>12</v>
      </c>
      <c r="E1625" s="19" t="n">
        <f aca="false">stk_27</f>
        <v>12.5</v>
      </c>
      <c r="F1625" s="19" t="n">
        <f aca="false">stk_28</f>
        <v>14</v>
      </c>
      <c r="G1625" s="19" t="n">
        <f aca="false">stk_29</f>
        <v>15</v>
      </c>
      <c r="H1625" s="19" t="n">
        <f aca="false">stk_30</f>
        <v>16</v>
      </c>
      <c r="I1625" s="19" t="n">
        <f aca="false">stk_30</f>
        <v>16</v>
      </c>
    </row>
    <row r="1626" customFormat="false" ht="15" hidden="false" customHeight="false" outlineLevel="0" collapsed="false">
      <c r="A1626" s="0" t="s">
        <v>545</v>
      </c>
      <c r="B1626" s="5" t="s">
        <v>546</v>
      </c>
      <c r="C1626" s="19" t="n">
        <f aca="false">C1623*8/C1624</f>
        <v>0.741704901960783</v>
      </c>
      <c r="D1626" s="19" t="n">
        <f aca="false">D1623*8/D1624</f>
        <v>1.26089833333333</v>
      </c>
      <c r="E1626" s="19" t="n">
        <f aca="false">E1623*8/E1624</f>
        <v>1.80405453846154</v>
      </c>
      <c r="F1626" s="19" t="n">
        <f aca="false">F1623*8/F1624</f>
        <v>2.429030575</v>
      </c>
      <c r="G1626" s="19" t="n">
        <f aca="false">G1623*8/G1624</f>
        <v>3.0605785245</v>
      </c>
      <c r="H1626" s="19" t="n">
        <f aca="false">H1623*8/H1624</f>
        <v>3.15622160339063</v>
      </c>
      <c r="I1626" s="19" t="n">
        <f aca="false">I1623*8/I1624</f>
        <v>3.47184376372969</v>
      </c>
      <c r="J1626" s="8" t="s">
        <v>547</v>
      </c>
    </row>
    <row r="1627" customFormat="false" ht="15" hidden="false" customHeight="false" outlineLevel="0" collapsed="false">
      <c r="A1627" s="0" t="s">
        <v>548</v>
      </c>
      <c r="B1627" s="5" t="s">
        <v>549</v>
      </c>
      <c r="C1627" s="19" t="n">
        <f aca="false">C1626*(1+s_stk/C1625)</f>
        <v>0.964216372549018</v>
      </c>
      <c r="D1627" s="19" t="n">
        <f aca="false">D1626*(1+s_stk/D1625)</f>
        <v>1.57612291666667</v>
      </c>
      <c r="E1627" s="19" t="n">
        <f aca="false">E1626*(1+s_stk/E1625)</f>
        <v>2.23702762769231</v>
      </c>
      <c r="F1627" s="19" t="n">
        <f aca="false">F1626*(1+s_stk/F1625)</f>
        <v>2.94953712678571</v>
      </c>
      <c r="G1627" s="19" t="n">
        <f aca="false">G1626*(1+s_stk/G1625)</f>
        <v>3.6726942294</v>
      </c>
      <c r="H1627" s="19" t="n">
        <f aca="false">H1626*(1+s_stk/H1625)</f>
        <v>3.74801315402637</v>
      </c>
      <c r="I1627" s="19" t="n">
        <f aca="false">I1626*(1+s_stk/I1625)</f>
        <v>4.12281446942901</v>
      </c>
      <c r="J1627" s="5" t="s">
        <v>550</v>
      </c>
    </row>
    <row r="1628" customFormat="false" ht="15" hidden="false" customHeight="false" outlineLevel="0" collapsed="false">
      <c r="A1628" s="5" t="s">
        <v>551</v>
      </c>
      <c r="B1628" s="0" t="s">
        <v>60</v>
      </c>
      <c r="C1628" s="22" t="n">
        <f aca="false">hbp_25*hb_on</f>
        <v>0</v>
      </c>
      <c r="D1628" s="22" t="n">
        <f aca="false">hbp_26*hb_on</f>
        <v>0</v>
      </c>
      <c r="E1628" s="22" t="n">
        <f aca="false">hbp_27*hb_on</f>
        <v>0</v>
      </c>
      <c r="F1628" s="22" t="n">
        <f aca="false">hbp_28*hb_on</f>
        <v>0.05</v>
      </c>
      <c r="G1628" s="22" t="n">
        <f aca="false">hbp_29*hb_on</f>
        <v>0.15</v>
      </c>
      <c r="H1628" s="22" t="n">
        <f aca="false">hbp_30*hb_on</f>
        <v>0.25</v>
      </c>
      <c r="I1628" s="22" t="n">
        <f aca="false">hbp_30*hb_on</f>
        <v>0.25</v>
      </c>
    </row>
    <row r="1629" customFormat="false" ht="15" hidden="false" customHeight="false" outlineLevel="0" collapsed="false">
      <c r="A1629" s="0" t="s">
        <v>552</v>
      </c>
      <c r="B1629" s="5" t="s">
        <v>549</v>
      </c>
      <c r="C1629" s="19" t="n">
        <f aca="false">C1627*(1+C1628*hb_eff)</f>
        <v>0.964216372549018</v>
      </c>
      <c r="D1629" s="19" t="n">
        <f aca="false">D1627*(1+D1628*hb_eff)</f>
        <v>1.57612291666667</v>
      </c>
      <c r="E1629" s="19" t="n">
        <f aca="false">E1627*(1+E1628*hb_eff)</f>
        <v>2.23702762769231</v>
      </c>
      <c r="F1629" s="19" t="n">
        <f aca="false">F1627*(1+F1628*hb_eff)</f>
        <v>2.96428481241964</v>
      </c>
      <c r="G1629" s="19" t="n">
        <f aca="false">G1627*(1+G1628*hb_eff)</f>
        <v>3.727784642841</v>
      </c>
      <c r="H1629" s="19" t="n">
        <f aca="false">H1627*(1+H1628*hb_eff)</f>
        <v>3.84171348287703</v>
      </c>
      <c r="I1629" s="19" t="n">
        <f aca="false">I1627*(1+I1628*hb_eff)</f>
        <v>4.22588483116473</v>
      </c>
      <c r="J1629" s="5" t="s">
        <v>553</v>
      </c>
    </row>
    <row r="1630" customFormat="false" ht="15" hidden="false" customHeight="false" outlineLevel="0" collapsed="false">
      <c r="A1630" s="0" t="s">
        <v>554</v>
      </c>
      <c r="B1630" s="5" t="s">
        <v>549</v>
      </c>
      <c r="C1630" s="19" t="n">
        <f aca="false">MAX(0,D1629-C1629)+dlt*C1629</f>
        <v>0.70832818137255</v>
      </c>
      <c r="D1630" s="19" t="n">
        <f aca="false">MAX(0,E1629-D1629)+dlt*D1629</f>
        <v>0.818517002692307</v>
      </c>
      <c r="E1630" s="19" t="n">
        <f aca="false">MAX(0,F1629-E1629)+dlt*E1629</f>
        <v>0.950959947496565</v>
      </c>
      <c r="F1630" s="19" t="n">
        <f aca="false">MAX(0,G1629-F1629)+dlt*F1629</f>
        <v>1.05992831166332</v>
      </c>
      <c r="G1630" s="19" t="n">
        <f aca="false">MAX(0,H1629-G1629)+dlt*G1629</f>
        <v>0.486707304320127</v>
      </c>
      <c r="H1630" s="19" t="n">
        <f aca="false">MAX(0,I1629-H1629)+dlt*H1629</f>
        <v>0.768342696575406</v>
      </c>
      <c r="J1630" s="5" t="s">
        <v>555</v>
      </c>
    </row>
    <row r="1631" customFormat="false" ht="15" hidden="false" customHeight="false" outlineLevel="0" collapsed="false">
      <c r="A1631" s="0" t="s">
        <v>556</v>
      </c>
      <c r="B1631" s="5" t="s">
        <v>181</v>
      </c>
      <c r="C1631" s="21" t="n">
        <f aca="false">cw_25</f>
        <v>670</v>
      </c>
      <c r="D1631" s="21" t="n">
        <f aca="false">cw_26</f>
        <v>1107.85762580894</v>
      </c>
      <c r="E1631" s="21" t="n">
        <f aca="false">cw_27</f>
        <v>2096.42857142857</v>
      </c>
      <c r="F1631" s="21" t="n">
        <f aca="false">cw_28*um28_A</f>
        <v>2620.08928571429</v>
      </c>
      <c r="G1631" s="21" t="n">
        <f aca="false">cw_29*um29_A</f>
        <v>3013.32589285714</v>
      </c>
      <c r="H1631" s="21" t="n">
        <f aca="false">G1631*(1+g_tail)</f>
        <v>3314.65848214285</v>
      </c>
      <c r="I1631" s="21" t="n">
        <f aca="false">H1631*(1+g_tail)</f>
        <v>3646.12433035714</v>
      </c>
      <c r="J1631" s="5" t="s">
        <v>557</v>
      </c>
    </row>
    <row r="1632" customFormat="false" ht="15" hidden="false" customHeight="false" outlineLevel="0" collapsed="false">
      <c r="A1632" s="5" t="s">
        <v>558</v>
      </c>
      <c r="B1632" s="5" t="s">
        <v>181</v>
      </c>
      <c r="C1632" s="21" t="n">
        <f aca="false">MAX(0,D1631-C1631)+dlt*C1631</f>
        <v>504.85762580894</v>
      </c>
      <c r="D1632" s="21" t="n">
        <f aca="false">MAX(0,E1631-D1631)+dlt*D1631</f>
        <v>1099.35670820052</v>
      </c>
      <c r="E1632" s="21" t="n">
        <f aca="false">MAX(0,F1631-E1631)+dlt*E1631</f>
        <v>733.303571428577</v>
      </c>
      <c r="F1632" s="21" t="n">
        <f aca="false">MAX(0,G1631-F1631)+dlt*F1631</f>
        <v>655.245535714279</v>
      </c>
      <c r="G1632" s="21" t="n">
        <f aca="false">MAX(0,H1631-G1631)+dlt*G1631</f>
        <v>602.665178571428</v>
      </c>
      <c r="H1632" s="21" t="n">
        <f aca="false">MAX(0,I1631-H1631)+dlt*H1631</f>
        <v>662.931696428571</v>
      </c>
    </row>
    <row r="1633" customFormat="false" ht="15" hidden="false" customHeight="false" outlineLevel="0" collapsed="false">
      <c r="A1633" s="1" t="s">
        <v>559</v>
      </c>
    </row>
    <row r="1634" customFormat="false" ht="15" hidden="false" customHeight="false" outlineLevel="0" collapsed="false">
      <c r="A1634" s="0" t="s">
        <v>560</v>
      </c>
      <c r="B1634" s="0" t="s">
        <v>561</v>
      </c>
      <c r="C1634" s="16" t="n">
        <f aca="false">ai_25*w_hbm/(0.75*C1630+0.25*D1630)</f>
        <v>48.9213264236471</v>
      </c>
      <c r="J1634" s="5" t="s">
        <v>562</v>
      </c>
    </row>
    <row r="1635" customFormat="false" ht="15" hidden="false" customHeight="false" outlineLevel="0" collapsed="false">
      <c r="A1635" s="5" t="s">
        <v>563</v>
      </c>
      <c r="B1635" s="0" t="s">
        <v>564</v>
      </c>
      <c r="C1635" s="18" t="n">
        <f aca="false">ai_25*(1-w_hbm)/(0.75*C1632+0.25*D1632)</f>
        <v>0.0596802610360141</v>
      </c>
    </row>
    <row r="1636" customFormat="false" ht="15" hidden="false" customHeight="false" outlineLevel="0" collapsed="false">
      <c r="A1636" s="1" t="s">
        <v>565</v>
      </c>
    </row>
    <row r="1637" customFormat="false" ht="15" hidden="false" customHeight="false" outlineLevel="0" collapsed="false">
      <c r="A1637" s="5" t="s">
        <v>566</v>
      </c>
      <c r="B1637" s="0" t="s">
        <v>80</v>
      </c>
      <c r="C1637" s="16" t="n">
        <f aca="false">1-sh_loss/sh*0</f>
        <v>1</v>
      </c>
      <c r="D1637" s="16" t="n">
        <f aca="false">1-sh_loss/sh*0.25</f>
        <v>1</v>
      </c>
      <c r="E1637" s="16" t="n">
        <f aca="false">1-sh_loss/sh*0.5</f>
        <v>1</v>
      </c>
      <c r="F1637" s="16" t="n">
        <f aca="false">1-sh_loss/sh*0.75</f>
        <v>1</v>
      </c>
      <c r="G1637" s="16" t="n">
        <f aca="false">1-sh_loss/sh*1</f>
        <v>1</v>
      </c>
    </row>
    <row r="1638" customFormat="false" ht="15" hidden="false" customHeight="false" outlineLevel="0" collapsed="false">
      <c r="A1638" s="0" t="s">
        <v>567</v>
      </c>
      <c r="B1638" s="0" t="s">
        <v>33</v>
      </c>
      <c r="C1638" s="11" t="n">
        <f aca="false">$C$1634*(0.75*C1630+0.25*D1630)*C1637</f>
        <v>36</v>
      </c>
      <c r="D1638" s="11" t="n">
        <f aca="false">$C$1634*(0.75*D1630+0.25*E1630)*D1637</f>
        <v>41.6627586058351</v>
      </c>
      <c r="E1638" s="11" t="n">
        <f aca="false">$C$1634*(0.75*E1630+0.25*F1630)*E1637</f>
        <v>47.8549412356069</v>
      </c>
      <c r="F1638" s="11" t="n">
        <f aca="false">$C$1634*(0.75*F1630+0.25*G1630)*F1637</f>
        <v>44.8424159172644</v>
      </c>
      <c r="G1638" s="11" t="n">
        <f aca="false">$C$1634*(0.75*G1630+0.25*H1630)*G1637</f>
        <v>27.2548611466613</v>
      </c>
    </row>
    <row r="1639" customFormat="false" ht="15" hidden="false" customHeight="false" outlineLevel="0" collapsed="false">
      <c r="A1639" s="5" t="s">
        <v>568</v>
      </c>
      <c r="B1639" s="0" t="s">
        <v>33</v>
      </c>
      <c r="C1639" s="11" t="n">
        <f aca="false">$C$1635*(0.75*C1632+0.25*D1632)*C1637</f>
        <v>39</v>
      </c>
      <c r="D1639" s="11" t="n">
        <f aca="false">$C$1635*(0.75*D1632+0.25*E1632)*D1637</f>
        <v>60.1483586282001</v>
      </c>
      <c r="E1639" s="11" t="n">
        <f aca="false">$C$1635*(0.75*E1632+0.25*F1632)*E1637</f>
        <v>42.5991175746519</v>
      </c>
      <c r="F1639" s="11" t="n">
        <f aca="false">$C$1635*(0.75*F1632+0.25*G1632)*F1637</f>
        <v>38.320722254198</v>
      </c>
      <c r="G1639" s="11" t="n">
        <f aca="false">$C$1635*(0.75*G1632+0.25*H1632)*G1637</f>
        <v>36.8663955538204</v>
      </c>
    </row>
    <row r="1640" customFormat="false" ht="15" hidden="false" customHeight="false" outlineLevel="0" collapsed="false">
      <c r="A1640" s="0" t="s">
        <v>569</v>
      </c>
      <c r="B1640" s="0" t="s">
        <v>33</v>
      </c>
      <c r="C1640" s="11" t="n">
        <f aca="false">C1638+C1639</f>
        <v>75</v>
      </c>
      <c r="D1640" s="11" t="n">
        <f aca="false">D1638+D1639</f>
        <v>101.811117234035</v>
      </c>
      <c r="E1640" s="11" t="n">
        <f aca="false">E1638+E1639</f>
        <v>90.4540588102588</v>
      </c>
      <c r="F1640" s="11" t="n">
        <f aca="false">F1638+F1639</f>
        <v>83.1631381714624</v>
      </c>
      <c r="G1640" s="11" t="n">
        <f aca="false">G1638+G1639</f>
        <v>64.1212567004817</v>
      </c>
    </row>
    <row r="1641" customFormat="false" ht="15" hidden="false" customHeight="false" outlineLevel="0" collapsed="false">
      <c r="A1641" s="5" t="s">
        <v>570</v>
      </c>
      <c r="B1641" s="0" t="s">
        <v>33</v>
      </c>
      <c r="C1641" s="11" t="n">
        <f aca="false">eq_25-ai_25</f>
        <v>195.87118</v>
      </c>
      <c r="D1641" s="11" t="n">
        <f aca="false">C1641*(1+g_non)*D1637/C1637</f>
        <v>207.6234508</v>
      </c>
      <c r="E1641" s="11" t="n">
        <f aca="false">D1641*(1+g_non)*E1637/D1637</f>
        <v>220.080857848</v>
      </c>
      <c r="F1641" s="11" t="n">
        <f aca="false">E1641*(1+g_non)*F1637/E1637</f>
        <v>233.28570931888</v>
      </c>
      <c r="G1641" s="11" t="n">
        <f aca="false">F1641*(1+g_non)*G1637/F1637</f>
        <v>247.282851878013</v>
      </c>
    </row>
    <row r="1642" customFormat="false" ht="15" hidden="false" customHeight="false" outlineLevel="0" collapsed="false">
      <c r="A1642" s="0" t="s">
        <v>571</v>
      </c>
      <c r="B1642" s="0" t="s">
        <v>80</v>
      </c>
      <c r="C1642" s="19" t="n">
        <f aca="false">w_hbm*(0.75*C1629+0.25*D1629)/(0.75*C1629+0.25*D1629)+(1-w_hbm)*(0.75*C1631+0.25*D1631)/(0.75*C1631+0.25*D1631)</f>
        <v>1</v>
      </c>
      <c r="D1642" s="19" t="n">
        <f aca="false">w_hbm*(0.75*D1629+0.25*E1629)/(0.75*C1629+0.25*D1629)+(1-w_hbm)*(0.75*D1631+0.25*E1631)/(0.75*C1631+0.25*D1631)</f>
        <v>1.65212184085657</v>
      </c>
      <c r="E1642" s="19" t="n">
        <f aca="false">w_hbm*(0.75*E1629+0.25*F1629)/(0.75*C1629+0.25*D1629)+(1-w_hbm)*(0.75*E1631+0.25*F1631)/(0.75*C1631+0.25*D1631)</f>
        <v>2.52516730417954</v>
      </c>
      <c r="F1642" s="19" t="n">
        <f aca="false">w_hbm*(0.75*F1629+0.25*G1629)/(0.75*C1629+0.25*D1629)+(1-w_hbm)*(0.75*F1631+0.25*G1631)/(0.75*C1631+0.25*D1631)</f>
        <v>3.16911970169284</v>
      </c>
      <c r="G1642" s="19" t="n">
        <f aca="false">w_hbm*(0.75*G1629+0.25*H1629)/(0.75*C1629+0.25*D1629)+(1-w_hbm)*(0.75*G1631+0.25*H1631)/(0.75*C1631+0.25*D1631)</f>
        <v>3.67439430985121</v>
      </c>
      <c r="J1642" s="8" t="s">
        <v>572</v>
      </c>
    </row>
    <row r="1643" customFormat="false" ht="15" hidden="false" customHeight="false" outlineLevel="0" collapsed="false">
      <c r="A1643" s="0" t="s">
        <v>573</v>
      </c>
      <c r="B1643" s="0" t="s">
        <v>33</v>
      </c>
      <c r="C1643" s="11" t="n">
        <f aca="false">tl_25*w_tlai*C1642</f>
        <v>25.4032258064516</v>
      </c>
      <c r="D1643" s="11" t="n">
        <f aca="false">tl_25*w_tlai*D1642</f>
        <v>41.9692241830499</v>
      </c>
      <c r="E1643" s="11" t="n">
        <f aca="false">tl_25*w_tlai*E1642</f>
        <v>64.1473952271414</v>
      </c>
      <c r="F1643" s="11" t="n">
        <f aca="false">tl_25*w_tlai*F1642</f>
        <v>80.5058633897778</v>
      </c>
      <c r="G1643" s="11" t="n">
        <f aca="false">tl_25*w_tlai*G1642</f>
        <v>93.3414683550913</v>
      </c>
      <c r="J1643" s="5" t="s">
        <v>574</v>
      </c>
    </row>
    <row r="1644" customFormat="false" ht="15" hidden="false" customHeight="false" outlineLevel="0" collapsed="false">
      <c r="A1644" s="5" t="s">
        <v>575</v>
      </c>
      <c r="B1644" s="0" t="s">
        <v>33</v>
      </c>
      <c r="C1644" s="11" t="n">
        <f aca="false">tl_25*(1-w_tlai)</f>
        <v>66.3434641935484</v>
      </c>
      <c r="D1644" s="11" t="n">
        <f aca="false">C1644*(1+g_tl_hi)</f>
        <v>72.9778106129032</v>
      </c>
      <c r="E1644" s="11" t="n">
        <f aca="false">D1644*(1+g_tl_hi)</f>
        <v>80.2755916741936</v>
      </c>
      <c r="F1644" s="11" t="n">
        <f aca="false">E1644*(1+g_tl_hi)</f>
        <v>88.3031508416129</v>
      </c>
      <c r="G1644" s="11" t="n">
        <f aca="false">F1644*(1+g_tl_hi)</f>
        <v>97.1334659257742</v>
      </c>
    </row>
    <row r="1645" customFormat="false" ht="15" hidden="false" customHeight="false" outlineLevel="0" collapsed="false">
      <c r="A1645" s="5" t="s">
        <v>576</v>
      </c>
      <c r="B1645" s="0" t="s">
        <v>33</v>
      </c>
      <c r="C1645" s="11" t="n">
        <f aca="false">(C1640+C1641+C1643+C1644)*(1+r_ot)</f>
        <v>436.889</v>
      </c>
      <c r="D1645" s="11" t="n">
        <f aca="false">(D1640+D1641+D1643+D1644)*(1+r_ot)</f>
        <v>511.303135939745</v>
      </c>
      <c r="E1645" s="11" t="n">
        <f aca="false">(E1640+E1641+E1643+E1644)*(1+r_ot)</f>
        <v>548.142052481438</v>
      </c>
      <c r="F1645" s="11" t="n">
        <f aca="false">(F1640+F1641+F1643+F1644)*(1+r_ot)</f>
        <v>584.648026170763</v>
      </c>
      <c r="G1645" s="11" t="n">
        <f aca="false">(G1640+G1641+G1643+G1644)*(1+r_ot)</f>
        <v>604.673545613687</v>
      </c>
      <c r="J1645" s="8" t="s">
        <v>577</v>
      </c>
    </row>
    <row r="1646" customFormat="false" ht="15" hidden="false" customHeight="false" outlineLevel="0" collapsed="false">
      <c r="A1646" s="1" t="s">
        <v>578</v>
      </c>
    </row>
    <row r="1647" customFormat="false" ht="15" hidden="false" customHeight="false" outlineLevel="0" collapsed="false">
      <c r="A1647" s="5" t="s">
        <v>579</v>
      </c>
      <c r="B1647" s="0" t="s">
        <v>33</v>
      </c>
      <c r="D1647" s="11" t="n">
        <f aca="false">g3_rev*(1+g_q4)</f>
        <v>145.6862</v>
      </c>
    </row>
    <row r="1648" customFormat="false" ht="15" hidden="false" customHeight="false" outlineLevel="0" collapsed="false">
      <c r="A1648" s="0" t="s">
        <v>580</v>
      </c>
      <c r="B1648" s="0" t="s">
        <v>33</v>
      </c>
      <c r="D1648" s="11" t="n">
        <f aca="false">q26h1_rev+g3_rev+D1647</f>
        <v>535.1862</v>
      </c>
    </row>
    <row r="1649" customFormat="false" ht="15" hidden="false" customHeight="false" outlineLevel="0" collapsed="false">
      <c r="A1649" s="0" t="s">
        <v>581</v>
      </c>
      <c r="B1649" s="0" t="s">
        <v>33</v>
      </c>
      <c r="D1649" s="11" t="n">
        <f aca="false">q26h1_gp+(g3_rev+D1647)*gm_q3</f>
        <v>378.0504836</v>
      </c>
    </row>
    <row r="1650" customFormat="false" ht="15" hidden="false" customHeight="false" outlineLevel="0" collapsed="false">
      <c r="A1650" s="0" t="s">
        <v>582</v>
      </c>
      <c r="B1650" s="0" t="s">
        <v>33</v>
      </c>
      <c r="D1650" s="11" t="n">
        <f aca="false">q26h1_oi+g3_oi+D1647*m_q4</f>
        <v>238.5671</v>
      </c>
    </row>
    <row r="1651" customFormat="false" ht="15" hidden="false" customHeight="false" outlineLevel="0" collapsed="false">
      <c r="A1651" s="0" t="s">
        <v>583</v>
      </c>
      <c r="B1651" s="0" t="s">
        <v>33</v>
      </c>
      <c r="D1651" s="11" t="n">
        <f aca="false">q26h1_ni+g3_ni+D1647*m_q4*nioi</f>
        <v>167.95938138934</v>
      </c>
    </row>
    <row r="1652" customFormat="false" ht="15" hidden="false" customHeight="false" outlineLevel="0" collapsed="false">
      <c r="A1652" s="5" t="s">
        <v>584</v>
      </c>
      <c r="B1652" s="0" t="s">
        <v>80</v>
      </c>
      <c r="D1652" s="16" t="n">
        <f aca="false">D1648/D1645</f>
        <v>1.04671018497933</v>
      </c>
      <c r="J1652" s="8" t="s">
        <v>585</v>
      </c>
    </row>
    <row r="1653" customFormat="false" ht="15" hidden="false" customHeight="false" outlineLevel="0" collapsed="false">
      <c r="A1653" s="5" t="s">
        <v>586</v>
      </c>
      <c r="B1653" s="0" t="s">
        <v>80</v>
      </c>
      <c r="D1653" s="16" t="n">
        <f aca="false">1+anc_carry*(D1652-1)</f>
        <v>1.04671018497933</v>
      </c>
      <c r="J1653" s="8" t="s">
        <v>587</v>
      </c>
    </row>
    <row r="1654" customFormat="false" ht="15" hidden="false" customHeight="false" outlineLevel="0" collapsed="false">
      <c r="A1654" s="1" t="s">
        <v>588</v>
      </c>
    </row>
    <row r="1655" customFormat="false" ht="15" hidden="false" customHeight="false" outlineLevel="0" collapsed="false">
      <c r="A1655" s="0" t="s">
        <v>589</v>
      </c>
      <c r="B1655" s="0" t="s">
        <v>33</v>
      </c>
      <c r="C1655" s="11" t="n">
        <f aca="false">C1638*1</f>
        <v>36</v>
      </c>
      <c r="D1655" s="11" t="n">
        <f aca="false">D1638*$D$1652</f>
        <v>43.6088337670627</v>
      </c>
      <c r="E1655" s="11" t="n">
        <f aca="false">E1638*1</f>
        <v>47.8549412356069</v>
      </c>
      <c r="F1655" s="11" t="n">
        <f aca="false">F1638*1</f>
        <v>44.8424159172644</v>
      </c>
      <c r="G1655" s="11" t="n">
        <f aca="false">G1638*1</f>
        <v>27.2548611466613</v>
      </c>
    </row>
    <row r="1656" customFormat="false" ht="15" hidden="false" customHeight="false" outlineLevel="0" collapsed="false">
      <c r="A1656" s="5" t="s">
        <v>590</v>
      </c>
      <c r="B1656" s="0" t="s">
        <v>33</v>
      </c>
      <c r="C1656" s="11" t="n">
        <f aca="false">C1639*1</f>
        <v>39</v>
      </c>
      <c r="D1656" s="11" t="n">
        <f aca="false">D1639*$D$1652</f>
        <v>62.9578995859261</v>
      </c>
      <c r="E1656" s="11" t="n">
        <f aca="false">E1639*1</f>
        <v>42.5991175746519</v>
      </c>
      <c r="F1656" s="11" t="n">
        <f aca="false">F1639*1</f>
        <v>38.320722254198</v>
      </c>
      <c r="G1656" s="11" t="n">
        <f aca="false">G1639*1</f>
        <v>36.8663955538204</v>
      </c>
    </row>
    <row r="1657" customFormat="false" ht="15" hidden="false" customHeight="false" outlineLevel="0" collapsed="false">
      <c r="A1657" s="0" t="s">
        <v>591</v>
      </c>
      <c r="B1657" s="0" t="s">
        <v>33</v>
      </c>
      <c r="C1657" s="11" t="n">
        <f aca="false">C1655+C1656</f>
        <v>75</v>
      </c>
      <c r="D1657" s="11" t="n">
        <f aca="false">D1655+D1656</f>
        <v>106.566733352989</v>
      </c>
      <c r="E1657" s="11" t="n">
        <f aca="false">E1655+E1656</f>
        <v>90.4540588102588</v>
      </c>
      <c r="F1657" s="11" t="n">
        <f aca="false">F1655+F1656</f>
        <v>83.1631381714624</v>
      </c>
      <c r="G1657" s="11" t="n">
        <f aca="false">G1655+G1656</f>
        <v>64.1212567004817</v>
      </c>
    </row>
    <row r="1658" customFormat="false" ht="15" hidden="false" customHeight="false" outlineLevel="0" collapsed="false">
      <c r="A1658" s="5" t="s">
        <v>592</v>
      </c>
      <c r="B1658" s="0" t="s">
        <v>33</v>
      </c>
      <c r="C1658" s="11" t="n">
        <f aca="false">C1641*1</f>
        <v>195.87118</v>
      </c>
      <c r="D1658" s="11" t="n">
        <f aca="false">D1641*$D$1652</f>
        <v>217.321580592914</v>
      </c>
      <c r="E1658" s="11" t="n">
        <f aca="false">E1641*$D$1653</f>
        <v>230.360875428489</v>
      </c>
      <c r="F1658" s="11" t="n">
        <f aca="false">F1641*$D$1653</f>
        <v>244.182527954198</v>
      </c>
      <c r="G1658" s="11" t="n">
        <f aca="false">G1641*$D$1653</f>
        <v>258.83347963145</v>
      </c>
    </row>
    <row r="1659" customFormat="false" ht="15" hidden="false" customHeight="false" outlineLevel="0" collapsed="false">
      <c r="A1659" s="5" t="s">
        <v>593</v>
      </c>
      <c r="B1659" s="0" t="s">
        <v>33</v>
      </c>
      <c r="C1659" s="11" t="n">
        <f aca="false">C1657+C1658</f>
        <v>270.87118</v>
      </c>
      <c r="D1659" s="11" t="n">
        <f aca="false">D1657+D1658</f>
        <v>323.888313945903</v>
      </c>
      <c r="E1659" s="11" t="n">
        <f aca="false">E1657+E1658</f>
        <v>320.814934238748</v>
      </c>
      <c r="F1659" s="11" t="n">
        <f aca="false">F1657+F1658</f>
        <v>327.345666125661</v>
      </c>
      <c r="G1659" s="11" t="n">
        <f aca="false">G1657+G1658</f>
        <v>322.954736331932</v>
      </c>
    </row>
    <row r="1660" customFormat="false" ht="15" hidden="false" customHeight="false" outlineLevel="0" collapsed="false">
      <c r="A1660" s="0" t="s">
        <v>594</v>
      </c>
      <c r="B1660" s="0" t="s">
        <v>33</v>
      </c>
      <c r="C1660" s="11" t="n">
        <f aca="false">C1643*1</f>
        <v>25.4032258064516</v>
      </c>
      <c r="D1660" s="11" t="n">
        <f aca="false">D1643*$D$1652</f>
        <v>43.929614408079</v>
      </c>
      <c r="E1660" s="11" t="n">
        <f aca="false">E1643*1</f>
        <v>64.1473952271414</v>
      </c>
      <c r="F1660" s="11" t="n">
        <f aca="false">F1643*1</f>
        <v>80.5058633897778</v>
      </c>
      <c r="G1660" s="11" t="n">
        <f aca="false">G1643*1</f>
        <v>93.3414683550913</v>
      </c>
    </row>
    <row r="1661" customFormat="false" ht="15" hidden="false" customHeight="false" outlineLevel="0" collapsed="false">
      <c r="A1661" s="5" t="s">
        <v>595</v>
      </c>
      <c r="B1661" s="0" t="s">
        <v>33</v>
      </c>
      <c r="C1661" s="11" t="n">
        <f aca="false">C1644*1</f>
        <v>66.3434641935484</v>
      </c>
      <c r="D1661" s="11" t="n">
        <f aca="false">D1644*$D$1652</f>
        <v>76.3866176460182</v>
      </c>
      <c r="E1661" s="11" t="n">
        <f aca="false">E1644*$D$1653</f>
        <v>84.02527941062</v>
      </c>
      <c r="F1661" s="11" t="n">
        <f aca="false">F1644*$D$1653</f>
        <v>92.427807351682</v>
      </c>
      <c r="G1661" s="11" t="n">
        <f aca="false">G1644*$D$1653</f>
        <v>101.67058808685</v>
      </c>
    </row>
    <row r="1662" customFormat="false" ht="15" hidden="false" customHeight="false" outlineLevel="0" collapsed="false">
      <c r="A1662" s="5" t="s">
        <v>596</v>
      </c>
      <c r="B1662" s="0" t="s">
        <v>33</v>
      </c>
      <c r="C1662" s="11" t="n">
        <f aca="false">C1660+C1661</f>
        <v>91.74669</v>
      </c>
      <c r="D1662" s="11" t="n">
        <f aca="false">D1660+D1661</f>
        <v>120.316232054097</v>
      </c>
      <c r="E1662" s="11" t="n">
        <f aca="false">E1660+E1661</f>
        <v>148.172674637761</v>
      </c>
      <c r="F1662" s="11" t="n">
        <f aca="false">F1660+F1661</f>
        <v>172.93367074146</v>
      </c>
      <c r="G1662" s="11" t="n">
        <f aca="false">G1660+G1661</f>
        <v>195.012056441941</v>
      </c>
    </row>
    <row r="1663" customFormat="false" ht="15" hidden="false" customHeight="false" outlineLevel="0" collapsed="false">
      <c r="A1663" s="5" t="s">
        <v>458</v>
      </c>
      <c r="B1663" s="0" t="s">
        <v>33</v>
      </c>
      <c r="C1663" s="11" t="n">
        <f aca="false">r_ot*(C1659+C1662)</f>
        <v>74.27113</v>
      </c>
      <c r="D1663" s="11" t="n">
        <f aca="false">r_ot*(D1659+D1662)</f>
        <v>90.981654</v>
      </c>
      <c r="E1663" s="11" t="n">
        <f aca="false">r_ot*(E1659+E1662)</f>
        <v>96.0577030228995</v>
      </c>
      <c r="F1663" s="11" t="n">
        <f aca="false">r_ot*(F1659+F1662)</f>
        <v>102.46685212941</v>
      </c>
      <c r="G1663" s="11" t="n">
        <f aca="false">r_ot*(G1659+G1662)</f>
        <v>106.089584062119</v>
      </c>
    </row>
    <row r="1664" customFormat="false" ht="15" hidden="false" customHeight="false" outlineLevel="0" collapsed="false">
      <c r="A1664" s="5" t="s">
        <v>428</v>
      </c>
      <c r="B1664" s="0" t="s">
        <v>33</v>
      </c>
      <c r="C1664" s="11" t="n">
        <f aca="false">C1659+C1662+C1663</f>
        <v>436.889</v>
      </c>
      <c r="D1664" s="11" t="n">
        <f aca="false">D1659+D1662+D1663</f>
        <v>535.1862</v>
      </c>
      <c r="E1664" s="11" t="n">
        <f aca="false">E1659+E1662+E1663</f>
        <v>565.045311899409</v>
      </c>
      <c r="F1664" s="11" t="n">
        <f aca="false">F1659+F1662+F1663</f>
        <v>602.746188996531</v>
      </c>
      <c r="G1664" s="11" t="n">
        <f aca="false">G1659+G1662+G1663</f>
        <v>624.056376835992</v>
      </c>
      <c r="J1664" s="8" t="s">
        <v>597</v>
      </c>
    </row>
    <row r="1665" customFormat="false" ht="15" hidden="false" customHeight="false" outlineLevel="0" collapsed="false">
      <c r="A1665" s="0" t="s">
        <v>598</v>
      </c>
      <c r="B1665" s="0" t="s">
        <v>60</v>
      </c>
      <c r="C1665" s="14" t="n">
        <f aca="false">(C1657+C1660)*(1+r_ot)/C1664</f>
        <v>0.276884384673187</v>
      </c>
      <c r="D1665" s="14" t="n">
        <f aca="false">(D1657+D1660)*(1+r_ot)/D1664</f>
        <v>0.338799656861386</v>
      </c>
      <c r="E1665" s="14" t="n">
        <f aca="false">(E1657+E1660)*(1+r_ot)/E1664</f>
        <v>0.32964933638174</v>
      </c>
      <c r="F1665" s="14" t="n">
        <f aca="false">(F1657+F1660)*(1+r_ot)/F1664</f>
        <v>0.327155230088411</v>
      </c>
      <c r="G1665" s="14" t="n">
        <f aca="false">(G1657+G1660)*(1+r_ot)/G1664</f>
        <v>0.304001583214073</v>
      </c>
    </row>
    <row r="1666" customFormat="false" ht="15" hidden="false" customHeight="false" outlineLevel="0" collapsed="false">
      <c r="A1666" s="0" t="s">
        <v>599</v>
      </c>
      <c r="B1666" s="0" t="s">
        <v>60</v>
      </c>
      <c r="C1666" s="14" t="n">
        <f aca="false">C1657*(1+r_ot)/C1664</f>
        <v>0.206829299394429</v>
      </c>
      <c r="D1666" s="14" t="n">
        <f aca="false">D1657*(1+r_ot)/D1664</f>
        <v>0.23990464373363</v>
      </c>
      <c r="E1666" s="14" t="n">
        <f aca="false">E1657*(1+r_ot)/E1664</f>
        <v>0.192870892744795</v>
      </c>
      <c r="F1666" s="14" t="n">
        <f aca="false">F1657*(1+r_ot)/F1664</f>
        <v>0.166233406105181</v>
      </c>
      <c r="G1666" s="14" t="n">
        <f aca="false">G1657*(1+r_ot)/G1664</f>
        <v>0.123794145870032</v>
      </c>
      <c r="J1666" s="5" t="s">
        <v>600</v>
      </c>
    </row>
    <row r="1667" customFormat="false" ht="15" hidden="false" customHeight="false" outlineLevel="0" collapsed="false">
      <c r="A1667" s="5" t="s">
        <v>466</v>
      </c>
      <c r="B1667" s="0" t="s">
        <v>60</v>
      </c>
      <c r="C1667" s="14" t="n">
        <f aca="false">a25_gp/a25_rev</f>
        <v>0.701498549974936</v>
      </c>
      <c r="D1667" s="14" t="n">
        <f aca="false">D1649/D1664</f>
        <v>0.70639056761927</v>
      </c>
      <c r="E1667" s="14" t="n">
        <f aca="false">gm_a+gm_b*LN(E1664)+0</f>
        <v>0.731732847531258</v>
      </c>
      <c r="F1667" s="14" t="n">
        <f aca="false">gm_a+gm_b*LN(F1664)+0</f>
        <v>0.739084896766612</v>
      </c>
      <c r="G1667" s="14" t="n">
        <f aca="false">gm_a+gm_b*LN(G1664)+0</f>
        <v>0.743039724781726</v>
      </c>
      <c r="J1667" s="8" t="s">
        <v>601</v>
      </c>
    </row>
    <row r="1668" customFormat="false" ht="15" hidden="false" customHeight="false" outlineLevel="0" collapsed="false">
      <c r="A1668" s="5" t="s">
        <v>463</v>
      </c>
      <c r="B1668" s="0" t="s">
        <v>33</v>
      </c>
      <c r="C1668" s="11" t="n">
        <f aca="false">C1664*C1667</f>
        <v>306.477</v>
      </c>
      <c r="D1668" s="11" t="n">
        <f aca="false">D1664*D1667</f>
        <v>378.0504836</v>
      </c>
      <c r="E1668" s="11" t="n">
        <f aca="false">E1664*E1667</f>
        <v>413.462215060342</v>
      </c>
      <c r="F1668" s="11" t="n">
        <f aca="false">F1664*F1667</f>
        <v>445.48060487097</v>
      </c>
      <c r="G1668" s="11" t="n">
        <f aca="false">G1664*G1667</f>
        <v>463.698678492496</v>
      </c>
    </row>
    <row r="1669" customFormat="false" ht="15" hidden="false" customHeight="false" outlineLevel="0" collapsed="false">
      <c r="A1669" s="5" t="s">
        <v>464</v>
      </c>
      <c r="B1669" s="0" t="s">
        <v>33</v>
      </c>
      <c r="C1669" s="11" t="n">
        <f aca="false">a25_sga</f>
        <v>121.487</v>
      </c>
      <c r="D1669" s="11" t="n">
        <f aca="false">D1668-D1650</f>
        <v>139.4833836</v>
      </c>
      <c r="E1669" s="11" t="n">
        <f aca="false">sg_f+sg_v*E1664</f>
        <v>150.72215183132</v>
      </c>
      <c r="F1669" s="11" t="n">
        <f aca="false">sg_f+sg_v*F1664</f>
        <v>160.236610367874</v>
      </c>
      <c r="G1669" s="11" t="n">
        <f aca="false">sg_f+sg_v*G1664</f>
        <v>165.614599269363</v>
      </c>
      <c r="J1669" s="8" t="s">
        <v>602</v>
      </c>
    </row>
    <row r="1670" customFormat="false" ht="15" hidden="false" customHeight="false" outlineLevel="0" collapsed="false">
      <c r="A1670" s="5" t="s">
        <v>432</v>
      </c>
      <c r="B1670" s="0" t="s">
        <v>33</v>
      </c>
      <c r="C1670" s="11" t="n">
        <f aca="false">C1668-C1669</f>
        <v>184.99</v>
      </c>
      <c r="D1670" s="11" t="n">
        <f aca="false">D1668-D1669</f>
        <v>238.5671</v>
      </c>
      <c r="E1670" s="11" t="n">
        <f aca="false">E1668-E1669</f>
        <v>262.740063229022</v>
      </c>
      <c r="F1670" s="11" t="n">
        <f aca="false">F1668-F1669</f>
        <v>285.243994503096</v>
      </c>
      <c r="G1670" s="11" t="n">
        <f aca="false">G1668-G1669</f>
        <v>298.084079223133</v>
      </c>
    </row>
    <row r="1671" customFormat="false" ht="15" hidden="false" customHeight="false" outlineLevel="0" collapsed="false">
      <c r="A1671" s="5" t="s">
        <v>603</v>
      </c>
      <c r="B1671" s="0" t="s">
        <v>60</v>
      </c>
      <c r="C1671" s="14" t="n">
        <f aca="false">C1670/C1664</f>
        <v>0.423425629851061</v>
      </c>
      <c r="D1671" s="14" t="n">
        <f aca="false">D1670/D1664</f>
        <v>0.445764670314743</v>
      </c>
      <c r="E1671" s="14" t="n">
        <f aca="false">E1670/E1664</f>
        <v>0.464989369340694</v>
      </c>
      <c r="F1671" s="14" t="n">
        <f aca="false">F1670/F1664</f>
        <v>0.473240643757496</v>
      </c>
      <c r="G1671" s="14" t="n">
        <f aca="false">G1670/G1664</f>
        <v>0.477655689914491</v>
      </c>
    </row>
    <row r="1672" customFormat="false" ht="15" hidden="false" customHeight="false" outlineLevel="0" collapsed="false">
      <c r="A1672" s="5" t="s">
        <v>435</v>
      </c>
      <c r="B1672" s="0" t="s">
        <v>33</v>
      </c>
      <c r="C1672" s="11" t="n">
        <f aca="false">a25_ni</f>
        <v>135.521</v>
      </c>
      <c r="D1672" s="11" t="n">
        <f aca="false">D1651</f>
        <v>167.95938138934</v>
      </c>
      <c r="E1672" s="11" t="n">
        <f aca="false">E1670*nioi</f>
        <v>189.481670195215</v>
      </c>
      <c r="F1672" s="11" t="n">
        <f aca="false">F1670*nioi</f>
        <v>205.710951833368</v>
      </c>
      <c r="G1672" s="11" t="n">
        <f aca="false">G1670*nioi</f>
        <v>214.970905067375</v>
      </c>
    </row>
    <row r="1673" customFormat="false" ht="15" hidden="false" customHeight="false" outlineLevel="0" collapsed="false">
      <c r="A1673" s="0" t="s">
        <v>524</v>
      </c>
      <c r="B1673" s="0" t="s">
        <v>55</v>
      </c>
      <c r="C1673" s="11" t="n">
        <f aca="false">a25_eps</f>
        <v>1249.84</v>
      </c>
      <c r="D1673" s="11" t="n">
        <f aca="false">D1672*1000/shares</f>
        <v>1548.28555816522</v>
      </c>
      <c r="E1673" s="11" t="n">
        <f aca="false">E1672*1000/shares</f>
        <v>1746.68262691575</v>
      </c>
      <c r="F1673" s="11" t="n">
        <f aca="false">F1672*1000/shares</f>
        <v>1896.28762171804</v>
      </c>
      <c r="G1673" s="11" t="n">
        <f aca="false">G1672*1000/shares</f>
        <v>1981.64785431061</v>
      </c>
    </row>
    <row r="1674" customFormat="false" ht="15" hidden="false" customHeight="false" outlineLevel="0" collapsed="false">
      <c r="A1674" s="5" t="s">
        <v>604</v>
      </c>
      <c r="B1674" s="0" t="s">
        <v>33</v>
      </c>
      <c r="C1674" s="16" t="n">
        <f aca="false">ABS(C1664-a25_rev)+ABS(C1670-a25_oi)+ABS(D1664-D1648)+ABS(D1670-D1650)</f>
        <v>0.000999999999976353</v>
      </c>
    </row>
    <row r="1675" customFormat="false" ht="15" hidden="false" customHeight="false" outlineLevel="0" collapsed="false">
      <c r="A1675" s="1" t="s">
        <v>605</v>
      </c>
    </row>
    <row r="1676" customFormat="false" ht="15" hidden="false" customHeight="false" outlineLevel="0" collapsed="false">
      <c r="A1676" s="5" t="s">
        <v>606</v>
      </c>
      <c r="B1676" s="0" t="s">
        <v>60</v>
      </c>
      <c r="C1676" s="14" t="n">
        <f aca="false">a25_gp/a25_rev</f>
        <v>0.701498549974936</v>
      </c>
      <c r="D1676" s="14" t="n">
        <f aca="false">gm_a+gm_b*LN(D1645)+0</f>
        <v>0.72035670663284</v>
      </c>
      <c r="E1676" s="14" t="n">
        <f aca="false">gm_a+gm_b*LN(E1645)+0</f>
        <v>0.728275787795094</v>
      </c>
      <c r="F1676" s="14" t="n">
        <f aca="false">gm_a+gm_b*LN(F1645)+0</f>
        <v>0.735614776630315</v>
      </c>
      <c r="G1676" s="14" t="n">
        <f aca="false">gm_a+gm_b*LN(G1645)+0</f>
        <v>0.739448288874969</v>
      </c>
    </row>
    <row r="1677" customFormat="false" ht="15" hidden="false" customHeight="false" outlineLevel="0" collapsed="false">
      <c r="A1677" s="5" t="s">
        <v>607</v>
      </c>
      <c r="B1677" s="0" t="s">
        <v>33</v>
      </c>
      <c r="C1677" s="11" t="n">
        <f aca="false">a25_oi</f>
        <v>184.989</v>
      </c>
      <c r="D1677" s="11" t="n">
        <f aca="false">D1645*D1676-sg_f-sg_v*D1645</f>
        <v>231.161244819131</v>
      </c>
      <c r="E1677" s="11" t="n">
        <f aca="false">E1645*E1676-sg_f-sg_v*E1645</f>
        <v>252.742258709417</v>
      </c>
      <c r="F1677" s="11" t="n">
        <f aca="false">F1645*F1676-sg_f-sg_v*F1645</f>
        <v>274.406496486364</v>
      </c>
      <c r="G1677" s="11" t="n">
        <f aca="false">G1645*G1676-sg_f-sg_v*G1645</f>
        <v>286.401806990972</v>
      </c>
    </row>
    <row r="1678" customFormat="false" ht="15" hidden="false" customHeight="false" outlineLevel="0" collapsed="false">
      <c r="A1678" s="0" t="s">
        <v>608</v>
      </c>
      <c r="B1678" s="0" t="s">
        <v>55</v>
      </c>
      <c r="C1678" s="11" t="n">
        <f aca="false">a25_eps</f>
        <v>1249.84</v>
      </c>
      <c r="D1678" s="11" t="n">
        <f aca="false">D1677*nioi_v01*1000/shares</f>
        <v>1561.0704893856</v>
      </c>
      <c r="E1678" s="11" t="n">
        <f aca="false">E1677*nioi_v01*1000/shares</f>
        <v>1706.81068014078</v>
      </c>
      <c r="F1678" s="11" t="n">
        <f aca="false">F1677*nioi_v01*1000/shares</f>
        <v>1853.11289570069</v>
      </c>
      <c r="G1678" s="11" t="n">
        <f aca="false">G1677*nioi_v01*1000/shares</f>
        <v>1934.11923071334</v>
      </c>
    </row>
    <row r="1690" customFormat="false" ht="15" hidden="false" customHeight="false" outlineLevel="0" collapsed="false">
      <c r="A1690" s="4" t="s">
        <v>844</v>
      </c>
    </row>
    <row r="1691" customFormat="false" ht="15" hidden="false" customHeight="false" outlineLevel="0" collapsed="false">
      <c r="A1691" s="6" t="s">
        <v>22</v>
      </c>
      <c r="B1691" s="6" t="s">
        <v>23</v>
      </c>
      <c r="C1691" s="9" t="s">
        <v>532</v>
      </c>
      <c r="D1691" s="9" t="s">
        <v>533</v>
      </c>
      <c r="E1691" s="9" t="s">
        <v>534</v>
      </c>
      <c r="F1691" s="9" t="s">
        <v>535</v>
      </c>
      <c r="G1691" s="9" t="s">
        <v>536</v>
      </c>
      <c r="H1691" s="9" t="s">
        <v>537</v>
      </c>
      <c r="I1691" s="9" t="s">
        <v>538</v>
      </c>
      <c r="J1691" s="6" t="s">
        <v>515</v>
      </c>
    </row>
    <row r="1692" customFormat="false" ht="15" hidden="false" customHeight="false" outlineLevel="0" collapsed="false">
      <c r="A1692" s="1" t="s">
        <v>539</v>
      </c>
    </row>
    <row r="1693" customFormat="false" ht="15" hidden="false" customHeight="false" outlineLevel="0" collapsed="false">
      <c r="A1693" s="0" t="s">
        <v>540</v>
      </c>
      <c r="B1693" s="0" t="s">
        <v>100</v>
      </c>
      <c r="C1693" s="19" t="n">
        <f aca="false">hsA_25</f>
        <v>2.22511470588235</v>
      </c>
      <c r="D1693" s="19" t="n">
        <f aca="false">hsA_26</f>
        <v>3.782695</v>
      </c>
      <c r="E1693" s="19" t="n">
        <f aca="false">hsA_27</f>
        <v>5.86317725</v>
      </c>
      <c r="F1693" s="19" t="n">
        <f aca="false">hsA_28</f>
        <v>8.5016070125</v>
      </c>
      <c r="G1693" s="19" t="n">
        <f aca="false">hsA_29</f>
        <v>11.477169466875</v>
      </c>
      <c r="H1693" s="19" t="n">
        <f aca="false">G1693*(1+g_tail)</f>
        <v>12.6248864135625</v>
      </c>
      <c r="I1693" s="19" t="n">
        <f aca="false">H1693*(1+g_tail)</f>
        <v>13.8873750549188</v>
      </c>
      <c r="J1693" s="8" t="s">
        <v>541</v>
      </c>
    </row>
    <row r="1694" customFormat="false" ht="15" hidden="false" customHeight="false" outlineLevel="0" collapsed="false">
      <c r="A1694" s="0" t="s">
        <v>542</v>
      </c>
      <c r="B1694" s="0" t="s">
        <v>543</v>
      </c>
      <c r="C1694" s="19" t="n">
        <f aca="false">den_25</f>
        <v>24</v>
      </c>
      <c r="D1694" s="19" t="n">
        <f aca="false">den_26</f>
        <v>24</v>
      </c>
      <c r="E1694" s="19" t="n">
        <f aca="false">den_27</f>
        <v>26</v>
      </c>
      <c r="F1694" s="19" t="n">
        <f aca="false">den_28</f>
        <v>28</v>
      </c>
      <c r="G1694" s="19" t="n">
        <f aca="false">den_29</f>
        <v>30</v>
      </c>
      <c r="H1694" s="19" t="n">
        <f aca="false">den_30</f>
        <v>32</v>
      </c>
      <c r="I1694" s="19" t="n">
        <f aca="false">den_30</f>
        <v>32</v>
      </c>
    </row>
    <row r="1695" customFormat="false" ht="15" hidden="false" customHeight="false" outlineLevel="0" collapsed="false">
      <c r="A1695" s="5" t="s">
        <v>544</v>
      </c>
      <c r="B1695" s="5" t="s">
        <v>152</v>
      </c>
      <c r="C1695" s="19" t="n">
        <f aca="false">stk_25</f>
        <v>10</v>
      </c>
      <c r="D1695" s="19" t="n">
        <f aca="false">stk_26</f>
        <v>12</v>
      </c>
      <c r="E1695" s="19" t="n">
        <f aca="false">stk_27</f>
        <v>12.5</v>
      </c>
      <c r="F1695" s="19" t="n">
        <f aca="false">stk_28</f>
        <v>14</v>
      </c>
      <c r="G1695" s="19" t="n">
        <f aca="false">stk_29</f>
        <v>15</v>
      </c>
      <c r="H1695" s="19" t="n">
        <f aca="false">stk_30</f>
        <v>16</v>
      </c>
      <c r="I1695" s="19" t="n">
        <f aca="false">stk_30</f>
        <v>16</v>
      </c>
    </row>
    <row r="1696" customFormat="false" ht="15" hidden="false" customHeight="false" outlineLevel="0" collapsed="false">
      <c r="A1696" s="0" t="s">
        <v>545</v>
      </c>
      <c r="B1696" s="5" t="s">
        <v>546</v>
      </c>
      <c r="C1696" s="19" t="n">
        <f aca="false">C1693*8/C1694</f>
        <v>0.741704901960783</v>
      </c>
      <c r="D1696" s="19" t="n">
        <f aca="false">D1693*8/D1694</f>
        <v>1.26089833333333</v>
      </c>
      <c r="E1696" s="19" t="n">
        <f aca="false">E1693*8/E1694</f>
        <v>1.80405453846154</v>
      </c>
      <c r="F1696" s="19" t="n">
        <f aca="false">F1693*8/F1694</f>
        <v>2.429030575</v>
      </c>
      <c r="G1696" s="19" t="n">
        <f aca="false">G1693*8/G1694</f>
        <v>3.0605785245</v>
      </c>
      <c r="H1696" s="19" t="n">
        <f aca="false">H1693*8/H1694</f>
        <v>3.15622160339063</v>
      </c>
      <c r="I1696" s="19" t="n">
        <f aca="false">I1693*8/I1694</f>
        <v>3.47184376372969</v>
      </c>
      <c r="J1696" s="8" t="s">
        <v>547</v>
      </c>
    </row>
    <row r="1697" customFormat="false" ht="15" hidden="false" customHeight="false" outlineLevel="0" collapsed="false">
      <c r="A1697" s="0" t="s">
        <v>548</v>
      </c>
      <c r="B1697" s="5" t="s">
        <v>549</v>
      </c>
      <c r="C1697" s="19" t="n">
        <f aca="false">C1696*(1+s_stk/C1695)</f>
        <v>0.964216372549018</v>
      </c>
      <c r="D1697" s="19" t="n">
        <f aca="false">D1696*(1+s_stk/D1695)</f>
        <v>1.57612291666667</v>
      </c>
      <c r="E1697" s="19" t="n">
        <f aca="false">E1696*(1+s_stk/E1695)</f>
        <v>2.23702762769231</v>
      </c>
      <c r="F1697" s="19" t="n">
        <f aca="false">F1696*(1+s_stk/F1695)</f>
        <v>2.94953712678571</v>
      </c>
      <c r="G1697" s="19" t="n">
        <f aca="false">G1696*(1+s_stk/G1695)</f>
        <v>3.6726942294</v>
      </c>
      <c r="H1697" s="19" t="n">
        <f aca="false">H1696*(1+s_stk/H1695)</f>
        <v>3.74801315402637</v>
      </c>
      <c r="I1697" s="19" t="n">
        <f aca="false">I1696*(1+s_stk/I1695)</f>
        <v>4.12281446942901</v>
      </c>
      <c r="J1697" s="5" t="s">
        <v>550</v>
      </c>
    </row>
    <row r="1698" customFormat="false" ht="15" hidden="false" customHeight="false" outlineLevel="0" collapsed="false">
      <c r="A1698" s="5" t="s">
        <v>551</v>
      </c>
      <c r="B1698" s="0" t="s">
        <v>60</v>
      </c>
      <c r="C1698" s="22" t="n">
        <f aca="false">hbp_25*hb_on</f>
        <v>0</v>
      </c>
      <c r="D1698" s="22" t="n">
        <f aca="false">hbp_26*hb_on</f>
        <v>0</v>
      </c>
      <c r="E1698" s="22" t="n">
        <f aca="false">hbp_27*hb_on</f>
        <v>0</v>
      </c>
      <c r="F1698" s="22" t="n">
        <f aca="false">hbp_28*hb_on</f>
        <v>0.05</v>
      </c>
      <c r="G1698" s="22" t="n">
        <f aca="false">hbp_29*hb_on</f>
        <v>0.15</v>
      </c>
      <c r="H1698" s="22" t="n">
        <f aca="false">hbp_30*hb_on</f>
        <v>0.25</v>
      </c>
      <c r="I1698" s="22" t="n">
        <f aca="false">hbp_30*hb_on</f>
        <v>0.25</v>
      </c>
    </row>
    <row r="1699" customFormat="false" ht="15" hidden="false" customHeight="false" outlineLevel="0" collapsed="false">
      <c r="A1699" s="0" t="s">
        <v>552</v>
      </c>
      <c r="B1699" s="5" t="s">
        <v>549</v>
      </c>
      <c r="C1699" s="19" t="n">
        <f aca="false">C1697*(1+C1698*hb_eff)</f>
        <v>0.964216372549018</v>
      </c>
      <c r="D1699" s="19" t="n">
        <f aca="false">D1697*(1+D1698*hb_eff)</f>
        <v>1.57612291666667</v>
      </c>
      <c r="E1699" s="19" t="n">
        <f aca="false">E1697*(1+E1698*hb_eff)</f>
        <v>2.23702762769231</v>
      </c>
      <c r="F1699" s="19" t="n">
        <f aca="false">F1697*(1+F1698*hb_eff)</f>
        <v>2.96428481241964</v>
      </c>
      <c r="G1699" s="19" t="n">
        <f aca="false">G1697*(1+G1698*hb_eff)</f>
        <v>3.727784642841</v>
      </c>
      <c r="H1699" s="19" t="n">
        <f aca="false">H1697*(1+H1698*hb_eff)</f>
        <v>3.84171348287703</v>
      </c>
      <c r="I1699" s="19" t="n">
        <f aca="false">I1697*(1+I1698*hb_eff)</f>
        <v>4.22588483116473</v>
      </c>
      <c r="J1699" s="5" t="s">
        <v>553</v>
      </c>
    </row>
    <row r="1700" customFormat="false" ht="15" hidden="false" customHeight="false" outlineLevel="0" collapsed="false">
      <c r="A1700" s="0" t="s">
        <v>554</v>
      </c>
      <c r="B1700" s="5" t="s">
        <v>549</v>
      </c>
      <c r="C1700" s="19" t="n">
        <f aca="false">MAX(0,D1699-C1699)+dlt*C1699</f>
        <v>0.70832818137255</v>
      </c>
      <c r="D1700" s="19" t="n">
        <f aca="false">MAX(0,E1699-D1699)+dlt*D1699</f>
        <v>0.818517002692307</v>
      </c>
      <c r="E1700" s="19" t="n">
        <f aca="false">MAX(0,F1699-E1699)+dlt*E1699</f>
        <v>0.950959947496565</v>
      </c>
      <c r="F1700" s="19" t="n">
        <f aca="false">MAX(0,G1699-F1699)+dlt*F1699</f>
        <v>1.05992831166332</v>
      </c>
      <c r="G1700" s="19" t="n">
        <f aca="false">MAX(0,H1699-G1699)+dlt*G1699</f>
        <v>0.486707304320127</v>
      </c>
      <c r="H1700" s="19" t="n">
        <f aca="false">MAX(0,I1699-H1699)+dlt*H1699</f>
        <v>0.768342696575406</v>
      </c>
      <c r="J1700" s="5" t="s">
        <v>555</v>
      </c>
    </row>
    <row r="1701" customFormat="false" ht="15" hidden="false" customHeight="false" outlineLevel="0" collapsed="false">
      <c r="A1701" s="0" t="s">
        <v>556</v>
      </c>
      <c r="B1701" s="5" t="s">
        <v>181</v>
      </c>
      <c r="C1701" s="21" t="n">
        <f aca="false">cw_25</f>
        <v>670</v>
      </c>
      <c r="D1701" s="21" t="n">
        <f aca="false">cw_26</f>
        <v>1107.85762580894</v>
      </c>
      <c r="E1701" s="21" t="n">
        <f aca="false">cw_27</f>
        <v>2096.42857142857</v>
      </c>
      <c r="F1701" s="21" t="n">
        <f aca="false">cw_28*um28_A</f>
        <v>2620.08928571429</v>
      </c>
      <c r="G1701" s="21" t="n">
        <f aca="false">cw_29*um29_A</f>
        <v>3013.32589285714</v>
      </c>
      <c r="H1701" s="21" t="n">
        <f aca="false">G1701*(1+g_tail)</f>
        <v>3314.65848214285</v>
      </c>
      <c r="I1701" s="21" t="n">
        <f aca="false">H1701*(1+g_tail)</f>
        <v>3646.12433035714</v>
      </c>
      <c r="J1701" s="5" t="s">
        <v>557</v>
      </c>
    </row>
    <row r="1702" customFormat="false" ht="15" hidden="false" customHeight="false" outlineLevel="0" collapsed="false">
      <c r="A1702" s="5" t="s">
        <v>558</v>
      </c>
      <c r="B1702" s="5" t="s">
        <v>181</v>
      </c>
      <c r="C1702" s="21" t="n">
        <f aca="false">MAX(0,D1701-C1701)+dlt*C1701</f>
        <v>504.85762580894</v>
      </c>
      <c r="D1702" s="21" t="n">
        <f aca="false">MAX(0,E1701-D1701)+dlt*D1701</f>
        <v>1099.35670820052</v>
      </c>
      <c r="E1702" s="21" t="n">
        <f aca="false">MAX(0,F1701-E1701)+dlt*E1701</f>
        <v>733.303571428577</v>
      </c>
      <c r="F1702" s="21" t="n">
        <f aca="false">MAX(0,G1701-F1701)+dlt*F1701</f>
        <v>655.245535714279</v>
      </c>
      <c r="G1702" s="21" t="n">
        <f aca="false">MAX(0,H1701-G1701)+dlt*G1701</f>
        <v>602.665178571428</v>
      </c>
      <c r="H1702" s="21" t="n">
        <f aca="false">MAX(0,I1701-H1701)+dlt*H1701</f>
        <v>662.931696428571</v>
      </c>
    </row>
    <row r="1703" customFormat="false" ht="15" hidden="false" customHeight="false" outlineLevel="0" collapsed="false">
      <c r="A1703" s="1" t="s">
        <v>559</v>
      </c>
    </row>
    <row r="1704" customFormat="false" ht="15" hidden="false" customHeight="false" outlineLevel="0" collapsed="false">
      <c r="A1704" s="0" t="s">
        <v>560</v>
      </c>
      <c r="B1704" s="0" t="s">
        <v>561</v>
      </c>
      <c r="C1704" s="16" t="n">
        <f aca="false">ai_25*w_hbm/(0.75*C1700+0.25*D1700)</f>
        <v>48.9213264236471</v>
      </c>
      <c r="J1704" s="5" t="s">
        <v>562</v>
      </c>
    </row>
    <row r="1705" customFormat="false" ht="15" hidden="false" customHeight="false" outlineLevel="0" collapsed="false">
      <c r="A1705" s="5" t="s">
        <v>563</v>
      </c>
      <c r="B1705" s="0" t="s">
        <v>564</v>
      </c>
      <c r="C1705" s="18" t="n">
        <f aca="false">ai_25*(1-w_hbm)/(0.75*C1702+0.25*D1702)</f>
        <v>0.0596802610360141</v>
      </c>
    </row>
    <row r="1706" customFormat="false" ht="15" hidden="false" customHeight="false" outlineLevel="0" collapsed="false">
      <c r="A1706" s="1" t="s">
        <v>565</v>
      </c>
    </row>
    <row r="1707" customFormat="false" ht="15" hidden="false" customHeight="false" outlineLevel="0" collapsed="false">
      <c r="A1707" s="5" t="s">
        <v>566</v>
      </c>
      <c r="B1707" s="0" t="s">
        <v>80</v>
      </c>
      <c r="C1707" s="16" t="n">
        <f aca="false">1-sh_loss/sh*0</f>
        <v>1</v>
      </c>
      <c r="D1707" s="16" t="n">
        <f aca="false">1-sh_loss/sh*0.25</f>
        <v>1</v>
      </c>
      <c r="E1707" s="16" t="n">
        <f aca="false">1-sh_loss/sh*0.5</f>
        <v>1</v>
      </c>
      <c r="F1707" s="16" t="n">
        <f aca="false">1-sh_loss/sh*0.75</f>
        <v>1</v>
      </c>
      <c r="G1707" s="16" t="n">
        <f aca="false">1-sh_loss/sh*1</f>
        <v>1</v>
      </c>
    </row>
    <row r="1708" customFormat="false" ht="15" hidden="false" customHeight="false" outlineLevel="0" collapsed="false">
      <c r="A1708" s="0" t="s">
        <v>567</v>
      </c>
      <c r="B1708" s="0" t="s">
        <v>33</v>
      </c>
      <c r="C1708" s="11" t="n">
        <f aca="false">$C$1704*(0.75*C1700+0.25*D1700)*C1707</f>
        <v>36</v>
      </c>
      <c r="D1708" s="11" t="n">
        <f aca="false">$C$1704*(0.75*D1700+0.25*E1700)*D1707</f>
        <v>41.6627586058351</v>
      </c>
      <c r="E1708" s="11" t="n">
        <f aca="false">$C$1704*(0.75*E1700+0.25*F1700)*E1707</f>
        <v>47.8549412356069</v>
      </c>
      <c r="F1708" s="11" t="n">
        <f aca="false">$C$1704*(0.75*F1700+0.25*G1700)*F1707</f>
        <v>44.8424159172644</v>
      </c>
      <c r="G1708" s="11" t="n">
        <f aca="false">$C$1704*(0.75*G1700+0.25*H1700)*G1707</f>
        <v>27.2548611466613</v>
      </c>
    </row>
    <row r="1709" customFormat="false" ht="15" hidden="false" customHeight="false" outlineLevel="0" collapsed="false">
      <c r="A1709" s="5" t="s">
        <v>568</v>
      </c>
      <c r="B1709" s="0" t="s">
        <v>33</v>
      </c>
      <c r="C1709" s="11" t="n">
        <f aca="false">$C$1705*(0.75*C1702+0.25*D1702)*C1707</f>
        <v>39</v>
      </c>
      <c r="D1709" s="11" t="n">
        <f aca="false">$C$1705*(0.75*D1702+0.25*E1702)*D1707</f>
        <v>60.1483586282001</v>
      </c>
      <c r="E1709" s="11" t="n">
        <f aca="false">$C$1705*(0.75*E1702+0.25*F1702)*E1707</f>
        <v>42.5991175746519</v>
      </c>
      <c r="F1709" s="11" t="n">
        <f aca="false">$C$1705*(0.75*F1702+0.25*G1702)*F1707</f>
        <v>38.320722254198</v>
      </c>
      <c r="G1709" s="11" t="n">
        <f aca="false">$C$1705*(0.75*G1702+0.25*H1702)*G1707</f>
        <v>36.8663955538204</v>
      </c>
    </row>
    <row r="1710" customFormat="false" ht="15" hidden="false" customHeight="false" outlineLevel="0" collapsed="false">
      <c r="A1710" s="0" t="s">
        <v>569</v>
      </c>
      <c r="B1710" s="0" t="s">
        <v>33</v>
      </c>
      <c r="C1710" s="11" t="n">
        <f aca="false">C1708+C1709</f>
        <v>75</v>
      </c>
      <c r="D1710" s="11" t="n">
        <f aca="false">D1708+D1709</f>
        <v>101.811117234035</v>
      </c>
      <c r="E1710" s="11" t="n">
        <f aca="false">E1708+E1709</f>
        <v>90.4540588102588</v>
      </c>
      <c r="F1710" s="11" t="n">
        <f aca="false">F1708+F1709</f>
        <v>83.1631381714624</v>
      </c>
      <c r="G1710" s="11" t="n">
        <f aca="false">G1708+G1709</f>
        <v>64.1212567004817</v>
      </c>
    </row>
    <row r="1711" customFormat="false" ht="15" hidden="false" customHeight="false" outlineLevel="0" collapsed="false">
      <c r="A1711" s="5" t="s">
        <v>570</v>
      </c>
      <c r="B1711" s="0" t="s">
        <v>33</v>
      </c>
      <c r="C1711" s="11" t="n">
        <f aca="false">eq_25-ai_25</f>
        <v>195.87118</v>
      </c>
      <c r="D1711" s="11" t="n">
        <f aca="false">C1711*(1+g_non)*D1707/C1707</f>
        <v>207.6234508</v>
      </c>
      <c r="E1711" s="11" t="n">
        <f aca="false">D1711*(1+g_non)*E1707/D1707</f>
        <v>220.080857848</v>
      </c>
      <c r="F1711" s="11" t="n">
        <f aca="false">E1711*(1+g_non)*F1707/E1707</f>
        <v>233.28570931888</v>
      </c>
      <c r="G1711" s="11" t="n">
        <f aca="false">F1711*(1+g_non)*G1707/F1707</f>
        <v>247.282851878013</v>
      </c>
    </row>
    <row r="1712" customFormat="false" ht="15" hidden="false" customHeight="false" outlineLevel="0" collapsed="false">
      <c r="A1712" s="0" t="s">
        <v>571</v>
      </c>
      <c r="B1712" s="0" t="s">
        <v>80</v>
      </c>
      <c r="C1712" s="19" t="n">
        <f aca="false">w_hbm*(0.75*C1699+0.25*D1699)/(0.75*C1699+0.25*D1699)+(1-w_hbm)*(0.75*C1701+0.25*D1701)/(0.75*C1701+0.25*D1701)</f>
        <v>1</v>
      </c>
      <c r="D1712" s="19" t="n">
        <f aca="false">w_hbm*(0.75*D1699+0.25*E1699)/(0.75*C1699+0.25*D1699)+(1-w_hbm)*(0.75*D1701+0.25*E1701)/(0.75*C1701+0.25*D1701)</f>
        <v>1.65212184085657</v>
      </c>
      <c r="E1712" s="19" t="n">
        <f aca="false">w_hbm*(0.75*E1699+0.25*F1699)/(0.75*C1699+0.25*D1699)+(1-w_hbm)*(0.75*E1701+0.25*F1701)/(0.75*C1701+0.25*D1701)</f>
        <v>2.52516730417954</v>
      </c>
      <c r="F1712" s="19" t="n">
        <f aca="false">w_hbm*(0.75*F1699+0.25*G1699)/(0.75*C1699+0.25*D1699)+(1-w_hbm)*(0.75*F1701+0.25*G1701)/(0.75*C1701+0.25*D1701)</f>
        <v>3.16911970169284</v>
      </c>
      <c r="G1712" s="19" t="n">
        <f aca="false">w_hbm*(0.75*G1699+0.25*H1699)/(0.75*C1699+0.25*D1699)+(1-w_hbm)*(0.75*G1701+0.25*H1701)/(0.75*C1701+0.25*D1701)</f>
        <v>3.67439430985121</v>
      </c>
      <c r="J1712" s="8" t="s">
        <v>572</v>
      </c>
    </row>
    <row r="1713" customFormat="false" ht="15" hidden="false" customHeight="false" outlineLevel="0" collapsed="false">
      <c r="A1713" s="0" t="s">
        <v>573</v>
      </c>
      <c r="B1713" s="0" t="s">
        <v>33</v>
      </c>
      <c r="C1713" s="11" t="n">
        <f aca="false">tl_25*w_tlai_lo*C1712</f>
        <v>9.174669</v>
      </c>
      <c r="D1713" s="11" t="n">
        <f aca="false">tl_25*w_tlai_lo*D1712</f>
        <v>15.1576710375297</v>
      </c>
      <c r="E1713" s="11" t="n">
        <f aca="false">tl_25*w_tlai_lo*E1712</f>
        <v>23.1675741854696</v>
      </c>
      <c r="F1713" s="11" t="n">
        <f aca="false">tl_25*w_tlai_lo*F1712</f>
        <v>29.0756242844105</v>
      </c>
      <c r="G1713" s="11" t="n">
        <f aca="false">tl_25*w_tlai_lo*G1712</f>
        <v>33.7113515683683</v>
      </c>
      <c r="J1713" s="5" t="s">
        <v>574</v>
      </c>
    </row>
    <row r="1714" customFormat="false" ht="15" hidden="false" customHeight="false" outlineLevel="0" collapsed="false">
      <c r="A1714" s="5" t="s">
        <v>575</v>
      </c>
      <c r="B1714" s="0" t="s">
        <v>33</v>
      </c>
      <c r="C1714" s="11" t="n">
        <f aca="false">tl_25*(1-w_tlai_lo)</f>
        <v>82.572021</v>
      </c>
      <c r="D1714" s="11" t="n">
        <f aca="false">C1714*(1+g_tl)</f>
        <v>86.70062205</v>
      </c>
      <c r="E1714" s="11" t="n">
        <f aca="false">D1714*(1+g_tl)</f>
        <v>91.0356531525</v>
      </c>
      <c r="F1714" s="11" t="n">
        <f aca="false">E1714*(1+g_tl)</f>
        <v>95.587435810125</v>
      </c>
      <c r="G1714" s="11" t="n">
        <f aca="false">F1714*(1+g_tl)</f>
        <v>100.366807600631</v>
      </c>
    </row>
    <row r="1715" customFormat="false" ht="15" hidden="false" customHeight="false" outlineLevel="0" collapsed="false">
      <c r="A1715" s="5" t="s">
        <v>576</v>
      </c>
      <c r="B1715" s="0" t="s">
        <v>33</v>
      </c>
      <c r="C1715" s="11" t="n">
        <f aca="false">(C1710+C1711+C1713+C1714)*(1+r_ot)</f>
        <v>436.889</v>
      </c>
      <c r="D1715" s="11" t="n">
        <f aca="false">(D1710+D1711+D1713+D1714)*(1+r_ot)</f>
        <v>495.533567616343</v>
      </c>
      <c r="E1715" s="11" t="n">
        <f aca="false">(E1710+E1711+E1713+E1714)*(1+r_ot)</f>
        <v>511.732703609914</v>
      </c>
      <c r="F1715" s="11" t="n">
        <f aca="false">(F1710+F1711+F1713+F1714)*(1+r_ot)</f>
        <v>531.460129620335</v>
      </c>
      <c r="G1715" s="11" t="n">
        <f aca="false">(G1710+G1711+G1713+G1714)*(1+r_ot)</f>
        <v>536.725623792162</v>
      </c>
      <c r="J1715" s="8" t="s">
        <v>577</v>
      </c>
    </row>
    <row r="1716" customFormat="false" ht="15" hidden="false" customHeight="false" outlineLevel="0" collapsed="false">
      <c r="A1716" s="1" t="s">
        <v>578</v>
      </c>
    </row>
    <row r="1717" customFormat="false" ht="15" hidden="false" customHeight="false" outlineLevel="0" collapsed="false">
      <c r="A1717" s="5" t="s">
        <v>579</v>
      </c>
      <c r="B1717" s="0" t="s">
        <v>33</v>
      </c>
      <c r="D1717" s="11" t="n">
        <f aca="false">g3_rev*(1+g_q4)</f>
        <v>145.6862</v>
      </c>
    </row>
    <row r="1718" customFormat="false" ht="15" hidden="false" customHeight="false" outlineLevel="0" collapsed="false">
      <c r="A1718" s="0" t="s">
        <v>580</v>
      </c>
      <c r="B1718" s="0" t="s">
        <v>33</v>
      </c>
      <c r="D1718" s="11" t="n">
        <f aca="false">q26h1_rev+g3_rev+D1717</f>
        <v>535.1862</v>
      </c>
    </row>
    <row r="1719" customFormat="false" ht="15" hidden="false" customHeight="false" outlineLevel="0" collapsed="false">
      <c r="A1719" s="0" t="s">
        <v>581</v>
      </c>
      <c r="B1719" s="0" t="s">
        <v>33</v>
      </c>
      <c r="D1719" s="11" t="n">
        <f aca="false">q26h1_gp+(g3_rev+D1717)*gm_q3</f>
        <v>378.0504836</v>
      </c>
    </row>
    <row r="1720" customFormat="false" ht="15" hidden="false" customHeight="false" outlineLevel="0" collapsed="false">
      <c r="A1720" s="0" t="s">
        <v>582</v>
      </c>
      <c r="B1720" s="0" t="s">
        <v>33</v>
      </c>
      <c r="D1720" s="11" t="n">
        <f aca="false">q26h1_oi+g3_oi+D1717*m_q4</f>
        <v>238.5671</v>
      </c>
    </row>
    <row r="1721" customFormat="false" ht="15" hidden="false" customHeight="false" outlineLevel="0" collapsed="false">
      <c r="A1721" s="0" t="s">
        <v>583</v>
      </c>
      <c r="B1721" s="0" t="s">
        <v>33</v>
      </c>
      <c r="D1721" s="11" t="n">
        <f aca="false">q26h1_ni+g3_ni+D1717*m_q4*nioi</f>
        <v>167.95938138934</v>
      </c>
    </row>
    <row r="1722" customFormat="false" ht="15" hidden="false" customHeight="false" outlineLevel="0" collapsed="false">
      <c r="A1722" s="5" t="s">
        <v>584</v>
      </c>
      <c r="B1722" s="0" t="s">
        <v>80</v>
      </c>
      <c r="D1722" s="16" t="n">
        <f aca="false">D1718/D1715</f>
        <v>1.08002007326042</v>
      </c>
      <c r="J1722" s="8" t="s">
        <v>585</v>
      </c>
    </row>
    <row r="1723" customFormat="false" ht="15" hidden="false" customHeight="false" outlineLevel="0" collapsed="false">
      <c r="A1723" s="5" t="s">
        <v>586</v>
      </c>
      <c r="B1723" s="0" t="s">
        <v>80</v>
      </c>
      <c r="D1723" s="16" t="n">
        <f aca="false">1+anc_carry*(D1722-1)</f>
        <v>1.08002007326042</v>
      </c>
      <c r="J1723" s="8" t="s">
        <v>587</v>
      </c>
    </row>
    <row r="1724" customFormat="false" ht="15" hidden="false" customHeight="false" outlineLevel="0" collapsed="false">
      <c r="A1724" s="1" t="s">
        <v>588</v>
      </c>
    </row>
    <row r="1725" customFormat="false" ht="15" hidden="false" customHeight="false" outlineLevel="0" collapsed="false">
      <c r="A1725" s="0" t="s">
        <v>589</v>
      </c>
      <c r="B1725" s="0" t="s">
        <v>33</v>
      </c>
      <c r="C1725" s="11" t="n">
        <f aca="false">C1708*1</f>
        <v>36</v>
      </c>
      <c r="D1725" s="11" t="n">
        <f aca="false">D1708*$D$1722</f>
        <v>44.9966156017052</v>
      </c>
      <c r="E1725" s="11" t="n">
        <f aca="false">E1708*1</f>
        <v>47.8549412356069</v>
      </c>
      <c r="F1725" s="11" t="n">
        <f aca="false">F1708*1</f>
        <v>44.8424159172644</v>
      </c>
      <c r="G1725" s="11" t="n">
        <f aca="false">G1708*1</f>
        <v>27.2548611466613</v>
      </c>
    </row>
    <row r="1726" customFormat="false" ht="15" hidden="false" customHeight="false" outlineLevel="0" collapsed="false">
      <c r="A1726" s="5" t="s">
        <v>590</v>
      </c>
      <c r="B1726" s="0" t="s">
        <v>33</v>
      </c>
      <c r="C1726" s="11" t="n">
        <f aca="false">C1709*1</f>
        <v>39</v>
      </c>
      <c r="D1726" s="11" t="n">
        <f aca="false">D1709*$D$1722</f>
        <v>64.9614346921226</v>
      </c>
      <c r="E1726" s="11" t="n">
        <f aca="false">E1709*1</f>
        <v>42.5991175746519</v>
      </c>
      <c r="F1726" s="11" t="n">
        <f aca="false">F1709*1</f>
        <v>38.320722254198</v>
      </c>
      <c r="G1726" s="11" t="n">
        <f aca="false">G1709*1</f>
        <v>36.8663955538204</v>
      </c>
    </row>
    <row r="1727" customFormat="false" ht="15" hidden="false" customHeight="false" outlineLevel="0" collapsed="false">
      <c r="A1727" s="0" t="s">
        <v>591</v>
      </c>
      <c r="B1727" s="0" t="s">
        <v>33</v>
      </c>
      <c r="C1727" s="11" t="n">
        <f aca="false">C1725+C1726</f>
        <v>75</v>
      </c>
      <c r="D1727" s="11" t="n">
        <f aca="false">D1725+D1726</f>
        <v>109.958050293828</v>
      </c>
      <c r="E1727" s="11" t="n">
        <f aca="false">E1725+E1726</f>
        <v>90.4540588102588</v>
      </c>
      <c r="F1727" s="11" t="n">
        <f aca="false">F1725+F1726</f>
        <v>83.1631381714624</v>
      </c>
      <c r="G1727" s="11" t="n">
        <f aca="false">G1725+G1726</f>
        <v>64.1212567004817</v>
      </c>
    </row>
    <row r="1728" customFormat="false" ht="15" hidden="false" customHeight="false" outlineLevel="0" collapsed="false">
      <c r="A1728" s="5" t="s">
        <v>592</v>
      </c>
      <c r="B1728" s="0" t="s">
        <v>33</v>
      </c>
      <c r="C1728" s="11" t="n">
        <f aca="false">C1711*1</f>
        <v>195.87118</v>
      </c>
      <c r="D1728" s="11" t="n">
        <f aca="false">D1711*$D$1722</f>
        <v>224.237494543597</v>
      </c>
      <c r="E1728" s="11" t="n">
        <f aca="false">E1711*$D$1723</f>
        <v>237.691744216213</v>
      </c>
      <c r="F1728" s="11" t="n">
        <f aca="false">F1711*$D$1723</f>
        <v>251.953248869186</v>
      </c>
      <c r="G1728" s="11" t="n">
        <f aca="false">G1711*$D$1723</f>
        <v>267.070443801337</v>
      </c>
    </row>
    <row r="1729" customFormat="false" ht="15" hidden="false" customHeight="false" outlineLevel="0" collapsed="false">
      <c r="A1729" s="5" t="s">
        <v>593</v>
      </c>
      <c r="B1729" s="0" t="s">
        <v>33</v>
      </c>
      <c r="C1729" s="11" t="n">
        <f aca="false">C1727+C1728</f>
        <v>270.87118</v>
      </c>
      <c r="D1729" s="11" t="n">
        <f aca="false">D1727+D1728</f>
        <v>334.195544837425</v>
      </c>
      <c r="E1729" s="11" t="n">
        <f aca="false">E1727+E1728</f>
        <v>328.145803026472</v>
      </c>
      <c r="F1729" s="11" t="n">
        <f aca="false">F1727+F1728</f>
        <v>335.116387040648</v>
      </c>
      <c r="G1729" s="11" t="n">
        <f aca="false">G1727+G1728</f>
        <v>331.191700501819</v>
      </c>
    </row>
    <row r="1730" customFormat="false" ht="15" hidden="false" customHeight="false" outlineLevel="0" collapsed="false">
      <c r="A1730" s="0" t="s">
        <v>594</v>
      </c>
      <c r="B1730" s="0" t="s">
        <v>33</v>
      </c>
      <c r="C1730" s="11" t="n">
        <f aca="false">C1713*1</f>
        <v>9.174669</v>
      </c>
      <c r="D1730" s="11" t="n">
        <f aca="false">D1713*$D$1722</f>
        <v>16.3705889844102</v>
      </c>
      <c r="E1730" s="11" t="n">
        <f aca="false">E1713*1</f>
        <v>23.1675741854696</v>
      </c>
      <c r="F1730" s="11" t="n">
        <f aca="false">F1713*1</f>
        <v>29.0756242844105</v>
      </c>
      <c r="G1730" s="11" t="n">
        <f aca="false">G1713*1</f>
        <v>33.7113515683683</v>
      </c>
    </row>
    <row r="1731" customFormat="false" ht="15" hidden="false" customHeight="false" outlineLevel="0" collapsed="false">
      <c r="A1731" s="5" t="s">
        <v>595</v>
      </c>
      <c r="B1731" s="0" t="s">
        <v>33</v>
      </c>
      <c r="C1731" s="11" t="n">
        <f aca="false">C1714*1</f>
        <v>82.572021</v>
      </c>
      <c r="D1731" s="11" t="n">
        <f aca="false">D1714*$D$1722</f>
        <v>93.6384121781649</v>
      </c>
      <c r="E1731" s="11" t="n">
        <f aca="false">E1714*$D$1723</f>
        <v>98.3203327870732</v>
      </c>
      <c r="F1731" s="11" t="n">
        <f aca="false">F1714*$D$1723</f>
        <v>103.236349426427</v>
      </c>
      <c r="G1731" s="11" t="n">
        <f aca="false">G1714*$D$1723</f>
        <v>108.398166897748</v>
      </c>
    </row>
    <row r="1732" customFormat="false" ht="15" hidden="false" customHeight="false" outlineLevel="0" collapsed="false">
      <c r="A1732" s="5" t="s">
        <v>596</v>
      </c>
      <c r="B1732" s="0" t="s">
        <v>33</v>
      </c>
      <c r="C1732" s="11" t="n">
        <f aca="false">C1730+C1731</f>
        <v>91.74669</v>
      </c>
      <c r="D1732" s="11" t="n">
        <f aca="false">D1730+D1731</f>
        <v>110.009001162575</v>
      </c>
      <c r="E1732" s="11" t="n">
        <f aca="false">E1730+E1731</f>
        <v>121.487906972543</v>
      </c>
      <c r="F1732" s="11" t="n">
        <f aca="false">F1730+F1731</f>
        <v>132.311973710837</v>
      </c>
      <c r="G1732" s="11" t="n">
        <f aca="false">G1730+G1731</f>
        <v>142.109518466117</v>
      </c>
    </row>
    <row r="1733" customFormat="false" ht="15" hidden="false" customHeight="false" outlineLevel="0" collapsed="false">
      <c r="A1733" s="5" t="s">
        <v>458</v>
      </c>
      <c r="B1733" s="0" t="s">
        <v>33</v>
      </c>
      <c r="C1733" s="11" t="n">
        <f aca="false">r_ot*(C1729+C1732)</f>
        <v>74.27113</v>
      </c>
      <c r="D1733" s="11" t="n">
        <f aca="false">r_ot*(D1729+D1732)</f>
        <v>90.981654</v>
      </c>
      <c r="E1733" s="11" t="n">
        <f aca="false">r_ot*(E1729+E1732)</f>
        <v>92.0936514455813</v>
      </c>
      <c r="F1733" s="11" t="n">
        <f aca="false">r_ot*(F1729+F1732)</f>
        <v>95.7383389490995</v>
      </c>
      <c r="G1733" s="11" t="n">
        <f aca="false">r_ot*(G1729+G1732)</f>
        <v>96.941213523553</v>
      </c>
    </row>
    <row r="1734" customFormat="false" ht="15" hidden="false" customHeight="false" outlineLevel="0" collapsed="false">
      <c r="A1734" s="5" t="s">
        <v>428</v>
      </c>
      <c r="B1734" s="0" t="s">
        <v>33</v>
      </c>
      <c r="C1734" s="11" t="n">
        <f aca="false">C1729+C1732+C1733</f>
        <v>436.889</v>
      </c>
      <c r="D1734" s="11" t="n">
        <f aca="false">D1729+D1732+D1733</f>
        <v>535.1862</v>
      </c>
      <c r="E1734" s="11" t="n">
        <f aca="false">E1729+E1732+E1733</f>
        <v>541.727361444596</v>
      </c>
      <c r="F1734" s="11" t="n">
        <f aca="false">F1729+F1732+F1733</f>
        <v>563.166699700585</v>
      </c>
      <c r="G1734" s="11" t="n">
        <f aca="false">G1729+G1732+G1733</f>
        <v>570.242432491488</v>
      </c>
      <c r="J1734" s="8" t="s">
        <v>597</v>
      </c>
    </row>
    <row r="1735" customFormat="false" ht="15" hidden="false" customHeight="false" outlineLevel="0" collapsed="false">
      <c r="A1735" s="0" t="s">
        <v>598</v>
      </c>
      <c r="B1735" s="0" t="s">
        <v>60</v>
      </c>
      <c r="C1735" s="14" t="n">
        <f aca="false">(C1727+C1730)*(1+r_ot)/C1734</f>
        <v>0.232130504213706</v>
      </c>
      <c r="D1735" s="14" t="n">
        <f aca="false">(D1727+D1730)*(1+r_ot)/D1734</f>
        <v>0.284392945582862</v>
      </c>
      <c r="E1735" s="14" t="n">
        <f aca="false">(E1727+E1730)*(1+r_ot)/E1734</f>
        <v>0.252698208495038</v>
      </c>
      <c r="F1735" s="14" t="n">
        <f aca="false">(F1727+F1730)*(1+r_ot)/F1734</f>
        <v>0.240119710056588</v>
      </c>
      <c r="G1735" s="14" t="n">
        <f aca="false">(G1727+G1730)*(1+r_ot)/G1734</f>
        <v>0.206702633224103</v>
      </c>
    </row>
    <row r="1736" customFormat="false" ht="15" hidden="false" customHeight="false" outlineLevel="0" collapsed="false">
      <c r="A1736" s="0" t="s">
        <v>599</v>
      </c>
      <c r="B1736" s="0" t="s">
        <v>60</v>
      </c>
      <c r="C1736" s="14" t="n">
        <f aca="false">C1727*(1+r_ot)/C1734</f>
        <v>0.206829299394429</v>
      </c>
      <c r="D1736" s="14" t="n">
        <f aca="false">D1727*(1+r_ot)/D1734</f>
        <v>0.247539227781401</v>
      </c>
      <c r="E1736" s="14" t="n">
        <f aca="false">E1727*(1+r_ot)/E1734</f>
        <v>0.201172769742858</v>
      </c>
      <c r="F1736" s="14" t="n">
        <f aca="false">F1727*(1+r_ot)/F1734</f>
        <v>0.177916329333892</v>
      </c>
      <c r="G1736" s="14" t="n">
        <f aca="false">G1727*(1+r_ot)/G1734</f>
        <v>0.135476635450681</v>
      </c>
      <c r="J1736" s="5" t="s">
        <v>600</v>
      </c>
    </row>
    <row r="1737" customFormat="false" ht="15" hidden="false" customHeight="false" outlineLevel="0" collapsed="false">
      <c r="A1737" s="5" t="s">
        <v>466</v>
      </c>
      <c r="B1737" s="0" t="s">
        <v>60</v>
      </c>
      <c r="C1737" s="14" t="n">
        <f aca="false">a25_gp/a25_rev</f>
        <v>0.701498549974936</v>
      </c>
      <c r="D1737" s="14" t="n">
        <f aca="false">D1719/D1734</f>
        <v>0.70639056761927</v>
      </c>
      <c r="E1737" s="14" t="n">
        <f aca="false">gm_a+gm_b*LN(E1734)+0</f>
        <v>0.726935871689838</v>
      </c>
      <c r="F1737" s="14" t="n">
        <f aca="false">gm_a+gm_b*LN(F1734)+0</f>
        <v>0.731353778649784</v>
      </c>
      <c r="G1737" s="14" t="n">
        <f aca="false">gm_a+gm_b*LN(G1734)+0</f>
        <v>0.73277499983226</v>
      </c>
      <c r="J1737" s="8" t="s">
        <v>601</v>
      </c>
    </row>
    <row r="1738" customFormat="false" ht="15" hidden="false" customHeight="false" outlineLevel="0" collapsed="false">
      <c r="A1738" s="5" t="s">
        <v>463</v>
      </c>
      <c r="B1738" s="0" t="s">
        <v>33</v>
      </c>
      <c r="C1738" s="11" t="n">
        <f aca="false">C1734*C1737</f>
        <v>306.477</v>
      </c>
      <c r="D1738" s="11" t="n">
        <f aca="false">D1734*D1737</f>
        <v>378.0504836</v>
      </c>
      <c r="E1738" s="11" t="n">
        <f aca="false">E1734*E1737</f>
        <v>393.801051709963</v>
      </c>
      <c r="F1738" s="11" t="n">
        <f aca="false">F1734*F1737</f>
        <v>411.874093835751</v>
      </c>
      <c r="G1738" s="11" t="n">
        <f aca="false">G1734*G1737</f>
        <v>417.859398373298</v>
      </c>
    </row>
    <row r="1739" customFormat="false" ht="15" hidden="false" customHeight="false" outlineLevel="0" collapsed="false">
      <c r="A1739" s="5" t="s">
        <v>464</v>
      </c>
      <c r="B1739" s="0" t="s">
        <v>33</v>
      </c>
      <c r="C1739" s="11" t="n">
        <f aca="false">a25_sga</f>
        <v>121.487</v>
      </c>
      <c r="D1739" s="11" t="n">
        <f aca="false">D1738-D1720</f>
        <v>139.4833836</v>
      </c>
      <c r="E1739" s="11" t="n">
        <f aca="false">sg_f+sg_v*E1734</f>
        <v>144.837469833387</v>
      </c>
      <c r="F1739" s="11" t="n">
        <f aca="false">sg_f+sg_v*F1734</f>
        <v>150.24805204245</v>
      </c>
      <c r="G1739" s="11" t="n">
        <f aca="false">sg_f+sg_v*G1734</f>
        <v>152.033733741084</v>
      </c>
      <c r="J1739" s="8" t="s">
        <v>602</v>
      </c>
    </row>
    <row r="1740" customFormat="false" ht="15" hidden="false" customHeight="false" outlineLevel="0" collapsed="false">
      <c r="A1740" s="5" t="s">
        <v>432</v>
      </c>
      <c r="B1740" s="0" t="s">
        <v>33</v>
      </c>
      <c r="C1740" s="11" t="n">
        <f aca="false">C1738-C1739</f>
        <v>184.99</v>
      </c>
      <c r="D1740" s="11" t="n">
        <f aca="false">D1738-D1739</f>
        <v>238.5671</v>
      </c>
      <c r="E1740" s="11" t="n">
        <f aca="false">E1738-E1739</f>
        <v>248.963581876576</v>
      </c>
      <c r="F1740" s="11" t="n">
        <f aca="false">F1738-F1739</f>
        <v>261.626041793301</v>
      </c>
      <c r="G1740" s="11" t="n">
        <f aca="false">G1738-G1739</f>
        <v>265.825664632213</v>
      </c>
    </row>
    <row r="1741" customFormat="false" ht="15" hidden="false" customHeight="false" outlineLevel="0" collapsed="false">
      <c r="A1741" s="5" t="s">
        <v>603</v>
      </c>
      <c r="B1741" s="0" t="s">
        <v>60</v>
      </c>
      <c r="C1741" s="14" t="n">
        <f aca="false">C1740/C1734</f>
        <v>0.423425629851061</v>
      </c>
      <c r="D1741" s="14" t="n">
        <f aca="false">D1740/D1734</f>
        <v>0.445764670314743</v>
      </c>
      <c r="E1741" s="14" t="n">
        <f aca="false">E1740/E1734</f>
        <v>0.459573578142109</v>
      </c>
      <c r="F1741" s="14" t="n">
        <f aca="false">F1740/F1734</f>
        <v>0.464562343498644</v>
      </c>
      <c r="G1741" s="14" t="n">
        <f aca="false">G1740/G1734</f>
        <v>0.466162546815001</v>
      </c>
    </row>
    <row r="1742" customFormat="false" ht="15" hidden="false" customHeight="false" outlineLevel="0" collapsed="false">
      <c r="A1742" s="5" t="s">
        <v>435</v>
      </c>
      <c r="B1742" s="0" t="s">
        <v>33</v>
      </c>
      <c r="C1742" s="11" t="n">
        <f aca="false">a25_ni</f>
        <v>135.521</v>
      </c>
      <c r="D1742" s="11" t="n">
        <f aca="false">D1721</f>
        <v>167.95938138934</v>
      </c>
      <c r="E1742" s="11" t="n">
        <f aca="false">E1740*nioi</f>
        <v>179.546410745273</v>
      </c>
      <c r="F1742" s="11" t="n">
        <f aca="false">F1740*nioi</f>
        <v>188.6782653407</v>
      </c>
      <c r="G1742" s="11" t="n">
        <f aca="false">G1740*nioi</f>
        <v>191.706930021402</v>
      </c>
    </row>
    <row r="1743" customFormat="false" ht="15" hidden="false" customHeight="false" outlineLevel="0" collapsed="false">
      <c r="A1743" s="0" t="s">
        <v>524</v>
      </c>
      <c r="B1743" s="0" t="s">
        <v>55</v>
      </c>
      <c r="C1743" s="11" t="n">
        <f aca="false">a25_eps</f>
        <v>1249.84</v>
      </c>
      <c r="D1743" s="11" t="n">
        <f aca="false">D1742*1000/shares</f>
        <v>1548.28555816522</v>
      </c>
      <c r="E1743" s="11" t="n">
        <f aca="false">E1742*1000/shares</f>
        <v>1655.09727695955</v>
      </c>
      <c r="F1743" s="11" t="n">
        <f aca="false">F1742*1000/shares</f>
        <v>1739.27666886021</v>
      </c>
      <c r="G1743" s="11" t="n">
        <f aca="false">G1742*1000/shares</f>
        <v>1767.19554869215</v>
      </c>
    </row>
    <row r="1744" customFormat="false" ht="15" hidden="false" customHeight="false" outlineLevel="0" collapsed="false">
      <c r="A1744" s="5" t="s">
        <v>604</v>
      </c>
      <c r="B1744" s="0" t="s">
        <v>33</v>
      </c>
      <c r="C1744" s="16" t="n">
        <f aca="false">ABS(C1734-a25_rev)+ABS(C1740-a25_oi)+ABS(D1734-D1718)+ABS(D1740-D1720)</f>
        <v>0.000999999999976353</v>
      </c>
    </row>
    <row r="1745" customFormat="false" ht="15" hidden="false" customHeight="false" outlineLevel="0" collapsed="false">
      <c r="A1745" s="1" t="s">
        <v>605</v>
      </c>
    </row>
    <row r="1746" customFormat="false" ht="15" hidden="false" customHeight="false" outlineLevel="0" collapsed="false">
      <c r="A1746" s="5" t="s">
        <v>606</v>
      </c>
      <c r="B1746" s="0" t="s">
        <v>60</v>
      </c>
      <c r="C1746" s="14" t="n">
        <f aca="false">a25_gp/a25_rev</f>
        <v>0.701498549974936</v>
      </c>
      <c r="D1746" s="14" t="n">
        <f aca="false">gm_a+gm_b*LN(D1715)+0</f>
        <v>0.716790819473542</v>
      </c>
      <c r="E1746" s="14" t="n">
        <f aca="false">gm_a+gm_b*LN(E1715)+0</f>
        <v>0.720452296548605</v>
      </c>
      <c r="F1746" s="14" t="n">
        <f aca="false">gm_a+gm_b*LN(F1715)+0</f>
        <v>0.724757849348868</v>
      </c>
      <c r="G1746" s="14" t="n">
        <f aca="false">gm_a+gm_b*LN(G1715)+0</f>
        <v>0.725880041394759</v>
      </c>
    </row>
    <row r="1747" customFormat="false" ht="15" hidden="false" customHeight="false" outlineLevel="0" collapsed="false">
      <c r="A1747" s="5" t="s">
        <v>607</v>
      </c>
      <c r="B1747" s="0" t="s">
        <v>33</v>
      </c>
      <c r="C1747" s="11" t="n">
        <f aca="false">a25_oi</f>
        <v>184.989</v>
      </c>
      <c r="D1747" s="11" t="n">
        <f aca="false">D1715*D1746-sg_f-sg_v*D1715</f>
        <v>222.014232917958</v>
      </c>
      <c r="E1747" s="11" t="n">
        <f aca="false">E1715*E1746-sg_f-sg_v*E1715</f>
        <v>231.41119453845</v>
      </c>
      <c r="F1747" s="11" t="n">
        <f aca="false">F1715*F1746-sg_f-sg_v*F1715</f>
        <v>242.933541568982</v>
      </c>
      <c r="G1747" s="11" t="n">
        <f aca="false">G1715*G1746-sg_f-sg_v*G1715</f>
        <v>246.023221879264</v>
      </c>
    </row>
    <row r="1748" customFormat="false" ht="15" hidden="false" customHeight="false" outlineLevel="0" collapsed="false">
      <c r="A1748" s="0" t="s">
        <v>608</v>
      </c>
      <c r="B1748" s="0" t="s">
        <v>55</v>
      </c>
      <c r="C1748" s="11" t="n">
        <f aca="false">a25_eps</f>
        <v>1249.84</v>
      </c>
      <c r="D1748" s="11" t="n">
        <f aca="false">D1747*nioi_v01*1000/shares</f>
        <v>1499.29919049788</v>
      </c>
      <c r="E1748" s="11" t="n">
        <f aca="false">E1747*nioi_v01*1000/shares</f>
        <v>1562.75844158089</v>
      </c>
      <c r="F1748" s="11" t="n">
        <f aca="false">F1747*nioi_v01*1000/shares</f>
        <v>1640.57077526986</v>
      </c>
      <c r="G1748" s="11" t="n">
        <f aca="false">G1747*nioi_v01*1000/shares</f>
        <v>1661.43590237103</v>
      </c>
    </row>
    <row r="1760" customFormat="false" ht="15" hidden="false" customHeight="false" outlineLevel="0" collapsed="false">
      <c r="A1760" s="4" t="s">
        <v>845</v>
      </c>
    </row>
    <row r="1761" customFormat="false" ht="15" hidden="false" customHeight="false" outlineLevel="0" collapsed="false">
      <c r="A1761" s="6" t="s">
        <v>22</v>
      </c>
      <c r="B1761" s="6" t="s">
        <v>23</v>
      </c>
      <c r="C1761" s="9" t="s">
        <v>532</v>
      </c>
      <c r="D1761" s="9" t="s">
        <v>533</v>
      </c>
      <c r="E1761" s="9" t="s">
        <v>534</v>
      </c>
      <c r="F1761" s="9" t="s">
        <v>535</v>
      </c>
      <c r="G1761" s="9" t="s">
        <v>536</v>
      </c>
      <c r="H1761" s="9" t="s">
        <v>537</v>
      </c>
      <c r="I1761" s="9" t="s">
        <v>538</v>
      </c>
      <c r="J1761" s="6" t="s">
        <v>515</v>
      </c>
    </row>
    <row r="1762" customFormat="false" ht="15" hidden="false" customHeight="false" outlineLevel="0" collapsed="false">
      <c r="A1762" s="1" t="s">
        <v>539</v>
      </c>
    </row>
    <row r="1763" customFormat="false" ht="15" hidden="false" customHeight="false" outlineLevel="0" collapsed="false">
      <c r="A1763" s="0" t="s">
        <v>540</v>
      </c>
      <c r="B1763" s="0" t="s">
        <v>100</v>
      </c>
      <c r="C1763" s="19" t="n">
        <f aca="false">hsA_25</f>
        <v>2.22511470588235</v>
      </c>
      <c r="D1763" s="19" t="n">
        <f aca="false">hsA_26</f>
        <v>3.782695</v>
      </c>
      <c r="E1763" s="19" t="n">
        <f aca="false">hsA_27</f>
        <v>5.86317725</v>
      </c>
      <c r="F1763" s="19" t="n">
        <f aca="false">hsA_28</f>
        <v>8.5016070125</v>
      </c>
      <c r="G1763" s="19" t="n">
        <f aca="false">hsA_29</f>
        <v>11.477169466875</v>
      </c>
      <c r="H1763" s="19" t="n">
        <f aca="false">G1763*(1+g_tail)</f>
        <v>12.6248864135625</v>
      </c>
      <c r="I1763" s="19" t="n">
        <f aca="false">H1763*(1+g_tail)</f>
        <v>13.8873750549188</v>
      </c>
      <c r="J1763" s="8" t="s">
        <v>541</v>
      </c>
    </row>
    <row r="1764" customFormat="false" ht="15" hidden="false" customHeight="false" outlineLevel="0" collapsed="false">
      <c r="A1764" s="0" t="s">
        <v>542</v>
      </c>
      <c r="B1764" s="0" t="s">
        <v>543</v>
      </c>
      <c r="C1764" s="19" t="n">
        <f aca="false">den_25</f>
        <v>24</v>
      </c>
      <c r="D1764" s="19" t="n">
        <f aca="false">den_26</f>
        <v>24</v>
      </c>
      <c r="E1764" s="19" t="n">
        <f aca="false">den_27</f>
        <v>26</v>
      </c>
      <c r="F1764" s="19" t="n">
        <f aca="false">den_28</f>
        <v>28</v>
      </c>
      <c r="G1764" s="19" t="n">
        <f aca="false">den_29</f>
        <v>30</v>
      </c>
      <c r="H1764" s="19" t="n">
        <f aca="false">den_30</f>
        <v>32</v>
      </c>
      <c r="I1764" s="19" t="n">
        <f aca="false">den_30</f>
        <v>32</v>
      </c>
    </row>
    <row r="1765" customFormat="false" ht="15" hidden="false" customHeight="false" outlineLevel="0" collapsed="false">
      <c r="A1765" s="5" t="s">
        <v>544</v>
      </c>
      <c r="B1765" s="5" t="s">
        <v>152</v>
      </c>
      <c r="C1765" s="19" t="n">
        <f aca="false">stk_25</f>
        <v>10</v>
      </c>
      <c r="D1765" s="19" t="n">
        <f aca="false">stk_26</f>
        <v>12</v>
      </c>
      <c r="E1765" s="19" t="n">
        <f aca="false">stk_27</f>
        <v>12.5</v>
      </c>
      <c r="F1765" s="19" t="n">
        <f aca="false">stk_28</f>
        <v>14</v>
      </c>
      <c r="G1765" s="19" t="n">
        <f aca="false">stk_29</f>
        <v>15</v>
      </c>
      <c r="H1765" s="19" t="n">
        <f aca="false">stk_30</f>
        <v>16</v>
      </c>
      <c r="I1765" s="19" t="n">
        <f aca="false">stk_30</f>
        <v>16</v>
      </c>
    </row>
    <row r="1766" customFormat="false" ht="15" hidden="false" customHeight="false" outlineLevel="0" collapsed="false">
      <c r="A1766" s="0" t="s">
        <v>545</v>
      </c>
      <c r="B1766" s="5" t="s">
        <v>546</v>
      </c>
      <c r="C1766" s="19" t="n">
        <f aca="false">C1763*8/C1764</f>
        <v>0.741704901960783</v>
      </c>
      <c r="D1766" s="19" t="n">
        <f aca="false">D1763*8/D1764</f>
        <v>1.26089833333333</v>
      </c>
      <c r="E1766" s="19" t="n">
        <f aca="false">E1763*8/E1764</f>
        <v>1.80405453846154</v>
      </c>
      <c r="F1766" s="19" t="n">
        <f aca="false">F1763*8/F1764</f>
        <v>2.429030575</v>
      </c>
      <c r="G1766" s="19" t="n">
        <f aca="false">G1763*8/G1764</f>
        <v>3.0605785245</v>
      </c>
      <c r="H1766" s="19" t="n">
        <f aca="false">H1763*8/H1764</f>
        <v>3.15622160339063</v>
      </c>
      <c r="I1766" s="19" t="n">
        <f aca="false">I1763*8/I1764</f>
        <v>3.47184376372969</v>
      </c>
      <c r="J1766" s="8" t="s">
        <v>547</v>
      </c>
    </row>
    <row r="1767" customFormat="false" ht="15" hidden="false" customHeight="false" outlineLevel="0" collapsed="false">
      <c r="A1767" s="0" t="s">
        <v>548</v>
      </c>
      <c r="B1767" s="5" t="s">
        <v>549</v>
      </c>
      <c r="C1767" s="19" t="n">
        <f aca="false">C1766*(1+s_stk/C1765)</f>
        <v>0.964216372549018</v>
      </c>
      <c r="D1767" s="19" t="n">
        <f aca="false">D1766*(1+s_stk/D1765)</f>
        <v>1.57612291666667</v>
      </c>
      <c r="E1767" s="19" t="n">
        <f aca="false">E1766*(1+s_stk/E1765)</f>
        <v>2.23702762769231</v>
      </c>
      <c r="F1767" s="19" t="n">
        <f aca="false">F1766*(1+s_stk/F1765)</f>
        <v>2.94953712678571</v>
      </c>
      <c r="G1767" s="19" t="n">
        <f aca="false">G1766*(1+s_stk/G1765)</f>
        <v>3.6726942294</v>
      </c>
      <c r="H1767" s="19" t="n">
        <f aca="false">H1766*(1+s_stk/H1765)</f>
        <v>3.74801315402637</v>
      </c>
      <c r="I1767" s="19" t="n">
        <f aca="false">I1766*(1+s_stk/I1765)</f>
        <v>4.12281446942901</v>
      </c>
      <c r="J1767" s="5" t="s">
        <v>550</v>
      </c>
    </row>
    <row r="1768" customFormat="false" ht="15" hidden="false" customHeight="false" outlineLevel="0" collapsed="false">
      <c r="A1768" s="5" t="s">
        <v>551</v>
      </c>
      <c r="B1768" s="0" t="s">
        <v>60</v>
      </c>
      <c r="C1768" s="22" t="n">
        <f aca="false">hbp_25*hb_on</f>
        <v>0</v>
      </c>
      <c r="D1768" s="22" t="n">
        <f aca="false">hbp_26*hb_on</f>
        <v>0</v>
      </c>
      <c r="E1768" s="22" t="n">
        <f aca="false">hbp_27*hb_on</f>
        <v>0</v>
      </c>
      <c r="F1768" s="22" t="n">
        <f aca="false">hbp_28*hb_on</f>
        <v>0.05</v>
      </c>
      <c r="G1768" s="22" t="n">
        <f aca="false">hbp_29*hb_on</f>
        <v>0.15</v>
      </c>
      <c r="H1768" s="22" t="n">
        <f aca="false">hbp_30*hb_on</f>
        <v>0.25</v>
      </c>
      <c r="I1768" s="22" t="n">
        <f aca="false">hbp_30*hb_on</f>
        <v>0.25</v>
      </c>
    </row>
    <row r="1769" customFormat="false" ht="15" hidden="false" customHeight="false" outlineLevel="0" collapsed="false">
      <c r="A1769" s="0" t="s">
        <v>552</v>
      </c>
      <c r="B1769" s="5" t="s">
        <v>549</v>
      </c>
      <c r="C1769" s="19" t="n">
        <f aca="false">C1767*(1+C1768*hb_eff)</f>
        <v>0.964216372549018</v>
      </c>
      <c r="D1769" s="19" t="n">
        <f aca="false">D1767*(1+D1768*hb_eff)</f>
        <v>1.57612291666667</v>
      </c>
      <c r="E1769" s="19" t="n">
        <f aca="false">E1767*(1+E1768*hb_eff)</f>
        <v>2.23702762769231</v>
      </c>
      <c r="F1769" s="19" t="n">
        <f aca="false">F1767*(1+F1768*hb_eff)</f>
        <v>2.96428481241964</v>
      </c>
      <c r="G1769" s="19" t="n">
        <f aca="false">G1767*(1+G1768*hb_eff)</f>
        <v>3.727784642841</v>
      </c>
      <c r="H1769" s="19" t="n">
        <f aca="false">H1767*(1+H1768*hb_eff)</f>
        <v>3.84171348287703</v>
      </c>
      <c r="I1769" s="19" t="n">
        <f aca="false">I1767*(1+I1768*hb_eff)</f>
        <v>4.22588483116473</v>
      </c>
      <c r="J1769" s="5" t="s">
        <v>553</v>
      </c>
    </row>
    <row r="1770" customFormat="false" ht="15" hidden="false" customHeight="false" outlineLevel="0" collapsed="false">
      <c r="A1770" s="0" t="s">
        <v>554</v>
      </c>
      <c r="B1770" s="5" t="s">
        <v>549</v>
      </c>
      <c r="C1770" s="19" t="n">
        <f aca="false">MAX(0,D1769-C1769)+dlt*C1769</f>
        <v>0.70832818137255</v>
      </c>
      <c r="D1770" s="19" t="n">
        <f aca="false">MAX(0,E1769-D1769)+dlt*D1769</f>
        <v>0.818517002692307</v>
      </c>
      <c r="E1770" s="19" t="n">
        <f aca="false">MAX(0,F1769-E1769)+dlt*E1769</f>
        <v>0.950959947496565</v>
      </c>
      <c r="F1770" s="19" t="n">
        <f aca="false">MAX(0,G1769-F1769)+dlt*F1769</f>
        <v>1.05992831166332</v>
      </c>
      <c r="G1770" s="19" t="n">
        <f aca="false">MAX(0,H1769-G1769)+dlt*G1769</f>
        <v>0.486707304320127</v>
      </c>
      <c r="H1770" s="19" t="n">
        <f aca="false">MAX(0,I1769-H1769)+dlt*H1769</f>
        <v>0.768342696575406</v>
      </c>
      <c r="J1770" s="5" t="s">
        <v>555</v>
      </c>
    </row>
    <row r="1771" customFormat="false" ht="15" hidden="false" customHeight="false" outlineLevel="0" collapsed="false">
      <c r="A1771" s="0" t="s">
        <v>556</v>
      </c>
      <c r="B1771" s="5" t="s">
        <v>181</v>
      </c>
      <c r="C1771" s="21" t="n">
        <f aca="false">cw_25</f>
        <v>670</v>
      </c>
      <c r="D1771" s="21" t="n">
        <f aca="false">cw_26</f>
        <v>1107.85762580894</v>
      </c>
      <c r="E1771" s="21" t="n">
        <f aca="false">cw_27</f>
        <v>2096.42857142857</v>
      </c>
      <c r="F1771" s="21" t="n">
        <f aca="false">cw_28*um28_A</f>
        <v>2620.08928571429</v>
      </c>
      <c r="G1771" s="21" t="n">
        <f aca="false">cw_29*um29_A</f>
        <v>3013.32589285714</v>
      </c>
      <c r="H1771" s="21" t="n">
        <f aca="false">G1771*(1+g_tail)</f>
        <v>3314.65848214285</v>
      </c>
      <c r="I1771" s="21" t="n">
        <f aca="false">H1771*(1+g_tail)</f>
        <v>3646.12433035714</v>
      </c>
      <c r="J1771" s="5" t="s">
        <v>557</v>
      </c>
    </row>
    <row r="1772" customFormat="false" ht="15" hidden="false" customHeight="false" outlineLevel="0" collapsed="false">
      <c r="A1772" s="5" t="s">
        <v>558</v>
      </c>
      <c r="B1772" s="5" t="s">
        <v>181</v>
      </c>
      <c r="C1772" s="21" t="n">
        <f aca="false">MAX(0,D1771-C1771)+dlt*C1771</f>
        <v>504.85762580894</v>
      </c>
      <c r="D1772" s="21" t="n">
        <f aca="false">MAX(0,E1771-D1771)+dlt*D1771</f>
        <v>1099.35670820052</v>
      </c>
      <c r="E1772" s="21" t="n">
        <f aca="false">MAX(0,F1771-E1771)+dlt*E1771</f>
        <v>733.303571428577</v>
      </c>
      <c r="F1772" s="21" t="n">
        <f aca="false">MAX(0,G1771-F1771)+dlt*F1771</f>
        <v>655.245535714279</v>
      </c>
      <c r="G1772" s="21" t="n">
        <f aca="false">MAX(0,H1771-G1771)+dlt*G1771</f>
        <v>602.665178571428</v>
      </c>
      <c r="H1772" s="21" t="n">
        <f aca="false">MAX(0,I1771-H1771)+dlt*H1771</f>
        <v>662.931696428571</v>
      </c>
    </row>
    <row r="1773" customFormat="false" ht="15" hidden="false" customHeight="false" outlineLevel="0" collapsed="false">
      <c r="A1773" s="1" t="s">
        <v>559</v>
      </c>
    </row>
    <row r="1774" customFormat="false" ht="15" hidden="false" customHeight="false" outlineLevel="0" collapsed="false">
      <c r="A1774" s="0" t="s">
        <v>560</v>
      </c>
      <c r="B1774" s="0" t="s">
        <v>561</v>
      </c>
      <c r="C1774" s="16" t="n">
        <f aca="false">ai_25*w_hbm/(0.75*C1770+0.25*D1770)</f>
        <v>48.9213264236471</v>
      </c>
      <c r="J1774" s="5" t="s">
        <v>562</v>
      </c>
    </row>
    <row r="1775" customFormat="false" ht="15" hidden="false" customHeight="false" outlineLevel="0" collapsed="false">
      <c r="A1775" s="5" t="s">
        <v>563</v>
      </c>
      <c r="B1775" s="0" t="s">
        <v>564</v>
      </c>
      <c r="C1775" s="18" t="n">
        <f aca="false">ai_25*(1-w_hbm)/(0.75*C1772+0.25*D1772)</f>
        <v>0.0596802610360141</v>
      </c>
    </row>
    <row r="1776" customFormat="false" ht="15" hidden="false" customHeight="false" outlineLevel="0" collapsed="false">
      <c r="A1776" s="1" t="s">
        <v>565</v>
      </c>
    </row>
    <row r="1777" customFormat="false" ht="15" hidden="false" customHeight="false" outlineLevel="0" collapsed="false">
      <c r="A1777" s="5" t="s">
        <v>566</v>
      </c>
      <c r="B1777" s="0" t="s">
        <v>80</v>
      </c>
      <c r="C1777" s="16" t="n">
        <f aca="false">1-sh_loss/sh*0</f>
        <v>1</v>
      </c>
      <c r="D1777" s="16" t="n">
        <f aca="false">1-sh_loss/sh*0.25</f>
        <v>1</v>
      </c>
      <c r="E1777" s="16" t="n">
        <f aca="false">1-sh_loss/sh*0.5</f>
        <v>1</v>
      </c>
      <c r="F1777" s="16" t="n">
        <f aca="false">1-sh_loss/sh*0.75</f>
        <v>1</v>
      </c>
      <c r="G1777" s="16" t="n">
        <f aca="false">1-sh_loss/sh*1</f>
        <v>1</v>
      </c>
    </row>
    <row r="1778" customFormat="false" ht="15" hidden="false" customHeight="false" outlineLevel="0" collapsed="false">
      <c r="A1778" s="0" t="s">
        <v>567</v>
      </c>
      <c r="B1778" s="0" t="s">
        <v>33</v>
      </c>
      <c r="C1778" s="11" t="n">
        <f aca="false">$C$1774*(0.75*C1770+0.25*D1770)*C1777</f>
        <v>36</v>
      </c>
      <c r="D1778" s="11" t="n">
        <f aca="false">$C$1774*(0.75*D1770+0.25*E1770)*D1777</f>
        <v>41.6627586058351</v>
      </c>
      <c r="E1778" s="11" t="n">
        <f aca="false">$C$1774*(0.75*E1770+0.25*F1770)*E1777</f>
        <v>47.8549412356069</v>
      </c>
      <c r="F1778" s="11" t="n">
        <f aca="false">$C$1774*(0.75*F1770+0.25*G1770)*F1777</f>
        <v>44.8424159172644</v>
      </c>
      <c r="G1778" s="11" t="n">
        <f aca="false">$C$1774*(0.75*G1770+0.25*H1770)*G1777</f>
        <v>27.2548611466613</v>
      </c>
    </row>
    <row r="1779" customFormat="false" ht="15" hidden="false" customHeight="false" outlineLevel="0" collapsed="false">
      <c r="A1779" s="5" t="s">
        <v>568</v>
      </c>
      <c r="B1779" s="0" t="s">
        <v>33</v>
      </c>
      <c r="C1779" s="11" t="n">
        <f aca="false">$C$1775*(0.75*C1772+0.25*D1772)*C1777</f>
        <v>39</v>
      </c>
      <c r="D1779" s="11" t="n">
        <f aca="false">$C$1775*(0.75*D1772+0.25*E1772)*D1777</f>
        <v>60.1483586282001</v>
      </c>
      <c r="E1779" s="11" t="n">
        <f aca="false">$C$1775*(0.75*E1772+0.25*F1772)*E1777</f>
        <v>42.5991175746519</v>
      </c>
      <c r="F1779" s="11" t="n">
        <f aca="false">$C$1775*(0.75*F1772+0.25*G1772)*F1777</f>
        <v>38.320722254198</v>
      </c>
      <c r="G1779" s="11" t="n">
        <f aca="false">$C$1775*(0.75*G1772+0.25*H1772)*G1777</f>
        <v>36.8663955538204</v>
      </c>
    </row>
    <row r="1780" customFormat="false" ht="15" hidden="false" customHeight="false" outlineLevel="0" collapsed="false">
      <c r="A1780" s="0" t="s">
        <v>569</v>
      </c>
      <c r="B1780" s="0" t="s">
        <v>33</v>
      </c>
      <c r="C1780" s="11" t="n">
        <f aca="false">C1778+C1779</f>
        <v>75</v>
      </c>
      <c r="D1780" s="11" t="n">
        <f aca="false">D1778+D1779</f>
        <v>101.811117234035</v>
      </c>
      <c r="E1780" s="11" t="n">
        <f aca="false">E1778+E1779</f>
        <v>90.4540588102588</v>
      </c>
      <c r="F1780" s="11" t="n">
        <f aca="false">F1778+F1779</f>
        <v>83.1631381714624</v>
      </c>
      <c r="G1780" s="11" t="n">
        <f aca="false">G1778+G1779</f>
        <v>64.1212567004817</v>
      </c>
    </row>
    <row r="1781" customFormat="false" ht="15" hidden="false" customHeight="false" outlineLevel="0" collapsed="false">
      <c r="A1781" s="5" t="s">
        <v>570</v>
      </c>
      <c r="B1781" s="0" t="s">
        <v>33</v>
      </c>
      <c r="C1781" s="11" t="n">
        <f aca="false">eq_25-ai_25</f>
        <v>195.87118</v>
      </c>
      <c r="D1781" s="11" t="n">
        <f aca="false">C1781*(1+g_non)*D1777/C1777</f>
        <v>207.6234508</v>
      </c>
      <c r="E1781" s="11" t="n">
        <f aca="false">D1781*(1+g_non)*E1777/D1777</f>
        <v>220.080857848</v>
      </c>
      <c r="F1781" s="11" t="n">
        <f aca="false">E1781*(1+g_non)*F1777/E1777</f>
        <v>233.28570931888</v>
      </c>
      <c r="G1781" s="11" t="n">
        <f aca="false">F1781*(1+g_non)*G1777/F1777</f>
        <v>247.282851878013</v>
      </c>
    </row>
    <row r="1782" customFormat="false" ht="15" hidden="false" customHeight="false" outlineLevel="0" collapsed="false">
      <c r="A1782" s="0" t="s">
        <v>571</v>
      </c>
      <c r="B1782" s="0" t="s">
        <v>80</v>
      </c>
      <c r="C1782" s="19" t="n">
        <f aca="false">w_hbm*(0.75*C1769+0.25*D1769)/(0.75*C1769+0.25*D1769)+(1-w_hbm)*(0.75*C1771+0.25*D1771)/(0.75*C1771+0.25*D1771)</f>
        <v>1</v>
      </c>
      <c r="D1782" s="19" t="n">
        <f aca="false">w_hbm*(0.75*D1769+0.25*E1769)/(0.75*C1769+0.25*D1769)+(1-w_hbm)*(0.75*D1771+0.25*E1771)/(0.75*C1771+0.25*D1771)</f>
        <v>1.65212184085657</v>
      </c>
      <c r="E1782" s="19" t="n">
        <f aca="false">w_hbm*(0.75*E1769+0.25*F1769)/(0.75*C1769+0.25*D1769)+(1-w_hbm)*(0.75*E1771+0.25*F1771)/(0.75*C1771+0.25*D1771)</f>
        <v>2.52516730417954</v>
      </c>
      <c r="F1782" s="19" t="n">
        <f aca="false">w_hbm*(0.75*F1769+0.25*G1769)/(0.75*C1769+0.25*D1769)+(1-w_hbm)*(0.75*F1771+0.25*G1771)/(0.75*C1771+0.25*D1771)</f>
        <v>3.16911970169284</v>
      </c>
      <c r="G1782" s="19" t="n">
        <f aca="false">w_hbm*(0.75*G1769+0.25*H1769)/(0.75*C1769+0.25*D1769)+(1-w_hbm)*(0.75*G1771+0.25*H1771)/(0.75*C1771+0.25*D1771)</f>
        <v>3.67439430985121</v>
      </c>
      <c r="J1782" s="8" t="s">
        <v>572</v>
      </c>
    </row>
    <row r="1783" customFormat="false" ht="15" hidden="false" customHeight="false" outlineLevel="0" collapsed="false">
      <c r="A1783" s="0" t="s">
        <v>573</v>
      </c>
      <c r="B1783" s="0" t="s">
        <v>33</v>
      </c>
      <c r="C1783" s="11" t="n">
        <f aca="false">tl_25*w_tlai_hi*C1782</f>
        <v>36.698676</v>
      </c>
      <c r="D1783" s="11" t="n">
        <f aca="false">tl_25*w_tlai_hi*D1782</f>
        <v>60.6306841501188</v>
      </c>
      <c r="E1783" s="11" t="n">
        <f aca="false">tl_25*w_tlai_hi*E1782</f>
        <v>92.6702967418782</v>
      </c>
      <c r="F1783" s="11" t="n">
        <f aca="false">tl_25*w_tlai_hi*F1782</f>
        <v>116.302497137642</v>
      </c>
      <c r="G1783" s="11" t="n">
        <f aca="false">tl_25*w_tlai_hi*G1782</f>
        <v>134.845406273473</v>
      </c>
      <c r="J1783" s="5" t="s">
        <v>574</v>
      </c>
    </row>
    <row r="1784" customFormat="false" ht="15" hidden="false" customHeight="false" outlineLevel="0" collapsed="false">
      <c r="A1784" s="5" t="s">
        <v>575</v>
      </c>
      <c r="B1784" s="0" t="s">
        <v>33</v>
      </c>
      <c r="C1784" s="11" t="n">
        <f aca="false">tl_25*(1-w_tlai_hi)</f>
        <v>55.048014</v>
      </c>
      <c r="D1784" s="11" t="n">
        <f aca="false">C1784*(1+g_tl)</f>
        <v>57.8004147</v>
      </c>
      <c r="E1784" s="11" t="n">
        <f aca="false">D1784*(1+g_tl)</f>
        <v>60.690435435</v>
      </c>
      <c r="F1784" s="11" t="n">
        <f aca="false">E1784*(1+g_tl)</f>
        <v>63.72495720675</v>
      </c>
      <c r="G1784" s="11" t="n">
        <f aca="false">F1784*(1+g_tl)</f>
        <v>66.9112050670875</v>
      </c>
    </row>
    <row r="1785" customFormat="false" ht="15" hidden="false" customHeight="false" outlineLevel="0" collapsed="false">
      <c r="A1785" s="5" t="s">
        <v>576</v>
      </c>
      <c r="B1785" s="0" t="s">
        <v>33</v>
      </c>
      <c r="C1785" s="11" t="n">
        <f aca="false">(C1780+C1781+C1783+C1784)*(1+r_ot)</f>
        <v>436.889</v>
      </c>
      <c r="D1785" s="11" t="n">
        <f aca="false">(D1780+D1781+D1783+D1784)*(1+r_ot)</f>
        <v>515.500803474884</v>
      </c>
      <c r="E1785" s="11" t="n">
        <f aca="false">(E1780+E1781+E1783+E1784)*(1+r_ot)</f>
        <v>558.910420283298</v>
      </c>
      <c r="F1785" s="11" t="n">
        <f aca="false">(F1780+F1781+F1783+F1784)*(1+r_ot)</f>
        <v>598.164219077994</v>
      </c>
      <c r="G1785" s="11" t="n">
        <f aca="false">(G1780+G1781+G1783+G1784)*(1+r_ot)</f>
        <v>618.26592761332</v>
      </c>
      <c r="J1785" s="8" t="s">
        <v>577</v>
      </c>
    </row>
    <row r="1786" customFormat="false" ht="15" hidden="false" customHeight="false" outlineLevel="0" collapsed="false">
      <c r="A1786" s="1" t="s">
        <v>578</v>
      </c>
    </row>
    <row r="1787" customFormat="false" ht="15" hidden="false" customHeight="false" outlineLevel="0" collapsed="false">
      <c r="A1787" s="5" t="s">
        <v>579</v>
      </c>
      <c r="B1787" s="0" t="s">
        <v>33</v>
      </c>
      <c r="D1787" s="11" t="n">
        <f aca="false">g3_rev*(1+g_q4)</f>
        <v>145.6862</v>
      </c>
    </row>
    <row r="1788" customFormat="false" ht="15" hidden="false" customHeight="false" outlineLevel="0" collapsed="false">
      <c r="A1788" s="0" t="s">
        <v>580</v>
      </c>
      <c r="B1788" s="0" t="s">
        <v>33</v>
      </c>
      <c r="D1788" s="11" t="n">
        <f aca="false">q26h1_rev+g3_rev+D1787</f>
        <v>535.1862</v>
      </c>
    </row>
    <row r="1789" customFormat="false" ht="15" hidden="false" customHeight="false" outlineLevel="0" collapsed="false">
      <c r="A1789" s="0" t="s">
        <v>581</v>
      </c>
      <c r="B1789" s="0" t="s">
        <v>33</v>
      </c>
      <c r="D1789" s="11" t="n">
        <f aca="false">q26h1_gp+(g3_rev+D1787)*gm_q3</f>
        <v>378.0504836</v>
      </c>
    </row>
    <row r="1790" customFormat="false" ht="15" hidden="false" customHeight="false" outlineLevel="0" collapsed="false">
      <c r="A1790" s="0" t="s">
        <v>582</v>
      </c>
      <c r="B1790" s="0" t="s">
        <v>33</v>
      </c>
      <c r="D1790" s="11" t="n">
        <f aca="false">q26h1_oi+g3_oi+D1787*m_q4</f>
        <v>238.5671</v>
      </c>
    </row>
    <row r="1791" customFormat="false" ht="15" hidden="false" customHeight="false" outlineLevel="0" collapsed="false">
      <c r="A1791" s="0" t="s">
        <v>583</v>
      </c>
      <c r="B1791" s="0" t="s">
        <v>33</v>
      </c>
      <c r="D1791" s="11" t="n">
        <f aca="false">q26h1_ni+g3_ni+D1787*m_q4*nioi</f>
        <v>167.95938138934</v>
      </c>
    </row>
    <row r="1792" customFormat="false" ht="15" hidden="false" customHeight="false" outlineLevel="0" collapsed="false">
      <c r="A1792" s="5" t="s">
        <v>584</v>
      </c>
      <c r="B1792" s="0" t="s">
        <v>80</v>
      </c>
      <c r="D1792" s="16" t="n">
        <f aca="false">D1788/D1785</f>
        <v>1.0381869366496</v>
      </c>
      <c r="J1792" s="8" t="s">
        <v>585</v>
      </c>
    </row>
    <row r="1793" customFormat="false" ht="15" hidden="false" customHeight="false" outlineLevel="0" collapsed="false">
      <c r="A1793" s="5" t="s">
        <v>586</v>
      </c>
      <c r="B1793" s="0" t="s">
        <v>80</v>
      </c>
      <c r="D1793" s="16" t="n">
        <f aca="false">1+anc_carry*(D1792-1)</f>
        <v>1.0381869366496</v>
      </c>
      <c r="J1793" s="8" t="s">
        <v>587</v>
      </c>
    </row>
    <row r="1794" customFormat="false" ht="15" hidden="false" customHeight="false" outlineLevel="0" collapsed="false">
      <c r="A1794" s="1" t="s">
        <v>588</v>
      </c>
    </row>
    <row r="1795" customFormat="false" ht="15" hidden="false" customHeight="false" outlineLevel="0" collapsed="false">
      <c r="A1795" s="0" t="s">
        <v>589</v>
      </c>
      <c r="B1795" s="0" t="s">
        <v>33</v>
      </c>
      <c r="C1795" s="11" t="n">
        <f aca="false">C1778*1</f>
        <v>36</v>
      </c>
      <c r="D1795" s="11" t="n">
        <f aca="false">D1778*$D$1792</f>
        <v>43.2537317293639</v>
      </c>
      <c r="E1795" s="11" t="n">
        <f aca="false">E1778*1</f>
        <v>47.8549412356069</v>
      </c>
      <c r="F1795" s="11" t="n">
        <f aca="false">F1778*1</f>
        <v>44.8424159172644</v>
      </c>
      <c r="G1795" s="11" t="n">
        <f aca="false">G1778*1</f>
        <v>27.2548611466613</v>
      </c>
    </row>
    <row r="1796" customFormat="false" ht="15" hidden="false" customHeight="false" outlineLevel="0" collapsed="false">
      <c r="A1796" s="5" t="s">
        <v>590</v>
      </c>
      <c r="B1796" s="0" t="s">
        <v>33</v>
      </c>
      <c r="C1796" s="11" t="n">
        <f aca="false">C1779*1</f>
        <v>39</v>
      </c>
      <c r="D1796" s="11" t="n">
        <f aca="false">D1779*$D$1792</f>
        <v>62.4452401887128</v>
      </c>
      <c r="E1796" s="11" t="n">
        <f aca="false">E1779*1</f>
        <v>42.5991175746519</v>
      </c>
      <c r="F1796" s="11" t="n">
        <f aca="false">F1779*1</f>
        <v>38.320722254198</v>
      </c>
      <c r="G1796" s="11" t="n">
        <f aca="false">G1779*1</f>
        <v>36.8663955538204</v>
      </c>
    </row>
    <row r="1797" customFormat="false" ht="15" hidden="false" customHeight="false" outlineLevel="0" collapsed="false">
      <c r="A1797" s="0" t="s">
        <v>591</v>
      </c>
      <c r="B1797" s="0" t="s">
        <v>33</v>
      </c>
      <c r="C1797" s="11" t="n">
        <f aca="false">C1795+C1796</f>
        <v>75</v>
      </c>
      <c r="D1797" s="11" t="n">
        <f aca="false">D1795+D1796</f>
        <v>105.698971918077</v>
      </c>
      <c r="E1797" s="11" t="n">
        <f aca="false">E1795+E1796</f>
        <v>90.4540588102588</v>
      </c>
      <c r="F1797" s="11" t="n">
        <f aca="false">F1795+F1796</f>
        <v>83.1631381714624</v>
      </c>
      <c r="G1797" s="11" t="n">
        <f aca="false">G1795+G1796</f>
        <v>64.1212567004817</v>
      </c>
    </row>
    <row r="1798" customFormat="false" ht="15" hidden="false" customHeight="false" outlineLevel="0" collapsed="false">
      <c r="A1798" s="5" t="s">
        <v>592</v>
      </c>
      <c r="B1798" s="0" t="s">
        <v>33</v>
      </c>
      <c r="C1798" s="11" t="n">
        <f aca="false">C1781*1</f>
        <v>195.87118</v>
      </c>
      <c r="D1798" s="11" t="n">
        <f aca="false">D1781*$D$1792</f>
        <v>215.551954362672</v>
      </c>
      <c r="E1798" s="11" t="n">
        <f aca="false">E1781*$D$1793</f>
        <v>228.485071624432</v>
      </c>
      <c r="F1798" s="11" t="n">
        <f aca="false">F1781*$D$1793</f>
        <v>242.194175921898</v>
      </c>
      <c r="G1798" s="11" t="n">
        <f aca="false">G1781*$D$1793</f>
        <v>256.725826477212</v>
      </c>
    </row>
    <row r="1799" customFormat="false" ht="15" hidden="false" customHeight="false" outlineLevel="0" collapsed="false">
      <c r="A1799" s="5" t="s">
        <v>593</v>
      </c>
      <c r="B1799" s="0" t="s">
        <v>33</v>
      </c>
      <c r="C1799" s="11" t="n">
        <f aca="false">C1797+C1798</f>
        <v>270.87118</v>
      </c>
      <c r="D1799" s="11" t="n">
        <f aca="false">D1797+D1798</f>
        <v>321.250926280749</v>
      </c>
      <c r="E1799" s="11" t="n">
        <f aca="false">E1797+E1798</f>
        <v>318.939130434691</v>
      </c>
      <c r="F1799" s="11" t="n">
        <f aca="false">F1797+F1798</f>
        <v>325.357314093361</v>
      </c>
      <c r="G1799" s="11" t="n">
        <f aca="false">G1797+G1798</f>
        <v>320.847083177694</v>
      </c>
    </row>
    <row r="1800" customFormat="false" ht="15" hidden="false" customHeight="false" outlineLevel="0" collapsed="false">
      <c r="A1800" s="0" t="s">
        <v>594</v>
      </c>
      <c r="B1800" s="0" t="s">
        <v>33</v>
      </c>
      <c r="C1800" s="11" t="n">
        <f aca="false">C1783*1</f>
        <v>36.698676</v>
      </c>
      <c r="D1800" s="11" t="n">
        <f aca="false">D1783*$D$1792</f>
        <v>62.9459842447816</v>
      </c>
      <c r="E1800" s="11" t="n">
        <f aca="false">E1783*1</f>
        <v>92.6702967418782</v>
      </c>
      <c r="F1800" s="11" t="n">
        <f aca="false">F1783*1</f>
        <v>116.302497137642</v>
      </c>
      <c r="G1800" s="11" t="n">
        <f aca="false">G1783*1</f>
        <v>134.845406273473</v>
      </c>
    </row>
    <row r="1801" customFormat="false" ht="15" hidden="false" customHeight="false" outlineLevel="0" collapsed="false">
      <c r="A1801" s="5" t="s">
        <v>595</v>
      </c>
      <c r="B1801" s="0" t="s">
        <v>33</v>
      </c>
      <c r="C1801" s="11" t="n">
        <f aca="false">C1784*1</f>
        <v>55.048014</v>
      </c>
      <c r="D1801" s="11" t="n">
        <f aca="false">D1784*$D$1792</f>
        <v>60.0076354744698</v>
      </c>
      <c r="E1801" s="11" t="n">
        <f aca="false">E1784*$D$1793</f>
        <v>63.0080172481933</v>
      </c>
      <c r="F1801" s="11" t="n">
        <f aca="false">F1784*$D$1793</f>
        <v>66.1584181106029</v>
      </c>
      <c r="G1801" s="11" t="n">
        <f aca="false">G1784*$D$1793</f>
        <v>69.4663390161331</v>
      </c>
    </row>
    <row r="1802" customFormat="false" ht="15" hidden="false" customHeight="false" outlineLevel="0" collapsed="false">
      <c r="A1802" s="5" t="s">
        <v>596</v>
      </c>
      <c r="B1802" s="0" t="s">
        <v>33</v>
      </c>
      <c r="C1802" s="11" t="n">
        <f aca="false">C1800+C1801</f>
        <v>91.74669</v>
      </c>
      <c r="D1802" s="11" t="n">
        <f aca="false">D1800+D1801</f>
        <v>122.953619719251</v>
      </c>
      <c r="E1802" s="11" t="n">
        <f aca="false">E1800+E1801</f>
        <v>155.678313990072</v>
      </c>
      <c r="F1802" s="11" t="n">
        <f aca="false">F1800+F1801</f>
        <v>182.460915248245</v>
      </c>
      <c r="G1802" s="11" t="n">
        <f aca="false">G1800+G1801</f>
        <v>204.311745289606</v>
      </c>
    </row>
    <row r="1803" customFormat="false" ht="15" hidden="false" customHeight="false" outlineLevel="0" collapsed="false">
      <c r="A1803" s="5" t="s">
        <v>458</v>
      </c>
      <c r="B1803" s="0" t="s">
        <v>33</v>
      </c>
      <c r="C1803" s="11" t="n">
        <f aca="false">r_ot*(C1799+C1802)</f>
        <v>74.27113</v>
      </c>
      <c r="D1803" s="11" t="n">
        <f aca="false">r_ot*(D1799+D1802)</f>
        <v>90.981654</v>
      </c>
      <c r="E1803" s="11" t="n">
        <f aca="false">r_ot*(E1799+E1802)</f>
        <v>97.2108018701321</v>
      </c>
      <c r="F1803" s="11" t="n">
        <f aca="false">r_ot*(F1799+F1802)</f>
        <v>104.010962636233</v>
      </c>
      <c r="G1803" s="11" t="n">
        <f aca="false">r_ot*(G1799+G1802)</f>
        <v>107.562651613784</v>
      </c>
    </row>
    <row r="1804" customFormat="false" ht="15" hidden="false" customHeight="false" outlineLevel="0" collapsed="false">
      <c r="A1804" s="5" t="s">
        <v>428</v>
      </c>
      <c r="B1804" s="0" t="s">
        <v>33</v>
      </c>
      <c r="C1804" s="11" t="n">
        <f aca="false">C1799+C1802+C1803</f>
        <v>436.889</v>
      </c>
      <c r="D1804" s="11" t="n">
        <f aca="false">D1799+D1802+D1803</f>
        <v>535.1862</v>
      </c>
      <c r="E1804" s="11" t="n">
        <f aca="false">E1799+E1802+E1803</f>
        <v>571.828246294895</v>
      </c>
      <c r="F1804" s="11" t="n">
        <f aca="false">F1799+F1802+F1803</f>
        <v>611.829191977838</v>
      </c>
      <c r="G1804" s="11" t="n">
        <f aca="false">G1799+G1802+G1803</f>
        <v>632.721480081085</v>
      </c>
      <c r="J1804" s="8" t="s">
        <v>597</v>
      </c>
    </row>
    <row r="1805" customFormat="false" ht="15" hidden="false" customHeight="false" outlineLevel="0" collapsed="false">
      <c r="A1805" s="0" t="s">
        <v>598</v>
      </c>
      <c r="B1805" s="0" t="s">
        <v>60</v>
      </c>
      <c r="C1805" s="14" t="n">
        <f aca="false">(C1797+C1800)*(1+r_ot)/C1804</f>
        <v>0.308034118671537</v>
      </c>
      <c r="D1805" s="14" t="n">
        <f aca="false">(D1797+D1800)*(1+r_ot)/D1804</f>
        <v>0.379656078897622</v>
      </c>
      <c r="E1805" s="14" t="n">
        <f aca="false">(E1797+E1800)*(1+r_ot)/E1804</f>
        <v>0.385835703477111</v>
      </c>
      <c r="F1805" s="14" t="n">
        <f aca="false">(F1797+F1800)*(1+r_ot)/F1804</f>
        <v>0.392789434848991</v>
      </c>
      <c r="G1805" s="14" t="n">
        <f aca="false">(G1797+G1800)*(1+r_ot)/G1804</f>
        <v>0.378869500403617</v>
      </c>
    </row>
    <row r="1806" customFormat="false" ht="15" hidden="false" customHeight="false" outlineLevel="0" collapsed="false">
      <c r="A1806" s="0" t="s">
        <v>599</v>
      </c>
      <c r="B1806" s="0" t="s">
        <v>60</v>
      </c>
      <c r="C1806" s="14" t="n">
        <f aca="false">C1797*(1+r_ot)/C1804</f>
        <v>0.206829299394429</v>
      </c>
      <c r="D1806" s="14" t="n">
        <f aca="false">D1797*(1+r_ot)/D1804</f>
        <v>0.237951126051908</v>
      </c>
      <c r="E1806" s="14" t="n">
        <f aca="false">E1797*(1+r_ot)/E1804</f>
        <v>0.190583089333957</v>
      </c>
      <c r="F1806" s="14" t="n">
        <f aca="false">F1797*(1+r_ot)/F1804</f>
        <v>0.163765562885139</v>
      </c>
      <c r="G1806" s="14" t="n">
        <f aca="false">G1797*(1+r_ot)/G1804</f>
        <v>0.122098788451529</v>
      </c>
      <c r="J1806" s="5" t="s">
        <v>600</v>
      </c>
    </row>
    <row r="1807" customFormat="false" ht="15" hidden="false" customHeight="false" outlineLevel="0" collapsed="false">
      <c r="A1807" s="5" t="s">
        <v>466</v>
      </c>
      <c r="B1807" s="0" t="s">
        <v>60</v>
      </c>
      <c r="C1807" s="14" t="n">
        <f aca="false">a25_gp/a25_rev</f>
        <v>0.701498549974936</v>
      </c>
      <c r="D1807" s="14" t="n">
        <f aca="false">D1789/D1804</f>
        <v>0.70639056761927</v>
      </c>
      <c r="E1807" s="14" t="n">
        <f aca="false">gm_a+gm_b*LN(E1804)+0</f>
        <v>0.733091104424116</v>
      </c>
      <c r="F1807" s="14" t="n">
        <f aca="false">gm_a+gm_b*LN(F1804)+0</f>
        <v>0.740787386072368</v>
      </c>
      <c r="G1807" s="14" t="n">
        <f aca="false">gm_a+gm_b*LN(G1804)+0</f>
        <v>0.744609340780325</v>
      </c>
      <c r="J1807" s="8" t="s">
        <v>601</v>
      </c>
    </row>
    <row r="1808" customFormat="false" ht="15" hidden="false" customHeight="false" outlineLevel="0" collapsed="false">
      <c r="A1808" s="5" t="s">
        <v>463</v>
      </c>
      <c r="B1808" s="0" t="s">
        <v>33</v>
      </c>
      <c r="C1808" s="11" t="n">
        <f aca="false">C1804*C1807</f>
        <v>306.477</v>
      </c>
      <c r="D1808" s="11" t="n">
        <f aca="false">D1804*D1807</f>
        <v>378.0504836</v>
      </c>
      <c r="E1808" s="11" t="n">
        <f aca="false">E1804*E1807</f>
        <v>419.20220061723</v>
      </c>
      <c r="F1808" s="11" t="n">
        <f aca="false">F1804*F1807</f>
        <v>453.235347848032</v>
      </c>
      <c r="G1808" s="11" t="n">
        <f aca="false">G1804*G1807</f>
        <v>471.130324180728</v>
      </c>
    </row>
    <row r="1809" customFormat="false" ht="15" hidden="false" customHeight="false" outlineLevel="0" collapsed="false">
      <c r="A1809" s="5" t="s">
        <v>464</v>
      </c>
      <c r="B1809" s="0" t="s">
        <v>33</v>
      </c>
      <c r="C1809" s="11" t="n">
        <f aca="false">a25_sga</f>
        <v>121.487</v>
      </c>
      <c r="D1809" s="11" t="n">
        <f aca="false">D1808-D1790</f>
        <v>139.4833836</v>
      </c>
      <c r="E1809" s="11" t="n">
        <f aca="false">sg_f+sg_v*E1804</f>
        <v>152.433940867309</v>
      </c>
      <c r="F1809" s="11" t="n">
        <f aca="false">sg_f+sg_v*F1804</f>
        <v>162.528860891129</v>
      </c>
      <c r="G1809" s="11" t="n">
        <f aca="false">sg_f+sg_v*G1804</f>
        <v>167.801385675632</v>
      </c>
      <c r="J1809" s="8" t="s">
        <v>602</v>
      </c>
    </row>
    <row r="1810" customFormat="false" ht="15" hidden="false" customHeight="false" outlineLevel="0" collapsed="false">
      <c r="A1810" s="5" t="s">
        <v>432</v>
      </c>
      <c r="B1810" s="0" t="s">
        <v>33</v>
      </c>
      <c r="C1810" s="11" t="n">
        <f aca="false">C1808-C1809</f>
        <v>184.99</v>
      </c>
      <c r="D1810" s="11" t="n">
        <f aca="false">D1808-D1809</f>
        <v>238.5671</v>
      </c>
      <c r="E1810" s="11" t="n">
        <f aca="false">E1808-E1809</f>
        <v>266.76825974992</v>
      </c>
      <c r="F1810" s="11" t="n">
        <f aca="false">F1808-F1809</f>
        <v>290.706486956903</v>
      </c>
      <c r="G1810" s="11" t="n">
        <f aca="false">G1808-G1809</f>
        <v>303.328938505096</v>
      </c>
    </row>
    <row r="1811" customFormat="false" ht="15" hidden="false" customHeight="false" outlineLevel="0" collapsed="false">
      <c r="A1811" s="5" t="s">
        <v>603</v>
      </c>
      <c r="B1811" s="0" t="s">
        <v>60</v>
      </c>
      <c r="C1811" s="14" t="n">
        <f aca="false">C1810/C1804</f>
        <v>0.423425629851061</v>
      </c>
      <c r="D1811" s="14" t="n">
        <f aca="false">D1810/D1804</f>
        <v>0.445764670314743</v>
      </c>
      <c r="E1811" s="14" t="n">
        <f aca="false">E1810/E1804</f>
        <v>0.466518157293592</v>
      </c>
      <c r="F1811" s="14" t="n">
        <f aca="false">F1810/F1804</f>
        <v>0.475143211158569</v>
      </c>
      <c r="G1811" s="14" t="n">
        <f aca="false">G1810/G1804</f>
        <v>0.479403573379908</v>
      </c>
    </row>
    <row r="1812" customFormat="false" ht="15" hidden="false" customHeight="false" outlineLevel="0" collapsed="false">
      <c r="A1812" s="5" t="s">
        <v>435</v>
      </c>
      <c r="B1812" s="0" t="s">
        <v>33</v>
      </c>
      <c r="C1812" s="11" t="n">
        <f aca="false">a25_ni</f>
        <v>135.521</v>
      </c>
      <c r="D1812" s="11" t="n">
        <f aca="false">D1791</f>
        <v>167.95938138934</v>
      </c>
      <c r="E1812" s="11" t="n">
        <f aca="false">E1810*nioi</f>
        <v>192.386706432453</v>
      </c>
      <c r="F1812" s="11" t="n">
        <f aca="false">F1810*nioi</f>
        <v>209.650367013739</v>
      </c>
      <c r="G1812" s="11" t="n">
        <f aca="false">G1810*nioi</f>
        <v>218.753368557988</v>
      </c>
    </row>
    <row r="1813" customFormat="false" ht="15" hidden="false" customHeight="false" outlineLevel="0" collapsed="false">
      <c r="A1813" s="0" t="s">
        <v>524</v>
      </c>
      <c r="B1813" s="0" t="s">
        <v>55</v>
      </c>
      <c r="C1813" s="11" t="n">
        <f aca="false">a25_eps</f>
        <v>1249.84</v>
      </c>
      <c r="D1813" s="11" t="n">
        <f aca="false">D1812*1000/shares</f>
        <v>1548.28555816522</v>
      </c>
      <c r="E1813" s="11" t="n">
        <f aca="false">E1812*1000/shares</f>
        <v>1773.46187327196</v>
      </c>
      <c r="F1813" s="11" t="n">
        <f aca="false">F1812*1000/shares</f>
        <v>1932.60199475831</v>
      </c>
      <c r="G1813" s="11" t="n">
        <f aca="false">G1812*1000/shares</f>
        <v>2016.51541305226</v>
      </c>
    </row>
    <row r="1814" customFormat="false" ht="15" hidden="false" customHeight="false" outlineLevel="0" collapsed="false">
      <c r="A1814" s="5" t="s">
        <v>604</v>
      </c>
      <c r="B1814" s="0" t="s">
        <v>33</v>
      </c>
      <c r="C1814" s="16" t="n">
        <f aca="false">ABS(C1804-a25_rev)+ABS(C1810-a25_oi)+ABS(D1804-D1788)+ABS(D1810-D1790)</f>
        <v>0.000999999999976353</v>
      </c>
    </row>
    <row r="1815" customFormat="false" ht="15" hidden="false" customHeight="false" outlineLevel="0" collapsed="false">
      <c r="A1815" s="1" t="s">
        <v>605</v>
      </c>
    </row>
    <row r="1816" customFormat="false" ht="15" hidden="false" customHeight="false" outlineLevel="0" collapsed="false">
      <c r="A1816" s="5" t="s">
        <v>606</v>
      </c>
      <c r="B1816" s="0" t="s">
        <v>60</v>
      </c>
      <c r="C1816" s="14" t="n">
        <f aca="false">a25_gp/a25_rev</f>
        <v>0.701498549974936</v>
      </c>
      <c r="D1816" s="14" t="n">
        <f aca="false">gm_a+gm_b*LN(D1785)+0</f>
        <v>0.721287373483597</v>
      </c>
      <c r="E1816" s="14" t="n">
        <f aca="false">gm_a+gm_b*LN(E1785)+0</f>
        <v>0.730490241908442</v>
      </c>
      <c r="F1816" s="14" t="n">
        <f aca="false">gm_a+gm_b*LN(F1785)+0</f>
        <v>0.73821630632531</v>
      </c>
      <c r="G1816" s="14" t="n">
        <f aca="false">gm_a+gm_b*LN(G1785)+0</f>
        <v>0.74197863426411</v>
      </c>
    </row>
    <row r="1817" customFormat="false" ht="15" hidden="false" customHeight="false" outlineLevel="0" collapsed="false">
      <c r="A1817" s="5" t="s">
        <v>607</v>
      </c>
      <c r="B1817" s="0" t="s">
        <v>33</v>
      </c>
      <c r="C1817" s="11" t="n">
        <f aca="false">a25_oi</f>
        <v>184.989</v>
      </c>
      <c r="D1817" s="11" t="n">
        <f aca="false">D1785*D1816-sg_f-sg_v*D1785</f>
        <v>233.60546938357</v>
      </c>
      <c r="E1817" s="11" t="n">
        <f aca="false">E1785*E1816-sg_f-sg_v*E1785</f>
        <v>259.104700688353</v>
      </c>
      <c r="F1817" s="11" t="n">
        <f aca="false">F1785*F1816-sg_f-sg_v*F1785</f>
        <v>282.494308174594</v>
      </c>
      <c r="G1817" s="11" t="n">
        <f aca="false">G1785*G1816-sg_f-sg_v*G1785</f>
        <v>294.586827809723</v>
      </c>
    </row>
    <row r="1818" customFormat="false" ht="15" hidden="false" customHeight="false" outlineLevel="0" collapsed="false">
      <c r="A1818" s="0" t="s">
        <v>608</v>
      </c>
      <c r="B1818" s="0" t="s">
        <v>55</v>
      </c>
      <c r="C1818" s="11" t="n">
        <f aca="false">a25_eps</f>
        <v>1249.84</v>
      </c>
      <c r="D1818" s="11" t="n">
        <f aca="false">D1817*nioi_v01*1000/shares</f>
        <v>1577.57674604623</v>
      </c>
      <c r="E1818" s="11" t="n">
        <f aca="false">E1817*nioi_v01*1000/shares</f>
        <v>1749.77731333016</v>
      </c>
      <c r="F1818" s="11" t="n">
        <f aca="false">F1817*nioi_v01*1000/shares</f>
        <v>1907.73123866766</v>
      </c>
      <c r="G1818" s="11" t="n">
        <f aca="false">G1817*nioi_v01*1000/shares</f>
        <v>1989.39404317231</v>
      </c>
    </row>
    <row r="1830" customFormat="false" ht="15" hidden="false" customHeight="false" outlineLevel="0" collapsed="false">
      <c r="A1830" s="4" t="s">
        <v>846</v>
      </c>
    </row>
    <row r="1831" customFormat="false" ht="15" hidden="false" customHeight="false" outlineLevel="0" collapsed="false">
      <c r="A1831" s="6" t="s">
        <v>22</v>
      </c>
      <c r="B1831" s="6" t="s">
        <v>23</v>
      </c>
      <c r="C1831" s="9" t="s">
        <v>532</v>
      </c>
      <c r="D1831" s="9" t="s">
        <v>533</v>
      </c>
      <c r="E1831" s="9" t="s">
        <v>534</v>
      </c>
      <c r="F1831" s="9" t="s">
        <v>535</v>
      </c>
      <c r="G1831" s="9" t="s">
        <v>536</v>
      </c>
      <c r="H1831" s="9" t="s">
        <v>537</v>
      </c>
      <c r="I1831" s="9" t="s">
        <v>538</v>
      </c>
      <c r="J1831" s="6" t="s">
        <v>515</v>
      </c>
    </row>
    <row r="1832" customFormat="false" ht="15" hidden="false" customHeight="false" outlineLevel="0" collapsed="false">
      <c r="A1832" s="1" t="s">
        <v>539</v>
      </c>
    </row>
    <row r="1833" customFormat="false" ht="15" hidden="false" customHeight="false" outlineLevel="0" collapsed="false">
      <c r="A1833" s="0" t="s">
        <v>540</v>
      </c>
      <c r="B1833" s="0" t="s">
        <v>100</v>
      </c>
      <c r="C1833" s="19" t="n">
        <f aca="false">hsA_25</f>
        <v>2.22511470588235</v>
      </c>
      <c r="D1833" s="19" t="n">
        <f aca="false">hsA_26</f>
        <v>3.782695</v>
      </c>
      <c r="E1833" s="19" t="n">
        <f aca="false">hsA_27</f>
        <v>5.86317725</v>
      </c>
      <c r="F1833" s="19" t="n">
        <f aca="false">hsA_28</f>
        <v>8.5016070125</v>
      </c>
      <c r="G1833" s="19" t="n">
        <f aca="false">hsA_29</f>
        <v>11.477169466875</v>
      </c>
      <c r="H1833" s="19" t="n">
        <f aca="false">G1833*(1+g_tail)</f>
        <v>12.6248864135625</v>
      </c>
      <c r="I1833" s="19" t="n">
        <f aca="false">H1833*(1+g_tail)</f>
        <v>13.8873750549188</v>
      </c>
      <c r="J1833" s="8" t="s">
        <v>541</v>
      </c>
    </row>
    <row r="1834" customFormat="false" ht="15" hidden="false" customHeight="false" outlineLevel="0" collapsed="false">
      <c r="A1834" s="0" t="s">
        <v>542</v>
      </c>
      <c r="B1834" s="0" t="s">
        <v>543</v>
      </c>
      <c r="C1834" s="19" t="n">
        <f aca="false">den_25</f>
        <v>24</v>
      </c>
      <c r="D1834" s="19" t="n">
        <f aca="false">den_26</f>
        <v>24</v>
      </c>
      <c r="E1834" s="19" t="n">
        <f aca="false">den_27</f>
        <v>26</v>
      </c>
      <c r="F1834" s="19" t="n">
        <f aca="false">den_28</f>
        <v>28</v>
      </c>
      <c r="G1834" s="19" t="n">
        <f aca="false">den_29</f>
        <v>30</v>
      </c>
      <c r="H1834" s="19" t="n">
        <f aca="false">den_30</f>
        <v>32</v>
      </c>
      <c r="I1834" s="19" t="n">
        <f aca="false">den_30</f>
        <v>32</v>
      </c>
    </row>
    <row r="1835" customFormat="false" ht="15" hidden="false" customHeight="false" outlineLevel="0" collapsed="false">
      <c r="A1835" s="5" t="s">
        <v>544</v>
      </c>
      <c r="B1835" s="5" t="s">
        <v>152</v>
      </c>
      <c r="C1835" s="19" t="n">
        <f aca="false">stk_25</f>
        <v>10</v>
      </c>
      <c r="D1835" s="19" t="n">
        <f aca="false">stk_26</f>
        <v>12</v>
      </c>
      <c r="E1835" s="19" t="n">
        <f aca="false">stk_27</f>
        <v>12.5</v>
      </c>
      <c r="F1835" s="19" t="n">
        <f aca="false">stk_28</f>
        <v>14</v>
      </c>
      <c r="G1835" s="19" t="n">
        <f aca="false">stk_29</f>
        <v>15</v>
      </c>
      <c r="H1835" s="19" t="n">
        <f aca="false">stk_30</f>
        <v>16</v>
      </c>
      <c r="I1835" s="19" t="n">
        <f aca="false">stk_30</f>
        <v>16</v>
      </c>
    </row>
    <row r="1836" customFormat="false" ht="15" hidden="false" customHeight="false" outlineLevel="0" collapsed="false">
      <c r="A1836" s="0" t="s">
        <v>545</v>
      </c>
      <c r="B1836" s="5" t="s">
        <v>546</v>
      </c>
      <c r="C1836" s="19" t="n">
        <f aca="false">C1833*8/C1834</f>
        <v>0.741704901960783</v>
      </c>
      <c r="D1836" s="19" t="n">
        <f aca="false">D1833*8/D1834</f>
        <v>1.26089833333333</v>
      </c>
      <c r="E1836" s="19" t="n">
        <f aca="false">E1833*8/E1834</f>
        <v>1.80405453846154</v>
      </c>
      <c r="F1836" s="19" t="n">
        <f aca="false">F1833*8/F1834</f>
        <v>2.429030575</v>
      </c>
      <c r="G1836" s="19" t="n">
        <f aca="false">G1833*8/G1834</f>
        <v>3.0605785245</v>
      </c>
      <c r="H1836" s="19" t="n">
        <f aca="false">H1833*8/H1834</f>
        <v>3.15622160339063</v>
      </c>
      <c r="I1836" s="19" t="n">
        <f aca="false">I1833*8/I1834</f>
        <v>3.47184376372969</v>
      </c>
      <c r="J1836" s="8" t="s">
        <v>547</v>
      </c>
    </row>
    <row r="1837" customFormat="false" ht="15" hidden="false" customHeight="false" outlineLevel="0" collapsed="false">
      <c r="A1837" s="0" t="s">
        <v>548</v>
      </c>
      <c r="B1837" s="5" t="s">
        <v>549</v>
      </c>
      <c r="C1837" s="19" t="n">
        <f aca="false">C1836*(1+s_stk/C1835)</f>
        <v>0.964216372549018</v>
      </c>
      <c r="D1837" s="19" t="n">
        <f aca="false">D1836*(1+s_stk/D1835)</f>
        <v>1.57612291666667</v>
      </c>
      <c r="E1837" s="19" t="n">
        <f aca="false">E1836*(1+s_stk/E1835)</f>
        <v>2.23702762769231</v>
      </c>
      <c r="F1837" s="19" t="n">
        <f aca="false">F1836*(1+s_stk/F1835)</f>
        <v>2.94953712678571</v>
      </c>
      <c r="G1837" s="19" t="n">
        <f aca="false">G1836*(1+s_stk/G1835)</f>
        <v>3.6726942294</v>
      </c>
      <c r="H1837" s="19" t="n">
        <f aca="false">H1836*(1+s_stk/H1835)</f>
        <v>3.74801315402637</v>
      </c>
      <c r="I1837" s="19" t="n">
        <f aca="false">I1836*(1+s_stk/I1835)</f>
        <v>4.12281446942901</v>
      </c>
      <c r="J1837" s="5" t="s">
        <v>550</v>
      </c>
    </row>
    <row r="1838" customFormat="false" ht="15" hidden="false" customHeight="false" outlineLevel="0" collapsed="false">
      <c r="A1838" s="5" t="s">
        <v>551</v>
      </c>
      <c r="B1838" s="0" t="s">
        <v>60</v>
      </c>
      <c r="C1838" s="22" t="n">
        <f aca="false">hbp_25*hb_on</f>
        <v>0</v>
      </c>
      <c r="D1838" s="22" t="n">
        <f aca="false">hbp_26*hb_on</f>
        <v>0</v>
      </c>
      <c r="E1838" s="22" t="n">
        <f aca="false">hbp_27*hb_on</f>
        <v>0</v>
      </c>
      <c r="F1838" s="22" t="n">
        <f aca="false">hbp_28*hb_on</f>
        <v>0.05</v>
      </c>
      <c r="G1838" s="22" t="n">
        <f aca="false">hbp_29*hb_on</f>
        <v>0.15</v>
      </c>
      <c r="H1838" s="22" t="n">
        <f aca="false">hbp_30*hb_on</f>
        <v>0.25</v>
      </c>
      <c r="I1838" s="22" t="n">
        <f aca="false">hbp_30*hb_on</f>
        <v>0.25</v>
      </c>
    </row>
    <row r="1839" customFormat="false" ht="15" hidden="false" customHeight="false" outlineLevel="0" collapsed="false">
      <c r="A1839" s="0" t="s">
        <v>552</v>
      </c>
      <c r="B1839" s="5" t="s">
        <v>549</v>
      </c>
      <c r="C1839" s="19" t="n">
        <f aca="false">C1837*(1+C1838*hb_eff)</f>
        <v>0.964216372549018</v>
      </c>
      <c r="D1839" s="19" t="n">
        <f aca="false">D1837*(1+D1838*hb_eff)</f>
        <v>1.57612291666667</v>
      </c>
      <c r="E1839" s="19" t="n">
        <f aca="false">E1837*(1+E1838*hb_eff)</f>
        <v>2.23702762769231</v>
      </c>
      <c r="F1839" s="19" t="n">
        <f aca="false">F1837*(1+F1838*hb_eff)</f>
        <v>2.96428481241964</v>
      </c>
      <c r="G1839" s="19" t="n">
        <f aca="false">G1837*(1+G1838*hb_eff)</f>
        <v>3.727784642841</v>
      </c>
      <c r="H1839" s="19" t="n">
        <f aca="false">H1837*(1+H1838*hb_eff)</f>
        <v>3.84171348287703</v>
      </c>
      <c r="I1839" s="19" t="n">
        <f aca="false">I1837*(1+I1838*hb_eff)</f>
        <v>4.22588483116473</v>
      </c>
      <c r="J1839" s="5" t="s">
        <v>553</v>
      </c>
    </row>
    <row r="1840" customFormat="false" ht="15" hidden="false" customHeight="false" outlineLevel="0" collapsed="false">
      <c r="A1840" s="0" t="s">
        <v>554</v>
      </c>
      <c r="B1840" s="5" t="s">
        <v>549</v>
      </c>
      <c r="C1840" s="19" t="n">
        <f aca="false">MAX(0,D1839-C1839)+dlt*C1839</f>
        <v>0.70832818137255</v>
      </c>
      <c r="D1840" s="19" t="n">
        <f aca="false">MAX(0,E1839-D1839)+dlt*D1839</f>
        <v>0.818517002692307</v>
      </c>
      <c r="E1840" s="19" t="n">
        <f aca="false">MAX(0,F1839-E1839)+dlt*E1839</f>
        <v>0.950959947496565</v>
      </c>
      <c r="F1840" s="19" t="n">
        <f aca="false">MAX(0,G1839-F1839)+dlt*F1839</f>
        <v>1.05992831166332</v>
      </c>
      <c r="G1840" s="19" t="n">
        <f aca="false">MAX(0,H1839-G1839)+dlt*G1839</f>
        <v>0.486707304320127</v>
      </c>
      <c r="H1840" s="19" t="n">
        <f aca="false">MAX(0,I1839-H1839)+dlt*H1839</f>
        <v>0.768342696575406</v>
      </c>
      <c r="J1840" s="5" t="s">
        <v>555</v>
      </c>
    </row>
    <row r="1841" customFormat="false" ht="15" hidden="false" customHeight="false" outlineLevel="0" collapsed="false">
      <c r="A1841" s="0" t="s">
        <v>556</v>
      </c>
      <c r="B1841" s="5" t="s">
        <v>181</v>
      </c>
      <c r="C1841" s="21" t="n">
        <f aca="false">cw_25</f>
        <v>670</v>
      </c>
      <c r="D1841" s="21" t="n">
        <f aca="false">cw_26</f>
        <v>1107.85762580894</v>
      </c>
      <c r="E1841" s="21" t="n">
        <f aca="false">cw_27</f>
        <v>2096.42857142857</v>
      </c>
      <c r="F1841" s="21" t="n">
        <f aca="false">cw_28*um28_A</f>
        <v>2620.08928571429</v>
      </c>
      <c r="G1841" s="21" t="n">
        <f aca="false">cw_29*um29_A</f>
        <v>3013.32589285714</v>
      </c>
      <c r="H1841" s="21" t="n">
        <f aca="false">G1841*(1+g_tail)</f>
        <v>3314.65848214285</v>
      </c>
      <c r="I1841" s="21" t="n">
        <f aca="false">H1841*(1+g_tail)</f>
        <v>3646.12433035714</v>
      </c>
      <c r="J1841" s="5" t="s">
        <v>557</v>
      </c>
    </row>
    <row r="1842" customFormat="false" ht="15" hidden="false" customHeight="false" outlineLevel="0" collapsed="false">
      <c r="A1842" s="5" t="s">
        <v>558</v>
      </c>
      <c r="B1842" s="5" t="s">
        <v>181</v>
      </c>
      <c r="C1842" s="21" t="n">
        <f aca="false">MAX(0,D1841-C1841)+dlt*C1841</f>
        <v>504.85762580894</v>
      </c>
      <c r="D1842" s="21" t="n">
        <f aca="false">MAX(0,E1841-D1841)+dlt*D1841</f>
        <v>1099.35670820052</v>
      </c>
      <c r="E1842" s="21" t="n">
        <f aca="false">MAX(0,F1841-E1841)+dlt*E1841</f>
        <v>733.303571428577</v>
      </c>
      <c r="F1842" s="21" t="n">
        <f aca="false">MAX(0,G1841-F1841)+dlt*F1841</f>
        <v>655.245535714279</v>
      </c>
      <c r="G1842" s="21" t="n">
        <f aca="false">MAX(0,H1841-G1841)+dlt*G1841</f>
        <v>602.665178571428</v>
      </c>
      <c r="H1842" s="21" t="n">
        <f aca="false">MAX(0,I1841-H1841)+dlt*H1841</f>
        <v>662.931696428571</v>
      </c>
    </row>
    <row r="1843" customFormat="false" ht="15" hidden="false" customHeight="false" outlineLevel="0" collapsed="false">
      <c r="A1843" s="1" t="s">
        <v>559</v>
      </c>
    </row>
    <row r="1844" customFormat="false" ht="15" hidden="false" customHeight="false" outlineLevel="0" collapsed="false">
      <c r="A1844" s="0" t="s">
        <v>560</v>
      </c>
      <c r="B1844" s="0" t="s">
        <v>561</v>
      </c>
      <c r="C1844" s="16" t="n">
        <f aca="false">ai_25*w_hbm/(0.75*C1840+0.25*D1840)</f>
        <v>48.9213264236471</v>
      </c>
      <c r="J1844" s="5" t="s">
        <v>562</v>
      </c>
    </row>
    <row r="1845" customFormat="false" ht="15" hidden="false" customHeight="false" outlineLevel="0" collapsed="false">
      <c r="A1845" s="5" t="s">
        <v>563</v>
      </c>
      <c r="B1845" s="0" t="s">
        <v>564</v>
      </c>
      <c r="C1845" s="18" t="n">
        <f aca="false">ai_25*(1-w_hbm)/(0.75*C1842+0.25*D1842)</f>
        <v>0.0596802610360141</v>
      </c>
    </row>
    <row r="1846" customFormat="false" ht="15" hidden="false" customHeight="false" outlineLevel="0" collapsed="false">
      <c r="A1846" s="1" t="s">
        <v>565</v>
      </c>
    </row>
    <row r="1847" customFormat="false" ht="15" hidden="false" customHeight="false" outlineLevel="0" collapsed="false">
      <c r="A1847" s="5" t="s">
        <v>566</v>
      </c>
      <c r="B1847" s="0" t="s">
        <v>80</v>
      </c>
      <c r="C1847" s="16" t="n">
        <f aca="false">1-sh_loss_hi/sh*0</f>
        <v>1</v>
      </c>
      <c r="D1847" s="16" t="n">
        <f aca="false">1-sh_loss_hi/sh*0.25</f>
        <v>0.964285714285714</v>
      </c>
      <c r="E1847" s="16" t="n">
        <f aca="false">1-sh_loss_hi/sh*0.5</f>
        <v>0.928571428571429</v>
      </c>
      <c r="F1847" s="16" t="n">
        <f aca="false">1-sh_loss_hi/sh*0.75</f>
        <v>0.892857142857143</v>
      </c>
      <c r="G1847" s="16" t="n">
        <f aca="false">1-sh_loss_hi/sh*1</f>
        <v>0.857142857142857</v>
      </c>
    </row>
    <row r="1848" customFormat="false" ht="15" hidden="false" customHeight="false" outlineLevel="0" collapsed="false">
      <c r="A1848" s="0" t="s">
        <v>567</v>
      </c>
      <c r="B1848" s="0" t="s">
        <v>33</v>
      </c>
      <c r="C1848" s="11" t="n">
        <f aca="false">$C$1844*(0.75*C1840+0.25*D1840)*C1847</f>
        <v>36</v>
      </c>
      <c r="D1848" s="11" t="n">
        <f aca="false">$C$1844*(0.75*D1840+0.25*E1840)*D1847</f>
        <v>40.174802941341</v>
      </c>
      <c r="E1848" s="11" t="n">
        <f aca="false">$C$1844*(0.75*E1840+0.25*F1840)*E1847</f>
        <v>44.4367311473493</v>
      </c>
      <c r="F1848" s="11" t="n">
        <f aca="false">$C$1844*(0.75*F1840+0.25*G1840)*F1847</f>
        <v>40.0378713547004</v>
      </c>
      <c r="G1848" s="11" t="n">
        <f aca="false">$C$1844*(0.75*G1840+0.25*H1840)*G1847</f>
        <v>23.3613095542812</v>
      </c>
    </row>
    <row r="1849" customFormat="false" ht="15" hidden="false" customHeight="false" outlineLevel="0" collapsed="false">
      <c r="A1849" s="5" t="s">
        <v>568</v>
      </c>
      <c r="B1849" s="0" t="s">
        <v>33</v>
      </c>
      <c r="C1849" s="11" t="n">
        <f aca="false">$C$1845*(0.75*C1842+0.25*D1842)*C1847</f>
        <v>39</v>
      </c>
      <c r="D1849" s="11" t="n">
        <f aca="false">$C$1845*(0.75*D1842+0.25*E1842)*D1847</f>
        <v>58.0002029629072</v>
      </c>
      <c r="E1849" s="11" t="n">
        <f aca="false">$C$1845*(0.75*E1842+0.25*F1842)*E1847</f>
        <v>39.5563234621768</v>
      </c>
      <c r="F1849" s="11" t="n">
        <f aca="false">$C$1845*(0.75*F1842+0.25*G1842)*F1847</f>
        <v>34.2149305841054</v>
      </c>
      <c r="G1849" s="11" t="n">
        <f aca="false">$C$1845*(0.75*G1842+0.25*H1842)*G1847</f>
        <v>31.5997676175603</v>
      </c>
    </row>
    <row r="1850" customFormat="false" ht="15" hidden="false" customHeight="false" outlineLevel="0" collapsed="false">
      <c r="A1850" s="0" t="s">
        <v>569</v>
      </c>
      <c r="B1850" s="0" t="s">
        <v>33</v>
      </c>
      <c r="C1850" s="11" t="n">
        <f aca="false">C1848+C1849</f>
        <v>75</v>
      </c>
      <c r="D1850" s="11" t="n">
        <f aca="false">D1848+D1849</f>
        <v>98.1750059042482</v>
      </c>
      <c r="E1850" s="11" t="n">
        <f aca="false">E1848+E1849</f>
        <v>83.9930546095261</v>
      </c>
      <c r="F1850" s="11" t="n">
        <f aca="false">F1848+F1849</f>
        <v>74.2528019388058</v>
      </c>
      <c r="G1850" s="11" t="n">
        <f aca="false">G1848+G1849</f>
        <v>54.9610771718415</v>
      </c>
    </row>
    <row r="1851" customFormat="false" ht="15" hidden="false" customHeight="false" outlineLevel="0" collapsed="false">
      <c r="A1851" s="5" t="s">
        <v>570</v>
      </c>
      <c r="B1851" s="0" t="s">
        <v>33</v>
      </c>
      <c r="C1851" s="11" t="n">
        <f aca="false">eq_25-ai_25</f>
        <v>195.87118</v>
      </c>
      <c r="D1851" s="11" t="n">
        <f aca="false">C1851*(1+g_non)*D1847/C1847</f>
        <v>200.208327557143</v>
      </c>
      <c r="E1851" s="11" t="n">
        <f aca="false">D1851*(1+g_non)*E1847/D1847</f>
        <v>204.360796573143</v>
      </c>
      <c r="F1851" s="11" t="n">
        <f aca="false">E1851*(1+g_non)*F1847/E1847</f>
        <v>208.290811891857</v>
      </c>
      <c r="G1851" s="11" t="n">
        <f aca="false">F1851*(1+g_non)*G1847/F1847</f>
        <v>211.956730181154</v>
      </c>
    </row>
    <row r="1852" customFormat="false" ht="15" hidden="false" customHeight="false" outlineLevel="0" collapsed="false">
      <c r="A1852" s="0" t="s">
        <v>571</v>
      </c>
      <c r="B1852" s="0" t="s">
        <v>80</v>
      </c>
      <c r="C1852" s="19" t="n">
        <f aca="false">w_hbm*(0.75*C1839+0.25*D1839)/(0.75*C1839+0.25*D1839)+(1-w_hbm)*(0.75*C1841+0.25*D1841)/(0.75*C1841+0.25*D1841)</f>
        <v>1</v>
      </c>
      <c r="D1852" s="19" t="n">
        <f aca="false">w_hbm*(0.75*D1839+0.25*E1839)/(0.75*C1839+0.25*D1839)+(1-w_hbm)*(0.75*D1841+0.25*E1841)/(0.75*C1841+0.25*D1841)</f>
        <v>1.65212184085657</v>
      </c>
      <c r="E1852" s="19" t="n">
        <f aca="false">w_hbm*(0.75*E1839+0.25*F1839)/(0.75*C1839+0.25*D1839)+(1-w_hbm)*(0.75*E1841+0.25*F1841)/(0.75*C1841+0.25*D1841)</f>
        <v>2.52516730417954</v>
      </c>
      <c r="F1852" s="19" t="n">
        <f aca="false">w_hbm*(0.75*F1839+0.25*G1839)/(0.75*C1839+0.25*D1839)+(1-w_hbm)*(0.75*F1841+0.25*G1841)/(0.75*C1841+0.25*D1841)</f>
        <v>3.16911970169284</v>
      </c>
      <c r="G1852" s="19" t="n">
        <f aca="false">w_hbm*(0.75*G1839+0.25*H1839)/(0.75*C1839+0.25*D1839)+(1-w_hbm)*(0.75*G1841+0.25*H1841)/(0.75*C1841+0.25*D1841)</f>
        <v>3.67439430985121</v>
      </c>
      <c r="J1852" s="8" t="s">
        <v>572</v>
      </c>
    </row>
    <row r="1853" customFormat="false" ht="15" hidden="false" customHeight="false" outlineLevel="0" collapsed="false">
      <c r="A1853" s="0" t="s">
        <v>573</v>
      </c>
      <c r="B1853" s="0" t="s">
        <v>33</v>
      </c>
      <c r="C1853" s="11" t="n">
        <f aca="false">tl_25*w_tlai*C1852</f>
        <v>25.4032258064516</v>
      </c>
      <c r="D1853" s="11" t="n">
        <f aca="false">tl_25*w_tlai*D1852</f>
        <v>41.9692241830499</v>
      </c>
      <c r="E1853" s="11" t="n">
        <f aca="false">tl_25*w_tlai*E1852</f>
        <v>64.1473952271414</v>
      </c>
      <c r="F1853" s="11" t="n">
        <f aca="false">tl_25*w_tlai*F1852</f>
        <v>80.5058633897778</v>
      </c>
      <c r="G1853" s="11" t="n">
        <f aca="false">tl_25*w_tlai*G1852</f>
        <v>93.3414683550913</v>
      </c>
      <c r="J1853" s="5" t="s">
        <v>574</v>
      </c>
    </row>
    <row r="1854" customFormat="false" ht="15" hidden="false" customHeight="false" outlineLevel="0" collapsed="false">
      <c r="A1854" s="5" t="s">
        <v>575</v>
      </c>
      <c r="B1854" s="0" t="s">
        <v>33</v>
      </c>
      <c r="C1854" s="11" t="n">
        <f aca="false">tl_25*(1-w_tlai)</f>
        <v>66.3434641935484</v>
      </c>
      <c r="D1854" s="11" t="n">
        <f aca="false">C1854*(1+g_tl)</f>
        <v>69.6606374032258</v>
      </c>
      <c r="E1854" s="11" t="n">
        <f aca="false">D1854*(1+g_tl)</f>
        <v>73.1436692733871</v>
      </c>
      <c r="F1854" s="11" t="n">
        <f aca="false">E1854*(1+g_tl)</f>
        <v>76.8008527370565</v>
      </c>
      <c r="G1854" s="11" t="n">
        <f aca="false">F1854*(1+g_tl)</f>
        <v>80.6408953739093</v>
      </c>
    </row>
    <row r="1855" customFormat="false" ht="15" hidden="false" customHeight="false" outlineLevel="0" collapsed="false">
      <c r="A1855" s="5" t="s">
        <v>576</v>
      </c>
      <c r="B1855" s="0" t="s">
        <v>33</v>
      </c>
      <c r="C1855" s="11" t="n">
        <f aca="false">(C1850+C1851+C1853+C1854)*(1+r_ot)</f>
        <v>436.889</v>
      </c>
      <c r="D1855" s="11" t="n">
        <f aca="false">(D1850+D1851+D1853+D1854)*(1+r_ot)</f>
        <v>493.991801262249</v>
      </c>
      <c r="E1855" s="11" t="n">
        <f aca="false">(E1850+E1851+E1853+E1854)*(1+r_ot)</f>
        <v>512.82519961831</v>
      </c>
      <c r="F1855" s="11" t="n">
        <f aca="false">(F1850+F1851+F1853+F1854)*(1+r_ot)</f>
        <v>529.940156575298</v>
      </c>
      <c r="G1855" s="11" t="n">
        <f aca="false">(G1850+G1851+G1853+G1854)*(1+r_ot)</f>
        <v>531.205025399995</v>
      </c>
      <c r="J1855" s="8" t="s">
        <v>577</v>
      </c>
    </row>
    <row r="1856" customFormat="false" ht="15" hidden="false" customHeight="false" outlineLevel="0" collapsed="false">
      <c r="A1856" s="1" t="s">
        <v>578</v>
      </c>
    </row>
    <row r="1857" customFormat="false" ht="15" hidden="false" customHeight="false" outlineLevel="0" collapsed="false">
      <c r="A1857" s="5" t="s">
        <v>579</v>
      </c>
      <c r="B1857" s="0" t="s">
        <v>33</v>
      </c>
      <c r="D1857" s="11" t="n">
        <f aca="false">g3_rev*(1+g_q4)</f>
        <v>145.6862</v>
      </c>
    </row>
    <row r="1858" customFormat="false" ht="15" hidden="false" customHeight="false" outlineLevel="0" collapsed="false">
      <c r="A1858" s="0" t="s">
        <v>580</v>
      </c>
      <c r="B1858" s="0" t="s">
        <v>33</v>
      </c>
      <c r="D1858" s="11" t="n">
        <f aca="false">q26h1_rev+g3_rev+D1857</f>
        <v>535.1862</v>
      </c>
    </row>
    <row r="1859" customFormat="false" ht="15" hidden="false" customHeight="false" outlineLevel="0" collapsed="false">
      <c r="A1859" s="0" t="s">
        <v>581</v>
      </c>
      <c r="B1859" s="0" t="s">
        <v>33</v>
      </c>
      <c r="D1859" s="11" t="n">
        <f aca="false">q26h1_gp+(g3_rev+D1857)*gm_q3</f>
        <v>378.0504836</v>
      </c>
    </row>
    <row r="1860" customFormat="false" ht="15" hidden="false" customHeight="false" outlineLevel="0" collapsed="false">
      <c r="A1860" s="0" t="s">
        <v>582</v>
      </c>
      <c r="B1860" s="0" t="s">
        <v>33</v>
      </c>
      <c r="D1860" s="11" t="n">
        <f aca="false">q26h1_oi+g3_oi+D1857*m_q4</f>
        <v>238.5671</v>
      </c>
    </row>
    <row r="1861" customFormat="false" ht="15" hidden="false" customHeight="false" outlineLevel="0" collapsed="false">
      <c r="A1861" s="0" t="s">
        <v>583</v>
      </c>
      <c r="B1861" s="0" t="s">
        <v>33</v>
      </c>
      <c r="D1861" s="11" t="n">
        <f aca="false">q26h1_ni+g3_ni+D1857*m_q4*nioi</f>
        <v>167.95938138934</v>
      </c>
    </row>
    <row r="1862" customFormat="false" ht="15" hidden="false" customHeight="false" outlineLevel="0" collapsed="false">
      <c r="A1862" s="5" t="s">
        <v>584</v>
      </c>
      <c r="B1862" s="0" t="s">
        <v>80</v>
      </c>
      <c r="D1862" s="16" t="n">
        <f aca="false">D1858/D1855</f>
        <v>1.08339085513665</v>
      </c>
      <c r="J1862" s="8" t="s">
        <v>585</v>
      </c>
    </row>
    <row r="1863" customFormat="false" ht="15" hidden="false" customHeight="false" outlineLevel="0" collapsed="false">
      <c r="A1863" s="5" t="s">
        <v>586</v>
      </c>
      <c r="B1863" s="0" t="s">
        <v>80</v>
      </c>
      <c r="D1863" s="16" t="n">
        <f aca="false">1+anc_carry*(D1862-1)</f>
        <v>1.08339085513665</v>
      </c>
      <c r="J1863" s="8" t="s">
        <v>587</v>
      </c>
    </row>
    <row r="1864" customFormat="false" ht="15" hidden="false" customHeight="false" outlineLevel="0" collapsed="false">
      <c r="A1864" s="1" t="s">
        <v>588</v>
      </c>
    </row>
    <row r="1865" customFormat="false" ht="15" hidden="false" customHeight="false" outlineLevel="0" collapsed="false">
      <c r="A1865" s="0" t="s">
        <v>589</v>
      </c>
      <c r="B1865" s="0" t="s">
        <v>33</v>
      </c>
      <c r="C1865" s="11" t="n">
        <f aca="false">C1848*1</f>
        <v>36</v>
      </c>
      <c r="D1865" s="11" t="n">
        <f aca="false">D1848*$D$1862</f>
        <v>43.5250141135656</v>
      </c>
      <c r="E1865" s="11" t="n">
        <f aca="false">E1848*1</f>
        <v>44.4367311473493</v>
      </c>
      <c r="F1865" s="11" t="n">
        <f aca="false">F1848*1</f>
        <v>40.0378713547004</v>
      </c>
      <c r="G1865" s="11" t="n">
        <f aca="false">G1848*1</f>
        <v>23.3613095542812</v>
      </c>
    </row>
    <row r="1866" customFormat="false" ht="15" hidden="false" customHeight="false" outlineLevel="0" collapsed="false">
      <c r="A1866" s="5" t="s">
        <v>590</v>
      </c>
      <c r="B1866" s="0" t="s">
        <v>33</v>
      </c>
      <c r="C1866" s="11" t="n">
        <f aca="false">C1849*1</f>
        <v>39</v>
      </c>
      <c r="D1866" s="11" t="n">
        <f aca="false">D1849*$D$1862</f>
        <v>62.836889486083</v>
      </c>
      <c r="E1866" s="11" t="n">
        <f aca="false">E1849*1</f>
        <v>39.5563234621768</v>
      </c>
      <c r="F1866" s="11" t="n">
        <f aca="false">F1849*1</f>
        <v>34.2149305841054</v>
      </c>
      <c r="G1866" s="11" t="n">
        <f aca="false">G1849*1</f>
        <v>31.5997676175603</v>
      </c>
    </row>
    <row r="1867" customFormat="false" ht="15" hidden="false" customHeight="false" outlineLevel="0" collapsed="false">
      <c r="A1867" s="0" t="s">
        <v>591</v>
      </c>
      <c r="B1867" s="0" t="s">
        <v>33</v>
      </c>
      <c r="C1867" s="11" t="n">
        <f aca="false">C1865+C1866</f>
        <v>75</v>
      </c>
      <c r="D1867" s="11" t="n">
        <f aca="false">D1865+D1866</f>
        <v>106.361903599649</v>
      </c>
      <c r="E1867" s="11" t="n">
        <f aca="false">E1865+E1866</f>
        <v>83.9930546095261</v>
      </c>
      <c r="F1867" s="11" t="n">
        <f aca="false">F1865+F1866</f>
        <v>74.2528019388058</v>
      </c>
      <c r="G1867" s="11" t="n">
        <f aca="false">G1865+G1866</f>
        <v>54.9610771718415</v>
      </c>
    </row>
    <row r="1868" customFormat="false" ht="15" hidden="false" customHeight="false" outlineLevel="0" collapsed="false">
      <c r="A1868" s="5" t="s">
        <v>592</v>
      </c>
      <c r="B1868" s="0" t="s">
        <v>33</v>
      </c>
      <c r="C1868" s="11" t="n">
        <f aca="false">C1851*1</f>
        <v>195.87118</v>
      </c>
      <c r="D1868" s="11" t="n">
        <f aca="false">D1851*$D$1862</f>
        <v>216.903871197611</v>
      </c>
      <c r="E1868" s="11" t="n">
        <f aca="false">E1851*$D$1863</f>
        <v>221.402618155783</v>
      </c>
      <c r="F1868" s="11" t="n">
        <f aca="false">F1851*$D$1863</f>
        <v>225.660360812625</v>
      </c>
      <c r="G1868" s="11" t="n">
        <f aca="false">G1851*$D$1863</f>
        <v>229.631983162927</v>
      </c>
    </row>
    <row r="1869" customFormat="false" ht="15" hidden="false" customHeight="false" outlineLevel="0" collapsed="false">
      <c r="A1869" s="5" t="s">
        <v>593</v>
      </c>
      <c r="B1869" s="0" t="s">
        <v>33</v>
      </c>
      <c r="C1869" s="11" t="n">
        <f aca="false">C1867+C1868</f>
        <v>270.87118</v>
      </c>
      <c r="D1869" s="11" t="n">
        <f aca="false">D1867+D1868</f>
        <v>323.265774797259</v>
      </c>
      <c r="E1869" s="11" t="n">
        <f aca="false">E1867+E1868</f>
        <v>305.395672765309</v>
      </c>
      <c r="F1869" s="11" t="n">
        <f aca="false">F1867+F1868</f>
        <v>299.913162751431</v>
      </c>
      <c r="G1869" s="11" t="n">
        <f aca="false">G1867+G1868</f>
        <v>284.593060334769</v>
      </c>
    </row>
    <row r="1870" customFormat="false" ht="15" hidden="false" customHeight="false" outlineLevel="0" collapsed="false">
      <c r="A1870" s="0" t="s">
        <v>594</v>
      </c>
      <c r="B1870" s="0" t="s">
        <v>33</v>
      </c>
      <c r="C1870" s="11" t="n">
        <f aca="false">C1853*1</f>
        <v>25.4032258064516</v>
      </c>
      <c r="D1870" s="11" t="n">
        <f aca="false">D1853*$D$1862</f>
        <v>45.4690736770961</v>
      </c>
      <c r="E1870" s="11" t="n">
        <f aca="false">E1853*1</f>
        <v>64.1473952271414</v>
      </c>
      <c r="F1870" s="11" t="n">
        <f aca="false">F1853*1</f>
        <v>80.5058633897778</v>
      </c>
      <c r="G1870" s="11" t="n">
        <f aca="false">G1853*1</f>
        <v>93.3414683550913</v>
      </c>
    </row>
    <row r="1871" customFormat="false" ht="15" hidden="false" customHeight="false" outlineLevel="0" collapsed="false">
      <c r="A1871" s="5" t="s">
        <v>595</v>
      </c>
      <c r="B1871" s="0" t="s">
        <v>33</v>
      </c>
      <c r="C1871" s="11" t="n">
        <f aca="false">C1854*1</f>
        <v>66.3434641935484</v>
      </c>
      <c r="D1871" s="11" t="n">
        <f aca="false">D1854*$D$1862</f>
        <v>75.4696975256446</v>
      </c>
      <c r="E1871" s="11" t="n">
        <f aca="false">E1854*$D$1863</f>
        <v>79.2431824019268</v>
      </c>
      <c r="F1871" s="11" t="n">
        <f aca="false">F1854*$D$1863</f>
        <v>83.2053415220232</v>
      </c>
      <c r="G1871" s="11" t="n">
        <f aca="false">G1854*$D$1863</f>
        <v>87.3656085981243</v>
      </c>
    </row>
    <row r="1872" customFormat="false" ht="15" hidden="false" customHeight="false" outlineLevel="0" collapsed="false">
      <c r="A1872" s="5" t="s">
        <v>596</v>
      </c>
      <c r="B1872" s="0" t="s">
        <v>33</v>
      </c>
      <c r="C1872" s="11" t="n">
        <f aca="false">C1870+C1871</f>
        <v>91.74669</v>
      </c>
      <c r="D1872" s="11" t="n">
        <f aca="false">D1870+D1871</f>
        <v>120.938771202741</v>
      </c>
      <c r="E1872" s="11" t="n">
        <f aca="false">E1870+E1871</f>
        <v>143.390577629068</v>
      </c>
      <c r="F1872" s="11" t="n">
        <f aca="false">F1870+F1871</f>
        <v>163.711204911801</v>
      </c>
      <c r="G1872" s="11" t="n">
        <f aca="false">G1870+G1871</f>
        <v>180.707076953216</v>
      </c>
    </row>
    <row r="1873" customFormat="false" ht="15" hidden="false" customHeight="false" outlineLevel="0" collapsed="false">
      <c r="A1873" s="5" t="s">
        <v>458</v>
      </c>
      <c r="B1873" s="0" t="s">
        <v>33</v>
      </c>
      <c r="C1873" s="11" t="n">
        <f aca="false">r_ot*(C1869+C1872)</f>
        <v>74.27113</v>
      </c>
      <c r="D1873" s="11" t="n">
        <f aca="false">r_ot*(D1869+D1872)</f>
        <v>90.981654</v>
      </c>
      <c r="E1873" s="11" t="n">
        <f aca="false">r_ot*(E1869+E1872)</f>
        <v>91.920075381981</v>
      </c>
      <c r="F1873" s="11" t="n">
        <f aca="false">r_ot*(F1869+F1872)</f>
        <v>94.9592078346379</v>
      </c>
      <c r="G1873" s="11" t="n">
        <f aca="false">r_ot*(G1869+G1872)</f>
        <v>95.30243775778</v>
      </c>
    </row>
    <row r="1874" customFormat="false" ht="15" hidden="false" customHeight="false" outlineLevel="0" collapsed="false">
      <c r="A1874" s="5" t="s">
        <v>428</v>
      </c>
      <c r="B1874" s="0" t="s">
        <v>33</v>
      </c>
      <c r="C1874" s="11" t="n">
        <f aca="false">C1869+C1872+C1873</f>
        <v>436.889</v>
      </c>
      <c r="D1874" s="11" t="n">
        <f aca="false">D1869+D1872+D1873</f>
        <v>535.1862</v>
      </c>
      <c r="E1874" s="11" t="n">
        <f aca="false">E1869+E1872+E1873</f>
        <v>540.706325776359</v>
      </c>
      <c r="F1874" s="11" t="n">
        <f aca="false">F1869+F1872+F1873</f>
        <v>558.58357549787</v>
      </c>
      <c r="G1874" s="11" t="n">
        <f aca="false">G1869+G1872+G1873</f>
        <v>560.602575045765</v>
      </c>
      <c r="J1874" s="8" t="s">
        <v>597</v>
      </c>
    </row>
    <row r="1875" customFormat="false" ht="15" hidden="false" customHeight="false" outlineLevel="0" collapsed="false">
      <c r="A1875" s="0" t="s">
        <v>598</v>
      </c>
      <c r="B1875" s="0" t="s">
        <v>60</v>
      </c>
      <c r="C1875" s="14" t="n">
        <f aca="false">(C1867+C1870)*(1+r_ot)/C1874</f>
        <v>0.276884384673187</v>
      </c>
      <c r="D1875" s="14" t="n">
        <f aca="false">(D1867+D1870)*(1+r_ot)/D1874</f>
        <v>0.341804195035736</v>
      </c>
      <c r="E1875" s="14" t="n">
        <f aca="false">(E1867+E1870)*(1+r_ot)/E1874</f>
        <v>0.330091329015733</v>
      </c>
      <c r="F1875" s="14" t="n">
        <f aca="false">(F1867+F1870)*(1+r_ot)/F1874</f>
        <v>0.333801836406057</v>
      </c>
      <c r="G1875" s="14" t="n">
        <f aca="false">(G1867+G1870)*(1+r_ot)/G1874</f>
        <v>0.318724482634625</v>
      </c>
    </row>
    <row r="1876" customFormat="false" ht="15" hidden="false" customHeight="false" outlineLevel="0" collapsed="false">
      <c r="A1876" s="0" t="s">
        <v>599</v>
      </c>
      <c r="B1876" s="0" t="s">
        <v>60</v>
      </c>
      <c r="C1876" s="14" t="n">
        <f aca="false">C1867*(1+r_ot)/C1874</f>
        <v>0.206829299394429</v>
      </c>
      <c r="D1876" s="14" t="n">
        <f aca="false">D1867*(1+r_ot)/D1874</f>
        <v>0.239443527891425</v>
      </c>
      <c r="E1876" s="14" t="n">
        <f aca="false">E1867*(1+r_ot)/E1874</f>
        <v>0.187156033714749</v>
      </c>
      <c r="F1876" s="14" t="n">
        <f aca="false">F1867*(1+r_ot)/F1874</f>
        <v>0.160157246076292</v>
      </c>
      <c r="G1876" s="14" t="n">
        <f aca="false">G1867*(1+r_ot)/G1874</f>
        <v>0.118119623802786</v>
      </c>
      <c r="J1876" s="5" t="s">
        <v>600</v>
      </c>
    </row>
    <row r="1877" customFormat="false" ht="15" hidden="false" customHeight="false" outlineLevel="0" collapsed="false">
      <c r="A1877" s="5" t="s">
        <v>466</v>
      </c>
      <c r="B1877" s="0" t="s">
        <v>60</v>
      </c>
      <c r="C1877" s="14" t="n">
        <f aca="false">a25_gp/a25_rev</f>
        <v>0.701498549974936</v>
      </c>
      <c r="D1877" s="14" t="n">
        <f aca="false">D1859/D1874</f>
        <v>0.70639056761927</v>
      </c>
      <c r="E1877" s="14" t="n">
        <f aca="false">gm_a+gm_b*LN(E1874)+0</f>
        <v>0.726721132625637</v>
      </c>
      <c r="F1877" s="14" t="n">
        <f aca="false">gm_a+gm_b*LN(F1874)+0</f>
        <v>0.730423658244763</v>
      </c>
      <c r="G1877" s="14" t="n">
        <f aca="false">gm_a+gm_b*LN(G1874)+0</f>
        <v>0.730834340254801</v>
      </c>
      <c r="J1877" s="8" t="s">
        <v>601</v>
      </c>
    </row>
    <row r="1878" customFormat="false" ht="15" hidden="false" customHeight="false" outlineLevel="0" collapsed="false">
      <c r="A1878" s="5" t="s">
        <v>463</v>
      </c>
      <c r="B1878" s="0" t="s">
        <v>33</v>
      </c>
      <c r="C1878" s="11" t="n">
        <f aca="false">C1874*C1877</f>
        <v>306.477</v>
      </c>
      <c r="D1878" s="11" t="n">
        <f aca="false">D1874*D1877</f>
        <v>378.0504836</v>
      </c>
      <c r="E1878" s="11" t="n">
        <f aca="false">E1874*E1877</f>
        <v>392.942713486042</v>
      </c>
      <c r="F1878" s="11" t="n">
        <f aca="false">F1874*F1877</f>
        <v>408.002658650594</v>
      </c>
      <c r="G1878" s="11" t="n">
        <f aca="false">G1874*G1877</f>
        <v>409.707613078714</v>
      </c>
    </row>
    <row r="1879" customFormat="false" ht="15" hidden="false" customHeight="false" outlineLevel="0" collapsed="false">
      <c r="A1879" s="5" t="s">
        <v>464</v>
      </c>
      <c r="B1879" s="0" t="s">
        <v>33</v>
      </c>
      <c r="C1879" s="11" t="n">
        <f aca="false">a25_sga</f>
        <v>121.487</v>
      </c>
      <c r="D1879" s="11" t="n">
        <f aca="false">D1878-D1860</f>
        <v>139.4833836</v>
      </c>
      <c r="E1879" s="11" t="n">
        <f aca="false">sg_f+sg_v*E1874</f>
        <v>144.579794090068</v>
      </c>
      <c r="F1879" s="11" t="n">
        <f aca="false">sg_f+sg_v*F1874</f>
        <v>149.091422580428</v>
      </c>
      <c r="G1879" s="11" t="n">
        <f aca="false">sg_f+sg_v*G1874</f>
        <v>149.600951508211</v>
      </c>
      <c r="J1879" s="8" t="s">
        <v>602</v>
      </c>
    </row>
    <row r="1880" customFormat="false" ht="15" hidden="false" customHeight="false" outlineLevel="0" collapsed="false">
      <c r="A1880" s="5" t="s">
        <v>432</v>
      </c>
      <c r="B1880" s="0" t="s">
        <v>33</v>
      </c>
      <c r="C1880" s="11" t="n">
        <f aca="false">C1878-C1879</f>
        <v>184.99</v>
      </c>
      <c r="D1880" s="11" t="n">
        <f aca="false">D1878-D1879</f>
        <v>238.5671</v>
      </c>
      <c r="E1880" s="11" t="n">
        <f aca="false">E1878-E1879</f>
        <v>248.362919395974</v>
      </c>
      <c r="F1880" s="11" t="n">
        <f aca="false">F1878-F1879</f>
        <v>258.911236070166</v>
      </c>
      <c r="G1880" s="11" t="n">
        <f aca="false">G1878-G1879</f>
        <v>260.106661570503</v>
      </c>
    </row>
    <row r="1881" customFormat="false" ht="15" hidden="false" customHeight="false" outlineLevel="0" collapsed="false">
      <c r="A1881" s="5" t="s">
        <v>603</v>
      </c>
      <c r="B1881" s="0" t="s">
        <v>60</v>
      </c>
      <c r="C1881" s="14" t="n">
        <f aca="false">C1880/C1874</f>
        <v>0.423425629851061</v>
      </c>
      <c r="D1881" s="14" t="n">
        <f aca="false">D1880/D1874</f>
        <v>0.445764670314743</v>
      </c>
      <c r="E1881" s="14" t="n">
        <f aca="false">E1880/E1874</f>
        <v>0.459330522977272</v>
      </c>
      <c r="F1881" s="14" t="n">
        <f aca="false">F1880/F1874</f>
        <v>0.463513872278461</v>
      </c>
      <c r="G1881" s="14" t="n">
        <f aca="false">G1880/G1874</f>
        <v>0.463976929733634</v>
      </c>
    </row>
    <row r="1882" customFormat="false" ht="15" hidden="false" customHeight="false" outlineLevel="0" collapsed="false">
      <c r="A1882" s="5" t="s">
        <v>435</v>
      </c>
      <c r="B1882" s="0" t="s">
        <v>33</v>
      </c>
      <c r="C1882" s="11" t="n">
        <f aca="false">a25_ni</f>
        <v>135.521</v>
      </c>
      <c r="D1882" s="11" t="n">
        <f aca="false">D1861</f>
        <v>167.95938138934</v>
      </c>
      <c r="E1882" s="11" t="n">
        <f aca="false">E1880*nioi</f>
        <v>179.113227740559</v>
      </c>
      <c r="F1882" s="11" t="n">
        <f aca="false">F1880*nioi</f>
        <v>186.720414237396</v>
      </c>
      <c r="G1882" s="11" t="n">
        <f aca="false">G1880*nioi</f>
        <v>187.582525700772</v>
      </c>
    </row>
    <row r="1883" customFormat="false" ht="15" hidden="false" customHeight="false" outlineLevel="0" collapsed="false">
      <c r="A1883" s="0" t="s">
        <v>524</v>
      </c>
      <c r="B1883" s="0" t="s">
        <v>55</v>
      </c>
      <c r="C1883" s="11" t="n">
        <f aca="false">a25_eps</f>
        <v>1249.84</v>
      </c>
      <c r="D1883" s="11" t="n">
        <f aca="false">D1882*1000/shares</f>
        <v>1548.28555816522</v>
      </c>
      <c r="E1883" s="11" t="n">
        <f aca="false">E1882*1000/shares</f>
        <v>1651.10410322497</v>
      </c>
      <c r="F1883" s="11" t="n">
        <f aca="false">F1882*1000/shares</f>
        <v>1721.22877797606</v>
      </c>
      <c r="G1883" s="11" t="n">
        <f aca="false">G1882*1000/shares</f>
        <v>1729.17590612831</v>
      </c>
    </row>
    <row r="1884" customFormat="false" ht="15" hidden="false" customHeight="false" outlineLevel="0" collapsed="false">
      <c r="A1884" s="5" t="s">
        <v>604</v>
      </c>
      <c r="B1884" s="0" t="s">
        <v>33</v>
      </c>
      <c r="C1884" s="16" t="n">
        <f aca="false">ABS(C1874-a25_rev)+ABS(C1880-a25_oi)+ABS(D1874-D1858)+ABS(D1880-D1860)</f>
        <v>0.000999999999976353</v>
      </c>
    </row>
    <row r="1885" customFormat="false" ht="15" hidden="false" customHeight="false" outlineLevel="0" collapsed="false">
      <c r="A1885" s="1" t="s">
        <v>605</v>
      </c>
    </row>
    <row r="1886" customFormat="false" ht="15" hidden="false" customHeight="false" outlineLevel="0" collapsed="false">
      <c r="A1886" s="5" t="s">
        <v>606</v>
      </c>
      <c r="B1886" s="0" t="s">
        <v>60</v>
      </c>
      <c r="C1886" s="14" t="n">
        <f aca="false">a25_gp/a25_rev</f>
        <v>0.701498549974936</v>
      </c>
      <c r="D1886" s="14" t="n">
        <f aca="false">gm_a+gm_b*LN(D1855)+0</f>
        <v>0.716436117752376</v>
      </c>
      <c r="E1886" s="14" t="n">
        <f aca="false">gm_a+gm_b*LN(E1855)+0</f>
        <v>0.720695044083989</v>
      </c>
      <c r="F1886" s="14" t="n">
        <f aca="false">gm_a+gm_b*LN(F1855)+0</f>
        <v>0.724431841319767</v>
      </c>
      <c r="G1886" s="14" t="n">
        <f aca="false">gm_a+gm_b*LN(G1855)+0</f>
        <v>0.724703199052051</v>
      </c>
    </row>
    <row r="1887" customFormat="false" ht="15" hidden="false" customHeight="false" outlineLevel="0" collapsed="false">
      <c r="A1887" s="5" t="s">
        <v>607</v>
      </c>
      <c r="B1887" s="0" t="s">
        <v>33</v>
      </c>
      <c r="C1887" s="11" t="n">
        <f aca="false">a25_oi</f>
        <v>184.989</v>
      </c>
      <c r="D1887" s="11" t="n">
        <f aca="false">D1855*D1886-sg_f-sg_v*D1855</f>
        <v>221.122980209503</v>
      </c>
      <c r="E1887" s="11" t="n">
        <f aca="false">E1855*E1886-sg_f-sg_v*E1855</f>
        <v>232.047062872537</v>
      </c>
      <c r="F1887" s="11" t="n">
        <f aca="false">F1855*F1886-sg_f-sg_v*F1855</f>
        <v>242.042755517118</v>
      </c>
      <c r="G1887" s="11" t="n">
        <f aca="false">G1855*G1886-sg_f-sg_v*G1855</f>
        <v>242.784002166058</v>
      </c>
    </row>
    <row r="1888" customFormat="false" ht="15" hidden="false" customHeight="false" outlineLevel="0" collapsed="false">
      <c r="A1888" s="0" t="s">
        <v>608</v>
      </c>
      <c r="B1888" s="0" t="s">
        <v>55</v>
      </c>
      <c r="C1888" s="11" t="n">
        <f aca="false">a25_eps</f>
        <v>1249.84</v>
      </c>
      <c r="D1888" s="11" t="n">
        <f aca="false">D1887*nioi_v01*1000/shares</f>
        <v>1493.28041212158</v>
      </c>
      <c r="E1888" s="11" t="n">
        <f aca="false">E1887*nioi_v01*1000/shares</f>
        <v>1567.05256662878</v>
      </c>
      <c r="F1888" s="11" t="n">
        <f aca="false">F1887*nioi_v01*1000/shares</f>
        <v>1634.55514830345</v>
      </c>
      <c r="G1888" s="11" t="n">
        <f aca="false">G1887*nioi_v01*1000/shares</f>
        <v>1639.56091070935</v>
      </c>
    </row>
    <row r="1900" customFormat="false" ht="15" hidden="false" customHeight="false" outlineLevel="0" collapsed="false">
      <c r="A1900" s="4" t="s">
        <v>847</v>
      </c>
    </row>
    <row r="1901" customFormat="false" ht="15" hidden="false" customHeight="false" outlineLevel="0" collapsed="false">
      <c r="A1901" s="6" t="s">
        <v>22</v>
      </c>
      <c r="B1901" s="6" t="s">
        <v>23</v>
      </c>
      <c r="C1901" s="9" t="s">
        <v>532</v>
      </c>
      <c r="D1901" s="9" t="s">
        <v>533</v>
      </c>
      <c r="E1901" s="9" t="s">
        <v>534</v>
      </c>
      <c r="F1901" s="9" t="s">
        <v>535</v>
      </c>
      <c r="G1901" s="9" t="s">
        <v>536</v>
      </c>
      <c r="H1901" s="9" t="s">
        <v>537</v>
      </c>
      <c r="I1901" s="9" t="s">
        <v>538</v>
      </c>
      <c r="J1901" s="6" t="s">
        <v>515</v>
      </c>
    </row>
    <row r="1902" customFormat="false" ht="15" hidden="false" customHeight="false" outlineLevel="0" collapsed="false">
      <c r="A1902" s="1" t="s">
        <v>539</v>
      </c>
    </row>
    <row r="1903" customFormat="false" ht="15" hidden="false" customHeight="false" outlineLevel="0" collapsed="false">
      <c r="A1903" s="0" t="s">
        <v>540</v>
      </c>
      <c r="B1903" s="0" t="s">
        <v>100</v>
      </c>
      <c r="C1903" s="19" t="n">
        <f aca="false">hsA_25</f>
        <v>2.22511470588235</v>
      </c>
      <c r="D1903" s="19" t="n">
        <f aca="false">hsA_26</f>
        <v>3.782695</v>
      </c>
      <c r="E1903" s="19" t="n">
        <f aca="false">hsA_27</f>
        <v>5.86317725</v>
      </c>
      <c r="F1903" s="19" t="n">
        <f aca="false">hsA_28</f>
        <v>8.5016070125</v>
      </c>
      <c r="G1903" s="19" t="n">
        <f aca="false">hsA_29</f>
        <v>11.477169466875</v>
      </c>
      <c r="H1903" s="19" t="n">
        <f aca="false">G1903*(1+g_tail)</f>
        <v>12.6248864135625</v>
      </c>
      <c r="I1903" s="19" t="n">
        <f aca="false">H1903*(1+g_tail)</f>
        <v>13.8873750549188</v>
      </c>
      <c r="J1903" s="8" t="s">
        <v>541</v>
      </c>
    </row>
    <row r="1904" customFormat="false" ht="15" hidden="false" customHeight="false" outlineLevel="0" collapsed="false">
      <c r="A1904" s="0" t="s">
        <v>542</v>
      </c>
      <c r="B1904" s="0" t="s">
        <v>543</v>
      </c>
      <c r="C1904" s="19" t="n">
        <f aca="false">den_25</f>
        <v>24</v>
      </c>
      <c r="D1904" s="19" t="n">
        <f aca="false">den_26</f>
        <v>24</v>
      </c>
      <c r="E1904" s="19" t="n">
        <f aca="false">den_27</f>
        <v>26</v>
      </c>
      <c r="F1904" s="19" t="n">
        <f aca="false">den_28</f>
        <v>28</v>
      </c>
      <c r="G1904" s="19" t="n">
        <f aca="false">den_29</f>
        <v>30</v>
      </c>
      <c r="H1904" s="19" t="n">
        <f aca="false">den_30</f>
        <v>32</v>
      </c>
      <c r="I1904" s="19" t="n">
        <f aca="false">den_30</f>
        <v>32</v>
      </c>
    </row>
    <row r="1905" customFormat="false" ht="15" hidden="false" customHeight="false" outlineLevel="0" collapsed="false">
      <c r="A1905" s="5" t="s">
        <v>544</v>
      </c>
      <c r="B1905" s="5" t="s">
        <v>152</v>
      </c>
      <c r="C1905" s="19" t="n">
        <f aca="false">stk_25</f>
        <v>10</v>
      </c>
      <c r="D1905" s="19" t="n">
        <f aca="false">stk_26</f>
        <v>12</v>
      </c>
      <c r="E1905" s="19" t="n">
        <f aca="false">stk_27</f>
        <v>12.5</v>
      </c>
      <c r="F1905" s="19" t="n">
        <f aca="false">stk_28</f>
        <v>14</v>
      </c>
      <c r="G1905" s="19" t="n">
        <f aca="false">stk_29</f>
        <v>15</v>
      </c>
      <c r="H1905" s="19" t="n">
        <f aca="false">stk_30</f>
        <v>16</v>
      </c>
      <c r="I1905" s="19" t="n">
        <f aca="false">stk_30</f>
        <v>16</v>
      </c>
    </row>
    <row r="1906" customFormat="false" ht="15" hidden="false" customHeight="false" outlineLevel="0" collapsed="false">
      <c r="A1906" s="0" t="s">
        <v>545</v>
      </c>
      <c r="B1906" s="5" t="s">
        <v>546</v>
      </c>
      <c r="C1906" s="19" t="n">
        <f aca="false">C1903*8/C1904</f>
        <v>0.741704901960783</v>
      </c>
      <c r="D1906" s="19" t="n">
        <f aca="false">D1903*8/D1904</f>
        <v>1.26089833333333</v>
      </c>
      <c r="E1906" s="19" t="n">
        <f aca="false">E1903*8/E1904</f>
        <v>1.80405453846154</v>
      </c>
      <c r="F1906" s="19" t="n">
        <f aca="false">F1903*8/F1904</f>
        <v>2.429030575</v>
      </c>
      <c r="G1906" s="19" t="n">
        <f aca="false">G1903*8/G1904</f>
        <v>3.0605785245</v>
      </c>
      <c r="H1906" s="19" t="n">
        <f aca="false">H1903*8/H1904</f>
        <v>3.15622160339063</v>
      </c>
      <c r="I1906" s="19" t="n">
        <f aca="false">I1903*8/I1904</f>
        <v>3.47184376372969</v>
      </c>
      <c r="J1906" s="8" t="s">
        <v>547</v>
      </c>
    </row>
    <row r="1907" customFormat="false" ht="15" hidden="false" customHeight="false" outlineLevel="0" collapsed="false">
      <c r="A1907" s="0" t="s">
        <v>548</v>
      </c>
      <c r="B1907" s="5" t="s">
        <v>549</v>
      </c>
      <c r="C1907" s="19" t="n">
        <f aca="false">C1906*(1+s_stk/C1905)</f>
        <v>0.964216372549018</v>
      </c>
      <c r="D1907" s="19" t="n">
        <f aca="false">D1906*(1+s_stk/D1905)</f>
        <v>1.57612291666667</v>
      </c>
      <c r="E1907" s="19" t="n">
        <f aca="false">E1906*(1+s_stk/E1905)</f>
        <v>2.23702762769231</v>
      </c>
      <c r="F1907" s="19" t="n">
        <f aca="false">F1906*(1+s_stk/F1905)</f>
        <v>2.94953712678571</v>
      </c>
      <c r="G1907" s="19" t="n">
        <f aca="false">G1906*(1+s_stk/G1905)</f>
        <v>3.6726942294</v>
      </c>
      <c r="H1907" s="19" t="n">
        <f aca="false">H1906*(1+s_stk/H1905)</f>
        <v>3.74801315402637</v>
      </c>
      <c r="I1907" s="19" t="n">
        <f aca="false">I1906*(1+s_stk/I1905)</f>
        <v>4.12281446942901</v>
      </c>
      <c r="J1907" s="5" t="s">
        <v>550</v>
      </c>
    </row>
    <row r="1908" customFormat="false" ht="15" hidden="false" customHeight="false" outlineLevel="0" collapsed="false">
      <c r="A1908" s="5" t="s">
        <v>551</v>
      </c>
      <c r="B1908" s="0" t="s">
        <v>60</v>
      </c>
      <c r="C1908" s="22" t="n">
        <f aca="false">hbp_25*hb_on</f>
        <v>0</v>
      </c>
      <c r="D1908" s="22" t="n">
        <f aca="false">hbp_26*hb_on</f>
        <v>0</v>
      </c>
      <c r="E1908" s="22" t="n">
        <f aca="false">hbp_27*hb_on</f>
        <v>0</v>
      </c>
      <c r="F1908" s="22" t="n">
        <f aca="false">hbp_28*hb_on</f>
        <v>0.05</v>
      </c>
      <c r="G1908" s="22" t="n">
        <f aca="false">hbp_29*hb_on</f>
        <v>0.15</v>
      </c>
      <c r="H1908" s="22" t="n">
        <f aca="false">hbp_30*hb_on</f>
        <v>0.25</v>
      </c>
      <c r="I1908" s="22" t="n">
        <f aca="false">hbp_30*hb_on</f>
        <v>0.25</v>
      </c>
    </row>
    <row r="1909" customFormat="false" ht="15" hidden="false" customHeight="false" outlineLevel="0" collapsed="false">
      <c r="A1909" s="0" t="s">
        <v>552</v>
      </c>
      <c r="B1909" s="5" t="s">
        <v>549</v>
      </c>
      <c r="C1909" s="19" t="n">
        <f aca="false">C1907*(1+C1908*hb_eff)</f>
        <v>0.964216372549018</v>
      </c>
      <c r="D1909" s="19" t="n">
        <f aca="false">D1907*(1+D1908*hb_eff)</f>
        <v>1.57612291666667</v>
      </c>
      <c r="E1909" s="19" t="n">
        <f aca="false">E1907*(1+E1908*hb_eff)</f>
        <v>2.23702762769231</v>
      </c>
      <c r="F1909" s="19" t="n">
        <f aca="false">F1907*(1+F1908*hb_eff)</f>
        <v>2.96428481241964</v>
      </c>
      <c r="G1909" s="19" t="n">
        <f aca="false">G1907*(1+G1908*hb_eff)</f>
        <v>3.727784642841</v>
      </c>
      <c r="H1909" s="19" t="n">
        <f aca="false">H1907*(1+H1908*hb_eff)</f>
        <v>3.84171348287703</v>
      </c>
      <c r="I1909" s="19" t="n">
        <f aca="false">I1907*(1+I1908*hb_eff)</f>
        <v>4.22588483116473</v>
      </c>
      <c r="J1909" s="5" t="s">
        <v>553</v>
      </c>
    </row>
    <row r="1910" customFormat="false" ht="15" hidden="false" customHeight="false" outlineLevel="0" collapsed="false">
      <c r="A1910" s="0" t="s">
        <v>554</v>
      </c>
      <c r="B1910" s="5" t="s">
        <v>549</v>
      </c>
      <c r="C1910" s="19" t="n">
        <f aca="false">MAX(0,D1909-C1909)+dlt*C1909</f>
        <v>0.70832818137255</v>
      </c>
      <c r="D1910" s="19" t="n">
        <f aca="false">MAX(0,E1909-D1909)+dlt*D1909</f>
        <v>0.818517002692307</v>
      </c>
      <c r="E1910" s="19" t="n">
        <f aca="false">MAX(0,F1909-E1909)+dlt*E1909</f>
        <v>0.950959947496565</v>
      </c>
      <c r="F1910" s="19" t="n">
        <f aca="false">MAX(0,G1909-F1909)+dlt*F1909</f>
        <v>1.05992831166332</v>
      </c>
      <c r="G1910" s="19" t="n">
        <f aca="false">MAX(0,H1909-G1909)+dlt*G1909</f>
        <v>0.486707304320127</v>
      </c>
      <c r="H1910" s="19" t="n">
        <f aca="false">MAX(0,I1909-H1909)+dlt*H1909</f>
        <v>0.768342696575406</v>
      </c>
      <c r="J1910" s="5" t="s">
        <v>555</v>
      </c>
    </row>
    <row r="1911" customFormat="false" ht="15" hidden="false" customHeight="false" outlineLevel="0" collapsed="false">
      <c r="A1911" s="0" t="s">
        <v>556</v>
      </c>
      <c r="B1911" s="5" t="s">
        <v>181</v>
      </c>
      <c r="C1911" s="21" t="n">
        <f aca="false">cw_25</f>
        <v>670</v>
      </c>
      <c r="D1911" s="21" t="n">
        <f aca="false">cw_26</f>
        <v>1107.85762580894</v>
      </c>
      <c r="E1911" s="21" t="n">
        <f aca="false">cw_27</f>
        <v>2096.42857142857</v>
      </c>
      <c r="F1911" s="21" t="n">
        <f aca="false">cw_28*um28_A</f>
        <v>2620.08928571429</v>
      </c>
      <c r="G1911" s="21" t="n">
        <f aca="false">cw_29*um29_A</f>
        <v>3013.32589285714</v>
      </c>
      <c r="H1911" s="21" t="n">
        <f aca="false">G1911*(1+g_tail)</f>
        <v>3314.65848214285</v>
      </c>
      <c r="I1911" s="21" t="n">
        <f aca="false">H1911*(1+g_tail)</f>
        <v>3646.12433035714</v>
      </c>
      <c r="J1911" s="5" t="s">
        <v>557</v>
      </c>
    </row>
    <row r="1912" customFormat="false" ht="15" hidden="false" customHeight="false" outlineLevel="0" collapsed="false">
      <c r="A1912" s="5" t="s">
        <v>558</v>
      </c>
      <c r="B1912" s="5" t="s">
        <v>181</v>
      </c>
      <c r="C1912" s="21" t="n">
        <f aca="false">MAX(0,D1911-C1911)+dlt*C1911</f>
        <v>504.85762580894</v>
      </c>
      <c r="D1912" s="21" t="n">
        <f aca="false">MAX(0,E1911-D1911)+dlt*D1911</f>
        <v>1099.35670820052</v>
      </c>
      <c r="E1912" s="21" t="n">
        <f aca="false">MAX(0,F1911-E1911)+dlt*E1911</f>
        <v>733.303571428577</v>
      </c>
      <c r="F1912" s="21" t="n">
        <f aca="false">MAX(0,G1911-F1911)+dlt*F1911</f>
        <v>655.245535714279</v>
      </c>
      <c r="G1912" s="21" t="n">
        <f aca="false">MAX(0,H1911-G1911)+dlt*G1911</f>
        <v>602.665178571428</v>
      </c>
      <c r="H1912" s="21" t="n">
        <f aca="false">MAX(0,I1911-H1911)+dlt*H1911</f>
        <v>662.931696428571</v>
      </c>
    </row>
    <row r="1913" customFormat="false" ht="15" hidden="false" customHeight="false" outlineLevel="0" collapsed="false">
      <c r="A1913" s="1" t="s">
        <v>559</v>
      </c>
    </row>
    <row r="1914" customFormat="false" ht="15" hidden="false" customHeight="false" outlineLevel="0" collapsed="false">
      <c r="A1914" s="0" t="s">
        <v>560</v>
      </c>
      <c r="B1914" s="0" t="s">
        <v>561</v>
      </c>
      <c r="C1914" s="16" t="n">
        <f aca="false">ai_25*w_hbm/(0.75*C1910+0.25*D1910)</f>
        <v>48.9213264236471</v>
      </c>
      <c r="J1914" s="5" t="s">
        <v>562</v>
      </c>
    </row>
    <row r="1915" customFormat="false" ht="15" hidden="false" customHeight="false" outlineLevel="0" collapsed="false">
      <c r="A1915" s="5" t="s">
        <v>563</v>
      </c>
      <c r="B1915" s="0" t="s">
        <v>564</v>
      </c>
      <c r="C1915" s="18" t="n">
        <f aca="false">ai_25*(1-w_hbm)/(0.75*C1912+0.25*D1912)</f>
        <v>0.0596802610360141</v>
      </c>
    </row>
    <row r="1916" customFormat="false" ht="15" hidden="false" customHeight="false" outlineLevel="0" collapsed="false">
      <c r="A1916" s="1" t="s">
        <v>565</v>
      </c>
    </row>
    <row r="1917" customFormat="false" ht="15" hidden="false" customHeight="false" outlineLevel="0" collapsed="false">
      <c r="A1917" s="5" t="s">
        <v>566</v>
      </c>
      <c r="B1917" s="0" t="s">
        <v>80</v>
      </c>
      <c r="C1917" s="16" t="n">
        <f aca="false">1-sh_loss/sh*0</f>
        <v>1</v>
      </c>
      <c r="D1917" s="16" t="n">
        <f aca="false">1-sh_loss/sh*0.25</f>
        <v>1</v>
      </c>
      <c r="E1917" s="16" t="n">
        <f aca="false">1-sh_loss/sh*0.5</f>
        <v>1</v>
      </c>
      <c r="F1917" s="16" t="n">
        <f aca="false">1-sh_loss/sh*0.75</f>
        <v>1</v>
      </c>
      <c r="G1917" s="16" t="n">
        <f aca="false">1-sh_loss/sh*1</f>
        <v>1</v>
      </c>
    </row>
    <row r="1918" customFormat="false" ht="15" hidden="false" customHeight="false" outlineLevel="0" collapsed="false">
      <c r="A1918" s="0" t="s">
        <v>567</v>
      </c>
      <c r="B1918" s="0" t="s">
        <v>33</v>
      </c>
      <c r="C1918" s="11" t="n">
        <f aca="false">$C$1914*(0.75*C1910+0.25*D1910)*C1917</f>
        <v>36</v>
      </c>
      <c r="D1918" s="11" t="n">
        <f aca="false">$C$1914*(0.75*D1910+0.25*E1910)*D1917</f>
        <v>41.6627586058351</v>
      </c>
      <c r="E1918" s="11" t="n">
        <f aca="false">$C$1914*(0.75*E1910+0.25*F1910)*E1917</f>
        <v>47.8549412356069</v>
      </c>
      <c r="F1918" s="11" t="n">
        <f aca="false">$C$1914*(0.75*F1910+0.25*G1910)*F1917</f>
        <v>44.8424159172644</v>
      </c>
      <c r="G1918" s="11" t="n">
        <f aca="false">$C$1914*(0.75*G1910+0.25*H1910)*G1917</f>
        <v>27.2548611466613</v>
      </c>
    </row>
    <row r="1919" customFormat="false" ht="15" hidden="false" customHeight="false" outlineLevel="0" collapsed="false">
      <c r="A1919" s="5" t="s">
        <v>568</v>
      </c>
      <c r="B1919" s="0" t="s">
        <v>33</v>
      </c>
      <c r="C1919" s="11" t="n">
        <f aca="false">$C$1915*(0.75*C1912+0.25*D1912)*C1917</f>
        <v>39</v>
      </c>
      <c r="D1919" s="11" t="n">
        <f aca="false">$C$1915*(0.75*D1912+0.25*E1912)*D1917</f>
        <v>60.1483586282001</v>
      </c>
      <c r="E1919" s="11" t="n">
        <f aca="false">$C$1915*(0.75*E1912+0.25*F1912)*E1917</f>
        <v>42.5991175746519</v>
      </c>
      <c r="F1919" s="11" t="n">
        <f aca="false">$C$1915*(0.75*F1912+0.25*G1912)*F1917</f>
        <v>38.320722254198</v>
      </c>
      <c r="G1919" s="11" t="n">
        <f aca="false">$C$1915*(0.75*G1912+0.25*H1912)*G1917</f>
        <v>36.8663955538204</v>
      </c>
    </row>
    <row r="1920" customFormat="false" ht="15" hidden="false" customHeight="false" outlineLevel="0" collapsed="false">
      <c r="A1920" s="0" t="s">
        <v>569</v>
      </c>
      <c r="B1920" s="0" t="s">
        <v>33</v>
      </c>
      <c r="C1920" s="11" t="n">
        <f aca="false">C1918+C1919</f>
        <v>75</v>
      </c>
      <c r="D1920" s="11" t="n">
        <f aca="false">D1918+D1919</f>
        <v>101.811117234035</v>
      </c>
      <c r="E1920" s="11" t="n">
        <f aca="false">E1918+E1919</f>
        <v>90.4540588102588</v>
      </c>
      <c r="F1920" s="11" t="n">
        <f aca="false">F1918+F1919</f>
        <v>83.1631381714624</v>
      </c>
      <c r="G1920" s="11" t="n">
        <f aca="false">G1918+G1919</f>
        <v>64.1212567004817</v>
      </c>
    </row>
    <row r="1921" customFormat="false" ht="15" hidden="false" customHeight="false" outlineLevel="0" collapsed="false">
      <c r="A1921" s="5" t="s">
        <v>570</v>
      </c>
      <c r="B1921" s="0" t="s">
        <v>33</v>
      </c>
      <c r="C1921" s="11" t="n">
        <f aca="false">eq_25-ai_25</f>
        <v>195.87118</v>
      </c>
      <c r="D1921" s="11" t="n">
        <f aca="false">C1921*(1+g_non)*D1917/C1917</f>
        <v>207.6234508</v>
      </c>
      <c r="E1921" s="11" t="n">
        <f aca="false">D1921*(1+g_non)*E1917/D1917</f>
        <v>220.080857848</v>
      </c>
      <c r="F1921" s="11" t="n">
        <f aca="false">E1921*(1+g_non)*F1917/E1917</f>
        <v>233.28570931888</v>
      </c>
      <c r="G1921" s="11" t="n">
        <f aca="false">F1921*(1+g_non)*G1917/F1917</f>
        <v>247.282851878013</v>
      </c>
    </row>
    <row r="1922" customFormat="false" ht="15" hidden="false" customHeight="false" outlineLevel="0" collapsed="false">
      <c r="A1922" s="0" t="s">
        <v>571</v>
      </c>
      <c r="B1922" s="0" t="s">
        <v>80</v>
      </c>
      <c r="C1922" s="19" t="n">
        <f aca="false">w_hbm*(0.75*C1909+0.25*D1909)/(0.75*C1909+0.25*D1909)+(1-w_hbm)*(0.75*C1911+0.25*D1911)/(0.75*C1911+0.25*D1911)</f>
        <v>1</v>
      </c>
      <c r="D1922" s="19" t="n">
        <f aca="false">w_hbm*(0.75*D1909+0.25*E1909)/(0.75*C1909+0.25*D1909)+(1-w_hbm)*(0.75*D1911+0.25*E1911)/(0.75*C1911+0.25*D1911)</f>
        <v>1.65212184085657</v>
      </c>
      <c r="E1922" s="19" t="n">
        <f aca="false">w_hbm*(0.75*E1909+0.25*F1909)/(0.75*C1909+0.25*D1909)+(1-w_hbm)*(0.75*E1911+0.25*F1911)/(0.75*C1911+0.25*D1911)</f>
        <v>2.52516730417954</v>
      </c>
      <c r="F1922" s="19" t="n">
        <f aca="false">w_hbm*(0.75*F1909+0.25*G1909)/(0.75*C1909+0.25*D1909)+(1-w_hbm)*(0.75*F1911+0.25*G1911)/(0.75*C1911+0.25*D1911)</f>
        <v>3.16911970169284</v>
      </c>
      <c r="G1922" s="19" t="n">
        <f aca="false">w_hbm*(0.75*G1909+0.25*H1909)/(0.75*C1909+0.25*D1909)+(1-w_hbm)*(0.75*G1911+0.25*H1911)/(0.75*C1911+0.25*D1911)</f>
        <v>3.67439430985121</v>
      </c>
      <c r="J1922" s="8" t="s">
        <v>572</v>
      </c>
    </row>
    <row r="1923" customFormat="false" ht="15" hidden="false" customHeight="false" outlineLevel="0" collapsed="false">
      <c r="A1923" s="0" t="s">
        <v>573</v>
      </c>
      <c r="B1923" s="0" t="s">
        <v>33</v>
      </c>
      <c r="C1923" s="11" t="n">
        <f aca="false">tl_25*w_tlai*C1922</f>
        <v>25.4032258064516</v>
      </c>
      <c r="D1923" s="11" t="n">
        <f aca="false">tl_25*w_tlai*D1922</f>
        <v>41.9692241830499</v>
      </c>
      <c r="E1923" s="11" t="n">
        <f aca="false">tl_25*w_tlai*E1922</f>
        <v>64.1473952271414</v>
      </c>
      <c r="F1923" s="11" t="n">
        <f aca="false">tl_25*w_tlai*F1922</f>
        <v>80.5058633897778</v>
      </c>
      <c r="G1923" s="11" t="n">
        <f aca="false">tl_25*w_tlai*G1922</f>
        <v>93.3414683550913</v>
      </c>
      <c r="J1923" s="5" t="s">
        <v>574</v>
      </c>
    </row>
    <row r="1924" customFormat="false" ht="15" hidden="false" customHeight="false" outlineLevel="0" collapsed="false">
      <c r="A1924" s="5" t="s">
        <v>575</v>
      </c>
      <c r="B1924" s="0" t="s">
        <v>33</v>
      </c>
      <c r="C1924" s="11" t="n">
        <f aca="false">tl_25*(1-w_tlai)</f>
        <v>66.3434641935484</v>
      </c>
      <c r="D1924" s="11" t="n">
        <f aca="false">C1924*(1+g_tl)</f>
        <v>69.6606374032258</v>
      </c>
      <c r="E1924" s="11" t="n">
        <f aca="false">D1924*(1+g_tl)</f>
        <v>73.1436692733871</v>
      </c>
      <c r="F1924" s="11" t="n">
        <f aca="false">E1924*(1+g_tl)</f>
        <v>76.8008527370565</v>
      </c>
      <c r="G1924" s="11" t="n">
        <f aca="false">F1924*(1+g_tl)</f>
        <v>80.6408953739093</v>
      </c>
    </row>
    <row r="1925" customFormat="false" ht="15" hidden="false" customHeight="false" outlineLevel="0" collapsed="false">
      <c r="A1925" s="5" t="s">
        <v>576</v>
      </c>
      <c r="B1925" s="0" t="s">
        <v>33</v>
      </c>
      <c r="C1925" s="11" t="n">
        <f aca="false">(C1920+C1921+C1923+C1924)*(1+r_ot)</f>
        <v>436.889</v>
      </c>
      <c r="D1925" s="11" t="n">
        <f aca="false">(D1920+D1921+D1923+D1924)*(1+r_ot)</f>
        <v>507.306541711218</v>
      </c>
      <c r="E1925" s="11" t="n">
        <f aca="false">(E1920+E1921+E1923+E1924)*(1+r_ot)</f>
        <v>539.549374890105</v>
      </c>
      <c r="F1925" s="11" t="n">
        <f aca="false">(F1920+F1921+F1923+F1924)*(1+r_ot)</f>
        <v>570.789835683346</v>
      </c>
      <c r="G1925" s="11" t="n">
        <f aca="false">(G1920+G1921+G1923+G1924)*(1+r_ot)</f>
        <v>584.802978683729</v>
      </c>
      <c r="J1925" s="8" t="s">
        <v>577</v>
      </c>
    </row>
    <row r="1926" customFormat="false" ht="15" hidden="false" customHeight="false" outlineLevel="0" collapsed="false">
      <c r="A1926" s="1" t="s">
        <v>578</v>
      </c>
    </row>
    <row r="1927" customFormat="false" ht="15" hidden="false" customHeight="false" outlineLevel="0" collapsed="false">
      <c r="A1927" s="5" t="s">
        <v>579</v>
      </c>
      <c r="B1927" s="0" t="s">
        <v>33</v>
      </c>
      <c r="D1927" s="11" t="n">
        <f aca="false">g3_rev*(1+g_q4)</f>
        <v>145.6862</v>
      </c>
    </row>
    <row r="1928" customFormat="false" ht="15" hidden="false" customHeight="false" outlineLevel="0" collapsed="false">
      <c r="A1928" s="0" t="s">
        <v>580</v>
      </c>
      <c r="B1928" s="0" t="s">
        <v>33</v>
      </c>
      <c r="D1928" s="11" t="n">
        <f aca="false">q26h1_rev+g3_rev+D1927</f>
        <v>535.1862</v>
      </c>
    </row>
    <row r="1929" customFormat="false" ht="15" hidden="false" customHeight="false" outlineLevel="0" collapsed="false">
      <c r="A1929" s="0" t="s">
        <v>581</v>
      </c>
      <c r="B1929" s="0" t="s">
        <v>33</v>
      </c>
      <c r="D1929" s="11" t="n">
        <f aca="false">q26h1_gp+(g3_rev+D1927)*gm_q3</f>
        <v>378.0504836</v>
      </c>
    </row>
    <row r="1930" customFormat="false" ht="15" hidden="false" customHeight="false" outlineLevel="0" collapsed="false">
      <c r="A1930" s="0" t="s">
        <v>582</v>
      </c>
      <c r="B1930" s="0" t="s">
        <v>33</v>
      </c>
      <c r="D1930" s="11" t="n">
        <f aca="false">q26h1_oi+g3_oi+D1927*m_q4</f>
        <v>238.5671</v>
      </c>
    </row>
    <row r="1931" customFormat="false" ht="15" hidden="false" customHeight="false" outlineLevel="0" collapsed="false">
      <c r="A1931" s="0" t="s">
        <v>583</v>
      </c>
      <c r="B1931" s="0" t="s">
        <v>33</v>
      </c>
      <c r="D1931" s="11" t="n">
        <f aca="false">q26h1_ni+g3_ni+D1927*m_q4*nioi</f>
        <v>167.95938138934</v>
      </c>
    </row>
    <row r="1932" customFormat="false" ht="15" hidden="false" customHeight="false" outlineLevel="0" collapsed="false">
      <c r="A1932" s="5" t="s">
        <v>584</v>
      </c>
      <c r="B1932" s="0" t="s">
        <v>80</v>
      </c>
      <c r="D1932" s="16" t="n">
        <f aca="false">D1928/D1925</f>
        <v>1.05495623650888</v>
      </c>
      <c r="J1932" s="8" t="s">
        <v>585</v>
      </c>
    </row>
    <row r="1933" customFormat="false" ht="15" hidden="false" customHeight="false" outlineLevel="0" collapsed="false">
      <c r="A1933" s="5" t="s">
        <v>586</v>
      </c>
      <c r="B1933" s="0" t="s">
        <v>80</v>
      </c>
      <c r="D1933" s="16" t="n">
        <f aca="false">1+anc_carry*(D1932-1)</f>
        <v>1.05495623650888</v>
      </c>
      <c r="J1933" s="8" t="s">
        <v>587</v>
      </c>
    </row>
    <row r="1934" customFormat="false" ht="15" hidden="false" customHeight="false" outlineLevel="0" collapsed="false">
      <c r="A1934" s="1" t="s">
        <v>588</v>
      </c>
    </row>
    <row r="1935" customFormat="false" ht="15" hidden="false" customHeight="false" outlineLevel="0" collapsed="false">
      <c r="A1935" s="0" t="s">
        <v>589</v>
      </c>
      <c r="B1935" s="0" t="s">
        <v>33</v>
      </c>
      <c r="C1935" s="11" t="n">
        <f aca="false">C1918*1</f>
        <v>36</v>
      </c>
      <c r="D1935" s="11" t="n">
        <f aca="false">D1918*$D$1932</f>
        <v>43.9523870213896</v>
      </c>
      <c r="E1935" s="11" t="n">
        <f aca="false">E1918*1</f>
        <v>47.8549412356069</v>
      </c>
      <c r="F1935" s="11" t="n">
        <f aca="false">F1918*1</f>
        <v>44.8424159172644</v>
      </c>
      <c r="G1935" s="11" t="n">
        <f aca="false">G1918*1</f>
        <v>27.2548611466613</v>
      </c>
    </row>
    <row r="1936" customFormat="false" ht="15" hidden="false" customHeight="false" outlineLevel="0" collapsed="false">
      <c r="A1936" s="5" t="s">
        <v>590</v>
      </c>
      <c r="B1936" s="0" t="s">
        <v>33</v>
      </c>
      <c r="C1936" s="11" t="n">
        <f aca="false">C1919*1</f>
        <v>39</v>
      </c>
      <c r="D1936" s="11" t="n">
        <f aca="false">D1919*$D$1932</f>
        <v>63.4538860505921</v>
      </c>
      <c r="E1936" s="11" t="n">
        <f aca="false">E1919*1</f>
        <v>42.5991175746519</v>
      </c>
      <c r="F1936" s="11" t="n">
        <f aca="false">F1919*1</f>
        <v>38.320722254198</v>
      </c>
      <c r="G1936" s="11" t="n">
        <f aca="false">G1919*1</f>
        <v>36.8663955538204</v>
      </c>
    </row>
    <row r="1937" customFormat="false" ht="15" hidden="false" customHeight="false" outlineLevel="0" collapsed="false">
      <c r="A1937" s="0" t="s">
        <v>591</v>
      </c>
      <c r="B1937" s="0" t="s">
        <v>33</v>
      </c>
      <c r="C1937" s="11" t="n">
        <f aca="false">C1935+C1936</f>
        <v>75</v>
      </c>
      <c r="D1937" s="11" t="n">
        <f aca="false">D1935+D1936</f>
        <v>107.406273071982</v>
      </c>
      <c r="E1937" s="11" t="n">
        <f aca="false">E1935+E1936</f>
        <v>90.4540588102588</v>
      </c>
      <c r="F1937" s="11" t="n">
        <f aca="false">F1935+F1936</f>
        <v>83.1631381714624</v>
      </c>
      <c r="G1937" s="11" t="n">
        <f aca="false">G1935+G1936</f>
        <v>64.1212567004817</v>
      </c>
    </row>
    <row r="1938" customFormat="false" ht="15" hidden="false" customHeight="false" outlineLevel="0" collapsed="false">
      <c r="A1938" s="5" t="s">
        <v>592</v>
      </c>
      <c r="B1938" s="0" t="s">
        <v>33</v>
      </c>
      <c r="C1938" s="11" t="n">
        <f aca="false">C1921*1</f>
        <v>195.87118</v>
      </c>
      <c r="D1938" s="11" t="n">
        <f aca="false">D1921*$D$1932</f>
        <v>219.033654266954</v>
      </c>
      <c r="E1938" s="11" t="n">
        <f aca="false">E1921*$D$1933</f>
        <v>232.175673522971</v>
      </c>
      <c r="F1938" s="11" t="n">
        <f aca="false">F1921*$D$1933</f>
        <v>246.106213934349</v>
      </c>
      <c r="G1938" s="11" t="n">
        <f aca="false">G1921*$D$1933</f>
        <v>260.87258677041</v>
      </c>
    </row>
    <row r="1939" customFormat="false" ht="15" hidden="false" customHeight="false" outlineLevel="0" collapsed="false">
      <c r="A1939" s="5" t="s">
        <v>593</v>
      </c>
      <c r="B1939" s="0" t="s">
        <v>33</v>
      </c>
      <c r="C1939" s="11" t="n">
        <f aca="false">C1937+C1938</f>
        <v>270.87118</v>
      </c>
      <c r="D1939" s="11" t="n">
        <f aca="false">D1937+D1938</f>
        <v>326.439927338936</v>
      </c>
      <c r="E1939" s="11" t="n">
        <f aca="false">E1937+E1938</f>
        <v>322.62973233323</v>
      </c>
      <c r="F1939" s="11" t="n">
        <f aca="false">F1937+F1938</f>
        <v>329.269352105812</v>
      </c>
      <c r="G1939" s="11" t="n">
        <f aca="false">G1937+G1938</f>
        <v>324.993843470892</v>
      </c>
    </row>
    <row r="1940" customFormat="false" ht="15" hidden="false" customHeight="false" outlineLevel="0" collapsed="false">
      <c r="A1940" s="0" t="s">
        <v>594</v>
      </c>
      <c r="B1940" s="0" t="s">
        <v>33</v>
      </c>
      <c r="C1940" s="11" t="n">
        <f aca="false">C1923*1</f>
        <v>25.4032258064516</v>
      </c>
      <c r="D1940" s="11" t="n">
        <f aca="false">D1923*$D$1932</f>
        <v>44.2756947933477</v>
      </c>
      <c r="E1940" s="11" t="n">
        <f aca="false">E1923*1</f>
        <v>64.1473952271414</v>
      </c>
      <c r="F1940" s="11" t="n">
        <f aca="false">F1923*1</f>
        <v>80.5058633897778</v>
      </c>
      <c r="G1940" s="11" t="n">
        <f aca="false">G1923*1</f>
        <v>93.3414683550913</v>
      </c>
    </row>
    <row r="1941" customFormat="false" ht="15" hidden="false" customHeight="false" outlineLevel="0" collapsed="false">
      <c r="A1941" s="5" t="s">
        <v>595</v>
      </c>
      <c r="B1941" s="0" t="s">
        <v>33</v>
      </c>
      <c r="C1941" s="11" t="n">
        <f aca="false">C1924*1</f>
        <v>66.3434641935484</v>
      </c>
      <c r="D1941" s="11" t="n">
        <f aca="false">D1924*$D$1932</f>
        <v>73.4889238677166</v>
      </c>
      <c r="E1941" s="11" t="n">
        <f aca="false">E1924*$D$1933</f>
        <v>77.1633700611024</v>
      </c>
      <c r="F1941" s="11" t="n">
        <f aca="false">F1924*$D$1933</f>
        <v>81.0215385641575</v>
      </c>
      <c r="G1941" s="11" t="n">
        <f aca="false">G1924*$D$1933</f>
        <v>85.0726154923654</v>
      </c>
    </row>
    <row r="1942" customFormat="false" ht="15" hidden="false" customHeight="false" outlineLevel="0" collapsed="false">
      <c r="A1942" s="5" t="s">
        <v>596</v>
      </c>
      <c r="B1942" s="0" t="s">
        <v>33</v>
      </c>
      <c r="C1942" s="11" t="n">
        <f aca="false">C1940+C1941</f>
        <v>91.74669</v>
      </c>
      <c r="D1942" s="11" t="n">
        <f aca="false">D1940+D1941</f>
        <v>117.764618661064</v>
      </c>
      <c r="E1942" s="11" t="n">
        <f aca="false">E1940+E1941</f>
        <v>141.310765288244</v>
      </c>
      <c r="F1942" s="11" t="n">
        <f aca="false">F1940+F1941</f>
        <v>161.527401953935</v>
      </c>
      <c r="G1942" s="11" t="n">
        <f aca="false">G1940+G1941</f>
        <v>178.414083847457</v>
      </c>
    </row>
    <row r="1943" customFormat="false" ht="15" hidden="false" customHeight="false" outlineLevel="0" collapsed="false">
      <c r="A1943" s="5" t="s">
        <v>458</v>
      </c>
      <c r="B1943" s="0" t="s">
        <v>33</v>
      </c>
      <c r="C1943" s="11" t="n">
        <f aca="false">r_ot*(C1939+C1942)</f>
        <v>74.27113</v>
      </c>
      <c r="D1943" s="11" t="n">
        <f aca="false">r_ot*(D1939+D1942)</f>
        <v>90.981654</v>
      </c>
      <c r="E1943" s="11" t="n">
        <f aca="false">r_ot*(E1939+E1942)</f>
        <v>95.0239573441573</v>
      </c>
      <c r="F1943" s="11" t="n">
        <f aca="false">r_ot*(F1939+F1942)</f>
        <v>100.524636373683</v>
      </c>
      <c r="G1943" s="11" t="n">
        <f aca="false">r_ot*(G1939+G1942)</f>
        <v>103.107647763999</v>
      </c>
    </row>
    <row r="1944" customFormat="false" ht="15" hidden="false" customHeight="false" outlineLevel="0" collapsed="false">
      <c r="A1944" s="5" t="s">
        <v>428</v>
      </c>
      <c r="B1944" s="0" t="s">
        <v>33</v>
      </c>
      <c r="C1944" s="11" t="n">
        <f aca="false">C1939+C1942+C1943</f>
        <v>436.889</v>
      </c>
      <c r="D1944" s="11" t="n">
        <f aca="false">D1939+D1942+D1943</f>
        <v>535.1862</v>
      </c>
      <c r="E1944" s="11" t="n">
        <f aca="false">E1939+E1942+E1943</f>
        <v>558.964454965631</v>
      </c>
      <c r="F1944" s="11" t="n">
        <f aca="false">F1939+F1942+F1943</f>
        <v>591.32139043343</v>
      </c>
      <c r="G1944" s="11" t="n">
        <f aca="false">G1939+G1942+G1943</f>
        <v>606.515575082348</v>
      </c>
      <c r="J1944" s="8" t="s">
        <v>597</v>
      </c>
    </row>
    <row r="1945" customFormat="false" ht="15" hidden="false" customHeight="false" outlineLevel="0" collapsed="false">
      <c r="A1945" s="0" t="s">
        <v>598</v>
      </c>
      <c r="B1945" s="0" t="s">
        <v>60</v>
      </c>
      <c r="C1945" s="14" t="n">
        <f aca="false">(C1937+C1940)*(1+r_ot)/C1944</f>
        <v>0.276884384673187</v>
      </c>
      <c r="D1945" s="14" t="n">
        <f aca="false">(D1937+D1940)*(1+r_ot)/D1944</f>
        <v>0.341468742792492</v>
      </c>
      <c r="E1945" s="14" t="n">
        <f aca="false">(E1937+E1940)*(1+r_ot)/E1944</f>
        <v>0.333235522292211</v>
      </c>
      <c r="F1945" s="14" t="n">
        <f aca="false">(F1937+F1940)*(1+r_ot)/F1944</f>
        <v>0.333476128779197</v>
      </c>
      <c r="G1945" s="14" t="n">
        <f aca="false">(G1937+G1940)*(1+r_ot)/G1944</f>
        <v>0.312793495117123</v>
      </c>
    </row>
    <row r="1946" customFormat="false" ht="15" hidden="false" customHeight="false" outlineLevel="0" collapsed="false">
      <c r="A1946" s="0" t="s">
        <v>599</v>
      </c>
      <c r="B1946" s="0" t="s">
        <v>60</v>
      </c>
      <c r="C1946" s="14" t="n">
        <f aca="false">C1937*(1+r_ot)/C1944</f>
        <v>0.206829299394429</v>
      </c>
      <c r="D1946" s="14" t="n">
        <f aca="false">D1937*(1+r_ot)/D1944</f>
        <v>0.241794628261148</v>
      </c>
      <c r="E1946" s="14" t="n">
        <f aca="false">E1937*(1+r_ot)/E1944</f>
        <v>0.194969094687784</v>
      </c>
      <c r="F1946" s="14" t="n">
        <f aca="false">F1937*(1+r_ot)/F1944</f>
        <v>0.16944516744163</v>
      </c>
      <c r="G1946" s="14" t="n">
        <f aca="false">G1937*(1+r_ot)/G1944</f>
        <v>0.12737434835811</v>
      </c>
      <c r="J1946" s="5" t="s">
        <v>600</v>
      </c>
    </row>
    <row r="1947" customFormat="false" ht="15" hidden="false" customHeight="false" outlineLevel="0" collapsed="false">
      <c r="A1947" s="5" t="s">
        <v>466</v>
      </c>
      <c r="B1947" s="0" t="s">
        <v>60</v>
      </c>
      <c r="C1947" s="14" t="n">
        <f aca="false">a25_gp/a25_rev</f>
        <v>0.701498549974936</v>
      </c>
      <c r="D1947" s="14" t="n">
        <f aca="false">D1929/D1944</f>
        <v>0.70639056761927</v>
      </c>
      <c r="E1947" s="14" t="n">
        <f aca="false">gm_a2+gm_b2*LN(E1944)+0</f>
        <v>0.729756591448798</v>
      </c>
      <c r="F1947" s="14" t="n">
        <f aca="false">gm_a2+gm_b2*LN(F1944)+0</f>
        <v>0.736097402536242</v>
      </c>
      <c r="G1947" s="14" t="n">
        <f aca="false">gm_a2+gm_b2*LN(G1944)+0</f>
        <v>0.73895612242627</v>
      </c>
      <c r="J1947" s="8" t="s">
        <v>601</v>
      </c>
    </row>
    <row r="1948" customFormat="false" ht="15" hidden="false" customHeight="false" outlineLevel="0" collapsed="false">
      <c r="A1948" s="5" t="s">
        <v>463</v>
      </c>
      <c r="B1948" s="0" t="s">
        <v>33</v>
      </c>
      <c r="C1948" s="11" t="n">
        <f aca="false">C1944*C1947</f>
        <v>306.477</v>
      </c>
      <c r="D1948" s="11" t="n">
        <f aca="false">D1944*D1947</f>
        <v>378.0504836</v>
      </c>
      <c r="E1948" s="11" t="n">
        <f aca="false">E1944*E1947</f>
        <v>407.907995396754</v>
      </c>
      <c r="F1948" s="11" t="n">
        <f aca="false">F1944*F1947</f>
        <v>435.270139562167</v>
      </c>
      <c r="G1948" s="11" t="n">
        <f aca="false">G1944*G1947</f>
        <v>448.188397553991</v>
      </c>
    </row>
    <row r="1949" customFormat="false" ht="15" hidden="false" customHeight="false" outlineLevel="0" collapsed="false">
      <c r="A1949" s="5" t="s">
        <v>464</v>
      </c>
      <c r="B1949" s="0" t="s">
        <v>33</v>
      </c>
      <c r="C1949" s="11" t="n">
        <f aca="false">a25_sga</f>
        <v>121.487</v>
      </c>
      <c r="D1949" s="11" t="n">
        <f aca="false">D1948-D1930</f>
        <v>139.4833836</v>
      </c>
      <c r="E1949" s="11" t="n">
        <f aca="false">sg_f+sg_v*E1944</f>
        <v>149.187544002062</v>
      </c>
      <c r="F1949" s="11" t="n">
        <f aca="false">sg_f+sg_v*F1944</f>
        <v>157.353367839138</v>
      </c>
      <c r="G1949" s="11" t="n">
        <f aca="false">sg_f+sg_v*G1944</f>
        <v>161.187879154788</v>
      </c>
      <c r="J1949" s="8" t="s">
        <v>602</v>
      </c>
    </row>
    <row r="1950" customFormat="false" ht="15" hidden="false" customHeight="false" outlineLevel="0" collapsed="false">
      <c r="A1950" s="5" t="s">
        <v>432</v>
      </c>
      <c r="B1950" s="0" t="s">
        <v>33</v>
      </c>
      <c r="C1950" s="11" t="n">
        <f aca="false">C1948-C1949</f>
        <v>184.99</v>
      </c>
      <c r="D1950" s="11" t="n">
        <f aca="false">D1948-D1949</f>
        <v>238.5671</v>
      </c>
      <c r="E1950" s="11" t="n">
        <f aca="false">E1948-E1949</f>
        <v>258.720451394692</v>
      </c>
      <c r="F1950" s="11" t="n">
        <f aca="false">F1948-F1949</f>
        <v>277.916771723029</v>
      </c>
      <c r="G1950" s="11" t="n">
        <f aca="false">G1948-G1949</f>
        <v>287.000518399203</v>
      </c>
    </row>
    <row r="1951" customFormat="false" ht="15" hidden="false" customHeight="false" outlineLevel="0" collapsed="false">
      <c r="A1951" s="5" t="s">
        <v>603</v>
      </c>
      <c r="B1951" s="0" t="s">
        <v>60</v>
      </c>
      <c r="C1951" s="14" t="n">
        <f aca="false">C1950/C1944</f>
        <v>0.423425629851061</v>
      </c>
      <c r="D1951" s="14" t="n">
        <f aca="false">D1950/D1944</f>
        <v>0.445764670314743</v>
      </c>
      <c r="E1951" s="14" t="n">
        <f aca="false">E1950/E1944</f>
        <v>0.462856714941918</v>
      </c>
      <c r="F1951" s="14" t="n">
        <f aca="false">F1950/F1944</f>
        <v>0.469992758961958</v>
      </c>
      <c r="G1951" s="14" t="n">
        <f aca="false">G1950/G1944</f>
        <v>0.473195627927999</v>
      </c>
    </row>
    <row r="1952" customFormat="false" ht="15" hidden="false" customHeight="false" outlineLevel="0" collapsed="false">
      <c r="A1952" s="5" t="s">
        <v>435</v>
      </c>
      <c r="B1952" s="0" t="s">
        <v>33</v>
      </c>
      <c r="C1952" s="11" t="n">
        <f aca="false">a25_ni</f>
        <v>135.521</v>
      </c>
      <c r="D1952" s="11" t="n">
        <f aca="false">D1931</f>
        <v>167.95938138934</v>
      </c>
      <c r="E1952" s="11" t="n">
        <f aca="false">E1950*nioi</f>
        <v>186.582825022747</v>
      </c>
      <c r="F1952" s="11" t="n">
        <f aca="false">F1950*nioi</f>
        <v>200.426739014064</v>
      </c>
      <c r="G1952" s="11" t="n">
        <f aca="false">G1950*nioi</f>
        <v>206.977713656753</v>
      </c>
    </row>
    <row r="1953" customFormat="false" ht="15" hidden="false" customHeight="false" outlineLevel="0" collapsed="false">
      <c r="A1953" s="0" t="s">
        <v>524</v>
      </c>
      <c r="B1953" s="0" t="s">
        <v>55</v>
      </c>
      <c r="C1953" s="11" t="n">
        <f aca="false">a25_eps</f>
        <v>1249.84</v>
      </c>
      <c r="D1953" s="11" t="n">
        <f aca="false">D1952*1000/shares</f>
        <v>1548.28555816522</v>
      </c>
      <c r="E1953" s="11" t="n">
        <f aca="false">E1952*1000/shares</f>
        <v>1719.96045112085</v>
      </c>
      <c r="F1953" s="11" t="n">
        <f aca="false">F1952*1000/shares</f>
        <v>1847.57661595746</v>
      </c>
      <c r="G1953" s="11" t="n">
        <f aca="false">G1952*1000/shares</f>
        <v>1907.96490357368</v>
      </c>
    </row>
    <row r="1954" customFormat="false" ht="15" hidden="false" customHeight="false" outlineLevel="0" collapsed="false">
      <c r="A1954" s="5" t="s">
        <v>604</v>
      </c>
      <c r="B1954" s="0" t="s">
        <v>33</v>
      </c>
      <c r="C1954" s="16" t="n">
        <f aca="false">ABS(C1944-a25_rev)+ABS(C1950-a25_oi)+ABS(D1944-D1928)+ABS(D1950-D1930)</f>
        <v>0.000999999999976353</v>
      </c>
    </row>
    <row r="1955" customFormat="false" ht="15" hidden="false" customHeight="false" outlineLevel="0" collapsed="false">
      <c r="A1955" s="1" t="s">
        <v>605</v>
      </c>
    </row>
    <row r="1956" customFormat="false" ht="15" hidden="false" customHeight="false" outlineLevel="0" collapsed="false">
      <c r="A1956" s="5" t="s">
        <v>606</v>
      </c>
      <c r="B1956" s="0" t="s">
        <v>60</v>
      </c>
      <c r="C1956" s="14" t="n">
        <f aca="false">a25_gp/a25_rev</f>
        <v>0.701498549974936</v>
      </c>
      <c r="D1956" s="14" t="n">
        <f aca="false">gm_a2+gm_b2*LN(D1925)+0</f>
        <v>0.718830168392174</v>
      </c>
      <c r="E1956" s="14" t="n">
        <f aca="false">gm_a2+gm_b2*LN(E1925)+0</f>
        <v>0.725773250290833</v>
      </c>
      <c r="F1956" s="14" t="n">
        <f aca="false">gm_a2+gm_b2*LN(F1925)+0</f>
        <v>0.732115524493993</v>
      </c>
      <c r="G1956" s="14" t="n">
        <f aca="false">gm_a2+gm_b2*LN(G1925)+0</f>
        <v>0.734848404922273</v>
      </c>
    </row>
    <row r="1957" customFormat="false" ht="15" hidden="false" customHeight="false" outlineLevel="0" collapsed="false">
      <c r="A1957" s="5" t="s">
        <v>607</v>
      </c>
      <c r="B1957" s="0" t="s">
        <v>33</v>
      </c>
      <c r="C1957" s="11" t="n">
        <f aca="false">a25_oi</f>
        <v>184.989</v>
      </c>
      <c r="D1957" s="11" t="n">
        <f aca="false">D1925*D1956-sg_f-sg_v*D1925</f>
        <v>228.516457159276</v>
      </c>
      <c r="E1957" s="11" t="n">
        <f aca="false">E1925*E1956-sg_f-sg_v*E1925</f>
        <v>247.302685680092</v>
      </c>
      <c r="F1957" s="11" t="n">
        <f aca="false">F1925*F1956-sg_f-sg_v*F1925</f>
        <v>265.712219666074</v>
      </c>
      <c r="G1957" s="11" t="n">
        <f aca="false">G1925*G1956-sg_f-sg_v*G1925</f>
        <v>274.03320048081</v>
      </c>
    </row>
    <row r="1958" customFormat="false" ht="15" hidden="false" customHeight="false" outlineLevel="0" collapsed="false">
      <c r="A1958" s="0" t="s">
        <v>608</v>
      </c>
      <c r="B1958" s="0" t="s">
        <v>55</v>
      </c>
      <c r="C1958" s="11" t="n">
        <f aca="false">a25_eps</f>
        <v>1249.84</v>
      </c>
      <c r="D1958" s="11" t="n">
        <f aca="false">D1957*nioi_v01*1000/shares</f>
        <v>1543.20979664828</v>
      </c>
      <c r="E1958" s="11" t="n">
        <f aca="false">E1957*nioi_v01*1000/shares</f>
        <v>1670.07633508402</v>
      </c>
      <c r="F1958" s="11" t="n">
        <f aca="false">F1957*nioi_v01*1000/shares</f>
        <v>1794.39899241935</v>
      </c>
      <c r="G1958" s="11" t="n">
        <f aca="false">G1957*nioi_v01*1000/shares</f>
        <v>1850.59196543605</v>
      </c>
    </row>
    <row r="1970" customFormat="false" ht="15" hidden="false" customHeight="false" outlineLevel="0" collapsed="false">
      <c r="A1970" s="4" t="s">
        <v>848</v>
      </c>
    </row>
    <row r="1971" customFormat="false" ht="15" hidden="false" customHeight="false" outlineLevel="0" collapsed="false">
      <c r="A1971" s="6" t="s">
        <v>22</v>
      </c>
      <c r="B1971" s="6" t="s">
        <v>23</v>
      </c>
      <c r="C1971" s="9" t="s">
        <v>532</v>
      </c>
      <c r="D1971" s="9" t="s">
        <v>533</v>
      </c>
      <c r="E1971" s="9" t="s">
        <v>534</v>
      </c>
      <c r="F1971" s="9" t="s">
        <v>535</v>
      </c>
      <c r="G1971" s="9" t="s">
        <v>536</v>
      </c>
      <c r="H1971" s="9" t="s">
        <v>537</v>
      </c>
      <c r="I1971" s="9" t="s">
        <v>538</v>
      </c>
      <c r="J1971" s="6" t="s">
        <v>515</v>
      </c>
    </row>
    <row r="1972" customFormat="false" ht="15" hidden="false" customHeight="false" outlineLevel="0" collapsed="false">
      <c r="A1972" s="1" t="s">
        <v>539</v>
      </c>
    </row>
    <row r="1973" customFormat="false" ht="15" hidden="false" customHeight="false" outlineLevel="0" collapsed="false">
      <c r="A1973" s="0" t="s">
        <v>540</v>
      </c>
      <c r="B1973" s="0" t="s">
        <v>100</v>
      </c>
      <c r="C1973" s="19" t="n">
        <f aca="false">hsA_25</f>
        <v>2.22511470588235</v>
      </c>
      <c r="D1973" s="19" t="n">
        <f aca="false">hsA_26</f>
        <v>3.782695</v>
      </c>
      <c r="E1973" s="19" t="n">
        <f aca="false">hsA_27</f>
        <v>5.86317725</v>
      </c>
      <c r="F1973" s="19" t="n">
        <f aca="false">hsA_28</f>
        <v>8.5016070125</v>
      </c>
      <c r="G1973" s="19" t="n">
        <f aca="false">hsA_29</f>
        <v>11.477169466875</v>
      </c>
      <c r="H1973" s="19" t="n">
        <f aca="false">G1973*(1+g_tail)</f>
        <v>12.6248864135625</v>
      </c>
      <c r="I1973" s="19" t="n">
        <f aca="false">H1973*(1+g_tail)</f>
        <v>13.8873750549188</v>
      </c>
      <c r="J1973" s="8" t="s">
        <v>541</v>
      </c>
    </row>
    <row r="1974" customFormat="false" ht="15" hidden="false" customHeight="false" outlineLevel="0" collapsed="false">
      <c r="A1974" s="0" t="s">
        <v>542</v>
      </c>
      <c r="B1974" s="0" t="s">
        <v>543</v>
      </c>
      <c r="C1974" s="19" t="n">
        <f aca="false">den_25</f>
        <v>24</v>
      </c>
      <c r="D1974" s="19" t="n">
        <f aca="false">den_26</f>
        <v>24</v>
      </c>
      <c r="E1974" s="19" t="n">
        <f aca="false">den_27</f>
        <v>26</v>
      </c>
      <c r="F1974" s="19" t="n">
        <f aca="false">den_28</f>
        <v>28</v>
      </c>
      <c r="G1974" s="19" t="n">
        <f aca="false">den_29</f>
        <v>30</v>
      </c>
      <c r="H1974" s="19" t="n">
        <f aca="false">den_30</f>
        <v>32</v>
      </c>
      <c r="I1974" s="19" t="n">
        <f aca="false">den_30</f>
        <v>32</v>
      </c>
    </row>
    <row r="1975" customFormat="false" ht="15" hidden="false" customHeight="false" outlineLevel="0" collapsed="false">
      <c r="A1975" s="5" t="s">
        <v>544</v>
      </c>
      <c r="B1975" s="5" t="s">
        <v>152</v>
      </c>
      <c r="C1975" s="19" t="n">
        <f aca="false">stk_25</f>
        <v>10</v>
      </c>
      <c r="D1975" s="19" t="n">
        <f aca="false">stk_26</f>
        <v>12</v>
      </c>
      <c r="E1975" s="19" t="n">
        <f aca="false">stk_27</f>
        <v>12.5</v>
      </c>
      <c r="F1975" s="19" t="n">
        <f aca="false">stk_28</f>
        <v>14</v>
      </c>
      <c r="G1975" s="19" t="n">
        <f aca="false">stk_29</f>
        <v>15</v>
      </c>
      <c r="H1975" s="19" t="n">
        <f aca="false">stk_30</f>
        <v>16</v>
      </c>
      <c r="I1975" s="19" t="n">
        <f aca="false">stk_30</f>
        <v>16</v>
      </c>
    </row>
    <row r="1976" customFormat="false" ht="15" hidden="false" customHeight="false" outlineLevel="0" collapsed="false">
      <c r="A1976" s="0" t="s">
        <v>545</v>
      </c>
      <c r="B1976" s="5" t="s">
        <v>546</v>
      </c>
      <c r="C1976" s="19" t="n">
        <f aca="false">C1973*8/C1974</f>
        <v>0.741704901960783</v>
      </c>
      <c r="D1976" s="19" t="n">
        <f aca="false">D1973*8/D1974</f>
        <v>1.26089833333333</v>
      </c>
      <c r="E1976" s="19" t="n">
        <f aca="false">E1973*8/E1974</f>
        <v>1.80405453846154</v>
      </c>
      <c r="F1976" s="19" t="n">
        <f aca="false">F1973*8/F1974</f>
        <v>2.429030575</v>
      </c>
      <c r="G1976" s="19" t="n">
        <f aca="false">G1973*8/G1974</f>
        <v>3.0605785245</v>
      </c>
      <c r="H1976" s="19" t="n">
        <f aca="false">H1973*8/H1974</f>
        <v>3.15622160339063</v>
      </c>
      <c r="I1976" s="19" t="n">
        <f aca="false">I1973*8/I1974</f>
        <v>3.47184376372969</v>
      </c>
      <c r="J1976" s="8" t="s">
        <v>547</v>
      </c>
    </row>
    <row r="1977" customFormat="false" ht="15" hidden="false" customHeight="false" outlineLevel="0" collapsed="false">
      <c r="A1977" s="0" t="s">
        <v>548</v>
      </c>
      <c r="B1977" s="5" t="s">
        <v>549</v>
      </c>
      <c r="C1977" s="19" t="n">
        <f aca="false">C1976*(1+s_stk/C1975)</f>
        <v>0.964216372549018</v>
      </c>
      <c r="D1977" s="19" t="n">
        <f aca="false">D1976*(1+s_stk/D1975)</f>
        <v>1.57612291666667</v>
      </c>
      <c r="E1977" s="19" t="n">
        <f aca="false">E1976*(1+s_stk/E1975)</f>
        <v>2.23702762769231</v>
      </c>
      <c r="F1977" s="19" t="n">
        <f aca="false">F1976*(1+s_stk/F1975)</f>
        <v>2.94953712678571</v>
      </c>
      <c r="G1977" s="19" t="n">
        <f aca="false">G1976*(1+s_stk/G1975)</f>
        <v>3.6726942294</v>
      </c>
      <c r="H1977" s="19" t="n">
        <f aca="false">H1976*(1+s_stk/H1975)</f>
        <v>3.74801315402637</v>
      </c>
      <c r="I1977" s="19" t="n">
        <f aca="false">I1976*(1+s_stk/I1975)</f>
        <v>4.12281446942901</v>
      </c>
      <c r="J1977" s="5" t="s">
        <v>550</v>
      </c>
    </row>
    <row r="1978" customFormat="false" ht="15" hidden="false" customHeight="false" outlineLevel="0" collapsed="false">
      <c r="A1978" s="5" t="s">
        <v>551</v>
      </c>
      <c r="B1978" s="0" t="s">
        <v>60</v>
      </c>
      <c r="C1978" s="22" t="n">
        <f aca="false">hbp_25*hb_on</f>
        <v>0</v>
      </c>
      <c r="D1978" s="22" t="n">
        <f aca="false">hbp_26*hb_on</f>
        <v>0</v>
      </c>
      <c r="E1978" s="22" t="n">
        <f aca="false">hbp_27*hb_on</f>
        <v>0</v>
      </c>
      <c r="F1978" s="22" t="n">
        <f aca="false">hbp_28*hb_on</f>
        <v>0.05</v>
      </c>
      <c r="G1978" s="22" t="n">
        <f aca="false">hbp_29*hb_on</f>
        <v>0.15</v>
      </c>
      <c r="H1978" s="22" t="n">
        <f aca="false">hbp_30*hb_on</f>
        <v>0.25</v>
      </c>
      <c r="I1978" s="22" t="n">
        <f aca="false">hbp_30*hb_on</f>
        <v>0.25</v>
      </c>
    </row>
    <row r="1979" customFormat="false" ht="15" hidden="false" customHeight="false" outlineLevel="0" collapsed="false">
      <c r="A1979" s="0" t="s">
        <v>552</v>
      </c>
      <c r="B1979" s="5" t="s">
        <v>549</v>
      </c>
      <c r="C1979" s="19" t="n">
        <f aca="false">C1977*(1+C1978*hb_eff)</f>
        <v>0.964216372549018</v>
      </c>
      <c r="D1979" s="19" t="n">
        <f aca="false">D1977*(1+D1978*hb_eff)</f>
        <v>1.57612291666667</v>
      </c>
      <c r="E1979" s="19" t="n">
        <f aca="false">E1977*(1+E1978*hb_eff)</f>
        <v>2.23702762769231</v>
      </c>
      <c r="F1979" s="19" t="n">
        <f aca="false">F1977*(1+F1978*hb_eff)</f>
        <v>2.96428481241964</v>
      </c>
      <c r="G1979" s="19" t="n">
        <f aca="false">G1977*(1+G1978*hb_eff)</f>
        <v>3.727784642841</v>
      </c>
      <c r="H1979" s="19" t="n">
        <f aca="false">H1977*(1+H1978*hb_eff)</f>
        <v>3.84171348287703</v>
      </c>
      <c r="I1979" s="19" t="n">
        <f aca="false">I1977*(1+I1978*hb_eff)</f>
        <v>4.22588483116473</v>
      </c>
      <c r="J1979" s="5" t="s">
        <v>553</v>
      </c>
    </row>
    <row r="1980" customFormat="false" ht="15" hidden="false" customHeight="false" outlineLevel="0" collapsed="false">
      <c r="A1980" s="0" t="s">
        <v>554</v>
      </c>
      <c r="B1980" s="5" t="s">
        <v>549</v>
      </c>
      <c r="C1980" s="19" t="n">
        <f aca="false">MAX(0,D1979-C1979)+dlt*C1979</f>
        <v>0.70832818137255</v>
      </c>
      <c r="D1980" s="19" t="n">
        <f aca="false">MAX(0,E1979-D1979)+dlt*D1979</f>
        <v>0.818517002692307</v>
      </c>
      <c r="E1980" s="19" t="n">
        <f aca="false">MAX(0,F1979-E1979)+dlt*E1979</f>
        <v>0.950959947496565</v>
      </c>
      <c r="F1980" s="19" t="n">
        <f aca="false">MAX(0,G1979-F1979)+dlt*F1979</f>
        <v>1.05992831166332</v>
      </c>
      <c r="G1980" s="19" t="n">
        <f aca="false">MAX(0,H1979-G1979)+dlt*G1979</f>
        <v>0.486707304320127</v>
      </c>
      <c r="H1980" s="19" t="n">
        <f aca="false">MAX(0,I1979-H1979)+dlt*H1979</f>
        <v>0.768342696575406</v>
      </c>
      <c r="J1980" s="5" t="s">
        <v>555</v>
      </c>
    </row>
    <row r="1981" customFormat="false" ht="15" hidden="false" customHeight="false" outlineLevel="0" collapsed="false">
      <c r="A1981" s="0" t="s">
        <v>556</v>
      </c>
      <c r="B1981" s="5" t="s">
        <v>181</v>
      </c>
      <c r="C1981" s="21" t="n">
        <f aca="false">cw_25</f>
        <v>670</v>
      </c>
      <c r="D1981" s="21" t="n">
        <f aca="false">cw_26</f>
        <v>1107.85762580894</v>
      </c>
      <c r="E1981" s="21" t="n">
        <f aca="false">cw_27</f>
        <v>2096.42857142857</v>
      </c>
      <c r="F1981" s="21" t="n">
        <f aca="false">cw_28*um28_A</f>
        <v>2620.08928571429</v>
      </c>
      <c r="G1981" s="21" t="n">
        <f aca="false">cw_29*um29_A</f>
        <v>3013.32589285714</v>
      </c>
      <c r="H1981" s="21" t="n">
        <f aca="false">G1981*(1+g_tail)</f>
        <v>3314.65848214285</v>
      </c>
      <c r="I1981" s="21" t="n">
        <f aca="false">H1981*(1+g_tail)</f>
        <v>3646.12433035714</v>
      </c>
      <c r="J1981" s="5" t="s">
        <v>557</v>
      </c>
    </row>
    <row r="1982" customFormat="false" ht="15" hidden="false" customHeight="false" outlineLevel="0" collapsed="false">
      <c r="A1982" s="5" t="s">
        <v>558</v>
      </c>
      <c r="B1982" s="5" t="s">
        <v>181</v>
      </c>
      <c r="C1982" s="21" t="n">
        <f aca="false">MAX(0,D1981-C1981)+dlt*C1981</f>
        <v>504.85762580894</v>
      </c>
      <c r="D1982" s="21" t="n">
        <f aca="false">MAX(0,E1981-D1981)+dlt*D1981</f>
        <v>1099.35670820052</v>
      </c>
      <c r="E1982" s="21" t="n">
        <f aca="false">MAX(0,F1981-E1981)+dlt*E1981</f>
        <v>733.303571428577</v>
      </c>
      <c r="F1982" s="21" t="n">
        <f aca="false">MAX(0,G1981-F1981)+dlt*F1981</f>
        <v>655.245535714279</v>
      </c>
      <c r="G1982" s="21" t="n">
        <f aca="false">MAX(0,H1981-G1981)+dlt*G1981</f>
        <v>602.665178571428</v>
      </c>
      <c r="H1982" s="21" t="n">
        <f aca="false">MAX(0,I1981-H1981)+dlt*H1981</f>
        <v>662.931696428571</v>
      </c>
    </row>
    <row r="1983" customFormat="false" ht="15" hidden="false" customHeight="false" outlineLevel="0" collapsed="false">
      <c r="A1983" s="1" t="s">
        <v>559</v>
      </c>
    </row>
    <row r="1984" customFormat="false" ht="15" hidden="false" customHeight="false" outlineLevel="0" collapsed="false">
      <c r="A1984" s="0" t="s">
        <v>560</v>
      </c>
      <c r="B1984" s="0" t="s">
        <v>561</v>
      </c>
      <c r="C1984" s="16" t="n">
        <f aca="false">ai_25*w_hbm/(0.75*C1980+0.25*D1980)</f>
        <v>48.9213264236471</v>
      </c>
      <c r="J1984" s="5" t="s">
        <v>562</v>
      </c>
    </row>
    <row r="1985" customFormat="false" ht="15" hidden="false" customHeight="false" outlineLevel="0" collapsed="false">
      <c r="A1985" s="5" t="s">
        <v>563</v>
      </c>
      <c r="B1985" s="0" t="s">
        <v>564</v>
      </c>
      <c r="C1985" s="18" t="n">
        <f aca="false">ai_25*(1-w_hbm)/(0.75*C1982+0.25*D1982)</f>
        <v>0.0596802610360141</v>
      </c>
    </row>
    <row r="1986" customFormat="false" ht="15" hidden="false" customHeight="false" outlineLevel="0" collapsed="false">
      <c r="A1986" s="1" t="s">
        <v>565</v>
      </c>
    </row>
    <row r="1987" customFormat="false" ht="15" hidden="false" customHeight="false" outlineLevel="0" collapsed="false">
      <c r="A1987" s="5" t="s">
        <v>566</v>
      </c>
      <c r="B1987" s="0" t="s">
        <v>80</v>
      </c>
      <c r="C1987" s="16" t="n">
        <f aca="false">1-sh_loss/sh*0</f>
        <v>1</v>
      </c>
      <c r="D1987" s="16" t="n">
        <f aca="false">1-sh_loss/sh*0.25</f>
        <v>1</v>
      </c>
      <c r="E1987" s="16" t="n">
        <f aca="false">1-sh_loss/sh*0.5</f>
        <v>1</v>
      </c>
      <c r="F1987" s="16" t="n">
        <f aca="false">1-sh_loss/sh*0.75</f>
        <v>1</v>
      </c>
      <c r="G1987" s="16" t="n">
        <f aca="false">1-sh_loss/sh*1</f>
        <v>1</v>
      </c>
    </row>
    <row r="1988" customFormat="false" ht="15" hidden="false" customHeight="false" outlineLevel="0" collapsed="false">
      <c r="A1988" s="0" t="s">
        <v>567</v>
      </c>
      <c r="B1988" s="0" t="s">
        <v>33</v>
      </c>
      <c r="C1988" s="11" t="n">
        <f aca="false">$C$1984*(0.75*C1980+0.25*D1980)*C1987</f>
        <v>36</v>
      </c>
      <c r="D1988" s="11" t="n">
        <f aca="false">$C$1984*(0.75*D1980+0.25*E1980)*D1987</f>
        <v>41.6627586058351</v>
      </c>
      <c r="E1988" s="11" t="n">
        <f aca="false">$C$1984*(0.75*E1980+0.25*F1980)*E1987</f>
        <v>47.8549412356069</v>
      </c>
      <c r="F1988" s="11" t="n">
        <f aca="false">$C$1984*(0.75*F1980+0.25*G1980)*F1987</f>
        <v>44.8424159172644</v>
      </c>
      <c r="G1988" s="11" t="n">
        <f aca="false">$C$1984*(0.75*G1980+0.25*H1980)*G1987</f>
        <v>27.2548611466613</v>
      </c>
    </row>
    <row r="1989" customFormat="false" ht="15" hidden="false" customHeight="false" outlineLevel="0" collapsed="false">
      <c r="A1989" s="5" t="s">
        <v>568</v>
      </c>
      <c r="B1989" s="0" t="s">
        <v>33</v>
      </c>
      <c r="C1989" s="11" t="n">
        <f aca="false">$C$1985*(0.75*C1982+0.25*D1982)*C1987</f>
        <v>39</v>
      </c>
      <c r="D1989" s="11" t="n">
        <f aca="false">$C$1985*(0.75*D1982+0.25*E1982)*D1987</f>
        <v>60.1483586282001</v>
      </c>
      <c r="E1989" s="11" t="n">
        <f aca="false">$C$1985*(0.75*E1982+0.25*F1982)*E1987</f>
        <v>42.5991175746519</v>
      </c>
      <c r="F1989" s="11" t="n">
        <f aca="false">$C$1985*(0.75*F1982+0.25*G1982)*F1987</f>
        <v>38.320722254198</v>
      </c>
      <c r="G1989" s="11" t="n">
        <f aca="false">$C$1985*(0.75*G1982+0.25*H1982)*G1987</f>
        <v>36.8663955538204</v>
      </c>
    </row>
    <row r="1990" customFormat="false" ht="15" hidden="false" customHeight="false" outlineLevel="0" collapsed="false">
      <c r="A1990" s="0" t="s">
        <v>569</v>
      </c>
      <c r="B1990" s="0" t="s">
        <v>33</v>
      </c>
      <c r="C1990" s="11" t="n">
        <f aca="false">C1988+C1989</f>
        <v>75</v>
      </c>
      <c r="D1990" s="11" t="n">
        <f aca="false">D1988+D1989</f>
        <v>101.811117234035</v>
      </c>
      <c r="E1990" s="11" t="n">
        <f aca="false">E1988+E1989</f>
        <v>90.4540588102588</v>
      </c>
      <c r="F1990" s="11" t="n">
        <f aca="false">F1988+F1989</f>
        <v>83.1631381714624</v>
      </c>
      <c r="G1990" s="11" t="n">
        <f aca="false">G1988+G1989</f>
        <v>64.1212567004817</v>
      </c>
    </row>
    <row r="1991" customFormat="false" ht="15" hidden="false" customHeight="false" outlineLevel="0" collapsed="false">
      <c r="A1991" s="5" t="s">
        <v>570</v>
      </c>
      <c r="B1991" s="0" t="s">
        <v>33</v>
      </c>
      <c r="C1991" s="11" t="n">
        <f aca="false">eq_25-ai_25</f>
        <v>195.87118</v>
      </c>
      <c r="D1991" s="11" t="n">
        <f aca="false">C1991*(1+g_non)*D1987/C1987</f>
        <v>207.6234508</v>
      </c>
      <c r="E1991" s="11" t="n">
        <f aca="false">D1991*(1+g_non)*E1987/D1987</f>
        <v>220.080857848</v>
      </c>
      <c r="F1991" s="11" t="n">
        <f aca="false">E1991*(1+g_non)*F1987/E1987</f>
        <v>233.28570931888</v>
      </c>
      <c r="G1991" s="11" t="n">
        <f aca="false">F1991*(1+g_non)*G1987/F1987</f>
        <v>247.282851878013</v>
      </c>
    </row>
    <row r="1992" customFormat="false" ht="15" hidden="false" customHeight="false" outlineLevel="0" collapsed="false">
      <c r="A1992" s="0" t="s">
        <v>571</v>
      </c>
      <c r="B1992" s="0" t="s">
        <v>80</v>
      </c>
      <c r="C1992" s="19" t="n">
        <f aca="false">w_hbm*(0.75*C1979+0.25*D1979)/(0.75*C1979+0.25*D1979)+(1-w_hbm)*(0.75*C1981+0.25*D1981)/(0.75*C1981+0.25*D1981)</f>
        <v>1</v>
      </c>
      <c r="D1992" s="19" t="n">
        <f aca="false">w_hbm*(0.75*D1979+0.25*E1979)/(0.75*C1979+0.25*D1979)+(1-w_hbm)*(0.75*D1981+0.25*E1981)/(0.75*C1981+0.25*D1981)</f>
        <v>1.65212184085657</v>
      </c>
      <c r="E1992" s="19" t="n">
        <f aca="false">w_hbm*(0.75*E1979+0.25*F1979)/(0.75*C1979+0.25*D1979)+(1-w_hbm)*(0.75*E1981+0.25*F1981)/(0.75*C1981+0.25*D1981)</f>
        <v>2.52516730417954</v>
      </c>
      <c r="F1992" s="19" t="n">
        <f aca="false">w_hbm*(0.75*F1979+0.25*G1979)/(0.75*C1979+0.25*D1979)+(1-w_hbm)*(0.75*F1981+0.25*G1981)/(0.75*C1981+0.25*D1981)</f>
        <v>3.16911970169284</v>
      </c>
      <c r="G1992" s="19" t="n">
        <f aca="false">w_hbm*(0.75*G1979+0.25*H1979)/(0.75*C1979+0.25*D1979)+(1-w_hbm)*(0.75*G1981+0.25*H1981)/(0.75*C1981+0.25*D1981)</f>
        <v>3.67439430985121</v>
      </c>
      <c r="J1992" s="8" t="s">
        <v>572</v>
      </c>
    </row>
    <row r="1993" customFormat="false" ht="15" hidden="false" customHeight="false" outlineLevel="0" collapsed="false">
      <c r="A1993" s="0" t="s">
        <v>573</v>
      </c>
      <c r="B1993" s="0" t="s">
        <v>33</v>
      </c>
      <c r="C1993" s="11" t="n">
        <f aca="false">tl_25*w_tlai*C1992</f>
        <v>25.4032258064516</v>
      </c>
      <c r="D1993" s="11" t="n">
        <f aca="false">tl_25*w_tlai*D1992</f>
        <v>41.9692241830499</v>
      </c>
      <c r="E1993" s="11" t="n">
        <f aca="false">tl_25*w_tlai*E1992</f>
        <v>64.1473952271414</v>
      </c>
      <c r="F1993" s="11" t="n">
        <f aca="false">tl_25*w_tlai*F1992</f>
        <v>80.5058633897778</v>
      </c>
      <c r="G1993" s="11" t="n">
        <f aca="false">tl_25*w_tlai*G1992</f>
        <v>93.3414683550913</v>
      </c>
      <c r="J1993" s="5" t="s">
        <v>574</v>
      </c>
    </row>
    <row r="1994" customFormat="false" ht="15" hidden="false" customHeight="false" outlineLevel="0" collapsed="false">
      <c r="A1994" s="5" t="s">
        <v>575</v>
      </c>
      <c r="B1994" s="0" t="s">
        <v>33</v>
      </c>
      <c r="C1994" s="11" t="n">
        <f aca="false">tl_25*(1-w_tlai)</f>
        <v>66.3434641935484</v>
      </c>
      <c r="D1994" s="11" t="n">
        <f aca="false">C1994*(1+g_tl)</f>
        <v>69.6606374032258</v>
      </c>
      <c r="E1994" s="11" t="n">
        <f aca="false">D1994*(1+g_tl)</f>
        <v>73.1436692733871</v>
      </c>
      <c r="F1994" s="11" t="n">
        <f aca="false">E1994*(1+g_tl)</f>
        <v>76.8008527370565</v>
      </c>
      <c r="G1994" s="11" t="n">
        <f aca="false">F1994*(1+g_tl)</f>
        <v>80.6408953739093</v>
      </c>
    </row>
    <row r="1995" customFormat="false" ht="15" hidden="false" customHeight="false" outlineLevel="0" collapsed="false">
      <c r="A1995" s="5" t="s">
        <v>576</v>
      </c>
      <c r="B1995" s="0" t="s">
        <v>33</v>
      </c>
      <c r="C1995" s="11" t="n">
        <f aca="false">(C1990+C1991+C1993+C1994)*(1+r_ot)</f>
        <v>436.889</v>
      </c>
      <c r="D1995" s="11" t="n">
        <f aca="false">(D1990+D1991+D1993+D1994)*(1+r_ot)</f>
        <v>507.306541711218</v>
      </c>
      <c r="E1995" s="11" t="n">
        <f aca="false">(E1990+E1991+E1993+E1994)*(1+r_ot)</f>
        <v>539.549374890105</v>
      </c>
      <c r="F1995" s="11" t="n">
        <f aca="false">(F1990+F1991+F1993+F1994)*(1+r_ot)</f>
        <v>570.789835683346</v>
      </c>
      <c r="G1995" s="11" t="n">
        <f aca="false">(G1990+G1991+G1993+G1994)*(1+r_ot)</f>
        <v>584.802978683729</v>
      </c>
      <c r="J1995" s="8" t="s">
        <v>577</v>
      </c>
    </row>
    <row r="1996" customFormat="false" ht="15" hidden="false" customHeight="false" outlineLevel="0" collapsed="false">
      <c r="A1996" s="1" t="s">
        <v>578</v>
      </c>
    </row>
    <row r="1997" customFormat="false" ht="15" hidden="false" customHeight="false" outlineLevel="0" collapsed="false">
      <c r="A1997" s="5" t="s">
        <v>579</v>
      </c>
      <c r="B1997" s="0" t="s">
        <v>33</v>
      </c>
      <c r="D1997" s="11" t="n">
        <f aca="false">g3_rev*(1+g_q4)</f>
        <v>145.6862</v>
      </c>
    </row>
    <row r="1998" customFormat="false" ht="15" hidden="false" customHeight="false" outlineLevel="0" collapsed="false">
      <c r="A1998" s="0" t="s">
        <v>580</v>
      </c>
      <c r="B1998" s="0" t="s">
        <v>33</v>
      </c>
      <c r="D1998" s="11" t="n">
        <f aca="false">q26h1_rev+g3_rev+D1997</f>
        <v>535.1862</v>
      </c>
    </row>
    <row r="1999" customFormat="false" ht="15" hidden="false" customHeight="false" outlineLevel="0" collapsed="false">
      <c r="A1999" s="0" t="s">
        <v>581</v>
      </c>
      <c r="B1999" s="0" t="s">
        <v>33</v>
      </c>
      <c r="D1999" s="11" t="n">
        <f aca="false">q26h1_gp+(g3_rev+D1997)*gm_q3</f>
        <v>378.0504836</v>
      </c>
    </row>
    <row r="2000" customFormat="false" ht="15" hidden="false" customHeight="false" outlineLevel="0" collapsed="false">
      <c r="A2000" s="0" t="s">
        <v>582</v>
      </c>
      <c r="B2000" s="0" t="s">
        <v>33</v>
      </c>
      <c r="D2000" s="11" t="n">
        <f aca="false">q26h1_oi+g3_oi+D1997*m_q4</f>
        <v>238.5671</v>
      </c>
    </row>
    <row r="2001" customFormat="false" ht="15" hidden="false" customHeight="false" outlineLevel="0" collapsed="false">
      <c r="A2001" s="0" t="s">
        <v>583</v>
      </c>
      <c r="B2001" s="0" t="s">
        <v>33</v>
      </c>
      <c r="D2001" s="11" t="n">
        <f aca="false">q26h1_ni+g3_ni+D1997*m_q4*nioi_lo</f>
        <v>165.73101356337</v>
      </c>
    </row>
    <row r="2002" customFormat="false" ht="15" hidden="false" customHeight="false" outlineLevel="0" collapsed="false">
      <c r="A2002" s="5" t="s">
        <v>584</v>
      </c>
      <c r="B2002" s="0" t="s">
        <v>80</v>
      </c>
      <c r="D2002" s="16" t="n">
        <f aca="false">D1998/D1995</f>
        <v>1.05495623650888</v>
      </c>
      <c r="J2002" s="8" t="s">
        <v>585</v>
      </c>
    </row>
    <row r="2003" customFormat="false" ht="15" hidden="false" customHeight="false" outlineLevel="0" collapsed="false">
      <c r="A2003" s="5" t="s">
        <v>586</v>
      </c>
      <c r="B2003" s="0" t="s">
        <v>80</v>
      </c>
      <c r="D2003" s="16" t="n">
        <f aca="false">1+anc_carry*(D2002-1)</f>
        <v>1.05495623650888</v>
      </c>
      <c r="J2003" s="8" t="s">
        <v>587</v>
      </c>
    </row>
    <row r="2004" customFormat="false" ht="15" hidden="false" customHeight="false" outlineLevel="0" collapsed="false">
      <c r="A2004" s="1" t="s">
        <v>588</v>
      </c>
    </row>
    <row r="2005" customFormat="false" ht="15" hidden="false" customHeight="false" outlineLevel="0" collapsed="false">
      <c r="A2005" s="0" t="s">
        <v>589</v>
      </c>
      <c r="B2005" s="0" t="s">
        <v>33</v>
      </c>
      <c r="C2005" s="11" t="n">
        <f aca="false">C1988*1</f>
        <v>36</v>
      </c>
      <c r="D2005" s="11" t="n">
        <f aca="false">D1988*$D$2002</f>
        <v>43.9523870213896</v>
      </c>
      <c r="E2005" s="11" t="n">
        <f aca="false">E1988*1</f>
        <v>47.8549412356069</v>
      </c>
      <c r="F2005" s="11" t="n">
        <f aca="false">F1988*1</f>
        <v>44.8424159172644</v>
      </c>
      <c r="G2005" s="11" t="n">
        <f aca="false">G1988*1</f>
        <v>27.2548611466613</v>
      </c>
    </row>
    <row r="2006" customFormat="false" ht="15" hidden="false" customHeight="false" outlineLevel="0" collapsed="false">
      <c r="A2006" s="5" t="s">
        <v>590</v>
      </c>
      <c r="B2006" s="0" t="s">
        <v>33</v>
      </c>
      <c r="C2006" s="11" t="n">
        <f aca="false">C1989*1</f>
        <v>39</v>
      </c>
      <c r="D2006" s="11" t="n">
        <f aca="false">D1989*$D$2002</f>
        <v>63.4538860505921</v>
      </c>
      <c r="E2006" s="11" t="n">
        <f aca="false">E1989*1</f>
        <v>42.5991175746519</v>
      </c>
      <c r="F2006" s="11" t="n">
        <f aca="false">F1989*1</f>
        <v>38.320722254198</v>
      </c>
      <c r="G2006" s="11" t="n">
        <f aca="false">G1989*1</f>
        <v>36.8663955538204</v>
      </c>
    </row>
    <row r="2007" customFormat="false" ht="15" hidden="false" customHeight="false" outlineLevel="0" collapsed="false">
      <c r="A2007" s="0" t="s">
        <v>591</v>
      </c>
      <c r="B2007" s="0" t="s">
        <v>33</v>
      </c>
      <c r="C2007" s="11" t="n">
        <f aca="false">C2005+C2006</f>
        <v>75</v>
      </c>
      <c r="D2007" s="11" t="n">
        <f aca="false">D2005+D2006</f>
        <v>107.406273071982</v>
      </c>
      <c r="E2007" s="11" t="n">
        <f aca="false">E2005+E2006</f>
        <v>90.4540588102588</v>
      </c>
      <c r="F2007" s="11" t="n">
        <f aca="false">F2005+F2006</f>
        <v>83.1631381714624</v>
      </c>
      <c r="G2007" s="11" t="n">
        <f aca="false">G2005+G2006</f>
        <v>64.1212567004817</v>
      </c>
    </row>
    <row r="2008" customFormat="false" ht="15" hidden="false" customHeight="false" outlineLevel="0" collapsed="false">
      <c r="A2008" s="5" t="s">
        <v>592</v>
      </c>
      <c r="B2008" s="0" t="s">
        <v>33</v>
      </c>
      <c r="C2008" s="11" t="n">
        <f aca="false">C1991*1</f>
        <v>195.87118</v>
      </c>
      <c r="D2008" s="11" t="n">
        <f aca="false">D1991*$D$2002</f>
        <v>219.033654266954</v>
      </c>
      <c r="E2008" s="11" t="n">
        <f aca="false">E1991*$D$2003</f>
        <v>232.175673522971</v>
      </c>
      <c r="F2008" s="11" t="n">
        <f aca="false">F1991*$D$2003</f>
        <v>246.106213934349</v>
      </c>
      <c r="G2008" s="11" t="n">
        <f aca="false">G1991*$D$2003</f>
        <v>260.87258677041</v>
      </c>
    </row>
    <row r="2009" customFormat="false" ht="15" hidden="false" customHeight="false" outlineLevel="0" collapsed="false">
      <c r="A2009" s="5" t="s">
        <v>593</v>
      </c>
      <c r="B2009" s="0" t="s">
        <v>33</v>
      </c>
      <c r="C2009" s="11" t="n">
        <f aca="false">C2007+C2008</f>
        <v>270.87118</v>
      </c>
      <c r="D2009" s="11" t="n">
        <f aca="false">D2007+D2008</f>
        <v>326.439927338936</v>
      </c>
      <c r="E2009" s="11" t="n">
        <f aca="false">E2007+E2008</f>
        <v>322.62973233323</v>
      </c>
      <c r="F2009" s="11" t="n">
        <f aca="false">F2007+F2008</f>
        <v>329.269352105812</v>
      </c>
      <c r="G2009" s="11" t="n">
        <f aca="false">G2007+G2008</f>
        <v>324.993843470892</v>
      </c>
    </row>
    <row r="2010" customFormat="false" ht="15" hidden="false" customHeight="false" outlineLevel="0" collapsed="false">
      <c r="A2010" s="0" t="s">
        <v>594</v>
      </c>
      <c r="B2010" s="0" t="s">
        <v>33</v>
      </c>
      <c r="C2010" s="11" t="n">
        <f aca="false">C1993*1</f>
        <v>25.4032258064516</v>
      </c>
      <c r="D2010" s="11" t="n">
        <f aca="false">D1993*$D$2002</f>
        <v>44.2756947933477</v>
      </c>
      <c r="E2010" s="11" t="n">
        <f aca="false">E1993*1</f>
        <v>64.1473952271414</v>
      </c>
      <c r="F2010" s="11" t="n">
        <f aca="false">F1993*1</f>
        <v>80.5058633897778</v>
      </c>
      <c r="G2010" s="11" t="n">
        <f aca="false">G1993*1</f>
        <v>93.3414683550913</v>
      </c>
    </row>
    <row r="2011" customFormat="false" ht="15" hidden="false" customHeight="false" outlineLevel="0" collapsed="false">
      <c r="A2011" s="5" t="s">
        <v>595</v>
      </c>
      <c r="B2011" s="0" t="s">
        <v>33</v>
      </c>
      <c r="C2011" s="11" t="n">
        <f aca="false">C1994*1</f>
        <v>66.3434641935484</v>
      </c>
      <c r="D2011" s="11" t="n">
        <f aca="false">D1994*$D$2002</f>
        <v>73.4889238677166</v>
      </c>
      <c r="E2011" s="11" t="n">
        <f aca="false">E1994*$D$2003</f>
        <v>77.1633700611024</v>
      </c>
      <c r="F2011" s="11" t="n">
        <f aca="false">F1994*$D$2003</f>
        <v>81.0215385641575</v>
      </c>
      <c r="G2011" s="11" t="n">
        <f aca="false">G1994*$D$2003</f>
        <v>85.0726154923654</v>
      </c>
    </row>
    <row r="2012" customFormat="false" ht="15" hidden="false" customHeight="false" outlineLevel="0" collapsed="false">
      <c r="A2012" s="5" t="s">
        <v>596</v>
      </c>
      <c r="B2012" s="0" t="s">
        <v>33</v>
      </c>
      <c r="C2012" s="11" t="n">
        <f aca="false">C2010+C2011</f>
        <v>91.74669</v>
      </c>
      <c r="D2012" s="11" t="n">
        <f aca="false">D2010+D2011</f>
        <v>117.764618661064</v>
      </c>
      <c r="E2012" s="11" t="n">
        <f aca="false">E2010+E2011</f>
        <v>141.310765288244</v>
      </c>
      <c r="F2012" s="11" t="n">
        <f aca="false">F2010+F2011</f>
        <v>161.527401953935</v>
      </c>
      <c r="G2012" s="11" t="n">
        <f aca="false">G2010+G2011</f>
        <v>178.414083847457</v>
      </c>
    </row>
    <row r="2013" customFormat="false" ht="15" hidden="false" customHeight="false" outlineLevel="0" collapsed="false">
      <c r="A2013" s="5" t="s">
        <v>458</v>
      </c>
      <c r="B2013" s="0" t="s">
        <v>33</v>
      </c>
      <c r="C2013" s="11" t="n">
        <f aca="false">r_ot*(C2009+C2012)</f>
        <v>74.27113</v>
      </c>
      <c r="D2013" s="11" t="n">
        <f aca="false">r_ot*(D2009+D2012)</f>
        <v>90.981654</v>
      </c>
      <c r="E2013" s="11" t="n">
        <f aca="false">r_ot*(E2009+E2012)</f>
        <v>95.0239573441573</v>
      </c>
      <c r="F2013" s="11" t="n">
        <f aca="false">r_ot*(F2009+F2012)</f>
        <v>100.524636373683</v>
      </c>
      <c r="G2013" s="11" t="n">
        <f aca="false">r_ot*(G2009+G2012)</f>
        <v>103.107647763999</v>
      </c>
    </row>
    <row r="2014" customFormat="false" ht="15" hidden="false" customHeight="false" outlineLevel="0" collapsed="false">
      <c r="A2014" s="5" t="s">
        <v>428</v>
      </c>
      <c r="B2014" s="0" t="s">
        <v>33</v>
      </c>
      <c r="C2014" s="11" t="n">
        <f aca="false">C2009+C2012+C2013</f>
        <v>436.889</v>
      </c>
      <c r="D2014" s="11" t="n">
        <f aca="false">D2009+D2012+D2013</f>
        <v>535.1862</v>
      </c>
      <c r="E2014" s="11" t="n">
        <f aca="false">E2009+E2012+E2013</f>
        <v>558.964454965631</v>
      </c>
      <c r="F2014" s="11" t="n">
        <f aca="false">F2009+F2012+F2013</f>
        <v>591.32139043343</v>
      </c>
      <c r="G2014" s="11" t="n">
        <f aca="false">G2009+G2012+G2013</f>
        <v>606.515575082348</v>
      </c>
      <c r="J2014" s="8" t="s">
        <v>597</v>
      </c>
    </row>
    <row r="2015" customFormat="false" ht="15" hidden="false" customHeight="false" outlineLevel="0" collapsed="false">
      <c r="A2015" s="0" t="s">
        <v>598</v>
      </c>
      <c r="B2015" s="0" t="s">
        <v>60</v>
      </c>
      <c r="C2015" s="14" t="n">
        <f aca="false">(C2007+C2010)*(1+r_ot)/C2014</f>
        <v>0.276884384673187</v>
      </c>
      <c r="D2015" s="14" t="n">
        <f aca="false">(D2007+D2010)*(1+r_ot)/D2014</f>
        <v>0.341468742792492</v>
      </c>
      <c r="E2015" s="14" t="n">
        <f aca="false">(E2007+E2010)*(1+r_ot)/E2014</f>
        <v>0.333235522292211</v>
      </c>
      <c r="F2015" s="14" t="n">
        <f aca="false">(F2007+F2010)*(1+r_ot)/F2014</f>
        <v>0.333476128779197</v>
      </c>
      <c r="G2015" s="14" t="n">
        <f aca="false">(G2007+G2010)*(1+r_ot)/G2014</f>
        <v>0.312793495117123</v>
      </c>
    </row>
    <row r="2016" customFormat="false" ht="15" hidden="false" customHeight="false" outlineLevel="0" collapsed="false">
      <c r="A2016" s="0" t="s">
        <v>599</v>
      </c>
      <c r="B2016" s="0" t="s">
        <v>60</v>
      </c>
      <c r="C2016" s="14" t="n">
        <f aca="false">C2007*(1+r_ot)/C2014</f>
        <v>0.206829299394429</v>
      </c>
      <c r="D2016" s="14" t="n">
        <f aca="false">D2007*(1+r_ot)/D2014</f>
        <v>0.241794628261148</v>
      </c>
      <c r="E2016" s="14" t="n">
        <f aca="false">E2007*(1+r_ot)/E2014</f>
        <v>0.194969094687784</v>
      </c>
      <c r="F2016" s="14" t="n">
        <f aca="false">F2007*(1+r_ot)/F2014</f>
        <v>0.16944516744163</v>
      </c>
      <c r="G2016" s="14" t="n">
        <f aca="false">G2007*(1+r_ot)/G2014</f>
        <v>0.12737434835811</v>
      </c>
      <c r="J2016" s="5" t="s">
        <v>600</v>
      </c>
    </row>
    <row r="2017" customFormat="false" ht="15" hidden="false" customHeight="false" outlineLevel="0" collapsed="false">
      <c r="A2017" s="5" t="s">
        <v>466</v>
      </c>
      <c r="B2017" s="0" t="s">
        <v>60</v>
      </c>
      <c r="C2017" s="14" t="n">
        <f aca="false">a25_gp/a25_rev</f>
        <v>0.701498549974936</v>
      </c>
      <c r="D2017" s="14" t="n">
        <f aca="false">D1999/D2014</f>
        <v>0.70639056761927</v>
      </c>
      <c r="E2017" s="14" t="n">
        <f aca="false">gm_a+gm_b*LN(E2014)+0</f>
        <v>0.730501245911974</v>
      </c>
      <c r="F2017" s="14" t="n">
        <f aca="false">gm_a+gm_b*LN(F2014)+0</f>
        <v>0.736906664378218</v>
      </c>
      <c r="G2017" s="14" t="n">
        <f aca="false">gm_a+gm_b*LN(G2014)+0</f>
        <v>0.739794512150511</v>
      </c>
      <c r="J2017" s="8" t="s">
        <v>601</v>
      </c>
    </row>
    <row r="2018" customFormat="false" ht="15" hidden="false" customHeight="false" outlineLevel="0" collapsed="false">
      <c r="A2018" s="5" t="s">
        <v>463</v>
      </c>
      <c r="B2018" s="0" t="s">
        <v>33</v>
      </c>
      <c r="C2018" s="11" t="n">
        <f aca="false">C2014*C2017</f>
        <v>306.477</v>
      </c>
      <c r="D2018" s="11" t="n">
        <f aca="false">D2014*D2017</f>
        <v>378.0504836</v>
      </c>
      <c r="E2018" s="11" t="n">
        <f aca="false">E2014*E2017</f>
        <v>408.324230772901</v>
      </c>
      <c r="F2018" s="11" t="n">
        <f aca="false">F2014*F2017</f>
        <v>435.748673399789</v>
      </c>
      <c r="G2018" s="11" t="n">
        <f aca="false">G2014*G2017</f>
        <v>448.696893979733</v>
      </c>
    </row>
    <row r="2019" customFormat="false" ht="15" hidden="false" customHeight="false" outlineLevel="0" collapsed="false">
      <c r="A2019" s="5" t="s">
        <v>464</v>
      </c>
      <c r="B2019" s="0" t="s">
        <v>33</v>
      </c>
      <c r="C2019" s="11" t="n">
        <f aca="false">a25_sga</f>
        <v>121.487</v>
      </c>
      <c r="D2019" s="11" t="n">
        <f aca="false">D2018-D2000</f>
        <v>139.4833836</v>
      </c>
      <c r="E2019" s="11" t="n">
        <f aca="false">sg_f+sg_v*E2014</f>
        <v>149.187544002062</v>
      </c>
      <c r="F2019" s="11" t="n">
        <f aca="false">sg_f+sg_v*F2014</f>
        <v>157.353367839138</v>
      </c>
      <c r="G2019" s="11" t="n">
        <f aca="false">sg_f+sg_v*G2014</f>
        <v>161.187879154788</v>
      </c>
      <c r="J2019" s="8" t="s">
        <v>602</v>
      </c>
    </row>
    <row r="2020" customFormat="false" ht="15" hidden="false" customHeight="false" outlineLevel="0" collapsed="false">
      <c r="A2020" s="5" t="s">
        <v>432</v>
      </c>
      <c r="B2020" s="0" t="s">
        <v>33</v>
      </c>
      <c r="C2020" s="11" t="n">
        <f aca="false">C2018-C2019</f>
        <v>184.99</v>
      </c>
      <c r="D2020" s="11" t="n">
        <f aca="false">D2018-D2019</f>
        <v>238.5671</v>
      </c>
      <c r="E2020" s="11" t="n">
        <f aca="false">E2018-E2019</f>
        <v>259.136686770839</v>
      </c>
      <c r="F2020" s="11" t="n">
        <f aca="false">F2018-F2019</f>
        <v>278.395305560652</v>
      </c>
      <c r="G2020" s="11" t="n">
        <f aca="false">G2018-G2019</f>
        <v>287.509014824944</v>
      </c>
    </row>
    <row r="2021" customFormat="false" ht="15" hidden="false" customHeight="false" outlineLevel="0" collapsed="false">
      <c r="A2021" s="5" t="s">
        <v>603</v>
      </c>
      <c r="B2021" s="0" t="s">
        <v>60</v>
      </c>
      <c r="C2021" s="14" t="n">
        <f aca="false">C2020/C2014</f>
        <v>0.423425629851061</v>
      </c>
      <c r="D2021" s="14" t="n">
        <f aca="false">D2020/D2014</f>
        <v>0.445764670314743</v>
      </c>
      <c r="E2021" s="14" t="n">
        <f aca="false">E2020/E2014</f>
        <v>0.463601369405094</v>
      </c>
      <c r="F2021" s="14" t="n">
        <f aca="false">F2020/F2014</f>
        <v>0.470802020803935</v>
      </c>
      <c r="G2021" s="14" t="n">
        <f aca="false">G2020/G2014</f>
        <v>0.47403401765224</v>
      </c>
    </row>
    <row r="2022" customFormat="false" ht="15" hidden="false" customHeight="false" outlineLevel="0" collapsed="false">
      <c r="A2022" s="5" t="s">
        <v>435</v>
      </c>
      <c r="B2022" s="0" t="s">
        <v>33</v>
      </c>
      <c r="C2022" s="11" t="n">
        <f aca="false">a25_ni</f>
        <v>135.521</v>
      </c>
      <c r="D2022" s="11" t="n">
        <f aca="false">D2001</f>
        <v>165.73101356337</v>
      </c>
      <c r="E2022" s="11" t="n">
        <f aca="false">E2020*nioi_lo</f>
        <v>177.841543339519</v>
      </c>
      <c r="F2022" s="11" t="n">
        <f aca="false">F2020*nioi_lo</f>
        <v>191.0584387581</v>
      </c>
      <c r="G2022" s="11" t="n">
        <f aca="false">G2020*nioi_lo</f>
        <v>197.313037986433</v>
      </c>
    </row>
    <row r="2023" customFormat="false" ht="15" hidden="false" customHeight="false" outlineLevel="0" collapsed="false">
      <c r="A2023" s="0" t="s">
        <v>524</v>
      </c>
      <c r="B2023" s="0" t="s">
        <v>55</v>
      </c>
      <c r="C2023" s="11" t="n">
        <f aca="false">a25_eps</f>
        <v>1249.84</v>
      </c>
      <c r="D2023" s="11" t="n">
        <f aca="false">D2022*1000/shares</f>
        <v>1527.74398618103</v>
      </c>
      <c r="E2023" s="11" t="n">
        <f aca="false">E2022*1000/shares</f>
        <v>1639.38144399398</v>
      </c>
      <c r="F2023" s="11" t="n">
        <f aca="false">F2022*1000/shares</f>
        <v>1761.21761730623</v>
      </c>
      <c r="G2023" s="11" t="n">
        <f aca="false">G2022*1000/shares</f>
        <v>1818.87385286291</v>
      </c>
    </row>
    <row r="2024" customFormat="false" ht="15" hidden="false" customHeight="false" outlineLevel="0" collapsed="false">
      <c r="A2024" s="5" t="s">
        <v>604</v>
      </c>
      <c r="B2024" s="0" t="s">
        <v>33</v>
      </c>
      <c r="C2024" s="16" t="n">
        <f aca="false">ABS(C2014-a25_rev)+ABS(C2020-a25_oi)+ABS(D2014-D1998)+ABS(D2020-D2000)</f>
        <v>0.000999999999976353</v>
      </c>
    </row>
    <row r="2025" customFormat="false" ht="15" hidden="false" customHeight="false" outlineLevel="0" collapsed="false">
      <c r="A2025" s="1" t="s">
        <v>605</v>
      </c>
    </row>
    <row r="2026" customFormat="false" ht="15" hidden="false" customHeight="false" outlineLevel="0" collapsed="false">
      <c r="A2026" s="5" t="s">
        <v>606</v>
      </c>
      <c r="B2026" s="0" t="s">
        <v>60</v>
      </c>
      <c r="C2026" s="14" t="n">
        <f aca="false">a25_gp/a25_rev</f>
        <v>0.701498549974936</v>
      </c>
      <c r="D2026" s="14" t="n">
        <f aca="false">gm_a+gm_b*LN(D1995)+0</f>
        <v>0.719463492058136</v>
      </c>
      <c r="E2026" s="14" t="n">
        <f aca="false">gm_a+gm_b*LN(E1995)+0</f>
        <v>0.726477317954067</v>
      </c>
      <c r="F2026" s="14" t="n">
        <f aca="false">gm_a+gm_b*LN(F1995)+0</f>
        <v>0.73288421444391</v>
      </c>
      <c r="G2026" s="14" t="n">
        <f aca="false">gm_a+gm_b*LN(G1995)+0</f>
        <v>0.735644940559218</v>
      </c>
    </row>
    <row r="2027" customFormat="false" ht="15" hidden="false" customHeight="false" outlineLevel="0" collapsed="false">
      <c r="A2027" s="5" t="s">
        <v>607</v>
      </c>
      <c r="B2027" s="0" t="s">
        <v>33</v>
      </c>
      <c r="C2027" s="11" t="n">
        <f aca="false">a25_oi</f>
        <v>184.989</v>
      </c>
      <c r="D2027" s="11" t="n">
        <f aca="false">D1995*D2026-sg_f-sg_v*D1995</f>
        <v>228.837746398039</v>
      </c>
      <c r="E2027" s="11" t="n">
        <f aca="false">E1995*E2026-sg_f-sg_v*E1995</f>
        <v>247.68256494767</v>
      </c>
      <c r="F2027" s="11" t="n">
        <f aca="false">F1995*F2026-sg_f-sg_v*F1995</f>
        <v>266.150980076278</v>
      </c>
      <c r="G2027" s="11" t="n">
        <f aca="false">G1995*G2026-sg_f-sg_v*G1995</f>
        <v>274.499016893924</v>
      </c>
    </row>
    <row r="2028" customFormat="false" ht="15" hidden="false" customHeight="false" outlineLevel="0" collapsed="false">
      <c r="A2028" s="0" t="s">
        <v>608</v>
      </c>
      <c r="B2028" s="0" t="s">
        <v>55</v>
      </c>
      <c r="C2028" s="11" t="n">
        <f aca="false">a25_eps</f>
        <v>1249.84</v>
      </c>
      <c r="D2028" s="11" t="n">
        <f aca="false">D2027*nioi_v01*1000/shares</f>
        <v>1545.37951653183</v>
      </c>
      <c r="E2028" s="11" t="n">
        <f aca="false">E2027*nioi_v01*1000/shares</f>
        <v>1672.64172321648</v>
      </c>
      <c r="F2028" s="11" t="n">
        <f aca="false">F2027*nioi_v01*1000/shares</f>
        <v>1797.36201474092</v>
      </c>
      <c r="G2028" s="11" t="n">
        <f aca="false">G2027*nioi_v01*1000/shares</f>
        <v>1853.73770146352</v>
      </c>
    </row>
    <row r="2040" customFormat="false" ht="15" hidden="false" customHeight="false" outlineLevel="0" collapsed="false">
      <c r="A2040" s="4" t="s">
        <v>849</v>
      </c>
    </row>
    <row r="2041" customFormat="false" ht="15" hidden="false" customHeight="false" outlineLevel="0" collapsed="false">
      <c r="A2041" s="6" t="s">
        <v>22</v>
      </c>
      <c r="B2041" s="6" t="s">
        <v>23</v>
      </c>
      <c r="C2041" s="9" t="s">
        <v>532</v>
      </c>
      <c r="D2041" s="9" t="s">
        <v>533</v>
      </c>
      <c r="E2041" s="9" t="s">
        <v>534</v>
      </c>
      <c r="F2041" s="9" t="s">
        <v>535</v>
      </c>
      <c r="G2041" s="9" t="s">
        <v>536</v>
      </c>
      <c r="H2041" s="9" t="s">
        <v>537</v>
      </c>
      <c r="I2041" s="9" t="s">
        <v>538</v>
      </c>
      <c r="J2041" s="6" t="s">
        <v>515</v>
      </c>
    </row>
    <row r="2042" customFormat="false" ht="15" hidden="false" customHeight="false" outlineLevel="0" collapsed="false">
      <c r="A2042" s="1" t="s">
        <v>539</v>
      </c>
    </row>
    <row r="2043" customFormat="false" ht="15" hidden="false" customHeight="false" outlineLevel="0" collapsed="false">
      <c r="A2043" s="0" t="s">
        <v>540</v>
      </c>
      <c r="B2043" s="0" t="s">
        <v>100</v>
      </c>
      <c r="C2043" s="19" t="n">
        <f aca="false">hsA_25</f>
        <v>2.22511470588235</v>
      </c>
      <c r="D2043" s="19" t="n">
        <f aca="false">hsA_26</f>
        <v>3.782695</v>
      </c>
      <c r="E2043" s="19" t="n">
        <f aca="false">hsA_27</f>
        <v>5.86317725</v>
      </c>
      <c r="F2043" s="19" t="n">
        <f aca="false">hsA_28</f>
        <v>8.5016070125</v>
      </c>
      <c r="G2043" s="19" t="n">
        <f aca="false">hsA_29</f>
        <v>11.477169466875</v>
      </c>
      <c r="H2043" s="19" t="n">
        <f aca="false">G2043*(1+g_tail)</f>
        <v>12.6248864135625</v>
      </c>
      <c r="I2043" s="19" t="n">
        <f aca="false">H2043*(1+g_tail)</f>
        <v>13.8873750549188</v>
      </c>
      <c r="J2043" s="8" t="s">
        <v>541</v>
      </c>
    </row>
    <row r="2044" customFormat="false" ht="15" hidden="false" customHeight="false" outlineLevel="0" collapsed="false">
      <c r="A2044" s="0" t="s">
        <v>542</v>
      </c>
      <c r="B2044" s="0" t="s">
        <v>543</v>
      </c>
      <c r="C2044" s="19" t="n">
        <f aca="false">den_25</f>
        <v>24</v>
      </c>
      <c r="D2044" s="19" t="n">
        <f aca="false">den_26</f>
        <v>24</v>
      </c>
      <c r="E2044" s="19" t="n">
        <f aca="false">den_27</f>
        <v>26</v>
      </c>
      <c r="F2044" s="19" t="n">
        <f aca="false">den_28</f>
        <v>28</v>
      </c>
      <c r="G2044" s="19" t="n">
        <f aca="false">den_29</f>
        <v>30</v>
      </c>
      <c r="H2044" s="19" t="n">
        <f aca="false">den_30</f>
        <v>32</v>
      </c>
      <c r="I2044" s="19" t="n">
        <f aca="false">den_30</f>
        <v>32</v>
      </c>
    </row>
    <row r="2045" customFormat="false" ht="15" hidden="false" customHeight="false" outlineLevel="0" collapsed="false">
      <c r="A2045" s="5" t="s">
        <v>544</v>
      </c>
      <c r="B2045" s="5" t="s">
        <v>152</v>
      </c>
      <c r="C2045" s="19" t="n">
        <f aca="false">stk_25</f>
        <v>10</v>
      </c>
      <c r="D2045" s="19" t="n">
        <f aca="false">stk_26</f>
        <v>12</v>
      </c>
      <c r="E2045" s="19" t="n">
        <f aca="false">stk_27</f>
        <v>12.5</v>
      </c>
      <c r="F2045" s="19" t="n">
        <f aca="false">stk_28</f>
        <v>14</v>
      </c>
      <c r="G2045" s="19" t="n">
        <f aca="false">stk_29</f>
        <v>15</v>
      </c>
      <c r="H2045" s="19" t="n">
        <f aca="false">stk_30</f>
        <v>16</v>
      </c>
      <c r="I2045" s="19" t="n">
        <f aca="false">stk_30</f>
        <v>16</v>
      </c>
    </row>
    <row r="2046" customFormat="false" ht="15" hidden="false" customHeight="false" outlineLevel="0" collapsed="false">
      <c r="A2046" s="0" t="s">
        <v>545</v>
      </c>
      <c r="B2046" s="5" t="s">
        <v>546</v>
      </c>
      <c r="C2046" s="19" t="n">
        <f aca="false">C2043*8/C2044</f>
        <v>0.741704901960783</v>
      </c>
      <c r="D2046" s="19" t="n">
        <f aca="false">D2043*8/D2044</f>
        <v>1.26089833333333</v>
      </c>
      <c r="E2046" s="19" t="n">
        <f aca="false">E2043*8/E2044</f>
        <v>1.80405453846154</v>
      </c>
      <c r="F2046" s="19" t="n">
        <f aca="false">F2043*8/F2044</f>
        <v>2.429030575</v>
      </c>
      <c r="G2046" s="19" t="n">
        <f aca="false">G2043*8/G2044</f>
        <v>3.0605785245</v>
      </c>
      <c r="H2046" s="19" t="n">
        <f aca="false">H2043*8/H2044</f>
        <v>3.15622160339063</v>
      </c>
      <c r="I2046" s="19" t="n">
        <f aca="false">I2043*8/I2044</f>
        <v>3.47184376372969</v>
      </c>
      <c r="J2046" s="8" t="s">
        <v>547</v>
      </c>
    </row>
    <row r="2047" customFormat="false" ht="15" hidden="false" customHeight="false" outlineLevel="0" collapsed="false">
      <c r="A2047" s="0" t="s">
        <v>548</v>
      </c>
      <c r="B2047" s="5" t="s">
        <v>549</v>
      </c>
      <c r="C2047" s="19" t="n">
        <f aca="false">C2046*(1+s_stk/C2045)</f>
        <v>0.964216372549018</v>
      </c>
      <c r="D2047" s="19" t="n">
        <f aca="false">D2046*(1+s_stk/D2045)</f>
        <v>1.57612291666667</v>
      </c>
      <c r="E2047" s="19" t="n">
        <f aca="false">E2046*(1+s_stk/E2045)</f>
        <v>2.23702762769231</v>
      </c>
      <c r="F2047" s="19" t="n">
        <f aca="false">F2046*(1+s_stk/F2045)</f>
        <v>2.94953712678571</v>
      </c>
      <c r="G2047" s="19" t="n">
        <f aca="false">G2046*(1+s_stk/G2045)</f>
        <v>3.6726942294</v>
      </c>
      <c r="H2047" s="19" t="n">
        <f aca="false">H2046*(1+s_stk/H2045)</f>
        <v>3.74801315402637</v>
      </c>
      <c r="I2047" s="19" t="n">
        <f aca="false">I2046*(1+s_stk/I2045)</f>
        <v>4.12281446942901</v>
      </c>
      <c r="J2047" s="5" t="s">
        <v>550</v>
      </c>
    </row>
    <row r="2048" customFormat="false" ht="15" hidden="false" customHeight="false" outlineLevel="0" collapsed="false">
      <c r="A2048" s="5" t="s">
        <v>551</v>
      </c>
      <c r="B2048" s="0" t="s">
        <v>60</v>
      </c>
      <c r="C2048" s="22" t="n">
        <f aca="false">hbp_25*hb_on</f>
        <v>0</v>
      </c>
      <c r="D2048" s="22" t="n">
        <f aca="false">hbp_26*hb_on</f>
        <v>0</v>
      </c>
      <c r="E2048" s="22" t="n">
        <f aca="false">hbp_27*hb_on</f>
        <v>0</v>
      </c>
      <c r="F2048" s="22" t="n">
        <f aca="false">hbp_28*hb_on</f>
        <v>0.05</v>
      </c>
      <c r="G2048" s="22" t="n">
        <f aca="false">hbp_29*hb_on</f>
        <v>0.15</v>
      </c>
      <c r="H2048" s="22" t="n">
        <f aca="false">hbp_30*hb_on</f>
        <v>0.25</v>
      </c>
      <c r="I2048" s="22" t="n">
        <f aca="false">hbp_30*hb_on</f>
        <v>0.25</v>
      </c>
    </row>
    <row r="2049" customFormat="false" ht="15" hidden="false" customHeight="false" outlineLevel="0" collapsed="false">
      <c r="A2049" s="0" t="s">
        <v>552</v>
      </c>
      <c r="B2049" s="5" t="s">
        <v>549</v>
      </c>
      <c r="C2049" s="19" t="n">
        <f aca="false">C2047*(1+C2048*hb_eff)</f>
        <v>0.964216372549018</v>
      </c>
      <c r="D2049" s="19" t="n">
        <f aca="false">D2047*(1+D2048*hb_eff)</f>
        <v>1.57612291666667</v>
      </c>
      <c r="E2049" s="19" t="n">
        <f aca="false">E2047*(1+E2048*hb_eff)</f>
        <v>2.23702762769231</v>
      </c>
      <c r="F2049" s="19" t="n">
        <f aca="false">F2047*(1+F2048*hb_eff)</f>
        <v>2.96428481241964</v>
      </c>
      <c r="G2049" s="19" t="n">
        <f aca="false">G2047*(1+G2048*hb_eff)</f>
        <v>3.727784642841</v>
      </c>
      <c r="H2049" s="19" t="n">
        <f aca="false">H2047*(1+H2048*hb_eff)</f>
        <v>3.84171348287703</v>
      </c>
      <c r="I2049" s="19" t="n">
        <f aca="false">I2047*(1+I2048*hb_eff)</f>
        <v>4.22588483116473</v>
      </c>
      <c r="J2049" s="5" t="s">
        <v>553</v>
      </c>
    </row>
    <row r="2050" customFormat="false" ht="15" hidden="false" customHeight="false" outlineLevel="0" collapsed="false">
      <c r="A2050" s="0" t="s">
        <v>554</v>
      </c>
      <c r="B2050" s="5" t="s">
        <v>549</v>
      </c>
      <c r="C2050" s="19" t="n">
        <f aca="false">MAX(0,D2049-C2049)+dlt*C2049</f>
        <v>0.70832818137255</v>
      </c>
      <c r="D2050" s="19" t="n">
        <f aca="false">MAX(0,E2049-D2049)+dlt*D2049</f>
        <v>0.818517002692307</v>
      </c>
      <c r="E2050" s="19" t="n">
        <f aca="false">MAX(0,F2049-E2049)+dlt*E2049</f>
        <v>0.950959947496565</v>
      </c>
      <c r="F2050" s="19" t="n">
        <f aca="false">MAX(0,G2049-F2049)+dlt*F2049</f>
        <v>1.05992831166332</v>
      </c>
      <c r="G2050" s="19" t="n">
        <f aca="false">MAX(0,H2049-G2049)+dlt*G2049</f>
        <v>0.486707304320127</v>
      </c>
      <c r="H2050" s="19" t="n">
        <f aca="false">MAX(0,I2049-H2049)+dlt*H2049</f>
        <v>0.768342696575406</v>
      </c>
      <c r="J2050" s="5" t="s">
        <v>555</v>
      </c>
    </row>
    <row r="2051" customFormat="false" ht="15" hidden="false" customHeight="false" outlineLevel="0" collapsed="false">
      <c r="A2051" s="0" t="s">
        <v>556</v>
      </c>
      <c r="B2051" s="5" t="s">
        <v>181</v>
      </c>
      <c r="C2051" s="21" t="n">
        <f aca="false">cw_25</f>
        <v>670</v>
      </c>
      <c r="D2051" s="21" t="n">
        <f aca="false">cw_26</f>
        <v>1107.85762580894</v>
      </c>
      <c r="E2051" s="21" t="n">
        <f aca="false">cw_27</f>
        <v>2096.42857142857</v>
      </c>
      <c r="F2051" s="21" t="n">
        <f aca="false">cw_28*um28_A</f>
        <v>2620.08928571429</v>
      </c>
      <c r="G2051" s="21" t="n">
        <f aca="false">cw_29*um29_A</f>
        <v>3013.32589285714</v>
      </c>
      <c r="H2051" s="21" t="n">
        <f aca="false">G2051*(1+g_tail)</f>
        <v>3314.65848214285</v>
      </c>
      <c r="I2051" s="21" t="n">
        <f aca="false">H2051*(1+g_tail)</f>
        <v>3646.12433035714</v>
      </c>
      <c r="J2051" s="5" t="s">
        <v>557</v>
      </c>
    </row>
    <row r="2052" customFormat="false" ht="15" hidden="false" customHeight="false" outlineLevel="0" collapsed="false">
      <c r="A2052" s="5" t="s">
        <v>558</v>
      </c>
      <c r="B2052" s="5" t="s">
        <v>181</v>
      </c>
      <c r="C2052" s="21" t="n">
        <f aca="false">MAX(0,D2051-C2051)+dlt*C2051</f>
        <v>504.85762580894</v>
      </c>
      <c r="D2052" s="21" t="n">
        <f aca="false">MAX(0,E2051-D2051)+dlt*D2051</f>
        <v>1099.35670820052</v>
      </c>
      <c r="E2052" s="21" t="n">
        <f aca="false">MAX(0,F2051-E2051)+dlt*E2051</f>
        <v>733.303571428577</v>
      </c>
      <c r="F2052" s="21" t="n">
        <f aca="false">MAX(0,G2051-F2051)+dlt*F2051</f>
        <v>655.245535714279</v>
      </c>
      <c r="G2052" s="21" t="n">
        <f aca="false">MAX(0,H2051-G2051)+dlt*G2051</f>
        <v>602.665178571428</v>
      </c>
      <c r="H2052" s="21" t="n">
        <f aca="false">MAX(0,I2051-H2051)+dlt*H2051</f>
        <v>662.931696428571</v>
      </c>
    </row>
    <row r="2053" customFormat="false" ht="15" hidden="false" customHeight="false" outlineLevel="0" collapsed="false">
      <c r="A2053" s="1" t="s">
        <v>559</v>
      </c>
    </row>
    <row r="2054" customFormat="false" ht="15" hidden="false" customHeight="false" outlineLevel="0" collapsed="false">
      <c r="A2054" s="0" t="s">
        <v>560</v>
      </c>
      <c r="B2054" s="0" t="s">
        <v>561</v>
      </c>
      <c r="C2054" s="16" t="n">
        <f aca="false">ai_25*w_hbm/(0.75*C2050+0.25*D2050)</f>
        <v>48.9213264236471</v>
      </c>
      <c r="J2054" s="5" t="s">
        <v>562</v>
      </c>
    </row>
    <row r="2055" customFormat="false" ht="15" hidden="false" customHeight="false" outlineLevel="0" collapsed="false">
      <c r="A2055" s="5" t="s">
        <v>563</v>
      </c>
      <c r="B2055" s="0" t="s">
        <v>564</v>
      </c>
      <c r="C2055" s="18" t="n">
        <f aca="false">ai_25*(1-w_hbm)/(0.75*C2052+0.25*D2052)</f>
        <v>0.0596802610360141</v>
      </c>
    </row>
    <row r="2056" customFormat="false" ht="15" hidden="false" customHeight="false" outlineLevel="0" collapsed="false">
      <c r="A2056" s="1" t="s">
        <v>565</v>
      </c>
    </row>
    <row r="2057" customFormat="false" ht="15" hidden="false" customHeight="false" outlineLevel="0" collapsed="false">
      <c r="A2057" s="5" t="s">
        <v>566</v>
      </c>
      <c r="B2057" s="0" t="s">
        <v>80</v>
      </c>
      <c r="C2057" s="16" t="n">
        <f aca="false">1-sh_loss/sh*0</f>
        <v>1</v>
      </c>
      <c r="D2057" s="16" t="n">
        <f aca="false">1-sh_loss/sh*0.25</f>
        <v>1</v>
      </c>
      <c r="E2057" s="16" t="n">
        <f aca="false">1-sh_loss/sh*0.5</f>
        <v>1</v>
      </c>
      <c r="F2057" s="16" t="n">
        <f aca="false">1-sh_loss/sh*0.75</f>
        <v>1</v>
      </c>
      <c r="G2057" s="16" t="n">
        <f aca="false">1-sh_loss/sh*1</f>
        <v>1</v>
      </c>
    </row>
    <row r="2058" customFormat="false" ht="15" hidden="false" customHeight="false" outlineLevel="0" collapsed="false">
      <c r="A2058" s="0" t="s">
        <v>567</v>
      </c>
      <c r="B2058" s="0" t="s">
        <v>33</v>
      </c>
      <c r="C2058" s="11" t="n">
        <f aca="false">$C$2054*(0.75*C2050+0.25*D2050)*C2057</f>
        <v>36</v>
      </c>
      <c r="D2058" s="11" t="n">
        <f aca="false">$C$2054*(0.75*D2050+0.25*E2050)*D2057</f>
        <v>41.6627586058351</v>
      </c>
      <c r="E2058" s="11" t="n">
        <f aca="false">$C$2054*(0.75*E2050+0.25*F2050)*E2057</f>
        <v>47.8549412356069</v>
      </c>
      <c r="F2058" s="11" t="n">
        <f aca="false">$C$2054*(0.75*F2050+0.25*G2050)*F2057</f>
        <v>44.8424159172644</v>
      </c>
      <c r="G2058" s="11" t="n">
        <f aca="false">$C$2054*(0.75*G2050+0.25*H2050)*G2057</f>
        <v>27.2548611466613</v>
      </c>
    </row>
    <row r="2059" customFormat="false" ht="15" hidden="false" customHeight="false" outlineLevel="0" collapsed="false">
      <c r="A2059" s="5" t="s">
        <v>568</v>
      </c>
      <c r="B2059" s="0" t="s">
        <v>33</v>
      </c>
      <c r="C2059" s="11" t="n">
        <f aca="false">$C$2055*(0.75*C2052+0.25*D2052)*C2057</f>
        <v>39</v>
      </c>
      <c r="D2059" s="11" t="n">
        <f aca="false">$C$2055*(0.75*D2052+0.25*E2052)*D2057</f>
        <v>60.1483586282001</v>
      </c>
      <c r="E2059" s="11" t="n">
        <f aca="false">$C$2055*(0.75*E2052+0.25*F2052)*E2057</f>
        <v>42.5991175746519</v>
      </c>
      <c r="F2059" s="11" t="n">
        <f aca="false">$C$2055*(0.75*F2052+0.25*G2052)*F2057</f>
        <v>38.320722254198</v>
      </c>
      <c r="G2059" s="11" t="n">
        <f aca="false">$C$2055*(0.75*G2052+0.25*H2052)*G2057</f>
        <v>36.8663955538204</v>
      </c>
    </row>
    <row r="2060" customFormat="false" ht="15" hidden="false" customHeight="false" outlineLevel="0" collapsed="false">
      <c r="A2060" s="0" t="s">
        <v>569</v>
      </c>
      <c r="B2060" s="0" t="s">
        <v>33</v>
      </c>
      <c r="C2060" s="11" t="n">
        <f aca="false">C2058+C2059</f>
        <v>75</v>
      </c>
      <c r="D2060" s="11" t="n">
        <f aca="false">D2058+D2059</f>
        <v>101.811117234035</v>
      </c>
      <c r="E2060" s="11" t="n">
        <f aca="false">E2058+E2059</f>
        <v>90.4540588102588</v>
      </c>
      <c r="F2060" s="11" t="n">
        <f aca="false">F2058+F2059</f>
        <v>83.1631381714624</v>
      </c>
      <c r="G2060" s="11" t="n">
        <f aca="false">G2058+G2059</f>
        <v>64.1212567004817</v>
      </c>
    </row>
    <row r="2061" customFormat="false" ht="15" hidden="false" customHeight="false" outlineLevel="0" collapsed="false">
      <c r="A2061" s="5" t="s">
        <v>570</v>
      </c>
      <c r="B2061" s="0" t="s">
        <v>33</v>
      </c>
      <c r="C2061" s="11" t="n">
        <f aca="false">eq_25-ai_25</f>
        <v>195.87118</v>
      </c>
      <c r="D2061" s="11" t="n">
        <f aca="false">C2061*(1+g_non)*D2057/C2057</f>
        <v>207.6234508</v>
      </c>
      <c r="E2061" s="11" t="n">
        <f aca="false">D2061*(1+g_non)*E2057/D2057</f>
        <v>220.080857848</v>
      </c>
      <c r="F2061" s="11" t="n">
        <f aca="false">E2061*(1+g_non)*F2057/E2057</f>
        <v>233.28570931888</v>
      </c>
      <c r="G2061" s="11" t="n">
        <f aca="false">F2061*(1+g_non)*G2057/F2057</f>
        <v>247.282851878013</v>
      </c>
    </row>
    <row r="2062" customFormat="false" ht="15" hidden="false" customHeight="false" outlineLevel="0" collapsed="false">
      <c r="A2062" s="0" t="s">
        <v>571</v>
      </c>
      <c r="B2062" s="0" t="s">
        <v>80</v>
      </c>
      <c r="C2062" s="19" t="n">
        <f aca="false">w_hbm*(0.75*C2049+0.25*D2049)/(0.75*C2049+0.25*D2049)+(1-w_hbm)*(0.75*C2051+0.25*D2051)/(0.75*C2051+0.25*D2051)</f>
        <v>1</v>
      </c>
      <c r="D2062" s="19" t="n">
        <f aca="false">w_hbm*(0.75*D2049+0.25*E2049)/(0.75*C2049+0.25*D2049)+(1-w_hbm)*(0.75*D2051+0.25*E2051)/(0.75*C2051+0.25*D2051)</f>
        <v>1.65212184085657</v>
      </c>
      <c r="E2062" s="19" t="n">
        <f aca="false">w_hbm*(0.75*E2049+0.25*F2049)/(0.75*C2049+0.25*D2049)+(1-w_hbm)*(0.75*E2051+0.25*F2051)/(0.75*C2051+0.25*D2051)</f>
        <v>2.52516730417954</v>
      </c>
      <c r="F2062" s="19" t="n">
        <f aca="false">w_hbm*(0.75*F2049+0.25*G2049)/(0.75*C2049+0.25*D2049)+(1-w_hbm)*(0.75*F2051+0.25*G2051)/(0.75*C2051+0.25*D2051)</f>
        <v>3.16911970169284</v>
      </c>
      <c r="G2062" s="19" t="n">
        <f aca="false">w_hbm*(0.75*G2049+0.25*H2049)/(0.75*C2049+0.25*D2049)+(1-w_hbm)*(0.75*G2051+0.25*H2051)/(0.75*C2051+0.25*D2051)</f>
        <v>3.67439430985121</v>
      </c>
      <c r="J2062" s="8" t="s">
        <v>572</v>
      </c>
    </row>
    <row r="2063" customFormat="false" ht="15" hidden="false" customHeight="false" outlineLevel="0" collapsed="false">
      <c r="A2063" s="0" t="s">
        <v>573</v>
      </c>
      <c r="B2063" s="0" t="s">
        <v>33</v>
      </c>
      <c r="C2063" s="11" t="n">
        <f aca="false">tl_25*w_tlai*C2062</f>
        <v>25.4032258064516</v>
      </c>
      <c r="D2063" s="11" t="n">
        <f aca="false">tl_25*w_tlai*D2062</f>
        <v>41.9692241830499</v>
      </c>
      <c r="E2063" s="11" t="n">
        <f aca="false">tl_25*w_tlai*E2062</f>
        <v>64.1473952271414</v>
      </c>
      <c r="F2063" s="11" t="n">
        <f aca="false">tl_25*w_tlai*F2062</f>
        <v>80.5058633897778</v>
      </c>
      <c r="G2063" s="11" t="n">
        <f aca="false">tl_25*w_tlai*G2062</f>
        <v>93.3414683550913</v>
      </c>
      <c r="J2063" s="5" t="s">
        <v>574</v>
      </c>
    </row>
    <row r="2064" customFormat="false" ht="15" hidden="false" customHeight="false" outlineLevel="0" collapsed="false">
      <c r="A2064" s="5" t="s">
        <v>575</v>
      </c>
      <c r="B2064" s="0" t="s">
        <v>33</v>
      </c>
      <c r="C2064" s="11" t="n">
        <f aca="false">tl_25*(1-w_tlai)</f>
        <v>66.3434641935484</v>
      </c>
      <c r="D2064" s="11" t="n">
        <f aca="false">C2064*(1+g_tl)</f>
        <v>69.6606374032258</v>
      </c>
      <c r="E2064" s="11" t="n">
        <f aca="false">D2064*(1+g_tl)</f>
        <v>73.1436692733871</v>
      </c>
      <c r="F2064" s="11" t="n">
        <f aca="false">E2064*(1+g_tl)</f>
        <v>76.8008527370565</v>
      </c>
      <c r="G2064" s="11" t="n">
        <f aca="false">F2064*(1+g_tl)</f>
        <v>80.6408953739093</v>
      </c>
    </row>
    <row r="2065" customFormat="false" ht="15" hidden="false" customHeight="false" outlineLevel="0" collapsed="false">
      <c r="A2065" s="5" t="s">
        <v>576</v>
      </c>
      <c r="B2065" s="0" t="s">
        <v>33</v>
      </c>
      <c r="C2065" s="11" t="n">
        <f aca="false">(C2060+C2061+C2063+C2064)*(1+r_ot)</f>
        <v>436.889</v>
      </c>
      <c r="D2065" s="11" t="n">
        <f aca="false">(D2060+D2061+D2063+D2064)*(1+r_ot)</f>
        <v>507.306541711218</v>
      </c>
      <c r="E2065" s="11" t="n">
        <f aca="false">(E2060+E2061+E2063+E2064)*(1+r_ot)</f>
        <v>539.549374890105</v>
      </c>
      <c r="F2065" s="11" t="n">
        <f aca="false">(F2060+F2061+F2063+F2064)*(1+r_ot)</f>
        <v>570.789835683346</v>
      </c>
      <c r="G2065" s="11" t="n">
        <f aca="false">(G2060+G2061+G2063+G2064)*(1+r_ot)</f>
        <v>584.802978683729</v>
      </c>
      <c r="J2065" s="8" t="s">
        <v>577</v>
      </c>
    </row>
    <row r="2066" customFormat="false" ht="15" hidden="false" customHeight="false" outlineLevel="0" collapsed="false">
      <c r="A2066" s="1" t="s">
        <v>578</v>
      </c>
    </row>
    <row r="2067" customFormat="false" ht="15" hidden="false" customHeight="false" outlineLevel="0" collapsed="false">
      <c r="A2067" s="5" t="s">
        <v>579</v>
      </c>
      <c r="B2067" s="0" t="s">
        <v>33</v>
      </c>
      <c r="D2067" s="11" t="n">
        <f aca="false">g3_rev*(1+g_q4)</f>
        <v>145.6862</v>
      </c>
    </row>
    <row r="2068" customFormat="false" ht="15" hidden="false" customHeight="false" outlineLevel="0" collapsed="false">
      <c r="A2068" s="0" t="s">
        <v>580</v>
      </c>
      <c r="B2068" s="0" t="s">
        <v>33</v>
      </c>
      <c r="D2068" s="11" t="n">
        <f aca="false">q26h1_rev+g3_rev+D2067</f>
        <v>535.1862</v>
      </c>
    </row>
    <row r="2069" customFormat="false" ht="15" hidden="false" customHeight="false" outlineLevel="0" collapsed="false">
      <c r="A2069" s="0" t="s">
        <v>581</v>
      </c>
      <c r="B2069" s="0" t="s">
        <v>33</v>
      </c>
      <c r="D2069" s="11" t="n">
        <f aca="false">q26h1_gp+(g3_rev+D2067)*gm_q3</f>
        <v>378.0504836</v>
      </c>
    </row>
    <row r="2070" customFormat="false" ht="15" hidden="false" customHeight="false" outlineLevel="0" collapsed="false">
      <c r="A2070" s="0" t="s">
        <v>582</v>
      </c>
      <c r="B2070" s="0" t="s">
        <v>33</v>
      </c>
      <c r="D2070" s="11" t="n">
        <f aca="false">q26h1_oi+g3_oi+D2067*m_q4</f>
        <v>238.5671</v>
      </c>
    </row>
    <row r="2071" customFormat="false" ht="15" hidden="false" customHeight="false" outlineLevel="0" collapsed="false">
      <c r="A2071" s="0" t="s">
        <v>583</v>
      </c>
      <c r="B2071" s="0" t="s">
        <v>33</v>
      </c>
      <c r="D2071" s="11" t="n">
        <f aca="false">q26h1_ni+g3_ni+D2067*m_q4*nioi_hi</f>
        <v>169.017314354</v>
      </c>
    </row>
    <row r="2072" customFormat="false" ht="15" hidden="false" customHeight="false" outlineLevel="0" collapsed="false">
      <c r="A2072" s="5" t="s">
        <v>584</v>
      </c>
      <c r="B2072" s="0" t="s">
        <v>80</v>
      </c>
      <c r="D2072" s="16" t="n">
        <f aca="false">D2068/D2065</f>
        <v>1.05495623650888</v>
      </c>
      <c r="J2072" s="8" t="s">
        <v>585</v>
      </c>
    </row>
    <row r="2073" customFormat="false" ht="15" hidden="false" customHeight="false" outlineLevel="0" collapsed="false">
      <c r="A2073" s="5" t="s">
        <v>586</v>
      </c>
      <c r="B2073" s="0" t="s">
        <v>80</v>
      </c>
      <c r="D2073" s="16" t="n">
        <f aca="false">1+anc_carry*(D2072-1)</f>
        <v>1.05495623650888</v>
      </c>
      <c r="J2073" s="8" t="s">
        <v>587</v>
      </c>
    </row>
    <row r="2074" customFormat="false" ht="15" hidden="false" customHeight="false" outlineLevel="0" collapsed="false">
      <c r="A2074" s="1" t="s">
        <v>588</v>
      </c>
    </row>
    <row r="2075" customFormat="false" ht="15" hidden="false" customHeight="false" outlineLevel="0" collapsed="false">
      <c r="A2075" s="0" t="s">
        <v>589</v>
      </c>
      <c r="B2075" s="0" t="s">
        <v>33</v>
      </c>
      <c r="C2075" s="11" t="n">
        <f aca="false">C2058*1</f>
        <v>36</v>
      </c>
      <c r="D2075" s="11" t="n">
        <f aca="false">D2058*$D$2072</f>
        <v>43.9523870213896</v>
      </c>
      <c r="E2075" s="11" t="n">
        <f aca="false">E2058*1</f>
        <v>47.8549412356069</v>
      </c>
      <c r="F2075" s="11" t="n">
        <f aca="false">F2058*1</f>
        <v>44.8424159172644</v>
      </c>
      <c r="G2075" s="11" t="n">
        <f aca="false">G2058*1</f>
        <v>27.2548611466613</v>
      </c>
    </row>
    <row r="2076" customFormat="false" ht="15" hidden="false" customHeight="false" outlineLevel="0" collapsed="false">
      <c r="A2076" s="5" t="s">
        <v>590</v>
      </c>
      <c r="B2076" s="0" t="s">
        <v>33</v>
      </c>
      <c r="C2076" s="11" t="n">
        <f aca="false">C2059*1</f>
        <v>39</v>
      </c>
      <c r="D2076" s="11" t="n">
        <f aca="false">D2059*$D$2072</f>
        <v>63.4538860505921</v>
      </c>
      <c r="E2076" s="11" t="n">
        <f aca="false">E2059*1</f>
        <v>42.5991175746519</v>
      </c>
      <c r="F2076" s="11" t="n">
        <f aca="false">F2059*1</f>
        <v>38.320722254198</v>
      </c>
      <c r="G2076" s="11" t="n">
        <f aca="false">G2059*1</f>
        <v>36.8663955538204</v>
      </c>
    </row>
    <row r="2077" customFormat="false" ht="15" hidden="false" customHeight="false" outlineLevel="0" collapsed="false">
      <c r="A2077" s="0" t="s">
        <v>591</v>
      </c>
      <c r="B2077" s="0" t="s">
        <v>33</v>
      </c>
      <c r="C2077" s="11" t="n">
        <f aca="false">C2075+C2076</f>
        <v>75</v>
      </c>
      <c r="D2077" s="11" t="n">
        <f aca="false">D2075+D2076</f>
        <v>107.406273071982</v>
      </c>
      <c r="E2077" s="11" t="n">
        <f aca="false">E2075+E2076</f>
        <v>90.4540588102588</v>
      </c>
      <c r="F2077" s="11" t="n">
        <f aca="false">F2075+F2076</f>
        <v>83.1631381714624</v>
      </c>
      <c r="G2077" s="11" t="n">
        <f aca="false">G2075+G2076</f>
        <v>64.1212567004817</v>
      </c>
    </row>
    <row r="2078" customFormat="false" ht="15" hidden="false" customHeight="false" outlineLevel="0" collapsed="false">
      <c r="A2078" s="5" t="s">
        <v>592</v>
      </c>
      <c r="B2078" s="0" t="s">
        <v>33</v>
      </c>
      <c r="C2078" s="11" t="n">
        <f aca="false">C2061*1</f>
        <v>195.87118</v>
      </c>
      <c r="D2078" s="11" t="n">
        <f aca="false">D2061*$D$2072</f>
        <v>219.033654266954</v>
      </c>
      <c r="E2078" s="11" t="n">
        <f aca="false">E2061*$D$2073</f>
        <v>232.175673522971</v>
      </c>
      <c r="F2078" s="11" t="n">
        <f aca="false">F2061*$D$2073</f>
        <v>246.106213934349</v>
      </c>
      <c r="G2078" s="11" t="n">
        <f aca="false">G2061*$D$2073</f>
        <v>260.87258677041</v>
      </c>
    </row>
    <row r="2079" customFormat="false" ht="15" hidden="false" customHeight="false" outlineLevel="0" collapsed="false">
      <c r="A2079" s="5" t="s">
        <v>593</v>
      </c>
      <c r="B2079" s="0" t="s">
        <v>33</v>
      </c>
      <c r="C2079" s="11" t="n">
        <f aca="false">C2077+C2078</f>
        <v>270.87118</v>
      </c>
      <c r="D2079" s="11" t="n">
        <f aca="false">D2077+D2078</f>
        <v>326.439927338936</v>
      </c>
      <c r="E2079" s="11" t="n">
        <f aca="false">E2077+E2078</f>
        <v>322.62973233323</v>
      </c>
      <c r="F2079" s="11" t="n">
        <f aca="false">F2077+F2078</f>
        <v>329.269352105812</v>
      </c>
      <c r="G2079" s="11" t="n">
        <f aca="false">G2077+G2078</f>
        <v>324.993843470892</v>
      </c>
    </row>
    <row r="2080" customFormat="false" ht="15" hidden="false" customHeight="false" outlineLevel="0" collapsed="false">
      <c r="A2080" s="0" t="s">
        <v>594</v>
      </c>
      <c r="B2080" s="0" t="s">
        <v>33</v>
      </c>
      <c r="C2080" s="11" t="n">
        <f aca="false">C2063*1</f>
        <v>25.4032258064516</v>
      </c>
      <c r="D2080" s="11" t="n">
        <f aca="false">D2063*$D$2072</f>
        <v>44.2756947933477</v>
      </c>
      <c r="E2080" s="11" t="n">
        <f aca="false">E2063*1</f>
        <v>64.1473952271414</v>
      </c>
      <c r="F2080" s="11" t="n">
        <f aca="false">F2063*1</f>
        <v>80.5058633897778</v>
      </c>
      <c r="G2080" s="11" t="n">
        <f aca="false">G2063*1</f>
        <v>93.3414683550913</v>
      </c>
    </row>
    <row r="2081" customFormat="false" ht="15" hidden="false" customHeight="false" outlineLevel="0" collapsed="false">
      <c r="A2081" s="5" t="s">
        <v>595</v>
      </c>
      <c r="B2081" s="0" t="s">
        <v>33</v>
      </c>
      <c r="C2081" s="11" t="n">
        <f aca="false">C2064*1</f>
        <v>66.3434641935484</v>
      </c>
      <c r="D2081" s="11" t="n">
        <f aca="false">D2064*$D$2072</f>
        <v>73.4889238677166</v>
      </c>
      <c r="E2081" s="11" t="n">
        <f aca="false">E2064*$D$2073</f>
        <v>77.1633700611024</v>
      </c>
      <c r="F2081" s="11" t="n">
        <f aca="false">F2064*$D$2073</f>
        <v>81.0215385641575</v>
      </c>
      <c r="G2081" s="11" t="n">
        <f aca="false">G2064*$D$2073</f>
        <v>85.0726154923654</v>
      </c>
    </row>
    <row r="2082" customFormat="false" ht="15" hidden="false" customHeight="false" outlineLevel="0" collapsed="false">
      <c r="A2082" s="5" t="s">
        <v>596</v>
      </c>
      <c r="B2082" s="0" t="s">
        <v>33</v>
      </c>
      <c r="C2082" s="11" t="n">
        <f aca="false">C2080+C2081</f>
        <v>91.74669</v>
      </c>
      <c r="D2082" s="11" t="n">
        <f aca="false">D2080+D2081</f>
        <v>117.764618661064</v>
      </c>
      <c r="E2082" s="11" t="n">
        <f aca="false">E2080+E2081</f>
        <v>141.310765288244</v>
      </c>
      <c r="F2082" s="11" t="n">
        <f aca="false">F2080+F2081</f>
        <v>161.527401953935</v>
      </c>
      <c r="G2082" s="11" t="n">
        <f aca="false">G2080+G2081</f>
        <v>178.414083847457</v>
      </c>
    </row>
    <row r="2083" customFormat="false" ht="15" hidden="false" customHeight="false" outlineLevel="0" collapsed="false">
      <c r="A2083" s="5" t="s">
        <v>458</v>
      </c>
      <c r="B2083" s="0" t="s">
        <v>33</v>
      </c>
      <c r="C2083" s="11" t="n">
        <f aca="false">r_ot*(C2079+C2082)</f>
        <v>74.27113</v>
      </c>
      <c r="D2083" s="11" t="n">
        <f aca="false">r_ot*(D2079+D2082)</f>
        <v>90.981654</v>
      </c>
      <c r="E2083" s="11" t="n">
        <f aca="false">r_ot*(E2079+E2082)</f>
        <v>95.0239573441573</v>
      </c>
      <c r="F2083" s="11" t="n">
        <f aca="false">r_ot*(F2079+F2082)</f>
        <v>100.524636373683</v>
      </c>
      <c r="G2083" s="11" t="n">
        <f aca="false">r_ot*(G2079+G2082)</f>
        <v>103.107647763999</v>
      </c>
    </row>
    <row r="2084" customFormat="false" ht="15" hidden="false" customHeight="false" outlineLevel="0" collapsed="false">
      <c r="A2084" s="5" t="s">
        <v>428</v>
      </c>
      <c r="B2084" s="0" t="s">
        <v>33</v>
      </c>
      <c r="C2084" s="11" t="n">
        <f aca="false">C2079+C2082+C2083</f>
        <v>436.889</v>
      </c>
      <c r="D2084" s="11" t="n">
        <f aca="false">D2079+D2082+D2083</f>
        <v>535.1862</v>
      </c>
      <c r="E2084" s="11" t="n">
        <f aca="false">E2079+E2082+E2083</f>
        <v>558.964454965631</v>
      </c>
      <c r="F2084" s="11" t="n">
        <f aca="false">F2079+F2082+F2083</f>
        <v>591.32139043343</v>
      </c>
      <c r="G2084" s="11" t="n">
        <f aca="false">G2079+G2082+G2083</f>
        <v>606.515575082348</v>
      </c>
      <c r="J2084" s="8" t="s">
        <v>597</v>
      </c>
    </row>
    <row r="2085" customFormat="false" ht="15" hidden="false" customHeight="false" outlineLevel="0" collapsed="false">
      <c r="A2085" s="0" t="s">
        <v>598</v>
      </c>
      <c r="B2085" s="0" t="s">
        <v>60</v>
      </c>
      <c r="C2085" s="14" t="n">
        <f aca="false">(C2077+C2080)*(1+r_ot)/C2084</f>
        <v>0.276884384673187</v>
      </c>
      <c r="D2085" s="14" t="n">
        <f aca="false">(D2077+D2080)*(1+r_ot)/D2084</f>
        <v>0.341468742792492</v>
      </c>
      <c r="E2085" s="14" t="n">
        <f aca="false">(E2077+E2080)*(1+r_ot)/E2084</f>
        <v>0.333235522292211</v>
      </c>
      <c r="F2085" s="14" t="n">
        <f aca="false">(F2077+F2080)*(1+r_ot)/F2084</f>
        <v>0.333476128779197</v>
      </c>
      <c r="G2085" s="14" t="n">
        <f aca="false">(G2077+G2080)*(1+r_ot)/G2084</f>
        <v>0.312793495117123</v>
      </c>
    </row>
    <row r="2086" customFormat="false" ht="15" hidden="false" customHeight="false" outlineLevel="0" collapsed="false">
      <c r="A2086" s="0" t="s">
        <v>599</v>
      </c>
      <c r="B2086" s="0" t="s">
        <v>60</v>
      </c>
      <c r="C2086" s="14" t="n">
        <f aca="false">C2077*(1+r_ot)/C2084</f>
        <v>0.206829299394429</v>
      </c>
      <c r="D2086" s="14" t="n">
        <f aca="false">D2077*(1+r_ot)/D2084</f>
        <v>0.241794628261148</v>
      </c>
      <c r="E2086" s="14" t="n">
        <f aca="false">E2077*(1+r_ot)/E2084</f>
        <v>0.194969094687784</v>
      </c>
      <c r="F2086" s="14" t="n">
        <f aca="false">F2077*(1+r_ot)/F2084</f>
        <v>0.16944516744163</v>
      </c>
      <c r="G2086" s="14" t="n">
        <f aca="false">G2077*(1+r_ot)/G2084</f>
        <v>0.12737434835811</v>
      </c>
      <c r="J2086" s="5" t="s">
        <v>600</v>
      </c>
    </row>
    <row r="2087" customFormat="false" ht="15" hidden="false" customHeight="false" outlineLevel="0" collapsed="false">
      <c r="A2087" s="5" t="s">
        <v>466</v>
      </c>
      <c r="B2087" s="0" t="s">
        <v>60</v>
      </c>
      <c r="C2087" s="14" t="n">
        <f aca="false">a25_gp/a25_rev</f>
        <v>0.701498549974936</v>
      </c>
      <c r="D2087" s="14" t="n">
        <f aca="false">D2069/D2084</f>
        <v>0.70639056761927</v>
      </c>
      <c r="E2087" s="14" t="n">
        <f aca="false">gm_a+gm_b*LN(E2084)+0</f>
        <v>0.730501245911974</v>
      </c>
      <c r="F2087" s="14" t="n">
        <f aca="false">gm_a+gm_b*LN(F2084)+0</f>
        <v>0.736906664378218</v>
      </c>
      <c r="G2087" s="14" t="n">
        <f aca="false">gm_a+gm_b*LN(G2084)+0</f>
        <v>0.739794512150511</v>
      </c>
      <c r="J2087" s="8" t="s">
        <v>601</v>
      </c>
    </row>
    <row r="2088" customFormat="false" ht="15" hidden="false" customHeight="false" outlineLevel="0" collapsed="false">
      <c r="A2088" s="5" t="s">
        <v>463</v>
      </c>
      <c r="B2088" s="0" t="s">
        <v>33</v>
      </c>
      <c r="C2088" s="11" t="n">
        <f aca="false">C2084*C2087</f>
        <v>306.477</v>
      </c>
      <c r="D2088" s="11" t="n">
        <f aca="false">D2084*D2087</f>
        <v>378.0504836</v>
      </c>
      <c r="E2088" s="11" t="n">
        <f aca="false">E2084*E2087</f>
        <v>408.324230772901</v>
      </c>
      <c r="F2088" s="11" t="n">
        <f aca="false">F2084*F2087</f>
        <v>435.748673399789</v>
      </c>
      <c r="G2088" s="11" t="n">
        <f aca="false">G2084*G2087</f>
        <v>448.696893979733</v>
      </c>
    </row>
    <row r="2089" customFormat="false" ht="15" hidden="false" customHeight="false" outlineLevel="0" collapsed="false">
      <c r="A2089" s="5" t="s">
        <v>464</v>
      </c>
      <c r="B2089" s="0" t="s">
        <v>33</v>
      </c>
      <c r="C2089" s="11" t="n">
        <f aca="false">a25_sga</f>
        <v>121.487</v>
      </c>
      <c r="D2089" s="11" t="n">
        <f aca="false">D2088-D2070</f>
        <v>139.4833836</v>
      </c>
      <c r="E2089" s="11" t="n">
        <f aca="false">sg_f+sg_v*E2084</f>
        <v>149.187544002062</v>
      </c>
      <c r="F2089" s="11" t="n">
        <f aca="false">sg_f+sg_v*F2084</f>
        <v>157.353367839138</v>
      </c>
      <c r="G2089" s="11" t="n">
        <f aca="false">sg_f+sg_v*G2084</f>
        <v>161.187879154788</v>
      </c>
      <c r="J2089" s="8" t="s">
        <v>602</v>
      </c>
    </row>
    <row r="2090" customFormat="false" ht="15" hidden="false" customHeight="false" outlineLevel="0" collapsed="false">
      <c r="A2090" s="5" t="s">
        <v>432</v>
      </c>
      <c r="B2090" s="0" t="s">
        <v>33</v>
      </c>
      <c r="C2090" s="11" t="n">
        <f aca="false">C2088-C2089</f>
        <v>184.99</v>
      </c>
      <c r="D2090" s="11" t="n">
        <f aca="false">D2088-D2089</f>
        <v>238.5671</v>
      </c>
      <c r="E2090" s="11" t="n">
        <f aca="false">E2088-E2089</f>
        <v>259.136686770839</v>
      </c>
      <c r="F2090" s="11" t="n">
        <f aca="false">F2088-F2089</f>
        <v>278.395305560652</v>
      </c>
      <c r="G2090" s="11" t="n">
        <f aca="false">G2088-G2089</f>
        <v>287.509014824944</v>
      </c>
    </row>
    <row r="2091" customFormat="false" ht="15" hidden="false" customHeight="false" outlineLevel="0" collapsed="false">
      <c r="A2091" s="5" t="s">
        <v>603</v>
      </c>
      <c r="B2091" s="0" t="s">
        <v>60</v>
      </c>
      <c r="C2091" s="14" t="n">
        <f aca="false">C2090/C2084</f>
        <v>0.423425629851061</v>
      </c>
      <c r="D2091" s="14" t="n">
        <f aca="false">D2090/D2084</f>
        <v>0.445764670314743</v>
      </c>
      <c r="E2091" s="14" t="n">
        <f aca="false">E2090/E2084</f>
        <v>0.463601369405094</v>
      </c>
      <c r="F2091" s="14" t="n">
        <f aca="false">F2090/F2084</f>
        <v>0.470802020803935</v>
      </c>
      <c r="G2091" s="14" t="n">
        <f aca="false">G2090/G2084</f>
        <v>0.47403401765224</v>
      </c>
    </row>
    <row r="2092" customFormat="false" ht="15" hidden="false" customHeight="false" outlineLevel="0" collapsed="false">
      <c r="A2092" s="5" t="s">
        <v>435</v>
      </c>
      <c r="B2092" s="0" t="s">
        <v>33</v>
      </c>
      <c r="C2092" s="11" t="n">
        <f aca="false">a25_ni</f>
        <v>135.521</v>
      </c>
      <c r="D2092" s="11" t="n">
        <f aca="false">D2071</f>
        <v>169.017314354</v>
      </c>
      <c r="E2092" s="11" t="n">
        <f aca="false">E2090*nioi_hi</f>
        <v>191.175499298319</v>
      </c>
      <c r="F2092" s="11" t="n">
        <f aca="false">F2090*nioi_hi</f>
        <v>205.383352724315</v>
      </c>
      <c r="G2092" s="11" t="n">
        <f aca="false">G2090*nioi_hi</f>
        <v>212.106900596955</v>
      </c>
    </row>
    <row r="2093" customFormat="false" ht="15" hidden="false" customHeight="false" outlineLevel="0" collapsed="false">
      <c r="A2093" s="0" t="s">
        <v>524</v>
      </c>
      <c r="B2093" s="0" t="s">
        <v>55</v>
      </c>
      <c r="C2093" s="11" t="n">
        <f aca="false">a25_eps</f>
        <v>1249.84</v>
      </c>
      <c r="D2093" s="11" t="n">
        <f aca="false">D2092*1000/shares</f>
        <v>1558.03781086549</v>
      </c>
      <c r="E2093" s="11" t="n">
        <f aca="false">E2092*1000/shares</f>
        <v>1762.29670644285</v>
      </c>
      <c r="F2093" s="11" t="n">
        <f aca="false">F2092*1000/shares</f>
        <v>1893.26774295201</v>
      </c>
      <c r="G2093" s="11" t="n">
        <f aca="false">G2092*1000/shares</f>
        <v>1955.24684757081</v>
      </c>
    </row>
    <row r="2094" customFormat="false" ht="15" hidden="false" customHeight="false" outlineLevel="0" collapsed="false">
      <c r="A2094" s="5" t="s">
        <v>604</v>
      </c>
      <c r="B2094" s="0" t="s">
        <v>33</v>
      </c>
      <c r="C2094" s="16" t="n">
        <f aca="false">ABS(C2084-a25_rev)+ABS(C2090-a25_oi)+ABS(D2084-D2068)+ABS(D2090-D2070)</f>
        <v>0.000999999999976353</v>
      </c>
    </row>
    <row r="2095" customFormat="false" ht="15" hidden="false" customHeight="false" outlineLevel="0" collapsed="false">
      <c r="A2095" s="1" t="s">
        <v>605</v>
      </c>
    </row>
    <row r="2096" customFormat="false" ht="15" hidden="false" customHeight="false" outlineLevel="0" collapsed="false">
      <c r="A2096" s="5" t="s">
        <v>606</v>
      </c>
      <c r="B2096" s="0" t="s">
        <v>60</v>
      </c>
      <c r="C2096" s="14" t="n">
        <f aca="false">a25_gp/a25_rev</f>
        <v>0.701498549974936</v>
      </c>
      <c r="D2096" s="14" t="n">
        <f aca="false">gm_a+gm_b*LN(D2065)+0</f>
        <v>0.719463492058136</v>
      </c>
      <c r="E2096" s="14" t="n">
        <f aca="false">gm_a+gm_b*LN(E2065)+0</f>
        <v>0.726477317954067</v>
      </c>
      <c r="F2096" s="14" t="n">
        <f aca="false">gm_a+gm_b*LN(F2065)+0</f>
        <v>0.73288421444391</v>
      </c>
      <c r="G2096" s="14" t="n">
        <f aca="false">gm_a+gm_b*LN(G2065)+0</f>
        <v>0.735644940559218</v>
      </c>
    </row>
    <row r="2097" customFormat="false" ht="15" hidden="false" customHeight="false" outlineLevel="0" collapsed="false">
      <c r="A2097" s="5" t="s">
        <v>607</v>
      </c>
      <c r="B2097" s="0" t="s">
        <v>33</v>
      </c>
      <c r="C2097" s="11" t="n">
        <f aca="false">a25_oi</f>
        <v>184.989</v>
      </c>
      <c r="D2097" s="11" t="n">
        <f aca="false">D2065*D2096-sg_f-sg_v*D2065</f>
        <v>228.837746398039</v>
      </c>
      <c r="E2097" s="11" t="n">
        <f aca="false">E2065*E2096-sg_f-sg_v*E2065</f>
        <v>247.68256494767</v>
      </c>
      <c r="F2097" s="11" t="n">
        <f aca="false">F2065*F2096-sg_f-sg_v*F2065</f>
        <v>266.150980076278</v>
      </c>
      <c r="G2097" s="11" t="n">
        <f aca="false">G2065*G2096-sg_f-sg_v*G2065</f>
        <v>274.499016893924</v>
      </c>
    </row>
    <row r="2098" customFormat="false" ht="15" hidden="false" customHeight="false" outlineLevel="0" collapsed="false">
      <c r="A2098" s="0" t="s">
        <v>608</v>
      </c>
      <c r="B2098" s="0" t="s">
        <v>55</v>
      </c>
      <c r="C2098" s="11" t="n">
        <f aca="false">a25_eps</f>
        <v>1249.84</v>
      </c>
      <c r="D2098" s="11" t="n">
        <f aca="false">D2097*nioi_v01*1000/shares</f>
        <v>1545.37951653183</v>
      </c>
      <c r="E2098" s="11" t="n">
        <f aca="false">E2097*nioi_v01*1000/shares</f>
        <v>1672.64172321648</v>
      </c>
      <c r="F2098" s="11" t="n">
        <f aca="false">F2097*nioi_v01*1000/shares</f>
        <v>1797.36201474092</v>
      </c>
      <c r="G2098" s="11" t="n">
        <f aca="false">G2097*nioi_v01*1000/shares</f>
        <v>1853.73770146352</v>
      </c>
    </row>
    <row r="2110" customFormat="false" ht="15" hidden="false" customHeight="false" outlineLevel="0" collapsed="false">
      <c r="A2110" s="4" t="s">
        <v>850</v>
      </c>
    </row>
    <row r="2111" customFormat="false" ht="15" hidden="false" customHeight="false" outlineLevel="0" collapsed="false">
      <c r="A2111" s="6" t="s">
        <v>22</v>
      </c>
      <c r="B2111" s="6" t="s">
        <v>23</v>
      </c>
      <c r="C2111" s="9" t="s">
        <v>532</v>
      </c>
      <c r="D2111" s="9" t="s">
        <v>533</v>
      </c>
      <c r="E2111" s="9" t="s">
        <v>534</v>
      </c>
      <c r="F2111" s="9" t="s">
        <v>535</v>
      </c>
      <c r="G2111" s="9" t="s">
        <v>536</v>
      </c>
      <c r="H2111" s="9" t="s">
        <v>537</v>
      </c>
      <c r="I2111" s="9" t="s">
        <v>538</v>
      </c>
      <c r="J2111" s="6" t="s">
        <v>515</v>
      </c>
    </row>
    <row r="2112" customFormat="false" ht="15" hidden="false" customHeight="false" outlineLevel="0" collapsed="false">
      <c r="A2112" s="1" t="s">
        <v>539</v>
      </c>
    </row>
    <row r="2113" customFormat="false" ht="15" hidden="false" customHeight="false" outlineLevel="0" collapsed="false">
      <c r="A2113" s="0" t="s">
        <v>540</v>
      </c>
      <c r="B2113" s="0" t="s">
        <v>100</v>
      </c>
      <c r="C2113" s="19" t="n">
        <f aca="false">hsA_25</f>
        <v>2.22511470588235</v>
      </c>
      <c r="D2113" s="19" t="n">
        <f aca="false">hsA_26</f>
        <v>3.782695</v>
      </c>
      <c r="E2113" s="19" t="n">
        <f aca="false">hsA_27</f>
        <v>5.86317725</v>
      </c>
      <c r="F2113" s="19" t="n">
        <f aca="false">hsA_28</f>
        <v>8.5016070125</v>
      </c>
      <c r="G2113" s="19" t="n">
        <f aca="false">hsA_29</f>
        <v>11.477169466875</v>
      </c>
      <c r="H2113" s="19" t="n">
        <f aca="false">G2113*(1+g_tail)</f>
        <v>12.6248864135625</v>
      </c>
      <c r="I2113" s="19" t="n">
        <f aca="false">H2113*(1+g_tail)</f>
        <v>13.8873750549188</v>
      </c>
      <c r="J2113" s="8" t="s">
        <v>541</v>
      </c>
    </row>
    <row r="2114" customFormat="false" ht="15" hidden="false" customHeight="false" outlineLevel="0" collapsed="false">
      <c r="A2114" s="0" t="s">
        <v>542</v>
      </c>
      <c r="B2114" s="0" t="s">
        <v>543</v>
      </c>
      <c r="C2114" s="19" t="n">
        <f aca="false">den_25</f>
        <v>24</v>
      </c>
      <c r="D2114" s="19" t="n">
        <f aca="false">den_26</f>
        <v>24</v>
      </c>
      <c r="E2114" s="19" t="n">
        <f aca="false">den_27</f>
        <v>26</v>
      </c>
      <c r="F2114" s="19" t="n">
        <f aca="false">den_28</f>
        <v>28</v>
      </c>
      <c r="G2114" s="19" t="n">
        <f aca="false">den_29</f>
        <v>30</v>
      </c>
      <c r="H2114" s="19" t="n">
        <f aca="false">den_30</f>
        <v>32</v>
      </c>
      <c r="I2114" s="19" t="n">
        <f aca="false">den_30</f>
        <v>32</v>
      </c>
    </row>
    <row r="2115" customFormat="false" ht="15" hidden="false" customHeight="false" outlineLevel="0" collapsed="false">
      <c r="A2115" s="5" t="s">
        <v>544</v>
      </c>
      <c r="B2115" s="5" t="s">
        <v>152</v>
      </c>
      <c r="C2115" s="19" t="n">
        <f aca="false">stk_25</f>
        <v>10</v>
      </c>
      <c r="D2115" s="19" t="n">
        <f aca="false">stk_26</f>
        <v>12</v>
      </c>
      <c r="E2115" s="19" t="n">
        <f aca="false">stk_27</f>
        <v>12.5</v>
      </c>
      <c r="F2115" s="19" t="n">
        <f aca="false">stk_28</f>
        <v>14</v>
      </c>
      <c r="G2115" s="19" t="n">
        <f aca="false">stk_29</f>
        <v>15</v>
      </c>
      <c r="H2115" s="19" t="n">
        <f aca="false">stk_30</f>
        <v>16</v>
      </c>
      <c r="I2115" s="19" t="n">
        <f aca="false">stk_30</f>
        <v>16</v>
      </c>
    </row>
    <row r="2116" customFormat="false" ht="15" hidden="false" customHeight="false" outlineLevel="0" collapsed="false">
      <c r="A2116" s="0" t="s">
        <v>545</v>
      </c>
      <c r="B2116" s="5" t="s">
        <v>546</v>
      </c>
      <c r="C2116" s="19" t="n">
        <f aca="false">C2113*8/C2114</f>
        <v>0.741704901960783</v>
      </c>
      <c r="D2116" s="19" t="n">
        <f aca="false">D2113*8/D2114</f>
        <v>1.26089833333333</v>
      </c>
      <c r="E2116" s="19" t="n">
        <f aca="false">E2113*8/E2114</f>
        <v>1.80405453846154</v>
      </c>
      <c r="F2116" s="19" t="n">
        <f aca="false">F2113*8/F2114</f>
        <v>2.429030575</v>
      </c>
      <c r="G2116" s="19" t="n">
        <f aca="false">G2113*8/G2114</f>
        <v>3.0605785245</v>
      </c>
      <c r="H2116" s="19" t="n">
        <f aca="false">H2113*8/H2114</f>
        <v>3.15622160339063</v>
      </c>
      <c r="I2116" s="19" t="n">
        <f aca="false">I2113*8/I2114</f>
        <v>3.47184376372969</v>
      </c>
      <c r="J2116" s="8" t="s">
        <v>547</v>
      </c>
    </row>
    <row r="2117" customFormat="false" ht="15" hidden="false" customHeight="false" outlineLevel="0" collapsed="false">
      <c r="A2117" s="0" t="s">
        <v>548</v>
      </c>
      <c r="B2117" s="5" t="s">
        <v>549</v>
      </c>
      <c r="C2117" s="19" t="n">
        <f aca="false">C2116*(1+s_stk/C2115)</f>
        <v>0.964216372549018</v>
      </c>
      <c r="D2117" s="19" t="n">
        <f aca="false">D2116*(1+s_stk/D2115)</f>
        <v>1.57612291666667</v>
      </c>
      <c r="E2117" s="19" t="n">
        <f aca="false">E2116*(1+s_stk/E2115)</f>
        <v>2.23702762769231</v>
      </c>
      <c r="F2117" s="19" t="n">
        <f aca="false">F2116*(1+s_stk/F2115)</f>
        <v>2.94953712678571</v>
      </c>
      <c r="G2117" s="19" t="n">
        <f aca="false">G2116*(1+s_stk/G2115)</f>
        <v>3.6726942294</v>
      </c>
      <c r="H2117" s="19" t="n">
        <f aca="false">H2116*(1+s_stk/H2115)</f>
        <v>3.74801315402637</v>
      </c>
      <c r="I2117" s="19" t="n">
        <f aca="false">I2116*(1+s_stk/I2115)</f>
        <v>4.12281446942901</v>
      </c>
      <c r="J2117" s="5" t="s">
        <v>550</v>
      </c>
    </row>
    <row r="2118" customFormat="false" ht="15" hidden="false" customHeight="false" outlineLevel="0" collapsed="false">
      <c r="A2118" s="5" t="s">
        <v>551</v>
      </c>
      <c r="B2118" s="0" t="s">
        <v>60</v>
      </c>
      <c r="C2118" s="22" t="n">
        <f aca="false">hbp_25*hb_on</f>
        <v>0</v>
      </c>
      <c r="D2118" s="22" t="n">
        <f aca="false">hbp_26*hb_on</f>
        <v>0</v>
      </c>
      <c r="E2118" s="22" t="n">
        <f aca="false">hbp_27*hb_on</f>
        <v>0</v>
      </c>
      <c r="F2118" s="22" t="n">
        <f aca="false">hbp_28*hb_on</f>
        <v>0.05</v>
      </c>
      <c r="G2118" s="22" t="n">
        <f aca="false">hbp_29*hb_on</f>
        <v>0.15</v>
      </c>
      <c r="H2118" s="22" t="n">
        <f aca="false">hbp_30*hb_on</f>
        <v>0.25</v>
      </c>
      <c r="I2118" s="22" t="n">
        <f aca="false">hbp_30*hb_on</f>
        <v>0.25</v>
      </c>
    </row>
    <row r="2119" customFormat="false" ht="15" hidden="false" customHeight="false" outlineLevel="0" collapsed="false">
      <c r="A2119" s="0" t="s">
        <v>552</v>
      </c>
      <c r="B2119" s="5" t="s">
        <v>549</v>
      </c>
      <c r="C2119" s="19" t="n">
        <f aca="false">C2117*(1+C2118*hb_eff)</f>
        <v>0.964216372549018</v>
      </c>
      <c r="D2119" s="19" t="n">
        <f aca="false">D2117*(1+D2118*hb_eff)</f>
        <v>1.57612291666667</v>
      </c>
      <c r="E2119" s="19" t="n">
        <f aca="false">E2117*(1+E2118*hb_eff)</f>
        <v>2.23702762769231</v>
      </c>
      <c r="F2119" s="19" t="n">
        <f aca="false">F2117*(1+F2118*hb_eff)</f>
        <v>2.96428481241964</v>
      </c>
      <c r="G2119" s="19" t="n">
        <f aca="false">G2117*(1+G2118*hb_eff)</f>
        <v>3.727784642841</v>
      </c>
      <c r="H2119" s="19" t="n">
        <f aca="false">H2117*(1+H2118*hb_eff)</f>
        <v>3.84171348287703</v>
      </c>
      <c r="I2119" s="19" t="n">
        <f aca="false">I2117*(1+I2118*hb_eff)</f>
        <v>4.22588483116473</v>
      </c>
      <c r="J2119" s="5" t="s">
        <v>553</v>
      </c>
    </row>
    <row r="2120" customFormat="false" ht="15" hidden="false" customHeight="false" outlineLevel="0" collapsed="false">
      <c r="A2120" s="0" t="s">
        <v>554</v>
      </c>
      <c r="B2120" s="5" t="s">
        <v>549</v>
      </c>
      <c r="C2120" s="19" t="n">
        <f aca="false">MAX(0,D2119-C2119)+dlt*C2119</f>
        <v>0.70832818137255</v>
      </c>
      <c r="D2120" s="19" t="n">
        <f aca="false">MAX(0,E2119-D2119)+dlt*D2119</f>
        <v>0.818517002692307</v>
      </c>
      <c r="E2120" s="19" t="n">
        <f aca="false">MAX(0,F2119-E2119)+dlt*E2119</f>
        <v>0.950959947496565</v>
      </c>
      <c r="F2120" s="19" t="n">
        <f aca="false">MAX(0,G2119-F2119)+dlt*F2119</f>
        <v>1.05992831166332</v>
      </c>
      <c r="G2120" s="19" t="n">
        <f aca="false">MAX(0,H2119-G2119)+dlt*G2119</f>
        <v>0.486707304320127</v>
      </c>
      <c r="H2120" s="19" t="n">
        <f aca="false">MAX(0,I2119-H2119)+dlt*H2119</f>
        <v>0.768342696575406</v>
      </c>
      <c r="J2120" s="5" t="s">
        <v>555</v>
      </c>
    </row>
    <row r="2121" customFormat="false" ht="15" hidden="false" customHeight="false" outlineLevel="0" collapsed="false">
      <c r="A2121" s="0" t="s">
        <v>556</v>
      </c>
      <c r="B2121" s="5" t="s">
        <v>181</v>
      </c>
      <c r="C2121" s="21" t="n">
        <f aca="false">cw_25</f>
        <v>670</v>
      </c>
      <c r="D2121" s="21" t="n">
        <f aca="false">cw_26</f>
        <v>1107.85762580894</v>
      </c>
      <c r="E2121" s="21" t="n">
        <f aca="false">cw_27</f>
        <v>2096.42857142857</v>
      </c>
      <c r="F2121" s="21" t="n">
        <f aca="false">cw_28*um28_A</f>
        <v>2620.08928571429</v>
      </c>
      <c r="G2121" s="21" t="n">
        <f aca="false">cw_29*um29_A</f>
        <v>3013.32589285714</v>
      </c>
      <c r="H2121" s="21" t="n">
        <f aca="false">G2121*(1+g_tail)</f>
        <v>3314.65848214285</v>
      </c>
      <c r="I2121" s="21" t="n">
        <f aca="false">H2121*(1+g_tail)</f>
        <v>3646.12433035714</v>
      </c>
      <c r="J2121" s="5" t="s">
        <v>557</v>
      </c>
    </row>
    <row r="2122" customFormat="false" ht="15" hidden="false" customHeight="false" outlineLevel="0" collapsed="false">
      <c r="A2122" s="5" t="s">
        <v>558</v>
      </c>
      <c r="B2122" s="5" t="s">
        <v>181</v>
      </c>
      <c r="C2122" s="21" t="n">
        <f aca="false">MAX(0,D2121-C2121)+dlt*C2121</f>
        <v>504.85762580894</v>
      </c>
      <c r="D2122" s="21" t="n">
        <f aca="false">MAX(0,E2121-D2121)+dlt*D2121</f>
        <v>1099.35670820052</v>
      </c>
      <c r="E2122" s="21" t="n">
        <f aca="false">MAX(0,F2121-E2121)+dlt*E2121</f>
        <v>733.303571428577</v>
      </c>
      <c r="F2122" s="21" t="n">
        <f aca="false">MAX(0,G2121-F2121)+dlt*F2121</f>
        <v>655.245535714279</v>
      </c>
      <c r="G2122" s="21" t="n">
        <f aca="false">MAX(0,H2121-G2121)+dlt*G2121</f>
        <v>602.665178571428</v>
      </c>
      <c r="H2122" s="21" t="n">
        <f aca="false">MAX(0,I2121-H2121)+dlt*H2121</f>
        <v>662.931696428571</v>
      </c>
    </row>
    <row r="2123" customFormat="false" ht="15" hidden="false" customHeight="false" outlineLevel="0" collapsed="false">
      <c r="A2123" s="1" t="s">
        <v>559</v>
      </c>
    </row>
    <row r="2124" customFormat="false" ht="15" hidden="false" customHeight="false" outlineLevel="0" collapsed="false">
      <c r="A2124" s="0" t="s">
        <v>560</v>
      </c>
      <c r="B2124" s="0" t="s">
        <v>561</v>
      </c>
      <c r="C2124" s="16" t="n">
        <f aca="false">ai_25*w_hbm/(0.75*C2120+0.25*D2120)</f>
        <v>48.9213264236471</v>
      </c>
      <c r="J2124" s="5" t="s">
        <v>562</v>
      </c>
    </row>
    <row r="2125" customFormat="false" ht="15" hidden="false" customHeight="false" outlineLevel="0" collapsed="false">
      <c r="A2125" s="5" t="s">
        <v>563</v>
      </c>
      <c r="B2125" s="0" t="s">
        <v>564</v>
      </c>
      <c r="C2125" s="18" t="n">
        <f aca="false">ai_25*(1-w_hbm)/(0.75*C2122+0.25*D2122)</f>
        <v>0.0596802610360141</v>
      </c>
    </row>
    <row r="2126" customFormat="false" ht="15" hidden="false" customHeight="false" outlineLevel="0" collapsed="false">
      <c r="A2126" s="1" t="s">
        <v>565</v>
      </c>
    </row>
    <row r="2127" customFormat="false" ht="15" hidden="false" customHeight="false" outlineLevel="0" collapsed="false">
      <c r="A2127" s="5" t="s">
        <v>566</v>
      </c>
      <c r="B2127" s="0" t="s">
        <v>80</v>
      </c>
      <c r="C2127" s="16" t="n">
        <f aca="false">1-sh_loss/sh*0</f>
        <v>1</v>
      </c>
      <c r="D2127" s="16" t="n">
        <f aca="false">1-sh_loss/sh*0.25</f>
        <v>1</v>
      </c>
      <c r="E2127" s="16" t="n">
        <f aca="false">1-sh_loss/sh*0.5</f>
        <v>1</v>
      </c>
      <c r="F2127" s="16" t="n">
        <f aca="false">1-sh_loss/sh*0.75</f>
        <v>1</v>
      </c>
      <c r="G2127" s="16" t="n">
        <f aca="false">1-sh_loss/sh*1</f>
        <v>1</v>
      </c>
    </row>
    <row r="2128" customFormat="false" ht="15" hidden="false" customHeight="false" outlineLevel="0" collapsed="false">
      <c r="A2128" s="0" t="s">
        <v>567</v>
      </c>
      <c r="B2128" s="0" t="s">
        <v>33</v>
      </c>
      <c r="C2128" s="11" t="n">
        <f aca="false">$C$2124*(0.75*C2120+0.25*D2120)*C2127</f>
        <v>36</v>
      </c>
      <c r="D2128" s="11" t="n">
        <f aca="false">$C$2124*(0.75*D2120+0.25*E2120)*D2127</f>
        <v>41.6627586058351</v>
      </c>
      <c r="E2128" s="11" t="n">
        <f aca="false">$C$2124*(0.75*E2120+0.25*F2120)*E2127</f>
        <v>47.8549412356069</v>
      </c>
      <c r="F2128" s="11" t="n">
        <f aca="false">$C$2124*(0.75*F2120+0.25*G2120)*F2127</f>
        <v>44.8424159172644</v>
      </c>
      <c r="G2128" s="11" t="n">
        <f aca="false">$C$2124*(0.75*G2120+0.25*H2120)*G2127</f>
        <v>27.2548611466613</v>
      </c>
    </row>
    <row r="2129" customFormat="false" ht="15" hidden="false" customHeight="false" outlineLevel="0" collapsed="false">
      <c r="A2129" s="5" t="s">
        <v>568</v>
      </c>
      <c r="B2129" s="0" t="s">
        <v>33</v>
      </c>
      <c r="C2129" s="11" t="n">
        <f aca="false">$C$2125*(0.75*C2122+0.25*D2122)*C2127</f>
        <v>39</v>
      </c>
      <c r="D2129" s="11" t="n">
        <f aca="false">$C$2125*(0.75*D2122+0.25*E2122)*D2127</f>
        <v>60.1483586282001</v>
      </c>
      <c r="E2129" s="11" t="n">
        <f aca="false">$C$2125*(0.75*E2122+0.25*F2122)*E2127</f>
        <v>42.5991175746519</v>
      </c>
      <c r="F2129" s="11" t="n">
        <f aca="false">$C$2125*(0.75*F2122+0.25*G2122)*F2127</f>
        <v>38.320722254198</v>
      </c>
      <c r="G2129" s="11" t="n">
        <f aca="false">$C$2125*(0.75*G2122+0.25*H2122)*G2127</f>
        <v>36.8663955538204</v>
      </c>
    </row>
    <row r="2130" customFormat="false" ht="15" hidden="false" customHeight="false" outlineLevel="0" collapsed="false">
      <c r="A2130" s="0" t="s">
        <v>569</v>
      </c>
      <c r="B2130" s="0" t="s">
        <v>33</v>
      </c>
      <c r="C2130" s="11" t="n">
        <f aca="false">C2128+C2129</f>
        <v>75</v>
      </c>
      <c r="D2130" s="11" t="n">
        <f aca="false">D2128+D2129</f>
        <v>101.811117234035</v>
      </c>
      <c r="E2130" s="11" t="n">
        <f aca="false">E2128+E2129</f>
        <v>90.4540588102588</v>
      </c>
      <c r="F2130" s="11" t="n">
        <f aca="false">F2128+F2129</f>
        <v>83.1631381714624</v>
      </c>
      <c r="G2130" s="11" t="n">
        <f aca="false">G2128+G2129</f>
        <v>64.1212567004817</v>
      </c>
    </row>
    <row r="2131" customFormat="false" ht="15" hidden="false" customHeight="false" outlineLevel="0" collapsed="false">
      <c r="A2131" s="5" t="s">
        <v>570</v>
      </c>
      <c r="B2131" s="0" t="s">
        <v>33</v>
      </c>
      <c r="C2131" s="11" t="n">
        <f aca="false">eq_25-ai_25</f>
        <v>195.87118</v>
      </c>
      <c r="D2131" s="11" t="n">
        <f aca="false">C2131*(1+g_non)*D2127/C2127</f>
        <v>207.6234508</v>
      </c>
      <c r="E2131" s="11" t="n">
        <f aca="false">D2131*(1+g_non)*E2127/D2127</f>
        <v>220.080857848</v>
      </c>
      <c r="F2131" s="11" t="n">
        <f aca="false">E2131*(1+g_non)*F2127/E2127</f>
        <v>233.28570931888</v>
      </c>
      <c r="G2131" s="11" t="n">
        <f aca="false">F2131*(1+g_non)*G2127/F2127</f>
        <v>247.282851878013</v>
      </c>
    </row>
    <row r="2132" customFormat="false" ht="15" hidden="false" customHeight="false" outlineLevel="0" collapsed="false">
      <c r="A2132" s="0" t="s">
        <v>571</v>
      </c>
      <c r="B2132" s="0" t="s">
        <v>80</v>
      </c>
      <c r="C2132" s="19" t="n">
        <f aca="false">w_hbm*(0.75*C2119+0.25*D2119)/(0.75*C2119+0.25*D2119)+(1-w_hbm)*(0.75*C2121+0.25*D2121)/(0.75*C2121+0.25*D2121)</f>
        <v>1</v>
      </c>
      <c r="D2132" s="19" t="n">
        <f aca="false">w_hbm*(0.75*D2119+0.25*E2119)/(0.75*C2119+0.25*D2119)+(1-w_hbm)*(0.75*D2121+0.25*E2121)/(0.75*C2121+0.25*D2121)</f>
        <v>1.65212184085657</v>
      </c>
      <c r="E2132" s="19" t="n">
        <f aca="false">w_hbm*(0.75*E2119+0.25*F2119)/(0.75*C2119+0.25*D2119)+(1-w_hbm)*(0.75*E2121+0.25*F2121)/(0.75*C2121+0.25*D2121)</f>
        <v>2.52516730417954</v>
      </c>
      <c r="F2132" s="19" t="n">
        <f aca="false">w_hbm*(0.75*F2119+0.25*G2119)/(0.75*C2119+0.25*D2119)+(1-w_hbm)*(0.75*F2121+0.25*G2121)/(0.75*C2121+0.25*D2121)</f>
        <v>3.16911970169284</v>
      </c>
      <c r="G2132" s="19" t="n">
        <f aca="false">w_hbm*(0.75*G2119+0.25*H2119)/(0.75*C2119+0.25*D2119)+(1-w_hbm)*(0.75*G2121+0.25*H2121)/(0.75*C2121+0.25*D2121)</f>
        <v>3.67439430985121</v>
      </c>
      <c r="J2132" s="8" t="s">
        <v>572</v>
      </c>
    </row>
    <row r="2133" customFormat="false" ht="15" hidden="false" customHeight="false" outlineLevel="0" collapsed="false">
      <c r="A2133" s="0" t="s">
        <v>573</v>
      </c>
      <c r="B2133" s="0" t="s">
        <v>33</v>
      </c>
      <c r="C2133" s="11" t="n">
        <f aca="false">tl_25*w_tlai*C2132</f>
        <v>25.4032258064516</v>
      </c>
      <c r="D2133" s="11" t="n">
        <f aca="false">tl_25*w_tlai*D2132</f>
        <v>41.9692241830499</v>
      </c>
      <c r="E2133" s="11" t="n">
        <f aca="false">tl_25*w_tlai*E2132</f>
        <v>64.1473952271414</v>
      </c>
      <c r="F2133" s="11" t="n">
        <f aca="false">tl_25*w_tlai*F2132</f>
        <v>80.5058633897778</v>
      </c>
      <c r="G2133" s="11" t="n">
        <f aca="false">tl_25*w_tlai*G2132</f>
        <v>93.3414683550913</v>
      </c>
      <c r="J2133" s="5" t="s">
        <v>574</v>
      </c>
    </row>
    <row r="2134" customFormat="false" ht="15" hidden="false" customHeight="false" outlineLevel="0" collapsed="false">
      <c r="A2134" s="5" t="s">
        <v>575</v>
      </c>
      <c r="B2134" s="0" t="s">
        <v>33</v>
      </c>
      <c r="C2134" s="11" t="n">
        <f aca="false">tl_25*(1-w_tlai)</f>
        <v>66.3434641935484</v>
      </c>
      <c r="D2134" s="11" t="n">
        <f aca="false">C2134*(1+g_tl)</f>
        <v>69.6606374032258</v>
      </c>
      <c r="E2134" s="11" t="n">
        <f aca="false">D2134*(1+g_tl)</f>
        <v>73.1436692733871</v>
      </c>
      <c r="F2134" s="11" t="n">
        <f aca="false">E2134*(1+g_tl)</f>
        <v>76.8008527370565</v>
      </c>
      <c r="G2134" s="11" t="n">
        <f aca="false">F2134*(1+g_tl)</f>
        <v>80.6408953739093</v>
      </c>
    </row>
    <row r="2135" customFormat="false" ht="15" hidden="false" customHeight="false" outlineLevel="0" collapsed="false">
      <c r="A2135" s="5" t="s">
        <v>576</v>
      </c>
      <c r="B2135" s="0" t="s">
        <v>33</v>
      </c>
      <c r="C2135" s="11" t="n">
        <f aca="false">(C2130+C2131+C2133+C2134)*(1+r_ot)</f>
        <v>436.889</v>
      </c>
      <c r="D2135" s="11" t="n">
        <f aca="false">(D2130+D2131+D2133+D2134)*(1+r_ot)</f>
        <v>507.306541711218</v>
      </c>
      <c r="E2135" s="11" t="n">
        <f aca="false">(E2130+E2131+E2133+E2134)*(1+r_ot)</f>
        <v>539.549374890105</v>
      </c>
      <c r="F2135" s="11" t="n">
        <f aca="false">(F2130+F2131+F2133+F2134)*(1+r_ot)</f>
        <v>570.789835683346</v>
      </c>
      <c r="G2135" s="11" t="n">
        <f aca="false">(G2130+G2131+G2133+G2134)*(1+r_ot)</f>
        <v>584.802978683729</v>
      </c>
      <c r="J2135" s="8" t="s">
        <v>577</v>
      </c>
    </row>
    <row r="2136" customFormat="false" ht="15" hidden="false" customHeight="false" outlineLevel="0" collapsed="false">
      <c r="A2136" s="1" t="s">
        <v>578</v>
      </c>
    </row>
    <row r="2137" customFormat="false" ht="15" hidden="false" customHeight="false" outlineLevel="0" collapsed="false">
      <c r="A2137" s="5" t="s">
        <v>579</v>
      </c>
      <c r="B2137" s="0" t="s">
        <v>33</v>
      </c>
      <c r="D2137" s="11" t="n">
        <f aca="false">g3_rev*(1+g_q4_lo)</f>
        <v>132.442</v>
      </c>
    </row>
    <row r="2138" customFormat="false" ht="15" hidden="false" customHeight="false" outlineLevel="0" collapsed="false">
      <c r="A2138" s="0" t="s">
        <v>580</v>
      </c>
      <c r="B2138" s="0" t="s">
        <v>33</v>
      </c>
      <c r="D2138" s="11" t="n">
        <f aca="false">q26h1_rev+g3_rev+D2137</f>
        <v>521.942</v>
      </c>
    </row>
    <row r="2139" customFormat="false" ht="15" hidden="false" customHeight="false" outlineLevel="0" collapsed="false">
      <c r="A2139" s="0" t="s">
        <v>581</v>
      </c>
      <c r="B2139" s="0" t="s">
        <v>33</v>
      </c>
      <c r="D2139" s="11" t="n">
        <f aca="false">q26h1_gp+(g3_rev+D2137)*gm_q3</f>
        <v>368.806032</v>
      </c>
    </row>
    <row r="2140" customFormat="false" ht="15" hidden="false" customHeight="false" outlineLevel="0" collapsed="false">
      <c r="A2140" s="0" t="s">
        <v>582</v>
      </c>
      <c r="B2140" s="0" t="s">
        <v>33</v>
      </c>
      <c r="D2140" s="11" t="n">
        <f aca="false">q26h1_oi+g3_oi+D2137*m_q4</f>
        <v>232.761</v>
      </c>
    </row>
    <row r="2141" customFormat="false" ht="15" hidden="false" customHeight="false" outlineLevel="0" collapsed="false">
      <c r="A2141" s="0" t="s">
        <v>583</v>
      </c>
      <c r="B2141" s="0" t="s">
        <v>33</v>
      </c>
      <c r="D2141" s="11" t="n">
        <f aca="false">q26h1_ni+g3_ni+D2137*m_q4*nioi</f>
        <v>163.7721648994</v>
      </c>
    </row>
    <row r="2142" customFormat="false" ht="15" hidden="false" customHeight="false" outlineLevel="0" collapsed="false">
      <c r="A2142" s="5" t="s">
        <v>584</v>
      </c>
      <c r="B2142" s="0" t="s">
        <v>80</v>
      </c>
      <c r="D2142" s="16" t="n">
        <f aca="false">D2138/D2135</f>
        <v>1.02884933878324</v>
      </c>
      <c r="J2142" s="8" t="s">
        <v>585</v>
      </c>
    </row>
    <row r="2143" customFormat="false" ht="15" hidden="false" customHeight="false" outlineLevel="0" collapsed="false">
      <c r="A2143" s="5" t="s">
        <v>586</v>
      </c>
      <c r="B2143" s="0" t="s">
        <v>80</v>
      </c>
      <c r="D2143" s="16" t="n">
        <f aca="false">1+anc_carry*(D2142-1)</f>
        <v>1.02884933878324</v>
      </c>
      <c r="J2143" s="8" t="s">
        <v>587</v>
      </c>
    </row>
    <row r="2144" customFormat="false" ht="15" hidden="false" customHeight="false" outlineLevel="0" collapsed="false">
      <c r="A2144" s="1" t="s">
        <v>588</v>
      </c>
    </row>
    <row r="2145" customFormat="false" ht="15" hidden="false" customHeight="false" outlineLevel="0" collapsed="false">
      <c r="A2145" s="0" t="s">
        <v>589</v>
      </c>
      <c r="B2145" s="0" t="s">
        <v>33</v>
      </c>
      <c r="C2145" s="11" t="n">
        <f aca="false">C2128*1</f>
        <v>36</v>
      </c>
      <c r="D2145" s="11" t="n">
        <f aca="false">D2128*$D$2142</f>
        <v>42.8647016434993</v>
      </c>
      <c r="E2145" s="11" t="n">
        <f aca="false">E2128*1</f>
        <v>47.8549412356069</v>
      </c>
      <c r="F2145" s="11" t="n">
        <f aca="false">F2128*1</f>
        <v>44.8424159172644</v>
      </c>
      <c r="G2145" s="11" t="n">
        <f aca="false">G2128*1</f>
        <v>27.2548611466613</v>
      </c>
    </row>
    <row r="2146" customFormat="false" ht="15" hidden="false" customHeight="false" outlineLevel="0" collapsed="false">
      <c r="A2146" s="5" t="s">
        <v>590</v>
      </c>
      <c r="B2146" s="0" t="s">
        <v>33</v>
      </c>
      <c r="C2146" s="11" t="n">
        <f aca="false">C2129*1</f>
        <v>39</v>
      </c>
      <c r="D2146" s="11" t="n">
        <f aca="false">D2129*$D$2142</f>
        <v>61.883599003521</v>
      </c>
      <c r="E2146" s="11" t="n">
        <f aca="false">E2129*1</f>
        <v>42.5991175746519</v>
      </c>
      <c r="F2146" s="11" t="n">
        <f aca="false">F2129*1</f>
        <v>38.320722254198</v>
      </c>
      <c r="G2146" s="11" t="n">
        <f aca="false">G2129*1</f>
        <v>36.8663955538204</v>
      </c>
    </row>
    <row r="2147" customFormat="false" ht="15" hidden="false" customHeight="false" outlineLevel="0" collapsed="false">
      <c r="A2147" s="0" t="s">
        <v>591</v>
      </c>
      <c r="B2147" s="0" t="s">
        <v>33</v>
      </c>
      <c r="C2147" s="11" t="n">
        <f aca="false">C2145+C2146</f>
        <v>75</v>
      </c>
      <c r="D2147" s="11" t="n">
        <f aca="false">D2145+D2146</f>
        <v>104.74830064702</v>
      </c>
      <c r="E2147" s="11" t="n">
        <f aca="false">E2145+E2146</f>
        <v>90.4540588102588</v>
      </c>
      <c r="F2147" s="11" t="n">
        <f aca="false">F2145+F2146</f>
        <v>83.1631381714624</v>
      </c>
      <c r="G2147" s="11" t="n">
        <f aca="false">G2145+G2146</f>
        <v>64.1212567004817</v>
      </c>
    </row>
    <row r="2148" customFormat="false" ht="15" hidden="false" customHeight="false" outlineLevel="0" collapsed="false">
      <c r="A2148" s="5" t="s">
        <v>592</v>
      </c>
      <c r="B2148" s="0" t="s">
        <v>33</v>
      </c>
      <c r="C2148" s="11" t="n">
        <f aca="false">C2131*1</f>
        <v>195.87118</v>
      </c>
      <c r="D2148" s="11" t="n">
        <f aca="false">D2131*$D$2142</f>
        <v>213.613250071475</v>
      </c>
      <c r="E2148" s="11" t="n">
        <f aca="false">E2131*$D$2143</f>
        <v>226.430045075764</v>
      </c>
      <c r="F2148" s="11" t="n">
        <f aca="false">F2131*$D$2143</f>
        <v>240.015847780309</v>
      </c>
      <c r="G2148" s="11" t="n">
        <f aca="false">G2131*$D$2143</f>
        <v>254.416798647128</v>
      </c>
    </row>
    <row r="2149" customFormat="false" ht="15" hidden="false" customHeight="false" outlineLevel="0" collapsed="false">
      <c r="A2149" s="5" t="s">
        <v>593</v>
      </c>
      <c r="B2149" s="0" t="s">
        <v>33</v>
      </c>
      <c r="C2149" s="11" t="n">
        <f aca="false">C2147+C2148</f>
        <v>270.87118</v>
      </c>
      <c r="D2149" s="11" t="n">
        <f aca="false">D2147+D2148</f>
        <v>318.361550718495</v>
      </c>
      <c r="E2149" s="11" t="n">
        <f aca="false">E2147+E2148</f>
        <v>316.884103886022</v>
      </c>
      <c r="F2149" s="11" t="n">
        <f aca="false">F2147+F2148</f>
        <v>323.178985951772</v>
      </c>
      <c r="G2149" s="11" t="n">
        <f aca="false">G2147+G2148</f>
        <v>318.53805534761</v>
      </c>
    </row>
    <row r="2150" customFormat="false" ht="15" hidden="false" customHeight="false" outlineLevel="0" collapsed="false">
      <c r="A2150" s="0" t="s">
        <v>594</v>
      </c>
      <c r="B2150" s="0" t="s">
        <v>33</v>
      </c>
      <c r="C2150" s="11" t="n">
        <f aca="false">C2133*1</f>
        <v>25.4032258064516</v>
      </c>
      <c r="D2150" s="11" t="n">
        <f aca="false">D2133*$D$2142</f>
        <v>43.1800085499766</v>
      </c>
      <c r="E2150" s="11" t="n">
        <f aca="false">E2133*1</f>
        <v>64.1473952271414</v>
      </c>
      <c r="F2150" s="11" t="n">
        <f aca="false">F2133*1</f>
        <v>80.5058633897778</v>
      </c>
      <c r="G2150" s="11" t="n">
        <f aca="false">G2133*1</f>
        <v>93.3414683550913</v>
      </c>
    </row>
    <row r="2151" customFormat="false" ht="15" hidden="false" customHeight="false" outlineLevel="0" collapsed="false">
      <c r="A2151" s="5" t="s">
        <v>595</v>
      </c>
      <c r="B2151" s="0" t="s">
        <v>33</v>
      </c>
      <c r="C2151" s="11" t="n">
        <f aca="false">C2134*1</f>
        <v>66.3434641935484</v>
      </c>
      <c r="D2151" s="11" t="n">
        <f aca="false">D2134*$D$2142</f>
        <v>71.6703007315281</v>
      </c>
      <c r="E2151" s="11" t="n">
        <f aca="false">E2134*$D$2143</f>
        <v>75.2538157681045</v>
      </c>
      <c r="F2151" s="11" t="n">
        <f aca="false">F2134*$D$2143</f>
        <v>79.0165065565097</v>
      </c>
      <c r="G2151" s="11" t="n">
        <f aca="false">G2134*$D$2143</f>
        <v>82.9673318843352</v>
      </c>
    </row>
    <row r="2152" customFormat="false" ht="15" hidden="false" customHeight="false" outlineLevel="0" collapsed="false">
      <c r="A2152" s="5" t="s">
        <v>596</v>
      </c>
      <c r="B2152" s="0" t="s">
        <v>33</v>
      </c>
      <c r="C2152" s="11" t="n">
        <f aca="false">C2150+C2151</f>
        <v>91.74669</v>
      </c>
      <c r="D2152" s="11" t="n">
        <f aca="false">D2150+D2151</f>
        <v>114.850309281505</v>
      </c>
      <c r="E2152" s="11" t="n">
        <f aca="false">E2150+E2151</f>
        <v>139.401210995246</v>
      </c>
      <c r="F2152" s="11" t="n">
        <f aca="false">F2150+F2151</f>
        <v>159.522369946287</v>
      </c>
      <c r="G2152" s="11" t="n">
        <f aca="false">G2150+G2151</f>
        <v>176.308800239427</v>
      </c>
    </row>
    <row r="2153" customFormat="false" ht="15" hidden="false" customHeight="false" outlineLevel="0" collapsed="false">
      <c r="A2153" s="5" t="s">
        <v>458</v>
      </c>
      <c r="B2153" s="0" t="s">
        <v>33</v>
      </c>
      <c r="C2153" s="11" t="n">
        <f aca="false">r_ot*(C2149+C2152)</f>
        <v>74.27113</v>
      </c>
      <c r="D2153" s="11" t="n">
        <f aca="false">r_ot*(D2149+D2152)</f>
        <v>88.73014</v>
      </c>
      <c r="E2153" s="11" t="n">
        <f aca="false">r_ot*(E2149+E2152)</f>
        <v>93.4560283491755</v>
      </c>
      <c r="F2153" s="11" t="n">
        <f aca="false">r_ot*(F2149+F2152)</f>
        <v>98.8665427743013</v>
      </c>
      <c r="G2153" s="11" t="n">
        <f aca="false">r_ot*(G2149+G2152)</f>
        <v>101.354175240718</v>
      </c>
    </row>
    <row r="2154" customFormat="false" ht="15" hidden="false" customHeight="false" outlineLevel="0" collapsed="false">
      <c r="A2154" s="5" t="s">
        <v>428</v>
      </c>
      <c r="B2154" s="0" t="s">
        <v>33</v>
      </c>
      <c r="C2154" s="11" t="n">
        <f aca="false">C2149+C2152+C2153</f>
        <v>436.889</v>
      </c>
      <c r="D2154" s="11" t="n">
        <f aca="false">D2149+D2152+D2153</f>
        <v>521.942</v>
      </c>
      <c r="E2154" s="11" t="n">
        <f aca="false">E2149+E2152+E2153</f>
        <v>549.741343230444</v>
      </c>
      <c r="F2154" s="11" t="n">
        <f aca="false">F2149+F2152+F2153</f>
        <v>581.567898672361</v>
      </c>
      <c r="G2154" s="11" t="n">
        <f aca="false">G2149+G2152+G2153</f>
        <v>596.201030827755</v>
      </c>
      <c r="J2154" s="8" t="s">
        <v>597</v>
      </c>
    </row>
    <row r="2155" customFormat="false" ht="15" hidden="false" customHeight="false" outlineLevel="0" collapsed="false">
      <c r="A2155" s="0" t="s">
        <v>598</v>
      </c>
      <c r="B2155" s="0" t="s">
        <v>60</v>
      </c>
      <c r="C2155" s="14" t="n">
        <f aca="false">(C2147+C2150)*(1+r_ot)/C2154</f>
        <v>0.276884384673187</v>
      </c>
      <c r="D2155" s="14" t="n">
        <f aca="false">(D2147+D2150)*(1+r_ot)/D2154</f>
        <v>0.341468742792492</v>
      </c>
      <c r="E2155" s="14" t="n">
        <f aca="false">(E2147+E2150)*(1+r_ot)/E2154</f>
        <v>0.338826276005902</v>
      </c>
      <c r="F2155" s="14" t="n">
        <f aca="false">(F2147+F2150)*(1+r_ot)/F2154</f>
        <v>0.339068866414797</v>
      </c>
      <c r="G2155" s="14" t="n">
        <f aca="false">(G2147+G2150)*(1+r_ot)/G2154</f>
        <v>0.318204962359062</v>
      </c>
    </row>
    <row r="2156" customFormat="false" ht="15" hidden="false" customHeight="false" outlineLevel="0" collapsed="false">
      <c r="A2156" s="0" t="s">
        <v>599</v>
      </c>
      <c r="B2156" s="0" t="s">
        <v>60</v>
      </c>
      <c r="C2156" s="14" t="n">
        <f aca="false">C2147*(1+r_ot)/C2154</f>
        <v>0.206829299394429</v>
      </c>
      <c r="D2156" s="14" t="n">
        <f aca="false">D2147*(1+r_ot)/D2154</f>
        <v>0.241794628261148</v>
      </c>
      <c r="E2156" s="14" t="n">
        <f aca="false">E2147*(1+r_ot)/E2154</f>
        <v>0.19824012708758</v>
      </c>
      <c r="F2156" s="14" t="n">
        <f aca="false">F2147*(1+r_ot)/F2154</f>
        <v>0.172286937161671</v>
      </c>
      <c r="G2156" s="14" t="n">
        <f aca="false">G2147*(1+r_ot)/G2154</f>
        <v>0.129577981503823</v>
      </c>
      <c r="J2156" s="5" t="s">
        <v>600</v>
      </c>
    </row>
    <row r="2157" customFormat="false" ht="15" hidden="false" customHeight="false" outlineLevel="0" collapsed="false">
      <c r="A2157" s="5" t="s">
        <v>466</v>
      </c>
      <c r="B2157" s="0" t="s">
        <v>60</v>
      </c>
      <c r="C2157" s="14" t="n">
        <f aca="false">a25_gp/a25_rev</f>
        <v>0.701498549974936</v>
      </c>
      <c r="D2157" s="14" t="n">
        <f aca="false">D2139/D2154</f>
        <v>0.706603477014688</v>
      </c>
      <c r="E2157" s="14" t="n">
        <f aca="false">gm_a+gm_b*LN(E2154)+0</f>
        <v>0.728607409409221</v>
      </c>
      <c r="F2157" s="14" t="n">
        <f aca="false">gm_a+gm_b*LN(F2154)+0</f>
        <v>0.735013516994033</v>
      </c>
      <c r="G2157" s="14" t="n">
        <f aca="false">gm_a+gm_b*LN(G2154)+0</f>
        <v>0.737842112607861</v>
      </c>
      <c r="J2157" s="8" t="s">
        <v>601</v>
      </c>
    </row>
    <row r="2158" customFormat="false" ht="15" hidden="false" customHeight="false" outlineLevel="0" collapsed="false">
      <c r="A2158" s="5" t="s">
        <v>463</v>
      </c>
      <c r="B2158" s="0" t="s">
        <v>33</v>
      </c>
      <c r="C2158" s="11" t="n">
        <f aca="false">C2154*C2157</f>
        <v>306.477</v>
      </c>
      <c r="D2158" s="11" t="n">
        <f aca="false">D2154*D2157</f>
        <v>368.806032</v>
      </c>
      <c r="E2158" s="11" t="n">
        <f aca="false">E2154*E2157</f>
        <v>400.545615936279</v>
      </c>
      <c r="F2158" s="11" t="n">
        <f aca="false">F2154*F2157</f>
        <v>427.460266574001</v>
      </c>
      <c r="G2158" s="11" t="n">
        <f aca="false">G2154*G2157</f>
        <v>439.902228124935</v>
      </c>
    </row>
    <row r="2159" customFormat="false" ht="15" hidden="false" customHeight="false" outlineLevel="0" collapsed="false">
      <c r="A2159" s="5" t="s">
        <v>464</v>
      </c>
      <c r="B2159" s="0" t="s">
        <v>33</v>
      </c>
      <c r="C2159" s="11" t="n">
        <f aca="false">a25_sga</f>
        <v>121.487</v>
      </c>
      <c r="D2159" s="11" t="n">
        <f aca="false">D2158-D2140</f>
        <v>136.045032</v>
      </c>
      <c r="E2159" s="11" t="n">
        <f aca="false">sg_f+sg_v*E2154</f>
        <v>146.859934648137</v>
      </c>
      <c r="F2159" s="11" t="n">
        <f aca="false">sg_f+sg_v*F2154</f>
        <v>154.891908051126</v>
      </c>
      <c r="G2159" s="11" t="n">
        <f aca="false">sg_f+sg_v*G2154</f>
        <v>158.584828213003</v>
      </c>
      <c r="J2159" s="8" t="s">
        <v>602</v>
      </c>
    </row>
    <row r="2160" customFormat="false" ht="15" hidden="false" customHeight="false" outlineLevel="0" collapsed="false">
      <c r="A2160" s="5" t="s">
        <v>432</v>
      </c>
      <c r="B2160" s="0" t="s">
        <v>33</v>
      </c>
      <c r="C2160" s="11" t="n">
        <f aca="false">C2158-C2159</f>
        <v>184.99</v>
      </c>
      <c r="D2160" s="11" t="n">
        <f aca="false">D2158-D2159</f>
        <v>232.761</v>
      </c>
      <c r="E2160" s="11" t="n">
        <f aca="false">E2158-E2159</f>
        <v>253.685681288142</v>
      </c>
      <c r="F2160" s="11" t="n">
        <f aca="false">F2158-F2159</f>
        <v>272.568358522875</v>
      </c>
      <c r="G2160" s="11" t="n">
        <f aca="false">G2158-G2159</f>
        <v>281.317399911932</v>
      </c>
    </row>
    <row r="2161" customFormat="false" ht="15" hidden="false" customHeight="false" outlineLevel="0" collapsed="false">
      <c r="A2161" s="5" t="s">
        <v>603</v>
      </c>
      <c r="B2161" s="0" t="s">
        <v>60</v>
      </c>
      <c r="C2161" s="14" t="n">
        <f aca="false">C2160/C2154</f>
        <v>0.423425629851061</v>
      </c>
      <c r="D2161" s="14" t="n">
        <f aca="false">D2160/D2154</f>
        <v>0.445951849056025</v>
      </c>
      <c r="E2161" s="14" t="n">
        <f aca="false">E2160/E2154</f>
        <v>0.461463712729716</v>
      </c>
      <c r="F2161" s="14" t="n">
        <f aca="false">F2160/F2154</f>
        <v>0.468678479580993</v>
      </c>
      <c r="G2161" s="14" t="n">
        <f aca="false">G2160/G2154</f>
        <v>0.471849905259902</v>
      </c>
    </row>
    <row r="2162" customFormat="false" ht="15" hidden="false" customHeight="false" outlineLevel="0" collapsed="false">
      <c r="A2162" s="5" t="s">
        <v>435</v>
      </c>
      <c r="B2162" s="0" t="s">
        <v>33</v>
      </c>
      <c r="C2162" s="11" t="n">
        <f aca="false">a25_ni</f>
        <v>135.521</v>
      </c>
      <c r="D2162" s="11" t="n">
        <f aca="false">D2141</f>
        <v>163.7721648994</v>
      </c>
      <c r="E2162" s="11" t="n">
        <f aca="false">E2160*nioi</f>
        <v>182.951872677248</v>
      </c>
      <c r="F2162" s="11" t="n">
        <f aca="false">F2160*nioi</f>
        <v>196.569594985078</v>
      </c>
      <c r="G2162" s="11" t="n">
        <f aca="false">G2160*nioi</f>
        <v>202.879188408447</v>
      </c>
    </row>
    <row r="2163" customFormat="false" ht="15" hidden="false" customHeight="false" outlineLevel="0" collapsed="false">
      <c r="A2163" s="0" t="s">
        <v>524</v>
      </c>
      <c r="B2163" s="0" t="s">
        <v>55</v>
      </c>
      <c r="C2163" s="11" t="n">
        <f aca="false">a25_eps</f>
        <v>1249.84</v>
      </c>
      <c r="D2163" s="11" t="n">
        <f aca="false">D2162*1000/shares</f>
        <v>1509.68689956897</v>
      </c>
      <c r="E2163" s="11" t="n">
        <f aca="false">E2162*1000/shares</f>
        <v>1686.48955457182</v>
      </c>
      <c r="F2163" s="11" t="n">
        <f aca="false">F2162*1000/shares</f>
        <v>1812.02063601491</v>
      </c>
      <c r="G2163" s="11" t="n">
        <f aca="false">G2162*1000/shares</f>
        <v>1870.18381984239</v>
      </c>
    </row>
    <row r="2164" customFormat="false" ht="15" hidden="false" customHeight="false" outlineLevel="0" collapsed="false">
      <c r="A2164" s="5" t="s">
        <v>604</v>
      </c>
      <c r="B2164" s="0" t="s">
        <v>33</v>
      </c>
      <c r="C2164" s="16" t="n">
        <f aca="false">ABS(C2154-a25_rev)+ABS(C2160-a25_oi)+ABS(D2154-D2138)+ABS(D2160-D2140)</f>
        <v>0.000999999999976353</v>
      </c>
    </row>
    <row r="2165" customFormat="false" ht="15" hidden="false" customHeight="false" outlineLevel="0" collapsed="false">
      <c r="A2165" s="1" t="s">
        <v>605</v>
      </c>
    </row>
    <row r="2166" customFormat="false" ht="15" hidden="false" customHeight="false" outlineLevel="0" collapsed="false">
      <c r="A2166" s="5" t="s">
        <v>606</v>
      </c>
      <c r="B2166" s="0" t="s">
        <v>60</v>
      </c>
      <c r="C2166" s="14" t="n">
        <f aca="false">a25_gp/a25_rev</f>
        <v>0.701498549974936</v>
      </c>
      <c r="D2166" s="14" t="n">
        <f aca="false">gm_a+gm_b*LN(D2135)+0</f>
        <v>0.719463492058136</v>
      </c>
      <c r="E2166" s="14" t="n">
        <f aca="false">gm_a+gm_b*LN(E2135)+0</f>
        <v>0.726477317954067</v>
      </c>
      <c r="F2166" s="14" t="n">
        <f aca="false">gm_a+gm_b*LN(F2135)+0</f>
        <v>0.73288421444391</v>
      </c>
      <c r="G2166" s="14" t="n">
        <f aca="false">gm_a+gm_b*LN(G2135)+0</f>
        <v>0.735644940559218</v>
      </c>
    </row>
    <row r="2167" customFormat="false" ht="15" hidden="false" customHeight="false" outlineLevel="0" collapsed="false">
      <c r="A2167" s="5" t="s">
        <v>607</v>
      </c>
      <c r="B2167" s="0" t="s">
        <v>33</v>
      </c>
      <c r="C2167" s="11" t="n">
        <f aca="false">a25_oi</f>
        <v>184.989</v>
      </c>
      <c r="D2167" s="11" t="n">
        <f aca="false">D2135*D2166-sg_f-sg_v*D2135</f>
        <v>228.837746398039</v>
      </c>
      <c r="E2167" s="11" t="n">
        <f aca="false">E2135*E2166-sg_f-sg_v*E2135</f>
        <v>247.68256494767</v>
      </c>
      <c r="F2167" s="11" t="n">
        <f aca="false">F2135*F2166-sg_f-sg_v*F2135</f>
        <v>266.150980076278</v>
      </c>
      <c r="G2167" s="11" t="n">
        <f aca="false">G2135*G2166-sg_f-sg_v*G2135</f>
        <v>274.499016893924</v>
      </c>
    </row>
    <row r="2168" customFormat="false" ht="15" hidden="false" customHeight="false" outlineLevel="0" collapsed="false">
      <c r="A2168" s="0" t="s">
        <v>608</v>
      </c>
      <c r="B2168" s="0" t="s">
        <v>55</v>
      </c>
      <c r="C2168" s="11" t="n">
        <f aca="false">a25_eps</f>
        <v>1249.84</v>
      </c>
      <c r="D2168" s="11" t="n">
        <f aca="false">D2167*nioi_v01*1000/shares</f>
        <v>1545.37951653183</v>
      </c>
      <c r="E2168" s="11" t="n">
        <f aca="false">E2167*nioi_v01*1000/shares</f>
        <v>1672.64172321648</v>
      </c>
      <c r="F2168" s="11" t="n">
        <f aca="false">F2167*nioi_v01*1000/shares</f>
        <v>1797.36201474092</v>
      </c>
      <c r="G2168" s="11" t="n">
        <f aca="false">G2167*nioi_v01*1000/shares</f>
        <v>1853.73770146352</v>
      </c>
    </row>
    <row r="2180" customFormat="false" ht="15" hidden="false" customHeight="false" outlineLevel="0" collapsed="false">
      <c r="A2180" s="4" t="s">
        <v>851</v>
      </c>
    </row>
    <row r="2181" customFormat="false" ht="15" hidden="false" customHeight="false" outlineLevel="0" collapsed="false">
      <c r="A2181" s="6" t="s">
        <v>22</v>
      </c>
      <c r="B2181" s="6" t="s">
        <v>23</v>
      </c>
      <c r="C2181" s="9" t="s">
        <v>532</v>
      </c>
      <c r="D2181" s="9" t="s">
        <v>533</v>
      </c>
      <c r="E2181" s="9" t="s">
        <v>534</v>
      </c>
      <c r="F2181" s="9" t="s">
        <v>535</v>
      </c>
      <c r="G2181" s="9" t="s">
        <v>536</v>
      </c>
      <c r="H2181" s="9" t="s">
        <v>537</v>
      </c>
      <c r="I2181" s="9" t="s">
        <v>538</v>
      </c>
      <c r="J2181" s="6" t="s">
        <v>515</v>
      </c>
    </row>
    <row r="2182" customFormat="false" ht="15" hidden="false" customHeight="false" outlineLevel="0" collapsed="false">
      <c r="A2182" s="1" t="s">
        <v>539</v>
      </c>
    </row>
    <row r="2183" customFormat="false" ht="15" hidden="false" customHeight="false" outlineLevel="0" collapsed="false">
      <c r="A2183" s="0" t="s">
        <v>540</v>
      </c>
      <c r="B2183" s="0" t="s">
        <v>100</v>
      </c>
      <c r="C2183" s="19" t="n">
        <f aca="false">hsA_25</f>
        <v>2.22511470588235</v>
      </c>
      <c r="D2183" s="19" t="n">
        <f aca="false">hsA_26</f>
        <v>3.782695</v>
      </c>
      <c r="E2183" s="19" t="n">
        <f aca="false">hsA_27</f>
        <v>5.86317725</v>
      </c>
      <c r="F2183" s="19" t="n">
        <f aca="false">hsA_28</f>
        <v>8.5016070125</v>
      </c>
      <c r="G2183" s="19" t="n">
        <f aca="false">hsA_29</f>
        <v>11.477169466875</v>
      </c>
      <c r="H2183" s="19" t="n">
        <f aca="false">G2183*(1+g_tail)</f>
        <v>12.6248864135625</v>
      </c>
      <c r="I2183" s="19" t="n">
        <f aca="false">H2183*(1+g_tail)</f>
        <v>13.8873750549188</v>
      </c>
      <c r="J2183" s="8" t="s">
        <v>541</v>
      </c>
    </row>
    <row r="2184" customFormat="false" ht="15" hidden="false" customHeight="false" outlineLevel="0" collapsed="false">
      <c r="A2184" s="0" t="s">
        <v>542</v>
      </c>
      <c r="B2184" s="0" t="s">
        <v>543</v>
      </c>
      <c r="C2184" s="19" t="n">
        <f aca="false">den_25</f>
        <v>24</v>
      </c>
      <c r="D2184" s="19" t="n">
        <f aca="false">den_26</f>
        <v>24</v>
      </c>
      <c r="E2184" s="19" t="n">
        <f aca="false">den_27</f>
        <v>26</v>
      </c>
      <c r="F2184" s="19" t="n">
        <f aca="false">den_28</f>
        <v>28</v>
      </c>
      <c r="G2184" s="19" t="n">
        <f aca="false">den_29</f>
        <v>30</v>
      </c>
      <c r="H2184" s="19" t="n">
        <f aca="false">den_30</f>
        <v>32</v>
      </c>
      <c r="I2184" s="19" t="n">
        <f aca="false">den_30</f>
        <v>32</v>
      </c>
    </row>
    <row r="2185" customFormat="false" ht="15" hidden="false" customHeight="false" outlineLevel="0" collapsed="false">
      <c r="A2185" s="5" t="s">
        <v>544</v>
      </c>
      <c r="B2185" s="5" t="s">
        <v>152</v>
      </c>
      <c r="C2185" s="19" t="n">
        <f aca="false">stk_25</f>
        <v>10</v>
      </c>
      <c r="D2185" s="19" t="n">
        <f aca="false">stk_26</f>
        <v>12</v>
      </c>
      <c r="E2185" s="19" t="n">
        <f aca="false">stk_27</f>
        <v>12.5</v>
      </c>
      <c r="F2185" s="19" t="n">
        <f aca="false">stk_28</f>
        <v>14</v>
      </c>
      <c r="G2185" s="19" t="n">
        <f aca="false">stk_29</f>
        <v>15</v>
      </c>
      <c r="H2185" s="19" t="n">
        <f aca="false">stk_30</f>
        <v>16</v>
      </c>
      <c r="I2185" s="19" t="n">
        <f aca="false">stk_30</f>
        <v>16</v>
      </c>
    </row>
    <row r="2186" customFormat="false" ht="15" hidden="false" customHeight="false" outlineLevel="0" collapsed="false">
      <c r="A2186" s="0" t="s">
        <v>545</v>
      </c>
      <c r="B2186" s="5" t="s">
        <v>546</v>
      </c>
      <c r="C2186" s="19" t="n">
        <f aca="false">C2183*8/C2184</f>
        <v>0.741704901960783</v>
      </c>
      <c r="D2186" s="19" t="n">
        <f aca="false">D2183*8/D2184</f>
        <v>1.26089833333333</v>
      </c>
      <c r="E2186" s="19" t="n">
        <f aca="false">E2183*8/E2184</f>
        <v>1.80405453846154</v>
      </c>
      <c r="F2186" s="19" t="n">
        <f aca="false">F2183*8/F2184</f>
        <v>2.429030575</v>
      </c>
      <c r="G2186" s="19" t="n">
        <f aca="false">G2183*8/G2184</f>
        <v>3.0605785245</v>
      </c>
      <c r="H2186" s="19" t="n">
        <f aca="false">H2183*8/H2184</f>
        <v>3.15622160339063</v>
      </c>
      <c r="I2186" s="19" t="n">
        <f aca="false">I2183*8/I2184</f>
        <v>3.47184376372969</v>
      </c>
      <c r="J2186" s="8" t="s">
        <v>547</v>
      </c>
    </row>
    <row r="2187" customFormat="false" ht="15" hidden="false" customHeight="false" outlineLevel="0" collapsed="false">
      <c r="A2187" s="0" t="s">
        <v>548</v>
      </c>
      <c r="B2187" s="5" t="s">
        <v>549</v>
      </c>
      <c r="C2187" s="19" t="n">
        <f aca="false">C2186*(1+s_stk/C2185)</f>
        <v>0.964216372549018</v>
      </c>
      <c r="D2187" s="19" t="n">
        <f aca="false">D2186*(1+s_stk/D2185)</f>
        <v>1.57612291666667</v>
      </c>
      <c r="E2187" s="19" t="n">
        <f aca="false">E2186*(1+s_stk/E2185)</f>
        <v>2.23702762769231</v>
      </c>
      <c r="F2187" s="19" t="n">
        <f aca="false">F2186*(1+s_stk/F2185)</f>
        <v>2.94953712678571</v>
      </c>
      <c r="G2187" s="19" t="n">
        <f aca="false">G2186*(1+s_stk/G2185)</f>
        <v>3.6726942294</v>
      </c>
      <c r="H2187" s="19" t="n">
        <f aca="false">H2186*(1+s_stk/H2185)</f>
        <v>3.74801315402637</v>
      </c>
      <c r="I2187" s="19" t="n">
        <f aca="false">I2186*(1+s_stk/I2185)</f>
        <v>4.12281446942901</v>
      </c>
      <c r="J2187" s="5" t="s">
        <v>550</v>
      </c>
    </row>
    <row r="2188" customFormat="false" ht="15" hidden="false" customHeight="false" outlineLevel="0" collapsed="false">
      <c r="A2188" s="5" t="s">
        <v>551</v>
      </c>
      <c r="B2188" s="0" t="s">
        <v>60</v>
      </c>
      <c r="C2188" s="22" t="n">
        <f aca="false">hbp_25*hb_on</f>
        <v>0</v>
      </c>
      <c r="D2188" s="22" t="n">
        <f aca="false">hbp_26*hb_on</f>
        <v>0</v>
      </c>
      <c r="E2188" s="22" t="n">
        <f aca="false">hbp_27*hb_on</f>
        <v>0</v>
      </c>
      <c r="F2188" s="22" t="n">
        <f aca="false">hbp_28*hb_on</f>
        <v>0.05</v>
      </c>
      <c r="G2188" s="22" t="n">
        <f aca="false">hbp_29*hb_on</f>
        <v>0.15</v>
      </c>
      <c r="H2188" s="22" t="n">
        <f aca="false">hbp_30*hb_on</f>
        <v>0.25</v>
      </c>
      <c r="I2188" s="22" t="n">
        <f aca="false">hbp_30*hb_on</f>
        <v>0.25</v>
      </c>
    </row>
    <row r="2189" customFormat="false" ht="15" hidden="false" customHeight="false" outlineLevel="0" collapsed="false">
      <c r="A2189" s="0" t="s">
        <v>552</v>
      </c>
      <c r="B2189" s="5" t="s">
        <v>549</v>
      </c>
      <c r="C2189" s="19" t="n">
        <f aca="false">C2187*(1+C2188*hb_eff)</f>
        <v>0.964216372549018</v>
      </c>
      <c r="D2189" s="19" t="n">
        <f aca="false">D2187*(1+D2188*hb_eff)</f>
        <v>1.57612291666667</v>
      </c>
      <c r="E2189" s="19" t="n">
        <f aca="false">E2187*(1+E2188*hb_eff)</f>
        <v>2.23702762769231</v>
      </c>
      <c r="F2189" s="19" t="n">
        <f aca="false">F2187*(1+F2188*hb_eff)</f>
        <v>2.96428481241964</v>
      </c>
      <c r="G2189" s="19" t="n">
        <f aca="false">G2187*(1+G2188*hb_eff)</f>
        <v>3.727784642841</v>
      </c>
      <c r="H2189" s="19" t="n">
        <f aca="false">H2187*(1+H2188*hb_eff)</f>
        <v>3.84171348287703</v>
      </c>
      <c r="I2189" s="19" t="n">
        <f aca="false">I2187*(1+I2188*hb_eff)</f>
        <v>4.22588483116473</v>
      </c>
      <c r="J2189" s="5" t="s">
        <v>553</v>
      </c>
    </row>
    <row r="2190" customFormat="false" ht="15" hidden="false" customHeight="false" outlineLevel="0" collapsed="false">
      <c r="A2190" s="0" t="s">
        <v>554</v>
      </c>
      <c r="B2190" s="5" t="s">
        <v>549</v>
      </c>
      <c r="C2190" s="19" t="n">
        <f aca="false">MAX(0,D2189-C2189)+dlt*C2189</f>
        <v>0.70832818137255</v>
      </c>
      <c r="D2190" s="19" t="n">
        <f aca="false">MAX(0,E2189-D2189)+dlt*D2189</f>
        <v>0.818517002692307</v>
      </c>
      <c r="E2190" s="19" t="n">
        <f aca="false">MAX(0,F2189-E2189)+dlt*E2189</f>
        <v>0.950959947496565</v>
      </c>
      <c r="F2190" s="19" t="n">
        <f aca="false">MAX(0,G2189-F2189)+dlt*F2189</f>
        <v>1.05992831166332</v>
      </c>
      <c r="G2190" s="19" t="n">
        <f aca="false">MAX(0,H2189-G2189)+dlt*G2189</f>
        <v>0.486707304320127</v>
      </c>
      <c r="H2190" s="19" t="n">
        <f aca="false">MAX(0,I2189-H2189)+dlt*H2189</f>
        <v>0.768342696575406</v>
      </c>
      <c r="J2190" s="5" t="s">
        <v>555</v>
      </c>
    </row>
    <row r="2191" customFormat="false" ht="15" hidden="false" customHeight="false" outlineLevel="0" collapsed="false">
      <c r="A2191" s="0" t="s">
        <v>556</v>
      </c>
      <c r="B2191" s="5" t="s">
        <v>181</v>
      </c>
      <c r="C2191" s="21" t="n">
        <f aca="false">cw_25</f>
        <v>670</v>
      </c>
      <c r="D2191" s="21" t="n">
        <f aca="false">cw_26</f>
        <v>1107.85762580894</v>
      </c>
      <c r="E2191" s="21" t="n">
        <f aca="false">cw_27</f>
        <v>2096.42857142857</v>
      </c>
      <c r="F2191" s="21" t="n">
        <f aca="false">cw_28*um28_A</f>
        <v>2620.08928571429</v>
      </c>
      <c r="G2191" s="21" t="n">
        <f aca="false">cw_29*um29_A</f>
        <v>3013.32589285714</v>
      </c>
      <c r="H2191" s="21" t="n">
        <f aca="false">G2191*(1+g_tail)</f>
        <v>3314.65848214285</v>
      </c>
      <c r="I2191" s="21" t="n">
        <f aca="false">H2191*(1+g_tail)</f>
        <v>3646.12433035714</v>
      </c>
      <c r="J2191" s="5" t="s">
        <v>557</v>
      </c>
    </row>
    <row r="2192" customFormat="false" ht="15" hidden="false" customHeight="false" outlineLevel="0" collapsed="false">
      <c r="A2192" s="5" t="s">
        <v>558</v>
      </c>
      <c r="B2192" s="5" t="s">
        <v>181</v>
      </c>
      <c r="C2192" s="21" t="n">
        <f aca="false">MAX(0,D2191-C2191)+dlt*C2191</f>
        <v>504.85762580894</v>
      </c>
      <c r="D2192" s="21" t="n">
        <f aca="false">MAX(0,E2191-D2191)+dlt*D2191</f>
        <v>1099.35670820052</v>
      </c>
      <c r="E2192" s="21" t="n">
        <f aca="false">MAX(0,F2191-E2191)+dlt*E2191</f>
        <v>733.303571428577</v>
      </c>
      <c r="F2192" s="21" t="n">
        <f aca="false">MAX(0,G2191-F2191)+dlt*F2191</f>
        <v>655.245535714279</v>
      </c>
      <c r="G2192" s="21" t="n">
        <f aca="false">MAX(0,H2191-G2191)+dlt*G2191</f>
        <v>602.665178571428</v>
      </c>
      <c r="H2192" s="21" t="n">
        <f aca="false">MAX(0,I2191-H2191)+dlt*H2191</f>
        <v>662.931696428571</v>
      </c>
    </row>
    <row r="2193" customFormat="false" ht="15" hidden="false" customHeight="false" outlineLevel="0" collapsed="false">
      <c r="A2193" s="1" t="s">
        <v>559</v>
      </c>
    </row>
    <row r="2194" customFormat="false" ht="15" hidden="false" customHeight="false" outlineLevel="0" collapsed="false">
      <c r="A2194" s="0" t="s">
        <v>560</v>
      </c>
      <c r="B2194" s="0" t="s">
        <v>561</v>
      </c>
      <c r="C2194" s="16" t="n">
        <f aca="false">ai_25*w_hbm/(0.75*C2190+0.25*D2190)</f>
        <v>48.9213264236471</v>
      </c>
      <c r="J2194" s="5" t="s">
        <v>562</v>
      </c>
    </row>
    <row r="2195" customFormat="false" ht="15" hidden="false" customHeight="false" outlineLevel="0" collapsed="false">
      <c r="A2195" s="5" t="s">
        <v>563</v>
      </c>
      <c r="B2195" s="0" t="s">
        <v>564</v>
      </c>
      <c r="C2195" s="18" t="n">
        <f aca="false">ai_25*(1-w_hbm)/(0.75*C2192+0.25*D2192)</f>
        <v>0.0596802610360141</v>
      </c>
    </row>
    <row r="2196" customFormat="false" ht="15" hidden="false" customHeight="false" outlineLevel="0" collapsed="false">
      <c r="A2196" s="1" t="s">
        <v>565</v>
      </c>
    </row>
    <row r="2197" customFormat="false" ht="15" hidden="false" customHeight="false" outlineLevel="0" collapsed="false">
      <c r="A2197" s="5" t="s">
        <v>566</v>
      </c>
      <c r="B2197" s="0" t="s">
        <v>80</v>
      </c>
      <c r="C2197" s="16" t="n">
        <f aca="false">1-sh_loss/sh*0</f>
        <v>1</v>
      </c>
      <c r="D2197" s="16" t="n">
        <f aca="false">1-sh_loss/sh*0.25</f>
        <v>1</v>
      </c>
      <c r="E2197" s="16" t="n">
        <f aca="false">1-sh_loss/sh*0.5</f>
        <v>1</v>
      </c>
      <c r="F2197" s="16" t="n">
        <f aca="false">1-sh_loss/sh*0.75</f>
        <v>1</v>
      </c>
      <c r="G2197" s="16" t="n">
        <f aca="false">1-sh_loss/sh*1</f>
        <v>1</v>
      </c>
    </row>
    <row r="2198" customFormat="false" ht="15" hidden="false" customHeight="false" outlineLevel="0" collapsed="false">
      <c r="A2198" s="0" t="s">
        <v>567</v>
      </c>
      <c r="B2198" s="0" t="s">
        <v>33</v>
      </c>
      <c r="C2198" s="11" t="n">
        <f aca="false">$C$2194*(0.75*C2190+0.25*D2190)*C2197</f>
        <v>36</v>
      </c>
      <c r="D2198" s="11" t="n">
        <f aca="false">$C$2194*(0.75*D2190+0.25*E2190)*D2197</f>
        <v>41.6627586058351</v>
      </c>
      <c r="E2198" s="11" t="n">
        <f aca="false">$C$2194*(0.75*E2190+0.25*F2190)*E2197</f>
        <v>47.8549412356069</v>
      </c>
      <c r="F2198" s="11" t="n">
        <f aca="false">$C$2194*(0.75*F2190+0.25*G2190)*F2197</f>
        <v>44.8424159172644</v>
      </c>
      <c r="G2198" s="11" t="n">
        <f aca="false">$C$2194*(0.75*G2190+0.25*H2190)*G2197</f>
        <v>27.2548611466613</v>
      </c>
    </row>
    <row r="2199" customFormat="false" ht="15" hidden="false" customHeight="false" outlineLevel="0" collapsed="false">
      <c r="A2199" s="5" t="s">
        <v>568</v>
      </c>
      <c r="B2199" s="0" t="s">
        <v>33</v>
      </c>
      <c r="C2199" s="11" t="n">
        <f aca="false">$C$2195*(0.75*C2192+0.25*D2192)*C2197</f>
        <v>39</v>
      </c>
      <c r="D2199" s="11" t="n">
        <f aca="false">$C$2195*(0.75*D2192+0.25*E2192)*D2197</f>
        <v>60.1483586282001</v>
      </c>
      <c r="E2199" s="11" t="n">
        <f aca="false">$C$2195*(0.75*E2192+0.25*F2192)*E2197</f>
        <v>42.5991175746519</v>
      </c>
      <c r="F2199" s="11" t="n">
        <f aca="false">$C$2195*(0.75*F2192+0.25*G2192)*F2197</f>
        <v>38.320722254198</v>
      </c>
      <c r="G2199" s="11" t="n">
        <f aca="false">$C$2195*(0.75*G2192+0.25*H2192)*G2197</f>
        <v>36.8663955538204</v>
      </c>
    </row>
    <row r="2200" customFormat="false" ht="15" hidden="false" customHeight="false" outlineLevel="0" collapsed="false">
      <c r="A2200" s="0" t="s">
        <v>569</v>
      </c>
      <c r="B2200" s="0" t="s">
        <v>33</v>
      </c>
      <c r="C2200" s="11" t="n">
        <f aca="false">C2198+C2199</f>
        <v>75</v>
      </c>
      <c r="D2200" s="11" t="n">
        <f aca="false">D2198+D2199</f>
        <v>101.811117234035</v>
      </c>
      <c r="E2200" s="11" t="n">
        <f aca="false">E2198+E2199</f>
        <v>90.4540588102588</v>
      </c>
      <c r="F2200" s="11" t="n">
        <f aca="false">F2198+F2199</f>
        <v>83.1631381714624</v>
      </c>
      <c r="G2200" s="11" t="n">
        <f aca="false">G2198+G2199</f>
        <v>64.1212567004817</v>
      </c>
    </row>
    <row r="2201" customFormat="false" ht="15" hidden="false" customHeight="false" outlineLevel="0" collapsed="false">
      <c r="A2201" s="5" t="s">
        <v>570</v>
      </c>
      <c r="B2201" s="0" t="s">
        <v>33</v>
      </c>
      <c r="C2201" s="11" t="n">
        <f aca="false">eq_25-ai_25</f>
        <v>195.87118</v>
      </c>
      <c r="D2201" s="11" t="n">
        <f aca="false">C2201*(1+g_non)*D2197/C2197</f>
        <v>207.6234508</v>
      </c>
      <c r="E2201" s="11" t="n">
        <f aca="false">D2201*(1+g_non)*E2197/D2197</f>
        <v>220.080857848</v>
      </c>
      <c r="F2201" s="11" t="n">
        <f aca="false">E2201*(1+g_non)*F2197/E2197</f>
        <v>233.28570931888</v>
      </c>
      <c r="G2201" s="11" t="n">
        <f aca="false">F2201*(1+g_non)*G2197/F2197</f>
        <v>247.282851878013</v>
      </c>
    </row>
    <row r="2202" customFormat="false" ht="15" hidden="false" customHeight="false" outlineLevel="0" collapsed="false">
      <c r="A2202" s="0" t="s">
        <v>571</v>
      </c>
      <c r="B2202" s="0" t="s">
        <v>80</v>
      </c>
      <c r="C2202" s="19" t="n">
        <f aca="false">w_hbm*(0.75*C2189+0.25*D2189)/(0.75*C2189+0.25*D2189)+(1-w_hbm)*(0.75*C2191+0.25*D2191)/(0.75*C2191+0.25*D2191)</f>
        <v>1</v>
      </c>
      <c r="D2202" s="19" t="n">
        <f aca="false">w_hbm*(0.75*D2189+0.25*E2189)/(0.75*C2189+0.25*D2189)+(1-w_hbm)*(0.75*D2191+0.25*E2191)/(0.75*C2191+0.25*D2191)</f>
        <v>1.65212184085657</v>
      </c>
      <c r="E2202" s="19" t="n">
        <f aca="false">w_hbm*(0.75*E2189+0.25*F2189)/(0.75*C2189+0.25*D2189)+(1-w_hbm)*(0.75*E2191+0.25*F2191)/(0.75*C2191+0.25*D2191)</f>
        <v>2.52516730417954</v>
      </c>
      <c r="F2202" s="19" t="n">
        <f aca="false">w_hbm*(0.75*F2189+0.25*G2189)/(0.75*C2189+0.25*D2189)+(1-w_hbm)*(0.75*F2191+0.25*G2191)/(0.75*C2191+0.25*D2191)</f>
        <v>3.16911970169284</v>
      </c>
      <c r="G2202" s="19" t="n">
        <f aca="false">w_hbm*(0.75*G2189+0.25*H2189)/(0.75*C2189+0.25*D2189)+(1-w_hbm)*(0.75*G2191+0.25*H2191)/(0.75*C2191+0.25*D2191)</f>
        <v>3.67439430985121</v>
      </c>
      <c r="J2202" s="8" t="s">
        <v>572</v>
      </c>
    </row>
    <row r="2203" customFormat="false" ht="15" hidden="false" customHeight="false" outlineLevel="0" collapsed="false">
      <c r="A2203" s="0" t="s">
        <v>573</v>
      </c>
      <c r="B2203" s="0" t="s">
        <v>33</v>
      </c>
      <c r="C2203" s="11" t="n">
        <f aca="false">tl_25*w_tlai*C2202</f>
        <v>25.4032258064516</v>
      </c>
      <c r="D2203" s="11" t="n">
        <f aca="false">tl_25*w_tlai*D2202</f>
        <v>41.9692241830499</v>
      </c>
      <c r="E2203" s="11" t="n">
        <f aca="false">tl_25*w_tlai*E2202</f>
        <v>64.1473952271414</v>
      </c>
      <c r="F2203" s="11" t="n">
        <f aca="false">tl_25*w_tlai*F2202</f>
        <v>80.5058633897778</v>
      </c>
      <c r="G2203" s="11" t="n">
        <f aca="false">tl_25*w_tlai*G2202</f>
        <v>93.3414683550913</v>
      </c>
      <c r="J2203" s="5" t="s">
        <v>574</v>
      </c>
    </row>
    <row r="2204" customFormat="false" ht="15" hidden="false" customHeight="false" outlineLevel="0" collapsed="false">
      <c r="A2204" s="5" t="s">
        <v>575</v>
      </c>
      <c r="B2204" s="0" t="s">
        <v>33</v>
      </c>
      <c r="C2204" s="11" t="n">
        <f aca="false">tl_25*(1-w_tlai)</f>
        <v>66.3434641935484</v>
      </c>
      <c r="D2204" s="11" t="n">
        <f aca="false">C2204*(1+g_tl)</f>
        <v>69.6606374032258</v>
      </c>
      <c r="E2204" s="11" t="n">
        <f aca="false">D2204*(1+g_tl)</f>
        <v>73.1436692733871</v>
      </c>
      <c r="F2204" s="11" t="n">
        <f aca="false">E2204*(1+g_tl)</f>
        <v>76.8008527370565</v>
      </c>
      <c r="G2204" s="11" t="n">
        <f aca="false">F2204*(1+g_tl)</f>
        <v>80.6408953739093</v>
      </c>
    </row>
    <row r="2205" customFormat="false" ht="15" hidden="false" customHeight="false" outlineLevel="0" collapsed="false">
      <c r="A2205" s="5" t="s">
        <v>576</v>
      </c>
      <c r="B2205" s="0" t="s">
        <v>33</v>
      </c>
      <c r="C2205" s="11" t="n">
        <f aca="false">(C2200+C2201+C2203+C2204)*(1+r_ot)</f>
        <v>436.889</v>
      </c>
      <c r="D2205" s="11" t="n">
        <f aca="false">(D2200+D2201+D2203+D2204)*(1+r_ot)</f>
        <v>507.306541711218</v>
      </c>
      <c r="E2205" s="11" t="n">
        <f aca="false">(E2200+E2201+E2203+E2204)*(1+r_ot)</f>
        <v>539.549374890105</v>
      </c>
      <c r="F2205" s="11" t="n">
        <f aca="false">(F2200+F2201+F2203+F2204)*(1+r_ot)</f>
        <v>570.789835683346</v>
      </c>
      <c r="G2205" s="11" t="n">
        <f aca="false">(G2200+G2201+G2203+G2204)*(1+r_ot)</f>
        <v>584.802978683729</v>
      </c>
      <c r="J2205" s="8" t="s">
        <v>577</v>
      </c>
    </row>
    <row r="2206" customFormat="false" ht="15" hidden="false" customHeight="false" outlineLevel="0" collapsed="false">
      <c r="A2206" s="1" t="s">
        <v>578</v>
      </c>
    </row>
    <row r="2207" customFormat="false" ht="15" hidden="false" customHeight="false" outlineLevel="0" collapsed="false">
      <c r="A2207" s="5" t="s">
        <v>579</v>
      </c>
      <c r="B2207" s="0" t="s">
        <v>33</v>
      </c>
      <c r="D2207" s="11" t="n">
        <f aca="false">g3_rev*(1+g_q4_hi)</f>
        <v>161.57924</v>
      </c>
    </row>
    <row r="2208" customFormat="false" ht="15" hidden="false" customHeight="false" outlineLevel="0" collapsed="false">
      <c r="A2208" s="0" t="s">
        <v>580</v>
      </c>
      <c r="B2208" s="0" t="s">
        <v>33</v>
      </c>
      <c r="D2208" s="11" t="n">
        <f aca="false">q26h1_rev+g3_rev+D2207</f>
        <v>551.07924</v>
      </c>
    </row>
    <row r="2209" customFormat="false" ht="15" hidden="false" customHeight="false" outlineLevel="0" collapsed="false">
      <c r="A2209" s="0" t="s">
        <v>581</v>
      </c>
      <c r="B2209" s="0" t="s">
        <v>33</v>
      </c>
      <c r="D2209" s="11" t="n">
        <f aca="false">q26h1_gp+(g3_rev+D2207)*gm_q3</f>
        <v>389.14382552</v>
      </c>
    </row>
    <row r="2210" customFormat="false" ht="15" hidden="false" customHeight="false" outlineLevel="0" collapsed="false">
      <c r="A2210" s="0" t="s">
        <v>582</v>
      </c>
      <c r="B2210" s="0" t="s">
        <v>33</v>
      </c>
      <c r="D2210" s="11" t="n">
        <f aca="false">q26h1_oi+g3_oi+D2207*m_q4</f>
        <v>245.53442</v>
      </c>
    </row>
    <row r="2211" customFormat="false" ht="15" hidden="false" customHeight="false" outlineLevel="0" collapsed="false">
      <c r="A2211" s="0" t="s">
        <v>583</v>
      </c>
      <c r="B2211" s="0" t="s">
        <v>33</v>
      </c>
      <c r="D2211" s="11" t="n">
        <f aca="false">q26h1_ni+g3_ni+D2207*m_q4*nioi</f>
        <v>172.984041177268</v>
      </c>
    </row>
    <row r="2212" customFormat="false" ht="15" hidden="false" customHeight="false" outlineLevel="0" collapsed="false">
      <c r="A2212" s="5" t="s">
        <v>584</v>
      </c>
      <c r="B2212" s="0" t="s">
        <v>80</v>
      </c>
      <c r="D2212" s="16" t="n">
        <f aca="false">D2208/D2205</f>
        <v>1.08628451377964</v>
      </c>
      <c r="J2212" s="8" t="s">
        <v>585</v>
      </c>
    </row>
    <row r="2213" customFormat="false" ht="15" hidden="false" customHeight="false" outlineLevel="0" collapsed="false">
      <c r="A2213" s="5" t="s">
        <v>586</v>
      </c>
      <c r="B2213" s="0" t="s">
        <v>80</v>
      </c>
      <c r="D2213" s="16" t="n">
        <f aca="false">1+anc_carry*(D2212-1)</f>
        <v>1.08628451377964</v>
      </c>
      <c r="J2213" s="8" t="s">
        <v>587</v>
      </c>
    </row>
    <row r="2214" customFormat="false" ht="15" hidden="false" customHeight="false" outlineLevel="0" collapsed="false">
      <c r="A2214" s="1" t="s">
        <v>588</v>
      </c>
    </row>
    <row r="2215" customFormat="false" ht="15" hidden="false" customHeight="false" outlineLevel="0" collapsed="false">
      <c r="A2215" s="0" t="s">
        <v>589</v>
      </c>
      <c r="B2215" s="0" t="s">
        <v>33</v>
      </c>
      <c r="C2215" s="11" t="n">
        <f aca="false">C2198*1</f>
        <v>36</v>
      </c>
      <c r="D2215" s="11" t="n">
        <f aca="false">D2198*$D$2212</f>
        <v>45.257609474858</v>
      </c>
      <c r="E2215" s="11" t="n">
        <f aca="false">E2198*1</f>
        <v>47.8549412356069</v>
      </c>
      <c r="F2215" s="11" t="n">
        <f aca="false">F2198*1</f>
        <v>44.8424159172644</v>
      </c>
      <c r="G2215" s="11" t="n">
        <f aca="false">G2198*1</f>
        <v>27.2548611466613</v>
      </c>
    </row>
    <row r="2216" customFormat="false" ht="15" hidden="false" customHeight="false" outlineLevel="0" collapsed="false">
      <c r="A2216" s="5" t="s">
        <v>590</v>
      </c>
      <c r="B2216" s="0" t="s">
        <v>33</v>
      </c>
      <c r="C2216" s="11" t="n">
        <f aca="false">C2199*1</f>
        <v>39</v>
      </c>
      <c r="D2216" s="11" t="n">
        <f aca="false">D2199*$D$2212</f>
        <v>65.3382305070776</v>
      </c>
      <c r="E2216" s="11" t="n">
        <f aca="false">E2199*1</f>
        <v>42.5991175746519</v>
      </c>
      <c r="F2216" s="11" t="n">
        <f aca="false">F2199*1</f>
        <v>38.320722254198</v>
      </c>
      <c r="G2216" s="11" t="n">
        <f aca="false">G2199*1</f>
        <v>36.8663955538204</v>
      </c>
    </row>
    <row r="2217" customFormat="false" ht="15" hidden="false" customHeight="false" outlineLevel="0" collapsed="false">
      <c r="A2217" s="0" t="s">
        <v>591</v>
      </c>
      <c r="B2217" s="0" t="s">
        <v>33</v>
      </c>
      <c r="C2217" s="11" t="n">
        <f aca="false">C2215+C2216</f>
        <v>75</v>
      </c>
      <c r="D2217" s="11" t="n">
        <f aca="false">D2215+D2216</f>
        <v>110.595839981936</v>
      </c>
      <c r="E2217" s="11" t="n">
        <f aca="false">E2215+E2216</f>
        <v>90.4540588102588</v>
      </c>
      <c r="F2217" s="11" t="n">
        <f aca="false">F2215+F2216</f>
        <v>83.1631381714624</v>
      </c>
      <c r="G2217" s="11" t="n">
        <f aca="false">G2215+G2216</f>
        <v>64.1212567004817</v>
      </c>
    </row>
    <row r="2218" customFormat="false" ht="15" hidden="false" customHeight="false" outlineLevel="0" collapsed="false">
      <c r="A2218" s="5" t="s">
        <v>592</v>
      </c>
      <c r="B2218" s="0" t="s">
        <v>33</v>
      </c>
      <c r="C2218" s="11" t="n">
        <f aca="false">C2201*1</f>
        <v>195.87118</v>
      </c>
      <c r="D2218" s="11" t="n">
        <f aca="false">D2201*$D$2212</f>
        <v>225.538139301529</v>
      </c>
      <c r="E2218" s="11" t="n">
        <f aca="false">E2201*$D$2213</f>
        <v>239.07042765962</v>
      </c>
      <c r="F2218" s="11" t="n">
        <f aca="false">F2201*$D$2213</f>
        <v>253.414653319198</v>
      </c>
      <c r="G2218" s="11" t="n">
        <f aca="false">G2201*$D$2213</f>
        <v>268.619532518349</v>
      </c>
    </row>
    <row r="2219" customFormat="false" ht="15" hidden="false" customHeight="false" outlineLevel="0" collapsed="false">
      <c r="A2219" s="5" t="s">
        <v>593</v>
      </c>
      <c r="B2219" s="0" t="s">
        <v>33</v>
      </c>
      <c r="C2219" s="11" t="n">
        <f aca="false">C2217+C2218</f>
        <v>270.87118</v>
      </c>
      <c r="D2219" s="11" t="n">
        <f aca="false">D2217+D2218</f>
        <v>336.133979283464</v>
      </c>
      <c r="E2219" s="11" t="n">
        <f aca="false">E2217+E2218</f>
        <v>329.524486469879</v>
      </c>
      <c r="F2219" s="11" t="n">
        <f aca="false">F2217+F2218</f>
        <v>336.57779149066</v>
      </c>
      <c r="G2219" s="11" t="n">
        <f aca="false">G2217+G2218</f>
        <v>332.740789218831</v>
      </c>
    </row>
    <row r="2220" customFormat="false" ht="15" hidden="false" customHeight="false" outlineLevel="0" collapsed="false">
      <c r="A2220" s="0" t="s">
        <v>594</v>
      </c>
      <c r="B2220" s="0" t="s">
        <v>33</v>
      </c>
      <c r="C2220" s="11" t="n">
        <f aca="false">C2203*1</f>
        <v>25.4032258064516</v>
      </c>
      <c r="D2220" s="11" t="n">
        <f aca="false">D2203*$D$2212</f>
        <v>45.590518285393</v>
      </c>
      <c r="E2220" s="11" t="n">
        <f aca="false">E2203*1</f>
        <v>64.1473952271414</v>
      </c>
      <c r="F2220" s="11" t="n">
        <f aca="false">F2203*1</f>
        <v>80.5058633897778</v>
      </c>
      <c r="G2220" s="11" t="n">
        <f aca="false">G2203*1</f>
        <v>93.3414683550913</v>
      </c>
    </row>
    <row r="2221" customFormat="false" ht="15" hidden="false" customHeight="false" outlineLevel="0" collapsed="false">
      <c r="A2221" s="5" t="s">
        <v>595</v>
      </c>
      <c r="B2221" s="0" t="s">
        <v>33</v>
      </c>
      <c r="C2221" s="11" t="n">
        <f aca="false">C2204*1</f>
        <v>66.3434641935484</v>
      </c>
      <c r="D2221" s="11" t="n">
        <f aca="false">D2204*$D$2212</f>
        <v>75.6712716311428</v>
      </c>
      <c r="E2221" s="11" t="n">
        <f aca="false">E2204*$D$2213</f>
        <v>79.4548352126999</v>
      </c>
      <c r="F2221" s="11" t="n">
        <f aca="false">F2204*$D$2213</f>
        <v>83.4275769733349</v>
      </c>
      <c r="G2221" s="11" t="n">
        <f aca="false">G2204*$D$2213</f>
        <v>87.5989558220017</v>
      </c>
    </row>
    <row r="2222" customFormat="false" ht="15" hidden="false" customHeight="false" outlineLevel="0" collapsed="false">
      <c r="A2222" s="5" t="s">
        <v>596</v>
      </c>
      <c r="B2222" s="0" t="s">
        <v>33</v>
      </c>
      <c r="C2222" s="11" t="n">
        <f aca="false">C2220+C2221</f>
        <v>91.74669</v>
      </c>
      <c r="D2222" s="11" t="n">
        <f aca="false">D2220+D2221</f>
        <v>121.261789916536</v>
      </c>
      <c r="E2222" s="11" t="n">
        <f aca="false">E2220+E2221</f>
        <v>143.602230439841</v>
      </c>
      <c r="F2222" s="11" t="n">
        <f aca="false">F2220+F2221</f>
        <v>163.933440363113</v>
      </c>
      <c r="G2222" s="11" t="n">
        <f aca="false">G2220+G2221</f>
        <v>180.940424177093</v>
      </c>
    </row>
    <row r="2223" customFormat="false" ht="15" hidden="false" customHeight="false" outlineLevel="0" collapsed="false">
      <c r="A2223" s="5" t="s">
        <v>458</v>
      </c>
      <c r="B2223" s="0" t="s">
        <v>33</v>
      </c>
      <c r="C2223" s="11" t="n">
        <f aca="false">r_ot*(C2219+C2222)</f>
        <v>74.27113</v>
      </c>
      <c r="D2223" s="11" t="n">
        <f aca="false">r_ot*(D2219+D2222)</f>
        <v>93.6834708</v>
      </c>
      <c r="E2223" s="11" t="n">
        <f aca="false">r_ot*(E2219+E2222)</f>
        <v>96.9054721381356</v>
      </c>
      <c r="F2223" s="11" t="n">
        <f aca="false">r_ot*(F2219+F2222)</f>
        <v>102.514348692941</v>
      </c>
      <c r="G2223" s="11" t="n">
        <f aca="false">r_ot*(G2219+G2222)</f>
        <v>105.211814791936</v>
      </c>
    </row>
    <row r="2224" customFormat="false" ht="15" hidden="false" customHeight="false" outlineLevel="0" collapsed="false">
      <c r="A2224" s="5" t="s">
        <v>428</v>
      </c>
      <c r="B2224" s="0" t="s">
        <v>33</v>
      </c>
      <c r="C2224" s="11" t="n">
        <f aca="false">C2219+C2222+C2223</f>
        <v>436.889</v>
      </c>
      <c r="D2224" s="11" t="n">
        <f aca="false">D2219+D2222+D2223</f>
        <v>551.07924</v>
      </c>
      <c r="E2224" s="11" t="n">
        <f aca="false">E2219+E2222+E2223</f>
        <v>570.032189047856</v>
      </c>
      <c r="F2224" s="11" t="n">
        <f aca="false">F2219+F2222+F2223</f>
        <v>603.025580546714</v>
      </c>
      <c r="G2224" s="11" t="n">
        <f aca="false">G2219+G2222+G2223</f>
        <v>618.89302818786</v>
      </c>
      <c r="J2224" s="8" t="s">
        <v>597</v>
      </c>
    </row>
    <row r="2225" customFormat="false" ht="15" hidden="false" customHeight="false" outlineLevel="0" collapsed="false">
      <c r="A2225" s="0" t="s">
        <v>598</v>
      </c>
      <c r="B2225" s="0" t="s">
        <v>60</v>
      </c>
      <c r="C2225" s="14" t="n">
        <f aca="false">(C2217+C2220)*(1+r_ot)/C2224</f>
        <v>0.276884384673187</v>
      </c>
      <c r="D2225" s="14" t="n">
        <f aca="false">(D2217+D2220)*(1+r_ot)/D2224</f>
        <v>0.341468742792492</v>
      </c>
      <c r="E2225" s="14" t="n">
        <f aca="false">(E2217+E2220)*(1+r_ot)/E2224</f>
        <v>0.326765427763617</v>
      </c>
      <c r="F2225" s="14" t="n">
        <f aca="false">(F2217+F2220)*(1+r_ot)/F2224</f>
        <v>0.327003653754282</v>
      </c>
      <c r="G2225" s="14" t="n">
        <f aca="false">(G2217+G2220)*(1+r_ot)/G2224</f>
        <v>0.306537831147442</v>
      </c>
    </row>
    <row r="2226" customFormat="false" ht="15" hidden="false" customHeight="false" outlineLevel="0" collapsed="false">
      <c r="A2226" s="0" t="s">
        <v>599</v>
      </c>
      <c r="B2226" s="0" t="s">
        <v>60</v>
      </c>
      <c r="C2226" s="14" t="n">
        <f aca="false">C2217*(1+r_ot)/C2224</f>
        <v>0.206829299394429</v>
      </c>
      <c r="D2226" s="14" t="n">
        <f aca="false">D2217*(1+r_ot)/D2224</f>
        <v>0.241794628261147</v>
      </c>
      <c r="E2226" s="14" t="n">
        <f aca="false">E2217*(1+r_ot)/E2224</f>
        <v>0.191183578473584</v>
      </c>
      <c r="F2226" s="14" t="n">
        <f aca="false">F2217*(1+r_ot)/F2224</f>
        <v>0.166156387466963</v>
      </c>
      <c r="G2226" s="14" t="n">
        <f aca="false">G2217*(1+r_ot)/G2224</f>
        <v>0.124826945249913</v>
      </c>
      <c r="J2226" s="5" t="s">
        <v>600</v>
      </c>
    </row>
    <row r="2227" customFormat="false" ht="15" hidden="false" customHeight="false" outlineLevel="0" collapsed="false">
      <c r="A2227" s="5" t="s">
        <v>466</v>
      </c>
      <c r="B2227" s="0" t="s">
        <v>60</v>
      </c>
      <c r="C2227" s="14" t="n">
        <f aca="false">a25_gp/a25_rev</f>
        <v>0.701498549974936</v>
      </c>
      <c r="D2227" s="14" t="n">
        <f aca="false">D2209/D2224</f>
        <v>0.706148584947602</v>
      </c>
      <c r="E2227" s="14" t="n">
        <f aca="false">gm_a+gm_b*LN(E2224)+0</f>
        <v>0.732733025449242</v>
      </c>
      <c r="F2227" s="14" t="n">
        <f aca="false">gm_a+gm_b*LN(F2224)+0</f>
        <v>0.739137646403805</v>
      </c>
      <c r="G2227" s="14" t="n">
        <f aca="false">gm_a+gm_b*LN(G2224)+0</f>
        <v>0.742094028215764</v>
      </c>
      <c r="J2227" s="8" t="s">
        <v>601</v>
      </c>
    </row>
    <row r="2228" customFormat="false" ht="15" hidden="false" customHeight="false" outlineLevel="0" collapsed="false">
      <c r="A2228" s="5" t="s">
        <v>463</v>
      </c>
      <c r="B2228" s="0" t="s">
        <v>33</v>
      </c>
      <c r="C2228" s="11" t="n">
        <f aca="false">C2224*C2227</f>
        <v>306.477</v>
      </c>
      <c r="D2228" s="11" t="n">
        <f aca="false">D2224*D2227</f>
        <v>389.14382552</v>
      </c>
      <c r="E2228" s="11" t="n">
        <f aca="false">E2224*E2227</f>
        <v>417.68141048449</v>
      </c>
      <c r="F2228" s="11" t="n">
        <f aca="false">F2224*F2227</f>
        <v>445.718908326587</v>
      </c>
      <c r="G2228" s="11" t="n">
        <f aca="false">G2224*G2227</f>
        <v>459.276820322582</v>
      </c>
    </row>
    <row r="2229" customFormat="false" ht="15" hidden="false" customHeight="false" outlineLevel="0" collapsed="false">
      <c r="A2229" s="5" t="s">
        <v>464</v>
      </c>
      <c r="B2229" s="0" t="s">
        <v>33</v>
      </c>
      <c r="C2229" s="11" t="n">
        <f aca="false">a25_sga</f>
        <v>121.487</v>
      </c>
      <c r="D2229" s="11" t="n">
        <f aca="false">D2228-D2210</f>
        <v>143.60940552</v>
      </c>
      <c r="E2229" s="11" t="n">
        <f aca="false">sg_f+sg_v*E2224</f>
        <v>151.980675226773</v>
      </c>
      <c r="F2229" s="11" t="n">
        <f aca="false">sg_f+sg_v*F2224</f>
        <v>160.307119584751</v>
      </c>
      <c r="G2229" s="11" t="n">
        <f aca="false">sg_f+sg_v*G2224</f>
        <v>164.31154028493</v>
      </c>
      <c r="J2229" s="8" t="s">
        <v>602</v>
      </c>
    </row>
    <row r="2230" customFormat="false" ht="15" hidden="false" customHeight="false" outlineLevel="0" collapsed="false">
      <c r="A2230" s="5" t="s">
        <v>432</v>
      </c>
      <c r="B2230" s="0" t="s">
        <v>33</v>
      </c>
      <c r="C2230" s="11" t="n">
        <f aca="false">C2228-C2229</f>
        <v>184.99</v>
      </c>
      <c r="D2230" s="11" t="n">
        <f aca="false">D2228-D2229</f>
        <v>245.53442</v>
      </c>
      <c r="E2230" s="11" t="n">
        <f aca="false">E2228-E2229</f>
        <v>265.700735257717</v>
      </c>
      <c r="F2230" s="11" t="n">
        <f aca="false">F2228-F2229</f>
        <v>285.411788741836</v>
      </c>
      <c r="G2230" s="11" t="n">
        <f aca="false">G2228-G2229</f>
        <v>294.965280037652</v>
      </c>
    </row>
    <row r="2231" customFormat="false" ht="15" hidden="false" customHeight="false" outlineLevel="0" collapsed="false">
      <c r="A2231" s="5" t="s">
        <v>603</v>
      </c>
      <c r="B2231" s="0" t="s">
        <v>60</v>
      </c>
      <c r="C2231" s="14" t="n">
        <f aca="false">C2230/C2224</f>
        <v>0.423425629851061</v>
      </c>
      <c r="D2231" s="14" t="n">
        <f aca="false">D2230/D2224</f>
        <v>0.445551931878254</v>
      </c>
      <c r="E2231" s="14" t="n">
        <f aca="false">E2230/E2224</f>
        <v>0.466115318332331</v>
      </c>
      <c r="F2231" s="14" t="n">
        <f aca="false">F2230/F2224</f>
        <v>0.473299637609198</v>
      </c>
      <c r="G2231" s="14" t="n">
        <f aca="false">G2230/G2224</f>
        <v>0.476601394107347</v>
      </c>
    </row>
    <row r="2232" customFormat="false" ht="15" hidden="false" customHeight="false" outlineLevel="0" collapsed="false">
      <c r="A2232" s="5" t="s">
        <v>435</v>
      </c>
      <c r="B2232" s="0" t="s">
        <v>33</v>
      </c>
      <c r="C2232" s="11" t="n">
        <f aca="false">a25_ni</f>
        <v>135.521</v>
      </c>
      <c r="D2232" s="11" t="n">
        <f aca="false">D2211</f>
        <v>172.984041177268</v>
      </c>
      <c r="E2232" s="11" t="n">
        <f aca="false">E2230*nioi</f>
        <v>191.616834029778</v>
      </c>
      <c r="F2232" s="11" t="n">
        <f aca="false">F2230*nioi</f>
        <v>205.831960910609</v>
      </c>
      <c r="G2232" s="11" t="n">
        <f aca="false">G2230*nioi</f>
        <v>212.721703817265</v>
      </c>
    </row>
    <row r="2233" customFormat="false" ht="15" hidden="false" customHeight="false" outlineLevel="0" collapsed="false">
      <c r="A2233" s="0" t="s">
        <v>524</v>
      </c>
      <c r="B2233" s="0" t="s">
        <v>55</v>
      </c>
      <c r="C2233" s="11" t="n">
        <f aca="false">a25_eps</f>
        <v>1249.84</v>
      </c>
      <c r="D2233" s="11" t="n">
        <f aca="false">D2232*1000/shares</f>
        <v>1594.60394848073</v>
      </c>
      <c r="E2233" s="11" t="n">
        <f aca="false">E2232*1000/shares</f>
        <v>1766.36502454085</v>
      </c>
      <c r="F2233" s="11" t="n">
        <f aca="false">F2232*1000/shares</f>
        <v>1897.4031093148</v>
      </c>
      <c r="G2233" s="11" t="n">
        <f aca="false">G2232*1000/shares</f>
        <v>1960.91423535974</v>
      </c>
    </row>
    <row r="2234" customFormat="false" ht="15" hidden="false" customHeight="false" outlineLevel="0" collapsed="false">
      <c r="A2234" s="5" t="s">
        <v>604</v>
      </c>
      <c r="B2234" s="0" t="s">
        <v>33</v>
      </c>
      <c r="C2234" s="16" t="n">
        <f aca="false">ABS(C2224-a25_rev)+ABS(C2230-a25_oi)+ABS(D2224-D2208)+ABS(D2230-D2210)</f>
        <v>0.000999999999976353</v>
      </c>
    </row>
    <row r="2235" customFormat="false" ht="15" hidden="false" customHeight="false" outlineLevel="0" collapsed="false">
      <c r="A2235" s="1" t="s">
        <v>605</v>
      </c>
    </row>
    <row r="2236" customFormat="false" ht="15" hidden="false" customHeight="false" outlineLevel="0" collapsed="false">
      <c r="A2236" s="5" t="s">
        <v>606</v>
      </c>
      <c r="B2236" s="0" t="s">
        <v>60</v>
      </c>
      <c r="C2236" s="14" t="n">
        <f aca="false">a25_gp/a25_rev</f>
        <v>0.701498549974936</v>
      </c>
      <c r="D2236" s="14" t="n">
        <f aca="false">gm_a+gm_b*LN(D2205)+0</f>
        <v>0.719463492058136</v>
      </c>
      <c r="E2236" s="14" t="n">
        <f aca="false">gm_a+gm_b*LN(E2205)+0</f>
        <v>0.726477317954067</v>
      </c>
      <c r="F2236" s="14" t="n">
        <f aca="false">gm_a+gm_b*LN(F2205)+0</f>
        <v>0.73288421444391</v>
      </c>
      <c r="G2236" s="14" t="n">
        <f aca="false">gm_a+gm_b*LN(G2205)+0</f>
        <v>0.735644940559218</v>
      </c>
    </row>
    <row r="2237" customFormat="false" ht="15" hidden="false" customHeight="false" outlineLevel="0" collapsed="false">
      <c r="A2237" s="5" t="s">
        <v>607</v>
      </c>
      <c r="B2237" s="0" t="s">
        <v>33</v>
      </c>
      <c r="C2237" s="11" t="n">
        <f aca="false">a25_oi</f>
        <v>184.989</v>
      </c>
      <c r="D2237" s="11" t="n">
        <f aca="false">D2205*D2236-sg_f-sg_v*D2205</f>
        <v>228.837746398039</v>
      </c>
      <c r="E2237" s="11" t="n">
        <f aca="false">E2205*E2236-sg_f-sg_v*E2205</f>
        <v>247.68256494767</v>
      </c>
      <c r="F2237" s="11" t="n">
        <f aca="false">F2205*F2236-sg_f-sg_v*F2205</f>
        <v>266.150980076278</v>
      </c>
      <c r="G2237" s="11" t="n">
        <f aca="false">G2205*G2236-sg_f-sg_v*G2205</f>
        <v>274.499016893924</v>
      </c>
    </row>
    <row r="2238" customFormat="false" ht="15" hidden="false" customHeight="false" outlineLevel="0" collapsed="false">
      <c r="A2238" s="0" t="s">
        <v>608</v>
      </c>
      <c r="B2238" s="0" t="s">
        <v>55</v>
      </c>
      <c r="C2238" s="11" t="n">
        <f aca="false">a25_eps</f>
        <v>1249.84</v>
      </c>
      <c r="D2238" s="11" t="n">
        <f aca="false">D2237*nioi_v01*1000/shares</f>
        <v>1545.37951653183</v>
      </c>
      <c r="E2238" s="11" t="n">
        <f aca="false">E2237*nioi_v01*1000/shares</f>
        <v>1672.64172321648</v>
      </c>
      <c r="F2238" s="11" t="n">
        <f aca="false">F2237*nioi_v01*1000/shares</f>
        <v>1797.36201474092</v>
      </c>
      <c r="G2238" s="11" t="n">
        <f aca="false">G2237*nioi_v01*1000/shares</f>
        <v>1853.73770146352</v>
      </c>
    </row>
    <row r="2250" customFormat="false" ht="15" hidden="false" customHeight="false" outlineLevel="0" collapsed="false">
      <c r="A2250" s="4" t="s">
        <v>852</v>
      </c>
    </row>
    <row r="2251" customFormat="false" ht="15" hidden="false" customHeight="false" outlineLevel="0" collapsed="false">
      <c r="A2251" s="6" t="s">
        <v>22</v>
      </c>
      <c r="B2251" s="6" t="s">
        <v>23</v>
      </c>
      <c r="C2251" s="9" t="s">
        <v>532</v>
      </c>
      <c r="D2251" s="9" t="s">
        <v>533</v>
      </c>
      <c r="E2251" s="9" t="s">
        <v>534</v>
      </c>
      <c r="F2251" s="9" t="s">
        <v>535</v>
      </c>
      <c r="G2251" s="9" t="s">
        <v>536</v>
      </c>
      <c r="H2251" s="9" t="s">
        <v>537</v>
      </c>
      <c r="I2251" s="9" t="s">
        <v>538</v>
      </c>
      <c r="J2251" s="6" t="s">
        <v>515</v>
      </c>
    </row>
    <row r="2252" customFormat="false" ht="15" hidden="false" customHeight="false" outlineLevel="0" collapsed="false">
      <c r="A2252" s="1" t="s">
        <v>539</v>
      </c>
    </row>
    <row r="2253" customFormat="false" ht="15" hidden="false" customHeight="false" outlineLevel="0" collapsed="false">
      <c r="A2253" s="0" t="s">
        <v>540</v>
      </c>
      <c r="B2253" s="0" t="s">
        <v>100</v>
      </c>
      <c r="C2253" s="19" t="n">
        <f aca="false">hsA_25</f>
        <v>2.22511470588235</v>
      </c>
      <c r="D2253" s="19" t="n">
        <f aca="false">hsA_26</f>
        <v>3.782695</v>
      </c>
      <c r="E2253" s="19" t="n">
        <f aca="false">hsA_27</f>
        <v>5.86317725</v>
      </c>
      <c r="F2253" s="19" t="n">
        <f aca="false">hsA_28</f>
        <v>8.5016070125</v>
      </c>
      <c r="G2253" s="19" t="n">
        <f aca="false">hsA_29</f>
        <v>11.477169466875</v>
      </c>
      <c r="H2253" s="19" t="n">
        <f aca="false">G2253*(1+g_tail)</f>
        <v>12.6248864135625</v>
      </c>
      <c r="I2253" s="19" t="n">
        <f aca="false">H2253*(1+g_tail)</f>
        <v>13.8873750549188</v>
      </c>
      <c r="J2253" s="8" t="s">
        <v>541</v>
      </c>
    </row>
    <row r="2254" customFormat="false" ht="15" hidden="false" customHeight="false" outlineLevel="0" collapsed="false">
      <c r="A2254" s="0" t="s">
        <v>542</v>
      </c>
      <c r="B2254" s="0" t="s">
        <v>543</v>
      </c>
      <c r="C2254" s="19" t="n">
        <f aca="false">den_25</f>
        <v>24</v>
      </c>
      <c r="D2254" s="19" t="n">
        <f aca="false">den_26</f>
        <v>24</v>
      </c>
      <c r="E2254" s="19" t="n">
        <f aca="false">den_27</f>
        <v>26</v>
      </c>
      <c r="F2254" s="19" t="n">
        <f aca="false">den_28</f>
        <v>28</v>
      </c>
      <c r="G2254" s="19" t="n">
        <f aca="false">den_29</f>
        <v>30</v>
      </c>
      <c r="H2254" s="19" t="n">
        <f aca="false">den_30</f>
        <v>32</v>
      </c>
      <c r="I2254" s="19" t="n">
        <f aca="false">den_30</f>
        <v>32</v>
      </c>
    </row>
    <row r="2255" customFormat="false" ht="15" hidden="false" customHeight="false" outlineLevel="0" collapsed="false">
      <c r="A2255" s="5" t="s">
        <v>544</v>
      </c>
      <c r="B2255" s="5" t="s">
        <v>152</v>
      </c>
      <c r="C2255" s="19" t="n">
        <f aca="false">stk_25</f>
        <v>10</v>
      </c>
      <c r="D2255" s="19" t="n">
        <f aca="false">stk_26</f>
        <v>12</v>
      </c>
      <c r="E2255" s="19" t="n">
        <f aca="false">stk_27</f>
        <v>12.5</v>
      </c>
      <c r="F2255" s="19" t="n">
        <f aca="false">stk_28</f>
        <v>14</v>
      </c>
      <c r="G2255" s="19" t="n">
        <f aca="false">stk_29</f>
        <v>15</v>
      </c>
      <c r="H2255" s="19" t="n">
        <f aca="false">stk_30</f>
        <v>16</v>
      </c>
      <c r="I2255" s="19" t="n">
        <f aca="false">stk_30</f>
        <v>16</v>
      </c>
    </row>
    <row r="2256" customFormat="false" ht="15" hidden="false" customHeight="false" outlineLevel="0" collapsed="false">
      <c r="A2256" s="0" t="s">
        <v>545</v>
      </c>
      <c r="B2256" s="5" t="s">
        <v>546</v>
      </c>
      <c r="C2256" s="19" t="n">
        <f aca="false">C2253*8/C2254</f>
        <v>0.741704901960783</v>
      </c>
      <c r="D2256" s="19" t="n">
        <f aca="false">D2253*8/D2254</f>
        <v>1.26089833333333</v>
      </c>
      <c r="E2256" s="19" t="n">
        <f aca="false">E2253*8/E2254</f>
        <v>1.80405453846154</v>
      </c>
      <c r="F2256" s="19" t="n">
        <f aca="false">F2253*8/F2254</f>
        <v>2.429030575</v>
      </c>
      <c r="G2256" s="19" t="n">
        <f aca="false">G2253*8/G2254</f>
        <v>3.0605785245</v>
      </c>
      <c r="H2256" s="19" t="n">
        <f aca="false">H2253*8/H2254</f>
        <v>3.15622160339063</v>
      </c>
      <c r="I2256" s="19" t="n">
        <f aca="false">I2253*8/I2254</f>
        <v>3.47184376372969</v>
      </c>
      <c r="J2256" s="8" t="s">
        <v>547</v>
      </c>
    </row>
    <row r="2257" customFormat="false" ht="15" hidden="false" customHeight="false" outlineLevel="0" collapsed="false">
      <c r="A2257" s="0" t="s">
        <v>548</v>
      </c>
      <c r="B2257" s="5" t="s">
        <v>549</v>
      </c>
      <c r="C2257" s="19" t="n">
        <f aca="false">C2256*(1+s_stk/C2255)</f>
        <v>0.964216372549018</v>
      </c>
      <c r="D2257" s="19" t="n">
        <f aca="false">D2256*(1+s_stk/D2255)</f>
        <v>1.57612291666667</v>
      </c>
      <c r="E2257" s="19" t="n">
        <f aca="false">E2256*(1+s_stk/E2255)</f>
        <v>2.23702762769231</v>
      </c>
      <c r="F2257" s="19" t="n">
        <f aca="false">F2256*(1+s_stk/F2255)</f>
        <v>2.94953712678571</v>
      </c>
      <c r="G2257" s="19" t="n">
        <f aca="false">G2256*(1+s_stk/G2255)</f>
        <v>3.6726942294</v>
      </c>
      <c r="H2257" s="19" t="n">
        <f aca="false">H2256*(1+s_stk/H2255)</f>
        <v>3.74801315402637</v>
      </c>
      <c r="I2257" s="19" t="n">
        <f aca="false">I2256*(1+s_stk/I2255)</f>
        <v>4.12281446942901</v>
      </c>
      <c r="J2257" s="5" t="s">
        <v>550</v>
      </c>
    </row>
    <row r="2258" customFormat="false" ht="15" hidden="false" customHeight="false" outlineLevel="0" collapsed="false">
      <c r="A2258" s="5" t="s">
        <v>551</v>
      </c>
      <c r="B2258" s="0" t="s">
        <v>60</v>
      </c>
      <c r="C2258" s="22" t="n">
        <f aca="false">hbp_25*hb_on</f>
        <v>0</v>
      </c>
      <c r="D2258" s="22" t="n">
        <f aca="false">hbp_26*hb_on</f>
        <v>0</v>
      </c>
      <c r="E2258" s="22" t="n">
        <f aca="false">hbp_27*hb_on</f>
        <v>0</v>
      </c>
      <c r="F2258" s="22" t="n">
        <f aca="false">hbp_28*hb_on</f>
        <v>0.05</v>
      </c>
      <c r="G2258" s="22" t="n">
        <f aca="false">hbp_29*hb_on</f>
        <v>0.15</v>
      </c>
      <c r="H2258" s="22" t="n">
        <f aca="false">hbp_30*hb_on</f>
        <v>0.25</v>
      </c>
      <c r="I2258" s="22" t="n">
        <f aca="false">hbp_30*hb_on</f>
        <v>0.25</v>
      </c>
    </row>
    <row r="2259" customFormat="false" ht="15" hidden="false" customHeight="false" outlineLevel="0" collapsed="false">
      <c r="A2259" s="0" t="s">
        <v>552</v>
      </c>
      <c r="B2259" s="5" t="s">
        <v>549</v>
      </c>
      <c r="C2259" s="19" t="n">
        <f aca="false">C2257*(1+C2258*hb_eff)</f>
        <v>0.964216372549018</v>
      </c>
      <c r="D2259" s="19" t="n">
        <f aca="false">D2257*(1+D2258*hb_eff)</f>
        <v>1.57612291666667</v>
      </c>
      <c r="E2259" s="19" t="n">
        <f aca="false">E2257*(1+E2258*hb_eff)</f>
        <v>2.23702762769231</v>
      </c>
      <c r="F2259" s="19" t="n">
        <f aca="false">F2257*(1+F2258*hb_eff)</f>
        <v>2.96428481241964</v>
      </c>
      <c r="G2259" s="19" t="n">
        <f aca="false">G2257*(1+G2258*hb_eff)</f>
        <v>3.727784642841</v>
      </c>
      <c r="H2259" s="19" t="n">
        <f aca="false">H2257*(1+H2258*hb_eff)</f>
        <v>3.84171348287703</v>
      </c>
      <c r="I2259" s="19" t="n">
        <f aca="false">I2257*(1+I2258*hb_eff)</f>
        <v>4.22588483116473</v>
      </c>
      <c r="J2259" s="5" t="s">
        <v>553</v>
      </c>
    </row>
    <row r="2260" customFormat="false" ht="15" hidden="false" customHeight="false" outlineLevel="0" collapsed="false">
      <c r="A2260" s="0" t="s">
        <v>554</v>
      </c>
      <c r="B2260" s="5" t="s">
        <v>549</v>
      </c>
      <c r="C2260" s="19" t="n">
        <f aca="false">MAX(0,D2259-C2259)+dlt*C2259</f>
        <v>0.70832818137255</v>
      </c>
      <c r="D2260" s="19" t="n">
        <f aca="false">MAX(0,E2259-D2259)+dlt*D2259</f>
        <v>0.818517002692307</v>
      </c>
      <c r="E2260" s="19" t="n">
        <f aca="false">MAX(0,F2259-E2259)+dlt*E2259</f>
        <v>0.950959947496565</v>
      </c>
      <c r="F2260" s="19" t="n">
        <f aca="false">MAX(0,G2259-F2259)+dlt*F2259</f>
        <v>1.05992831166332</v>
      </c>
      <c r="G2260" s="19" t="n">
        <f aca="false">MAX(0,H2259-G2259)+dlt*G2259</f>
        <v>0.486707304320127</v>
      </c>
      <c r="H2260" s="19" t="n">
        <f aca="false">MAX(0,I2259-H2259)+dlt*H2259</f>
        <v>0.768342696575406</v>
      </c>
      <c r="J2260" s="5" t="s">
        <v>555</v>
      </c>
    </row>
    <row r="2261" customFormat="false" ht="15" hidden="false" customHeight="false" outlineLevel="0" collapsed="false">
      <c r="A2261" s="0" t="s">
        <v>556</v>
      </c>
      <c r="B2261" s="5" t="s">
        <v>181</v>
      </c>
      <c r="C2261" s="21" t="n">
        <f aca="false">cw_25</f>
        <v>670</v>
      </c>
      <c r="D2261" s="21" t="n">
        <f aca="false">cw_26</f>
        <v>1107.85762580894</v>
      </c>
      <c r="E2261" s="21" t="n">
        <f aca="false">cw_27</f>
        <v>2096.42857142857</v>
      </c>
      <c r="F2261" s="21" t="n">
        <f aca="false">cw_28*um28_A</f>
        <v>2620.08928571429</v>
      </c>
      <c r="G2261" s="21" t="n">
        <f aca="false">cw_29*um29_A</f>
        <v>3013.32589285714</v>
      </c>
      <c r="H2261" s="21" t="n">
        <f aca="false">G2261*(1+g_tail)</f>
        <v>3314.65848214285</v>
      </c>
      <c r="I2261" s="21" t="n">
        <f aca="false">H2261*(1+g_tail)</f>
        <v>3646.12433035714</v>
      </c>
      <c r="J2261" s="5" t="s">
        <v>557</v>
      </c>
    </row>
    <row r="2262" customFormat="false" ht="15" hidden="false" customHeight="false" outlineLevel="0" collapsed="false">
      <c r="A2262" s="5" t="s">
        <v>558</v>
      </c>
      <c r="B2262" s="5" t="s">
        <v>181</v>
      </c>
      <c r="C2262" s="21" t="n">
        <f aca="false">MAX(0,D2261-C2261)+dlt*C2261</f>
        <v>504.85762580894</v>
      </c>
      <c r="D2262" s="21" t="n">
        <f aca="false">MAX(0,E2261-D2261)+dlt*D2261</f>
        <v>1099.35670820052</v>
      </c>
      <c r="E2262" s="21" t="n">
        <f aca="false">MAX(0,F2261-E2261)+dlt*E2261</f>
        <v>733.303571428577</v>
      </c>
      <c r="F2262" s="21" t="n">
        <f aca="false">MAX(0,G2261-F2261)+dlt*F2261</f>
        <v>655.245535714279</v>
      </c>
      <c r="G2262" s="21" t="n">
        <f aca="false">MAX(0,H2261-G2261)+dlt*G2261</f>
        <v>602.665178571428</v>
      </c>
      <c r="H2262" s="21" t="n">
        <f aca="false">MAX(0,I2261-H2261)+dlt*H2261</f>
        <v>662.931696428571</v>
      </c>
    </row>
    <row r="2263" customFormat="false" ht="15" hidden="false" customHeight="false" outlineLevel="0" collapsed="false">
      <c r="A2263" s="1" t="s">
        <v>559</v>
      </c>
    </row>
    <row r="2264" customFormat="false" ht="15" hidden="false" customHeight="false" outlineLevel="0" collapsed="false">
      <c r="A2264" s="0" t="s">
        <v>560</v>
      </c>
      <c r="B2264" s="0" t="s">
        <v>561</v>
      </c>
      <c r="C2264" s="16" t="n">
        <f aca="false">ai_25*w_hbm/(0.75*C2260+0.25*D2260)</f>
        <v>48.9213264236471</v>
      </c>
      <c r="J2264" s="5" t="s">
        <v>562</v>
      </c>
    </row>
    <row r="2265" customFormat="false" ht="15" hidden="false" customHeight="false" outlineLevel="0" collapsed="false">
      <c r="A2265" s="5" t="s">
        <v>563</v>
      </c>
      <c r="B2265" s="0" t="s">
        <v>564</v>
      </c>
      <c r="C2265" s="18" t="n">
        <f aca="false">ai_25*(1-w_hbm)/(0.75*C2262+0.25*D2262)</f>
        <v>0.0596802610360141</v>
      </c>
    </row>
    <row r="2266" customFormat="false" ht="15" hidden="false" customHeight="false" outlineLevel="0" collapsed="false">
      <c r="A2266" s="1" t="s">
        <v>565</v>
      </c>
    </row>
    <row r="2267" customFormat="false" ht="15" hidden="false" customHeight="false" outlineLevel="0" collapsed="false">
      <c r="A2267" s="5" t="s">
        <v>566</v>
      </c>
      <c r="B2267" s="0" t="s">
        <v>80</v>
      </c>
      <c r="C2267" s="16" t="n">
        <f aca="false">1-sh_loss/sh*0</f>
        <v>1</v>
      </c>
      <c r="D2267" s="16" t="n">
        <f aca="false">1-sh_loss/sh*0.25</f>
        <v>1</v>
      </c>
      <c r="E2267" s="16" t="n">
        <f aca="false">1-sh_loss/sh*0.5</f>
        <v>1</v>
      </c>
      <c r="F2267" s="16" t="n">
        <f aca="false">1-sh_loss/sh*0.75</f>
        <v>1</v>
      </c>
      <c r="G2267" s="16" t="n">
        <f aca="false">1-sh_loss/sh*1</f>
        <v>1</v>
      </c>
    </row>
    <row r="2268" customFormat="false" ht="15" hidden="false" customHeight="false" outlineLevel="0" collapsed="false">
      <c r="A2268" s="0" t="s">
        <v>567</v>
      </c>
      <c r="B2268" s="0" t="s">
        <v>33</v>
      </c>
      <c r="C2268" s="11" t="n">
        <f aca="false">$C$2264*(0.75*C2260+0.25*D2260)*C2267</f>
        <v>36</v>
      </c>
      <c r="D2268" s="11" t="n">
        <f aca="false">$C$2264*(0.75*D2260+0.25*E2260)*D2267</f>
        <v>41.6627586058351</v>
      </c>
      <c r="E2268" s="11" t="n">
        <f aca="false">$C$2264*(0.75*E2260+0.25*F2260)*E2267</f>
        <v>47.8549412356069</v>
      </c>
      <c r="F2268" s="11" t="n">
        <f aca="false">$C$2264*(0.75*F2260+0.25*G2260)*F2267</f>
        <v>44.8424159172644</v>
      </c>
      <c r="G2268" s="11" t="n">
        <f aca="false">$C$2264*(0.75*G2260+0.25*H2260)*G2267</f>
        <v>27.2548611466613</v>
      </c>
    </row>
    <row r="2269" customFormat="false" ht="15" hidden="false" customHeight="false" outlineLevel="0" collapsed="false">
      <c r="A2269" s="5" t="s">
        <v>568</v>
      </c>
      <c r="B2269" s="0" t="s">
        <v>33</v>
      </c>
      <c r="C2269" s="11" t="n">
        <f aca="false">$C$2265*(0.75*C2262+0.25*D2262)*C2267</f>
        <v>39</v>
      </c>
      <c r="D2269" s="11" t="n">
        <f aca="false">$C$2265*(0.75*D2262+0.25*E2262)*D2267</f>
        <v>60.1483586282001</v>
      </c>
      <c r="E2269" s="11" t="n">
        <f aca="false">$C$2265*(0.75*E2262+0.25*F2262)*E2267</f>
        <v>42.5991175746519</v>
      </c>
      <c r="F2269" s="11" t="n">
        <f aca="false">$C$2265*(0.75*F2262+0.25*G2262)*F2267</f>
        <v>38.320722254198</v>
      </c>
      <c r="G2269" s="11" t="n">
        <f aca="false">$C$2265*(0.75*G2262+0.25*H2262)*G2267</f>
        <v>36.8663955538204</v>
      </c>
    </row>
    <row r="2270" customFormat="false" ht="15" hidden="false" customHeight="false" outlineLevel="0" collapsed="false">
      <c r="A2270" s="0" t="s">
        <v>569</v>
      </c>
      <c r="B2270" s="0" t="s">
        <v>33</v>
      </c>
      <c r="C2270" s="11" t="n">
        <f aca="false">C2268+C2269</f>
        <v>75</v>
      </c>
      <c r="D2270" s="11" t="n">
        <f aca="false">D2268+D2269</f>
        <v>101.811117234035</v>
      </c>
      <c r="E2270" s="11" t="n">
        <f aca="false">E2268+E2269</f>
        <v>90.4540588102588</v>
      </c>
      <c r="F2270" s="11" t="n">
        <f aca="false">F2268+F2269</f>
        <v>83.1631381714624</v>
      </c>
      <c r="G2270" s="11" t="n">
        <f aca="false">G2268+G2269</f>
        <v>64.1212567004817</v>
      </c>
    </row>
    <row r="2271" customFormat="false" ht="15" hidden="false" customHeight="false" outlineLevel="0" collapsed="false">
      <c r="A2271" s="5" t="s">
        <v>570</v>
      </c>
      <c r="B2271" s="0" t="s">
        <v>33</v>
      </c>
      <c r="C2271" s="11" t="n">
        <f aca="false">eq_25-ai_25</f>
        <v>195.87118</v>
      </c>
      <c r="D2271" s="11" t="n">
        <f aca="false">C2271*(1+g_non)*D2267/C2267</f>
        <v>207.6234508</v>
      </c>
      <c r="E2271" s="11" t="n">
        <f aca="false">D2271*(1+g_non)*E2267/D2267</f>
        <v>220.080857848</v>
      </c>
      <c r="F2271" s="11" t="n">
        <f aca="false">E2271*(1+g_non)*F2267/E2267</f>
        <v>233.28570931888</v>
      </c>
      <c r="G2271" s="11" t="n">
        <f aca="false">F2271*(1+g_non)*G2267/F2267</f>
        <v>247.282851878013</v>
      </c>
    </row>
    <row r="2272" customFormat="false" ht="15" hidden="false" customHeight="false" outlineLevel="0" collapsed="false">
      <c r="A2272" s="0" t="s">
        <v>571</v>
      </c>
      <c r="B2272" s="0" t="s">
        <v>80</v>
      </c>
      <c r="C2272" s="19" t="n">
        <f aca="false">w_hbm*(0.75*C2259+0.25*D2259)/(0.75*C2259+0.25*D2259)+(1-w_hbm)*(0.75*C2261+0.25*D2261)/(0.75*C2261+0.25*D2261)</f>
        <v>1</v>
      </c>
      <c r="D2272" s="19" t="n">
        <f aca="false">w_hbm*(0.75*D2259+0.25*E2259)/(0.75*C2259+0.25*D2259)+(1-w_hbm)*(0.75*D2261+0.25*E2261)/(0.75*C2261+0.25*D2261)</f>
        <v>1.65212184085657</v>
      </c>
      <c r="E2272" s="19" t="n">
        <f aca="false">w_hbm*(0.75*E2259+0.25*F2259)/(0.75*C2259+0.25*D2259)+(1-w_hbm)*(0.75*E2261+0.25*F2261)/(0.75*C2261+0.25*D2261)</f>
        <v>2.52516730417954</v>
      </c>
      <c r="F2272" s="19" t="n">
        <f aca="false">w_hbm*(0.75*F2259+0.25*G2259)/(0.75*C2259+0.25*D2259)+(1-w_hbm)*(0.75*F2261+0.25*G2261)/(0.75*C2261+0.25*D2261)</f>
        <v>3.16911970169284</v>
      </c>
      <c r="G2272" s="19" t="n">
        <f aca="false">w_hbm*(0.75*G2259+0.25*H2259)/(0.75*C2259+0.25*D2259)+(1-w_hbm)*(0.75*G2261+0.25*H2261)/(0.75*C2261+0.25*D2261)</f>
        <v>3.67439430985121</v>
      </c>
      <c r="J2272" s="8" t="s">
        <v>572</v>
      </c>
    </row>
    <row r="2273" customFormat="false" ht="15" hidden="false" customHeight="false" outlineLevel="0" collapsed="false">
      <c r="A2273" s="0" t="s">
        <v>573</v>
      </c>
      <c r="B2273" s="0" t="s">
        <v>33</v>
      </c>
      <c r="C2273" s="11" t="n">
        <f aca="false">tl_25*w_tlai*C2272</f>
        <v>25.4032258064516</v>
      </c>
      <c r="D2273" s="11" t="n">
        <f aca="false">tl_25*w_tlai*D2272</f>
        <v>41.9692241830499</v>
      </c>
      <c r="E2273" s="11" t="n">
        <f aca="false">tl_25*w_tlai*E2272</f>
        <v>64.1473952271414</v>
      </c>
      <c r="F2273" s="11" t="n">
        <f aca="false">tl_25*w_tlai*F2272</f>
        <v>80.5058633897778</v>
      </c>
      <c r="G2273" s="11" t="n">
        <f aca="false">tl_25*w_tlai*G2272</f>
        <v>93.3414683550913</v>
      </c>
      <c r="J2273" s="5" t="s">
        <v>574</v>
      </c>
    </row>
    <row r="2274" customFormat="false" ht="15" hidden="false" customHeight="false" outlineLevel="0" collapsed="false">
      <c r="A2274" s="5" t="s">
        <v>575</v>
      </c>
      <c r="B2274" s="0" t="s">
        <v>33</v>
      </c>
      <c r="C2274" s="11" t="n">
        <f aca="false">tl_25*(1-w_tlai)</f>
        <v>66.3434641935484</v>
      </c>
      <c r="D2274" s="11" t="n">
        <f aca="false">C2274*(1+g_tl)</f>
        <v>69.6606374032258</v>
      </c>
      <c r="E2274" s="11" t="n">
        <f aca="false">D2274*(1+g_tl)</f>
        <v>73.1436692733871</v>
      </c>
      <c r="F2274" s="11" t="n">
        <f aca="false">E2274*(1+g_tl)</f>
        <v>76.8008527370565</v>
      </c>
      <c r="G2274" s="11" t="n">
        <f aca="false">F2274*(1+g_tl)</f>
        <v>80.6408953739093</v>
      </c>
    </row>
    <row r="2275" customFormat="false" ht="15" hidden="false" customHeight="false" outlineLevel="0" collapsed="false">
      <c r="A2275" s="5" t="s">
        <v>576</v>
      </c>
      <c r="B2275" s="0" t="s">
        <v>33</v>
      </c>
      <c r="C2275" s="11" t="n">
        <f aca="false">(C2270+C2271+C2273+C2274)*(1+r_ot)</f>
        <v>436.889</v>
      </c>
      <c r="D2275" s="11" t="n">
        <f aca="false">(D2270+D2271+D2273+D2274)*(1+r_ot)</f>
        <v>507.306541711218</v>
      </c>
      <c r="E2275" s="11" t="n">
        <f aca="false">(E2270+E2271+E2273+E2274)*(1+r_ot)</f>
        <v>539.549374890105</v>
      </c>
      <c r="F2275" s="11" t="n">
        <f aca="false">(F2270+F2271+F2273+F2274)*(1+r_ot)</f>
        <v>570.789835683346</v>
      </c>
      <c r="G2275" s="11" t="n">
        <f aca="false">(G2270+G2271+G2273+G2274)*(1+r_ot)</f>
        <v>584.802978683729</v>
      </c>
      <c r="J2275" s="8" t="s">
        <v>577</v>
      </c>
    </row>
    <row r="2276" customFormat="false" ht="15" hidden="false" customHeight="false" outlineLevel="0" collapsed="false">
      <c r="A2276" s="1" t="s">
        <v>578</v>
      </c>
    </row>
    <row r="2277" customFormat="false" ht="15" hidden="false" customHeight="false" outlineLevel="0" collapsed="false">
      <c r="A2277" s="5" t="s">
        <v>579</v>
      </c>
      <c r="B2277" s="0" t="s">
        <v>33</v>
      </c>
      <c r="D2277" s="11" t="n">
        <f aca="false">g3_rev*(1+g_q4)</f>
        <v>145.6862</v>
      </c>
    </row>
    <row r="2278" customFormat="false" ht="15" hidden="false" customHeight="false" outlineLevel="0" collapsed="false">
      <c r="A2278" s="0" t="s">
        <v>580</v>
      </c>
      <c r="B2278" s="0" t="s">
        <v>33</v>
      </c>
      <c r="D2278" s="11" t="n">
        <f aca="false">q26h1_rev+g3_rev+D2277</f>
        <v>535.1862</v>
      </c>
    </row>
    <row r="2279" customFormat="false" ht="15" hidden="false" customHeight="false" outlineLevel="0" collapsed="false">
      <c r="A2279" s="0" t="s">
        <v>581</v>
      </c>
      <c r="B2279" s="0" t="s">
        <v>33</v>
      </c>
      <c r="D2279" s="11" t="n">
        <f aca="false">q26h1_gp+(g3_rev+D2277)*gm_q3</f>
        <v>378.0504836</v>
      </c>
    </row>
    <row r="2280" customFormat="false" ht="15" hidden="false" customHeight="false" outlineLevel="0" collapsed="false">
      <c r="A2280" s="0" t="s">
        <v>582</v>
      </c>
      <c r="B2280" s="0" t="s">
        <v>33</v>
      </c>
      <c r="D2280" s="11" t="n">
        <f aca="false">q26h1_oi+g3_oi+D2277*m_q4_lo</f>
        <v>235.653376</v>
      </c>
    </row>
    <row r="2281" customFormat="false" ht="15" hidden="false" customHeight="false" outlineLevel="0" collapsed="false">
      <c r="A2281" s="0" t="s">
        <v>583</v>
      </c>
      <c r="B2281" s="0" t="s">
        <v>33</v>
      </c>
      <c r="D2281" s="11" t="n">
        <f aca="false">q26h1_ni+g3_ni+D2277*m_q4_lo*nioi</f>
        <v>165.85807531815</v>
      </c>
    </row>
    <row r="2282" customFormat="false" ht="15" hidden="false" customHeight="false" outlineLevel="0" collapsed="false">
      <c r="A2282" s="5" t="s">
        <v>584</v>
      </c>
      <c r="B2282" s="0" t="s">
        <v>80</v>
      </c>
      <c r="D2282" s="16" t="n">
        <f aca="false">D2278/D2275</f>
        <v>1.05495623650888</v>
      </c>
      <c r="J2282" s="8" t="s">
        <v>585</v>
      </c>
    </row>
    <row r="2283" customFormat="false" ht="15" hidden="false" customHeight="false" outlineLevel="0" collapsed="false">
      <c r="A2283" s="5" t="s">
        <v>586</v>
      </c>
      <c r="B2283" s="0" t="s">
        <v>80</v>
      </c>
      <c r="D2283" s="16" t="n">
        <f aca="false">1+anc_carry*(D2282-1)</f>
        <v>1.05495623650888</v>
      </c>
      <c r="J2283" s="8" t="s">
        <v>587</v>
      </c>
    </row>
    <row r="2284" customFormat="false" ht="15" hidden="false" customHeight="false" outlineLevel="0" collapsed="false">
      <c r="A2284" s="1" t="s">
        <v>588</v>
      </c>
    </row>
    <row r="2285" customFormat="false" ht="15" hidden="false" customHeight="false" outlineLevel="0" collapsed="false">
      <c r="A2285" s="0" t="s">
        <v>589</v>
      </c>
      <c r="B2285" s="0" t="s">
        <v>33</v>
      </c>
      <c r="C2285" s="11" t="n">
        <f aca="false">C2268*1</f>
        <v>36</v>
      </c>
      <c r="D2285" s="11" t="n">
        <f aca="false">D2268*$D$2282</f>
        <v>43.9523870213896</v>
      </c>
      <c r="E2285" s="11" t="n">
        <f aca="false">E2268*1</f>
        <v>47.8549412356069</v>
      </c>
      <c r="F2285" s="11" t="n">
        <f aca="false">F2268*1</f>
        <v>44.8424159172644</v>
      </c>
      <c r="G2285" s="11" t="n">
        <f aca="false">G2268*1</f>
        <v>27.2548611466613</v>
      </c>
    </row>
    <row r="2286" customFormat="false" ht="15" hidden="false" customHeight="false" outlineLevel="0" collapsed="false">
      <c r="A2286" s="5" t="s">
        <v>590</v>
      </c>
      <c r="B2286" s="0" t="s">
        <v>33</v>
      </c>
      <c r="C2286" s="11" t="n">
        <f aca="false">C2269*1</f>
        <v>39</v>
      </c>
      <c r="D2286" s="11" t="n">
        <f aca="false">D2269*$D$2282</f>
        <v>63.4538860505921</v>
      </c>
      <c r="E2286" s="11" t="n">
        <f aca="false">E2269*1</f>
        <v>42.5991175746519</v>
      </c>
      <c r="F2286" s="11" t="n">
        <f aca="false">F2269*1</f>
        <v>38.320722254198</v>
      </c>
      <c r="G2286" s="11" t="n">
        <f aca="false">G2269*1</f>
        <v>36.8663955538204</v>
      </c>
    </row>
    <row r="2287" customFormat="false" ht="15" hidden="false" customHeight="false" outlineLevel="0" collapsed="false">
      <c r="A2287" s="0" t="s">
        <v>591</v>
      </c>
      <c r="B2287" s="0" t="s">
        <v>33</v>
      </c>
      <c r="C2287" s="11" t="n">
        <f aca="false">C2285+C2286</f>
        <v>75</v>
      </c>
      <c r="D2287" s="11" t="n">
        <f aca="false">D2285+D2286</f>
        <v>107.406273071982</v>
      </c>
      <c r="E2287" s="11" t="n">
        <f aca="false">E2285+E2286</f>
        <v>90.4540588102588</v>
      </c>
      <c r="F2287" s="11" t="n">
        <f aca="false">F2285+F2286</f>
        <v>83.1631381714624</v>
      </c>
      <c r="G2287" s="11" t="n">
        <f aca="false">G2285+G2286</f>
        <v>64.1212567004817</v>
      </c>
    </row>
    <row r="2288" customFormat="false" ht="15" hidden="false" customHeight="false" outlineLevel="0" collapsed="false">
      <c r="A2288" s="5" t="s">
        <v>592</v>
      </c>
      <c r="B2288" s="0" t="s">
        <v>33</v>
      </c>
      <c r="C2288" s="11" t="n">
        <f aca="false">C2271*1</f>
        <v>195.87118</v>
      </c>
      <c r="D2288" s="11" t="n">
        <f aca="false">D2271*$D$2282</f>
        <v>219.033654266954</v>
      </c>
      <c r="E2288" s="11" t="n">
        <f aca="false">E2271*$D$2283</f>
        <v>232.175673522971</v>
      </c>
      <c r="F2288" s="11" t="n">
        <f aca="false">F2271*$D$2283</f>
        <v>246.106213934349</v>
      </c>
      <c r="G2288" s="11" t="n">
        <f aca="false">G2271*$D$2283</f>
        <v>260.87258677041</v>
      </c>
    </row>
    <row r="2289" customFormat="false" ht="15" hidden="false" customHeight="false" outlineLevel="0" collapsed="false">
      <c r="A2289" s="5" t="s">
        <v>593</v>
      </c>
      <c r="B2289" s="0" t="s">
        <v>33</v>
      </c>
      <c r="C2289" s="11" t="n">
        <f aca="false">C2287+C2288</f>
        <v>270.87118</v>
      </c>
      <c r="D2289" s="11" t="n">
        <f aca="false">D2287+D2288</f>
        <v>326.439927338936</v>
      </c>
      <c r="E2289" s="11" t="n">
        <f aca="false">E2287+E2288</f>
        <v>322.62973233323</v>
      </c>
      <c r="F2289" s="11" t="n">
        <f aca="false">F2287+F2288</f>
        <v>329.269352105812</v>
      </c>
      <c r="G2289" s="11" t="n">
        <f aca="false">G2287+G2288</f>
        <v>324.993843470892</v>
      </c>
    </row>
    <row r="2290" customFormat="false" ht="15" hidden="false" customHeight="false" outlineLevel="0" collapsed="false">
      <c r="A2290" s="0" t="s">
        <v>594</v>
      </c>
      <c r="B2290" s="0" t="s">
        <v>33</v>
      </c>
      <c r="C2290" s="11" t="n">
        <f aca="false">C2273*1</f>
        <v>25.4032258064516</v>
      </c>
      <c r="D2290" s="11" t="n">
        <f aca="false">D2273*$D$2282</f>
        <v>44.2756947933477</v>
      </c>
      <c r="E2290" s="11" t="n">
        <f aca="false">E2273*1</f>
        <v>64.1473952271414</v>
      </c>
      <c r="F2290" s="11" t="n">
        <f aca="false">F2273*1</f>
        <v>80.5058633897778</v>
      </c>
      <c r="G2290" s="11" t="n">
        <f aca="false">G2273*1</f>
        <v>93.3414683550913</v>
      </c>
    </row>
    <row r="2291" customFormat="false" ht="15" hidden="false" customHeight="false" outlineLevel="0" collapsed="false">
      <c r="A2291" s="5" t="s">
        <v>595</v>
      </c>
      <c r="B2291" s="0" t="s">
        <v>33</v>
      </c>
      <c r="C2291" s="11" t="n">
        <f aca="false">C2274*1</f>
        <v>66.3434641935484</v>
      </c>
      <c r="D2291" s="11" t="n">
        <f aca="false">D2274*$D$2282</f>
        <v>73.4889238677166</v>
      </c>
      <c r="E2291" s="11" t="n">
        <f aca="false">E2274*$D$2283</f>
        <v>77.1633700611024</v>
      </c>
      <c r="F2291" s="11" t="n">
        <f aca="false">F2274*$D$2283</f>
        <v>81.0215385641575</v>
      </c>
      <c r="G2291" s="11" t="n">
        <f aca="false">G2274*$D$2283</f>
        <v>85.0726154923654</v>
      </c>
    </row>
    <row r="2292" customFormat="false" ht="15" hidden="false" customHeight="false" outlineLevel="0" collapsed="false">
      <c r="A2292" s="5" t="s">
        <v>596</v>
      </c>
      <c r="B2292" s="0" t="s">
        <v>33</v>
      </c>
      <c r="C2292" s="11" t="n">
        <f aca="false">C2290+C2291</f>
        <v>91.74669</v>
      </c>
      <c r="D2292" s="11" t="n">
        <f aca="false">D2290+D2291</f>
        <v>117.764618661064</v>
      </c>
      <c r="E2292" s="11" t="n">
        <f aca="false">E2290+E2291</f>
        <v>141.310765288244</v>
      </c>
      <c r="F2292" s="11" t="n">
        <f aca="false">F2290+F2291</f>
        <v>161.527401953935</v>
      </c>
      <c r="G2292" s="11" t="n">
        <f aca="false">G2290+G2291</f>
        <v>178.414083847457</v>
      </c>
    </row>
    <row r="2293" customFormat="false" ht="15" hidden="false" customHeight="false" outlineLevel="0" collapsed="false">
      <c r="A2293" s="5" t="s">
        <v>458</v>
      </c>
      <c r="B2293" s="0" t="s">
        <v>33</v>
      </c>
      <c r="C2293" s="11" t="n">
        <f aca="false">r_ot*(C2289+C2292)</f>
        <v>74.27113</v>
      </c>
      <c r="D2293" s="11" t="n">
        <f aca="false">r_ot*(D2289+D2292)</f>
        <v>90.981654</v>
      </c>
      <c r="E2293" s="11" t="n">
        <f aca="false">r_ot*(E2289+E2292)</f>
        <v>95.0239573441573</v>
      </c>
      <c r="F2293" s="11" t="n">
        <f aca="false">r_ot*(F2289+F2292)</f>
        <v>100.524636373683</v>
      </c>
      <c r="G2293" s="11" t="n">
        <f aca="false">r_ot*(G2289+G2292)</f>
        <v>103.107647763999</v>
      </c>
    </row>
    <row r="2294" customFormat="false" ht="15" hidden="false" customHeight="false" outlineLevel="0" collapsed="false">
      <c r="A2294" s="5" t="s">
        <v>428</v>
      </c>
      <c r="B2294" s="0" t="s">
        <v>33</v>
      </c>
      <c r="C2294" s="11" t="n">
        <f aca="false">C2289+C2292+C2293</f>
        <v>436.889</v>
      </c>
      <c r="D2294" s="11" t="n">
        <f aca="false">D2289+D2292+D2293</f>
        <v>535.1862</v>
      </c>
      <c r="E2294" s="11" t="n">
        <f aca="false">E2289+E2292+E2293</f>
        <v>558.964454965631</v>
      </c>
      <c r="F2294" s="11" t="n">
        <f aca="false">F2289+F2292+F2293</f>
        <v>591.32139043343</v>
      </c>
      <c r="G2294" s="11" t="n">
        <f aca="false">G2289+G2292+G2293</f>
        <v>606.515575082348</v>
      </c>
      <c r="J2294" s="8" t="s">
        <v>597</v>
      </c>
    </row>
    <row r="2295" customFormat="false" ht="15" hidden="false" customHeight="false" outlineLevel="0" collapsed="false">
      <c r="A2295" s="0" t="s">
        <v>598</v>
      </c>
      <c r="B2295" s="0" t="s">
        <v>60</v>
      </c>
      <c r="C2295" s="14" t="n">
        <f aca="false">(C2287+C2290)*(1+r_ot)/C2294</f>
        <v>0.276884384673187</v>
      </c>
      <c r="D2295" s="14" t="n">
        <f aca="false">(D2287+D2290)*(1+r_ot)/D2294</f>
        <v>0.341468742792492</v>
      </c>
      <c r="E2295" s="14" t="n">
        <f aca="false">(E2287+E2290)*(1+r_ot)/E2294</f>
        <v>0.333235522292211</v>
      </c>
      <c r="F2295" s="14" t="n">
        <f aca="false">(F2287+F2290)*(1+r_ot)/F2294</f>
        <v>0.333476128779197</v>
      </c>
      <c r="G2295" s="14" t="n">
        <f aca="false">(G2287+G2290)*(1+r_ot)/G2294</f>
        <v>0.312793495117123</v>
      </c>
    </row>
    <row r="2296" customFormat="false" ht="15" hidden="false" customHeight="false" outlineLevel="0" collapsed="false">
      <c r="A2296" s="0" t="s">
        <v>599</v>
      </c>
      <c r="B2296" s="0" t="s">
        <v>60</v>
      </c>
      <c r="C2296" s="14" t="n">
        <f aca="false">C2287*(1+r_ot)/C2294</f>
        <v>0.206829299394429</v>
      </c>
      <c r="D2296" s="14" t="n">
        <f aca="false">D2287*(1+r_ot)/D2294</f>
        <v>0.241794628261148</v>
      </c>
      <c r="E2296" s="14" t="n">
        <f aca="false">E2287*(1+r_ot)/E2294</f>
        <v>0.194969094687784</v>
      </c>
      <c r="F2296" s="14" t="n">
        <f aca="false">F2287*(1+r_ot)/F2294</f>
        <v>0.16944516744163</v>
      </c>
      <c r="G2296" s="14" t="n">
        <f aca="false">G2287*(1+r_ot)/G2294</f>
        <v>0.12737434835811</v>
      </c>
      <c r="J2296" s="5" t="s">
        <v>600</v>
      </c>
    </row>
    <row r="2297" customFormat="false" ht="15" hidden="false" customHeight="false" outlineLevel="0" collapsed="false">
      <c r="A2297" s="5" t="s">
        <v>466</v>
      </c>
      <c r="B2297" s="0" t="s">
        <v>60</v>
      </c>
      <c r="C2297" s="14" t="n">
        <f aca="false">a25_gp/a25_rev</f>
        <v>0.701498549974936</v>
      </c>
      <c r="D2297" s="14" t="n">
        <f aca="false">D2279/D2294</f>
        <v>0.70639056761927</v>
      </c>
      <c r="E2297" s="14" t="n">
        <f aca="false">gm_a+gm_b*LN(E2294)+0</f>
        <v>0.730501245911974</v>
      </c>
      <c r="F2297" s="14" t="n">
        <f aca="false">gm_a+gm_b*LN(F2294)+0</f>
        <v>0.736906664378218</v>
      </c>
      <c r="G2297" s="14" t="n">
        <f aca="false">gm_a+gm_b*LN(G2294)+0</f>
        <v>0.739794512150511</v>
      </c>
      <c r="J2297" s="8" t="s">
        <v>601</v>
      </c>
    </row>
    <row r="2298" customFormat="false" ht="15" hidden="false" customHeight="false" outlineLevel="0" collapsed="false">
      <c r="A2298" s="5" t="s">
        <v>463</v>
      </c>
      <c r="B2298" s="0" t="s">
        <v>33</v>
      </c>
      <c r="C2298" s="11" t="n">
        <f aca="false">C2294*C2297</f>
        <v>306.477</v>
      </c>
      <c r="D2298" s="11" t="n">
        <f aca="false">D2294*D2297</f>
        <v>378.0504836</v>
      </c>
      <c r="E2298" s="11" t="n">
        <f aca="false">E2294*E2297</f>
        <v>408.324230772901</v>
      </c>
      <c r="F2298" s="11" t="n">
        <f aca="false">F2294*F2297</f>
        <v>435.748673399789</v>
      </c>
      <c r="G2298" s="11" t="n">
        <f aca="false">G2294*G2297</f>
        <v>448.696893979733</v>
      </c>
    </row>
    <row r="2299" customFormat="false" ht="15" hidden="false" customHeight="false" outlineLevel="0" collapsed="false">
      <c r="A2299" s="5" t="s">
        <v>464</v>
      </c>
      <c r="B2299" s="0" t="s">
        <v>33</v>
      </c>
      <c r="C2299" s="11" t="n">
        <f aca="false">a25_sga</f>
        <v>121.487</v>
      </c>
      <c r="D2299" s="11" t="n">
        <f aca="false">D2298-D2280</f>
        <v>142.3971076</v>
      </c>
      <c r="E2299" s="11" t="n">
        <f aca="false">sg_f+sg_v*E2294</f>
        <v>149.187544002062</v>
      </c>
      <c r="F2299" s="11" t="n">
        <f aca="false">sg_f+sg_v*F2294</f>
        <v>157.353367839138</v>
      </c>
      <c r="G2299" s="11" t="n">
        <f aca="false">sg_f+sg_v*G2294</f>
        <v>161.187879154788</v>
      </c>
      <c r="J2299" s="8" t="s">
        <v>602</v>
      </c>
    </row>
    <row r="2300" customFormat="false" ht="15" hidden="false" customHeight="false" outlineLevel="0" collapsed="false">
      <c r="A2300" s="5" t="s">
        <v>432</v>
      </c>
      <c r="B2300" s="0" t="s">
        <v>33</v>
      </c>
      <c r="C2300" s="11" t="n">
        <f aca="false">C2298-C2299</f>
        <v>184.99</v>
      </c>
      <c r="D2300" s="11" t="n">
        <f aca="false">D2298-D2299</f>
        <v>235.653376</v>
      </c>
      <c r="E2300" s="11" t="n">
        <f aca="false">E2298-E2299</f>
        <v>259.136686770839</v>
      </c>
      <c r="F2300" s="11" t="n">
        <f aca="false">F2298-F2299</f>
        <v>278.395305560652</v>
      </c>
      <c r="G2300" s="11" t="n">
        <f aca="false">G2298-G2299</f>
        <v>287.509014824944</v>
      </c>
    </row>
    <row r="2301" customFormat="false" ht="15" hidden="false" customHeight="false" outlineLevel="0" collapsed="false">
      <c r="A2301" s="5" t="s">
        <v>603</v>
      </c>
      <c r="B2301" s="0" t="s">
        <v>60</v>
      </c>
      <c r="C2301" s="14" t="n">
        <f aca="false">C2300/C2294</f>
        <v>0.423425629851061</v>
      </c>
      <c r="D2301" s="14" t="n">
        <f aca="false">D2300/D2294</f>
        <v>0.44032035205691</v>
      </c>
      <c r="E2301" s="14" t="n">
        <f aca="false">E2300/E2294</f>
        <v>0.463601369405094</v>
      </c>
      <c r="F2301" s="14" t="n">
        <f aca="false">F2300/F2294</f>
        <v>0.470802020803935</v>
      </c>
      <c r="G2301" s="14" t="n">
        <f aca="false">G2300/G2294</f>
        <v>0.47403401765224</v>
      </c>
    </row>
    <row r="2302" customFormat="false" ht="15" hidden="false" customHeight="false" outlineLevel="0" collapsed="false">
      <c r="A2302" s="5" t="s">
        <v>435</v>
      </c>
      <c r="B2302" s="0" t="s">
        <v>33</v>
      </c>
      <c r="C2302" s="11" t="n">
        <f aca="false">a25_ni</f>
        <v>135.521</v>
      </c>
      <c r="D2302" s="11" t="n">
        <f aca="false">D2281</f>
        <v>165.85807531815</v>
      </c>
      <c r="E2302" s="11" t="n">
        <f aca="false">E2300*nioi</f>
        <v>186.883003736634</v>
      </c>
      <c r="F2302" s="11" t="n">
        <f aca="false">F2300*nioi</f>
        <v>200.771845845825</v>
      </c>
      <c r="G2302" s="11" t="n">
        <f aca="false">G2300*nioi</f>
        <v>207.344428769985</v>
      </c>
    </row>
    <row r="2303" customFormat="false" ht="15" hidden="false" customHeight="false" outlineLevel="0" collapsed="false">
      <c r="A2303" s="0" t="s">
        <v>524</v>
      </c>
      <c r="B2303" s="0" t="s">
        <v>55</v>
      </c>
      <c r="C2303" s="11" t="n">
        <f aca="false">a25_eps</f>
        <v>1249.84</v>
      </c>
      <c r="D2303" s="11" t="n">
        <f aca="false">D2302*1000/shares</f>
        <v>1528.91526865596</v>
      </c>
      <c r="E2303" s="11" t="n">
        <f aca="false">E2302*1000/shares</f>
        <v>1722.72756281021</v>
      </c>
      <c r="F2303" s="11" t="n">
        <f aca="false">F2302*1000/shares</f>
        <v>1850.75788466196</v>
      </c>
      <c r="G2303" s="11" t="n">
        <f aca="false">G2302*1000/shares</f>
        <v>1911.34536204573</v>
      </c>
    </row>
    <row r="2304" customFormat="false" ht="15" hidden="false" customHeight="false" outlineLevel="0" collapsed="false">
      <c r="A2304" s="5" t="s">
        <v>604</v>
      </c>
      <c r="B2304" s="0" t="s">
        <v>33</v>
      </c>
      <c r="C2304" s="16" t="n">
        <f aca="false">ABS(C2294-a25_rev)+ABS(C2300-a25_oi)+ABS(D2294-D2278)+ABS(D2300-D2280)</f>
        <v>0.000999999999976353</v>
      </c>
    </row>
    <row r="2305" customFormat="false" ht="15" hidden="false" customHeight="false" outlineLevel="0" collapsed="false">
      <c r="A2305" s="1" t="s">
        <v>605</v>
      </c>
    </row>
    <row r="2306" customFormat="false" ht="15" hidden="false" customHeight="false" outlineLevel="0" collapsed="false">
      <c r="A2306" s="5" t="s">
        <v>606</v>
      </c>
      <c r="B2306" s="0" t="s">
        <v>60</v>
      </c>
      <c r="C2306" s="14" t="n">
        <f aca="false">a25_gp/a25_rev</f>
        <v>0.701498549974936</v>
      </c>
      <c r="D2306" s="14" t="n">
        <f aca="false">gm_a+gm_b*LN(D2275)+0</f>
        <v>0.719463492058136</v>
      </c>
      <c r="E2306" s="14" t="n">
        <f aca="false">gm_a+gm_b*LN(E2275)+0</f>
        <v>0.726477317954067</v>
      </c>
      <c r="F2306" s="14" t="n">
        <f aca="false">gm_a+gm_b*LN(F2275)+0</f>
        <v>0.73288421444391</v>
      </c>
      <c r="G2306" s="14" t="n">
        <f aca="false">gm_a+gm_b*LN(G2275)+0</f>
        <v>0.735644940559218</v>
      </c>
    </row>
    <row r="2307" customFormat="false" ht="15" hidden="false" customHeight="false" outlineLevel="0" collapsed="false">
      <c r="A2307" s="5" t="s">
        <v>607</v>
      </c>
      <c r="B2307" s="0" t="s">
        <v>33</v>
      </c>
      <c r="C2307" s="11" t="n">
        <f aca="false">a25_oi</f>
        <v>184.989</v>
      </c>
      <c r="D2307" s="11" t="n">
        <f aca="false">D2275*D2306-sg_f-sg_v*D2275</f>
        <v>228.837746398039</v>
      </c>
      <c r="E2307" s="11" t="n">
        <f aca="false">E2275*E2306-sg_f-sg_v*E2275</f>
        <v>247.68256494767</v>
      </c>
      <c r="F2307" s="11" t="n">
        <f aca="false">F2275*F2306-sg_f-sg_v*F2275</f>
        <v>266.150980076278</v>
      </c>
      <c r="G2307" s="11" t="n">
        <f aca="false">G2275*G2306-sg_f-sg_v*G2275</f>
        <v>274.499016893924</v>
      </c>
    </row>
    <row r="2308" customFormat="false" ht="15" hidden="false" customHeight="false" outlineLevel="0" collapsed="false">
      <c r="A2308" s="0" t="s">
        <v>608</v>
      </c>
      <c r="B2308" s="0" t="s">
        <v>55</v>
      </c>
      <c r="C2308" s="11" t="n">
        <f aca="false">a25_eps</f>
        <v>1249.84</v>
      </c>
      <c r="D2308" s="11" t="n">
        <f aca="false">D2307*nioi_v01*1000/shares</f>
        <v>1545.37951653183</v>
      </c>
      <c r="E2308" s="11" t="n">
        <f aca="false">E2307*nioi_v01*1000/shares</f>
        <v>1672.64172321648</v>
      </c>
      <c r="F2308" s="11" t="n">
        <f aca="false">F2307*nioi_v01*1000/shares</f>
        <v>1797.36201474092</v>
      </c>
      <c r="G2308" s="11" t="n">
        <f aca="false">G2307*nioi_v01*1000/shares</f>
        <v>1853.73770146352</v>
      </c>
    </row>
    <row r="2320" customFormat="false" ht="15" hidden="false" customHeight="false" outlineLevel="0" collapsed="false">
      <c r="A2320" s="4" t="s">
        <v>853</v>
      </c>
    </row>
    <row r="2321" customFormat="false" ht="15" hidden="false" customHeight="false" outlineLevel="0" collapsed="false">
      <c r="A2321" s="6" t="s">
        <v>22</v>
      </c>
      <c r="B2321" s="6" t="s">
        <v>23</v>
      </c>
      <c r="C2321" s="9" t="s">
        <v>532</v>
      </c>
      <c r="D2321" s="9" t="s">
        <v>533</v>
      </c>
      <c r="E2321" s="9" t="s">
        <v>534</v>
      </c>
      <c r="F2321" s="9" t="s">
        <v>535</v>
      </c>
      <c r="G2321" s="9" t="s">
        <v>536</v>
      </c>
      <c r="H2321" s="9" t="s">
        <v>537</v>
      </c>
      <c r="I2321" s="9" t="s">
        <v>538</v>
      </c>
      <c r="J2321" s="6" t="s">
        <v>515</v>
      </c>
    </row>
    <row r="2322" customFormat="false" ht="15" hidden="false" customHeight="false" outlineLevel="0" collapsed="false">
      <c r="A2322" s="1" t="s">
        <v>539</v>
      </c>
    </row>
    <row r="2323" customFormat="false" ht="15" hidden="false" customHeight="false" outlineLevel="0" collapsed="false">
      <c r="A2323" s="0" t="s">
        <v>540</v>
      </c>
      <c r="B2323" s="0" t="s">
        <v>100</v>
      </c>
      <c r="C2323" s="19" t="n">
        <f aca="false">hsA_25</f>
        <v>2.22511470588235</v>
      </c>
      <c r="D2323" s="19" t="n">
        <f aca="false">hsA_26</f>
        <v>3.782695</v>
      </c>
      <c r="E2323" s="19" t="n">
        <f aca="false">hsA_27</f>
        <v>5.86317725</v>
      </c>
      <c r="F2323" s="19" t="n">
        <f aca="false">hsA_28</f>
        <v>8.5016070125</v>
      </c>
      <c r="G2323" s="19" t="n">
        <f aca="false">hsA_29</f>
        <v>11.477169466875</v>
      </c>
      <c r="H2323" s="19" t="n">
        <f aca="false">G2323*(1+g_tail)</f>
        <v>12.6248864135625</v>
      </c>
      <c r="I2323" s="19" t="n">
        <f aca="false">H2323*(1+g_tail)</f>
        <v>13.8873750549188</v>
      </c>
      <c r="J2323" s="8" t="s">
        <v>541</v>
      </c>
    </row>
    <row r="2324" customFormat="false" ht="15" hidden="false" customHeight="false" outlineLevel="0" collapsed="false">
      <c r="A2324" s="0" t="s">
        <v>542</v>
      </c>
      <c r="B2324" s="0" t="s">
        <v>543</v>
      </c>
      <c r="C2324" s="19" t="n">
        <f aca="false">den_25</f>
        <v>24</v>
      </c>
      <c r="D2324" s="19" t="n">
        <f aca="false">den_26</f>
        <v>24</v>
      </c>
      <c r="E2324" s="19" t="n">
        <f aca="false">den_27</f>
        <v>26</v>
      </c>
      <c r="F2324" s="19" t="n">
        <f aca="false">den_28</f>
        <v>28</v>
      </c>
      <c r="G2324" s="19" t="n">
        <f aca="false">den_29</f>
        <v>30</v>
      </c>
      <c r="H2324" s="19" t="n">
        <f aca="false">den_30</f>
        <v>32</v>
      </c>
      <c r="I2324" s="19" t="n">
        <f aca="false">den_30</f>
        <v>32</v>
      </c>
    </row>
    <row r="2325" customFormat="false" ht="15" hidden="false" customHeight="false" outlineLevel="0" collapsed="false">
      <c r="A2325" s="5" t="s">
        <v>544</v>
      </c>
      <c r="B2325" s="5" t="s">
        <v>152</v>
      </c>
      <c r="C2325" s="19" t="n">
        <f aca="false">stk_25</f>
        <v>10</v>
      </c>
      <c r="D2325" s="19" t="n">
        <f aca="false">stk_26</f>
        <v>12</v>
      </c>
      <c r="E2325" s="19" t="n">
        <f aca="false">stk_27</f>
        <v>12.5</v>
      </c>
      <c r="F2325" s="19" t="n">
        <f aca="false">stk_28</f>
        <v>14</v>
      </c>
      <c r="G2325" s="19" t="n">
        <f aca="false">stk_29</f>
        <v>15</v>
      </c>
      <c r="H2325" s="19" t="n">
        <f aca="false">stk_30</f>
        <v>16</v>
      </c>
      <c r="I2325" s="19" t="n">
        <f aca="false">stk_30</f>
        <v>16</v>
      </c>
    </row>
    <row r="2326" customFormat="false" ht="15" hidden="false" customHeight="false" outlineLevel="0" collapsed="false">
      <c r="A2326" s="0" t="s">
        <v>545</v>
      </c>
      <c r="B2326" s="5" t="s">
        <v>546</v>
      </c>
      <c r="C2326" s="19" t="n">
        <f aca="false">C2323*8/C2324</f>
        <v>0.741704901960783</v>
      </c>
      <c r="D2326" s="19" t="n">
        <f aca="false">D2323*8/D2324</f>
        <v>1.26089833333333</v>
      </c>
      <c r="E2326" s="19" t="n">
        <f aca="false">E2323*8/E2324</f>
        <v>1.80405453846154</v>
      </c>
      <c r="F2326" s="19" t="n">
        <f aca="false">F2323*8/F2324</f>
        <v>2.429030575</v>
      </c>
      <c r="G2326" s="19" t="n">
        <f aca="false">G2323*8/G2324</f>
        <v>3.0605785245</v>
      </c>
      <c r="H2326" s="19" t="n">
        <f aca="false">H2323*8/H2324</f>
        <v>3.15622160339063</v>
      </c>
      <c r="I2326" s="19" t="n">
        <f aca="false">I2323*8/I2324</f>
        <v>3.47184376372969</v>
      </c>
      <c r="J2326" s="8" t="s">
        <v>547</v>
      </c>
    </row>
    <row r="2327" customFormat="false" ht="15" hidden="false" customHeight="false" outlineLevel="0" collapsed="false">
      <c r="A2327" s="0" t="s">
        <v>548</v>
      </c>
      <c r="B2327" s="5" t="s">
        <v>549</v>
      </c>
      <c r="C2327" s="19" t="n">
        <f aca="false">C2326*(1+s_stk/C2325)</f>
        <v>0.964216372549018</v>
      </c>
      <c r="D2327" s="19" t="n">
        <f aca="false">D2326*(1+s_stk/D2325)</f>
        <v>1.57612291666667</v>
      </c>
      <c r="E2327" s="19" t="n">
        <f aca="false">E2326*(1+s_stk/E2325)</f>
        <v>2.23702762769231</v>
      </c>
      <c r="F2327" s="19" t="n">
        <f aca="false">F2326*(1+s_stk/F2325)</f>
        <v>2.94953712678571</v>
      </c>
      <c r="G2327" s="19" t="n">
        <f aca="false">G2326*(1+s_stk/G2325)</f>
        <v>3.6726942294</v>
      </c>
      <c r="H2327" s="19" t="n">
        <f aca="false">H2326*(1+s_stk/H2325)</f>
        <v>3.74801315402637</v>
      </c>
      <c r="I2327" s="19" t="n">
        <f aca="false">I2326*(1+s_stk/I2325)</f>
        <v>4.12281446942901</v>
      </c>
      <c r="J2327" s="5" t="s">
        <v>550</v>
      </c>
    </row>
    <row r="2328" customFormat="false" ht="15" hidden="false" customHeight="false" outlineLevel="0" collapsed="false">
      <c r="A2328" s="5" t="s">
        <v>551</v>
      </c>
      <c r="B2328" s="0" t="s">
        <v>60</v>
      </c>
      <c r="C2328" s="22" t="n">
        <f aca="false">hbp_25*hb_on</f>
        <v>0</v>
      </c>
      <c r="D2328" s="22" t="n">
        <f aca="false">hbp_26*hb_on</f>
        <v>0</v>
      </c>
      <c r="E2328" s="22" t="n">
        <f aca="false">hbp_27*hb_on</f>
        <v>0</v>
      </c>
      <c r="F2328" s="22" t="n">
        <f aca="false">hbp_28*hb_on</f>
        <v>0.05</v>
      </c>
      <c r="G2328" s="22" t="n">
        <f aca="false">hbp_29*hb_on</f>
        <v>0.15</v>
      </c>
      <c r="H2328" s="22" t="n">
        <f aca="false">hbp_30*hb_on</f>
        <v>0.25</v>
      </c>
      <c r="I2328" s="22" t="n">
        <f aca="false">hbp_30*hb_on</f>
        <v>0.25</v>
      </c>
    </row>
    <row r="2329" customFormat="false" ht="15" hidden="false" customHeight="false" outlineLevel="0" collapsed="false">
      <c r="A2329" s="0" t="s">
        <v>552</v>
      </c>
      <c r="B2329" s="5" t="s">
        <v>549</v>
      </c>
      <c r="C2329" s="19" t="n">
        <f aca="false">C2327*(1+C2328*hb_eff)</f>
        <v>0.964216372549018</v>
      </c>
      <c r="D2329" s="19" t="n">
        <f aca="false">D2327*(1+D2328*hb_eff)</f>
        <v>1.57612291666667</v>
      </c>
      <c r="E2329" s="19" t="n">
        <f aca="false">E2327*(1+E2328*hb_eff)</f>
        <v>2.23702762769231</v>
      </c>
      <c r="F2329" s="19" t="n">
        <f aca="false">F2327*(1+F2328*hb_eff)</f>
        <v>2.96428481241964</v>
      </c>
      <c r="G2329" s="19" t="n">
        <f aca="false">G2327*(1+G2328*hb_eff)</f>
        <v>3.727784642841</v>
      </c>
      <c r="H2329" s="19" t="n">
        <f aca="false">H2327*(1+H2328*hb_eff)</f>
        <v>3.84171348287703</v>
      </c>
      <c r="I2329" s="19" t="n">
        <f aca="false">I2327*(1+I2328*hb_eff)</f>
        <v>4.22588483116473</v>
      </c>
      <c r="J2329" s="5" t="s">
        <v>553</v>
      </c>
    </row>
    <row r="2330" customFormat="false" ht="15" hidden="false" customHeight="false" outlineLevel="0" collapsed="false">
      <c r="A2330" s="0" t="s">
        <v>554</v>
      </c>
      <c r="B2330" s="5" t="s">
        <v>549</v>
      </c>
      <c r="C2330" s="19" t="n">
        <f aca="false">MAX(0,D2329-C2329)+dlt*C2329</f>
        <v>0.70832818137255</v>
      </c>
      <c r="D2330" s="19" t="n">
        <f aca="false">MAX(0,E2329-D2329)+dlt*D2329</f>
        <v>0.818517002692307</v>
      </c>
      <c r="E2330" s="19" t="n">
        <f aca="false">MAX(0,F2329-E2329)+dlt*E2329</f>
        <v>0.950959947496565</v>
      </c>
      <c r="F2330" s="19" t="n">
        <f aca="false">MAX(0,G2329-F2329)+dlt*F2329</f>
        <v>1.05992831166332</v>
      </c>
      <c r="G2330" s="19" t="n">
        <f aca="false">MAX(0,H2329-G2329)+dlt*G2329</f>
        <v>0.486707304320127</v>
      </c>
      <c r="H2330" s="19" t="n">
        <f aca="false">MAX(0,I2329-H2329)+dlt*H2329</f>
        <v>0.768342696575406</v>
      </c>
      <c r="J2330" s="5" t="s">
        <v>555</v>
      </c>
    </row>
    <row r="2331" customFormat="false" ht="15" hidden="false" customHeight="false" outlineLevel="0" collapsed="false">
      <c r="A2331" s="0" t="s">
        <v>556</v>
      </c>
      <c r="B2331" s="5" t="s">
        <v>181</v>
      </c>
      <c r="C2331" s="21" t="n">
        <f aca="false">cw_25</f>
        <v>670</v>
      </c>
      <c r="D2331" s="21" t="n">
        <f aca="false">cw_26</f>
        <v>1107.85762580894</v>
      </c>
      <c r="E2331" s="21" t="n">
        <f aca="false">cw_27</f>
        <v>2096.42857142857</v>
      </c>
      <c r="F2331" s="21" t="n">
        <f aca="false">cw_28*um28_A</f>
        <v>2620.08928571429</v>
      </c>
      <c r="G2331" s="21" t="n">
        <f aca="false">cw_29*um29_A</f>
        <v>3013.32589285714</v>
      </c>
      <c r="H2331" s="21" t="n">
        <f aca="false">G2331*(1+g_tail)</f>
        <v>3314.65848214285</v>
      </c>
      <c r="I2331" s="21" t="n">
        <f aca="false">H2331*(1+g_tail)</f>
        <v>3646.12433035714</v>
      </c>
      <c r="J2331" s="5" t="s">
        <v>557</v>
      </c>
    </row>
    <row r="2332" customFormat="false" ht="15" hidden="false" customHeight="false" outlineLevel="0" collapsed="false">
      <c r="A2332" s="5" t="s">
        <v>558</v>
      </c>
      <c r="B2332" s="5" t="s">
        <v>181</v>
      </c>
      <c r="C2332" s="21" t="n">
        <f aca="false">MAX(0,D2331-C2331)+dlt*C2331</f>
        <v>504.85762580894</v>
      </c>
      <c r="D2332" s="21" t="n">
        <f aca="false">MAX(0,E2331-D2331)+dlt*D2331</f>
        <v>1099.35670820052</v>
      </c>
      <c r="E2332" s="21" t="n">
        <f aca="false">MAX(0,F2331-E2331)+dlt*E2331</f>
        <v>733.303571428577</v>
      </c>
      <c r="F2332" s="21" t="n">
        <f aca="false">MAX(0,G2331-F2331)+dlt*F2331</f>
        <v>655.245535714279</v>
      </c>
      <c r="G2332" s="21" t="n">
        <f aca="false">MAX(0,H2331-G2331)+dlt*G2331</f>
        <v>602.665178571428</v>
      </c>
      <c r="H2332" s="21" t="n">
        <f aca="false">MAX(0,I2331-H2331)+dlt*H2331</f>
        <v>662.931696428571</v>
      </c>
    </row>
    <row r="2333" customFormat="false" ht="15" hidden="false" customHeight="false" outlineLevel="0" collapsed="false">
      <c r="A2333" s="1" t="s">
        <v>559</v>
      </c>
    </row>
    <row r="2334" customFormat="false" ht="15" hidden="false" customHeight="false" outlineLevel="0" collapsed="false">
      <c r="A2334" s="0" t="s">
        <v>560</v>
      </c>
      <c r="B2334" s="0" t="s">
        <v>561</v>
      </c>
      <c r="C2334" s="16" t="n">
        <f aca="false">ai_25*w_hbm/(0.75*C2330+0.25*D2330)</f>
        <v>48.9213264236471</v>
      </c>
      <c r="J2334" s="5" t="s">
        <v>562</v>
      </c>
    </row>
    <row r="2335" customFormat="false" ht="15" hidden="false" customHeight="false" outlineLevel="0" collapsed="false">
      <c r="A2335" s="5" t="s">
        <v>563</v>
      </c>
      <c r="B2335" s="0" t="s">
        <v>564</v>
      </c>
      <c r="C2335" s="18" t="n">
        <f aca="false">ai_25*(1-w_hbm)/(0.75*C2332+0.25*D2332)</f>
        <v>0.0596802610360141</v>
      </c>
    </row>
    <row r="2336" customFormat="false" ht="15" hidden="false" customHeight="false" outlineLevel="0" collapsed="false">
      <c r="A2336" s="1" t="s">
        <v>565</v>
      </c>
    </row>
    <row r="2337" customFormat="false" ht="15" hidden="false" customHeight="false" outlineLevel="0" collapsed="false">
      <c r="A2337" s="5" t="s">
        <v>566</v>
      </c>
      <c r="B2337" s="0" t="s">
        <v>80</v>
      </c>
      <c r="C2337" s="16" t="n">
        <f aca="false">1-sh_loss/sh*0</f>
        <v>1</v>
      </c>
      <c r="D2337" s="16" t="n">
        <f aca="false">1-sh_loss/sh*0.25</f>
        <v>1</v>
      </c>
      <c r="E2337" s="16" t="n">
        <f aca="false">1-sh_loss/sh*0.5</f>
        <v>1</v>
      </c>
      <c r="F2337" s="16" t="n">
        <f aca="false">1-sh_loss/sh*0.75</f>
        <v>1</v>
      </c>
      <c r="G2337" s="16" t="n">
        <f aca="false">1-sh_loss/sh*1</f>
        <v>1</v>
      </c>
    </row>
    <row r="2338" customFormat="false" ht="15" hidden="false" customHeight="false" outlineLevel="0" collapsed="false">
      <c r="A2338" s="0" t="s">
        <v>567</v>
      </c>
      <c r="B2338" s="0" t="s">
        <v>33</v>
      </c>
      <c r="C2338" s="11" t="n">
        <f aca="false">$C$2334*(0.75*C2330+0.25*D2330)*C2337</f>
        <v>36</v>
      </c>
      <c r="D2338" s="11" t="n">
        <f aca="false">$C$2334*(0.75*D2330+0.25*E2330)*D2337</f>
        <v>41.6627586058351</v>
      </c>
      <c r="E2338" s="11" t="n">
        <f aca="false">$C$2334*(0.75*E2330+0.25*F2330)*E2337</f>
        <v>47.8549412356069</v>
      </c>
      <c r="F2338" s="11" t="n">
        <f aca="false">$C$2334*(0.75*F2330+0.25*G2330)*F2337</f>
        <v>44.8424159172644</v>
      </c>
      <c r="G2338" s="11" t="n">
        <f aca="false">$C$2334*(0.75*G2330+0.25*H2330)*G2337</f>
        <v>27.2548611466613</v>
      </c>
    </row>
    <row r="2339" customFormat="false" ht="15" hidden="false" customHeight="false" outlineLevel="0" collapsed="false">
      <c r="A2339" s="5" t="s">
        <v>568</v>
      </c>
      <c r="B2339" s="0" t="s">
        <v>33</v>
      </c>
      <c r="C2339" s="11" t="n">
        <f aca="false">$C$2335*(0.75*C2332+0.25*D2332)*C2337</f>
        <v>39</v>
      </c>
      <c r="D2339" s="11" t="n">
        <f aca="false">$C$2335*(0.75*D2332+0.25*E2332)*D2337</f>
        <v>60.1483586282001</v>
      </c>
      <c r="E2339" s="11" t="n">
        <f aca="false">$C$2335*(0.75*E2332+0.25*F2332)*E2337</f>
        <v>42.5991175746519</v>
      </c>
      <c r="F2339" s="11" t="n">
        <f aca="false">$C$2335*(0.75*F2332+0.25*G2332)*F2337</f>
        <v>38.320722254198</v>
      </c>
      <c r="G2339" s="11" t="n">
        <f aca="false">$C$2335*(0.75*G2332+0.25*H2332)*G2337</f>
        <v>36.8663955538204</v>
      </c>
    </row>
    <row r="2340" customFormat="false" ht="15" hidden="false" customHeight="false" outlineLevel="0" collapsed="false">
      <c r="A2340" s="0" t="s">
        <v>569</v>
      </c>
      <c r="B2340" s="0" t="s">
        <v>33</v>
      </c>
      <c r="C2340" s="11" t="n">
        <f aca="false">C2338+C2339</f>
        <v>75</v>
      </c>
      <c r="D2340" s="11" t="n">
        <f aca="false">D2338+D2339</f>
        <v>101.811117234035</v>
      </c>
      <c r="E2340" s="11" t="n">
        <f aca="false">E2338+E2339</f>
        <v>90.4540588102588</v>
      </c>
      <c r="F2340" s="11" t="n">
        <f aca="false">F2338+F2339</f>
        <v>83.1631381714624</v>
      </c>
      <c r="G2340" s="11" t="n">
        <f aca="false">G2338+G2339</f>
        <v>64.1212567004817</v>
      </c>
    </row>
    <row r="2341" customFormat="false" ht="15" hidden="false" customHeight="false" outlineLevel="0" collapsed="false">
      <c r="A2341" s="5" t="s">
        <v>570</v>
      </c>
      <c r="B2341" s="0" t="s">
        <v>33</v>
      </c>
      <c r="C2341" s="11" t="n">
        <f aca="false">eq_25-ai_25</f>
        <v>195.87118</v>
      </c>
      <c r="D2341" s="11" t="n">
        <f aca="false">C2341*(1+g_non)*D2337/C2337</f>
        <v>207.6234508</v>
      </c>
      <c r="E2341" s="11" t="n">
        <f aca="false">D2341*(1+g_non)*E2337/D2337</f>
        <v>220.080857848</v>
      </c>
      <c r="F2341" s="11" t="n">
        <f aca="false">E2341*(1+g_non)*F2337/E2337</f>
        <v>233.28570931888</v>
      </c>
      <c r="G2341" s="11" t="n">
        <f aca="false">F2341*(1+g_non)*G2337/F2337</f>
        <v>247.282851878013</v>
      </c>
    </row>
    <row r="2342" customFormat="false" ht="15" hidden="false" customHeight="false" outlineLevel="0" collapsed="false">
      <c r="A2342" s="0" t="s">
        <v>571</v>
      </c>
      <c r="B2342" s="0" t="s">
        <v>80</v>
      </c>
      <c r="C2342" s="19" t="n">
        <f aca="false">w_hbm*(0.75*C2329+0.25*D2329)/(0.75*C2329+0.25*D2329)+(1-w_hbm)*(0.75*C2331+0.25*D2331)/(0.75*C2331+0.25*D2331)</f>
        <v>1</v>
      </c>
      <c r="D2342" s="19" t="n">
        <f aca="false">w_hbm*(0.75*D2329+0.25*E2329)/(0.75*C2329+0.25*D2329)+(1-w_hbm)*(0.75*D2331+0.25*E2331)/(0.75*C2331+0.25*D2331)</f>
        <v>1.65212184085657</v>
      </c>
      <c r="E2342" s="19" t="n">
        <f aca="false">w_hbm*(0.75*E2329+0.25*F2329)/(0.75*C2329+0.25*D2329)+(1-w_hbm)*(0.75*E2331+0.25*F2331)/(0.75*C2331+0.25*D2331)</f>
        <v>2.52516730417954</v>
      </c>
      <c r="F2342" s="19" t="n">
        <f aca="false">w_hbm*(0.75*F2329+0.25*G2329)/(0.75*C2329+0.25*D2329)+(1-w_hbm)*(0.75*F2331+0.25*G2331)/(0.75*C2331+0.25*D2331)</f>
        <v>3.16911970169284</v>
      </c>
      <c r="G2342" s="19" t="n">
        <f aca="false">w_hbm*(0.75*G2329+0.25*H2329)/(0.75*C2329+0.25*D2329)+(1-w_hbm)*(0.75*G2331+0.25*H2331)/(0.75*C2331+0.25*D2331)</f>
        <v>3.67439430985121</v>
      </c>
      <c r="J2342" s="8" t="s">
        <v>572</v>
      </c>
    </row>
    <row r="2343" customFormat="false" ht="15" hidden="false" customHeight="false" outlineLevel="0" collapsed="false">
      <c r="A2343" s="0" t="s">
        <v>573</v>
      </c>
      <c r="B2343" s="0" t="s">
        <v>33</v>
      </c>
      <c r="C2343" s="11" t="n">
        <f aca="false">tl_25*w_tlai*C2342</f>
        <v>25.4032258064516</v>
      </c>
      <c r="D2343" s="11" t="n">
        <f aca="false">tl_25*w_tlai*D2342</f>
        <v>41.9692241830499</v>
      </c>
      <c r="E2343" s="11" t="n">
        <f aca="false">tl_25*w_tlai*E2342</f>
        <v>64.1473952271414</v>
      </c>
      <c r="F2343" s="11" t="n">
        <f aca="false">tl_25*w_tlai*F2342</f>
        <v>80.5058633897778</v>
      </c>
      <c r="G2343" s="11" t="n">
        <f aca="false">tl_25*w_tlai*G2342</f>
        <v>93.3414683550913</v>
      </c>
      <c r="J2343" s="5" t="s">
        <v>574</v>
      </c>
    </row>
    <row r="2344" customFormat="false" ht="15" hidden="false" customHeight="false" outlineLevel="0" collapsed="false">
      <c r="A2344" s="5" t="s">
        <v>575</v>
      </c>
      <c r="B2344" s="0" t="s">
        <v>33</v>
      </c>
      <c r="C2344" s="11" t="n">
        <f aca="false">tl_25*(1-w_tlai)</f>
        <v>66.3434641935484</v>
      </c>
      <c r="D2344" s="11" t="n">
        <f aca="false">C2344*(1+g_tl)</f>
        <v>69.6606374032258</v>
      </c>
      <c r="E2344" s="11" t="n">
        <f aca="false">D2344*(1+g_tl)</f>
        <v>73.1436692733871</v>
      </c>
      <c r="F2344" s="11" t="n">
        <f aca="false">E2344*(1+g_tl)</f>
        <v>76.8008527370565</v>
      </c>
      <c r="G2344" s="11" t="n">
        <f aca="false">F2344*(1+g_tl)</f>
        <v>80.6408953739093</v>
      </c>
    </row>
    <row r="2345" customFormat="false" ht="15" hidden="false" customHeight="false" outlineLevel="0" collapsed="false">
      <c r="A2345" s="5" t="s">
        <v>576</v>
      </c>
      <c r="B2345" s="0" t="s">
        <v>33</v>
      </c>
      <c r="C2345" s="11" t="n">
        <f aca="false">(C2340+C2341+C2343+C2344)*(1+r_ot)</f>
        <v>436.889</v>
      </c>
      <c r="D2345" s="11" t="n">
        <f aca="false">(D2340+D2341+D2343+D2344)*(1+r_ot)</f>
        <v>507.306541711218</v>
      </c>
      <c r="E2345" s="11" t="n">
        <f aca="false">(E2340+E2341+E2343+E2344)*(1+r_ot)</f>
        <v>539.549374890105</v>
      </c>
      <c r="F2345" s="11" t="n">
        <f aca="false">(F2340+F2341+F2343+F2344)*(1+r_ot)</f>
        <v>570.789835683346</v>
      </c>
      <c r="G2345" s="11" t="n">
        <f aca="false">(G2340+G2341+G2343+G2344)*(1+r_ot)</f>
        <v>584.802978683729</v>
      </c>
      <c r="J2345" s="8" t="s">
        <v>577</v>
      </c>
    </row>
    <row r="2346" customFormat="false" ht="15" hidden="false" customHeight="false" outlineLevel="0" collapsed="false">
      <c r="A2346" s="1" t="s">
        <v>578</v>
      </c>
    </row>
    <row r="2347" customFormat="false" ht="15" hidden="false" customHeight="false" outlineLevel="0" collapsed="false">
      <c r="A2347" s="5" t="s">
        <v>579</v>
      </c>
      <c r="B2347" s="0" t="s">
        <v>33</v>
      </c>
      <c r="D2347" s="11" t="n">
        <f aca="false">g3_rev*(1+g_q4)</f>
        <v>145.6862</v>
      </c>
    </row>
    <row r="2348" customFormat="false" ht="15" hidden="false" customHeight="false" outlineLevel="0" collapsed="false">
      <c r="A2348" s="0" t="s">
        <v>580</v>
      </c>
      <c r="B2348" s="0" t="s">
        <v>33</v>
      </c>
      <c r="D2348" s="11" t="n">
        <f aca="false">q26h1_rev+g3_rev+D2347</f>
        <v>535.1862</v>
      </c>
    </row>
    <row r="2349" customFormat="false" ht="15" hidden="false" customHeight="false" outlineLevel="0" collapsed="false">
      <c r="A2349" s="0" t="s">
        <v>581</v>
      </c>
      <c r="B2349" s="0" t="s">
        <v>33</v>
      </c>
      <c r="D2349" s="11" t="n">
        <f aca="false">q26h1_gp+(g3_rev+D2347)*gm_q3</f>
        <v>378.0504836</v>
      </c>
    </row>
    <row r="2350" customFormat="false" ht="15" hidden="false" customHeight="false" outlineLevel="0" collapsed="false">
      <c r="A2350" s="0" t="s">
        <v>582</v>
      </c>
      <c r="B2350" s="0" t="s">
        <v>33</v>
      </c>
      <c r="D2350" s="11" t="n">
        <f aca="false">q26h1_oi+g3_oi+D2347*m_q4_hi</f>
        <v>241.480824</v>
      </c>
    </row>
    <row r="2351" customFormat="false" ht="15" hidden="false" customHeight="false" outlineLevel="0" collapsed="false">
      <c r="A2351" s="0" t="s">
        <v>583</v>
      </c>
      <c r="B2351" s="0" t="s">
        <v>33</v>
      </c>
      <c r="D2351" s="11" t="n">
        <f aca="false">q26h1_ni+g3_ni+D2347*m_q4_hi*nioi</f>
        <v>170.06068746053</v>
      </c>
    </row>
    <row r="2352" customFormat="false" ht="15" hidden="false" customHeight="false" outlineLevel="0" collapsed="false">
      <c r="A2352" s="5" t="s">
        <v>584</v>
      </c>
      <c r="B2352" s="0" t="s">
        <v>80</v>
      </c>
      <c r="D2352" s="16" t="n">
        <f aca="false">D2348/D2345</f>
        <v>1.05495623650888</v>
      </c>
      <c r="J2352" s="8" t="s">
        <v>585</v>
      </c>
    </row>
    <row r="2353" customFormat="false" ht="15" hidden="false" customHeight="false" outlineLevel="0" collapsed="false">
      <c r="A2353" s="5" t="s">
        <v>586</v>
      </c>
      <c r="B2353" s="0" t="s">
        <v>80</v>
      </c>
      <c r="D2353" s="16" t="n">
        <f aca="false">1+anc_carry*(D2352-1)</f>
        <v>1.05495623650888</v>
      </c>
      <c r="J2353" s="8" t="s">
        <v>587</v>
      </c>
    </row>
    <row r="2354" customFormat="false" ht="15" hidden="false" customHeight="false" outlineLevel="0" collapsed="false">
      <c r="A2354" s="1" t="s">
        <v>588</v>
      </c>
    </row>
    <row r="2355" customFormat="false" ht="15" hidden="false" customHeight="false" outlineLevel="0" collapsed="false">
      <c r="A2355" s="0" t="s">
        <v>589</v>
      </c>
      <c r="B2355" s="0" t="s">
        <v>33</v>
      </c>
      <c r="C2355" s="11" t="n">
        <f aca="false">C2338*1</f>
        <v>36</v>
      </c>
      <c r="D2355" s="11" t="n">
        <f aca="false">D2338*$D$2352</f>
        <v>43.9523870213896</v>
      </c>
      <c r="E2355" s="11" t="n">
        <f aca="false">E2338*1</f>
        <v>47.8549412356069</v>
      </c>
      <c r="F2355" s="11" t="n">
        <f aca="false">F2338*1</f>
        <v>44.8424159172644</v>
      </c>
      <c r="G2355" s="11" t="n">
        <f aca="false">G2338*1</f>
        <v>27.2548611466613</v>
      </c>
    </row>
    <row r="2356" customFormat="false" ht="15" hidden="false" customHeight="false" outlineLevel="0" collapsed="false">
      <c r="A2356" s="5" t="s">
        <v>590</v>
      </c>
      <c r="B2356" s="0" t="s">
        <v>33</v>
      </c>
      <c r="C2356" s="11" t="n">
        <f aca="false">C2339*1</f>
        <v>39</v>
      </c>
      <c r="D2356" s="11" t="n">
        <f aca="false">D2339*$D$2352</f>
        <v>63.4538860505921</v>
      </c>
      <c r="E2356" s="11" t="n">
        <f aca="false">E2339*1</f>
        <v>42.5991175746519</v>
      </c>
      <c r="F2356" s="11" t="n">
        <f aca="false">F2339*1</f>
        <v>38.320722254198</v>
      </c>
      <c r="G2356" s="11" t="n">
        <f aca="false">G2339*1</f>
        <v>36.8663955538204</v>
      </c>
    </row>
    <row r="2357" customFormat="false" ht="15" hidden="false" customHeight="false" outlineLevel="0" collapsed="false">
      <c r="A2357" s="0" t="s">
        <v>591</v>
      </c>
      <c r="B2357" s="0" t="s">
        <v>33</v>
      </c>
      <c r="C2357" s="11" t="n">
        <f aca="false">C2355+C2356</f>
        <v>75</v>
      </c>
      <c r="D2357" s="11" t="n">
        <f aca="false">D2355+D2356</f>
        <v>107.406273071982</v>
      </c>
      <c r="E2357" s="11" t="n">
        <f aca="false">E2355+E2356</f>
        <v>90.4540588102588</v>
      </c>
      <c r="F2357" s="11" t="n">
        <f aca="false">F2355+F2356</f>
        <v>83.1631381714624</v>
      </c>
      <c r="G2357" s="11" t="n">
        <f aca="false">G2355+G2356</f>
        <v>64.1212567004817</v>
      </c>
    </row>
    <row r="2358" customFormat="false" ht="15" hidden="false" customHeight="false" outlineLevel="0" collapsed="false">
      <c r="A2358" s="5" t="s">
        <v>592</v>
      </c>
      <c r="B2358" s="0" t="s">
        <v>33</v>
      </c>
      <c r="C2358" s="11" t="n">
        <f aca="false">C2341*1</f>
        <v>195.87118</v>
      </c>
      <c r="D2358" s="11" t="n">
        <f aca="false">D2341*$D$2352</f>
        <v>219.033654266954</v>
      </c>
      <c r="E2358" s="11" t="n">
        <f aca="false">E2341*$D$2353</f>
        <v>232.175673522971</v>
      </c>
      <c r="F2358" s="11" t="n">
        <f aca="false">F2341*$D$2353</f>
        <v>246.106213934349</v>
      </c>
      <c r="G2358" s="11" t="n">
        <f aca="false">G2341*$D$2353</f>
        <v>260.87258677041</v>
      </c>
    </row>
    <row r="2359" customFormat="false" ht="15" hidden="false" customHeight="false" outlineLevel="0" collapsed="false">
      <c r="A2359" s="5" t="s">
        <v>593</v>
      </c>
      <c r="B2359" s="0" t="s">
        <v>33</v>
      </c>
      <c r="C2359" s="11" t="n">
        <f aca="false">C2357+C2358</f>
        <v>270.87118</v>
      </c>
      <c r="D2359" s="11" t="n">
        <f aca="false">D2357+D2358</f>
        <v>326.439927338936</v>
      </c>
      <c r="E2359" s="11" t="n">
        <f aca="false">E2357+E2358</f>
        <v>322.62973233323</v>
      </c>
      <c r="F2359" s="11" t="n">
        <f aca="false">F2357+F2358</f>
        <v>329.269352105812</v>
      </c>
      <c r="G2359" s="11" t="n">
        <f aca="false">G2357+G2358</f>
        <v>324.993843470892</v>
      </c>
    </row>
    <row r="2360" customFormat="false" ht="15" hidden="false" customHeight="false" outlineLevel="0" collapsed="false">
      <c r="A2360" s="0" t="s">
        <v>594</v>
      </c>
      <c r="B2360" s="0" t="s">
        <v>33</v>
      </c>
      <c r="C2360" s="11" t="n">
        <f aca="false">C2343*1</f>
        <v>25.4032258064516</v>
      </c>
      <c r="D2360" s="11" t="n">
        <f aca="false">D2343*$D$2352</f>
        <v>44.2756947933477</v>
      </c>
      <c r="E2360" s="11" t="n">
        <f aca="false">E2343*1</f>
        <v>64.1473952271414</v>
      </c>
      <c r="F2360" s="11" t="n">
        <f aca="false">F2343*1</f>
        <v>80.5058633897778</v>
      </c>
      <c r="G2360" s="11" t="n">
        <f aca="false">G2343*1</f>
        <v>93.3414683550913</v>
      </c>
    </row>
    <row r="2361" customFormat="false" ht="15" hidden="false" customHeight="false" outlineLevel="0" collapsed="false">
      <c r="A2361" s="5" t="s">
        <v>595</v>
      </c>
      <c r="B2361" s="0" t="s">
        <v>33</v>
      </c>
      <c r="C2361" s="11" t="n">
        <f aca="false">C2344*1</f>
        <v>66.3434641935484</v>
      </c>
      <c r="D2361" s="11" t="n">
        <f aca="false">D2344*$D$2352</f>
        <v>73.4889238677166</v>
      </c>
      <c r="E2361" s="11" t="n">
        <f aca="false">E2344*$D$2353</f>
        <v>77.1633700611024</v>
      </c>
      <c r="F2361" s="11" t="n">
        <f aca="false">F2344*$D$2353</f>
        <v>81.0215385641575</v>
      </c>
      <c r="G2361" s="11" t="n">
        <f aca="false">G2344*$D$2353</f>
        <v>85.0726154923654</v>
      </c>
    </row>
    <row r="2362" customFormat="false" ht="15" hidden="false" customHeight="false" outlineLevel="0" collapsed="false">
      <c r="A2362" s="5" t="s">
        <v>596</v>
      </c>
      <c r="B2362" s="0" t="s">
        <v>33</v>
      </c>
      <c r="C2362" s="11" t="n">
        <f aca="false">C2360+C2361</f>
        <v>91.74669</v>
      </c>
      <c r="D2362" s="11" t="n">
        <f aca="false">D2360+D2361</f>
        <v>117.764618661064</v>
      </c>
      <c r="E2362" s="11" t="n">
        <f aca="false">E2360+E2361</f>
        <v>141.310765288244</v>
      </c>
      <c r="F2362" s="11" t="n">
        <f aca="false">F2360+F2361</f>
        <v>161.527401953935</v>
      </c>
      <c r="G2362" s="11" t="n">
        <f aca="false">G2360+G2361</f>
        <v>178.414083847457</v>
      </c>
    </row>
    <row r="2363" customFormat="false" ht="15" hidden="false" customHeight="false" outlineLevel="0" collapsed="false">
      <c r="A2363" s="5" t="s">
        <v>458</v>
      </c>
      <c r="B2363" s="0" t="s">
        <v>33</v>
      </c>
      <c r="C2363" s="11" t="n">
        <f aca="false">r_ot*(C2359+C2362)</f>
        <v>74.27113</v>
      </c>
      <c r="D2363" s="11" t="n">
        <f aca="false">r_ot*(D2359+D2362)</f>
        <v>90.981654</v>
      </c>
      <c r="E2363" s="11" t="n">
        <f aca="false">r_ot*(E2359+E2362)</f>
        <v>95.0239573441573</v>
      </c>
      <c r="F2363" s="11" t="n">
        <f aca="false">r_ot*(F2359+F2362)</f>
        <v>100.524636373683</v>
      </c>
      <c r="G2363" s="11" t="n">
        <f aca="false">r_ot*(G2359+G2362)</f>
        <v>103.107647763999</v>
      </c>
    </row>
    <row r="2364" customFormat="false" ht="15" hidden="false" customHeight="false" outlineLevel="0" collapsed="false">
      <c r="A2364" s="5" t="s">
        <v>428</v>
      </c>
      <c r="B2364" s="0" t="s">
        <v>33</v>
      </c>
      <c r="C2364" s="11" t="n">
        <f aca="false">C2359+C2362+C2363</f>
        <v>436.889</v>
      </c>
      <c r="D2364" s="11" t="n">
        <f aca="false">D2359+D2362+D2363</f>
        <v>535.1862</v>
      </c>
      <c r="E2364" s="11" t="n">
        <f aca="false">E2359+E2362+E2363</f>
        <v>558.964454965631</v>
      </c>
      <c r="F2364" s="11" t="n">
        <f aca="false">F2359+F2362+F2363</f>
        <v>591.32139043343</v>
      </c>
      <c r="G2364" s="11" t="n">
        <f aca="false">G2359+G2362+G2363</f>
        <v>606.515575082348</v>
      </c>
      <c r="J2364" s="8" t="s">
        <v>597</v>
      </c>
    </row>
    <row r="2365" customFormat="false" ht="15" hidden="false" customHeight="false" outlineLevel="0" collapsed="false">
      <c r="A2365" s="0" t="s">
        <v>598</v>
      </c>
      <c r="B2365" s="0" t="s">
        <v>60</v>
      </c>
      <c r="C2365" s="14" t="n">
        <f aca="false">(C2357+C2360)*(1+r_ot)/C2364</f>
        <v>0.276884384673187</v>
      </c>
      <c r="D2365" s="14" t="n">
        <f aca="false">(D2357+D2360)*(1+r_ot)/D2364</f>
        <v>0.341468742792492</v>
      </c>
      <c r="E2365" s="14" t="n">
        <f aca="false">(E2357+E2360)*(1+r_ot)/E2364</f>
        <v>0.333235522292211</v>
      </c>
      <c r="F2365" s="14" t="n">
        <f aca="false">(F2357+F2360)*(1+r_ot)/F2364</f>
        <v>0.333476128779197</v>
      </c>
      <c r="G2365" s="14" t="n">
        <f aca="false">(G2357+G2360)*(1+r_ot)/G2364</f>
        <v>0.312793495117123</v>
      </c>
    </row>
    <row r="2366" customFormat="false" ht="15" hidden="false" customHeight="false" outlineLevel="0" collapsed="false">
      <c r="A2366" s="0" t="s">
        <v>599</v>
      </c>
      <c r="B2366" s="0" t="s">
        <v>60</v>
      </c>
      <c r="C2366" s="14" t="n">
        <f aca="false">C2357*(1+r_ot)/C2364</f>
        <v>0.206829299394429</v>
      </c>
      <c r="D2366" s="14" t="n">
        <f aca="false">D2357*(1+r_ot)/D2364</f>
        <v>0.241794628261148</v>
      </c>
      <c r="E2366" s="14" t="n">
        <f aca="false">E2357*(1+r_ot)/E2364</f>
        <v>0.194969094687784</v>
      </c>
      <c r="F2366" s="14" t="n">
        <f aca="false">F2357*(1+r_ot)/F2364</f>
        <v>0.16944516744163</v>
      </c>
      <c r="G2366" s="14" t="n">
        <f aca="false">G2357*(1+r_ot)/G2364</f>
        <v>0.12737434835811</v>
      </c>
      <c r="J2366" s="5" t="s">
        <v>600</v>
      </c>
    </row>
    <row r="2367" customFormat="false" ht="15" hidden="false" customHeight="false" outlineLevel="0" collapsed="false">
      <c r="A2367" s="5" t="s">
        <v>466</v>
      </c>
      <c r="B2367" s="0" t="s">
        <v>60</v>
      </c>
      <c r="C2367" s="14" t="n">
        <f aca="false">a25_gp/a25_rev</f>
        <v>0.701498549974936</v>
      </c>
      <c r="D2367" s="14" t="n">
        <f aca="false">D2349/D2364</f>
        <v>0.70639056761927</v>
      </c>
      <c r="E2367" s="14" t="n">
        <f aca="false">gm_a+gm_b*LN(E2364)+0</f>
        <v>0.730501245911974</v>
      </c>
      <c r="F2367" s="14" t="n">
        <f aca="false">gm_a+gm_b*LN(F2364)+0</f>
        <v>0.736906664378218</v>
      </c>
      <c r="G2367" s="14" t="n">
        <f aca="false">gm_a+gm_b*LN(G2364)+0</f>
        <v>0.739794512150511</v>
      </c>
      <c r="J2367" s="8" t="s">
        <v>601</v>
      </c>
    </row>
    <row r="2368" customFormat="false" ht="15" hidden="false" customHeight="false" outlineLevel="0" collapsed="false">
      <c r="A2368" s="5" t="s">
        <v>463</v>
      </c>
      <c r="B2368" s="0" t="s">
        <v>33</v>
      </c>
      <c r="C2368" s="11" t="n">
        <f aca="false">C2364*C2367</f>
        <v>306.477</v>
      </c>
      <c r="D2368" s="11" t="n">
        <f aca="false">D2364*D2367</f>
        <v>378.0504836</v>
      </c>
      <c r="E2368" s="11" t="n">
        <f aca="false">E2364*E2367</f>
        <v>408.324230772901</v>
      </c>
      <c r="F2368" s="11" t="n">
        <f aca="false">F2364*F2367</f>
        <v>435.748673399789</v>
      </c>
      <c r="G2368" s="11" t="n">
        <f aca="false">G2364*G2367</f>
        <v>448.696893979733</v>
      </c>
    </row>
    <row r="2369" customFormat="false" ht="15" hidden="false" customHeight="false" outlineLevel="0" collapsed="false">
      <c r="A2369" s="5" t="s">
        <v>464</v>
      </c>
      <c r="B2369" s="0" t="s">
        <v>33</v>
      </c>
      <c r="C2369" s="11" t="n">
        <f aca="false">a25_sga</f>
        <v>121.487</v>
      </c>
      <c r="D2369" s="11" t="n">
        <f aca="false">D2368-D2350</f>
        <v>136.5696596</v>
      </c>
      <c r="E2369" s="11" t="n">
        <f aca="false">sg_f+sg_v*E2364</f>
        <v>149.187544002062</v>
      </c>
      <c r="F2369" s="11" t="n">
        <f aca="false">sg_f+sg_v*F2364</f>
        <v>157.353367839138</v>
      </c>
      <c r="G2369" s="11" t="n">
        <f aca="false">sg_f+sg_v*G2364</f>
        <v>161.187879154788</v>
      </c>
      <c r="J2369" s="8" t="s">
        <v>602</v>
      </c>
    </row>
    <row r="2370" customFormat="false" ht="15" hidden="false" customHeight="false" outlineLevel="0" collapsed="false">
      <c r="A2370" s="5" t="s">
        <v>432</v>
      </c>
      <c r="B2370" s="0" t="s">
        <v>33</v>
      </c>
      <c r="C2370" s="11" t="n">
        <f aca="false">C2368-C2369</f>
        <v>184.99</v>
      </c>
      <c r="D2370" s="11" t="n">
        <f aca="false">D2368-D2369</f>
        <v>241.480824</v>
      </c>
      <c r="E2370" s="11" t="n">
        <f aca="false">E2368-E2369</f>
        <v>259.136686770839</v>
      </c>
      <c r="F2370" s="11" t="n">
        <f aca="false">F2368-F2369</f>
        <v>278.395305560652</v>
      </c>
      <c r="G2370" s="11" t="n">
        <f aca="false">G2368-G2369</f>
        <v>287.509014824944</v>
      </c>
    </row>
    <row r="2371" customFormat="false" ht="15" hidden="false" customHeight="false" outlineLevel="0" collapsed="false">
      <c r="A2371" s="5" t="s">
        <v>603</v>
      </c>
      <c r="B2371" s="0" t="s">
        <v>60</v>
      </c>
      <c r="C2371" s="14" t="n">
        <f aca="false">C2370/C2364</f>
        <v>0.423425629851061</v>
      </c>
      <c r="D2371" s="14" t="n">
        <f aca="false">D2370/D2364</f>
        <v>0.451208988572575</v>
      </c>
      <c r="E2371" s="14" t="n">
        <f aca="false">E2370/E2364</f>
        <v>0.463601369405094</v>
      </c>
      <c r="F2371" s="14" t="n">
        <f aca="false">F2370/F2364</f>
        <v>0.470802020803935</v>
      </c>
      <c r="G2371" s="14" t="n">
        <f aca="false">G2370/G2364</f>
        <v>0.47403401765224</v>
      </c>
    </row>
    <row r="2372" customFormat="false" ht="15" hidden="false" customHeight="false" outlineLevel="0" collapsed="false">
      <c r="A2372" s="5" t="s">
        <v>435</v>
      </c>
      <c r="B2372" s="0" t="s">
        <v>33</v>
      </c>
      <c r="C2372" s="11" t="n">
        <f aca="false">a25_ni</f>
        <v>135.521</v>
      </c>
      <c r="D2372" s="11" t="n">
        <f aca="false">D2351</f>
        <v>170.06068746053</v>
      </c>
      <c r="E2372" s="11" t="n">
        <f aca="false">E2370*nioi</f>
        <v>186.883003736634</v>
      </c>
      <c r="F2372" s="11" t="n">
        <f aca="false">F2370*nioi</f>
        <v>200.771845845825</v>
      </c>
      <c r="G2372" s="11" t="n">
        <f aca="false">G2370*nioi</f>
        <v>207.344428769985</v>
      </c>
    </row>
    <row r="2373" customFormat="false" ht="15" hidden="false" customHeight="false" outlineLevel="0" collapsed="false">
      <c r="A2373" s="0" t="s">
        <v>524</v>
      </c>
      <c r="B2373" s="0" t="s">
        <v>55</v>
      </c>
      <c r="C2373" s="11" t="n">
        <f aca="false">a25_eps</f>
        <v>1249.84</v>
      </c>
      <c r="D2373" s="11" t="n">
        <f aca="false">D2372*1000/shares</f>
        <v>1567.65584767448</v>
      </c>
      <c r="E2373" s="11" t="n">
        <f aca="false">E2372*1000/shares</f>
        <v>1722.72756281021</v>
      </c>
      <c r="F2373" s="11" t="n">
        <f aca="false">F2372*1000/shares</f>
        <v>1850.75788466196</v>
      </c>
      <c r="G2373" s="11" t="n">
        <f aca="false">G2372*1000/shares</f>
        <v>1911.34536204573</v>
      </c>
    </row>
    <row r="2374" customFormat="false" ht="15" hidden="false" customHeight="false" outlineLevel="0" collapsed="false">
      <c r="A2374" s="5" t="s">
        <v>604</v>
      </c>
      <c r="B2374" s="0" t="s">
        <v>33</v>
      </c>
      <c r="C2374" s="16" t="n">
        <f aca="false">ABS(C2364-a25_rev)+ABS(C2370-a25_oi)+ABS(D2364-D2348)+ABS(D2370-D2350)</f>
        <v>0.000999999999976353</v>
      </c>
    </row>
    <row r="2375" customFormat="false" ht="15" hidden="false" customHeight="false" outlineLevel="0" collapsed="false">
      <c r="A2375" s="1" t="s">
        <v>605</v>
      </c>
    </row>
    <row r="2376" customFormat="false" ht="15" hidden="false" customHeight="false" outlineLevel="0" collapsed="false">
      <c r="A2376" s="5" t="s">
        <v>606</v>
      </c>
      <c r="B2376" s="0" t="s">
        <v>60</v>
      </c>
      <c r="C2376" s="14" t="n">
        <f aca="false">a25_gp/a25_rev</f>
        <v>0.701498549974936</v>
      </c>
      <c r="D2376" s="14" t="n">
        <f aca="false">gm_a+gm_b*LN(D2345)+0</f>
        <v>0.719463492058136</v>
      </c>
      <c r="E2376" s="14" t="n">
        <f aca="false">gm_a+gm_b*LN(E2345)+0</f>
        <v>0.726477317954067</v>
      </c>
      <c r="F2376" s="14" t="n">
        <f aca="false">gm_a+gm_b*LN(F2345)+0</f>
        <v>0.73288421444391</v>
      </c>
      <c r="G2376" s="14" t="n">
        <f aca="false">gm_a+gm_b*LN(G2345)+0</f>
        <v>0.735644940559218</v>
      </c>
    </row>
    <row r="2377" customFormat="false" ht="15" hidden="false" customHeight="false" outlineLevel="0" collapsed="false">
      <c r="A2377" s="5" t="s">
        <v>607</v>
      </c>
      <c r="B2377" s="0" t="s">
        <v>33</v>
      </c>
      <c r="C2377" s="11" t="n">
        <f aca="false">a25_oi</f>
        <v>184.989</v>
      </c>
      <c r="D2377" s="11" t="n">
        <f aca="false">D2345*D2376-sg_f-sg_v*D2345</f>
        <v>228.837746398039</v>
      </c>
      <c r="E2377" s="11" t="n">
        <f aca="false">E2345*E2376-sg_f-sg_v*E2345</f>
        <v>247.68256494767</v>
      </c>
      <c r="F2377" s="11" t="n">
        <f aca="false">F2345*F2376-sg_f-sg_v*F2345</f>
        <v>266.150980076278</v>
      </c>
      <c r="G2377" s="11" t="n">
        <f aca="false">G2345*G2376-sg_f-sg_v*G2345</f>
        <v>274.499016893924</v>
      </c>
    </row>
    <row r="2378" customFormat="false" ht="15" hidden="false" customHeight="false" outlineLevel="0" collapsed="false">
      <c r="A2378" s="0" t="s">
        <v>608</v>
      </c>
      <c r="B2378" s="0" t="s">
        <v>55</v>
      </c>
      <c r="C2378" s="11" t="n">
        <f aca="false">a25_eps</f>
        <v>1249.84</v>
      </c>
      <c r="D2378" s="11" t="n">
        <f aca="false">D2377*nioi_v01*1000/shares</f>
        <v>1545.37951653183</v>
      </c>
      <c r="E2378" s="11" t="n">
        <f aca="false">E2377*nioi_v01*1000/shares</f>
        <v>1672.64172321648</v>
      </c>
      <c r="F2378" s="11" t="n">
        <f aca="false">F2377*nioi_v01*1000/shares</f>
        <v>1797.36201474092</v>
      </c>
      <c r="G2378" s="11" t="n">
        <f aca="false">G2377*nioi_v01*1000/shares</f>
        <v>1853.73770146352</v>
      </c>
    </row>
    <row r="2390" customFormat="false" ht="15" hidden="false" customHeight="false" outlineLevel="0" collapsed="false">
      <c r="A2390" s="4" t="s">
        <v>854</v>
      </c>
    </row>
    <row r="2391" customFormat="false" ht="15" hidden="false" customHeight="false" outlineLevel="0" collapsed="false">
      <c r="A2391" s="6" t="s">
        <v>22</v>
      </c>
      <c r="B2391" s="6" t="s">
        <v>23</v>
      </c>
      <c r="C2391" s="9" t="s">
        <v>532</v>
      </c>
      <c r="D2391" s="9" t="s">
        <v>533</v>
      </c>
      <c r="E2391" s="9" t="s">
        <v>534</v>
      </c>
      <c r="F2391" s="9" t="s">
        <v>535</v>
      </c>
      <c r="G2391" s="9" t="s">
        <v>536</v>
      </c>
      <c r="H2391" s="9" t="s">
        <v>537</v>
      </c>
      <c r="I2391" s="9" t="s">
        <v>538</v>
      </c>
      <c r="J2391" s="6" t="s">
        <v>515</v>
      </c>
    </row>
    <row r="2392" customFormat="false" ht="15" hidden="false" customHeight="false" outlineLevel="0" collapsed="false">
      <c r="A2392" s="1" t="s">
        <v>539</v>
      </c>
    </row>
    <row r="2393" customFormat="false" ht="15" hidden="false" customHeight="false" outlineLevel="0" collapsed="false">
      <c r="A2393" s="0" t="s">
        <v>540</v>
      </c>
      <c r="B2393" s="0" t="s">
        <v>100</v>
      </c>
      <c r="C2393" s="19" t="n">
        <f aca="false">hsA_25</f>
        <v>2.22511470588235</v>
      </c>
      <c r="D2393" s="19" t="n">
        <f aca="false">hsA_26</f>
        <v>3.782695</v>
      </c>
      <c r="E2393" s="19" t="n">
        <f aca="false">hsA_27</f>
        <v>5.86317725</v>
      </c>
      <c r="F2393" s="19" t="n">
        <f aca="false">hsA_28</f>
        <v>8.5016070125</v>
      </c>
      <c r="G2393" s="19" t="n">
        <f aca="false">hsA_29</f>
        <v>11.477169466875</v>
      </c>
      <c r="H2393" s="19" t="n">
        <f aca="false">G2393*(1+g_tail)</f>
        <v>12.6248864135625</v>
      </c>
      <c r="I2393" s="19" t="n">
        <f aca="false">H2393*(1+g_tail)</f>
        <v>13.8873750549188</v>
      </c>
      <c r="J2393" s="8" t="s">
        <v>541</v>
      </c>
    </row>
    <row r="2394" customFormat="false" ht="15" hidden="false" customHeight="false" outlineLevel="0" collapsed="false">
      <c r="A2394" s="0" t="s">
        <v>542</v>
      </c>
      <c r="B2394" s="0" t="s">
        <v>543</v>
      </c>
      <c r="C2394" s="19" t="n">
        <f aca="false">den_25</f>
        <v>24</v>
      </c>
      <c r="D2394" s="19" t="n">
        <f aca="false">den_26</f>
        <v>24</v>
      </c>
      <c r="E2394" s="19" t="n">
        <f aca="false">den_27</f>
        <v>26</v>
      </c>
      <c r="F2394" s="19" t="n">
        <f aca="false">den_28</f>
        <v>28</v>
      </c>
      <c r="G2394" s="19" t="n">
        <f aca="false">den_29</f>
        <v>30</v>
      </c>
      <c r="H2394" s="19" t="n">
        <f aca="false">den_30</f>
        <v>32</v>
      </c>
      <c r="I2394" s="19" t="n">
        <f aca="false">den_30</f>
        <v>32</v>
      </c>
    </row>
    <row r="2395" customFormat="false" ht="15" hidden="false" customHeight="false" outlineLevel="0" collapsed="false">
      <c r="A2395" s="5" t="s">
        <v>544</v>
      </c>
      <c r="B2395" s="5" t="s">
        <v>152</v>
      </c>
      <c r="C2395" s="19" t="n">
        <f aca="false">stk_25</f>
        <v>10</v>
      </c>
      <c r="D2395" s="19" t="n">
        <f aca="false">stk_26</f>
        <v>12</v>
      </c>
      <c r="E2395" s="19" t="n">
        <f aca="false">stk_27</f>
        <v>12.5</v>
      </c>
      <c r="F2395" s="19" t="n">
        <f aca="false">stk_28</f>
        <v>14</v>
      </c>
      <c r="G2395" s="19" t="n">
        <f aca="false">stk_29</f>
        <v>15</v>
      </c>
      <c r="H2395" s="19" t="n">
        <f aca="false">stk_30</f>
        <v>16</v>
      </c>
      <c r="I2395" s="19" t="n">
        <f aca="false">stk_30</f>
        <v>16</v>
      </c>
    </row>
    <row r="2396" customFormat="false" ht="15" hidden="false" customHeight="false" outlineLevel="0" collapsed="false">
      <c r="A2396" s="0" t="s">
        <v>545</v>
      </c>
      <c r="B2396" s="5" t="s">
        <v>546</v>
      </c>
      <c r="C2396" s="19" t="n">
        <f aca="false">C2393*8/C2394</f>
        <v>0.741704901960783</v>
      </c>
      <c r="D2396" s="19" t="n">
        <f aca="false">D2393*8/D2394</f>
        <v>1.26089833333333</v>
      </c>
      <c r="E2396" s="19" t="n">
        <f aca="false">E2393*8/E2394</f>
        <v>1.80405453846154</v>
      </c>
      <c r="F2396" s="19" t="n">
        <f aca="false">F2393*8/F2394</f>
        <v>2.429030575</v>
      </c>
      <c r="G2396" s="19" t="n">
        <f aca="false">G2393*8/G2394</f>
        <v>3.0605785245</v>
      </c>
      <c r="H2396" s="19" t="n">
        <f aca="false">H2393*8/H2394</f>
        <v>3.15622160339063</v>
      </c>
      <c r="I2396" s="19" t="n">
        <f aca="false">I2393*8/I2394</f>
        <v>3.47184376372969</v>
      </c>
      <c r="J2396" s="8" t="s">
        <v>547</v>
      </c>
    </row>
    <row r="2397" customFormat="false" ht="15" hidden="false" customHeight="false" outlineLevel="0" collapsed="false">
      <c r="A2397" s="0" t="s">
        <v>548</v>
      </c>
      <c r="B2397" s="5" t="s">
        <v>549</v>
      </c>
      <c r="C2397" s="19" t="n">
        <f aca="false">C2396*(1+s_stk/C2395)</f>
        <v>0.964216372549018</v>
      </c>
      <c r="D2397" s="19" t="n">
        <f aca="false">D2396*(1+s_stk/D2395)</f>
        <v>1.57612291666667</v>
      </c>
      <c r="E2397" s="19" t="n">
        <f aca="false">E2396*(1+s_stk/E2395)</f>
        <v>2.23702762769231</v>
      </c>
      <c r="F2397" s="19" t="n">
        <f aca="false">F2396*(1+s_stk/F2395)</f>
        <v>2.94953712678571</v>
      </c>
      <c r="G2397" s="19" t="n">
        <f aca="false">G2396*(1+s_stk/G2395)</f>
        <v>3.6726942294</v>
      </c>
      <c r="H2397" s="19" t="n">
        <f aca="false">H2396*(1+s_stk/H2395)</f>
        <v>3.74801315402637</v>
      </c>
      <c r="I2397" s="19" t="n">
        <f aca="false">I2396*(1+s_stk/I2395)</f>
        <v>4.12281446942901</v>
      </c>
      <c r="J2397" s="5" t="s">
        <v>550</v>
      </c>
    </row>
    <row r="2398" customFormat="false" ht="15" hidden="false" customHeight="false" outlineLevel="0" collapsed="false">
      <c r="A2398" s="5" t="s">
        <v>551</v>
      </c>
      <c r="B2398" s="0" t="s">
        <v>60</v>
      </c>
      <c r="C2398" s="22" t="n">
        <f aca="false">hbp_25*hb_on</f>
        <v>0</v>
      </c>
      <c r="D2398" s="22" t="n">
        <f aca="false">hbp_26*hb_on</f>
        <v>0</v>
      </c>
      <c r="E2398" s="22" t="n">
        <f aca="false">hbp_27*hb_on</f>
        <v>0</v>
      </c>
      <c r="F2398" s="22" t="n">
        <f aca="false">hbp_28*hb_on</f>
        <v>0.05</v>
      </c>
      <c r="G2398" s="22" t="n">
        <f aca="false">hbp_29*hb_on</f>
        <v>0.15</v>
      </c>
      <c r="H2398" s="22" t="n">
        <f aca="false">hbp_30*hb_on</f>
        <v>0.25</v>
      </c>
      <c r="I2398" s="22" t="n">
        <f aca="false">hbp_30*hb_on</f>
        <v>0.25</v>
      </c>
    </row>
    <row r="2399" customFormat="false" ht="15" hidden="false" customHeight="false" outlineLevel="0" collapsed="false">
      <c r="A2399" s="0" t="s">
        <v>552</v>
      </c>
      <c r="B2399" s="5" t="s">
        <v>549</v>
      </c>
      <c r="C2399" s="19" t="n">
        <f aca="false">C2397*(1+C2398*hb_eff)</f>
        <v>0.964216372549018</v>
      </c>
      <c r="D2399" s="19" t="n">
        <f aca="false">D2397*(1+D2398*hb_eff)</f>
        <v>1.57612291666667</v>
      </c>
      <c r="E2399" s="19" t="n">
        <f aca="false">E2397*(1+E2398*hb_eff)</f>
        <v>2.23702762769231</v>
      </c>
      <c r="F2399" s="19" t="n">
        <f aca="false">F2397*(1+F2398*hb_eff)</f>
        <v>2.96428481241964</v>
      </c>
      <c r="G2399" s="19" t="n">
        <f aca="false">G2397*(1+G2398*hb_eff)</f>
        <v>3.727784642841</v>
      </c>
      <c r="H2399" s="19" t="n">
        <f aca="false">H2397*(1+H2398*hb_eff)</f>
        <v>3.84171348287703</v>
      </c>
      <c r="I2399" s="19" t="n">
        <f aca="false">I2397*(1+I2398*hb_eff)</f>
        <v>4.22588483116473</v>
      </c>
      <c r="J2399" s="5" t="s">
        <v>553</v>
      </c>
    </row>
    <row r="2400" customFormat="false" ht="15" hidden="false" customHeight="false" outlineLevel="0" collapsed="false">
      <c r="A2400" s="0" t="s">
        <v>554</v>
      </c>
      <c r="B2400" s="5" t="s">
        <v>549</v>
      </c>
      <c r="C2400" s="19" t="n">
        <f aca="false">MAX(0,D2399-C2399)+dlt*C2399</f>
        <v>0.70832818137255</v>
      </c>
      <c r="D2400" s="19" t="n">
        <f aca="false">MAX(0,E2399-D2399)+dlt*D2399</f>
        <v>0.818517002692307</v>
      </c>
      <c r="E2400" s="19" t="n">
        <f aca="false">MAX(0,F2399-E2399)+dlt*E2399</f>
        <v>0.950959947496565</v>
      </c>
      <c r="F2400" s="19" t="n">
        <f aca="false">MAX(0,G2399-F2399)+dlt*F2399</f>
        <v>1.05992831166332</v>
      </c>
      <c r="G2400" s="19" t="n">
        <f aca="false">MAX(0,H2399-G2399)+dlt*G2399</f>
        <v>0.486707304320127</v>
      </c>
      <c r="H2400" s="19" t="n">
        <f aca="false">MAX(0,I2399-H2399)+dlt*H2399</f>
        <v>0.768342696575406</v>
      </c>
      <c r="J2400" s="5" t="s">
        <v>555</v>
      </c>
    </row>
    <row r="2401" customFormat="false" ht="15" hidden="false" customHeight="false" outlineLevel="0" collapsed="false">
      <c r="A2401" s="0" t="s">
        <v>556</v>
      </c>
      <c r="B2401" s="5" t="s">
        <v>181</v>
      </c>
      <c r="C2401" s="21" t="n">
        <f aca="false">cw_25</f>
        <v>670</v>
      </c>
      <c r="D2401" s="21" t="n">
        <f aca="false">cw_26</f>
        <v>1107.85762580894</v>
      </c>
      <c r="E2401" s="21" t="n">
        <f aca="false">cw_27</f>
        <v>2096.42857142857</v>
      </c>
      <c r="F2401" s="21" t="n">
        <f aca="false">cw_28*um28_A</f>
        <v>2620.08928571429</v>
      </c>
      <c r="G2401" s="21" t="n">
        <f aca="false">cw_29*um29_A</f>
        <v>3013.32589285714</v>
      </c>
      <c r="H2401" s="21" t="n">
        <f aca="false">G2401*(1+g_tail)</f>
        <v>3314.65848214285</v>
      </c>
      <c r="I2401" s="21" t="n">
        <f aca="false">H2401*(1+g_tail)</f>
        <v>3646.12433035714</v>
      </c>
      <c r="J2401" s="5" t="s">
        <v>557</v>
      </c>
    </row>
    <row r="2402" customFormat="false" ht="15" hidden="false" customHeight="false" outlineLevel="0" collapsed="false">
      <c r="A2402" s="5" t="s">
        <v>558</v>
      </c>
      <c r="B2402" s="5" t="s">
        <v>181</v>
      </c>
      <c r="C2402" s="21" t="n">
        <f aca="false">MAX(0,D2401-C2401)+dlt*C2401</f>
        <v>504.85762580894</v>
      </c>
      <c r="D2402" s="21" t="n">
        <f aca="false">MAX(0,E2401-D2401)+dlt*D2401</f>
        <v>1099.35670820052</v>
      </c>
      <c r="E2402" s="21" t="n">
        <f aca="false">MAX(0,F2401-E2401)+dlt*E2401</f>
        <v>733.303571428577</v>
      </c>
      <c r="F2402" s="21" t="n">
        <f aca="false">MAX(0,G2401-F2401)+dlt*F2401</f>
        <v>655.245535714279</v>
      </c>
      <c r="G2402" s="21" t="n">
        <f aca="false">MAX(0,H2401-G2401)+dlt*G2401</f>
        <v>602.665178571428</v>
      </c>
      <c r="H2402" s="21" t="n">
        <f aca="false">MAX(0,I2401-H2401)+dlt*H2401</f>
        <v>662.931696428571</v>
      </c>
    </row>
    <row r="2403" customFormat="false" ht="15" hidden="false" customHeight="false" outlineLevel="0" collapsed="false">
      <c r="A2403" s="1" t="s">
        <v>559</v>
      </c>
    </row>
    <row r="2404" customFormat="false" ht="15" hidden="false" customHeight="false" outlineLevel="0" collapsed="false">
      <c r="A2404" s="0" t="s">
        <v>560</v>
      </c>
      <c r="B2404" s="0" t="s">
        <v>561</v>
      </c>
      <c r="C2404" s="16" t="n">
        <f aca="false">ai_25*w_hbm/(0.75*C2400+0.25*D2400)</f>
        <v>48.9213264236471</v>
      </c>
      <c r="J2404" s="5" t="s">
        <v>562</v>
      </c>
    </row>
    <row r="2405" customFormat="false" ht="15" hidden="false" customHeight="false" outlineLevel="0" collapsed="false">
      <c r="A2405" s="5" t="s">
        <v>563</v>
      </c>
      <c r="B2405" s="0" t="s">
        <v>564</v>
      </c>
      <c r="C2405" s="18" t="n">
        <f aca="false">ai_25*(1-w_hbm)/(0.75*C2402+0.25*D2402)</f>
        <v>0.0596802610360141</v>
      </c>
    </row>
    <row r="2406" customFormat="false" ht="15" hidden="false" customHeight="false" outlineLevel="0" collapsed="false">
      <c r="A2406" s="1" t="s">
        <v>565</v>
      </c>
    </row>
    <row r="2407" customFormat="false" ht="15" hidden="false" customHeight="false" outlineLevel="0" collapsed="false">
      <c r="A2407" s="5" t="s">
        <v>566</v>
      </c>
      <c r="B2407" s="0" t="s">
        <v>80</v>
      </c>
      <c r="C2407" s="16" t="n">
        <f aca="false">1-sh_loss/sh*0</f>
        <v>1</v>
      </c>
      <c r="D2407" s="16" t="n">
        <f aca="false">1-sh_loss/sh*0.25</f>
        <v>1</v>
      </c>
      <c r="E2407" s="16" t="n">
        <f aca="false">1-sh_loss/sh*0.5</f>
        <v>1</v>
      </c>
      <c r="F2407" s="16" t="n">
        <f aca="false">1-sh_loss/sh*0.75</f>
        <v>1</v>
      </c>
      <c r="G2407" s="16" t="n">
        <f aca="false">1-sh_loss/sh*1</f>
        <v>1</v>
      </c>
    </row>
    <row r="2408" customFormat="false" ht="15" hidden="false" customHeight="false" outlineLevel="0" collapsed="false">
      <c r="A2408" s="0" t="s">
        <v>567</v>
      </c>
      <c r="B2408" s="0" t="s">
        <v>33</v>
      </c>
      <c r="C2408" s="11" t="n">
        <f aca="false">$C$2404*(0.75*C2400+0.25*D2400)*C2407</f>
        <v>36</v>
      </c>
      <c r="D2408" s="11" t="n">
        <f aca="false">$C$2404*(0.75*D2400+0.25*E2400)*D2407</f>
        <v>41.6627586058351</v>
      </c>
      <c r="E2408" s="11" t="n">
        <f aca="false">$C$2404*(0.75*E2400+0.25*F2400)*E2407</f>
        <v>47.8549412356069</v>
      </c>
      <c r="F2408" s="11" t="n">
        <f aca="false">$C$2404*(0.75*F2400+0.25*G2400)*F2407</f>
        <v>44.8424159172644</v>
      </c>
      <c r="G2408" s="11" t="n">
        <f aca="false">$C$2404*(0.75*G2400+0.25*H2400)*G2407</f>
        <v>27.2548611466613</v>
      </c>
    </row>
    <row r="2409" customFormat="false" ht="15" hidden="false" customHeight="false" outlineLevel="0" collapsed="false">
      <c r="A2409" s="5" t="s">
        <v>568</v>
      </c>
      <c r="B2409" s="0" t="s">
        <v>33</v>
      </c>
      <c r="C2409" s="11" t="n">
        <f aca="false">$C$2405*(0.75*C2402+0.25*D2402)*C2407</f>
        <v>39</v>
      </c>
      <c r="D2409" s="11" t="n">
        <f aca="false">$C$2405*(0.75*D2402+0.25*E2402)*D2407</f>
        <v>60.1483586282001</v>
      </c>
      <c r="E2409" s="11" t="n">
        <f aca="false">$C$2405*(0.75*E2402+0.25*F2402)*E2407</f>
        <v>42.5991175746519</v>
      </c>
      <c r="F2409" s="11" t="n">
        <f aca="false">$C$2405*(0.75*F2402+0.25*G2402)*F2407</f>
        <v>38.320722254198</v>
      </c>
      <c r="G2409" s="11" t="n">
        <f aca="false">$C$2405*(0.75*G2402+0.25*H2402)*G2407</f>
        <v>36.8663955538204</v>
      </c>
    </row>
    <row r="2410" customFormat="false" ht="15" hidden="false" customHeight="false" outlineLevel="0" collapsed="false">
      <c r="A2410" s="0" t="s">
        <v>569</v>
      </c>
      <c r="B2410" s="0" t="s">
        <v>33</v>
      </c>
      <c r="C2410" s="11" t="n">
        <f aca="false">C2408+C2409</f>
        <v>75</v>
      </c>
      <c r="D2410" s="11" t="n">
        <f aca="false">D2408+D2409</f>
        <v>101.811117234035</v>
      </c>
      <c r="E2410" s="11" t="n">
        <f aca="false">E2408+E2409</f>
        <v>90.4540588102588</v>
      </c>
      <c r="F2410" s="11" t="n">
        <f aca="false">F2408+F2409</f>
        <v>83.1631381714624</v>
      </c>
      <c r="G2410" s="11" t="n">
        <f aca="false">G2408+G2409</f>
        <v>64.1212567004817</v>
      </c>
    </row>
    <row r="2411" customFormat="false" ht="15" hidden="false" customHeight="false" outlineLevel="0" collapsed="false">
      <c r="A2411" s="5" t="s">
        <v>570</v>
      </c>
      <c r="B2411" s="0" t="s">
        <v>33</v>
      </c>
      <c r="C2411" s="11" t="n">
        <f aca="false">eq_25-ai_25</f>
        <v>195.87118</v>
      </c>
      <c r="D2411" s="11" t="n">
        <f aca="false">C2411*(1+g_non)*D2407/C2407</f>
        <v>207.6234508</v>
      </c>
      <c r="E2411" s="11" t="n">
        <f aca="false">D2411*(1+g_non)*E2407/D2407</f>
        <v>220.080857848</v>
      </c>
      <c r="F2411" s="11" t="n">
        <f aca="false">E2411*(1+g_non)*F2407/E2407</f>
        <v>233.28570931888</v>
      </c>
      <c r="G2411" s="11" t="n">
        <f aca="false">F2411*(1+g_non)*G2407/F2407</f>
        <v>247.282851878013</v>
      </c>
    </row>
    <row r="2412" customFormat="false" ht="15" hidden="false" customHeight="false" outlineLevel="0" collapsed="false">
      <c r="A2412" s="0" t="s">
        <v>571</v>
      </c>
      <c r="B2412" s="0" t="s">
        <v>80</v>
      </c>
      <c r="C2412" s="19" t="n">
        <f aca="false">w_hbm*(0.75*C2399+0.25*D2399)/(0.75*C2399+0.25*D2399)+(1-w_hbm)*(0.75*C2401+0.25*D2401)/(0.75*C2401+0.25*D2401)</f>
        <v>1</v>
      </c>
      <c r="D2412" s="19" t="n">
        <f aca="false">w_hbm*(0.75*D2399+0.25*E2399)/(0.75*C2399+0.25*D2399)+(1-w_hbm)*(0.75*D2401+0.25*E2401)/(0.75*C2401+0.25*D2401)</f>
        <v>1.65212184085657</v>
      </c>
      <c r="E2412" s="19" t="n">
        <f aca="false">w_hbm*(0.75*E2399+0.25*F2399)/(0.75*C2399+0.25*D2399)+(1-w_hbm)*(0.75*E2401+0.25*F2401)/(0.75*C2401+0.25*D2401)</f>
        <v>2.52516730417954</v>
      </c>
      <c r="F2412" s="19" t="n">
        <f aca="false">w_hbm*(0.75*F2399+0.25*G2399)/(0.75*C2399+0.25*D2399)+(1-w_hbm)*(0.75*F2401+0.25*G2401)/(0.75*C2401+0.25*D2401)</f>
        <v>3.16911970169284</v>
      </c>
      <c r="G2412" s="19" t="n">
        <f aca="false">w_hbm*(0.75*G2399+0.25*H2399)/(0.75*C2399+0.25*D2399)+(1-w_hbm)*(0.75*G2401+0.25*H2401)/(0.75*C2401+0.25*D2401)</f>
        <v>3.67439430985121</v>
      </c>
      <c r="J2412" s="8" t="s">
        <v>572</v>
      </c>
    </row>
    <row r="2413" customFormat="false" ht="15" hidden="false" customHeight="false" outlineLevel="0" collapsed="false">
      <c r="A2413" s="0" t="s">
        <v>573</v>
      </c>
      <c r="B2413" s="0" t="s">
        <v>33</v>
      </c>
      <c r="C2413" s="11" t="n">
        <f aca="false">tl_25*w_tlai*C2412</f>
        <v>25.4032258064516</v>
      </c>
      <c r="D2413" s="11" t="n">
        <f aca="false">tl_25*w_tlai*D2412</f>
        <v>41.9692241830499</v>
      </c>
      <c r="E2413" s="11" t="n">
        <f aca="false">tl_25*w_tlai*E2412</f>
        <v>64.1473952271414</v>
      </c>
      <c r="F2413" s="11" t="n">
        <f aca="false">tl_25*w_tlai*F2412</f>
        <v>80.5058633897778</v>
      </c>
      <c r="G2413" s="11" t="n">
        <f aca="false">tl_25*w_tlai*G2412</f>
        <v>93.3414683550913</v>
      </c>
      <c r="J2413" s="5" t="s">
        <v>574</v>
      </c>
    </row>
    <row r="2414" customFormat="false" ht="15" hidden="false" customHeight="false" outlineLevel="0" collapsed="false">
      <c r="A2414" s="5" t="s">
        <v>575</v>
      </c>
      <c r="B2414" s="0" t="s">
        <v>33</v>
      </c>
      <c r="C2414" s="11" t="n">
        <f aca="false">tl_25*(1-w_tlai)</f>
        <v>66.3434641935484</v>
      </c>
      <c r="D2414" s="11" t="n">
        <f aca="false">C2414*(1+g_tl)</f>
        <v>69.6606374032258</v>
      </c>
      <c r="E2414" s="11" t="n">
        <f aca="false">D2414*(1+g_tl)</f>
        <v>73.1436692733871</v>
      </c>
      <c r="F2414" s="11" t="n">
        <f aca="false">E2414*(1+g_tl)</f>
        <v>76.8008527370565</v>
      </c>
      <c r="G2414" s="11" t="n">
        <f aca="false">F2414*(1+g_tl)</f>
        <v>80.6408953739093</v>
      </c>
    </row>
    <row r="2415" customFormat="false" ht="15" hidden="false" customHeight="false" outlineLevel="0" collapsed="false">
      <c r="A2415" s="5" t="s">
        <v>576</v>
      </c>
      <c r="B2415" s="0" t="s">
        <v>33</v>
      </c>
      <c r="C2415" s="11" t="n">
        <f aca="false">(C2410+C2411+C2413+C2414)*(1+r_ot)</f>
        <v>436.889</v>
      </c>
      <c r="D2415" s="11" t="n">
        <f aca="false">(D2410+D2411+D2413+D2414)*(1+r_ot)</f>
        <v>507.306541711218</v>
      </c>
      <c r="E2415" s="11" t="n">
        <f aca="false">(E2410+E2411+E2413+E2414)*(1+r_ot)</f>
        <v>539.549374890105</v>
      </c>
      <c r="F2415" s="11" t="n">
        <f aca="false">(F2410+F2411+F2413+F2414)*(1+r_ot)</f>
        <v>570.789835683346</v>
      </c>
      <c r="G2415" s="11" t="n">
        <f aca="false">(G2410+G2411+G2413+G2414)*(1+r_ot)</f>
        <v>584.802978683729</v>
      </c>
      <c r="J2415" s="8" t="s">
        <v>577</v>
      </c>
    </row>
    <row r="2416" customFormat="false" ht="15" hidden="false" customHeight="false" outlineLevel="0" collapsed="false">
      <c r="A2416" s="1" t="s">
        <v>578</v>
      </c>
    </row>
    <row r="2417" customFormat="false" ht="15" hidden="false" customHeight="false" outlineLevel="0" collapsed="false">
      <c r="A2417" s="5" t="s">
        <v>579</v>
      </c>
      <c r="B2417" s="0" t="s">
        <v>33</v>
      </c>
      <c r="D2417" s="11" t="n">
        <f aca="false">g3_rev*(1+g_q4)</f>
        <v>145.6862</v>
      </c>
    </row>
    <row r="2418" customFormat="false" ht="15" hidden="false" customHeight="false" outlineLevel="0" collapsed="false">
      <c r="A2418" s="0" t="s">
        <v>580</v>
      </c>
      <c r="B2418" s="0" t="s">
        <v>33</v>
      </c>
      <c r="D2418" s="11" t="n">
        <f aca="false">q26h1_rev+g3_rev+D2417</f>
        <v>535.1862</v>
      </c>
    </row>
    <row r="2419" customFormat="false" ht="15" hidden="false" customHeight="false" outlineLevel="0" collapsed="false">
      <c r="A2419" s="0" t="s">
        <v>581</v>
      </c>
      <c r="B2419" s="0" t="s">
        <v>33</v>
      </c>
      <c r="D2419" s="11" t="n">
        <f aca="false">q26h1_gp+(g3_rev+D2417)*gm_q3</f>
        <v>378.0504836</v>
      </c>
    </row>
    <row r="2420" customFormat="false" ht="15" hidden="false" customHeight="false" outlineLevel="0" collapsed="false">
      <c r="A2420" s="0" t="s">
        <v>582</v>
      </c>
      <c r="B2420" s="0" t="s">
        <v>33</v>
      </c>
      <c r="D2420" s="11" t="n">
        <f aca="false">q26h1_oi+g3_oi+D2417*m_q4</f>
        <v>238.5671</v>
      </c>
    </row>
    <row r="2421" customFormat="false" ht="15" hidden="false" customHeight="false" outlineLevel="0" collapsed="false">
      <c r="A2421" s="0" t="s">
        <v>583</v>
      </c>
      <c r="B2421" s="0" t="s">
        <v>33</v>
      </c>
      <c r="D2421" s="11" t="n">
        <f aca="false">q26h1_ni+g3_ni+D2417*m_q4*nioi</f>
        <v>167.95938138934</v>
      </c>
    </row>
    <row r="2422" customFormat="false" ht="15" hidden="false" customHeight="false" outlineLevel="0" collapsed="false">
      <c r="A2422" s="5" t="s">
        <v>584</v>
      </c>
      <c r="B2422" s="0" t="s">
        <v>80</v>
      </c>
      <c r="D2422" s="16" t="n">
        <f aca="false">D2418/D2415</f>
        <v>1.05495623650888</v>
      </c>
      <c r="J2422" s="8" t="s">
        <v>585</v>
      </c>
    </row>
    <row r="2423" customFormat="false" ht="15" hidden="false" customHeight="false" outlineLevel="0" collapsed="false">
      <c r="A2423" s="5" t="s">
        <v>586</v>
      </c>
      <c r="B2423" s="0" t="s">
        <v>80</v>
      </c>
      <c r="D2423" s="16" t="n">
        <f aca="false">1+0*(D2422-1)</f>
        <v>1</v>
      </c>
      <c r="J2423" s="8" t="s">
        <v>587</v>
      </c>
    </row>
    <row r="2424" customFormat="false" ht="15" hidden="false" customHeight="false" outlineLevel="0" collapsed="false">
      <c r="A2424" s="1" t="s">
        <v>588</v>
      </c>
    </row>
    <row r="2425" customFormat="false" ht="15" hidden="false" customHeight="false" outlineLevel="0" collapsed="false">
      <c r="A2425" s="0" t="s">
        <v>589</v>
      </c>
      <c r="B2425" s="0" t="s">
        <v>33</v>
      </c>
      <c r="C2425" s="11" t="n">
        <f aca="false">C2408*1</f>
        <v>36</v>
      </c>
      <c r="D2425" s="11" t="n">
        <f aca="false">D2408*$D$2422</f>
        <v>43.9523870213896</v>
      </c>
      <c r="E2425" s="11" t="n">
        <f aca="false">E2408*1</f>
        <v>47.8549412356069</v>
      </c>
      <c r="F2425" s="11" t="n">
        <f aca="false">F2408*1</f>
        <v>44.8424159172644</v>
      </c>
      <c r="G2425" s="11" t="n">
        <f aca="false">G2408*1</f>
        <v>27.2548611466613</v>
      </c>
    </row>
    <row r="2426" customFormat="false" ht="15" hidden="false" customHeight="false" outlineLevel="0" collapsed="false">
      <c r="A2426" s="5" t="s">
        <v>590</v>
      </c>
      <c r="B2426" s="0" t="s">
        <v>33</v>
      </c>
      <c r="C2426" s="11" t="n">
        <f aca="false">C2409*1</f>
        <v>39</v>
      </c>
      <c r="D2426" s="11" t="n">
        <f aca="false">D2409*$D$2422</f>
        <v>63.4538860505921</v>
      </c>
      <c r="E2426" s="11" t="n">
        <f aca="false">E2409*1</f>
        <v>42.5991175746519</v>
      </c>
      <c r="F2426" s="11" t="n">
        <f aca="false">F2409*1</f>
        <v>38.320722254198</v>
      </c>
      <c r="G2426" s="11" t="n">
        <f aca="false">G2409*1</f>
        <v>36.8663955538204</v>
      </c>
    </row>
    <row r="2427" customFormat="false" ht="15" hidden="false" customHeight="false" outlineLevel="0" collapsed="false">
      <c r="A2427" s="0" t="s">
        <v>591</v>
      </c>
      <c r="B2427" s="0" t="s">
        <v>33</v>
      </c>
      <c r="C2427" s="11" t="n">
        <f aca="false">C2425+C2426</f>
        <v>75</v>
      </c>
      <c r="D2427" s="11" t="n">
        <f aca="false">D2425+D2426</f>
        <v>107.406273071982</v>
      </c>
      <c r="E2427" s="11" t="n">
        <f aca="false">E2425+E2426</f>
        <v>90.4540588102588</v>
      </c>
      <c r="F2427" s="11" t="n">
        <f aca="false">F2425+F2426</f>
        <v>83.1631381714624</v>
      </c>
      <c r="G2427" s="11" t="n">
        <f aca="false">G2425+G2426</f>
        <v>64.1212567004817</v>
      </c>
    </row>
    <row r="2428" customFormat="false" ht="15" hidden="false" customHeight="false" outlineLevel="0" collapsed="false">
      <c r="A2428" s="5" t="s">
        <v>592</v>
      </c>
      <c r="B2428" s="0" t="s">
        <v>33</v>
      </c>
      <c r="C2428" s="11" t="n">
        <f aca="false">C2411*1</f>
        <v>195.87118</v>
      </c>
      <c r="D2428" s="11" t="n">
        <f aca="false">D2411*$D$2422</f>
        <v>219.033654266954</v>
      </c>
      <c r="E2428" s="11" t="n">
        <f aca="false">E2411*$D$2423</f>
        <v>220.080857848</v>
      </c>
      <c r="F2428" s="11" t="n">
        <f aca="false">F2411*$D$2423</f>
        <v>233.28570931888</v>
      </c>
      <c r="G2428" s="11" t="n">
        <f aca="false">G2411*$D$2423</f>
        <v>247.282851878013</v>
      </c>
    </row>
    <row r="2429" customFormat="false" ht="15" hidden="false" customHeight="false" outlineLevel="0" collapsed="false">
      <c r="A2429" s="5" t="s">
        <v>593</v>
      </c>
      <c r="B2429" s="0" t="s">
        <v>33</v>
      </c>
      <c r="C2429" s="11" t="n">
        <f aca="false">C2427+C2428</f>
        <v>270.87118</v>
      </c>
      <c r="D2429" s="11" t="n">
        <f aca="false">D2427+D2428</f>
        <v>326.439927338936</v>
      </c>
      <c r="E2429" s="11" t="n">
        <f aca="false">E2427+E2428</f>
        <v>310.534916658259</v>
      </c>
      <c r="F2429" s="11" t="n">
        <f aca="false">F2427+F2428</f>
        <v>316.448847490343</v>
      </c>
      <c r="G2429" s="11" t="n">
        <f aca="false">G2427+G2428</f>
        <v>311.404108578495</v>
      </c>
    </row>
    <row r="2430" customFormat="false" ht="15" hidden="false" customHeight="false" outlineLevel="0" collapsed="false">
      <c r="A2430" s="0" t="s">
        <v>594</v>
      </c>
      <c r="B2430" s="0" t="s">
        <v>33</v>
      </c>
      <c r="C2430" s="11" t="n">
        <f aca="false">C2413*1</f>
        <v>25.4032258064516</v>
      </c>
      <c r="D2430" s="11" t="n">
        <f aca="false">D2413*$D$2422</f>
        <v>44.2756947933477</v>
      </c>
      <c r="E2430" s="11" t="n">
        <f aca="false">E2413*1</f>
        <v>64.1473952271414</v>
      </c>
      <c r="F2430" s="11" t="n">
        <f aca="false">F2413*1</f>
        <v>80.5058633897778</v>
      </c>
      <c r="G2430" s="11" t="n">
        <f aca="false">G2413*1</f>
        <v>93.3414683550913</v>
      </c>
    </row>
    <row r="2431" customFormat="false" ht="15" hidden="false" customHeight="false" outlineLevel="0" collapsed="false">
      <c r="A2431" s="5" t="s">
        <v>595</v>
      </c>
      <c r="B2431" s="0" t="s">
        <v>33</v>
      </c>
      <c r="C2431" s="11" t="n">
        <f aca="false">C2414*1</f>
        <v>66.3434641935484</v>
      </c>
      <c r="D2431" s="11" t="n">
        <f aca="false">D2414*$D$2422</f>
        <v>73.4889238677166</v>
      </c>
      <c r="E2431" s="11" t="n">
        <f aca="false">E2414*$D$2423</f>
        <v>73.1436692733871</v>
      </c>
      <c r="F2431" s="11" t="n">
        <f aca="false">F2414*$D$2423</f>
        <v>76.8008527370565</v>
      </c>
      <c r="G2431" s="11" t="n">
        <f aca="false">G2414*$D$2423</f>
        <v>80.6408953739093</v>
      </c>
    </row>
    <row r="2432" customFormat="false" ht="15" hidden="false" customHeight="false" outlineLevel="0" collapsed="false">
      <c r="A2432" s="5" t="s">
        <v>596</v>
      </c>
      <c r="B2432" s="0" t="s">
        <v>33</v>
      </c>
      <c r="C2432" s="11" t="n">
        <f aca="false">C2430+C2431</f>
        <v>91.74669</v>
      </c>
      <c r="D2432" s="11" t="n">
        <f aca="false">D2430+D2431</f>
        <v>117.764618661064</v>
      </c>
      <c r="E2432" s="11" t="n">
        <f aca="false">E2430+E2431</f>
        <v>137.291064500529</v>
      </c>
      <c r="F2432" s="11" t="n">
        <f aca="false">F2430+F2431</f>
        <v>157.306716126834</v>
      </c>
      <c r="G2432" s="11" t="n">
        <f aca="false">G2430+G2431</f>
        <v>173.982363729001</v>
      </c>
    </row>
    <row r="2433" customFormat="false" ht="15" hidden="false" customHeight="false" outlineLevel="0" collapsed="false">
      <c r="A2433" s="5" t="s">
        <v>458</v>
      </c>
      <c r="B2433" s="0" t="s">
        <v>33</v>
      </c>
      <c r="C2433" s="11" t="n">
        <f aca="false">r_ot*(C2429+C2432)</f>
        <v>74.27113</v>
      </c>
      <c r="D2433" s="11" t="n">
        <f aca="false">r_ot*(D2429+D2432)</f>
        <v>90.981654</v>
      </c>
      <c r="E2433" s="11" t="n">
        <f aca="false">r_ot*(E2429+E2432)</f>
        <v>91.7233937313179</v>
      </c>
      <c r="F2433" s="11" t="n">
        <f aca="false">r_ot*(F2429+F2432)</f>
        <v>97.0342720661688</v>
      </c>
      <c r="G2433" s="11" t="n">
        <f aca="false">r_ot*(G2429+G2432)</f>
        <v>99.416506376234</v>
      </c>
    </row>
    <row r="2434" customFormat="false" ht="15" hidden="false" customHeight="false" outlineLevel="0" collapsed="false">
      <c r="A2434" s="5" t="s">
        <v>428</v>
      </c>
      <c r="B2434" s="0" t="s">
        <v>33</v>
      </c>
      <c r="C2434" s="11" t="n">
        <f aca="false">C2429+C2432+C2433</f>
        <v>436.889</v>
      </c>
      <c r="D2434" s="11" t="n">
        <f aca="false">D2429+D2432+D2433</f>
        <v>535.1862</v>
      </c>
      <c r="E2434" s="11" t="n">
        <f aca="false">E2429+E2432+E2433</f>
        <v>539.549374890105</v>
      </c>
      <c r="F2434" s="11" t="n">
        <f aca="false">F2429+F2432+F2433</f>
        <v>570.789835683346</v>
      </c>
      <c r="G2434" s="11" t="n">
        <f aca="false">G2429+G2432+G2433</f>
        <v>584.802978683729</v>
      </c>
      <c r="J2434" s="8" t="s">
        <v>597</v>
      </c>
    </row>
    <row r="2435" customFormat="false" ht="15" hidden="false" customHeight="false" outlineLevel="0" collapsed="false">
      <c r="A2435" s="0" t="s">
        <v>598</v>
      </c>
      <c r="B2435" s="0" t="s">
        <v>60</v>
      </c>
      <c r="C2435" s="14" t="n">
        <f aca="false">(C2427+C2430)*(1+r_ot)/C2434</f>
        <v>0.276884384673187</v>
      </c>
      <c r="D2435" s="14" t="n">
        <f aca="false">(D2427+D2430)*(1+r_ot)/D2434</f>
        <v>0.341468742792492</v>
      </c>
      <c r="E2435" s="14" t="n">
        <f aca="false">(E2427+E2430)*(1+r_ot)/E2434</f>
        <v>0.345226629409388</v>
      </c>
      <c r="F2435" s="14" t="n">
        <f aca="false">(F2427+F2430)*(1+r_ot)/F2434</f>
        <v>0.345471407895686</v>
      </c>
      <c r="G2435" s="14" t="n">
        <f aca="false">(G2427+G2430)*(1+r_ot)/G2434</f>
        <v>0.324406908801981</v>
      </c>
    </row>
    <row r="2436" customFormat="false" ht="15" hidden="false" customHeight="false" outlineLevel="0" collapsed="false">
      <c r="A2436" s="0" t="s">
        <v>599</v>
      </c>
      <c r="B2436" s="0" t="s">
        <v>60</v>
      </c>
      <c r="C2436" s="14" t="n">
        <f aca="false">C2427*(1+r_ot)/C2434</f>
        <v>0.206829299394429</v>
      </c>
      <c r="D2436" s="14" t="n">
        <f aca="false">D2427*(1+r_ot)/D2434</f>
        <v>0.241794628261148</v>
      </c>
      <c r="E2436" s="14" t="n">
        <f aca="false">E2427*(1+r_ot)/E2434</f>
        <v>0.20198483923644</v>
      </c>
      <c r="F2436" s="14" t="n">
        <f aca="false">F2427*(1+r_ot)/F2434</f>
        <v>0.175540182655593</v>
      </c>
      <c r="G2436" s="14" t="n">
        <f aca="false">G2427*(1+r_ot)/G2434</f>
        <v>0.132103510004417</v>
      </c>
      <c r="J2436" s="5" t="s">
        <v>600</v>
      </c>
    </row>
    <row r="2437" customFormat="false" ht="15" hidden="false" customHeight="false" outlineLevel="0" collapsed="false">
      <c r="A2437" s="5" t="s">
        <v>466</v>
      </c>
      <c r="B2437" s="0" t="s">
        <v>60</v>
      </c>
      <c r="C2437" s="14" t="n">
        <f aca="false">a25_gp/a25_rev</f>
        <v>0.701498549974936</v>
      </c>
      <c r="D2437" s="14" t="n">
        <f aca="false">D2419/D2434</f>
        <v>0.70639056761927</v>
      </c>
      <c r="E2437" s="14" t="n">
        <f aca="false">gm_a+gm_b*LN(E2434)+0</f>
        <v>0.726477317954067</v>
      </c>
      <c r="F2437" s="14" t="n">
        <f aca="false">gm_a+gm_b*LN(F2434)+0</f>
        <v>0.73288421444391</v>
      </c>
      <c r="G2437" s="14" t="n">
        <f aca="false">gm_a+gm_b*LN(G2434)+0</f>
        <v>0.735644940559218</v>
      </c>
      <c r="J2437" s="8" t="s">
        <v>601</v>
      </c>
    </row>
    <row r="2438" customFormat="false" ht="15" hidden="false" customHeight="false" outlineLevel="0" collapsed="false">
      <c r="A2438" s="5" t="s">
        <v>463</v>
      </c>
      <c r="B2438" s="0" t="s">
        <v>33</v>
      </c>
      <c r="C2438" s="11" t="n">
        <f aca="false">C2434*C2437</f>
        <v>306.477</v>
      </c>
      <c r="D2438" s="11" t="n">
        <f aca="false">D2434*D2437</f>
        <v>378.0504836</v>
      </c>
      <c r="E2438" s="11" t="n">
        <f aca="false">E2434*E2437</f>
        <v>391.970382773957</v>
      </c>
      <c r="F2438" s="11" t="n">
        <f aca="false">F2434*F2437</f>
        <v>418.322860337357</v>
      </c>
      <c r="G2438" s="11" t="n">
        <f aca="false">G2434*G2437</f>
        <v>430.207352492645</v>
      </c>
    </row>
    <row r="2439" customFormat="false" ht="15" hidden="false" customHeight="false" outlineLevel="0" collapsed="false">
      <c r="A2439" s="5" t="s">
        <v>464</v>
      </c>
      <c r="B2439" s="0" t="s">
        <v>33</v>
      </c>
      <c r="C2439" s="11" t="n">
        <f aca="false">a25_sga</f>
        <v>121.487</v>
      </c>
      <c r="D2439" s="11" t="n">
        <f aca="false">D2438-D2420</f>
        <v>139.4833836</v>
      </c>
      <c r="E2439" s="11" t="n">
        <f aca="false">sg_f+sg_v*E2434</f>
        <v>144.287817826287</v>
      </c>
      <c r="F2439" s="11" t="n">
        <f aca="false">sg_f+sg_v*F2434</f>
        <v>152.171880261079</v>
      </c>
      <c r="G2439" s="11" t="n">
        <f aca="false">sg_f+sg_v*G2434</f>
        <v>155.708335598722</v>
      </c>
      <c r="J2439" s="8" t="s">
        <v>602</v>
      </c>
    </row>
    <row r="2440" customFormat="false" ht="15" hidden="false" customHeight="false" outlineLevel="0" collapsed="false">
      <c r="A2440" s="5" t="s">
        <v>432</v>
      </c>
      <c r="B2440" s="0" t="s">
        <v>33</v>
      </c>
      <c r="C2440" s="11" t="n">
        <f aca="false">C2438-C2439</f>
        <v>184.99</v>
      </c>
      <c r="D2440" s="11" t="n">
        <f aca="false">D2438-D2439</f>
        <v>238.5671</v>
      </c>
      <c r="E2440" s="11" t="n">
        <f aca="false">E2438-E2439</f>
        <v>247.68256494767</v>
      </c>
      <c r="F2440" s="11" t="n">
        <f aca="false">F2438-F2439</f>
        <v>266.150980076278</v>
      </c>
      <c r="G2440" s="11" t="n">
        <f aca="false">G2438-G2439</f>
        <v>274.499016893924</v>
      </c>
    </row>
    <row r="2441" customFormat="false" ht="15" hidden="false" customHeight="false" outlineLevel="0" collapsed="false">
      <c r="A2441" s="5" t="s">
        <v>603</v>
      </c>
      <c r="B2441" s="0" t="s">
        <v>60</v>
      </c>
      <c r="C2441" s="14" t="n">
        <f aca="false">C2440/C2434</f>
        <v>0.423425629851061</v>
      </c>
      <c r="D2441" s="14" t="n">
        <f aca="false">D2440/D2434</f>
        <v>0.445764670314743</v>
      </c>
      <c r="E2441" s="14" t="n">
        <f aca="false">E2440/E2434</f>
        <v>0.459054493387408</v>
      </c>
      <c r="F2441" s="14" t="n">
        <f aca="false">F2440/F2434</f>
        <v>0.466285423176193</v>
      </c>
      <c r="G2441" s="14" t="n">
        <f aca="false">G2440/G2434</f>
        <v>0.469387172944577</v>
      </c>
    </row>
    <row r="2442" customFormat="false" ht="15" hidden="false" customHeight="false" outlineLevel="0" collapsed="false">
      <c r="A2442" s="5" t="s">
        <v>435</v>
      </c>
      <c r="B2442" s="0" t="s">
        <v>33</v>
      </c>
      <c r="C2442" s="11" t="n">
        <f aca="false">a25_ni</f>
        <v>135.521</v>
      </c>
      <c r="D2442" s="11" t="n">
        <f aca="false">D2421</f>
        <v>167.95938138934</v>
      </c>
      <c r="E2442" s="11" t="n">
        <f aca="false">E2440*nioi</f>
        <v>178.622572849162</v>
      </c>
      <c r="F2442" s="11" t="n">
        <f aca="false">F2440*nioi</f>
        <v>191.941539516902</v>
      </c>
      <c r="G2442" s="11" t="n">
        <f aca="false">G2440*nioi</f>
        <v>197.961938308082</v>
      </c>
    </row>
    <row r="2443" customFormat="false" ht="15" hidden="false" customHeight="false" outlineLevel="0" collapsed="false">
      <c r="A2443" s="0" t="s">
        <v>524</v>
      </c>
      <c r="B2443" s="0" t="s">
        <v>55</v>
      </c>
      <c r="C2443" s="11" t="n">
        <f aca="false">a25_eps</f>
        <v>1249.84</v>
      </c>
      <c r="D2443" s="11" t="n">
        <f aca="false">D2442*1000/shares</f>
        <v>1548.28555816522</v>
      </c>
      <c r="E2443" s="11" t="n">
        <f aca="false">E2442*1000/shares</f>
        <v>1646.58114132722</v>
      </c>
      <c r="F2443" s="11" t="n">
        <f aca="false">F2442*1000/shares</f>
        <v>1769.35822928007</v>
      </c>
      <c r="G2443" s="11" t="n">
        <f aca="false">G2442*1000/shares</f>
        <v>1824.8555550363</v>
      </c>
    </row>
    <row r="2444" customFormat="false" ht="15" hidden="false" customHeight="false" outlineLevel="0" collapsed="false">
      <c r="A2444" s="5" t="s">
        <v>604</v>
      </c>
      <c r="B2444" s="0" t="s">
        <v>33</v>
      </c>
      <c r="C2444" s="16" t="n">
        <f aca="false">ABS(C2434-a25_rev)+ABS(C2440-a25_oi)+ABS(D2434-D2418)+ABS(D2440-D2420)</f>
        <v>0.000999999999976353</v>
      </c>
    </row>
    <row r="2445" customFormat="false" ht="15" hidden="false" customHeight="false" outlineLevel="0" collapsed="false">
      <c r="A2445" s="1" t="s">
        <v>605</v>
      </c>
    </row>
    <row r="2446" customFormat="false" ht="15" hidden="false" customHeight="false" outlineLevel="0" collapsed="false">
      <c r="A2446" s="5" t="s">
        <v>606</v>
      </c>
      <c r="B2446" s="0" t="s">
        <v>60</v>
      </c>
      <c r="C2446" s="14" t="n">
        <f aca="false">a25_gp/a25_rev</f>
        <v>0.701498549974936</v>
      </c>
      <c r="D2446" s="14" t="n">
        <f aca="false">gm_a+gm_b*LN(D2415)+0</f>
        <v>0.719463492058136</v>
      </c>
      <c r="E2446" s="14" t="n">
        <f aca="false">gm_a+gm_b*LN(E2415)+0</f>
        <v>0.726477317954067</v>
      </c>
      <c r="F2446" s="14" t="n">
        <f aca="false">gm_a+gm_b*LN(F2415)+0</f>
        <v>0.73288421444391</v>
      </c>
      <c r="G2446" s="14" t="n">
        <f aca="false">gm_a+gm_b*LN(G2415)+0</f>
        <v>0.735644940559218</v>
      </c>
    </row>
    <row r="2447" customFormat="false" ht="15" hidden="false" customHeight="false" outlineLevel="0" collapsed="false">
      <c r="A2447" s="5" t="s">
        <v>607</v>
      </c>
      <c r="B2447" s="0" t="s">
        <v>33</v>
      </c>
      <c r="C2447" s="11" t="n">
        <f aca="false">a25_oi</f>
        <v>184.989</v>
      </c>
      <c r="D2447" s="11" t="n">
        <f aca="false">D2415*D2446-sg_f-sg_v*D2415</f>
        <v>228.837746398039</v>
      </c>
      <c r="E2447" s="11" t="n">
        <f aca="false">E2415*E2446-sg_f-sg_v*E2415</f>
        <v>247.68256494767</v>
      </c>
      <c r="F2447" s="11" t="n">
        <f aca="false">F2415*F2446-sg_f-sg_v*F2415</f>
        <v>266.150980076278</v>
      </c>
      <c r="G2447" s="11" t="n">
        <f aca="false">G2415*G2446-sg_f-sg_v*G2415</f>
        <v>274.499016893924</v>
      </c>
    </row>
    <row r="2448" customFormat="false" ht="15" hidden="false" customHeight="false" outlineLevel="0" collapsed="false">
      <c r="A2448" s="0" t="s">
        <v>608</v>
      </c>
      <c r="B2448" s="0" t="s">
        <v>55</v>
      </c>
      <c r="C2448" s="11" t="n">
        <f aca="false">a25_eps</f>
        <v>1249.84</v>
      </c>
      <c r="D2448" s="11" t="n">
        <f aca="false">D2447*nioi_v01*1000/shares</f>
        <v>1545.37951653183</v>
      </c>
      <c r="E2448" s="11" t="n">
        <f aca="false">E2447*nioi_v01*1000/shares</f>
        <v>1672.64172321648</v>
      </c>
      <c r="F2448" s="11" t="n">
        <f aca="false">F2447*nioi_v01*1000/shares</f>
        <v>1797.36201474092</v>
      </c>
      <c r="G2448" s="11" t="n">
        <f aca="false">G2447*nioi_v01*1000/shares</f>
        <v>1853.73770146352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4" t="s">
        <v>855</v>
      </c>
    </row>
    <row r="2" customFormat="false" ht="15" hidden="false" customHeight="false" outlineLevel="0" collapsed="false">
      <c r="A2" s="5" t="s">
        <v>856</v>
      </c>
      <c r="B2" s="0" t="s">
        <v>857</v>
      </c>
    </row>
    <row r="3" customFormat="false" ht="15" hidden="false" customHeight="false" outlineLevel="0" collapsed="false">
      <c r="A3" s="5" t="s">
        <v>858</v>
      </c>
      <c r="B3" s="0" t="s">
        <v>859</v>
      </c>
    </row>
    <row r="4" customFormat="false" ht="15" hidden="false" customHeight="false" outlineLevel="0" collapsed="false">
      <c r="A4" s="5" t="s">
        <v>860</v>
      </c>
      <c r="B4" s="0" t="s">
        <v>861</v>
      </c>
    </row>
    <row r="5" customFormat="false" ht="15" hidden="false" customHeight="false" outlineLevel="0" collapsed="false">
      <c r="A5" s="5" t="s">
        <v>862</v>
      </c>
      <c r="B5" s="0" t="s">
        <v>863</v>
      </c>
    </row>
    <row r="6" customFormat="false" ht="15" hidden="false" customHeight="false" outlineLevel="0" collapsed="false">
      <c r="A6" s="5" t="s">
        <v>864</v>
      </c>
      <c r="B6" s="0" t="s">
        <v>865</v>
      </c>
    </row>
    <row r="7" customFormat="false" ht="15" hidden="false" customHeight="false" outlineLevel="0" collapsed="false">
      <c r="A7" s="5" t="s">
        <v>866</v>
      </c>
      <c r="B7" s="0" t="s">
        <v>867</v>
      </c>
    </row>
    <row r="8" customFormat="false" ht="15" hidden="false" customHeight="false" outlineLevel="0" collapsed="false">
      <c r="A8" s="5" t="s">
        <v>868</v>
      </c>
      <c r="B8" s="0" t="s">
        <v>869</v>
      </c>
    </row>
    <row r="9" customFormat="false" ht="15" hidden="false" customHeight="false" outlineLevel="0" collapsed="false">
      <c r="A9" s="5" t="s">
        <v>870</v>
      </c>
      <c r="B9" s="0" t="s">
        <v>871</v>
      </c>
    </row>
    <row r="10" customFormat="false" ht="15" hidden="false" customHeight="false" outlineLevel="0" collapsed="false">
      <c r="A10" s="5" t="s">
        <v>872</v>
      </c>
      <c r="B10" s="0" t="s">
        <v>873</v>
      </c>
    </row>
    <row r="11" customFormat="false" ht="15" hidden="false" customHeight="false" outlineLevel="0" collapsed="false">
      <c r="A11" s="0" t="s">
        <v>874</v>
      </c>
      <c r="B11" s="0" t="s">
        <v>875</v>
      </c>
    </row>
    <row r="12" customFormat="false" ht="15" hidden="false" customHeight="false" outlineLevel="0" collapsed="false">
      <c r="A12" s="5" t="s">
        <v>876</v>
      </c>
      <c r="B12" s="0" t="s">
        <v>877</v>
      </c>
    </row>
    <row r="13" customFormat="false" ht="15" hidden="false" customHeight="false" outlineLevel="0" collapsed="false">
      <c r="A13" s="5" t="s">
        <v>878</v>
      </c>
      <c r="B13" s="0" t="s">
        <v>879</v>
      </c>
    </row>
    <row r="14" customFormat="false" ht="15" hidden="false" customHeight="false" outlineLevel="0" collapsed="false">
      <c r="A14" s="5" t="s">
        <v>880</v>
      </c>
      <c r="B14" s="0" t="s">
        <v>881</v>
      </c>
    </row>
    <row r="15" customFormat="false" ht="15" hidden="false" customHeight="false" outlineLevel="0" collapsed="false">
      <c r="A15" s="0" t="s">
        <v>882</v>
      </c>
      <c r="B15" s="0" t="s">
        <v>883</v>
      </c>
    </row>
    <row r="16" customFormat="false" ht="15" hidden="false" customHeight="false" outlineLevel="0" collapsed="false">
      <c r="A16" s="0" t="s">
        <v>884</v>
      </c>
      <c r="B16" s="0" t="s">
        <v>885</v>
      </c>
    </row>
    <row r="17" customFormat="false" ht="15" hidden="false" customHeight="false" outlineLevel="0" collapsed="false">
      <c r="A17" s="0" t="s">
        <v>886</v>
      </c>
      <c r="B17" s="0" t="s">
        <v>887</v>
      </c>
    </row>
    <row r="18" customFormat="false" ht="15" hidden="false" customHeight="false" outlineLevel="0" collapsed="false">
      <c r="A18" s="0" t="s">
        <v>888</v>
      </c>
      <c r="B18" s="0" t="s">
        <v>889</v>
      </c>
    </row>
    <row r="19" customFormat="false" ht="15" hidden="false" customHeight="false" outlineLevel="0" collapsed="false">
      <c r="A19" s="0" t="s">
        <v>890</v>
      </c>
      <c r="B19" s="0" t="s">
        <v>891</v>
      </c>
    </row>
    <row r="20" customFormat="false" ht="15" hidden="false" customHeight="false" outlineLevel="0" collapsed="false">
      <c r="A20" s="0" t="s">
        <v>892</v>
      </c>
      <c r="B20" s="0" t="s">
        <v>893</v>
      </c>
    </row>
    <row r="21" customFormat="false" ht="15" hidden="false" customHeight="false" outlineLevel="0" collapsed="false">
      <c r="A21" s="0" t="s">
        <v>894</v>
      </c>
      <c r="B21" s="0" t="s">
        <v>895</v>
      </c>
    </row>
    <row r="22" customFormat="false" ht="15" hidden="false" customHeight="false" outlineLevel="0" collapsed="false">
      <c r="A22" s="0" t="s">
        <v>896</v>
      </c>
      <c r="B22" s="0" t="s">
        <v>897</v>
      </c>
    </row>
    <row r="23" customFormat="false" ht="15" hidden="false" customHeight="false" outlineLevel="0" collapsed="false">
      <c r="A23" s="5" t="s">
        <v>898</v>
      </c>
      <c r="B23" s="0" t="s">
        <v>899</v>
      </c>
    </row>
    <row r="24" customFormat="false" ht="15" hidden="false" customHeight="false" outlineLevel="0" collapsed="false">
      <c r="A24" s="0" t="s">
        <v>900</v>
      </c>
      <c r="B24" s="0" t="s">
        <v>901</v>
      </c>
    </row>
    <row r="25" customFormat="false" ht="15" hidden="false" customHeight="false" outlineLevel="0" collapsed="false">
      <c r="A25" s="0" t="s">
        <v>902</v>
      </c>
      <c r="B25" s="0" t="s">
        <v>903</v>
      </c>
    </row>
    <row r="26" customFormat="false" ht="15" hidden="false" customHeight="false" outlineLevel="0" collapsed="false">
      <c r="A26" s="0" t="s">
        <v>904</v>
      </c>
      <c r="B26" s="0" t="s">
        <v>905</v>
      </c>
    </row>
    <row r="27" customFormat="false" ht="15" hidden="false" customHeight="false" outlineLevel="0" collapsed="false">
      <c r="A27" s="0" t="s">
        <v>906</v>
      </c>
      <c r="B27" s="0" t="s">
        <v>907</v>
      </c>
    </row>
    <row r="28" customFormat="false" ht="15" hidden="false" customHeight="false" outlineLevel="0" collapsed="false">
      <c r="A28" s="0" t="s">
        <v>908</v>
      </c>
      <c r="B28" s="0" t="s">
        <v>909</v>
      </c>
    </row>
    <row r="29" customFormat="false" ht="15" hidden="false" customHeight="false" outlineLevel="0" collapsed="false">
      <c r="A29" s="0" t="s">
        <v>910</v>
      </c>
      <c r="B29" s="0" t="s">
        <v>911</v>
      </c>
    </row>
    <row r="30" customFormat="false" ht="15" hidden="false" customHeight="false" outlineLevel="0" collapsed="false">
      <c r="A30" s="0" t="s">
        <v>912</v>
      </c>
      <c r="B30" s="0" t="s">
        <v>913</v>
      </c>
    </row>
    <row r="31" customFormat="false" ht="15" hidden="false" customHeight="false" outlineLevel="0" collapsed="false">
      <c r="A31" s="5" t="s">
        <v>914</v>
      </c>
    </row>
    <row r="32" customFormat="false" ht="15" hidden="false" customHeight="false" outlineLevel="0" collapsed="false">
      <c r="A32" s="5" t="s">
        <v>915</v>
      </c>
    </row>
    <row r="33" customFormat="false" ht="15" hidden="false" customHeight="false" outlineLevel="0" collapsed="false">
      <c r="A33" s="0" t="s">
        <v>916</v>
      </c>
      <c r="B33" s="5" t="s">
        <v>917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2026-10-23T09:47:50Z</dcterms:created>
  <dc:creator>openpyxl</dc:creator>
  <dc:description/>
  <dc:language>en-US</dc:language>
  <cp:lastModifiedBy/>
  <dcterms:modified xsi:type="dcterms:W3CDTF">2026-10-23T09:47:51Z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