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Q!$B$13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f25" vbProcedure="false">In!$E$48</definedName>
    <definedName function="false" hidden="false" name="af25_hi" vbProcedure="false">In!$F$48</definedName>
    <definedName function="false" hidden="false" name="af25_lo" vbProcedure="false">In!$D$48</definedName>
    <definedName function="false" hidden="false" name="br_sw26" vbProcedure="false">In!$E$77</definedName>
    <definedName function="false" hidden="false" name="cons_eps26" vbProcedure="false">In!$E$73</definedName>
    <definedName function="false" hidden="false" name="cons_eps27" vbProcedure="false">In!$E$75</definedName>
    <definedName function="false" hidden="false" name="cons_eps28" vbProcedure="false">In!$E$76</definedName>
    <definedName function="false" hidden="false" name="cons_rev26" vbProcedure="false">In!$E$72</definedName>
    <definedName function="false" hidden="false" name="cons_rev27" vbProcedure="false">In!$E$74</definedName>
    <definedName function="false" hidden="false" name="cons_tp" vbProcedure="false">In!$E$92</definedName>
    <definedName function="false" hidden="false" name="dell_top2" vbProcedure="false">In!$E$78</definedName>
    <definedName function="false" hidden="false" name="d_nap" vbProcedure="false">In!$E$55</definedName>
    <definedName function="false" hidden="false" name="d_nap_hi" vbProcedure="false">In!$F$55</definedName>
    <definedName function="false" hidden="false" name="d_nap_lo" vbProcedure="false">In!$D$55</definedName>
    <definedName function="false" hidden="false" name="ETHI_26" vbProcedure="false">In!$F$29</definedName>
    <definedName function="false" hidden="false" name="ETHI_27" vbProcedure="false">In!$F$30</definedName>
    <definedName function="false" hidden="false" name="ETHI_28" vbProcedure="false">In!$F$31</definedName>
    <definedName function="false" hidden="false" name="ETHI_29" vbProcedure="false">In!$F$32</definedName>
    <definedName function="false" hidden="false" name="eth_26" vbProcedure="false">In!$E$29</definedName>
    <definedName function="false" hidden="false" name="eth_26_hi" vbProcedure="false">In!$F$29</definedName>
    <definedName function="false" hidden="false" name="eth_26_lo" vbProcedure="false">In!$D$29</definedName>
    <definedName function="false" hidden="false" name="eth_27" vbProcedure="false">In!$E$30</definedName>
    <definedName function="false" hidden="false" name="eth_27_hi" vbProcedure="false">In!$F$30</definedName>
    <definedName function="false" hidden="false" name="eth_27_lo" vbProcedure="false">In!$D$30</definedName>
    <definedName function="false" hidden="false" name="eth_28" vbProcedure="false">In!$E$31</definedName>
    <definedName function="false" hidden="false" name="eth_28_hi" vbProcedure="false">In!$F$31</definedName>
    <definedName function="false" hidden="false" name="eth_28_lo" vbProcedure="false">In!$D$31</definedName>
    <definedName function="false" hidden="false" name="eth_29" vbProcedure="false">In!$E$32</definedName>
    <definedName function="false" hidden="false" name="eth_29_hi" vbProcedure="false">In!$F$32</definedName>
    <definedName function="false" hidden="false" name="eth_29_lo" vbProcedure="false">In!$D$32</definedName>
    <definedName function="false" hidden="false" name="ETLO_26" vbProcedure="false">In!$D$29</definedName>
    <definedName function="false" hidden="false" name="ETLO_27" vbProcedure="false">In!$D$30</definedName>
    <definedName function="false" hidden="false" name="ETLO_28" vbProcedure="false">In!$D$31</definedName>
    <definedName function="false" hidden="false" name="ETLO_29" vbProcedure="false">In!$D$32</definedName>
    <definedName function="false" hidden="false" name="fx" vbProcedure="false">In!$E$27</definedName>
    <definedName function="false" hidden="false" name="fx_hi" vbProcedure="false">In!$F$27</definedName>
    <definedName function="false" hidden="false" name="fx_lo" vbProcedure="false">In!$D$27</definedName>
    <definedName function="false" hidden="false" name="g_nai26" vbProcedure="false">In!$E$50</definedName>
    <definedName function="false" hidden="false" name="g_nai26_hi" vbProcedure="false">In!$F$50</definedName>
    <definedName function="false" hidden="false" name="g_nai26_lo" vbProcedure="false">In!$D$50</definedName>
    <definedName function="false" hidden="false" name="g_nai27" vbProcedure="false">In!$E$51</definedName>
    <definedName function="false" hidden="false" name="g_nai27_hi" vbProcedure="false">In!$F$51</definedName>
    <definedName function="false" hidden="false" name="g_nai27_lo" vbProcedure="false">In!$D$51</definedName>
    <definedName function="false" hidden="false" name="g_nai28" vbProcedure="false">In!$E$52</definedName>
    <definedName function="false" hidden="false" name="g_nai28_hi" vbProcedure="false">In!$F$52</definedName>
    <definedName function="false" hidden="false" name="g_nai28_lo" vbProcedure="false">In!$D$52</definedName>
    <definedName function="false" hidden="false" name="g_nai29" vbProcedure="false">In!$E$53</definedName>
    <definedName function="false" hidden="false" name="g_nai29_hi" vbProcedure="false">In!$F$53</definedName>
    <definedName function="false" hidden="false" name="g_nai29_lo" vbProcedure="false">In!$D$53</definedName>
    <definedName function="false" hidden="false" name="itc_26" vbProcedure="false">In!$E$17</definedName>
    <definedName function="false" hidden="false" name="itc_27" vbProcedure="false">In!$E$18</definedName>
    <definedName function="false" hidden="false" name="itc_28" vbProcedure="false">In!$E$19</definedName>
    <definedName function="false" hidden="false" name="itc_29" vbProcedure="false">In!$E$20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mkt_26" vbProcedure="false">In!$E$5</definedName>
    <definedName function="false" hidden="false" name="mkt_27" vbProcedure="false">In!$E$6</definedName>
    <definedName function="false" hidden="false" name="mkt_28" vbProcedure="false">In!$E$7</definedName>
    <definedName function="false" hidden="false" name="mkt_29" vbProcedure="false">In!$E$8</definedName>
    <definedName function="false" hidden="false" name="nap25s" vbProcedure="false">In!$E$47</definedName>
    <definedName function="false" hidden="false" name="nap25s_hi" vbProcedure="false">In!$F$47</definedName>
    <definedName function="false" hidden="false" name="nap25s_lo" vbProcedure="false">In!$D$47</definedName>
    <definedName function="false" hidden="false" name="nio_f" vbProcedure="false">In!$E$67</definedName>
    <definedName function="false" hidden="false" name="nio_f_hi" vbProcedure="false">In!$F$67</definedName>
    <definedName function="false" hidden="false" name="nio_f_lo" vbProcedure="false">In!$D$67</definedName>
    <definedName function="false" hidden="false" name="nm10_k" vbProcedure="false">In!$E$91</definedName>
    <definedName function="false" hidden="false" name="nrel_27" vbProcedure="false">In!$E$41</definedName>
    <definedName function="false" hidden="false" name="nrel_27_hi" vbProcedure="false">In!$F$41</definedName>
    <definedName function="false" hidden="false" name="nrel_27_lo" vbProcedure="false">In!$D$41</definedName>
    <definedName function="false" hidden="false" name="nrel_28" vbProcedure="false">In!$E$42</definedName>
    <definedName function="false" hidden="false" name="nrel_28_hi" vbProcedure="false">In!$F$42</definedName>
    <definedName function="false" hidden="false" name="nrel_28_lo" vbProcedure="false">In!$D$42</definedName>
    <definedName function="false" hidden="false" name="nrel_29" vbProcedure="false">In!$E$43</definedName>
    <definedName function="false" hidden="false" name="nrel_29_hi" vbProcedure="false">In!$F$43</definedName>
    <definedName function="false" hidden="false" name="nrel_29_lo" vbProcedure="false">In!$D$43</definedName>
    <definedName function="false" hidden="false" name="NRLO_27" vbProcedure="false">In!$D$41</definedName>
    <definedName function="false" hidden="false" name="NRLO_28" vbProcedure="false">In!$D$42</definedName>
    <definedName function="false" hidden="false" name="NRLO_29" vbProcedure="false">In!$D$43</definedName>
    <definedName function="false" hidden="false" name="ns26" vbProcedure="false">In!$E$49</definedName>
    <definedName function="false" hidden="false" name="ns26_hi" vbProcedure="false">In!$F$49</definedName>
    <definedName function="false" hidden="false" name="ns26_lo" vbProcedure="false">In!$D$49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Val!$C$139</definedName>
    <definedName function="false" hidden="false" name="pe_peak" vbProcedure="false">Val!$C$138</definedName>
    <definedName function="false" hidden="false" name="pe_trough" vbProcedure="false">Val!$C$140</definedName>
    <definedName function="false" hidden="false" name="pe_ttm" vbProcedure="false">In!$E$81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In!$E$80</definedName>
    <definedName function="false" hidden="false" name="q3_gm" vbProcedure="false">In!$E$58</definedName>
    <definedName function="false" hidden="false" name="q3_gm_hi" vbProcedure="false">In!$F$58</definedName>
    <definedName function="false" hidden="false" name="q3_gm_lo" vbProcedure="false">In!$D$58</definedName>
    <definedName function="false" hidden="false" name="q3_rev" vbProcedure="false">In!$E$57</definedName>
    <definedName function="false" hidden="false" name="q4_g" vbProcedure="false">In!$E$59</definedName>
    <definedName function="false" hidden="false" name="q4_gm" vbProcedure="false">In!$E$60</definedName>
    <definedName function="false" hidden="false" name="q4_gm_hi" vbProcedure="false">In!$F$60</definedName>
    <definedName function="false" hidden="false" name="q4_gm_lo" vbProcedure="false">In!$D$60</definedName>
    <definedName function="false" hidden="false" name="q4_g_hi" vbProcedure="false">In!$F$59</definedName>
    <definedName function="false" hidden="false" name="q4_g_lo" vbProcedure="false">In!$D$59</definedName>
    <definedName function="false" hidden="false" name="q_nio" vbProcedure="false">In!$E$62</definedName>
    <definedName function="false" hidden="false" name="q_nio_hi" vbProcedure="false">In!$F$62</definedName>
    <definedName function="false" hidden="false" name="q_nio_lo" vbProcedure="false">In!$D$62</definedName>
    <definedName function="false" hidden="false" name="q_opx" vbProcedure="false">In!$E$61</definedName>
    <definedName function="false" hidden="false" name="q_opx_hi" vbProcedure="false">In!$F$61</definedName>
    <definedName function="false" hidden="false" name="q_opx_lo" vbProcedure="false">In!$D$61</definedName>
    <definedName function="false" hidden="false" name="q_sh" vbProcedure="false">In!$E$63</definedName>
    <definedName function="false" hidden="false" name="rel_27" vbProcedure="false">In!$E$37</definedName>
    <definedName function="false" hidden="false" name="rel_27_hi" vbProcedure="false">In!$F$37</definedName>
    <definedName function="false" hidden="false" name="rel_27_lo" vbProcedure="false">In!$D$37</definedName>
    <definedName function="false" hidden="false" name="rel_28" vbProcedure="false">In!$E$38</definedName>
    <definedName function="false" hidden="false" name="rel_28_hi" vbProcedure="false">In!$F$38</definedName>
    <definedName function="false" hidden="false" name="rel_28_lo" vbProcedure="false">In!$D$38</definedName>
    <definedName function="false" hidden="false" name="rel_29" vbProcedure="false">In!$E$39</definedName>
    <definedName function="false" hidden="false" name="rel_29_hi" vbProcedure="false">In!$F$39</definedName>
    <definedName function="false" hidden="false" name="rel_29_lo" vbProcedure="false">In!$D$39</definedName>
    <definedName function="false" hidden="false" name="RHI_27" vbProcedure="false">In!$F$37</definedName>
    <definedName function="false" hidden="false" name="RHI_28" vbProcedure="false">In!$F$38</definedName>
    <definedName function="false" hidden="false" name="RHI_29" vbProcedure="false">In!$F$39</definedName>
    <definedName function="false" hidden="false" name="RLO_27" vbProcedure="false">In!$D$37</definedName>
    <definedName function="false" hidden="false" name="RLO_28" vbProcedure="false">In!$D$38</definedName>
    <definedName function="false" hidden="false" name="RLO_29" vbProcedure="false">In!$D$39</definedName>
    <definedName function="false" hidden="false" name="sh_g" vbProcedure="false">In!$E$69</definedName>
    <definedName function="false" hidden="false" name="sh_g27" vbProcedure="false">In!$E$68</definedName>
    <definedName function="false" hidden="false" name="sh_g27_hi" vbProcedure="false">In!$F$68</definedName>
    <definedName function="false" hidden="false" name="sh_g27_lo" vbProcedure="false">In!$D$68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u_26" vbProcedure="false">In!$E$9</definedName>
    <definedName function="false" hidden="false" name="su_27" vbProcedure="false">In!$E$10</definedName>
    <definedName function="false" hidden="false" name="su_28" vbProcedure="false">In!$E$11</definedName>
    <definedName function="false" hidden="false" name="su_29" vbProcedure="false">In!$E$12</definedName>
    <definedName function="false" hidden="false" name="sw25s" vbProcedure="false">In!$E$46</definedName>
    <definedName function="false" hidden="false" name="sw25s_hi" vbProcedure="false">In!$F$46</definedName>
    <definedName function="false" hidden="false" name="sw25s_lo" vbProcedure="false">In!$D$46</definedName>
    <definedName function="false" hidden="false" name="tf" vbProcedure="false">In!$E$44</definedName>
    <definedName function="false" hidden="false" name="tf_hi" vbProcedure="false">In!$F$44</definedName>
    <definedName function="false" hidden="false" name="tf_lo" vbProcedure="false">In!$D$44</definedName>
    <definedName function="false" hidden="false" name="tp_g" vbProcedure="false">In!$E$87</definedName>
    <definedName function="false" hidden="false" name="tp_gd" vbProcedure="false">In!$E$88</definedName>
    <definedName function="false" hidden="false" name="tp_r" vbProcedure="false">In!$E$86</definedName>
    <definedName function="false" hidden="false" name="tp_roe" vbProcedure="false">In!$E$89</definedName>
    <definedName function="false" hidden="false" name="tp_wA" vbProcedure="false">In!$E$82</definedName>
    <definedName function="false" hidden="false" name="tp_wB" vbProcedure="false">In!$E$83</definedName>
    <definedName function="false" hidden="false" name="tp_wC" vbProcedure="false">In!$E$84</definedName>
    <definedName function="false" hidden="false" name="tp_w_dcf" vbProcedure="false">In!$E$90</definedName>
    <definedName function="false" hidden="false" name="trn_26" vbProcedure="false">In!$E$13</definedName>
    <definedName function="false" hidden="false" name="trn_27" vbProcedure="false">In!$E$14</definedName>
    <definedName function="false" hidden="false" name="trn_28" vbProcedure="false">In!$E$15</definedName>
    <definedName function="false" hidden="false" name="trn_29" vbProcedure="false">In!$E$16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WBHI_26" vbProcedure="false">In!$F$33</definedName>
    <definedName function="false" hidden="false" name="WBHI_27" vbProcedure="false">In!$F$34</definedName>
    <definedName function="false" hidden="false" name="WBHI_28" vbProcedure="false">In!$F$35</definedName>
    <definedName function="false" hidden="false" name="WBHI_29" vbProcedure="false">In!$F$36</definedName>
    <definedName function="false" hidden="false" name="WBLO_26" vbProcedure="false">In!$D$33</definedName>
    <definedName function="false" hidden="false" name="WBLO_27" vbProcedure="false">In!$D$34</definedName>
    <definedName function="false" hidden="false" name="WBLO_28" vbProcedure="false">In!$D$35</definedName>
    <definedName function="false" hidden="false" name="WBLO_29" vbProcedure="false">In!$D$36</definedName>
    <definedName function="false" hidden="false" name="wb_26" vbProcedure="false">In!$E$33</definedName>
    <definedName function="false" hidden="false" name="wb_26_hi" vbProcedure="false">In!$F$33</definedName>
    <definedName function="false" hidden="false" name="wb_26_lo" vbProcedure="false">In!$D$33</definedName>
    <definedName function="false" hidden="false" name="wb_27" vbProcedure="false">In!$E$34</definedName>
    <definedName function="false" hidden="false" name="wb_27_hi" vbProcedure="false">In!$F$34</definedName>
    <definedName function="false" hidden="false" name="wb_27_lo" vbProcedure="false">In!$D$34</definedName>
    <definedName function="false" hidden="false" name="wb_28" vbProcedure="false">In!$E$35</definedName>
    <definedName function="false" hidden="false" name="wb_28_hi" vbProcedure="false">In!$F$35</definedName>
    <definedName function="false" hidden="false" name="wb_28_lo" vbProcedure="false">In!$D$35</definedName>
    <definedName function="false" hidden="false" name="wb_29" vbProcedure="false">In!$E$36</definedName>
    <definedName function="false" hidden="false" name="wb_29_hi" vbProcedure="false">In!$F$36</definedName>
    <definedName function="false" hidden="false" name="wb_29_lo" vbProcedure="false">In!$D$36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<sst xmlns="http://schemas.openxmlformats.org/spreadsheetml/2006/main" count="3003" uniqueCount="783">
  <si>
    <r>
      <rPr>
        <b val="true"/>
        <sz val="11"/>
        <rFont val="Noto Sans CJK SC"/>
        <family val="2"/>
      </rPr>
      <t xml:space="preserve">智邦科技（</t>
    </r>
    <r>
      <rPr>
        <b val="true"/>
        <sz val="11"/>
        <rFont val="Cambria"/>
        <family val="0"/>
        <charset val="1"/>
      </rPr>
      <t xml:space="preserve">2345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：網通系統端，白牌交換器 </t>
    </r>
    <r>
      <rPr>
        <b val="true"/>
        <sz val="11"/>
        <rFont val="Cambria"/>
        <family val="0"/>
        <charset val="1"/>
      </rPr>
      <t xml:space="preserve">ODM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</si>
  <si>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（初版）。智邦在白牌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乙太網路交換器的份額在本模型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</si>
  <si>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模型命題：智邦的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資料中心乙太網路交換器市場（</t>
    </r>
    <r>
      <rPr>
        <sz val="11"/>
        <rFont val="Cambria"/>
        <family val="0"/>
        <charset val="1"/>
      </rPr>
      <t xml:space="preserve">scale-out × </t>
    </r>
    <r>
      <rPr>
        <sz val="11"/>
        <rFont val="Noto Sans CJK SC"/>
        <family val="2"/>
      </rPr>
      <t xml:space="preserve">乙太網路占比＋非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交換匣；本專案網通模型）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白牌占比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智邦在白牌中的份額；另一半營收是 </t>
    </r>
    <r>
      <rPr>
        <sz val="11"/>
        <rFont val="Cambria"/>
        <family val="0"/>
        <charset val="1"/>
      </rPr>
      <t xml:space="preserve">AWS Trainium </t>
    </r>
    <r>
      <rPr>
        <sz val="11"/>
        <rFont val="Noto Sans CJK SC"/>
        <family val="2"/>
      </rPr>
      <t xml:space="preserve">加速卡等網路應用產品（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另依成長率推。股價約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倍模型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（共識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倍）：</t>
    </r>
    <r>
      <rPr>
        <sz val="11"/>
        <rFont val="Cambria"/>
        <family val="0"/>
        <charset val="1"/>
      </rPr>
      <t xml:space="preserve">800G → 1.6T </t>
    </r>
    <r>
      <rPr>
        <sz val="11"/>
        <rFont val="Noto Sans CJK SC"/>
        <family val="2"/>
      </rPr>
      <t xml:space="preserve">換代與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第二供應商之下，份額撐得住嗎？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</si>
  <si>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年智邦在白牌交換器與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加速卡的份額各掉一截，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少多少；現價隱含的路徑合不合理。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</si>
  <si>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（三年）。金額：十億新台幣；市場以美元、匯率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換算。口徑：稅後淨利（公司公告）。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</si>
  <si>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</si>
  <si>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乙太網路占比（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）＋非 </t>
    </r>
    <r>
      <rPr>
        <sz val="11"/>
        <rFont val="Cambria"/>
        <family val="0"/>
        <charset val="1"/>
      </rPr>
      <t xml:space="preserve">NVIDIA scale-up </t>
    </r>
    <r>
      <rPr>
        <sz val="11"/>
        <rFont val="Noto Sans CJK SC"/>
        <family val="2"/>
      </rPr>
      <t xml:space="preserve">交換匣（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白牌占比（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智邦白牌有效份額（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800G → 1.6T </t>
    </r>
    <r>
      <rPr>
        <sz val="11"/>
        <rFont val="Noto Sans CJK SC"/>
        <family val="2"/>
      </rPr>
      <t xml:space="preserve">的單價上升含在網通模型每顆內容；換代的份額風險放在相對值與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</si>
  <si>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網路應用產品：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每顆智邦營收（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依公司揭露比例推得，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起依成長率（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）。毛利率：網路應用產品比交換器與其他低 </t>
    </r>
    <r>
      <rPr>
        <sz val="11"/>
        <rFont val="Cambria"/>
        <family val="0"/>
        <charset val="1"/>
      </rPr>
      <t xml:space="preserve">d_nap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</si>
  <si>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1Q–2Q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營收實績（月營收）＋毛利率、費用與 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假設；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網路應用產品占比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對帳）。主要客戶 </t>
    </r>
    <r>
      <rPr>
        <sz val="11"/>
        <rFont val="Cambria"/>
        <family val="0"/>
        <charset val="1"/>
      </rPr>
      <t xml:space="preserve">Amazon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800G </t>
    </r>
    <r>
      <rPr>
        <sz val="11"/>
        <rFont val="Noto Sans CJK SC"/>
        <family val="2"/>
      </rPr>
      <t xml:space="preserve">交換器）與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年新增的另一家美系超大規模業者（法人稱可能為 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等）皆為 </t>
    </r>
    <r>
      <rPr>
        <sz val="11"/>
        <rFont val="Cambria"/>
        <family val="0"/>
        <charset val="1"/>
      </rPr>
      <t xml:space="preserve">Interested-party </t>
    </r>
    <r>
      <rPr>
        <sz val="11"/>
        <rFont val="Noto Sans CJK SC"/>
        <family val="2"/>
      </rPr>
      <t xml:space="preserve">說法；客戶占比未找到。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</si>
  <si>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；目標價＝三情境規則值隱含價加權（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）。循環位置以本模型營收最高年判定。本版未做先驗，無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</si>
  <si>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未使用。公司原文只經媒體轉述（季報、月營收、法說摘要）。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</si>
  <si>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FY2026 </t>
    </r>
    <r>
      <rPr>
        <sz val="11"/>
        <rFont val="Noto Sans CJK SC"/>
        <family val="2"/>
      </rPr>
      <t xml:space="preserve">產品別拆分（網路應用產品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）與交換器的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比例為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，決定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交換器與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兩條線的起點；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白牌占比與份額相對值皆為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顆數為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（年出貨未找到）；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記憶體與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改客供（代購）會壓低營收、墊高毛利率，本版未拆；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財報未出，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毛利率與費用為假設；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兩來源 </t>
    </r>
    <r>
      <rPr>
        <sz val="11"/>
        <rFont val="Cambria"/>
        <family val="0"/>
        <charset val="1"/>
      </rPr>
      <t xml:space="preserve">2016–2017 </t>
    </r>
    <r>
      <rPr>
        <sz val="11"/>
        <rFont val="Noto Sans CJK SC"/>
        <family val="2"/>
      </rPr>
      <t xml:space="preserve">年只有一個；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</si>
  <si>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收盤未取得；補證交所為第二來源）。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</si>
  <si>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</si>
  <si>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</si>
  <si>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NT$2,275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2,584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1,966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+10.8%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138.6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162.3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14.6%</t>
    </r>
    <r>
      <rPr>
        <sz val="11"/>
        <color theme="1"/>
        <rFont val="Noto Sans CJK SC"/>
        <family val="2"/>
      </rPr>
      <t xml:space="preserve">，在同業前瞻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14.2 </t>
    </r>
    <r>
      <rPr>
        <sz val="11"/>
        <color theme="1"/>
        <rFont val="Noto Sans CJK SC"/>
        <family val="2"/>
      </rPr>
      <t xml:space="preserve">倍下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只高一成；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單獨 </t>
    </r>
    <r>
      <rPr>
        <sz val="11"/>
        <color theme="1"/>
        <rFont val="Calibri"/>
        <family val="2"/>
        <charset val="1"/>
      </rPr>
      <t xml:space="preserve">+45.6%</t>
    </r>
    <r>
      <rPr>
        <sz val="11"/>
        <color theme="1"/>
        <rFont val="Noto Sans CJK SC"/>
        <family val="2"/>
      </rPr>
      <t xml:space="preserve">，因 </t>
    </r>
    <r>
      <rPr>
        <sz val="11"/>
        <color theme="1"/>
        <rFont val="Calibri"/>
        <family val="2"/>
        <charset val="1"/>
      </rPr>
      <t xml:space="preserve">ROE 44.8% </t>
    </r>
    <r>
      <rPr>
        <sz val="11"/>
        <color theme="1"/>
        <rFont val="Noto Sans CJK SC"/>
        <family val="2"/>
      </rPr>
      <t xml:space="preserve">遠高於折現率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（可發放比例 </t>
    </r>
    <r>
      <rPr>
        <sz val="11"/>
        <color theme="1"/>
        <rFont val="Calibri"/>
        <family val="2"/>
        <charset val="1"/>
      </rPr>
      <t xml:space="preserve">91%</t>
    </r>
    <r>
      <rPr>
        <sz val="11"/>
        <color theme="1"/>
        <rFont val="Noto Sans CJK SC"/>
        <family val="2"/>
      </rPr>
      <t xml:space="preserve">），而現價只有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Noto Sans CJK SC"/>
        <family val="2"/>
      </rPr>
      <t xml:space="preserve">倍。共識目標價 </t>
    </r>
    <r>
      <rPr>
        <sz val="11"/>
        <color theme="1"/>
        <rFont val="Calibri"/>
        <family val="2"/>
        <charset val="1"/>
      </rPr>
      <t xml:space="preserve">3,500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21.6 </t>
    </r>
    <r>
      <rPr>
        <sz val="11"/>
        <color theme="1"/>
        <rFont val="Noto Sans CJK SC"/>
        <family val="2"/>
      </rPr>
      <t xml:space="preserve">倍，比同業高 </t>
    </r>
    <r>
      <rPr>
        <sz val="11"/>
        <color theme="1"/>
        <rFont val="Calibri"/>
        <family val="2"/>
        <charset val="1"/>
      </rPr>
      <t xml:space="preserve">52.0%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</si>
  <si>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三情境分歧大：</t>
    </r>
    <r>
      <rPr>
        <sz val="11"/>
        <color theme="1"/>
        <rFont val="Calibri"/>
        <family val="2"/>
        <charset val="1"/>
      </rPr>
      <t xml:space="preserve">A 169.2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170.57 </t>
    </r>
    <r>
      <rPr>
        <sz val="11"/>
        <color theme="1"/>
        <rFont val="Noto Sans CJK SC"/>
        <family val="2"/>
      </rPr>
      <t xml:space="preserve">相近）、</t>
    </r>
    <r>
      <rPr>
        <sz val="11"/>
        <color theme="1"/>
        <rFont val="Calibri"/>
        <family val="2"/>
        <charset val="1"/>
      </rPr>
      <t xml:space="preserve">B 133.8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20.9%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95.7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43.4%</t>
    </r>
    <r>
      <rPr>
        <sz val="11"/>
        <color theme="1"/>
        <rFont val="Noto Sans CJK SC"/>
        <family val="2"/>
      </rPr>
      <t xml:space="preserve">），差距來自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起的顆數情境；單一變數中白牌份額流失（相對值 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×0.8 −13.8%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份額流失 −</t>
    </r>
    <r>
      <rPr>
        <sz val="11"/>
        <color theme="1"/>
        <rFont val="Calibri"/>
        <family val="2"/>
        <charset val="1"/>
      </rPr>
      <t xml:space="preserve">10.4%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</si>
  <si>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財報與法說（去年在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上旬）與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前）：本版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毛利率與費用為假設，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+6.3%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6.7%</t>
    </r>
    <r>
      <rPr>
        <sz val="11"/>
        <color theme="1"/>
        <rFont val="Noto Sans CJK SC"/>
        <family val="2"/>
      </rPr>
      <t xml:space="preserve">）。網通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目前只有一條路徑、三情境相同，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換代的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份額風險待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改版。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</si>
  <si>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</si>
  <si>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未使用。公司原文＝智邦季報與月營收公告（經經濟日報、工商時報、富果摘要轉述）；法人估計與券商目標價皆為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</si>
  <si>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</si>
  <si>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</si>
  <si>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</si>
  <si>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</si>
  <si>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</si>
  <si>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</si>
  <si>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</si>
  <si>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</si>
  <si>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</si>
  <si>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交換器市場（讀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</si>
  <si>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mkt_26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</si>
  <si>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</si>
  <si>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</si>
  <si>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</si>
  <si>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Mkt!C7:F7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</si>
  <si>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交換器內容（不分乙太網路與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800G → 1.6T </t>
    </r>
    <r>
      <rPr>
        <sz val="11"/>
        <color theme="1"/>
        <rFont val="Noto Sans CJK SC"/>
        <family val="2"/>
      </rPr>
      <t xml:space="preserve">的單價上升已含在每顆內容（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</t>
    </r>
  </si>
  <si>
    <t xml:space="preserve">mkt_27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</si>
  <si>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</si>
  <si>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</si>
  <si>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mkt_28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</si>
  <si>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</si>
  <si>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mkt_29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</si>
  <si>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2029</t>
    </r>
  </si>
  <si>
    <t xml:space="preserve">su_26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</si>
  <si>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</si>
  <si>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Units!B11:E11</t>
    </r>
    <r>
      <rPr>
        <sz val="11"/>
        <color theme="1"/>
        <rFont val="Noto Sans CJK SC"/>
        <family val="2"/>
      </rPr>
      <t xml:space="preserve">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Units!B8:E8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c_TRN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c_ASIC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c_AMD8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c_AMDR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  <r>
      <rPr>
        <sz val="11"/>
        <color theme="1"/>
        <rFont val="Calibri"/>
        <family val="2"/>
        <charset val="1"/>
      </rPr>
      <t xml:space="preserve">_su_sw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_su_ic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su_cu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</si>
  <si>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交換晶片＋交換匣其他（扣銅纜）；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ICI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不計</t>
    </r>
  </si>
  <si>
    <t xml:space="preserve">su_27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</si>
  <si>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</si>
  <si>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su_28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</si>
  <si>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2028</t>
    </r>
  </si>
  <si>
    <t xml:space="preserve">su_29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</si>
  <si>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2029</t>
    </r>
  </si>
  <si>
    <t xml:space="preserve">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</si>
  <si>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</si>
  <si>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</si>
  <si>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</si>
  <si>
    <r>
      <rPr>
        <sz val="11"/>
        <color theme="1"/>
        <rFont val="Noto Sans CJK SC"/>
        <family val="2"/>
      </rPr>
      <t xml:space="preserve">網通模型沿用記憶體模型顆數（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：年出貨未找到）</t>
    </r>
  </si>
  <si>
    <t xml:space="preserve">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</si>
  <si>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</si>
  <si>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</si>
  <si>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</si>
  <si>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trn_29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</si>
  <si>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</si>
  <si>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</si>
  <si>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</si>
  <si>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</si>
  <si>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</si>
  <si>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</si>
  <si>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</si>
  <si>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</si>
  <si>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</si>
  <si>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</si>
  <si>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</si>
  <si>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</si>
  <si>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</si>
  <si>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</si>
  <si>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</si>
  <si>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</si>
  <si>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、廣達模型相同）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</si>
  <si>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</si>
  <si>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</si>
  <si>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</si>
  <si>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</si>
  <si>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</si>
  <si>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</si>
  <si>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</si>
  <si>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</si>
  <si>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</si>
  <si>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</si>
  <si>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</si>
  <si>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</si>
  <si>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</si>
  <si>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</si>
  <si>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</si>
  <si>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</si>
  <si>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</si>
  <si>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</si>
  <si>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quanta/ </t>
    </r>
    <r>
      <rPr>
        <sz val="11"/>
        <color theme="1"/>
        <rFont val="Noto Sans CJK SC"/>
        <family val="2"/>
      </rPr>
      <t xml:space="preserve">模型相同 </t>
    </r>
    <r>
      <rPr>
        <sz val="11"/>
        <color theme="1"/>
        <rFont val="Calibri"/>
        <family val="2"/>
        <charset val="1"/>
      </rPr>
      <t xml:space="preserve">32.0</t>
    </r>
  </si>
  <si>
    <r>
      <rPr>
        <sz val="11"/>
        <color theme="1"/>
        <rFont val="Noto Sans CJK SC"/>
        <family val="2"/>
      </rPr>
      <t xml:space="preserve">份額在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以同一匯率校準，匯率只在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起變動時才影響結果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</si>
  <si>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乙太網路占比、白牌占比與智邦份額（本專案為權威：白牌交換器廠份額，規則第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</si>
  <si>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eth_26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</si>
  <si>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後端交換器（金額）</t>
    </r>
    <r>
      <rPr>
        <sz val="11"/>
        <color theme="1"/>
        <rFont val="Calibri"/>
        <family val="2"/>
        <charset val="1"/>
      </rPr>
      <t xml:space="preserve">2026</t>
    </r>
  </si>
  <si>
    <t xml:space="preserve">%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</si>
  <si>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arista/ </t>
    </r>
    <r>
      <rPr>
        <sz val="11"/>
        <color theme="1"/>
        <rFont val="Noto Sans CJK SC"/>
        <family val="2"/>
      </rPr>
      <t xml:space="preserve">模型同值；</t>
    </r>
    <r>
      <rPr>
        <sz val="11"/>
        <color theme="1"/>
        <rFont val="Calibri"/>
        <family val="2"/>
        <charset val="1"/>
      </rPr>
      <t xml:space="preserve">Dell'Oro 2026-03-10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年乙太網路占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叢集交換器三分之二以上（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</si>
  <si>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800GbE </t>
    </r>
    <r>
      <rPr>
        <sz val="11"/>
        <color theme="1"/>
        <rFont val="Noto Sans CJK SC"/>
        <family val="2"/>
      </rPr>
      <t xml:space="preserve">占資料中心交換器營收 </t>
    </r>
    <r>
      <rPr>
        <sz val="11"/>
        <color theme="1"/>
        <rFont val="Calibri"/>
        <family val="2"/>
        <charset val="1"/>
      </rPr>
      <t xml:space="preserve">41.2%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</si>
  <si>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eth_27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</si>
  <si>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</si>
  <si>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年無公開預測：未找到</t>
    </r>
  </si>
  <si>
    <r>
      <rPr>
        <sz val="11"/>
        <color theme="1"/>
        <rFont val="Noto Sans CJK SC"/>
        <family val="2"/>
      </rPr>
      <t xml:space="preserve">外推（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</si>
  <si>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eth_28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</si>
  <si>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</si>
  <si>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—</t>
  </si>
  <si>
    <t xml:space="preserve">eth_29</t>
  </si>
  <si>
    <r>
      <rPr>
        <sz val="11"/>
        <color theme="1"/>
        <rFont val="Noto Sans CJK SC"/>
        <family val="2"/>
      </rPr>
      <t xml:space="preserve">乙太網路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後端交換器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</si>
  <si>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wb_26</t>
  </si>
  <si>
    <r>
      <rPr>
        <sz val="11"/>
        <color theme="1"/>
        <rFont val="Noto Sans CJK SC"/>
        <family val="2"/>
      </rPr>
      <t xml:space="preserve">白牌（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直供）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</si>
  <si>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並列第一、合計約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</si>
  <si>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IEEE ComSoc 2026-01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占資料中心乙太網路交換器約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（金額）、超大規模資料中心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（數量；來源未具名）</t>
    </r>
  </si>
  <si>
    <t xml:space="preserve">wb_27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</si>
  <si>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</si>
  <si>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超大規模業者自研網路作業系統、擴大白牌（方向）；</t>
    </r>
    <r>
      <rPr>
        <sz val="11"/>
        <color theme="1"/>
        <rFont val="Calibri"/>
        <family val="2"/>
        <charset val="1"/>
      </rPr>
      <t xml:space="preserve">NVIDIA Spectrum-X </t>
    </r>
    <r>
      <rPr>
        <sz val="11"/>
        <color theme="1"/>
        <rFont val="Noto Sans CJK SC"/>
        <family val="2"/>
      </rPr>
      <t xml:space="preserve">搶占（反方向）</t>
    </r>
  </si>
  <si>
    <t xml:space="preserve">量化預測：未找到</t>
  </si>
  <si>
    <t xml:space="preserve">wb_28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</si>
  <si>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2028</t>
    </r>
  </si>
  <si>
    <t xml:space="preserve">wb_29</t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</si>
  <si>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 </t>
    </r>
    <r>
      <rPr>
        <sz val="11"/>
        <color theme="1"/>
        <rFont val="Calibri"/>
        <family val="2"/>
        <charset val="1"/>
      </rPr>
      <t xml:space="preserve">2029</t>
    </r>
  </si>
  <si>
    <t xml:space="preserve">rel_27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</si>
  <si>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</si>
  <si>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年新增一家超大規模客戶（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；法人稱約貢獻營收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</si>
  <si>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：更多組裝廠加入可能稀釋份額（法人，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</si>
  <si>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</si>
  <si>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</si>
  <si>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世代每代重新競標（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、天弘以外的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加入）</t>
    </r>
  </si>
  <si>
    <t xml:space="preserve">rel_29</t>
  </si>
  <si>
    <r>
      <rPr>
        <sz val="11"/>
        <color theme="1"/>
        <rFont val="Noto Sans CJK SC"/>
        <family val="2"/>
      </rPr>
      <t xml:space="preserve">智邦白牌份額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</si>
  <si>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加速卡等網路應用產品（</t>
    </r>
    <r>
      <rPr>
        <b val="true"/>
        <sz val="11"/>
        <rFont val="Cambria"/>
        <family val="0"/>
        <charset val="1"/>
      </rPr>
      <t xml:space="preserve">AWS Trainium </t>
    </r>
    <r>
      <rPr>
        <b val="true"/>
        <sz val="11"/>
        <rFont val="Noto Sans CJK SC"/>
        <family val="2"/>
      </rPr>
      <t xml:space="preserve">加速卡模組、</t>
    </r>
    <r>
      <rPr>
        <b val="true"/>
        <sz val="11"/>
        <rFont val="Cambria"/>
        <family val="0"/>
        <charset val="1"/>
      </rPr>
      <t xml:space="preserve">L10 </t>
    </r>
    <r>
      <rPr>
        <b val="true"/>
        <sz val="11"/>
        <rFont val="Noto Sans CJK SC"/>
        <family val="2"/>
      </rPr>
      <t xml:space="preserve">等）</t>
    </r>
  </si>
  <si>
    <t xml:space="preserve">nrel_27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</si>
  <si>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單價，相對值）</t>
    </r>
  </si>
  <si>
    <r>
      <rPr>
        <sz val="11"/>
        <color theme="1"/>
        <rFont val="Noto Sans CJK SC"/>
        <family val="2"/>
      </rPr>
      <t xml:space="preserve">鏡週刊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：智邦自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大量出貨 </t>
    </r>
    <r>
      <rPr>
        <sz val="11"/>
        <color theme="1"/>
        <rFont val="Calibri"/>
        <family val="2"/>
        <charset val="1"/>
      </rPr>
      <t xml:space="preserve">Trainium 3 OAM </t>
    </r>
    <r>
      <rPr>
        <sz val="11"/>
        <color theme="1"/>
        <rFont val="Noto Sans CJK SC"/>
        <family val="2"/>
      </rPr>
      <t xml:space="preserve">模組（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</si>
  <si>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：更多組裝廠可能稀釋份額；</t>
    </r>
    <r>
      <rPr>
        <sz val="11"/>
        <color theme="1"/>
        <rFont val="Calibri"/>
        <family val="2"/>
        <charset val="1"/>
      </rPr>
      <t xml:space="preserve">Trainium 4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2H27</t>
    </r>
    <r>
      <rPr>
        <sz val="11"/>
        <color theme="1"/>
        <rFont val="Noto Sans CJK SC"/>
        <family val="2"/>
      </rPr>
      <t xml:space="preserve">（法人引述亞馬遜股東信，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</si>
  <si>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nrel_28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</si>
  <si>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</si>
  <si>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nrel_29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</si>
  <si>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</si>
  <si>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tf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</si>
  <si>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</si>
  <si>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（年出貨未找到）</t>
    </r>
  </si>
  <si>
    <t xml:space="preserve">±20%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</si>
  <si>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依公司揭露；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，用於校準）</t>
    </r>
  </si>
  <si>
    <t xml:space="preserve">sw25s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</si>
  <si>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網路交換器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</si>
  <si>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</si>
  <si>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https://blog.fugle.tw/post/earnings-call-2345-2025-11-7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年前三季網路交換器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、網路應用產品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、接取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（公司法說）</t>
    </r>
  </si>
  <si>
    <r>
      <rPr>
        <sz val="11"/>
        <color theme="1"/>
        <rFont val="Calibri"/>
        <family val="2"/>
        <charset val="1"/>
      </rPr>
      <t xml:space="preserve">brodoginvestment 2026-07-11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年資料中心交換器約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（作者估計）</t>
    </r>
  </si>
  <si>
    <t xml:space="preserve">nap25s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</si>
  <si>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網路應用產品（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</si>
  <si>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（前三季年增 </t>
    </r>
    <r>
      <rPr>
        <sz val="11"/>
        <color theme="1"/>
        <rFont val="Calibri"/>
        <family val="2"/>
        <charset val="1"/>
      </rPr>
      <t xml:space="preserve">361%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</si>
  <si>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加速卡與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交換器約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（作者估計）</t>
    </r>
  </si>
  <si>
    <t xml:space="preserve">af25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</si>
  <si>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交換器中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資料中心的比例</t>
    </r>
  </si>
  <si>
    <r>
      <rPr>
        <sz val="11"/>
        <color theme="1"/>
        <rFont val="Noto Sans CJK SC"/>
        <family val="2"/>
      </rPr>
      <t xml:space="preserve">公司未揭露交換器的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拆分：未找到</t>
    </r>
  </si>
  <si>
    <r>
      <rPr>
        <sz val="11"/>
        <color theme="1"/>
        <rFont val="Noto Sans CJK SC"/>
        <family val="2"/>
      </rPr>
      <t xml:space="preserve">美洲占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年前三季營收 </t>
    </r>
    <r>
      <rPr>
        <sz val="11"/>
        <color theme="1"/>
        <rFont val="Calibri"/>
        <family val="2"/>
        <charset val="1"/>
      </rPr>
      <t xml:space="preserve">81%</t>
    </r>
    <r>
      <rPr>
        <sz val="11"/>
        <color theme="1"/>
        <rFont val="Noto Sans CJK SC"/>
        <family val="2"/>
      </rPr>
      <t xml:space="preserve">（公司）；其餘為企業、電信與前端</t>
    </r>
  </si>
  <si>
    <t xml:space="preserve">ns26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</si>
  <si>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網路應用產品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</si>
  <si>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（工商時報轉述）：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年交換器占營收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）→ 網路應用產品約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</si>
  <si>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起高階交換器比重明顯上升、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加速卡比重快速上升（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</si>
  <si>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</si>
  <si>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</si>
  <si>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IDC 2Q26</t>
    </r>
    <r>
      <rPr>
        <sz val="11"/>
        <color theme="1"/>
        <rFont val="Noto Sans CJK SC"/>
        <family val="2"/>
      </rPr>
      <t xml:space="preserve">：非資料中心乙太網路交換器年增 </t>
    </r>
    <r>
      <rPr>
        <sz val="11"/>
        <color theme="1"/>
        <rFont val="Calibri"/>
        <family val="2"/>
        <charset val="1"/>
      </rPr>
      <t xml:space="preserve">15.7%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</si>
  <si>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企業、電信、前端交換器與接取；公司未揭露</t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</si>
  <si>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</si>
  <si>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</si>
  <si>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</si>
  <si>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</si>
  <si>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</si>
  <si>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</si>
  <si>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</si>
  <si>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d_nap</t>
  </si>
  <si>
    <t xml:space="preserve">網路應用產品毛利率低於交換器與其他的幅度</t>
  </si>
  <si>
    <t xml:space="preserve">pt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</si>
  <si>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毛利率下滑主因產品組合（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加速卡占比上升；富果法說摘要）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</si>
  <si>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加速卡比重上升使毛利率略低於上半年（法人）；產品別毛利率未揭露：未找到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</si>
  <si>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2Q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</si>
  <si>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</si>
  <si>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</si>
  <si>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</si>
  <si>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</si>
  <si>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https://www.chinatimes.com/realtimenews/20261006003734-260410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1,207.4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403.99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</si>
  <si>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1–9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2,864.02 </t>
    </r>
    <r>
      <rPr>
        <sz val="11"/>
        <color theme="1"/>
        <rFont val="Noto Sans CJK SC"/>
        <family val="2"/>
      </rPr>
      <t xml:space="preserve">億 − 上半年 </t>
    </r>
    <r>
      <rPr>
        <sz val="11"/>
        <color theme="1"/>
        <rFont val="Calibri"/>
        <family val="2"/>
        <charset val="1"/>
      </rPr>
      <t xml:space="preserve">1,656.58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1,207.44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</si>
  <si>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</si>
  <si>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</si>
  <si>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1Q26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19.7%</t>
    </r>
    <r>
      <rPr>
        <sz val="11"/>
        <color theme="1"/>
        <rFont val="Noto Sans CJK SC"/>
        <family val="2"/>
      </rPr>
      <t xml:space="preserve">（公司）；法人估 </t>
    </r>
    <r>
      <rPr>
        <sz val="11"/>
        <color theme="1"/>
        <rFont val="Calibri"/>
        <family val="2"/>
        <charset val="1"/>
      </rPr>
      <t xml:space="preserve">3Q26 18.1%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</si>
  <si>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：記憶體與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改代購（客供）使營收認列減少；零組件漲價（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</si>
  <si>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</si>
  <si>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</si>
  <si>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：法人稱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仍有機會較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</si>
  <si>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指引：未找到（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</si>
  <si>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</si>
  <si>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</si>
  <si>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</si>
  <si>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</si>
  <si>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</si>
  <si>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4.70%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5.22%</t>
    </r>
    <r>
      <rPr>
        <sz val="11"/>
        <color theme="1"/>
        <rFont val="Noto Sans CJK SC"/>
        <family val="2"/>
      </rPr>
      <t xml:space="preserve">（公司）；法人估 </t>
    </r>
    <r>
      <rPr>
        <sz val="11"/>
        <color theme="1"/>
        <rFont val="Calibri"/>
        <family val="2"/>
        <charset val="1"/>
      </rPr>
      <t xml:space="preserve">3Q26 3.9%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</si>
  <si>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營收跳增、費用落後</t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</si>
  <si>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</si>
  <si>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</si>
  <si>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1Q26 8.341 ÷ 10.049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11.053 ÷ 14.331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0.771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</si>
  <si>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0.82</t>
    </r>
    <r>
      <rPr>
        <sz val="11"/>
        <color theme="1"/>
        <rFont val="Noto Sans CJK SC"/>
        <family val="2"/>
      </rPr>
      <t xml:space="preserve">（推導）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</si>
  <si>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</si>
  <si>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</si>
  <si>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</si>
  <si>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https://money.udn.com/money/story/5710/9675501</t>
    </r>
    <r>
      <rPr>
        <sz val="11"/>
        <color theme="1"/>
        <rFont val="Noto Sans CJK SC"/>
        <family val="2"/>
      </rPr>
      <t xml:space="preserve">：上半年淨利 </t>
    </r>
    <r>
      <rPr>
        <sz val="11"/>
        <color theme="1"/>
        <rFont val="Calibri"/>
        <family val="2"/>
        <charset val="1"/>
      </rPr>
      <t xml:space="preserve">193.94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34.7</t>
    </r>
  </si>
  <si>
    <r>
      <rPr>
        <sz val="11"/>
        <color theme="1"/>
        <rFont val="Noto Sans CJK SC"/>
        <family val="2"/>
      </rPr>
      <t xml:space="preserve">資本額 </t>
    </r>
    <r>
      <rPr>
        <sz val="11"/>
        <color theme="1"/>
        <rFont val="Calibri"/>
        <family val="2"/>
        <charset val="1"/>
      </rPr>
      <t xml:space="preserve">56.11 </t>
    </r>
    <r>
      <rPr>
        <sz val="11"/>
        <color theme="1"/>
        <rFont val="Noto Sans CJK SC"/>
        <family val="2"/>
      </rPr>
      <t xml:space="preserve">億（面額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元，鉅亨）＝</t>
    </r>
    <r>
      <rPr>
        <sz val="11"/>
        <color theme="1"/>
        <rFont val="Calibri"/>
        <family val="2"/>
        <charset val="1"/>
      </rPr>
      <t xml:space="preserve">5.611 </t>
    </r>
    <r>
      <rPr>
        <sz val="11"/>
        <color theme="1"/>
        <rFont val="Noto Sans CJK SC"/>
        <family val="2"/>
      </rPr>
      <t xml:space="preserve">億股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</si>
  <si>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營業費用、業外與稅、股數（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</si>
  <si>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</si>
  <si>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</si>
  <si>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</si>
  <si>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</si>
  <si>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</si>
  <si>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</si>
  <si>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</si>
  <si>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</si>
  <si>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</si>
  <si>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</si>
  <si>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0.82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0.795</t>
    </r>
    <r>
      <rPr>
        <sz val="11"/>
        <color theme="1"/>
        <rFont val="Noto Sans CJK SC"/>
        <family val="2"/>
      </rPr>
      <t xml:space="preserve">（公司數字推導）</t>
    </r>
  </si>
  <si>
    <t xml:space="preserve">匯兌損益與稅率變動</t>
  </si>
  <si>
    <t xml:space="preserve">sh_g27</t>
  </si>
  <si>
    <r>
      <rPr>
        <sz val="11"/>
        <color theme="1"/>
        <rFont val="Noto Sans CJK SC"/>
        <family val="2"/>
      </rPr>
      <t xml:space="preserve">股數年變動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（現金增資）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</si>
  <si>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）：董事會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通過現增至多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萬股、稀釋約 </t>
    </r>
    <r>
      <rPr>
        <sz val="11"/>
        <color theme="1"/>
        <rFont val="Calibri"/>
        <family val="2"/>
        <charset val="1"/>
      </rPr>
      <t xml:space="preserve">1.78%</t>
    </r>
    <r>
      <rPr>
        <sz val="11"/>
        <color theme="1"/>
        <rFont val="Noto Sans CJK SC"/>
        <family val="2"/>
      </rPr>
      <t xml:space="preserve">（公司公告轉述）</t>
    </r>
  </si>
  <si>
    <t xml:space="preserve">發行時程與價格未定：未找到</t>
  </si>
  <si>
    <t xml:space="preserve">sh_g</t>
  </si>
  <si>
    <r>
      <rPr>
        <sz val="11"/>
        <color theme="1"/>
        <rFont val="Noto Sans CJK SC"/>
        <family val="2"/>
      </rPr>
      <t xml:space="preserve">股數年變動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</si>
  <si>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股本二十多年大致不變（經濟日報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</si>
  <si>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</si>
  <si>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</si>
  <si>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+90%</t>
    </r>
    <r>
      <rPr>
        <sz val="11"/>
        <color theme="1"/>
        <rFont val="Noto Sans CJK SC"/>
        <family val="2"/>
      </rPr>
      <t xml:space="preserve">；智邦訂單能見度到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年（法人轉述）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</si>
  <si>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</si>
  <si>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</si>
  <si>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</si>
  <si>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https://news.cnyes.com/news/id/6629903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FactSet 10 </t>
    </r>
    <r>
      <rPr>
        <sz val="11"/>
        <color theme="1"/>
        <rFont val="Noto Sans CJK SC"/>
        <family val="2"/>
      </rPr>
      <t xml:space="preserve">位分析師中位數（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</si>
  <si>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408.66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</si>
  <si>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</si>
  <si>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</si>
  <si>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NT$</t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</si>
  <si>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78.59–89.99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</si>
  <si>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85.18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</si>
  <si>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</si>
  <si>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</si>
  <si>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</si>
  <si>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</si>
  <si>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86.97–139.61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</si>
  <si>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107.53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</si>
  <si>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</si>
  <si>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</si>
  <si>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同上（區間 </t>
    </r>
    <r>
      <rPr>
        <sz val="11"/>
        <color theme="1"/>
        <rFont val="Calibri"/>
        <family val="2"/>
        <charset val="1"/>
      </rPr>
      <t xml:space="preserve">145.77–205.86</t>
    </r>
    <r>
      <rPr>
        <sz val="11"/>
        <color theme="1"/>
        <rFont val="Noto Sans CJK SC"/>
        <family val="2"/>
      </rPr>
      <t xml:space="preserve">）</t>
    </r>
  </si>
  <si>
    <t xml:space="preserve">br_sw26</t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</si>
  <si>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</si>
  <si>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</si>
  <si>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dell_top2</t>
  </si>
  <si>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後端乙太網路：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合計份額</t>
    </r>
  </si>
  <si>
    <t xml:space="preserve">Dell'Oro 2026-03-10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</si>
  <si>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</si>
  <si>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</si>
  <si>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</si>
  <si>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1,815</t>
    </r>
    <r>
      <rPr>
        <sz val="11"/>
        <color theme="1"/>
        <rFont val="Noto Sans CJK SC"/>
        <family val="2"/>
      </rPr>
      <t xml:space="preserve">）；臺灣證券交易所 </t>
    </r>
    <r>
      <rPr>
        <sz val="11"/>
        <color theme="1"/>
        <rFont val="Calibri"/>
        <family val="2"/>
        <charset val="1"/>
      </rPr>
      <t xml:space="preserve">STOCK_DAY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115/10/22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1,775.00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查詢）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</si>
  <si>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投資、財報狗同值；工作單：台股無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收盤時用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（證交所當月資料只到 </t>
    </r>
    <r>
      <rPr>
        <sz val="11"/>
        <color theme="1"/>
        <rFont val="Calibri"/>
        <family val="2"/>
        <charset val="1"/>
      </rPr>
      <t xml:space="preserve">10/22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</si>
  <si>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</si>
  <si>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（鉅亨，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</si>
  <si>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鉅亨網</t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</si>
  <si>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27.89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</si>
  <si>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</si>
  <si>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</si>
  <si>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</si>
  <si>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</si>
  <si>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</si>
  <si>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</si>
  <si>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</si>
  <si>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</si>
  <si>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</si>
  <si>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</si>
  <si>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</si>
  <si>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</si>
  <si>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</si>
  <si>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</si>
  <si>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</si>
  <si>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</si>
  <si>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</si>
  <si>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</si>
  <si>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</si>
  <si>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</si>
  <si>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</si>
  <si>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</si>
  <si>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2345 </t>
    </r>
    <r>
      <rPr>
        <sz val="11"/>
        <color theme="1"/>
        <rFont val="Noto Sans CJK SC"/>
        <family val="2"/>
      </rPr>
      <t xml:space="preserve">頁（年度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2023 39.11%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2024 39.01%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2025 56.13%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44.75%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</si>
  <si>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65.58%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</si>
  <si>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</si>
  <si>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</si>
  <si>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</si>
  <si>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</si>
  <si>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</si>
  <si>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</si>
  <si>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2016–2021 </t>
    </r>
    <r>
      <rPr>
        <sz val="11"/>
        <color theme="1"/>
        <rFont val="Noto Sans CJK SC"/>
        <family val="2"/>
      </rPr>
      <t xml:space="preserve">年淨利率：未找到</t>
    </r>
  </si>
  <si>
    <r>
      <rPr>
        <sz val="11"/>
        <color theme="1"/>
        <rFont val="Noto Sans CJK SC"/>
        <family val="2"/>
      </rPr>
      <t xml:space="preserve">參考：永豐金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投資稅後淨利率 </t>
    </r>
    <r>
      <rPr>
        <sz val="11"/>
        <color theme="1"/>
        <rFont val="Calibri"/>
        <family val="2"/>
        <charset val="1"/>
      </rPr>
      <t xml:space="preserve">2022 10.58%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2023 10.60%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2024 10.87%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2025 10.59%</t>
    </r>
    <r>
      <rPr>
        <sz val="11"/>
        <color theme="1"/>
        <rFont val="Noto Sans CJK SC"/>
        <family val="2"/>
      </rPr>
      <t xml:space="preserve">（四年平均 </t>
    </r>
    <r>
      <rPr>
        <sz val="11"/>
        <color theme="1"/>
        <rFont val="Calibri"/>
        <family val="2"/>
        <charset val="1"/>
      </rPr>
      <t xml:space="preserve">10.66%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</si>
  <si>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</si>
  <si>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</si>
  <si>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https://news.cnyes.com/news/id/6629903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FactSet 10 </t>
    </r>
    <r>
      <rPr>
        <sz val="11"/>
        <color theme="1"/>
        <rFont val="Noto Sans CJK SC"/>
        <family val="2"/>
      </rPr>
      <t xml:space="preserve">位分析師目標價 </t>
    </r>
    <r>
      <rPr>
        <sz val="11"/>
        <color theme="1"/>
        <rFont val="Calibri"/>
        <family val="2"/>
        <charset val="1"/>
      </rPr>
      <t xml:space="preserve">3,500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，鉅亨網）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</si>
  <si>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3,234.92</t>
    </r>
    <r>
      <rPr>
        <sz val="11"/>
        <color theme="1"/>
        <rFont val="Noto Sans CJK SC"/>
        <family val="2"/>
      </rPr>
      <t xml:space="preserve">（頁面現價日期不一致，不採）；賣方有目標價誘因，只作對照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</si>
  <si>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為新台幣；股數為十億股）。口徑：合併營收、稅後淨利（公司公告）。藍字＝輸入；黑字＝公式。實績取自公司季報與月營收公告的媒體轉述（經濟日報、工商時報）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</si>
  <si>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月上旬（去年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；確切日期未找到），公布後更新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毛利與營業利益由毛利率 </t>
    </r>
    <r>
      <rPr>
        <sz val="11"/>
        <color theme="1"/>
        <rFont val="Calibri"/>
        <family val="2"/>
        <charset val="1"/>
      </rPr>
      <t xml:space="preserve">18.09%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12.94%</t>
    </r>
    <r>
      <rPr>
        <sz val="11"/>
        <color theme="1"/>
        <rFont val="Noto Sans CJK SC"/>
        <family val="2"/>
      </rPr>
      <t xml:space="preserve">（永豐、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）推導</t>
    </r>
  </si>
  <si>
    <t xml:space="preserve">FY2025A</t>
  </si>
  <si>
    <t xml:space="preserve">1Q26</t>
  </si>
  <si>
    <t xml:space="preserve">2Q26</t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</si>
  <si>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（營收實績＋假設）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</si>
  <si>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</si>
  <si>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</si>
  <si>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</si>
  <si>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</si>
  <si>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</si>
  <si>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https://goodinfo.tw/tw/StockBzPerformance.asp?STOCK_ID=2345&amp;RPT_CAT=M_YEAR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2,483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47.13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https://money.udn.com/money/story/5710/9488861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https://money.udn.com/money/story/5710/9675501</t>
    </r>
  </si>
  <si>
    <r>
      <rPr>
        <sz val="11"/>
        <color theme="1"/>
        <rFont val="Noto Sans CJK SC"/>
        <family val="2"/>
      </rPr>
      <t xml:space="preserve">交叉：永豐金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18.09%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12.94%</t>
    </r>
    <r>
      <rPr>
        <sz val="11"/>
        <color theme="1"/>
        <rFont val="Noto Sans CJK SC"/>
        <family val="2"/>
      </rPr>
      <t xml:space="preserve">）；理財周刊 </t>
    </r>
    <r>
      <rPr>
        <sz val="11"/>
        <color theme="1"/>
        <rFont val="Calibri"/>
        <family val="2"/>
        <charset val="1"/>
      </rPr>
      <t xml:space="preserve">2026-04-21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263.42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47.13</t>
    </r>
    <r>
      <rPr>
        <sz val="11"/>
        <color theme="1"/>
        <rFont val="Noto Sans CJK SC"/>
        <family val="2"/>
      </rPr>
      <t xml:space="preserve">）；工商時報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44.91 </t>
    </r>
    <r>
      <rPr>
        <sz val="11"/>
        <color theme="1"/>
        <rFont val="Noto Sans CJK SC"/>
        <family val="2"/>
      </rPr>
      <t xml:space="preserve">億）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</si>
  <si>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</si>
  <si>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</si>
  <si>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</si>
  <si>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1Q26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19.7%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</si>
  <si>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</si>
  <si>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</si>
  <si>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</si>
  <si>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</si>
  <si>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</si>
  <si>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t xml:space="preserve">稅後淨利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</si>
  <si>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</si>
  <si>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103.62 </t>
    </r>
    <r>
      <rPr>
        <sz val="11"/>
        <color theme="1"/>
        <rFont val="Noto Sans CJK SC"/>
        <family val="2"/>
      </rPr>
      <t xml:space="preserve">億（業外 </t>
    </r>
    <r>
      <rPr>
        <sz val="11"/>
        <color theme="1"/>
        <rFont val="Calibri"/>
        <family val="2"/>
        <charset val="1"/>
      </rPr>
      <t xml:space="preserve">+3.1 </t>
    </r>
    <r>
      <rPr>
        <sz val="11"/>
        <color theme="1"/>
        <rFont val="Noto Sans CJK SC"/>
        <family val="2"/>
      </rPr>
      <t xml:space="preserve">億；公司）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</si>
  <si>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</si>
  <si>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</si>
  <si>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</si>
  <si>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</si>
  <si>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</si>
  <si>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投資列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46.95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14.87</t>
    </r>
    <r>
      <rPr>
        <sz val="11"/>
        <color theme="1"/>
        <rFont val="Noto Sans CJK SC"/>
        <family val="2"/>
      </rPr>
      <t xml:space="preserve">（口徑不同：疑為追溯調整）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</si>
  <si>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</si>
  <si>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</si>
  <si>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</si>
  <si>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</si>
  <si>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</si>
  <si>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</si>
  <si>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法人估計 </t>
    </r>
    <r>
      <rPr>
        <sz val="11"/>
        <color theme="1"/>
        <rFont val="Calibri"/>
        <family val="2"/>
        <charset val="1"/>
      </rPr>
      <t xml:space="preserve">23.91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</si>
  <si>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智邦在白牌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交換器＋非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交換匣）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</si>
  <si>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</si>
  <si>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</si>
  <si>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</si>
  <si>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</si>
  <si>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</si>
  <si>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</si>
  <si>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scale-out × </t>
    </r>
    <r>
      <rPr>
        <sz val="11"/>
        <color theme="1"/>
        <rFont val="Noto Sans CJK SC"/>
        <family val="2"/>
      </rPr>
      <t xml:space="preserve">乙太網路占比＋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交換匣</t>
    </r>
  </si>
  <si>
    <r>
      <rPr>
        <sz val="11"/>
        <color theme="1"/>
        <rFont val="Noto Sans CJK SC"/>
        <family val="2"/>
      </rPr>
      <t xml:space="preserve">  其中非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交換匣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</si>
  <si>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</si>
  <si>
    <t xml:space="preserve">白牌占比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</si>
  <si>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</si>
  <si>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白牌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</t>
    </r>
  </si>
  <si>
    <t xml:space="preserve">智邦白牌有效份額（含前端資料中心）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</si>
  <si>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以營收拆分校準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</si>
  <si>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</si>
  <si>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其他白牌（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等）＝ 白牌市場 − 智邦</t>
    </r>
  </si>
  <si>
    <r>
      <rPr>
        <sz val="11"/>
        <color theme="1"/>
        <rFont val="Noto Sans CJK SC"/>
        <family val="2"/>
      </rPr>
      <t xml:space="preserve">下限：智邦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交換器含前端，所以此列偏低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</si>
  <si>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乙太網路交換器市場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</si>
  <si>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</si>
  <si>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markets/network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</si>
  <si>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</si>
  <si>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</si>
  <si>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智邦約占白牌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乙太網路交換器四成上下，與 </t>
    </r>
    <r>
      <rPr>
        <b val="true"/>
        <sz val="11"/>
        <rFont val="Cambria"/>
        <family val="0"/>
        <charset val="1"/>
      </rPr>
      <t xml:space="preserve">Dell'Oro</t>
    </r>
    <r>
      <rPr>
        <b val="true"/>
        <sz val="11"/>
        <rFont val="Noto Sans CJK SC"/>
        <family val="2"/>
      </rPr>
      <t xml:space="preserve">「</t>
    </r>
    <r>
      <rPr>
        <b val="true"/>
        <sz val="11"/>
        <rFont val="Cambria"/>
        <family val="0"/>
        <charset val="1"/>
      </rPr>
      <t xml:space="preserve">Celestica </t>
    </r>
    <r>
      <rPr>
        <b val="true"/>
        <sz val="11"/>
        <rFont val="Noto Sans CJK SC"/>
        <family val="2"/>
      </rPr>
      <t xml:space="preserve">為白牌第一」相容的前提是智邦的分子含前端；份額相對值與白牌占比都是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</si>
  <si>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智邦損益（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1Q–2Q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</si>
  <si>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</si>
  <si>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</si>
  <si>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</si>
  <si>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</si>
  <si>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</si>
  <si>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</si>
  <si>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</si>
  <si>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交換器營收</t>
    </r>
  </si>
  <si>
    <t xml:space="preserve">  網路應用產品營收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</si>
  <si>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</si>
  <si>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</si>
  <si>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</si>
  <si>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</si>
  <si>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</si>
  <si>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模型毛利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</si>
  <si>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</si>
  <si>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</si>
  <si>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</si>
  <si>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；目標價權重視為樂觀）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</si>
  <si>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營收拆分（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依公司揭露比例；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校準：網路應用產品比例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依成長率，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交換器為殘差）</t>
    </r>
  </si>
  <si>
    <r>
      <rPr>
        <sz val="11"/>
        <color theme="1"/>
        <rFont val="Noto Sans CJK SC"/>
        <family val="2"/>
      </rPr>
      <t xml:space="preserve">網路應用產品（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加速卡等）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</si>
  <si>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（企業、電信、前端交換器、接取）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</si>
  <si>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資料中心交換器（殘差）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</si>
  <si>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交換器合計＝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</si>
  <si>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交換器（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</si>
  <si>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後端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</si>
  <si>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乙太網路占比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</si>
  <si>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乙太網路交換匣市場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</si>
  <si>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乙太網路交換器市場（</t>
    </r>
    <r>
      <rPr>
        <sz val="11"/>
        <color theme="1"/>
        <rFont val="Calibri"/>
        <family val="2"/>
        <charset val="1"/>
      </rPr>
      <t xml:space="preserve">scale-out × </t>
    </r>
    <r>
      <rPr>
        <sz val="11"/>
        <color theme="1"/>
        <rFont val="Noto Sans CJK SC"/>
        <family val="2"/>
      </rPr>
      <t xml:space="preserve">乙太網路＋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</si>
  <si>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智邦白牌有效份額（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白牌市場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</si>
  <si>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：分子含前端資料中心交換器，所以高於純後端份額；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</si>
  <si>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</si>
  <si>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智邦白牌有效份額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</si>
  <si>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</si>
  <si>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加速卡等網路應用產品</t>
    </r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</si>
  <si>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</si>
  <si>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</si>
  <si>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千新台幣／顆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</si>
  <si>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：含加速卡模組、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等網路應用產品；晶片疑為客供（每顆約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千美元）</t>
    </r>
  </si>
  <si>
    <r>
      <rPr>
        <sz val="11"/>
        <color theme="1"/>
        <rFont val="Noto Sans CJK SC"/>
        <family val="2"/>
      </rPr>
      <t xml:space="preserve">相對值（份額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單價，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</si>
  <si>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網路應用產品營收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</si>
  <si>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</si>
  <si>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</si>
  <si>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中的非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交換器比例（固定在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結構）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</si>
  <si>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：交換器 </t>
    </r>
    <r>
      <rPr>
        <sz val="11"/>
        <color theme="1"/>
        <rFont val="Calibri"/>
        <family val="2"/>
        <charset val="1"/>
      </rPr>
      <t xml:space="preserve">34%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AI </t>
    </r>
    <r>
      <rPr>
        <sz val="11"/>
        <color theme="1"/>
        <rFont val="Noto Sans CJK SC"/>
        <family val="2"/>
      </rPr>
      <t xml:space="preserve">比例）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合計；之後各年沿用</t>
    </r>
  </si>
  <si>
    <r>
      <rPr>
        <sz val="11"/>
        <color theme="1"/>
        <rFont val="Noto Sans CJK SC"/>
        <family val="2"/>
      </rPr>
      <t xml:space="preserve">  網路交換器：非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（企業、電信、前端）</t>
    </r>
  </si>
  <si>
    <r>
      <rPr>
        <sz val="11"/>
        <color theme="1"/>
        <rFont val="Noto Sans CJK SC"/>
        <family val="2"/>
      </rPr>
      <t xml:space="preserve">網路交換器營收（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</si>
  <si>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公司產品別：網路交換器（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</si>
  <si>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接取與其他營收（＝非 </t>
    </r>
    <r>
      <rPr>
        <sz val="11"/>
        <color theme="1"/>
        <rFont val="Calibri"/>
        <family val="2"/>
        <charset val="1"/>
      </rPr>
      <t xml:space="preserve">AI 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交換器）</t>
    </r>
  </si>
  <si>
    <r>
      <rPr>
        <sz val="11"/>
        <color theme="1"/>
        <rFont val="Noto Sans CJK SC"/>
        <family val="2"/>
      </rPr>
      <t xml:space="preserve">公司產品別：接取（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）與其他</t>
    </r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</si>
  <si>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實績起）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</si>
  <si>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</si>
  <si>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（交換器＋網路應用產品）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</si>
  <si>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網路應用產品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</si>
  <si>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</si>
  <si>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交換器與其他毛利率 ＝ 錨點毛利率 ＋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網路應用產品占比（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</si>
  <si>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毛利率等於錨點；網路應用產品毛利率＝此值 − 差距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</si>
  <si>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</si>
  <si>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</si>
  <si>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</si>
  <si>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</si>
  <si>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</si>
  <si>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</si>
  <si>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</si>
  <si>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</si>
  <si>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FY2026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</si>
  <si>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</si>
  <si>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</si>
  <si>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</si>
  <si>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</si>
  <si>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</si>
  <si>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</si>
  <si>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</si>
  <si>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t xml:space="preserve">稀釋股數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</si>
  <si>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</si>
  <si>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</si>
  <si>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</si>
  <si>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</si>
  <si>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</si>
  <si>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</si>
  <si>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）；目標價為三情境規則值隱含價的加權</t>
    </r>
  </si>
  <si>
    <r>
      <rPr>
        <sz val="11"/>
        <color theme="1"/>
        <rFont val="Noto Sans CJK SC"/>
        <family val="2"/>
      </rPr>
      <t xml:space="preserve">循環位置：智邦不是設備股，不套設備市場見頂年；以本模型營收最高的會計年度為見頂年（比照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、廣達；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</si>
  <si>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</si>
  <si>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</si>
  <si>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</si>
  <si>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</si>
  <si>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</si>
  <si>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</si>
  <si>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</si>
  <si>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</si>
  <si>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</si>
  <si>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</si>
  <si>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</si>
  <si>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</si>
  <si>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</si>
  <si>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</si>
  <si>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</si>
  <si>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</si>
  <si>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</si>
  <si>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</si>
  <si>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</si>
  <si>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</si>
  <si>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</si>
  <si>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</si>
  <si>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</si>
  <si>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</si>
  <si>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</si>
  <si>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</si>
  <si>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</si>
  <si>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</si>
  <si>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</si>
  <si>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</si>
  <si>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</si>
  <si>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</si>
  <si>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</si>
  <si>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</si>
  <si>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</si>
  <si>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Arista Networks</t>
  </si>
  <si>
    <t xml:space="preserve">ANET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</si>
  <si>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</si>
  <si>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</si>
  <si>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</si>
  <si>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Celestica</t>
  </si>
  <si>
    <t xml:space="preserve">CLS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</si>
  <si>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</si>
  <si>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緯穎</t>
  </si>
  <si>
    <t xml:space="preserve">6669.TW</t>
  </si>
  <si>
    <t xml:space="preserve">2026-10-21</t>
  </si>
  <si>
    <t xml:space="preserve">同上（台股頁，價格延遲）</t>
  </si>
  <si>
    <t xml:space="preserve">廣達</t>
  </si>
  <si>
    <t xml:space="preserve">2382.TW</t>
  </si>
  <si>
    <t xml:space="preserve">  同業選擇</t>
  </si>
  <si>
    <r>
      <rPr>
        <sz val="11"/>
        <color theme="1"/>
        <rFont val="Noto Sans CJK SC"/>
        <family val="2"/>
      </rPr>
      <t xml:space="preserve">法人常用的資料中心網通與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同業（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為品牌交換器、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為白牌交換器直接競爭者、緯穎與廣達為台灣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</si>
  <si>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</si>
  <si>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</si>
  <si>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</si>
  <si>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</si>
  <si>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</si>
  <si>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</si>
  <si>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</si>
  <si>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</si>
  <si>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</si>
  <si>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</si>
  <si>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</si>
  <si>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</si>
  <si>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位分析師目標價（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，鉅亨網轉述）；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</si>
  <si>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</si>
  <si>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</si>
  <si>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</si>
  <si>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（同權重的共識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2/12 × FactSet FY2027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120.82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170.57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</si>
  <si>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</si>
  <si>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</si>
  <si>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</si>
  <si>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</si>
  <si>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</si>
  <si>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</si>
  <si>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</si>
  <si>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</si>
  <si>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44.75%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、緯穎、廣達前瞻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（緯穎、廣達）毛利率與成長低於智邦，中位數偏低（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偏保守）；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）；歷史分位用十年年底落後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</si>
  <si>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</si>
  <si>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</si>
  <si>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</si>
  <si>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</si>
  <si>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</si>
  <si>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</si>
  <si>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值</t>
  </si>
  <si>
    <r>
      <rPr>
        <b val="true"/>
        <sz val="11"/>
        <rFont val="Noto Sans CJK SC"/>
        <family val="2"/>
      </rPr>
      <t xml:space="preserve">相對現價或權重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</si>
  <si>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C</t>
    </r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</si>
  <si>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</si>
  <si>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年底價格、未折現；權重見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</si>
  <si>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</si>
  <si>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</si>
  <si>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欄＝相對現價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</si>
  <si>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</si>
  <si>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</si>
  <si>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</si>
  <si>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</si>
  <si>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分位；兩個資料商來源分別取分位再平均）；權重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可改）。偏誤：十年倍數含 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年企業網通期的低倍數（約 </t>
    </r>
    <r>
      <rPr>
        <sz val="11"/>
        <color theme="1"/>
        <rFont val="Calibri"/>
        <family val="2"/>
        <charset val="1"/>
      </rPr>
      <t xml:space="preserve">11–19x</t>
    </r>
    <r>
      <rPr>
        <sz val="11"/>
        <color theme="1"/>
        <rFont val="Noto Sans CJK SC"/>
        <family val="2"/>
      </rPr>
      <t xml:space="preserve">），也含 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2023–24 </t>
    </r>
    <r>
      <rPr>
        <sz val="11"/>
        <color theme="1"/>
        <rFont val="Noto Sans CJK SC"/>
        <family val="2"/>
      </rPr>
      <t xml:space="preserve">年的高倍數期，方向不明；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相同，情境差異只來自循環位置判定</t>
    </r>
  </si>
  <si>
    <r>
      <rPr>
        <sz val="11"/>
        <color theme="1"/>
        <rFont val="Noto Sans CJK SC"/>
        <family val="2"/>
      </rPr>
      <t xml:space="preserve">  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</si>
  <si>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</si>
  <si>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</si>
  <si>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</si>
  <si>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</si>
  <si>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</si>
  <si>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</si>
  <si>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</si>
  <si>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</si>
  <si>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</si>
  <si>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</si>
  <si>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</si>
  <si>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</si>
  <si>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</si>
  <si>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</si>
  <si>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</si>
  <si>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</si>
  <si>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</si>
  <si>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</si>
  <si>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r>
      <rPr>
        <b val="true"/>
        <sz val="11"/>
        <rFont val="Noto Sans CJK SC"/>
        <family val="2"/>
      </rPr>
      <t xml:space="preserve">規則基準 </t>
    </r>
    <r>
      <rPr>
        <b val="true"/>
        <sz val="11"/>
        <rFont val="Cambria"/>
        <family val="0"/>
        <charset val="1"/>
      </rPr>
      <t xml:space="preserve">EPS</t>
    </r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</si>
  <si>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</si>
  <si>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</si>
  <si>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</si>
  <si>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</si>
  <si>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</si>
  <si>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</si>
  <si>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</si>
  <si>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</si>
  <si>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</si>
  <si>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</si>
  <si>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</si>
  <si>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年為企業網通期（約 </t>
    </r>
    <r>
      <rPr>
        <sz val="11"/>
        <color theme="1"/>
        <rFont val="Calibri"/>
        <family val="2"/>
        <charset val="1"/>
      </rPr>
      <t xml:space="preserve">11–19x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期重新定價（</t>
    </r>
    <r>
      <rPr>
        <sz val="11"/>
        <color theme="1"/>
        <rFont val="Calibri"/>
        <family val="2"/>
        <charset val="1"/>
      </rPr>
      <t xml:space="preserve">30–36x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倍增使年底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回落到約 </t>
    </r>
    <r>
      <rPr>
        <sz val="11"/>
        <color theme="1"/>
        <rFont val="Calibri"/>
        <family val="2"/>
        <charset val="1"/>
      </rPr>
      <t xml:space="preserve">25x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</si>
  <si>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</si>
  <si>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</si>
  <si>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</si>
  <si>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</si>
  <si>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</si>
  <si>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</si>
  <si>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年底收盤：未找到）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</si>
  <si>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</si>
  <si>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</si>
  <si>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</si>
  <si>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</si>
  <si>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</si>
  <si>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</si>
  <si>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</si>
  <si>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</si>
  <si>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</si>
  <si>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</si>
  <si>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</si>
  <si>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</si>
  <si>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</si>
  <si>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</si>
  <si>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</si>
  <si>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</si>
  <si>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</si>
  <si>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</si>
  <si>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</si>
  <si>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</si>
  <si>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</si>
  <si>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</si>
  <si>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</si>
  <si>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</si>
  <si>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</si>
  <si>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</si>
  <si>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</si>
  <si>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</si>
  <si>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</si>
  <si>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</si>
  <si>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</si>
  <si>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</si>
  <si>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</si>
  <si>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FactSet 2026-10-14</t>
    </r>
    <r>
      <rPr>
        <sz val="11"/>
        <color theme="1"/>
        <rFont val="Noto Sans CJK SC"/>
        <family val="2"/>
      </rPr>
      <t xml:space="preserve">）、法人拆分與研調份額。只作事後對照，不為對上數字而調參數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</si>
  <si>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</si>
  <si>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</si>
  <si>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</si>
  <si>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</si>
  <si>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</si>
  <si>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</si>
  <si>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</si>
  <si>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</si>
  <si>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</si>
  <si>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</si>
  <si>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</si>
  <si>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錨點＝實績＋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</si>
  <si>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</si>
  <si>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</si>
  <si>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</si>
  <si>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分析師區間 </t>
    </r>
    <r>
      <rPr>
        <sz val="11"/>
        <color theme="1"/>
        <rFont val="Calibri"/>
        <family val="2"/>
        <charset val="1"/>
      </rPr>
      <t xml:space="preserve">86.97–139.61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</si>
  <si>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</si>
  <si>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拆分與份額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</si>
  <si>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交換器，推導）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</t>
    </r>
  </si>
  <si>
    <r>
      <rPr>
        <sz val="11"/>
        <color theme="1"/>
        <rFont val="Noto Sans CJK SC"/>
        <family val="2"/>
      </rPr>
      <t xml:space="preserve">美系外資 </t>
    </r>
    <r>
      <rPr>
        <sz val="11"/>
        <color theme="1"/>
        <rFont val="Calibri"/>
        <family val="2"/>
        <charset val="1"/>
      </rPr>
      <t xml:space="preserve">2026-03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</si>
  <si>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交換器假設與非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營收同成長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</si>
  <si>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乙太網路交換器市場 </t>
    </r>
    <r>
      <rPr>
        <sz val="11"/>
        <color theme="1"/>
        <rFont val="Calibri"/>
        <family val="2"/>
        <charset val="1"/>
      </rPr>
      <t xml:space="preserve">vs 1 − 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合計（上限）</t>
    </r>
  </si>
  <si>
    <t xml:space="preserve">Dell'Oro 2025</t>
  </si>
  <si>
    <t xml:space="preserve">智邦未進前三，應低於上限</t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</si>
  <si>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</si>
  <si>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</si>
  <si>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</si>
  <si>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的智邦營收（千美元）</t>
    </r>
  </si>
  <si>
    <r>
      <rPr>
        <sz val="11"/>
        <color theme="1"/>
        <rFont val="Noto Sans CJK SC"/>
        <family val="2"/>
      </rPr>
      <t xml:space="preserve">晶片若為客供，約為加速卡＋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加工價值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</si>
  <si>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</si>
  <si>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交換器與其他毛利率（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</si>
  <si>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</si>
  <si>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網路應用產品毛利率＝此值 − </t>
    </r>
    <r>
      <rPr>
        <sz val="11"/>
        <color theme="1"/>
        <rFont val="Calibri"/>
        <family val="2"/>
        <charset val="1"/>
      </rPr>
      <t xml:space="preserve">d_nap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</si>
  <si>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</si>
  <si>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</si>
  <si>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2026-09-29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</si>
  <si>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</si>
  <si>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，尚未建立）：上線後以智邦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</si>
  <si>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</si>
  <si>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；有效份額、每顆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營收、交換器與其他毛利率在每個案例內依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營收與毛利恆等於錨點）：對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</si>
  <si>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</si>
  <si>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</si>
  <si>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</si>
  <si>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</si>
  <si>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</si>
  <si>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</si>
  <si>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</si>
  <si>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交換器營收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</si>
  <si>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</si>
  <si>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</si>
  <si>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</si>
  <si>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</si>
  <si>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</si>
  <si>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白牌份額流失（低）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</si>
  <si>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、新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搶占）</t>
    </r>
  </si>
  <si>
    <t xml:space="preserve">白牌份額提升（高）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</si>
  <si>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1.10</t>
    </r>
  </si>
  <si>
    <t xml:space="preserve">白牌占比 低</t>
  </si>
  <si>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（持平）</t>
    </r>
  </si>
  <si>
    <t xml:space="preserve">白牌占比 高</t>
  </si>
  <si>
    <t xml:space="preserve">2026 55% → 2029 60%</t>
  </si>
  <si>
    <t xml:space="preserve">乙太網路占比 低</t>
  </si>
  <si>
    <t xml:space="preserve">2026 70% → 2029 75%</t>
  </si>
  <si>
    <t xml:space="preserve">乙太網路占比 高</t>
  </si>
  <si>
    <t xml:space="preserve">2026 80% → 2029 92%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</si>
  <si>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</si>
  <si>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起交換器市場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（供給受限或內容不如預期）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</si>
  <si>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交換器市場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</si>
  <si>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</si>
  <si>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份額流失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</si>
  <si>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2027 0.65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（第二供應商、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</si>
  <si>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</si>
  <si>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</si>
  <si>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</si>
  <si>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拆分：網路應用產品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（交換器較大）</t>
    </r>
  </si>
  <si>
    <r>
      <rPr>
        <sz val="11"/>
        <color theme="1"/>
        <rFont val="Noto Sans CJK SC"/>
        <family val="2"/>
      </rPr>
      <t xml:space="preserve">網路應用產品占比 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</si>
  <si>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拆分：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</si>
  <si>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</si>
  <si>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Noto Sans CJK SC"/>
        <family val="2"/>
      </rPr>
      <t xml:space="preserve">網路應用產品毛利率只低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</si>
  <si>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</si>
  <si>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</si>
  <si>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0.75</t>
    </r>
  </si>
  <si>
    <t xml:space="preserve">匯損或稅率上升</t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</si>
  <si>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</si>
  <si>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+0.5%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</si>
  <si>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</si>
  <si>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</si>
  <si>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</si>
  <si>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</si>
  <si>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起（交換器與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同時縮放）。拆分案例（網路應用產品占比）改變的是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校準的起點，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合計恆等於錨點。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</si>
  <si>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</si>
  <si>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</si>
  <si>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</si>
  <si>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</si>
  <si>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</si>
  <si>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</si>
  <si>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</si>
  <si>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</si>
  <si>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</si>
  <si>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</si>
  <si>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</si>
  <si>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</si>
  <si>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</si>
  <si>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</si>
  <si>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案例區塊：白牌份額流失（低）（情境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</si>
  <si>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案例區塊：白牌份額提升（高）（情境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</si>
  <si>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</si>
  <si>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案例區塊：白牌占比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</si>
  <si>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</si>
  <si>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案例區塊：乙太網路占比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</si>
  <si>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</si>
  <si>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交換器市場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</si>
  <si>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</si>
  <si>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</si>
  <si>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案例區塊：網路應用產品占比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</si>
  <si>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案例區塊：網路應用產品占比 </t>
    </r>
    <r>
      <rPr>
        <b val="true"/>
        <sz val="11"/>
        <rFont val="Cambria"/>
        <family val="0"/>
        <charset val="1"/>
      </rPr>
      <t xml:space="preserve">58%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</si>
  <si>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案例區塊：毛利率差距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</si>
  <si>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</si>
  <si>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</si>
  <si>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</si>
  <si>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來源（公司原文＝季報與月營收公告，本版只經媒體轉述；法說內容經富果摘要）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</si>
  <si>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財報（營收、毛利、營業利益、淨利、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、上半年）</t>
    </r>
  </si>
  <si>
    <t xml:space="preserve">https://money.udn.com/money/story/5710/9675501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</si>
  <si>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財報</t>
    </r>
  </si>
  <si>
    <t xml:space="preserve">https://money.udn.com/money/story/5710/9488861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</si>
  <si>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月）</t>
    </r>
  </si>
  <si>
    <t xml:space="preserve">https://www.chinatimes.com/realtimenews/20261006003734-260410</t>
  </si>
  <si>
    <r>
      <rPr>
        <sz val="11"/>
        <color theme="1"/>
        <rFont val="Noto Sans CJK SC"/>
        <family val="2"/>
      </rPr>
      <t xml:space="preserve">公司（轉述）：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法說摘要（產品別營收比例、美洲占比）</t>
    </r>
  </si>
  <si>
    <t xml:space="preserve">https://blog.fugle.tw/post/earnings-call-2345-2025-11-7</t>
  </si>
  <si>
    <r>
      <rPr>
        <sz val="11"/>
        <color theme="1"/>
        <rFont val="Noto Sans CJK SC"/>
        <family val="2"/>
      </rPr>
      <t xml:space="preserve">公司（轉述）：現金增資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董事會）</t>
    </r>
  </si>
  <si>
    <t xml:space="preserve">https://udn.com/news/story/7252/9832440</t>
  </si>
  <si>
    <r>
      <rPr>
        <sz val="11"/>
        <color theme="1"/>
        <rFont val="Noto Sans CJK SC"/>
        <family val="2"/>
      </rPr>
      <t xml:space="preserve">二手：工商時報 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估計、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</si>
  <si>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https://www.ctee.com.tw/news/20260929700959-430201</t>
  </si>
  <si>
    <r>
      <rPr>
        <sz val="11"/>
        <color theme="1"/>
        <rFont val="Noto Sans CJK SC"/>
        <family val="2"/>
      </rPr>
      <t xml:space="preserve">二手：旺得富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（美系外資：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交換器占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、新客戶約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</si>
  <si>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https://wantrich.chinatimes.com/news/20260306900323-420101</t>
  </si>
  <si>
    <r>
      <rPr>
        <sz val="11"/>
        <color theme="1"/>
        <rFont val="Noto Sans CJK SC"/>
        <family val="2"/>
      </rPr>
      <t xml:space="preserve">二手：經濟日報 </t>
    </r>
    <r>
      <rPr>
        <sz val="11"/>
        <color theme="1"/>
        <rFont val="Calibri"/>
        <family val="2"/>
        <charset val="1"/>
      </rPr>
      <t xml:space="preserve">2026-07-09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交換匣、組裝廠稀釋份額）</t>
    </r>
  </si>
  <si>
    <t xml:space="preserve">https://udn.com/news/story/7253/9617541</t>
  </si>
  <si>
    <r>
      <rPr>
        <sz val="11"/>
        <color theme="1"/>
        <rFont val="Noto Sans CJK SC"/>
        <family val="2"/>
      </rPr>
      <t xml:space="preserve">二手：鏡週刊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 3 OAM </t>
    </r>
    <r>
      <rPr>
        <sz val="11"/>
        <color theme="1"/>
        <rFont val="Noto Sans CJK SC"/>
        <family val="2"/>
      </rPr>
      <t xml:space="preserve">模組大量出貨）</t>
    </r>
  </si>
  <si>
    <t xml:space="preserve">https://www.mirrormedia.mg/external/mirrordaily_77953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</si>
  <si>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brodoginvestment 2026-07-11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年資料中心交換器約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</t>
    </r>
  </si>
  <si>
    <t xml:space="preserve">https://brodoginvestment.substack.com/p/2345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</si>
  <si>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</si>
  <si>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https://news.cnyes.com/news/id/6629903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</si>
  <si>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Dell'Oro 2025 AI </t>
    </r>
    <r>
      <rPr>
        <sz val="11"/>
        <color theme="1"/>
        <rFont val="Noto Sans CJK SC"/>
        <family val="2"/>
      </rPr>
      <t xml:space="preserve">後端（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並列第一，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第三）</t>
    </r>
  </si>
  <si>
    <t xml:space="preserve">https://www.delloro.com/news/ethernet-more-than-doubles-size-of-infiniband-as-the-leading-fabric-for-ai-scale-out-networks-in-2025/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</si>
  <si>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IDC 2Q26 </t>
    </r>
    <r>
      <rPr>
        <sz val="11"/>
        <color theme="1"/>
        <rFont val="Noto Sans CJK SC"/>
        <family val="2"/>
      </rPr>
      <t xml:space="preserve">乙太網路交換器</t>
    </r>
  </si>
  <si>
    <t xml:space="preserve">https://www.idc.com/resource-center/blog/ethernet-switch-market-surges-43-4-to-18-9b-in-2q26-as-ai-infrastructure-demand-drives-record-datacenter-spending/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</si>
  <si>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IEEE ComSoc 2026-01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占資料中心交換器比例）</t>
    </r>
  </si>
  <si>
    <t xml:space="preserve">https://techblog.comsoc.org/2026/01/31/analysis-ethernet-gains-on-infiniband-in-data-center-connectivity-market-white-box-odm-vendors-top-choice-for-ai-hyperscalers/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</si>
  <si>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、毛利率、營益率）</t>
    </r>
  </si>
  <si>
    <t xml:space="preserve">https://goodinfo.tw/tw/StockBzPerformance.asp?STOCK_ID=2345&amp;RPT_CAT=M_YEAR</t>
  </si>
  <si>
    <r>
      <rPr>
        <sz val="11"/>
        <color theme="1"/>
        <rFont val="Noto Sans CJK SC"/>
        <family val="2"/>
      </rPr>
      <t xml:space="preserve">資料商：永豐金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投資（年度毛利率、營益率、淨利；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</t>
    </r>
  </si>
  <si>
    <t xml:space="preserve">https://aiinvest.sinotrade.com.tw/Stock/Content/TW/2345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</si>
  <si>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</si>
  <si>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https://companiesmarketcap.com/accton-technology/pe-ratio/</t>
  </si>
  <si>
    <r>
      <rPr>
        <sz val="11"/>
        <color theme="1"/>
        <rFont val="Noto Sans CJK SC"/>
        <family val="2"/>
      </rPr>
      <t xml:space="preserve">市價：鉅亨網 </t>
    </r>
    <r>
      <rPr>
        <sz val="11"/>
        <color theme="1"/>
        <rFont val="Calibri"/>
        <family val="2"/>
        <charset val="1"/>
      </rPr>
      <t xml:space="preserve">2345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1,775</t>
    </r>
    <r>
      <rPr>
        <sz val="11"/>
        <color theme="1"/>
        <rFont val="Noto Sans CJK SC"/>
        <family val="2"/>
      </rPr>
      <t xml:space="preserve">、股本 </t>
    </r>
    <r>
      <rPr>
        <sz val="11"/>
        <color theme="1"/>
        <rFont val="Calibri"/>
        <family val="2"/>
        <charset val="1"/>
      </rPr>
      <t xml:space="preserve">56.11 </t>
    </r>
    <r>
      <rPr>
        <sz val="11"/>
        <color theme="1"/>
        <rFont val="Noto Sans CJK SC"/>
        <family val="2"/>
      </rPr>
      <t xml:space="preserve">億）</t>
    </r>
  </si>
  <si>
    <t xml:space="preserve">https://www.cnyes.com/twstock/2345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</si>
  <si>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</si>
  <si>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待補（人工）：公司原始季報與法說簡報；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產品別營收比例；交換器的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拆分；產品別毛利率；客戶占比（年報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法說日期；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</si>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</sst>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0.00%"/>
    <numFmt numFmtId="167" formatCode="0.000"/>
    <numFmt numFmtId="168" formatCode="0.0000"/>
    <numFmt numFmtId="169" formatCode="0.0%"/>
    <numFmt numFmtId="170" formatCode="0.00"/>
    <numFmt numFmtId="171" formatCode="#,##0.0"/>
    <numFmt numFmtId="172" formatCode="#,##0"/>
    <numFmt numFmtId="173" formatCode="0.0"/>
    <numFmt numFmtId="174" formatCode="0%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"投資建議："&amp;Val!B52&amp;"（依上檔空間固定規則）"</f>
        <v>投資建議：買進（依上檔空間固定規則）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32.0719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61.085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69.005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78.48215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32</v>
      </c>
      <c r="E9" s="0" t="n">
        <f aca="false">(2*(600+800*(1-0.6))+1*(600+800*(1-0.6))+0.75*(300+100*(1-0.6)))/1000</f>
        <v>3.015</v>
      </c>
      <c r="G9" s="0" t="s">
        <v>33</v>
      </c>
      <c r="H9" s="0" t="s">
        <v>45</v>
      </c>
      <c r="I9" s="0" t="s">
        <v>46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0" t="s">
        <v>32</v>
      </c>
      <c r="E10" s="0" t="n">
        <f aca="false">(2.5*(600+800*(1-0.6))+4.5*(600+800*(1-0.6))+1.5*(2334+2334*(1-0.6)))/1000</f>
        <v>11.3414</v>
      </c>
      <c r="G10" s="0" t="s">
        <v>33</v>
      </c>
      <c r="H10" s="4" t="s">
        <v>38</v>
      </c>
      <c r="I10" s="4" t="s">
        <v>38</v>
      </c>
    </row>
    <row r="11" customFormat="false" ht="17.15" hidden="false" customHeight="false" outlineLevel="0" collapsed="false">
      <c r="A11" s="0" t="s">
        <v>49</v>
      </c>
      <c r="B11" s="4" t="s">
        <v>50</v>
      </c>
      <c r="C11" s="0" t="s">
        <v>32</v>
      </c>
      <c r="E11" s="0" t="n">
        <f aca="false">(3*(600+800*(1-0.6))+5*(600+800*(1-0.6))+2*(2334+2334*(1-0.6)))/1000</f>
        <v>13.8952</v>
      </c>
      <c r="G11" s="0" t="s">
        <v>33</v>
      </c>
      <c r="H11" s="4" t="s">
        <v>38</v>
      </c>
      <c r="I11" s="4" t="s">
        <v>38</v>
      </c>
    </row>
    <row r="12" customFormat="false" ht="17.15" hidden="false" customHeight="false" outlineLevel="0" collapsed="false">
      <c r="A12" s="0" t="s">
        <v>51</v>
      </c>
      <c r="B12" s="4" t="s">
        <v>52</v>
      </c>
      <c r="C12" s="0" t="s">
        <v>32</v>
      </c>
      <c r="E12" s="0" t="n">
        <f aca="false">(3.45*(600+800*(1-0.6))+5.75*(600+800*(1-0.6))+2.3*(2334+2334*(1-0.6)))/1000</f>
        <v>15.97948</v>
      </c>
      <c r="G12" s="0" t="s">
        <v>33</v>
      </c>
      <c r="H12" s="4" t="s">
        <v>38</v>
      </c>
      <c r="I12" s="4" t="s">
        <v>38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4" t="s">
        <v>55</v>
      </c>
      <c r="E13" s="7" t="n">
        <v>2</v>
      </c>
      <c r="G13" s="8" t="s">
        <v>33</v>
      </c>
      <c r="H13" s="8" t="s">
        <v>56</v>
      </c>
      <c r="I13" s="4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4" t="s">
        <v>55</v>
      </c>
      <c r="E14" s="7" t="n">
        <v>2.5</v>
      </c>
      <c r="G14" s="8" t="s">
        <v>33</v>
      </c>
      <c r="H14" s="8" t="s">
        <v>56</v>
      </c>
      <c r="I14" s="4" t="s">
        <v>38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4" t="s">
        <v>55</v>
      </c>
      <c r="E15" s="7" t="n">
        <v>3</v>
      </c>
      <c r="G15" s="8" t="s">
        <v>33</v>
      </c>
      <c r="H15" s="8" t="s">
        <v>56</v>
      </c>
      <c r="I15" s="4" t="s">
        <v>38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4" t="s">
        <v>55</v>
      </c>
      <c r="E16" s="7" t="n">
        <v>3.45</v>
      </c>
      <c r="G16" s="8" t="s">
        <v>33</v>
      </c>
      <c r="H16" s="8" t="s">
        <v>56</v>
      </c>
      <c r="I16" s="4" t="s">
        <v>38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0" t="s">
        <v>32</v>
      </c>
      <c r="E17" s="7" t="n">
        <v>781.872916666666</v>
      </c>
      <c r="G17" s="8" t="s">
        <v>33</v>
      </c>
      <c r="H17" s="8" t="s">
        <v>66</v>
      </c>
      <c r="I17" s="8" t="s">
        <v>67</v>
      </c>
    </row>
    <row r="18" customFormat="false" ht="17.15" hidden="false" customHeight="false" outlineLevel="0" collapsed="false">
      <c r="A18" s="0" t="s">
        <v>68</v>
      </c>
      <c r="B18" s="0" t="s">
        <v>69</v>
      </c>
      <c r="C18" s="0" t="s">
        <v>32</v>
      </c>
      <c r="E18" s="7" t="n">
        <v>1565.35</v>
      </c>
      <c r="G18" s="8" t="s">
        <v>33</v>
      </c>
      <c r="H18" s="8" t="s">
        <v>66</v>
      </c>
      <c r="I18" s="4" t="s">
        <v>38</v>
      </c>
    </row>
    <row r="19" customFormat="false" ht="17.15" hidden="false" customHeight="false" outlineLevel="0" collapsed="false">
      <c r="A19" s="0" t="s">
        <v>70</v>
      </c>
      <c r="B19" s="0" t="s">
        <v>71</v>
      </c>
      <c r="C19" s="0" t="s">
        <v>32</v>
      </c>
      <c r="E19" s="7" t="n">
        <v>1984.26388888889</v>
      </c>
      <c r="G19" s="8" t="s">
        <v>33</v>
      </c>
      <c r="H19" s="8" t="s">
        <v>66</v>
      </c>
      <c r="I19" s="4" t="s">
        <v>38</v>
      </c>
    </row>
    <row r="20" customFormat="false" ht="17.15" hidden="false" customHeight="false" outlineLevel="0" collapsed="false">
      <c r="A20" s="0" t="s">
        <v>72</v>
      </c>
      <c r="B20" s="0" t="s">
        <v>73</v>
      </c>
      <c r="C20" s="0" t="s">
        <v>32</v>
      </c>
      <c r="E20" s="7" t="n">
        <v>2260.39027777778</v>
      </c>
      <c r="G20" s="8" t="s">
        <v>33</v>
      </c>
      <c r="H20" s="8" t="s">
        <v>66</v>
      </c>
      <c r="I20" s="4" t="s">
        <v>38</v>
      </c>
    </row>
    <row r="21" customFormat="false" ht="17.15" hidden="false" customHeight="false" outlineLevel="0" collapsed="false">
      <c r="A21" s="0" t="s">
        <v>74</v>
      </c>
      <c r="B21" s="4" t="s">
        <v>75</v>
      </c>
      <c r="C21" s="0" t="s">
        <v>76</v>
      </c>
      <c r="E21" s="7" t="n">
        <v>1</v>
      </c>
      <c r="G21" s="8" t="s">
        <v>77</v>
      </c>
      <c r="H21" s="8" t="s">
        <v>78</v>
      </c>
      <c r="I21" s="8" t="s">
        <v>79</v>
      </c>
    </row>
    <row r="22" customFormat="false" ht="17.15" hidden="false" customHeight="false" outlineLevel="0" collapsed="false">
      <c r="A22" s="0" t="s">
        <v>80</v>
      </c>
      <c r="B22" s="4" t="s">
        <v>81</v>
      </c>
      <c r="C22" s="0" t="s">
        <v>76</v>
      </c>
      <c r="E22" s="7" t="n">
        <v>1</v>
      </c>
      <c r="G22" s="8" t="s">
        <v>77</v>
      </c>
      <c r="H22" s="8" t="s">
        <v>82</v>
      </c>
      <c r="I22" s="4" t="s">
        <v>38</v>
      </c>
    </row>
    <row r="23" customFormat="false" ht="17.15" hidden="false" customHeight="false" outlineLevel="0" collapsed="false">
      <c r="A23" s="0" t="s">
        <v>83</v>
      </c>
      <c r="B23" s="4" t="s">
        <v>84</v>
      </c>
      <c r="C23" s="0" t="s">
        <v>76</v>
      </c>
      <c r="E23" s="7" t="n">
        <v>0.8</v>
      </c>
      <c r="G23" s="8" t="s">
        <v>77</v>
      </c>
      <c r="H23" s="8" t="s">
        <v>85</v>
      </c>
      <c r="I23" s="8" t="s">
        <v>79</v>
      </c>
    </row>
    <row r="24" customFormat="false" ht="17.15" hidden="false" customHeight="false" outlineLevel="0" collapsed="false">
      <c r="A24" s="0" t="s">
        <v>86</v>
      </c>
      <c r="B24" s="4" t="s">
        <v>87</v>
      </c>
      <c r="C24" s="0" t="s">
        <v>76</v>
      </c>
      <c r="E24" s="7" t="n">
        <v>0.85</v>
      </c>
      <c r="G24" s="8" t="s">
        <v>77</v>
      </c>
      <c r="H24" s="8" t="s">
        <v>88</v>
      </c>
      <c r="I24" s="4" t="s">
        <v>38</v>
      </c>
    </row>
    <row r="25" customFormat="false" ht="17.15" hidden="false" customHeight="false" outlineLevel="0" collapsed="false">
      <c r="A25" s="0" t="s">
        <v>89</v>
      </c>
      <c r="B25" s="4" t="s">
        <v>90</v>
      </c>
      <c r="C25" s="0" t="s">
        <v>76</v>
      </c>
      <c r="E25" s="7" t="n">
        <v>0.6</v>
      </c>
      <c r="G25" s="8" t="s">
        <v>77</v>
      </c>
      <c r="H25" s="8" t="s">
        <v>91</v>
      </c>
      <c r="I25" s="8" t="s">
        <v>79</v>
      </c>
    </row>
    <row r="26" customFormat="false" ht="17.15" hidden="false" customHeight="false" outlineLevel="0" collapsed="false">
      <c r="A26" s="0" t="s">
        <v>92</v>
      </c>
      <c r="B26" s="4" t="s">
        <v>93</v>
      </c>
      <c r="C26" s="0" t="s">
        <v>76</v>
      </c>
      <c r="E26" s="7" t="n">
        <v>0.6</v>
      </c>
      <c r="G26" s="8" t="s">
        <v>77</v>
      </c>
      <c r="H26" s="8" t="s">
        <v>94</v>
      </c>
      <c r="I26" s="4" t="s">
        <v>38</v>
      </c>
    </row>
    <row r="27" customFormat="false" ht="17.15" hidden="false" customHeight="false" outlineLevel="0" collapsed="false">
      <c r="A27" s="0" t="s">
        <v>95</v>
      </c>
      <c r="B27" s="4" t="s">
        <v>96</v>
      </c>
      <c r="C27" s="0" t="s">
        <v>97</v>
      </c>
      <c r="D27" s="7" t="n">
        <v>29</v>
      </c>
      <c r="E27" s="7" t="n">
        <v>32</v>
      </c>
      <c r="F27" s="7" t="n">
        <v>33</v>
      </c>
      <c r="G27" s="8" t="s">
        <v>77</v>
      </c>
      <c r="H27" s="4" t="s">
        <v>98</v>
      </c>
      <c r="I27" s="4" t="s">
        <v>99</v>
      </c>
    </row>
    <row r="28" customFormat="false" ht="17.15" hidden="false" customHeight="false" outlineLevel="0" collapsed="false">
      <c r="A28" s="6" t="s">
        <v>100</v>
      </c>
    </row>
    <row r="29" customFormat="false" ht="17.15" hidden="false" customHeight="false" outlineLevel="0" collapsed="false">
      <c r="A29" s="0" t="s">
        <v>101</v>
      </c>
      <c r="B29" s="4" t="s">
        <v>102</v>
      </c>
      <c r="C29" s="0" t="s">
        <v>103</v>
      </c>
      <c r="D29" s="7" t="n">
        <v>0.7</v>
      </c>
      <c r="E29" s="7" t="n">
        <v>0.75</v>
      </c>
      <c r="F29" s="7" t="n">
        <v>0.8</v>
      </c>
      <c r="G29" s="8" t="s">
        <v>77</v>
      </c>
      <c r="H29" s="4" t="s">
        <v>104</v>
      </c>
      <c r="I29" s="8" t="s">
        <v>105</v>
      </c>
    </row>
    <row r="30" customFormat="false" ht="17.15" hidden="false" customHeight="false" outlineLevel="0" collapsed="false">
      <c r="A30" s="0" t="s">
        <v>106</v>
      </c>
      <c r="B30" s="4" t="s">
        <v>107</v>
      </c>
      <c r="C30" s="0" t="s">
        <v>103</v>
      </c>
      <c r="D30" s="7" t="n">
        <v>0.72</v>
      </c>
      <c r="E30" s="7" t="n">
        <v>0.8</v>
      </c>
      <c r="F30" s="7" t="n">
        <v>0.88</v>
      </c>
      <c r="G30" s="8" t="s">
        <v>77</v>
      </c>
      <c r="H30" s="4" t="s">
        <v>108</v>
      </c>
      <c r="I30" s="4" t="s">
        <v>109</v>
      </c>
    </row>
    <row r="31" customFormat="false" ht="17.15" hidden="false" customHeight="false" outlineLevel="0" collapsed="false">
      <c r="A31" s="0" t="s">
        <v>110</v>
      </c>
      <c r="B31" s="4" t="s">
        <v>111</v>
      </c>
      <c r="C31" s="0" t="s">
        <v>103</v>
      </c>
      <c r="D31" s="7" t="n">
        <v>0.74</v>
      </c>
      <c r="E31" s="7" t="n">
        <v>0.83</v>
      </c>
      <c r="F31" s="7" t="n">
        <v>0.9</v>
      </c>
      <c r="G31" s="8" t="s">
        <v>77</v>
      </c>
      <c r="H31" s="4" t="s">
        <v>38</v>
      </c>
      <c r="I31" s="8" t="s">
        <v>112</v>
      </c>
    </row>
    <row r="32" customFormat="false" ht="17.15" hidden="false" customHeight="false" outlineLevel="0" collapsed="false">
      <c r="A32" s="0" t="s">
        <v>113</v>
      </c>
      <c r="B32" s="4" t="s">
        <v>114</v>
      </c>
      <c r="C32" s="0" t="s">
        <v>103</v>
      </c>
      <c r="D32" s="7" t="n">
        <v>0.75</v>
      </c>
      <c r="E32" s="7" t="n">
        <v>0.85</v>
      </c>
      <c r="F32" s="7" t="n">
        <v>0.92</v>
      </c>
      <c r="G32" s="8" t="s">
        <v>77</v>
      </c>
      <c r="H32" s="4" t="s">
        <v>38</v>
      </c>
      <c r="I32" s="8" t="s">
        <v>112</v>
      </c>
    </row>
    <row r="33" customFormat="false" ht="17.15" hidden="false" customHeight="false" outlineLevel="0" collapsed="false">
      <c r="A33" s="0" t="s">
        <v>115</v>
      </c>
      <c r="B33" s="4" t="s">
        <v>116</v>
      </c>
      <c r="C33" s="0" t="s">
        <v>103</v>
      </c>
      <c r="D33" s="7" t="n">
        <v>0.35</v>
      </c>
      <c r="E33" s="7" t="n">
        <v>0.45</v>
      </c>
      <c r="F33" s="7" t="n">
        <v>0.55</v>
      </c>
      <c r="G33" s="8" t="s">
        <v>77</v>
      </c>
      <c r="H33" s="8" t="s">
        <v>117</v>
      </c>
      <c r="I33" s="8" t="s">
        <v>118</v>
      </c>
    </row>
    <row r="34" customFormat="false" ht="17.15" hidden="false" customHeight="false" outlineLevel="0" collapsed="false">
      <c r="A34" s="0" t="s">
        <v>119</v>
      </c>
      <c r="B34" s="4" t="s">
        <v>120</v>
      </c>
      <c r="C34" s="0" t="s">
        <v>103</v>
      </c>
      <c r="D34" s="7" t="n">
        <v>0.35</v>
      </c>
      <c r="E34" s="7" t="n">
        <v>0.47</v>
      </c>
      <c r="F34" s="7" t="n">
        <v>0.57</v>
      </c>
      <c r="G34" s="8" t="s">
        <v>77</v>
      </c>
      <c r="H34" s="4" t="s">
        <v>121</v>
      </c>
      <c r="I34" s="4" t="s">
        <v>122</v>
      </c>
    </row>
    <row r="35" customFormat="false" ht="17.15" hidden="false" customHeight="false" outlineLevel="0" collapsed="false">
      <c r="A35" s="0" t="s">
        <v>123</v>
      </c>
      <c r="B35" s="4" t="s">
        <v>124</v>
      </c>
      <c r="C35" s="0" t="s">
        <v>103</v>
      </c>
      <c r="D35" s="7" t="n">
        <v>0.35</v>
      </c>
      <c r="E35" s="7" t="n">
        <v>0.48</v>
      </c>
      <c r="F35" s="7" t="n">
        <v>0.58</v>
      </c>
      <c r="G35" s="8" t="s">
        <v>77</v>
      </c>
      <c r="H35" s="4" t="s">
        <v>38</v>
      </c>
      <c r="I35" s="8" t="s">
        <v>112</v>
      </c>
    </row>
    <row r="36" customFormat="false" ht="17.15" hidden="false" customHeight="false" outlineLevel="0" collapsed="false">
      <c r="A36" s="0" t="s">
        <v>125</v>
      </c>
      <c r="B36" s="4" t="s">
        <v>126</v>
      </c>
      <c r="C36" s="0" t="s">
        <v>103</v>
      </c>
      <c r="D36" s="7" t="n">
        <v>0.35</v>
      </c>
      <c r="E36" s="7" t="n">
        <v>0.5</v>
      </c>
      <c r="F36" s="7" t="n">
        <v>0.6</v>
      </c>
      <c r="G36" s="8" t="s">
        <v>77</v>
      </c>
      <c r="H36" s="4" t="s">
        <v>38</v>
      </c>
      <c r="I36" s="8" t="s">
        <v>112</v>
      </c>
    </row>
    <row r="37" customFormat="false" ht="17.15" hidden="false" customHeight="false" outlineLevel="0" collapsed="false">
      <c r="A37" s="0" t="s">
        <v>127</v>
      </c>
      <c r="B37" s="4" t="s">
        <v>128</v>
      </c>
      <c r="C37" s="0" t="s">
        <v>76</v>
      </c>
      <c r="D37" s="7" t="n">
        <v>0.8</v>
      </c>
      <c r="E37" s="7" t="n">
        <v>1</v>
      </c>
      <c r="F37" s="7" t="n">
        <v>1.1</v>
      </c>
      <c r="G37" s="8" t="s">
        <v>77</v>
      </c>
      <c r="H37" s="8" t="s">
        <v>129</v>
      </c>
      <c r="I37" s="4" t="s">
        <v>130</v>
      </c>
    </row>
    <row r="38" customFormat="false" ht="17.15" hidden="false" customHeight="false" outlineLevel="0" collapsed="false">
      <c r="A38" s="0" t="s">
        <v>131</v>
      </c>
      <c r="B38" s="4" t="s">
        <v>132</v>
      </c>
      <c r="C38" s="0" t="s">
        <v>76</v>
      </c>
      <c r="D38" s="7" t="n">
        <v>0.7</v>
      </c>
      <c r="E38" s="7" t="n">
        <v>0.95</v>
      </c>
      <c r="F38" s="7" t="n">
        <v>1.1</v>
      </c>
      <c r="G38" s="8" t="s">
        <v>77</v>
      </c>
      <c r="H38" s="8" t="s">
        <v>133</v>
      </c>
      <c r="I38" s="8" t="s">
        <v>112</v>
      </c>
    </row>
    <row r="39" customFormat="false" ht="17.15" hidden="false" customHeight="false" outlineLevel="0" collapsed="false">
      <c r="A39" s="0" t="s">
        <v>134</v>
      </c>
      <c r="B39" s="4" t="s">
        <v>135</v>
      </c>
      <c r="C39" s="0" t="s">
        <v>76</v>
      </c>
      <c r="D39" s="7" t="n">
        <v>0.65</v>
      </c>
      <c r="E39" s="7" t="n">
        <v>0.92</v>
      </c>
      <c r="F39" s="7" t="n">
        <v>1.1</v>
      </c>
      <c r="G39" s="8" t="s">
        <v>77</v>
      </c>
      <c r="H39" s="4" t="s">
        <v>38</v>
      </c>
      <c r="I39" s="8" t="s">
        <v>112</v>
      </c>
    </row>
    <row r="40" customFormat="false" ht="17.15" hidden="false" customHeight="false" outlineLevel="0" collapsed="false">
      <c r="A40" s="6" t="s">
        <v>136</v>
      </c>
    </row>
    <row r="41" customFormat="false" ht="17.15" hidden="false" customHeight="false" outlineLevel="0" collapsed="false">
      <c r="A41" s="0" t="s">
        <v>137</v>
      </c>
      <c r="B41" s="4" t="s">
        <v>138</v>
      </c>
      <c r="C41" s="0" t="s">
        <v>76</v>
      </c>
      <c r="D41" s="7" t="n">
        <v>0.65</v>
      </c>
      <c r="E41" s="7" t="n">
        <v>0.9</v>
      </c>
      <c r="F41" s="7" t="n">
        <v>1.1</v>
      </c>
      <c r="G41" s="8" t="s">
        <v>77</v>
      </c>
      <c r="H41" s="4" t="s">
        <v>139</v>
      </c>
      <c r="I41" s="4" t="s">
        <v>140</v>
      </c>
    </row>
    <row r="42" customFormat="false" ht="17.15" hidden="false" customHeight="false" outlineLevel="0" collapsed="false">
      <c r="A42" s="0" t="s">
        <v>141</v>
      </c>
      <c r="B42" s="4" t="s">
        <v>142</v>
      </c>
      <c r="C42" s="0" t="s">
        <v>76</v>
      </c>
      <c r="D42" s="7" t="n">
        <v>0.55</v>
      </c>
      <c r="E42" s="7" t="n">
        <v>0.85</v>
      </c>
      <c r="F42" s="7" t="n">
        <v>1.1</v>
      </c>
      <c r="G42" s="8" t="s">
        <v>77</v>
      </c>
      <c r="H42" s="4" t="s">
        <v>38</v>
      </c>
      <c r="I42" s="8" t="s">
        <v>112</v>
      </c>
    </row>
    <row r="43" customFormat="false" ht="17.15" hidden="false" customHeight="false" outlineLevel="0" collapsed="false">
      <c r="A43" s="0" t="s">
        <v>143</v>
      </c>
      <c r="B43" s="4" t="s">
        <v>144</v>
      </c>
      <c r="C43" s="0" t="s">
        <v>76</v>
      </c>
      <c r="D43" s="7" t="n">
        <v>0.5</v>
      </c>
      <c r="E43" s="7" t="n">
        <v>0.8</v>
      </c>
      <c r="F43" s="7" t="n">
        <v>1.1</v>
      </c>
      <c r="G43" s="8" t="s">
        <v>77</v>
      </c>
      <c r="H43" s="4" t="s">
        <v>38</v>
      </c>
      <c r="I43" s="8" t="s">
        <v>112</v>
      </c>
    </row>
    <row r="44" customFormat="false" ht="17.15" hidden="false" customHeight="false" outlineLevel="0" collapsed="false">
      <c r="A44" s="0" t="s">
        <v>145</v>
      </c>
      <c r="B44" s="0" t="s">
        <v>146</v>
      </c>
      <c r="C44" s="0" t="s">
        <v>76</v>
      </c>
      <c r="D44" s="7" t="n">
        <v>0.8</v>
      </c>
      <c r="E44" s="7" t="n">
        <v>1</v>
      </c>
      <c r="F44" s="7" t="n">
        <v>1.2</v>
      </c>
      <c r="G44" s="8" t="s">
        <v>77</v>
      </c>
      <c r="H44" s="4" t="s">
        <v>147</v>
      </c>
      <c r="I44" s="8" t="s">
        <v>148</v>
      </c>
    </row>
    <row r="45" customFormat="false" ht="17.15" hidden="false" customHeight="false" outlineLevel="0" collapsed="false">
      <c r="A45" s="6" t="s">
        <v>149</v>
      </c>
    </row>
    <row r="46" customFormat="false" ht="17.15" hidden="false" customHeight="false" outlineLevel="0" collapsed="false">
      <c r="A46" s="0" t="s">
        <v>150</v>
      </c>
      <c r="B46" s="0" t="s">
        <v>151</v>
      </c>
      <c r="C46" s="0" t="s">
        <v>103</v>
      </c>
      <c r="D46" s="7" t="n">
        <v>0.31</v>
      </c>
      <c r="E46" s="7" t="n">
        <v>0.34</v>
      </c>
      <c r="F46" s="7" t="n">
        <v>0.36</v>
      </c>
      <c r="G46" s="8" t="s">
        <v>152</v>
      </c>
      <c r="H46" s="8" t="s">
        <v>153</v>
      </c>
      <c r="I46" s="8" t="s">
        <v>154</v>
      </c>
    </row>
    <row r="47" customFormat="false" ht="17.15" hidden="false" customHeight="false" outlineLevel="0" collapsed="false">
      <c r="A47" s="0" t="s">
        <v>155</v>
      </c>
      <c r="B47" s="0" t="s">
        <v>156</v>
      </c>
      <c r="C47" s="0" t="s">
        <v>103</v>
      </c>
      <c r="D47" s="7" t="n">
        <v>0.6</v>
      </c>
      <c r="E47" s="7" t="n">
        <v>0.63</v>
      </c>
      <c r="F47" s="7" t="n">
        <v>0.65</v>
      </c>
      <c r="G47" s="8" t="s">
        <v>152</v>
      </c>
      <c r="H47" s="4" t="s">
        <v>157</v>
      </c>
      <c r="I47" s="8" t="s">
        <v>158</v>
      </c>
    </row>
    <row r="48" customFormat="false" ht="17.15" hidden="false" customHeight="false" outlineLevel="0" collapsed="false">
      <c r="A48" s="0" t="s">
        <v>159</v>
      </c>
      <c r="B48" s="0" t="s">
        <v>160</v>
      </c>
      <c r="C48" s="0" t="s">
        <v>103</v>
      </c>
      <c r="D48" s="7" t="n">
        <v>0.45</v>
      </c>
      <c r="E48" s="7" t="n">
        <v>0.6</v>
      </c>
      <c r="F48" s="7" t="n">
        <v>0.75</v>
      </c>
      <c r="G48" s="8" t="s">
        <v>77</v>
      </c>
      <c r="H48" s="4" t="s">
        <v>161</v>
      </c>
      <c r="I48" s="4" t="s">
        <v>162</v>
      </c>
    </row>
    <row r="49" customFormat="false" ht="17.15" hidden="false" customHeight="false" outlineLevel="0" collapsed="false">
      <c r="A49" s="0" t="s">
        <v>163</v>
      </c>
      <c r="B49" s="0" t="s">
        <v>164</v>
      </c>
      <c r="C49" s="0" t="s">
        <v>103</v>
      </c>
      <c r="D49" s="7" t="n">
        <v>0.42</v>
      </c>
      <c r="E49" s="7" t="n">
        <v>0.5</v>
      </c>
      <c r="F49" s="7" t="n">
        <v>0.58</v>
      </c>
      <c r="G49" s="8" t="s">
        <v>77</v>
      </c>
      <c r="H49" s="4" t="s">
        <v>165</v>
      </c>
      <c r="I49" s="4" t="s">
        <v>166</v>
      </c>
    </row>
    <row r="50" customFormat="false" ht="17.15" hidden="false" customHeight="false" outlineLevel="0" collapsed="false">
      <c r="A50" s="0" t="s">
        <v>167</v>
      </c>
      <c r="B50" s="4" t="s">
        <v>168</v>
      </c>
      <c r="C50" s="0" t="s">
        <v>103</v>
      </c>
      <c r="D50" s="7" t="n">
        <v>0</v>
      </c>
      <c r="E50" s="7" t="n">
        <v>0.1</v>
      </c>
      <c r="F50" s="7" t="n">
        <v>0.2</v>
      </c>
      <c r="G50" s="8" t="s">
        <v>77</v>
      </c>
      <c r="H50" s="8" t="s">
        <v>169</v>
      </c>
      <c r="I50" s="4" t="s">
        <v>170</v>
      </c>
    </row>
    <row r="51" customFormat="false" ht="17.15" hidden="false" customHeight="false" outlineLevel="0" collapsed="false">
      <c r="A51" s="0" t="s">
        <v>171</v>
      </c>
      <c r="B51" s="4" t="s">
        <v>172</v>
      </c>
      <c r="C51" s="0" t="s">
        <v>103</v>
      </c>
      <c r="D51" s="7" t="n">
        <v>0</v>
      </c>
      <c r="E51" s="7" t="n">
        <v>0.06</v>
      </c>
      <c r="F51" s="7" t="n">
        <v>0.12</v>
      </c>
      <c r="G51" s="8" t="s">
        <v>77</v>
      </c>
      <c r="H51" s="4" t="s">
        <v>38</v>
      </c>
      <c r="I51" s="8" t="s">
        <v>112</v>
      </c>
    </row>
    <row r="52" customFormat="false" ht="17.15" hidden="false" customHeight="false" outlineLevel="0" collapsed="false">
      <c r="A52" s="0" t="s">
        <v>173</v>
      </c>
      <c r="B52" s="4" t="s">
        <v>174</v>
      </c>
      <c r="C52" s="0" t="s">
        <v>103</v>
      </c>
      <c r="D52" s="7" t="n">
        <v>0</v>
      </c>
      <c r="E52" s="7" t="n">
        <v>0.05</v>
      </c>
      <c r="F52" s="7" t="n">
        <v>0.1</v>
      </c>
      <c r="G52" s="8" t="s">
        <v>77</v>
      </c>
      <c r="H52" s="4" t="s">
        <v>38</v>
      </c>
      <c r="I52" s="8" t="s">
        <v>112</v>
      </c>
    </row>
    <row r="53" customFormat="false" ht="17.15" hidden="false" customHeight="false" outlineLevel="0" collapsed="false">
      <c r="A53" s="0" t="s">
        <v>175</v>
      </c>
      <c r="B53" s="4" t="s">
        <v>176</v>
      </c>
      <c r="C53" s="0" t="s">
        <v>103</v>
      </c>
      <c r="D53" s="7" t="n">
        <v>0</v>
      </c>
      <c r="E53" s="7" t="n">
        <v>0.05</v>
      </c>
      <c r="F53" s="7" t="n">
        <v>0.1</v>
      </c>
      <c r="G53" s="8" t="s">
        <v>77</v>
      </c>
      <c r="H53" s="4" t="s">
        <v>38</v>
      </c>
      <c r="I53" s="8" t="s">
        <v>112</v>
      </c>
    </row>
    <row r="54" customFormat="false" ht="17.15" hidden="false" customHeight="false" outlineLevel="0" collapsed="false">
      <c r="A54" s="6" t="s">
        <v>177</v>
      </c>
    </row>
    <row r="55" customFormat="false" ht="17.15" hidden="false" customHeight="false" outlineLevel="0" collapsed="false">
      <c r="A55" s="0" t="s">
        <v>178</v>
      </c>
      <c r="B55" s="4" t="s">
        <v>179</v>
      </c>
      <c r="C55" s="0" t="s">
        <v>180</v>
      </c>
      <c r="D55" s="7" t="n">
        <v>0.03</v>
      </c>
      <c r="E55" s="7" t="n">
        <v>0.06</v>
      </c>
      <c r="F55" s="7" t="n">
        <v>0.1</v>
      </c>
      <c r="G55" s="8" t="s">
        <v>77</v>
      </c>
      <c r="H55" s="4" t="s">
        <v>181</v>
      </c>
      <c r="I55" s="4" t="s">
        <v>182</v>
      </c>
    </row>
    <row r="56" customFormat="false" ht="17.15" hidden="false" customHeight="false" outlineLevel="0" collapsed="false">
      <c r="A56" s="6" t="s">
        <v>183</v>
      </c>
    </row>
    <row r="57" customFormat="false" ht="17.15" hidden="false" customHeight="false" outlineLevel="0" collapsed="false">
      <c r="A57" s="0" t="s">
        <v>184</v>
      </c>
      <c r="B57" s="0" t="s">
        <v>185</v>
      </c>
      <c r="C57" s="0" t="s">
        <v>186</v>
      </c>
      <c r="E57" s="7" t="n">
        <v>120.74</v>
      </c>
      <c r="G57" s="8" t="s">
        <v>187</v>
      </c>
      <c r="H57" s="8" t="s">
        <v>188</v>
      </c>
      <c r="I57" s="8" t="s">
        <v>189</v>
      </c>
    </row>
    <row r="58" customFormat="false" ht="17.15" hidden="false" customHeight="false" outlineLevel="0" collapsed="false">
      <c r="A58" s="0" t="s">
        <v>190</v>
      </c>
      <c r="B58" s="0" t="s">
        <v>191</v>
      </c>
      <c r="C58" s="0" t="s">
        <v>103</v>
      </c>
      <c r="D58" s="7" t="n">
        <v>0.175</v>
      </c>
      <c r="E58" s="7" t="n">
        <v>0.185</v>
      </c>
      <c r="F58" s="7" t="n">
        <v>0.195</v>
      </c>
      <c r="G58" s="8" t="s">
        <v>77</v>
      </c>
      <c r="H58" s="8" t="s">
        <v>192</v>
      </c>
      <c r="I58" s="4" t="s">
        <v>193</v>
      </c>
    </row>
    <row r="59" customFormat="false" ht="17.15" hidden="false" customHeight="false" outlineLevel="0" collapsed="false">
      <c r="A59" s="0" t="s">
        <v>194</v>
      </c>
      <c r="B59" s="0" t="s">
        <v>195</v>
      </c>
      <c r="C59" s="0" t="s">
        <v>103</v>
      </c>
      <c r="D59" s="7" t="n">
        <v>-0.05</v>
      </c>
      <c r="E59" s="7" t="n">
        <v>0.03</v>
      </c>
      <c r="F59" s="7" t="n">
        <v>0.08</v>
      </c>
      <c r="G59" s="8" t="s">
        <v>77</v>
      </c>
      <c r="H59" s="4" t="s">
        <v>196</v>
      </c>
      <c r="I59" s="4" t="s">
        <v>197</v>
      </c>
    </row>
    <row r="60" customFormat="false" ht="17.15" hidden="false" customHeight="false" outlineLevel="0" collapsed="false">
      <c r="A60" s="0" t="s">
        <v>198</v>
      </c>
      <c r="B60" s="0" t="s">
        <v>199</v>
      </c>
      <c r="C60" s="0" t="s">
        <v>103</v>
      </c>
      <c r="D60" s="7" t="n">
        <v>0.17</v>
      </c>
      <c r="E60" s="7" t="n">
        <v>0.185</v>
      </c>
      <c r="F60" s="7" t="n">
        <v>0.2</v>
      </c>
      <c r="G60" s="8" t="s">
        <v>77</v>
      </c>
      <c r="H60" s="4" t="s">
        <v>200</v>
      </c>
      <c r="I60" s="8" t="s">
        <v>112</v>
      </c>
    </row>
    <row r="61" customFormat="false" ht="17.15" hidden="false" customHeight="false" outlineLevel="0" collapsed="false">
      <c r="A61" s="0" t="s">
        <v>201</v>
      </c>
      <c r="B61" s="0" t="s">
        <v>202</v>
      </c>
      <c r="C61" s="0" t="s">
        <v>103</v>
      </c>
      <c r="D61" s="7" t="n">
        <v>0.037</v>
      </c>
      <c r="E61" s="7" t="n">
        <v>0.04</v>
      </c>
      <c r="F61" s="7" t="n">
        <v>0.045</v>
      </c>
      <c r="G61" s="8" t="s">
        <v>77</v>
      </c>
      <c r="H61" s="8" t="s">
        <v>203</v>
      </c>
      <c r="I61" s="4" t="s">
        <v>204</v>
      </c>
    </row>
    <row r="62" customFormat="false" ht="17.15" hidden="false" customHeight="false" outlineLevel="0" collapsed="false">
      <c r="A62" s="0" t="s">
        <v>205</v>
      </c>
      <c r="B62" s="0" t="s">
        <v>206</v>
      </c>
      <c r="C62" s="0" t="s">
        <v>76</v>
      </c>
      <c r="D62" s="7" t="n">
        <v>0.75</v>
      </c>
      <c r="E62" s="7" t="n">
        <v>0.8</v>
      </c>
      <c r="F62" s="7" t="n">
        <v>0.84</v>
      </c>
      <c r="G62" s="8" t="s">
        <v>33</v>
      </c>
      <c r="H62" s="8" t="s">
        <v>207</v>
      </c>
      <c r="I62" s="8" t="s">
        <v>208</v>
      </c>
    </row>
    <row r="63" customFormat="false" ht="17.15" hidden="false" customHeight="false" outlineLevel="0" collapsed="false">
      <c r="A63" s="0" t="s">
        <v>209</v>
      </c>
      <c r="B63" s="4" t="s">
        <v>210</v>
      </c>
      <c r="C63" s="4" t="s">
        <v>211</v>
      </c>
      <c r="E63" s="0" t="n">
        <f aca="false">19.394/34.7</f>
        <v>0.558904899135447</v>
      </c>
      <c r="G63" s="0" t="s">
        <v>33</v>
      </c>
      <c r="H63" s="0" t="s">
        <v>212</v>
      </c>
      <c r="I63" s="4" t="s">
        <v>213</v>
      </c>
    </row>
    <row r="64" customFormat="false" ht="17.15" hidden="false" customHeight="false" outlineLevel="0" collapsed="false">
      <c r="A64" s="6" t="s">
        <v>214</v>
      </c>
    </row>
    <row r="65" customFormat="false" ht="17.15" hidden="false" customHeight="false" outlineLevel="0" collapsed="false">
      <c r="A65" s="0" t="s">
        <v>215</v>
      </c>
      <c r="B65" s="4" t="s">
        <v>216</v>
      </c>
      <c r="C65" s="0" t="s">
        <v>76</v>
      </c>
      <c r="D65" s="7" t="n">
        <v>0.4</v>
      </c>
      <c r="E65" s="7" t="n">
        <v>0.6</v>
      </c>
      <c r="F65" s="7" t="n">
        <v>0.8</v>
      </c>
      <c r="G65" s="8" t="s">
        <v>33</v>
      </c>
      <c r="H65" s="8" t="s">
        <v>217</v>
      </c>
      <c r="I65" s="4" t="s">
        <v>218</v>
      </c>
    </row>
    <row r="66" customFormat="false" ht="17.15" hidden="false" customHeight="false" outlineLevel="0" collapsed="false">
      <c r="A66" s="0" t="s">
        <v>219</v>
      </c>
      <c r="B66" s="4" t="s">
        <v>220</v>
      </c>
      <c r="C66" s="0" t="s">
        <v>180</v>
      </c>
      <c r="D66" s="7" t="n">
        <v>-0.005</v>
      </c>
      <c r="E66" s="7" t="n">
        <v>0</v>
      </c>
      <c r="F66" s="7" t="n">
        <v>0.005</v>
      </c>
      <c r="G66" s="8" t="s">
        <v>77</v>
      </c>
      <c r="H66" s="4" t="s">
        <v>221</v>
      </c>
      <c r="I66" s="4" t="s">
        <v>222</v>
      </c>
    </row>
    <row r="67" customFormat="false" ht="17.15" hidden="false" customHeight="false" outlineLevel="0" collapsed="false">
      <c r="A67" s="0" t="s">
        <v>223</v>
      </c>
      <c r="B67" s="4" t="s">
        <v>224</v>
      </c>
      <c r="C67" s="0" t="s">
        <v>76</v>
      </c>
      <c r="D67" s="7" t="n">
        <v>0.75</v>
      </c>
      <c r="E67" s="7" t="n">
        <v>0.8</v>
      </c>
      <c r="F67" s="7" t="n">
        <v>0.84</v>
      </c>
      <c r="G67" s="8" t="s">
        <v>33</v>
      </c>
      <c r="H67" s="8" t="s">
        <v>225</v>
      </c>
      <c r="I67" s="4" t="s">
        <v>226</v>
      </c>
    </row>
    <row r="68" customFormat="false" ht="17.15" hidden="false" customHeight="false" outlineLevel="0" collapsed="false">
      <c r="A68" s="0" t="s">
        <v>227</v>
      </c>
      <c r="B68" s="4" t="s">
        <v>228</v>
      </c>
      <c r="C68" s="0" t="s">
        <v>103</v>
      </c>
      <c r="D68" s="7" t="n">
        <v>0</v>
      </c>
      <c r="E68" s="7" t="n">
        <v>0.0178</v>
      </c>
      <c r="F68" s="7" t="n">
        <v>0.02</v>
      </c>
      <c r="G68" s="8" t="s">
        <v>152</v>
      </c>
      <c r="H68" s="4" t="s">
        <v>229</v>
      </c>
      <c r="I68" s="4" t="s">
        <v>230</v>
      </c>
    </row>
    <row r="69" customFormat="false" ht="17.15" hidden="false" customHeight="false" outlineLevel="0" collapsed="false">
      <c r="A69" s="0" t="s">
        <v>231</v>
      </c>
      <c r="B69" s="4" t="s">
        <v>232</v>
      </c>
      <c r="C69" s="0" t="s">
        <v>103</v>
      </c>
      <c r="D69" s="7" t="n">
        <v>-0.005</v>
      </c>
      <c r="E69" s="7" t="n">
        <v>0</v>
      </c>
      <c r="F69" s="7" t="n">
        <v>0.01</v>
      </c>
      <c r="G69" s="8" t="s">
        <v>77</v>
      </c>
      <c r="H69" s="4" t="s">
        <v>233</v>
      </c>
      <c r="I69" s="8" t="s">
        <v>112</v>
      </c>
    </row>
    <row r="70" customFormat="false" ht="17.15" hidden="false" customHeight="false" outlineLevel="0" collapsed="false">
      <c r="A70" s="0" t="s">
        <v>234</v>
      </c>
      <c r="B70" s="0" t="s">
        <v>235</v>
      </c>
      <c r="C70" s="0" t="s">
        <v>76</v>
      </c>
      <c r="D70" s="7" t="n">
        <v>0.8</v>
      </c>
      <c r="E70" s="7" t="n">
        <v>1</v>
      </c>
      <c r="F70" s="7" t="n">
        <v>1.2</v>
      </c>
      <c r="G70" s="8" t="s">
        <v>77</v>
      </c>
      <c r="H70" s="4" t="s">
        <v>236</v>
      </c>
      <c r="I70" s="8" t="s">
        <v>148</v>
      </c>
    </row>
    <row r="71" customFormat="false" ht="17.15" hidden="false" customHeight="false" outlineLevel="0" collapsed="false">
      <c r="A71" s="6" t="s">
        <v>237</v>
      </c>
    </row>
    <row r="72" customFormat="false" ht="17.15" hidden="false" customHeight="false" outlineLevel="0" collapsed="false">
      <c r="A72" s="0" t="s">
        <v>238</v>
      </c>
      <c r="B72" s="4" t="s">
        <v>239</v>
      </c>
      <c r="C72" s="0" t="s">
        <v>186</v>
      </c>
      <c r="E72" s="7" t="n">
        <v>412.45</v>
      </c>
      <c r="G72" s="8" t="s">
        <v>152</v>
      </c>
      <c r="H72" s="8" t="s">
        <v>240</v>
      </c>
      <c r="I72" s="4" t="s">
        <v>241</v>
      </c>
    </row>
    <row r="73" customFormat="false" ht="17.15" hidden="false" customHeight="false" outlineLevel="0" collapsed="false">
      <c r="A73" s="0" t="s">
        <v>242</v>
      </c>
      <c r="B73" s="4" t="s">
        <v>243</v>
      </c>
      <c r="C73" s="0" t="s">
        <v>244</v>
      </c>
      <c r="E73" s="7" t="n">
        <v>85.85</v>
      </c>
      <c r="G73" s="8" t="s">
        <v>152</v>
      </c>
      <c r="H73" s="4" t="s">
        <v>245</v>
      </c>
      <c r="I73" s="4" t="s">
        <v>246</v>
      </c>
    </row>
    <row r="74" customFormat="false" ht="17.15" hidden="false" customHeight="false" outlineLevel="0" collapsed="false">
      <c r="A74" s="0" t="s">
        <v>247</v>
      </c>
      <c r="B74" s="4" t="s">
        <v>248</v>
      </c>
      <c r="C74" s="0" t="s">
        <v>186</v>
      </c>
      <c r="E74" s="7" t="n">
        <v>551.5</v>
      </c>
      <c r="G74" s="8" t="s">
        <v>152</v>
      </c>
      <c r="H74" s="4" t="s">
        <v>38</v>
      </c>
      <c r="I74" s="8" t="s">
        <v>112</v>
      </c>
    </row>
    <row r="75" customFormat="false" ht="17.15" hidden="false" customHeight="false" outlineLevel="0" collapsed="false">
      <c r="A75" s="0" t="s">
        <v>249</v>
      </c>
      <c r="B75" s="4" t="s">
        <v>250</v>
      </c>
      <c r="C75" s="0" t="s">
        <v>244</v>
      </c>
      <c r="E75" s="7" t="n">
        <v>120.82</v>
      </c>
      <c r="G75" s="8" t="s">
        <v>152</v>
      </c>
      <c r="H75" s="4" t="s">
        <v>251</v>
      </c>
      <c r="I75" s="4" t="s">
        <v>252</v>
      </c>
    </row>
    <row r="76" customFormat="false" ht="17.15" hidden="false" customHeight="false" outlineLevel="0" collapsed="false">
      <c r="A76" s="0" t="s">
        <v>253</v>
      </c>
      <c r="B76" s="4" t="s">
        <v>254</v>
      </c>
      <c r="C76" s="0" t="s">
        <v>244</v>
      </c>
      <c r="E76" s="7" t="n">
        <v>170.57</v>
      </c>
      <c r="G76" s="8" t="s">
        <v>152</v>
      </c>
      <c r="H76" s="4" t="s">
        <v>255</v>
      </c>
      <c r="I76" s="8" t="s">
        <v>112</v>
      </c>
    </row>
    <row r="77" customFormat="false" ht="17.15" hidden="false" customHeight="false" outlineLevel="0" collapsed="false">
      <c r="A77" s="0" t="s">
        <v>256</v>
      </c>
      <c r="B77" s="4" t="s">
        <v>257</v>
      </c>
      <c r="C77" s="0" t="s">
        <v>103</v>
      </c>
      <c r="E77" s="7" t="n">
        <v>0.48</v>
      </c>
      <c r="G77" s="8" t="s">
        <v>152</v>
      </c>
      <c r="H77" s="4" t="s">
        <v>258</v>
      </c>
      <c r="I77" s="8" t="s">
        <v>112</v>
      </c>
    </row>
    <row r="78" customFormat="false" ht="17.15" hidden="false" customHeight="false" outlineLevel="0" collapsed="false">
      <c r="A78" s="0" t="s">
        <v>259</v>
      </c>
      <c r="B78" s="0" t="s">
        <v>260</v>
      </c>
      <c r="C78" s="0" t="s">
        <v>103</v>
      </c>
      <c r="E78" s="7" t="n">
        <v>0.5</v>
      </c>
      <c r="G78" s="8" t="s">
        <v>152</v>
      </c>
      <c r="H78" s="8" t="s">
        <v>261</v>
      </c>
      <c r="I78" s="8" t="s">
        <v>112</v>
      </c>
    </row>
    <row r="79" customFormat="false" ht="17.15" hidden="false" customHeight="false" outlineLevel="0" collapsed="false">
      <c r="A79" s="6" t="s">
        <v>262</v>
      </c>
    </row>
    <row r="80" customFormat="false" ht="17.15" hidden="false" customHeight="false" outlineLevel="0" collapsed="false">
      <c r="A80" s="0" t="s">
        <v>263</v>
      </c>
      <c r="B80" s="4" t="s">
        <v>264</v>
      </c>
      <c r="C80" s="0" t="s">
        <v>244</v>
      </c>
      <c r="E80" s="7" t="n">
        <v>1775</v>
      </c>
      <c r="G80" s="8" t="s">
        <v>152</v>
      </c>
      <c r="H80" s="4" t="s">
        <v>265</v>
      </c>
      <c r="I80" s="4" t="s">
        <v>266</v>
      </c>
    </row>
    <row r="81" customFormat="false" ht="17.15" hidden="false" customHeight="false" outlineLevel="0" collapsed="false">
      <c r="A81" s="0" t="s">
        <v>267</v>
      </c>
      <c r="B81" s="4" t="s">
        <v>268</v>
      </c>
      <c r="C81" s="0" t="s">
        <v>76</v>
      </c>
      <c r="E81" s="7" t="n">
        <v>27.88</v>
      </c>
      <c r="G81" s="8" t="s">
        <v>152</v>
      </c>
      <c r="H81" s="4" t="s">
        <v>269</v>
      </c>
      <c r="I81" s="4" t="s">
        <v>270</v>
      </c>
    </row>
    <row r="82" customFormat="false" ht="17.15" hidden="false" customHeight="false" outlineLevel="0" collapsed="false">
      <c r="A82" s="9" t="s">
        <v>271</v>
      </c>
      <c r="B82" s="10" t="s">
        <v>272</v>
      </c>
      <c r="C82" s="9" t="s">
        <v>103</v>
      </c>
      <c r="D82" s="9"/>
      <c r="E82" s="11" t="n">
        <v>0.3</v>
      </c>
      <c r="F82" s="9"/>
      <c r="G82" s="9" t="s">
        <v>77</v>
      </c>
      <c r="H82" s="9" t="s">
        <v>273</v>
      </c>
      <c r="I82" s="10" t="s">
        <v>274</v>
      </c>
    </row>
    <row r="83" customFormat="false" ht="17.15" hidden="false" customHeight="false" outlineLevel="0" collapsed="false">
      <c r="A83" s="9" t="s">
        <v>275</v>
      </c>
      <c r="B83" s="10" t="s">
        <v>276</v>
      </c>
      <c r="C83" s="9" t="s">
        <v>103</v>
      </c>
      <c r="D83" s="9"/>
      <c r="E83" s="11" t="n">
        <v>0.5</v>
      </c>
      <c r="F83" s="9"/>
      <c r="G83" s="9" t="s">
        <v>77</v>
      </c>
      <c r="H83" s="9" t="s">
        <v>273</v>
      </c>
      <c r="I83" s="9" t="s">
        <v>112</v>
      </c>
    </row>
    <row r="84" customFormat="false" ht="17.15" hidden="false" customHeight="false" outlineLevel="0" collapsed="false">
      <c r="A84" s="9" t="s">
        <v>277</v>
      </c>
      <c r="B84" s="10" t="s">
        <v>278</v>
      </c>
      <c r="C84" s="9" t="s">
        <v>103</v>
      </c>
      <c r="D84" s="9"/>
      <c r="E84" s="11" t="n">
        <v>0.2</v>
      </c>
      <c r="F84" s="9"/>
      <c r="G84" s="9" t="s">
        <v>77</v>
      </c>
      <c r="H84" s="9" t="s">
        <v>273</v>
      </c>
      <c r="I84" s="9" t="s">
        <v>112</v>
      </c>
    </row>
    <row r="85" customFormat="false" ht="17.15" hidden="false" customHeight="false" outlineLevel="0" collapsed="false">
      <c r="A85" s="6" t="s">
        <v>279</v>
      </c>
    </row>
    <row r="86" customFormat="false" ht="17.15" hidden="false" customHeight="false" outlineLevel="0" collapsed="false">
      <c r="A86" s="9" t="s">
        <v>280</v>
      </c>
      <c r="B86" s="9" t="s">
        <v>281</v>
      </c>
      <c r="C86" s="9" t="s">
        <v>103</v>
      </c>
      <c r="D86" s="9"/>
      <c r="E86" s="11" t="n">
        <v>0.1</v>
      </c>
      <c r="F86" s="9"/>
      <c r="G86" s="9" t="s">
        <v>77</v>
      </c>
      <c r="H86" s="9" t="s">
        <v>282</v>
      </c>
      <c r="I86" s="9" t="s">
        <v>283</v>
      </c>
    </row>
    <row r="87" customFormat="false" ht="17.15" hidden="false" customHeight="false" outlineLevel="0" collapsed="false">
      <c r="A87" s="9" t="s">
        <v>284</v>
      </c>
      <c r="B87" s="10" t="s">
        <v>285</v>
      </c>
      <c r="C87" s="9" t="s">
        <v>103</v>
      </c>
      <c r="D87" s="9"/>
      <c r="E87" s="11" t="n">
        <v>0.04</v>
      </c>
      <c r="F87" s="9"/>
      <c r="G87" s="9" t="s">
        <v>77</v>
      </c>
      <c r="H87" s="9" t="s">
        <v>286</v>
      </c>
      <c r="I87" s="9" t="s">
        <v>287</v>
      </c>
    </row>
    <row r="88" customFormat="false" ht="17.15" hidden="false" customHeight="false" outlineLevel="0" collapsed="false">
      <c r="A88" s="9" t="s">
        <v>288</v>
      </c>
      <c r="B88" s="10" t="s">
        <v>289</v>
      </c>
      <c r="C88" s="9" t="s">
        <v>180</v>
      </c>
      <c r="D88" s="9"/>
      <c r="E88" s="11" t="n">
        <v>0.02</v>
      </c>
      <c r="F88" s="9"/>
      <c r="G88" s="9" t="s">
        <v>77</v>
      </c>
      <c r="H88" s="10" t="s">
        <v>290</v>
      </c>
      <c r="I88" s="9" t="s">
        <v>112</v>
      </c>
    </row>
    <row r="89" customFormat="false" ht="17.15" hidden="false" customHeight="false" outlineLevel="0" collapsed="false">
      <c r="A89" s="9" t="s">
        <v>291</v>
      </c>
      <c r="B89" s="10" t="s">
        <v>292</v>
      </c>
      <c r="C89" s="9" t="s">
        <v>103</v>
      </c>
      <c r="D89" s="9"/>
      <c r="E89" s="11" t="n">
        <v>0.4475</v>
      </c>
      <c r="F89" s="9"/>
      <c r="G89" s="9" t="s">
        <v>33</v>
      </c>
      <c r="H89" s="10" t="s">
        <v>293</v>
      </c>
      <c r="I89" s="9" t="s">
        <v>294</v>
      </c>
    </row>
    <row r="90" customFormat="false" ht="17.15" hidden="false" customHeight="false" outlineLevel="0" collapsed="false">
      <c r="A90" s="9" t="s">
        <v>295</v>
      </c>
      <c r="B90" s="10" t="s">
        <v>296</v>
      </c>
      <c r="C90" s="9" t="s">
        <v>103</v>
      </c>
      <c r="D90" s="9"/>
      <c r="E90" s="11" t="n">
        <v>0.5</v>
      </c>
      <c r="F90" s="9"/>
      <c r="G90" s="9" t="s">
        <v>77</v>
      </c>
      <c r="H90" s="9" t="s">
        <v>297</v>
      </c>
      <c r="I90" s="9" t="s">
        <v>298</v>
      </c>
    </row>
    <row r="91" customFormat="false" ht="17.15" hidden="false" customHeight="false" outlineLevel="0" collapsed="false">
      <c r="A91" s="9" t="s">
        <v>299</v>
      </c>
      <c r="B91" s="10" t="s">
        <v>300</v>
      </c>
      <c r="C91" s="9" t="s">
        <v>76</v>
      </c>
      <c r="D91" s="9"/>
      <c r="E91" s="11" t="n">
        <v>0.8</v>
      </c>
      <c r="F91" s="9"/>
      <c r="G91" s="9" t="s">
        <v>77</v>
      </c>
      <c r="H91" s="10" t="s">
        <v>301</v>
      </c>
      <c r="I91" s="10" t="s">
        <v>302</v>
      </c>
    </row>
    <row r="92" customFormat="false" ht="17.15" hidden="false" customHeight="false" outlineLevel="0" collapsed="false">
      <c r="A92" s="0" t="s">
        <v>303</v>
      </c>
      <c r="B92" s="4" t="s">
        <v>304</v>
      </c>
      <c r="C92" s="0" t="s">
        <v>244</v>
      </c>
      <c r="E92" s="7" t="n">
        <v>3500</v>
      </c>
      <c r="G92" s="8" t="s">
        <v>152</v>
      </c>
      <c r="H92" s="8" t="s">
        <v>305</v>
      </c>
      <c r="I92" s="8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307</v>
      </c>
    </row>
    <row r="2" customFormat="false" ht="17.15" hidden="false" customHeight="false" outlineLevel="0" collapsed="false">
      <c r="A2" s="0" t="s">
        <v>308</v>
      </c>
    </row>
    <row r="3" customFormat="false" ht="17.15" hidden="false" customHeight="false" outlineLevel="0" collapsed="false">
      <c r="A3" s="5" t="s">
        <v>21</v>
      </c>
      <c r="B3" s="12" t="s">
        <v>309</v>
      </c>
      <c r="C3" s="12" t="s">
        <v>310</v>
      </c>
      <c r="D3" s="12" t="s">
        <v>311</v>
      </c>
      <c r="E3" s="12" t="s">
        <v>312</v>
      </c>
      <c r="F3" s="12" t="s">
        <v>313</v>
      </c>
      <c r="G3" s="12" t="s">
        <v>314</v>
      </c>
      <c r="H3" s="5" t="s">
        <v>26</v>
      </c>
      <c r="I3" s="5" t="s">
        <v>315</v>
      </c>
      <c r="J3" s="5" t="s">
        <v>28</v>
      </c>
    </row>
    <row r="4" customFormat="false" ht="17.15" hidden="false" customHeight="false" outlineLevel="0" collapsed="false">
      <c r="A4" s="4" t="s">
        <v>316</v>
      </c>
      <c r="B4" s="13" t="n">
        <v>248.32</v>
      </c>
      <c r="C4" s="13" t="n">
        <v>70.121</v>
      </c>
      <c r="D4" s="13" t="n">
        <v>95.538</v>
      </c>
      <c r="E4" s="14" t="n">
        <f aca="false">q3_rev</f>
        <v>120.74</v>
      </c>
      <c r="F4" s="14" t="n">
        <f aca="false">E4*(1+q4_g)</f>
        <v>124.3622</v>
      </c>
      <c r="G4" s="14" t="n">
        <f aca="false">SUM(C4:F4)</f>
        <v>410.7612</v>
      </c>
      <c r="H4" s="8" t="s">
        <v>317</v>
      </c>
      <c r="I4" s="8" t="s">
        <v>318</v>
      </c>
      <c r="J4" s="4" t="s">
        <v>319</v>
      </c>
    </row>
    <row r="5" customFormat="false" ht="17.15" hidden="false" customHeight="false" outlineLevel="0" collapsed="false">
      <c r="A5" s="4" t="s">
        <v>320</v>
      </c>
      <c r="B5" s="14" t="n">
        <f aca="false">B4*0.1809</f>
        <v>44.921088</v>
      </c>
      <c r="C5" s="13" t="n">
        <v>13.709</v>
      </c>
      <c r="D5" s="13" t="n">
        <v>18.823</v>
      </c>
      <c r="E5" s="14" t="n">
        <f aca="false">E4*q3_gm</f>
        <v>22.3369</v>
      </c>
      <c r="F5" s="14" t="n">
        <f aca="false">F4*q4_gm</f>
        <v>23.007007</v>
      </c>
      <c r="G5" s="14" t="n">
        <f aca="false">SUM(C5:F5)</f>
        <v>77.875907</v>
      </c>
      <c r="H5" s="8" t="s">
        <v>321</v>
      </c>
      <c r="I5" s="8" t="s">
        <v>318</v>
      </c>
      <c r="J5" s="4" t="s">
        <v>319</v>
      </c>
    </row>
    <row r="6" customFormat="false" ht="17.15" hidden="false" customHeight="false" outlineLevel="0" collapsed="false">
      <c r="A6" s="4" t="s">
        <v>322</v>
      </c>
      <c r="B6" s="15" t="n">
        <f aca="false">B5/B4</f>
        <v>0.1809</v>
      </c>
      <c r="C6" s="15" t="n">
        <f aca="false">C5/C4</f>
        <v>0.19550491293621</v>
      </c>
      <c r="D6" s="15" t="n">
        <f aca="false">D5/D4</f>
        <v>0.197021080617137</v>
      </c>
      <c r="E6" s="15" t="n">
        <f aca="false">E5/E4</f>
        <v>0.185</v>
      </c>
      <c r="F6" s="15" t="n">
        <f aca="false">F5/F4</f>
        <v>0.185</v>
      </c>
      <c r="G6" s="15" t="n">
        <f aca="false">G5/G4</f>
        <v>0.189589247962076</v>
      </c>
      <c r="H6" s="8" t="s">
        <v>33</v>
      </c>
      <c r="I6" s="8" t="s">
        <v>112</v>
      </c>
      <c r="J6" s="8" t="s">
        <v>323</v>
      </c>
    </row>
    <row r="7" customFormat="false" ht="17.15" hidden="false" customHeight="false" outlineLevel="0" collapsed="false">
      <c r="A7" s="4" t="s">
        <v>324</v>
      </c>
      <c r="B7" s="14" t="n">
        <f aca="false">B5-B8</f>
        <v>12.78848</v>
      </c>
      <c r="C7" s="14" t="n">
        <f aca="false">C5-C8</f>
        <v>3.66</v>
      </c>
      <c r="D7" s="14" t="n">
        <f aca="false">D5-D8</f>
        <v>4.492</v>
      </c>
      <c r="E7" s="14" t="n">
        <f aca="false">E4*q_opx</f>
        <v>4.8296</v>
      </c>
      <c r="F7" s="14" t="n">
        <f aca="false">F4*q_opx</f>
        <v>4.974488</v>
      </c>
      <c r="G7" s="14" t="n">
        <f aca="false">SUM(C7:F7)</f>
        <v>17.956088</v>
      </c>
      <c r="H7" s="8" t="s">
        <v>325</v>
      </c>
      <c r="I7" s="8" t="s">
        <v>318</v>
      </c>
      <c r="J7" s="4" t="s">
        <v>319</v>
      </c>
    </row>
    <row r="8" customFormat="false" ht="17.15" hidden="false" customHeight="false" outlineLevel="0" collapsed="false">
      <c r="A8" s="4" t="s">
        <v>326</v>
      </c>
      <c r="B8" s="14" t="n">
        <f aca="false">B4*0.1294</f>
        <v>32.132608</v>
      </c>
      <c r="C8" s="13" t="n">
        <v>10.049</v>
      </c>
      <c r="D8" s="13" t="n">
        <v>14.331</v>
      </c>
      <c r="E8" s="14" t="n">
        <f aca="false">E5-E7</f>
        <v>17.5073</v>
      </c>
      <c r="F8" s="14" t="n">
        <f aca="false">F5-F7</f>
        <v>18.032519</v>
      </c>
      <c r="G8" s="14" t="n">
        <f aca="false">SUM(C8:F8)</f>
        <v>59.919819</v>
      </c>
      <c r="H8" s="8" t="s">
        <v>327</v>
      </c>
      <c r="I8" s="8" t="s">
        <v>318</v>
      </c>
      <c r="J8" s="4" t="s">
        <v>319</v>
      </c>
    </row>
    <row r="9" customFormat="false" ht="15" hidden="false" customHeight="false" outlineLevel="0" collapsed="false">
      <c r="A9" s="4" t="s">
        <v>328</v>
      </c>
      <c r="B9" s="15" t="n">
        <f aca="false">B8/B4</f>
        <v>0.1294</v>
      </c>
      <c r="C9" s="15" t="n">
        <f aca="false">C8/C4</f>
        <v>0.143309422284337</v>
      </c>
      <c r="D9" s="15" t="n">
        <f aca="false">D8/D4</f>
        <v>0.150003140111788</v>
      </c>
      <c r="E9" s="15" t="n">
        <f aca="false">E8/E4</f>
        <v>0.145</v>
      </c>
      <c r="F9" s="15" t="n">
        <f aca="false">F8/F4</f>
        <v>0.145</v>
      </c>
      <c r="G9" s="15" t="n">
        <f aca="false">G8/G4</f>
        <v>0.145875070478906</v>
      </c>
      <c r="H9" s="8" t="s">
        <v>33</v>
      </c>
      <c r="I9" s="8" t="s">
        <v>112</v>
      </c>
      <c r="J9" s="8" t="s">
        <v>112</v>
      </c>
    </row>
    <row r="10" customFormat="false" ht="17.15" hidden="false" customHeight="false" outlineLevel="0" collapsed="false">
      <c r="A10" s="4" t="s">
        <v>329</v>
      </c>
      <c r="B10" s="13" t="n">
        <v>26.342</v>
      </c>
      <c r="C10" s="13" t="n">
        <v>8.341</v>
      </c>
      <c r="D10" s="13" t="n">
        <v>11.053</v>
      </c>
      <c r="E10" s="14" t="n">
        <f aca="false">E8*q_nio</f>
        <v>14.00584</v>
      </c>
      <c r="F10" s="14" t="n">
        <f aca="false">F8*q_nio</f>
        <v>14.4260152</v>
      </c>
      <c r="G10" s="14" t="n">
        <f aca="false">SUM(C10:F10)</f>
        <v>47.8258552</v>
      </c>
      <c r="H10" s="8" t="s">
        <v>330</v>
      </c>
      <c r="I10" s="8" t="s">
        <v>318</v>
      </c>
      <c r="J10" s="4" t="s">
        <v>319</v>
      </c>
    </row>
    <row r="11" customFormat="false" ht="17.15" hidden="false" customHeight="false" outlineLevel="0" collapsed="false">
      <c r="A11" s="4" t="s">
        <v>224</v>
      </c>
      <c r="B11" s="16" t="n">
        <f aca="false">B10/B8</f>
        <v>0.819790289042209</v>
      </c>
      <c r="C11" s="16" t="n">
        <f aca="false">C10/C8</f>
        <v>0.830032839088467</v>
      </c>
      <c r="D11" s="16" t="n">
        <f aca="false">D10/D8</f>
        <v>0.77126508966576</v>
      </c>
      <c r="E11" s="16" t="n">
        <f aca="false">E10/E8</f>
        <v>0.8</v>
      </c>
      <c r="F11" s="16" t="n">
        <f aca="false">F10/F8</f>
        <v>0.8</v>
      </c>
      <c r="G11" s="16" t="n">
        <f aca="false">G10/G8</f>
        <v>0.798164213413262</v>
      </c>
      <c r="H11" s="8" t="s">
        <v>33</v>
      </c>
      <c r="I11" s="8" t="s">
        <v>112</v>
      </c>
      <c r="J11" s="8" t="s">
        <v>331</v>
      </c>
    </row>
    <row r="12" customFormat="false" ht="17.15" hidden="false" customHeight="false" outlineLevel="0" collapsed="false">
      <c r="A12" s="4" t="s">
        <v>332</v>
      </c>
      <c r="B12" s="17" t="n">
        <f aca="false">26.342/47.13</f>
        <v>0.558922130277955</v>
      </c>
      <c r="C12" s="17" t="n">
        <f aca="false">8.341/14.92</f>
        <v>0.559048257372654</v>
      </c>
      <c r="D12" s="17" t="n">
        <f aca="false">11.053/19.78</f>
        <v>0.558796764408494</v>
      </c>
      <c r="E12" s="17" t="n">
        <f aca="false">q_sh</f>
        <v>0.558904899135447</v>
      </c>
      <c r="F12" s="17" t="n">
        <f aca="false">q_sh</f>
        <v>0.558904899135447</v>
      </c>
      <c r="G12" s="17" t="n">
        <f aca="false">q_sh</f>
        <v>0.558904899135447</v>
      </c>
      <c r="H12" s="8" t="s">
        <v>33</v>
      </c>
      <c r="I12" s="8" t="s">
        <v>318</v>
      </c>
      <c r="J12" s="4" t="s">
        <v>333</v>
      </c>
    </row>
    <row r="13" customFormat="false" ht="17.15" hidden="false" customHeight="false" outlineLevel="0" collapsed="false">
      <c r="A13" s="0" t="s">
        <v>334</v>
      </c>
      <c r="B13" s="14" t="n">
        <f aca="false">B10/B12</f>
        <v>47.13</v>
      </c>
      <c r="C13" s="14" t="n">
        <f aca="false">C10/C12</f>
        <v>14.92</v>
      </c>
      <c r="D13" s="14" t="n">
        <f aca="false">D10/D12</f>
        <v>19.78</v>
      </c>
      <c r="E13" s="14" t="n">
        <f aca="false">E10/E12</f>
        <v>25.0594332267712</v>
      </c>
      <c r="F13" s="14" t="n">
        <f aca="false">F10/F12</f>
        <v>25.8112162235743</v>
      </c>
      <c r="G13" s="14" t="n">
        <f aca="false">G10/G12</f>
        <v>85.5706494503455</v>
      </c>
      <c r="H13" s="8" t="s">
        <v>33</v>
      </c>
      <c r="I13" s="4" t="s">
        <v>335</v>
      </c>
      <c r="J13" s="8" t="s">
        <v>112</v>
      </c>
    </row>
    <row r="14" customFormat="false" ht="17.15" hidden="false" customHeight="false" outlineLevel="0" collapsed="false">
      <c r="A14" s="4" t="s">
        <v>336</v>
      </c>
      <c r="B14" s="13" t="n">
        <v>47.13</v>
      </c>
      <c r="C14" s="13" t="n">
        <v>14.92</v>
      </c>
      <c r="D14" s="13" t="n">
        <v>19.78</v>
      </c>
      <c r="H14" s="8" t="s">
        <v>187</v>
      </c>
      <c r="I14" s="8" t="s">
        <v>318</v>
      </c>
      <c r="J14" s="4" t="s">
        <v>337</v>
      </c>
    </row>
    <row r="16" customFormat="false" ht="17.15" hidden="false" customHeight="false" outlineLevel="0" collapsed="false">
      <c r="A16" s="6" t="s">
        <v>338</v>
      </c>
    </row>
    <row r="17" customFormat="false" ht="17.15" hidden="false" customHeight="false" outlineLevel="0" collapsed="false">
      <c r="A17" s="0" t="s">
        <v>339</v>
      </c>
      <c r="B17" s="18" t="n">
        <f aca="false">G4/cons_rev26-1</f>
        <v>-0.0040945569159897</v>
      </c>
    </row>
    <row r="18" customFormat="false" ht="17.15" hidden="false" customHeight="false" outlineLevel="0" collapsed="false">
      <c r="A18" s="0" t="s">
        <v>340</v>
      </c>
      <c r="B18" s="18" t="n">
        <f aca="false">G13/cons_eps26-1</f>
        <v>-0.0032539376779791</v>
      </c>
    </row>
    <row r="19" customFormat="false" ht="17.15" hidden="false" customHeight="false" outlineLevel="0" collapsed="false">
      <c r="A19" s="0" t="s">
        <v>341</v>
      </c>
      <c r="B19" s="18" t="n">
        <f aca="false">G4/B4-1</f>
        <v>0.654160760309279</v>
      </c>
    </row>
    <row r="20" customFormat="false" ht="17.15" hidden="false" customHeight="false" outlineLevel="0" collapsed="false">
      <c r="A20" s="0" t="s">
        <v>342</v>
      </c>
      <c r="B20" s="18" t="n">
        <f aca="false">G7/B7-1</f>
        <v>0.404083049744771</v>
      </c>
    </row>
    <row r="21" customFormat="false" ht="17.15" hidden="false" customHeight="false" outlineLevel="0" collapsed="false">
      <c r="A21" s="4" t="s">
        <v>343</v>
      </c>
      <c r="B21" s="19" t="n">
        <f aca="false">B20/B19</f>
        <v>0.617712150074128</v>
      </c>
    </row>
    <row r="22" customFormat="false" ht="17.15" hidden="false" customHeight="false" outlineLevel="0" collapsed="false">
      <c r="A22" s="0" t="s">
        <v>344</v>
      </c>
      <c r="B22" s="18" t="n">
        <f aca="false">E13/23.91-1</f>
        <v>0.0480733260882966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345</v>
      </c>
    </row>
    <row r="3" customFormat="false" ht="15" hidden="false" customHeight="false" outlineLevel="0" collapsed="false">
      <c r="A3" s="5" t="s">
        <v>21</v>
      </c>
      <c r="B3" s="5" t="s">
        <v>22</v>
      </c>
      <c r="C3" s="12" t="s">
        <v>346</v>
      </c>
      <c r="D3" s="12" t="s">
        <v>347</v>
      </c>
      <c r="E3" s="12" t="s">
        <v>348</v>
      </c>
      <c r="F3" s="12" t="s">
        <v>349</v>
      </c>
      <c r="G3" s="5" t="s">
        <v>350</v>
      </c>
    </row>
    <row r="4" customFormat="false" ht="17.15" hidden="false" customHeight="false" outlineLevel="0" collapsed="false">
      <c r="A4" s="0" t="s">
        <v>351</v>
      </c>
      <c r="B4" s="0" t="s">
        <v>32</v>
      </c>
      <c r="C4" s="20" t="n">
        <f aca="false">PL!D70</f>
        <v>27.068925</v>
      </c>
      <c r="D4" s="20" t="n">
        <f aca="false">PL!E70</f>
        <v>60.2094</v>
      </c>
      <c r="E4" s="20" t="n">
        <f aca="false">PL!F70</f>
        <v>71.16935</v>
      </c>
      <c r="F4" s="20" t="n">
        <f aca="false">PL!G70</f>
        <v>82.6893075</v>
      </c>
      <c r="G4" s="8" t="s">
        <v>352</v>
      </c>
    </row>
    <row r="5" customFormat="false" ht="17.15" hidden="false" customHeight="false" outlineLevel="0" collapsed="false">
      <c r="A5" s="4" t="s">
        <v>353</v>
      </c>
      <c r="B5" s="0" t="s">
        <v>32</v>
      </c>
      <c r="C5" s="20" t="n">
        <f aca="false">PL!D69</f>
        <v>3.015</v>
      </c>
      <c r="D5" s="20" t="n">
        <f aca="false">PL!E69</f>
        <v>11.3414</v>
      </c>
      <c r="E5" s="20" t="n">
        <f aca="false">PL!F69</f>
        <v>13.8952</v>
      </c>
      <c r="F5" s="20" t="n">
        <f aca="false">PL!G69</f>
        <v>15.97948</v>
      </c>
      <c r="G5" s="8" t="s">
        <v>354</v>
      </c>
    </row>
    <row r="6" customFormat="false" ht="17.15" hidden="false" customHeight="false" outlineLevel="0" collapsed="false">
      <c r="A6" s="4" t="s">
        <v>355</v>
      </c>
      <c r="B6" s="0" t="s">
        <v>103</v>
      </c>
      <c r="C6" s="18" t="n">
        <f aca="false">PL!D71</f>
        <v>0.45</v>
      </c>
      <c r="D6" s="18" t="n">
        <f aca="false">PL!E71</f>
        <v>0.47</v>
      </c>
      <c r="E6" s="18" t="n">
        <f aca="false">PL!F71</f>
        <v>0.48</v>
      </c>
      <c r="F6" s="18" t="n">
        <f aca="false">PL!G71</f>
        <v>0.5</v>
      </c>
      <c r="G6" s="8" t="s">
        <v>356</v>
      </c>
    </row>
    <row r="7" customFormat="false" ht="17.15" hidden="false" customHeight="false" outlineLevel="0" collapsed="false">
      <c r="A7" s="4" t="s">
        <v>357</v>
      </c>
      <c r="B7" s="0" t="s">
        <v>32</v>
      </c>
      <c r="C7" s="20" t="n">
        <f aca="false">PL!D72</f>
        <v>12.18101625</v>
      </c>
      <c r="D7" s="20" t="n">
        <f aca="false">PL!E72</f>
        <v>28.298418</v>
      </c>
      <c r="E7" s="20" t="n">
        <f aca="false">PL!F72</f>
        <v>34.161288</v>
      </c>
      <c r="F7" s="20" t="n">
        <f aca="false">PL!G72</f>
        <v>41.34465375</v>
      </c>
    </row>
    <row r="8" customFormat="false" ht="17.15" hidden="false" customHeight="false" outlineLevel="0" collapsed="false">
      <c r="A8" s="4" t="s">
        <v>358</v>
      </c>
      <c r="B8" s="0" t="s">
        <v>103</v>
      </c>
      <c r="C8" s="18" t="n">
        <f aca="false">PL!D75</f>
        <v>0.410570649226414</v>
      </c>
      <c r="D8" s="18" t="n">
        <f aca="false">PL!E75</f>
        <v>0.410570649226414</v>
      </c>
      <c r="E8" s="18" t="n">
        <f aca="false">PL!F75</f>
        <v>0.390042116765093</v>
      </c>
      <c r="F8" s="18" t="n">
        <f aca="false">PL!G75</f>
        <v>0.377724997288301</v>
      </c>
      <c r="G8" s="8" t="s">
        <v>359</v>
      </c>
    </row>
    <row r="9" customFormat="false" ht="17.15" hidden="false" customHeight="false" outlineLevel="0" collapsed="false">
      <c r="A9" s="4" t="s">
        <v>360</v>
      </c>
      <c r="B9" s="0" t="s">
        <v>32</v>
      </c>
      <c r="C9" s="14" t="n">
        <f aca="false">PL!D76/fx</f>
        <v>5.00116775</v>
      </c>
      <c r="D9" s="14" t="n">
        <f aca="false">PL!E76/fx</f>
        <v>11.6184998503404</v>
      </c>
      <c r="E9" s="14" t="n">
        <f aca="false">PL!F76/fx</f>
        <v>13.324341082942</v>
      </c>
      <c r="F9" s="14" t="n">
        <f aca="false">PL!G76/fx</f>
        <v>15.6169092256045</v>
      </c>
    </row>
    <row r="10" customFormat="false" ht="17.15" hidden="false" customHeight="false" outlineLevel="0" collapsed="false">
      <c r="A10" s="4" t="s">
        <v>361</v>
      </c>
      <c r="B10" s="0" t="s">
        <v>32</v>
      </c>
      <c r="C10" s="20" t="n">
        <f aca="false">PL!D72-PL!D76/fx</f>
        <v>7.1798485</v>
      </c>
      <c r="D10" s="20" t="n">
        <f aca="false">PL!E72-PL!E76/fx</f>
        <v>16.6799181496596</v>
      </c>
      <c r="E10" s="20" t="n">
        <f aca="false">PL!F72-PL!F76/fx</f>
        <v>20.836946917058</v>
      </c>
      <c r="F10" s="20" t="n">
        <f aca="false">PL!G72-PL!G76/fx</f>
        <v>25.7277445243955</v>
      </c>
      <c r="G10" s="4" t="s">
        <v>362</v>
      </c>
    </row>
    <row r="11" customFormat="false" ht="17.15" hidden="false" customHeight="false" outlineLevel="0" collapsed="false">
      <c r="A11" s="4" t="s">
        <v>363</v>
      </c>
      <c r="B11" s="0" t="s">
        <v>103</v>
      </c>
      <c r="C11" s="18" t="n">
        <f aca="false">PL!D76/fx/PL!D70</f>
        <v>0.184756792151886</v>
      </c>
      <c r="D11" s="18" t="n">
        <f aca="false">PL!E76/fx/PL!E70</f>
        <v>0.192968205136415</v>
      </c>
      <c r="E11" s="18" t="n">
        <f aca="false">PL!F76/fx/PL!F70</f>
        <v>0.187220216047245</v>
      </c>
      <c r="F11" s="18" t="n">
        <f aca="false">PL!G76/fx/PL!G70</f>
        <v>0.188862498644151</v>
      </c>
    </row>
    <row r="12" customFormat="false" ht="17.15" hidden="false" customHeight="false" outlineLevel="0" collapsed="false">
      <c r="A12" s="0" t="s">
        <v>364</v>
      </c>
      <c r="B12" s="4" t="s">
        <v>55</v>
      </c>
      <c r="C12" s="19" t="n">
        <f aca="false">PL!D78</f>
        <v>2</v>
      </c>
      <c r="D12" s="19" t="n">
        <f aca="false">PL!E78</f>
        <v>2.5</v>
      </c>
      <c r="E12" s="19" t="n">
        <f aca="false">PL!F78</f>
        <v>3</v>
      </c>
      <c r="F12" s="19" t="n">
        <f aca="false">PL!G78</f>
        <v>3.45</v>
      </c>
      <c r="G12" s="8" t="s">
        <v>365</v>
      </c>
    </row>
    <row r="13" customFormat="false" ht="17.15" hidden="false" customHeight="false" outlineLevel="0" collapsed="false">
      <c r="A13" s="4" t="s">
        <v>366</v>
      </c>
      <c r="B13" s="0" t="s">
        <v>103</v>
      </c>
      <c r="C13" s="15" t="n">
        <f aca="false">(PL!D76+PL!D81)/fx/itc_26</f>
        <v>0.0146050736079766</v>
      </c>
      <c r="D13" s="15" t="n">
        <f aca="false">(PL!E76+PL!E81)/fx/itc_27</f>
        <v>0.0120349516524039</v>
      </c>
      <c r="E13" s="15" t="n">
        <f aca="false">(PL!F76+PL!F81)/fx/itc_28</f>
        <v>0.0108390191872288</v>
      </c>
      <c r="F13" s="15" t="n">
        <f aca="false">(PL!G76+PL!G81)/fx/itc_29</f>
        <v>0.0108273105937551</v>
      </c>
      <c r="G13" s="8" t="s">
        <v>367</v>
      </c>
    </row>
    <row r="15" customFormat="false" ht="17.15" hidden="false" customHeight="false" outlineLevel="0" collapsed="false">
      <c r="A15" s="1" t="s">
        <v>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369</v>
      </c>
    </row>
    <row r="3" customFormat="false" ht="17.15" hidden="false" customHeight="false" outlineLevel="0" collapsed="false">
      <c r="A3" s="5" t="s">
        <v>370</v>
      </c>
      <c r="B3" s="5" t="s">
        <v>22</v>
      </c>
      <c r="C3" s="12" t="s">
        <v>309</v>
      </c>
      <c r="D3" s="12" t="s">
        <v>371</v>
      </c>
      <c r="E3" s="12" t="s">
        <v>372</v>
      </c>
      <c r="F3" s="12" t="s">
        <v>373</v>
      </c>
      <c r="G3" s="12" t="s">
        <v>374</v>
      </c>
      <c r="H3" s="5" t="s">
        <v>350</v>
      </c>
    </row>
    <row r="4" customFormat="false" ht="17.15" hidden="false" customHeight="false" outlineLevel="0" collapsed="false">
      <c r="A4" s="1" t="s">
        <v>375</v>
      </c>
    </row>
    <row r="5" customFormat="false" ht="15" hidden="false" customHeight="false" outlineLevel="0" collapsed="false">
      <c r="A5" s="4" t="s">
        <v>316</v>
      </c>
      <c r="B5" s="0" t="s">
        <v>186</v>
      </c>
      <c r="C5" s="20" t="n">
        <f aca="false">C84</f>
        <v>248.32</v>
      </c>
      <c r="D5" s="20" t="n">
        <f aca="false">D84</f>
        <v>410.7612</v>
      </c>
      <c r="E5" s="20" t="n">
        <f aca="false">E84</f>
        <v>650.908996130894</v>
      </c>
      <c r="F5" s="20" t="n">
        <f aca="false">F84</f>
        <v>738.706196870144</v>
      </c>
      <c r="G5" s="20" t="n">
        <f aca="false">G84</f>
        <v>836.156691296144</v>
      </c>
    </row>
    <row r="6" customFormat="false" ht="15" hidden="false" customHeight="false" outlineLevel="0" collapsed="false">
      <c r="A6" s="4" t="s">
        <v>376</v>
      </c>
      <c r="B6" s="0" t="s">
        <v>103</v>
      </c>
      <c r="D6" s="18" t="n">
        <f aca="false">D90</f>
        <v>0.654160760309279</v>
      </c>
      <c r="E6" s="18" t="n">
        <f aca="false">E90</f>
        <v>0.584640896294232</v>
      </c>
      <c r="F6" s="18" t="n">
        <f aca="false">F90</f>
        <v>0.134883987256483</v>
      </c>
      <c r="G6" s="18" t="n">
        <f aca="false">G90</f>
        <v>0.131920504848738</v>
      </c>
    </row>
    <row r="7" customFormat="false" ht="17.15" hidden="false" customHeight="false" outlineLevel="0" collapsed="false">
      <c r="A7" s="0" t="s">
        <v>377</v>
      </c>
      <c r="B7" s="0" t="s">
        <v>186</v>
      </c>
      <c r="C7" s="20" t="n">
        <f aca="false">C76</f>
        <v>50.65728</v>
      </c>
      <c r="D7" s="20" t="n">
        <f aca="false">D76</f>
        <v>160.037368</v>
      </c>
      <c r="E7" s="20" t="n">
        <f aca="false">E76</f>
        <v>371.791995210894</v>
      </c>
      <c r="F7" s="20" t="n">
        <f aca="false">F76</f>
        <v>426.378914654143</v>
      </c>
      <c r="G7" s="20" t="n">
        <f aca="false">G76</f>
        <v>499.741095219344</v>
      </c>
    </row>
    <row r="8" customFormat="false" ht="15" hidden="false" customHeight="false" outlineLevel="0" collapsed="false">
      <c r="A8" s="4" t="s">
        <v>378</v>
      </c>
      <c r="B8" s="0" t="s">
        <v>186</v>
      </c>
      <c r="C8" s="20" t="n">
        <f aca="false">C81</f>
        <v>156.4416</v>
      </c>
      <c r="D8" s="20" t="n">
        <f aca="false">D81</f>
        <v>205.3806</v>
      </c>
      <c r="E8" s="20" t="n">
        <f aca="false">E81</f>
        <v>231.053175</v>
      </c>
      <c r="F8" s="20" t="n">
        <f aca="false">F81</f>
        <v>261.860265</v>
      </c>
      <c r="G8" s="20" t="n">
        <f aca="false">G81</f>
        <v>283.425228</v>
      </c>
    </row>
    <row r="9" customFormat="false" ht="17.15" hidden="false" customHeight="false" outlineLevel="0" collapsed="false">
      <c r="A9" s="4" t="s">
        <v>379</v>
      </c>
      <c r="B9" s="0" t="s">
        <v>186</v>
      </c>
      <c r="C9" s="20" t="n">
        <f aca="false">C83</f>
        <v>41.22112</v>
      </c>
      <c r="D9" s="20" t="n">
        <f aca="false">D83</f>
        <v>45.343232</v>
      </c>
      <c r="E9" s="20" t="n">
        <f aca="false">E83</f>
        <v>48.06382592</v>
      </c>
      <c r="F9" s="20" t="n">
        <f aca="false">F83</f>
        <v>50.467017216</v>
      </c>
      <c r="G9" s="20" t="n">
        <f aca="false">G83</f>
        <v>52.9903680768</v>
      </c>
    </row>
    <row r="10" customFormat="false" ht="17.15" hidden="false" customHeight="false" outlineLevel="0" collapsed="false">
      <c r="A10" s="0" t="s">
        <v>380</v>
      </c>
      <c r="B10" s="0" t="s">
        <v>103</v>
      </c>
      <c r="C10" s="18" t="n">
        <f aca="false">C91</f>
        <v>0.834</v>
      </c>
      <c r="D10" s="18" t="n">
        <f aca="false">D91</f>
        <v>0.889611696528299</v>
      </c>
      <c r="E10" s="18" t="n">
        <f aca="false">E91</f>
        <v>0.926158915907294</v>
      </c>
      <c r="F10" s="18" t="n">
        <f aca="false">F91</f>
        <v>0.931681881876955</v>
      </c>
      <c r="G10" s="18" t="n">
        <f aca="false">G91</f>
        <v>0.936626270376837</v>
      </c>
    </row>
    <row r="11" customFormat="false" ht="15" hidden="false" customHeight="false" outlineLevel="0" collapsed="false">
      <c r="A11" s="4" t="s">
        <v>322</v>
      </c>
      <c r="B11" s="0" t="s">
        <v>103</v>
      </c>
      <c r="C11" s="15" t="n">
        <f aca="false">C96</f>
        <v>0.1809</v>
      </c>
      <c r="D11" s="15" t="n">
        <f aca="false">D96</f>
        <v>0.189589247962076</v>
      </c>
      <c r="E11" s="15" t="n">
        <f aca="false">E96</f>
        <v>0.198291047165337</v>
      </c>
      <c r="F11" s="15" t="n">
        <f aca="false">F96</f>
        <v>0.198320148059342</v>
      </c>
      <c r="G11" s="15" t="n">
        <f aca="false">G96</f>
        <v>0.199251536314228</v>
      </c>
    </row>
    <row r="12" customFormat="false" ht="15" hidden="false" customHeight="false" outlineLevel="0" collapsed="false">
      <c r="A12" s="4" t="s">
        <v>328</v>
      </c>
      <c r="B12" s="0" t="s">
        <v>103</v>
      </c>
      <c r="C12" s="15" t="n">
        <f aca="false">C100</f>
        <v>0.1294</v>
      </c>
      <c r="D12" s="15" t="n">
        <f aca="false">D100</f>
        <v>0.145875070478906</v>
      </c>
      <c r="E12" s="15" t="n">
        <f aca="false">E100</f>
        <v>0.161028071582683</v>
      </c>
      <c r="F12" s="15" t="n">
        <f aca="false">F100</f>
        <v>0.162828694070109</v>
      </c>
      <c r="G12" s="15" t="n">
        <f aca="false">G100</f>
        <v>0.165414633332073</v>
      </c>
    </row>
    <row r="13" customFormat="false" ht="15" hidden="false" customHeight="false" outlineLevel="0" collapsed="false">
      <c r="A13" s="4" t="s">
        <v>329</v>
      </c>
      <c r="B13" s="0" t="s">
        <v>186</v>
      </c>
      <c r="C13" s="20" t="n">
        <f aca="false">C102</f>
        <v>26.342</v>
      </c>
      <c r="D13" s="20" t="n">
        <f aca="false">D102</f>
        <v>47.8258552</v>
      </c>
      <c r="E13" s="20" t="n">
        <f aca="false">E102</f>
        <v>83.8516963382226</v>
      </c>
      <c r="F13" s="20" t="n">
        <f aca="false">F102</f>
        <v>96.2260522702898</v>
      </c>
      <c r="G13" s="20" t="n">
        <f aca="false">G102</f>
        <v>110.650041999129</v>
      </c>
    </row>
    <row r="14" customFormat="false" ht="15" hidden="false" customHeight="false" outlineLevel="0" collapsed="false">
      <c r="A14" s="0" t="s">
        <v>334</v>
      </c>
      <c r="B14" s="0" t="s">
        <v>244</v>
      </c>
      <c r="C14" s="14" t="n">
        <f aca="false">C104</f>
        <v>47.13</v>
      </c>
      <c r="D14" s="14" t="n">
        <f aca="false">D104</f>
        <v>85.5706494503455</v>
      </c>
      <c r="E14" s="14" t="n">
        <f aca="false">E104</f>
        <v>147.404753849881</v>
      </c>
      <c r="F14" s="14" t="n">
        <f aca="false">F104</f>
        <v>169.157908167234</v>
      </c>
      <c r="G14" s="14" t="n">
        <f aca="false">G104</f>
        <v>194.514159124122</v>
      </c>
    </row>
    <row r="15" customFormat="false" ht="17.15" hidden="false" customHeight="false" outlineLevel="0" collapsed="false">
      <c r="A15" s="0" t="s">
        <v>381</v>
      </c>
      <c r="B15" s="0" t="s">
        <v>103</v>
      </c>
      <c r="D15" s="18" t="n">
        <f aca="false">D105</f>
        <v>0.815630160202535</v>
      </c>
      <c r="E15" s="18" t="n">
        <f aca="false">E105</f>
        <v>0.72260880099334</v>
      </c>
      <c r="F15" s="18" t="n">
        <f aca="false">F105</f>
        <v>0.147574306453554</v>
      </c>
      <c r="G15" s="18" t="n">
        <f aca="false">G105</f>
        <v>0.149896929038754</v>
      </c>
    </row>
    <row r="17" customFormat="false" ht="17.15" hidden="false" customHeight="false" outlineLevel="0" collapsed="false">
      <c r="A17" s="1" t="s">
        <v>382</v>
      </c>
    </row>
    <row r="18" customFormat="false" ht="15" hidden="false" customHeight="false" outlineLevel="0" collapsed="false">
      <c r="A18" s="4" t="s">
        <v>316</v>
      </c>
      <c r="B18" s="0" t="s">
        <v>186</v>
      </c>
      <c r="C18" s="20" t="n">
        <f aca="false">C132</f>
        <v>248.32</v>
      </c>
      <c r="D18" s="20" t="n">
        <f aca="false">D132</f>
        <v>410.7612</v>
      </c>
      <c r="E18" s="20" t="n">
        <f aca="false">E132</f>
        <v>650.908996130894</v>
      </c>
      <c r="F18" s="20" t="n">
        <f aca="false">F132</f>
        <v>601.058360939315</v>
      </c>
      <c r="G18" s="20" t="n">
        <f aca="false">G132</f>
        <v>718.681742813242</v>
      </c>
    </row>
    <row r="19" customFormat="false" ht="15" hidden="false" customHeight="false" outlineLevel="0" collapsed="false">
      <c r="A19" s="4" t="s">
        <v>376</v>
      </c>
      <c r="B19" s="0" t="s">
        <v>103</v>
      </c>
      <c r="D19" s="18" t="n">
        <f aca="false">D138</f>
        <v>0.654160760309279</v>
      </c>
      <c r="E19" s="18" t="n">
        <f aca="false">E138</f>
        <v>0.584640896294232</v>
      </c>
      <c r="F19" s="18" t="n">
        <f aca="false">F138</f>
        <v>-0.0765861825353457</v>
      </c>
      <c r="G19" s="18" t="n">
        <f aca="false">G138</f>
        <v>0.195693778704133</v>
      </c>
    </row>
    <row r="20" customFormat="false" ht="17.15" hidden="false" customHeight="false" outlineLevel="0" collapsed="false">
      <c r="A20" s="0" t="s">
        <v>377</v>
      </c>
      <c r="B20" s="0" t="s">
        <v>186</v>
      </c>
      <c r="C20" s="20" t="n">
        <f aca="false">C124</f>
        <v>50.65728</v>
      </c>
      <c r="D20" s="20" t="n">
        <f aca="false">D124</f>
        <v>160.037368</v>
      </c>
      <c r="E20" s="20" t="n">
        <f aca="false">E124</f>
        <v>371.791995210894</v>
      </c>
      <c r="F20" s="20" t="n">
        <f aca="false">F124</f>
        <v>341.103131723315</v>
      </c>
      <c r="G20" s="20" t="n">
        <f aca="false">G124</f>
        <v>424.779930936442</v>
      </c>
    </row>
    <row r="21" customFormat="false" ht="15" hidden="false" customHeight="false" outlineLevel="0" collapsed="false">
      <c r="A21" s="4" t="s">
        <v>378</v>
      </c>
      <c r="B21" s="0" t="s">
        <v>186</v>
      </c>
      <c r="C21" s="20" t="n">
        <f aca="false">C129</f>
        <v>156.4416</v>
      </c>
      <c r="D21" s="20" t="n">
        <f aca="false">D129</f>
        <v>205.3806</v>
      </c>
      <c r="E21" s="20" t="n">
        <f aca="false">E129</f>
        <v>231.053175</v>
      </c>
      <c r="F21" s="20" t="n">
        <f aca="false">F129</f>
        <v>209.488212</v>
      </c>
      <c r="G21" s="20" t="n">
        <f aca="false">G129</f>
        <v>240.9114438</v>
      </c>
    </row>
    <row r="22" customFormat="false" ht="17.15" hidden="false" customHeight="false" outlineLevel="0" collapsed="false">
      <c r="A22" s="4" t="s">
        <v>379</v>
      </c>
      <c r="B22" s="0" t="s">
        <v>186</v>
      </c>
      <c r="C22" s="20" t="n">
        <f aca="false">C131</f>
        <v>41.22112</v>
      </c>
      <c r="D22" s="20" t="n">
        <f aca="false">D131</f>
        <v>45.343232</v>
      </c>
      <c r="E22" s="20" t="n">
        <f aca="false">E131</f>
        <v>48.06382592</v>
      </c>
      <c r="F22" s="20" t="n">
        <f aca="false">F131</f>
        <v>50.467017216</v>
      </c>
      <c r="G22" s="20" t="n">
        <f aca="false">G131</f>
        <v>52.9903680768</v>
      </c>
    </row>
    <row r="23" customFormat="false" ht="17.15" hidden="false" customHeight="false" outlineLevel="0" collapsed="false">
      <c r="A23" s="0" t="s">
        <v>380</v>
      </c>
      <c r="B23" s="0" t="s">
        <v>103</v>
      </c>
      <c r="C23" s="18" t="n">
        <f aca="false">C139</f>
        <v>0.834</v>
      </c>
      <c r="D23" s="18" t="n">
        <f aca="false">D139</f>
        <v>0.889611696528299</v>
      </c>
      <c r="E23" s="18" t="n">
        <f aca="false">E139</f>
        <v>0.926158915907294</v>
      </c>
      <c r="F23" s="18" t="n">
        <f aca="false">F139</f>
        <v>0.916036410944968</v>
      </c>
      <c r="G23" s="18" t="n">
        <f aca="false">G139</f>
        <v>0.926267268360858</v>
      </c>
    </row>
    <row r="24" customFormat="false" ht="15" hidden="false" customHeight="false" outlineLevel="0" collapsed="false">
      <c r="A24" s="4" t="s">
        <v>322</v>
      </c>
      <c r="B24" s="0" t="s">
        <v>103</v>
      </c>
      <c r="C24" s="15" t="n">
        <f aca="false">C144</f>
        <v>0.1809</v>
      </c>
      <c r="D24" s="15" t="n">
        <f aca="false">D144</f>
        <v>0.189589247962076</v>
      </c>
      <c r="E24" s="15" t="n">
        <f aca="false">E144</f>
        <v>0.198291047165337</v>
      </c>
      <c r="F24" s="15" t="n">
        <f aca="false">F144</f>
        <v>0.198677314052103</v>
      </c>
      <c r="G24" s="15" t="n">
        <f aca="false">G144</f>
        <v>0.199476469569491</v>
      </c>
    </row>
    <row r="25" customFormat="false" ht="15" hidden="false" customHeight="false" outlineLevel="0" collapsed="false">
      <c r="A25" s="4" t="s">
        <v>328</v>
      </c>
      <c r="B25" s="0" t="s">
        <v>103</v>
      </c>
      <c r="C25" s="15" t="n">
        <f aca="false">C148</f>
        <v>0.1294</v>
      </c>
      <c r="D25" s="15" t="n">
        <f aca="false">D148</f>
        <v>0.145875070478906</v>
      </c>
      <c r="E25" s="15" t="n">
        <f aca="false">E148</f>
        <v>0.161028071582683</v>
      </c>
      <c r="F25" s="15" t="n">
        <f aca="false">F148</f>
        <v>0.158323818276002</v>
      </c>
      <c r="G25" s="15" t="n">
        <f aca="false">G148</f>
        <v>0.161764763259219</v>
      </c>
    </row>
    <row r="26" customFormat="false" ht="15" hidden="false" customHeight="false" outlineLevel="0" collapsed="false">
      <c r="A26" s="4" t="s">
        <v>329</v>
      </c>
      <c r="B26" s="0" t="s">
        <v>186</v>
      </c>
      <c r="C26" s="20" t="n">
        <f aca="false">C150</f>
        <v>26.342</v>
      </c>
      <c r="D26" s="20" t="n">
        <f aca="false">D150</f>
        <v>47.8258552</v>
      </c>
      <c r="E26" s="20" t="n">
        <f aca="false">E150</f>
        <v>83.8516963382226</v>
      </c>
      <c r="F26" s="20" t="n">
        <f aca="false">F150</f>
        <v>76.129483768502</v>
      </c>
      <c r="G26" s="20" t="n">
        <f aca="false">G150</f>
        <v>93.0059055879257</v>
      </c>
    </row>
    <row r="27" customFormat="false" ht="15" hidden="false" customHeight="false" outlineLevel="0" collapsed="false">
      <c r="A27" s="0" t="s">
        <v>334</v>
      </c>
      <c r="B27" s="0" t="s">
        <v>244</v>
      </c>
      <c r="C27" s="14" t="n">
        <f aca="false">C152</f>
        <v>47.13</v>
      </c>
      <c r="D27" s="14" t="n">
        <f aca="false">D152</f>
        <v>85.5706494503455</v>
      </c>
      <c r="E27" s="14" t="n">
        <f aca="false">E152</f>
        <v>147.404753849881</v>
      </c>
      <c r="F27" s="14" t="n">
        <f aca="false">F152</f>
        <v>133.829705368754</v>
      </c>
      <c r="G27" s="14" t="n">
        <f aca="false">G152</f>
        <v>163.497141005652</v>
      </c>
    </row>
    <row r="28" customFormat="false" ht="17.15" hidden="false" customHeight="false" outlineLevel="0" collapsed="false">
      <c r="A28" s="0" t="s">
        <v>381</v>
      </c>
      <c r="B28" s="0" t="s">
        <v>103</v>
      </c>
      <c r="D28" s="18" t="n">
        <f aca="false">D153</f>
        <v>0.815630160202535</v>
      </c>
      <c r="E28" s="18" t="n">
        <f aca="false">E153</f>
        <v>0.72260880099334</v>
      </c>
      <c r="F28" s="18" t="n">
        <f aca="false">F153</f>
        <v>-0.0920936952613626</v>
      </c>
      <c r="G28" s="18" t="n">
        <f aca="false">G153</f>
        <v>0.221680497279377</v>
      </c>
    </row>
    <row r="30" customFormat="false" ht="17.15" hidden="false" customHeight="false" outlineLevel="0" collapsed="false">
      <c r="A30" s="1" t="s">
        <v>383</v>
      </c>
    </row>
    <row r="31" customFormat="false" ht="15" hidden="false" customHeight="false" outlineLevel="0" collapsed="false">
      <c r="A31" s="4" t="s">
        <v>316</v>
      </c>
      <c r="B31" s="0" t="s">
        <v>186</v>
      </c>
      <c r="C31" s="20" t="n">
        <f aca="false">C180</f>
        <v>248.32</v>
      </c>
      <c r="D31" s="20" t="n">
        <f aca="false">D180</f>
        <v>410.7612</v>
      </c>
      <c r="E31" s="20" t="n">
        <f aca="false">E180</f>
        <v>650.908996130894</v>
      </c>
      <c r="F31" s="20" t="n">
        <f aca="false">F180</f>
        <v>463.410525008486</v>
      </c>
      <c r="G31" s="20" t="n">
        <f aca="false">G180</f>
        <v>522.890162008406</v>
      </c>
    </row>
    <row r="32" customFormat="false" ht="15" hidden="false" customHeight="false" outlineLevel="0" collapsed="false">
      <c r="A32" s="4" t="s">
        <v>376</v>
      </c>
      <c r="B32" s="0" t="s">
        <v>103</v>
      </c>
      <c r="D32" s="18" t="n">
        <f aca="false">D186</f>
        <v>0.654160760309279</v>
      </c>
      <c r="E32" s="18" t="n">
        <f aca="false">E186</f>
        <v>0.584640896294232</v>
      </c>
      <c r="F32" s="18" t="n">
        <f aca="false">F186</f>
        <v>-0.288056352327174</v>
      </c>
      <c r="G32" s="18" t="n">
        <f aca="false">G186</f>
        <v>0.128351933739164</v>
      </c>
    </row>
    <row r="33" customFormat="false" ht="17.15" hidden="false" customHeight="false" outlineLevel="0" collapsed="false">
      <c r="A33" s="0" t="s">
        <v>377</v>
      </c>
      <c r="B33" s="0" t="s">
        <v>186</v>
      </c>
      <c r="C33" s="20" t="n">
        <f aca="false">C172</f>
        <v>50.65728</v>
      </c>
      <c r="D33" s="20" t="n">
        <f aca="false">D172</f>
        <v>160.037368</v>
      </c>
      <c r="E33" s="20" t="n">
        <f aca="false">E172</f>
        <v>371.791995210894</v>
      </c>
      <c r="F33" s="20" t="n">
        <f aca="false">F172</f>
        <v>255.827348792486</v>
      </c>
      <c r="G33" s="20" t="n">
        <f aca="false">G172</f>
        <v>299.844657131606</v>
      </c>
    </row>
    <row r="34" customFormat="false" ht="15" hidden="false" customHeight="false" outlineLevel="0" collapsed="false">
      <c r="A34" s="4" t="s">
        <v>378</v>
      </c>
      <c r="B34" s="0" t="s">
        <v>186</v>
      </c>
      <c r="C34" s="20" t="n">
        <f aca="false">C177</f>
        <v>156.4416</v>
      </c>
      <c r="D34" s="20" t="n">
        <f aca="false">D177</f>
        <v>205.3806</v>
      </c>
      <c r="E34" s="20" t="n">
        <f aca="false">E177</f>
        <v>231.053175</v>
      </c>
      <c r="F34" s="20" t="n">
        <f aca="false">F177</f>
        <v>157.116159</v>
      </c>
      <c r="G34" s="20" t="n">
        <f aca="false">G177</f>
        <v>170.0551368</v>
      </c>
    </row>
    <row r="35" customFormat="false" ht="17.15" hidden="false" customHeight="false" outlineLevel="0" collapsed="false">
      <c r="A35" s="4" t="s">
        <v>379</v>
      </c>
      <c r="B35" s="0" t="s">
        <v>186</v>
      </c>
      <c r="C35" s="20" t="n">
        <f aca="false">C179</f>
        <v>41.22112</v>
      </c>
      <c r="D35" s="20" t="n">
        <f aca="false">D179</f>
        <v>45.343232</v>
      </c>
      <c r="E35" s="20" t="n">
        <f aca="false">E179</f>
        <v>48.06382592</v>
      </c>
      <c r="F35" s="20" t="n">
        <f aca="false">F179</f>
        <v>50.467017216</v>
      </c>
      <c r="G35" s="20" t="n">
        <f aca="false">G179</f>
        <v>52.9903680768</v>
      </c>
    </row>
    <row r="36" customFormat="false" ht="17.15" hidden="false" customHeight="false" outlineLevel="0" collapsed="false">
      <c r="A36" s="0" t="s">
        <v>380</v>
      </c>
      <c r="B36" s="0" t="s">
        <v>103</v>
      </c>
      <c r="C36" s="18" t="n">
        <f aca="false">C187</f>
        <v>0.834</v>
      </c>
      <c r="D36" s="18" t="n">
        <f aca="false">D187</f>
        <v>0.889611696528299</v>
      </c>
      <c r="E36" s="18" t="n">
        <f aca="false">E187</f>
        <v>0.926158915907294</v>
      </c>
      <c r="F36" s="18" t="n">
        <f aca="false">F187</f>
        <v>0.891096523508878</v>
      </c>
      <c r="G36" s="18" t="n">
        <f aca="false">G187</f>
        <v>0.898658701335543</v>
      </c>
    </row>
    <row r="37" customFormat="false" ht="15" hidden="false" customHeight="false" outlineLevel="0" collapsed="false">
      <c r="A37" s="4" t="s">
        <v>322</v>
      </c>
      <c r="B37" s="0" t="s">
        <v>103</v>
      </c>
      <c r="C37" s="15" t="n">
        <f aca="false">C192</f>
        <v>0.1809</v>
      </c>
      <c r="D37" s="15" t="n">
        <f aca="false">D192</f>
        <v>0.189589247962076</v>
      </c>
      <c r="E37" s="15" t="n">
        <f aca="false">E192</f>
        <v>0.198291047165337</v>
      </c>
      <c r="F37" s="15" t="n">
        <f aca="false">F192</f>
        <v>0.19924665962784</v>
      </c>
      <c r="G37" s="15" t="n">
        <f aca="false">G192</f>
        <v>0.20007595635833</v>
      </c>
    </row>
    <row r="38" customFormat="false" ht="15" hidden="false" customHeight="false" outlineLevel="0" collapsed="false">
      <c r="A38" s="4" t="s">
        <v>328</v>
      </c>
      <c r="B38" s="0" t="s">
        <v>103</v>
      </c>
      <c r="C38" s="15" t="n">
        <f aca="false">C196</f>
        <v>0.1294</v>
      </c>
      <c r="D38" s="15" t="n">
        <f aca="false">D196</f>
        <v>0.145875070478906</v>
      </c>
      <c r="E38" s="15" t="n">
        <f aca="false">E196</f>
        <v>0.161028071582683</v>
      </c>
      <c r="F38" s="15" t="n">
        <f aca="false">F196</f>
        <v>0.146906877252568</v>
      </c>
      <c r="G38" s="15" t="n">
        <f aca="false">G196</f>
        <v>0.150117669358208</v>
      </c>
    </row>
    <row r="39" customFormat="false" ht="15" hidden="false" customHeight="false" outlineLevel="0" collapsed="false">
      <c r="A39" s="4" t="s">
        <v>329</v>
      </c>
      <c r="B39" s="0" t="s">
        <v>186</v>
      </c>
      <c r="C39" s="20" t="n">
        <f aca="false">C198</f>
        <v>26.342</v>
      </c>
      <c r="D39" s="20" t="n">
        <f aca="false">D198</f>
        <v>47.8258552</v>
      </c>
      <c r="E39" s="20" t="n">
        <f aca="false">E198</f>
        <v>83.8516963382226</v>
      </c>
      <c r="F39" s="20" t="n">
        <f aca="false">F198</f>
        <v>54.4625544919756</v>
      </c>
      <c r="G39" s="20" t="n">
        <f aca="false">G198</f>
        <v>62.7960419608301</v>
      </c>
    </row>
    <row r="40" customFormat="false" ht="15" hidden="false" customHeight="false" outlineLevel="0" collapsed="false">
      <c r="A40" s="0" t="s">
        <v>334</v>
      </c>
      <c r="B40" s="0" t="s">
        <v>244</v>
      </c>
      <c r="C40" s="14" t="n">
        <f aca="false">C200</f>
        <v>47.13</v>
      </c>
      <c r="D40" s="14" t="n">
        <f aca="false">D200</f>
        <v>85.5706494503455</v>
      </c>
      <c r="E40" s="14" t="n">
        <f aca="false">E200</f>
        <v>147.404753849881</v>
      </c>
      <c r="F40" s="14" t="n">
        <f aca="false">F200</f>
        <v>95.74093058945</v>
      </c>
      <c r="G40" s="14" t="n">
        <f aca="false">G200</f>
        <v>110.390552752164</v>
      </c>
    </row>
    <row r="41" customFormat="false" ht="17.15" hidden="false" customHeight="false" outlineLevel="0" collapsed="false">
      <c r="A41" s="0" t="s">
        <v>381</v>
      </c>
      <c r="B41" s="0" t="s">
        <v>103</v>
      </c>
      <c r="D41" s="18" t="n">
        <f aca="false">D201</f>
        <v>0.815630160202535</v>
      </c>
      <c r="E41" s="18" t="n">
        <f aca="false">E201</f>
        <v>0.72260880099334</v>
      </c>
      <c r="F41" s="18" t="n">
        <f aca="false">F201</f>
        <v>-0.350489532468174</v>
      </c>
      <c r="G41" s="18" t="n">
        <f aca="false">G201</f>
        <v>0.153013158244025</v>
      </c>
    </row>
    <row r="43" customFormat="false" ht="17.15" hidden="false" customHeight="false" outlineLevel="0" collapsed="false">
      <c r="A43" s="1" t="s">
        <v>384</v>
      </c>
    </row>
    <row r="44" customFormat="false" ht="17.15" hidden="false" customHeight="false" outlineLevel="0" collapsed="false">
      <c r="A44" s="4" t="s">
        <v>385</v>
      </c>
      <c r="D44" s="17" t="n">
        <f aca="false">D84-a26_rev</f>
        <v>0</v>
      </c>
    </row>
    <row r="45" customFormat="false" ht="17.15" hidden="false" customHeight="false" outlineLevel="0" collapsed="false">
      <c r="A45" s="4" t="s">
        <v>386</v>
      </c>
      <c r="D45" s="17" t="n">
        <f aca="false">C84-a25_rev</f>
        <v>0</v>
      </c>
    </row>
    <row r="46" customFormat="false" ht="17.15" hidden="false" customHeight="false" outlineLevel="0" collapsed="false">
      <c r="A46" s="4" t="s">
        <v>387</v>
      </c>
      <c r="D46" s="17" t="n">
        <f aca="false">D94*(D76+D83)+(D94-d_nap)*D81-a26_gp</f>
        <v>0</v>
      </c>
    </row>
    <row r="60" customFormat="false" ht="17.15" hidden="false" customHeight="false" outlineLevel="0" collapsed="false">
      <c r="A60" s="1" t="s">
        <v>388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2" t="s">
        <v>309</v>
      </c>
      <c r="D61" s="12" t="s">
        <v>371</v>
      </c>
      <c r="E61" s="12" t="s">
        <v>372</v>
      </c>
      <c r="F61" s="12" t="s">
        <v>373</v>
      </c>
      <c r="G61" s="12" t="s">
        <v>374</v>
      </c>
      <c r="H61" s="5" t="s">
        <v>350</v>
      </c>
    </row>
    <row r="62" customFormat="false" ht="17.15" hidden="false" customHeight="false" outlineLevel="0" collapsed="false">
      <c r="A62" s="6" t="s">
        <v>389</v>
      </c>
    </row>
    <row r="63" customFormat="false" ht="17.15" hidden="false" customHeight="false" outlineLevel="0" collapsed="false">
      <c r="A63" s="4" t="s">
        <v>390</v>
      </c>
      <c r="B63" s="0" t="s">
        <v>186</v>
      </c>
      <c r="C63" s="20" t="n">
        <f aca="false">a25_rev*nap25s</f>
        <v>156.4416</v>
      </c>
      <c r="D63" s="20" t="n">
        <f aca="false">a26_rev*ns26</f>
        <v>205.3806</v>
      </c>
    </row>
    <row r="64" customFormat="false" ht="17.15" hidden="false" customHeight="false" outlineLevel="0" collapsed="false">
      <c r="A64" s="4" t="s">
        <v>391</v>
      </c>
      <c r="B64" s="0" t="s">
        <v>186</v>
      </c>
      <c r="C64" s="20" t="n">
        <f aca="false">a25_rev*(1-nap25s-sw25s*af25)</f>
        <v>41.22112</v>
      </c>
      <c r="D64" s="20" t="n">
        <f aca="false">C64*(1+g_nai26)</f>
        <v>45.343232</v>
      </c>
    </row>
    <row r="65" customFormat="false" ht="17.15" hidden="false" customHeight="false" outlineLevel="0" collapsed="false">
      <c r="A65" s="0" t="s">
        <v>392</v>
      </c>
      <c r="B65" s="0" t="s">
        <v>186</v>
      </c>
      <c r="C65" s="20" t="n">
        <f aca="false">a25_rev*sw25s*af25</f>
        <v>50.65728</v>
      </c>
      <c r="D65" s="20" t="n">
        <f aca="false">a26_rev-D63-D64</f>
        <v>160.037368</v>
      </c>
      <c r="H65" s="8" t="s">
        <v>393</v>
      </c>
    </row>
    <row r="66" customFormat="false" ht="17.15" hidden="false" customHeight="false" outlineLevel="0" collapsed="false">
      <c r="A66" s="6" t="s">
        <v>394</v>
      </c>
    </row>
    <row r="67" customFormat="false" ht="17.15" hidden="false" customHeight="false" outlineLevel="0" collapsed="false">
      <c r="A67" s="0" t="s">
        <v>395</v>
      </c>
      <c r="B67" s="0" t="s">
        <v>32</v>
      </c>
      <c r="D67" s="14" t="n">
        <f aca="false">mkt_26*1</f>
        <v>32.0719</v>
      </c>
      <c r="E67" s="14" t="n">
        <f aca="false">mkt_27*1*1</f>
        <v>61.085</v>
      </c>
      <c r="F67" s="14" t="n">
        <f aca="false">mkt_28*um28_A*1</f>
        <v>69.005</v>
      </c>
      <c r="G67" s="14" t="n">
        <f aca="false">mkt_29*um29_A*1</f>
        <v>78.48215</v>
      </c>
    </row>
    <row r="68" customFormat="false" ht="15" hidden="false" customHeight="false" outlineLevel="0" collapsed="false">
      <c r="A68" s="4" t="s">
        <v>396</v>
      </c>
      <c r="B68" s="0" t="s">
        <v>103</v>
      </c>
      <c r="D68" s="18" t="n">
        <f aca="false">eth_26</f>
        <v>0.75</v>
      </c>
      <c r="E68" s="18" t="n">
        <f aca="false">eth_27</f>
        <v>0.8</v>
      </c>
      <c r="F68" s="18" t="n">
        <f aca="false">eth_28</f>
        <v>0.83</v>
      </c>
      <c r="G68" s="18" t="n">
        <f aca="false">eth_29</f>
        <v>0.85</v>
      </c>
    </row>
    <row r="69" customFormat="false" ht="17.15" hidden="false" customHeight="false" outlineLevel="0" collapsed="false">
      <c r="A69" s="4" t="s">
        <v>397</v>
      </c>
      <c r="B69" s="0" t="s">
        <v>32</v>
      </c>
      <c r="D69" s="14" t="n">
        <f aca="false">su_26*1</f>
        <v>3.015</v>
      </c>
      <c r="E69" s="14" t="n">
        <f aca="false">su_27*1*1</f>
        <v>11.3414</v>
      </c>
      <c r="F69" s="14" t="n">
        <f aca="false">su_28*um28_A*1</f>
        <v>13.8952</v>
      </c>
      <c r="G69" s="14" t="n">
        <f aca="false">su_29*um29_A*1</f>
        <v>15.97948</v>
      </c>
    </row>
    <row r="70" customFormat="false" ht="17.15" hidden="false" customHeight="false" outlineLevel="0" collapsed="false">
      <c r="A70" s="0" t="s">
        <v>398</v>
      </c>
      <c r="B70" s="0" t="s">
        <v>32</v>
      </c>
      <c r="D70" s="14" t="n">
        <f aca="false">D67*D68+D69</f>
        <v>27.068925</v>
      </c>
      <c r="E70" s="14" t="n">
        <f aca="false">E67*E68+E69</f>
        <v>60.2094</v>
      </c>
      <c r="F70" s="14" t="n">
        <f aca="false">F67*F68+F69</f>
        <v>71.16935</v>
      </c>
      <c r="G70" s="14" t="n">
        <f aca="false">G67*G68+G69</f>
        <v>82.6893075</v>
      </c>
    </row>
    <row r="71" customFormat="false" ht="15" hidden="false" customHeight="false" outlineLevel="0" collapsed="false">
      <c r="A71" s="4" t="s">
        <v>355</v>
      </c>
      <c r="B71" s="0" t="s">
        <v>103</v>
      </c>
      <c r="D71" s="18" t="n">
        <f aca="false">wb_26</f>
        <v>0.45</v>
      </c>
      <c r="E71" s="18" t="n">
        <f aca="false">wb_27</f>
        <v>0.47</v>
      </c>
      <c r="F71" s="18" t="n">
        <f aca="false">wb_28</f>
        <v>0.48</v>
      </c>
      <c r="G71" s="18" t="n">
        <f aca="false">wb_29</f>
        <v>0.5</v>
      </c>
    </row>
    <row r="72" customFormat="false" ht="17.15" hidden="false" customHeight="false" outlineLevel="0" collapsed="false">
      <c r="A72" s="4" t="s">
        <v>357</v>
      </c>
      <c r="B72" s="0" t="s">
        <v>32</v>
      </c>
      <c r="D72" s="14" t="n">
        <f aca="false">D70*D71</f>
        <v>12.18101625</v>
      </c>
      <c r="E72" s="14" t="n">
        <f aca="false">E70*E71</f>
        <v>28.298418</v>
      </c>
      <c r="F72" s="14" t="n">
        <f aca="false">F70*F71</f>
        <v>34.161288</v>
      </c>
      <c r="G72" s="14" t="n">
        <f aca="false">G70*G71</f>
        <v>41.34465375</v>
      </c>
    </row>
    <row r="73" customFormat="false" ht="17.15" hidden="false" customHeight="false" outlineLevel="0" collapsed="false">
      <c r="A73" s="4" t="s">
        <v>399</v>
      </c>
      <c r="B73" s="0" t="s">
        <v>103</v>
      </c>
      <c r="D73" s="18" t="n">
        <f aca="false">D65/fx/D72</f>
        <v>0.410570649226414</v>
      </c>
      <c r="H73" s="8" t="s">
        <v>400</v>
      </c>
    </row>
    <row r="74" customFormat="false" ht="17.15" hidden="false" customHeight="false" outlineLevel="0" collapsed="false">
      <c r="A74" s="4" t="s">
        <v>401</v>
      </c>
      <c r="B74" s="0" t="s">
        <v>76</v>
      </c>
      <c r="D74" s="19" t="n">
        <f aca="false">1</f>
        <v>1</v>
      </c>
      <c r="E74" s="19" t="n">
        <f aca="false">rel_27</f>
        <v>1</v>
      </c>
      <c r="F74" s="19" t="n">
        <f aca="false">rel_28</f>
        <v>0.95</v>
      </c>
      <c r="G74" s="19" t="n">
        <f aca="false">rel_29</f>
        <v>0.92</v>
      </c>
    </row>
    <row r="75" customFormat="false" ht="15" hidden="false" customHeight="false" outlineLevel="0" collapsed="false">
      <c r="A75" s="4" t="s">
        <v>402</v>
      </c>
      <c r="B75" s="0" t="s">
        <v>103</v>
      </c>
      <c r="D75" s="18" t="n">
        <f aca="false">$D$73*D74</f>
        <v>0.410570649226414</v>
      </c>
      <c r="E75" s="18" t="n">
        <f aca="false">$D$73*E74</f>
        <v>0.410570649226414</v>
      </c>
      <c r="F75" s="18" t="n">
        <f aca="false">$D$73*F74</f>
        <v>0.390042116765093</v>
      </c>
      <c r="G75" s="18" t="n">
        <f aca="false">$D$73*G74</f>
        <v>0.377724997288301</v>
      </c>
    </row>
    <row r="76" customFormat="false" ht="17.15" hidden="false" customHeight="false" outlineLevel="0" collapsed="false">
      <c r="A76" s="0" t="s">
        <v>403</v>
      </c>
      <c r="B76" s="0" t="s">
        <v>186</v>
      </c>
      <c r="C76" s="20" t="n">
        <f aca="false">C65</f>
        <v>50.65728</v>
      </c>
      <c r="D76" s="20" t="n">
        <f aca="false">D72*D75*fx</f>
        <v>160.037368</v>
      </c>
      <c r="E76" s="20" t="n">
        <f aca="false">E72*E75*fx</f>
        <v>371.791995210894</v>
      </c>
      <c r="F76" s="20" t="n">
        <f aca="false">F72*F75*fx</f>
        <v>426.378914654143</v>
      </c>
      <c r="G76" s="20" t="n">
        <f aca="false">G72*G75*fx</f>
        <v>499.741095219344</v>
      </c>
    </row>
    <row r="77" customFormat="false" ht="17.15" hidden="false" customHeight="false" outlineLevel="0" collapsed="false">
      <c r="A77" s="6" t="s">
        <v>404</v>
      </c>
    </row>
    <row r="78" customFormat="false" ht="17.15" hidden="false" customHeight="false" outlineLevel="0" collapsed="false">
      <c r="A78" s="0" t="s">
        <v>405</v>
      </c>
      <c r="B78" s="4" t="s">
        <v>55</v>
      </c>
      <c r="D78" s="19" t="n">
        <f aca="false">trn_26*1</f>
        <v>2</v>
      </c>
      <c r="E78" s="19" t="n">
        <f aca="false">trn_27*1*1</f>
        <v>2.5</v>
      </c>
      <c r="F78" s="19" t="n">
        <f aca="false">trn_28*um28_A*1</f>
        <v>3</v>
      </c>
      <c r="G78" s="19" t="n">
        <f aca="false">trn_29*um29_A*1</f>
        <v>3.45</v>
      </c>
    </row>
    <row r="79" customFormat="false" ht="17.15" hidden="false" customHeight="false" outlineLevel="0" collapsed="false">
      <c r="A79" s="4" t="s">
        <v>406</v>
      </c>
      <c r="B79" s="4" t="s">
        <v>407</v>
      </c>
      <c r="D79" s="20" t="n">
        <f aca="false">D63/D78</f>
        <v>102.6903</v>
      </c>
      <c r="H79" s="8" t="s">
        <v>408</v>
      </c>
    </row>
    <row r="80" customFormat="false" ht="17.15" hidden="false" customHeight="false" outlineLevel="0" collapsed="false">
      <c r="A80" s="4" t="s">
        <v>409</v>
      </c>
      <c r="B80" s="0" t="s">
        <v>76</v>
      </c>
      <c r="D80" s="19" t="n">
        <f aca="false">1</f>
        <v>1</v>
      </c>
      <c r="E80" s="19" t="n">
        <f aca="false">nrel_27</f>
        <v>0.9</v>
      </c>
      <c r="F80" s="19" t="n">
        <f aca="false">nrel_28</f>
        <v>0.85</v>
      </c>
      <c r="G80" s="19" t="n">
        <f aca="false">nrel_29</f>
        <v>0.8</v>
      </c>
    </row>
    <row r="81" customFormat="false" ht="15" hidden="false" customHeight="false" outlineLevel="0" collapsed="false">
      <c r="A81" s="4" t="s">
        <v>410</v>
      </c>
      <c r="B81" s="0" t="s">
        <v>186</v>
      </c>
      <c r="C81" s="20" t="n">
        <f aca="false">C63</f>
        <v>156.4416</v>
      </c>
      <c r="D81" s="20" t="n">
        <f aca="false">D78*$D$79*D80</f>
        <v>205.3806</v>
      </c>
      <c r="E81" s="20" t="n">
        <f aca="false">E78*$D$79*E80</f>
        <v>231.053175</v>
      </c>
      <c r="F81" s="20" t="n">
        <f aca="false">F78*$D$79*F80</f>
        <v>261.860265</v>
      </c>
      <c r="G81" s="20" t="n">
        <f aca="false">G78*$D$79*G80</f>
        <v>283.425228</v>
      </c>
    </row>
    <row r="82" customFormat="false" ht="17.15" hidden="false" customHeight="false" outlineLevel="0" collapsed="false">
      <c r="A82" s="6" t="s">
        <v>411</v>
      </c>
    </row>
    <row r="83" customFormat="false" ht="17.15" hidden="false" customHeight="false" outlineLevel="0" collapsed="false">
      <c r="A83" s="4" t="s">
        <v>412</v>
      </c>
      <c r="B83" s="0" t="s">
        <v>186</v>
      </c>
      <c r="C83" s="20" t="n">
        <f aca="false">C64</f>
        <v>41.22112</v>
      </c>
      <c r="D83" s="20" t="n">
        <f aca="false">D64</f>
        <v>45.343232</v>
      </c>
      <c r="E83" s="20" t="n">
        <f aca="false">D83*(1+g_nai27)</f>
        <v>48.06382592</v>
      </c>
      <c r="F83" s="20" t="n">
        <f aca="false">E83*(1+g_nai28)</f>
        <v>50.467017216</v>
      </c>
      <c r="G83" s="20" t="n">
        <f aca="false">F83*(1+g_nai29)</f>
        <v>52.9903680768</v>
      </c>
    </row>
    <row r="84" customFormat="false" ht="15" hidden="false" customHeight="false" outlineLevel="0" collapsed="false">
      <c r="A84" s="4" t="s">
        <v>316</v>
      </c>
      <c r="B84" s="0" t="s">
        <v>186</v>
      </c>
      <c r="C84" s="20" t="n">
        <f aca="false">C76+C81+C83</f>
        <v>248.32</v>
      </c>
      <c r="D84" s="20" t="n">
        <f aca="false">D76+D81+D83</f>
        <v>410.7612</v>
      </c>
      <c r="E84" s="20" t="n">
        <f aca="false">E76+E81+E83</f>
        <v>650.908996130894</v>
      </c>
      <c r="F84" s="20" t="n">
        <f aca="false">F76+F81+F83</f>
        <v>738.706196870144</v>
      </c>
      <c r="G84" s="20" t="n">
        <f aca="false">G76+G81+G83</f>
        <v>836.156691296144</v>
      </c>
    </row>
    <row r="85" customFormat="false" ht="17.15" hidden="false" customHeight="false" outlineLevel="0" collapsed="false">
      <c r="A85" s="4" t="s">
        <v>413</v>
      </c>
      <c r="B85" s="0" t="s">
        <v>103</v>
      </c>
      <c r="C85" s="18" t="n">
        <f aca="false">sw25s*(1-af25)/(1-nap25s-sw25s*af25)</f>
        <v>0.819277108433735</v>
      </c>
      <c r="H85" s="8" t="s">
        <v>414</v>
      </c>
    </row>
    <row r="86" customFormat="false" ht="17.15" hidden="false" customHeight="false" outlineLevel="0" collapsed="false">
      <c r="A86" s="4" t="s">
        <v>415</v>
      </c>
      <c r="B86" s="0" t="s">
        <v>186</v>
      </c>
      <c r="C86" s="20" t="n">
        <f aca="false">C83*$C$85</f>
        <v>33.77152</v>
      </c>
      <c r="D86" s="20" t="n">
        <f aca="false">D83*$C$85</f>
        <v>37.148672</v>
      </c>
      <c r="E86" s="20" t="n">
        <f aca="false">E83*$C$85</f>
        <v>39.37759232</v>
      </c>
      <c r="F86" s="20" t="n">
        <f aca="false">F83*$C$85</f>
        <v>41.346471936</v>
      </c>
      <c r="G86" s="20" t="n">
        <f aca="false">G83*$C$85</f>
        <v>43.4137955328</v>
      </c>
    </row>
    <row r="87" customFormat="false" ht="17.15" hidden="false" customHeight="false" outlineLevel="0" collapsed="false">
      <c r="A87" s="4" t="s">
        <v>416</v>
      </c>
      <c r="B87" s="0" t="s">
        <v>186</v>
      </c>
      <c r="C87" s="20" t="n">
        <f aca="false">C76+C86</f>
        <v>84.4288</v>
      </c>
      <c r="D87" s="20" t="n">
        <f aca="false">D76+D86</f>
        <v>197.18604</v>
      </c>
      <c r="E87" s="20" t="n">
        <f aca="false">E76+E86</f>
        <v>411.169587530894</v>
      </c>
      <c r="F87" s="20" t="n">
        <f aca="false">F76+F86</f>
        <v>467.725386590143</v>
      </c>
      <c r="G87" s="20" t="n">
        <f aca="false">G76+G86</f>
        <v>543.154890752144</v>
      </c>
      <c r="H87" s="4" t="s">
        <v>417</v>
      </c>
    </row>
    <row r="88" customFormat="false" ht="17.15" hidden="false" customHeight="false" outlineLevel="0" collapsed="false">
      <c r="A88" s="4" t="s">
        <v>418</v>
      </c>
      <c r="B88" s="0" t="s">
        <v>186</v>
      </c>
      <c r="C88" s="20" t="n">
        <f aca="false">C83-C86</f>
        <v>7.44959999999999</v>
      </c>
      <c r="D88" s="20" t="n">
        <f aca="false">D83-D86</f>
        <v>8.19455999999999</v>
      </c>
      <c r="E88" s="20" t="n">
        <f aca="false">E83-E86</f>
        <v>8.68623359999999</v>
      </c>
      <c r="F88" s="20" t="n">
        <f aca="false">F83-F86</f>
        <v>9.12054527999999</v>
      </c>
      <c r="G88" s="20" t="n">
        <f aca="false">G83-G86</f>
        <v>9.57657254399999</v>
      </c>
      <c r="H88" s="4" t="s">
        <v>419</v>
      </c>
    </row>
    <row r="89" customFormat="false" ht="17.15" hidden="false" customHeight="false" outlineLevel="0" collapsed="false">
      <c r="A89" s="4" t="s">
        <v>420</v>
      </c>
      <c r="B89" s="0" t="s">
        <v>186</v>
      </c>
      <c r="C89" s="16" t="n">
        <f aca="false">C87+C81+C88-a25_rev</f>
        <v>0</v>
      </c>
      <c r="D89" s="16" t="n">
        <f aca="false">D87+D81+D88-D84</f>
        <v>0</v>
      </c>
      <c r="E89" s="16" t="n">
        <f aca="false">E87+E81+E88-E84</f>
        <v>0</v>
      </c>
      <c r="F89" s="16" t="n">
        <f aca="false">F87+F81+F88-F84</f>
        <v>0</v>
      </c>
      <c r="G89" s="16" t="n">
        <f aca="false">G87+G81+G88-G84</f>
        <v>0</v>
      </c>
    </row>
    <row r="90" customFormat="false" ht="15" hidden="false" customHeight="false" outlineLevel="0" collapsed="false">
      <c r="A90" s="4" t="s">
        <v>421</v>
      </c>
      <c r="B90" s="0" t="s">
        <v>103</v>
      </c>
      <c r="D90" s="18" t="n">
        <f aca="false">D84/C84-1</f>
        <v>0.654160760309279</v>
      </c>
      <c r="E90" s="18" t="n">
        <f aca="false">E84/D84-1</f>
        <v>0.584640896294232</v>
      </c>
      <c r="F90" s="18" t="n">
        <f aca="false">F84/E84-1</f>
        <v>0.134883987256483</v>
      </c>
      <c r="G90" s="18" t="n">
        <f aca="false">G84/F84-1</f>
        <v>0.131920504848738</v>
      </c>
    </row>
    <row r="91" customFormat="false" ht="17.15" hidden="false" customHeight="false" outlineLevel="0" collapsed="false">
      <c r="A91" s="0" t="s">
        <v>422</v>
      </c>
      <c r="B91" s="0" t="s">
        <v>103</v>
      </c>
      <c r="C91" s="18" t="n">
        <f aca="false">(C76+C81)/C84</f>
        <v>0.834</v>
      </c>
      <c r="D91" s="18" t="n">
        <f aca="false">(D76+D81)/D84</f>
        <v>0.889611696528299</v>
      </c>
      <c r="E91" s="18" t="n">
        <f aca="false">(E76+E81)/E84</f>
        <v>0.926158915907294</v>
      </c>
      <c r="F91" s="18" t="n">
        <f aca="false">(F76+F81)/F84</f>
        <v>0.931681881876955</v>
      </c>
      <c r="G91" s="18" t="n">
        <f aca="false">(G76+G81)/G84</f>
        <v>0.936626270376837</v>
      </c>
    </row>
    <row r="92" customFormat="false" ht="17.15" hidden="false" customHeight="false" outlineLevel="0" collapsed="false">
      <c r="A92" s="4" t="s">
        <v>423</v>
      </c>
      <c r="B92" s="0" t="s">
        <v>103</v>
      </c>
      <c r="C92" s="18" t="n">
        <f aca="false">C81/C84</f>
        <v>0.63</v>
      </c>
      <c r="D92" s="18" t="n">
        <f aca="false">D81/D84</f>
        <v>0.5</v>
      </c>
      <c r="E92" s="18" t="n">
        <f aca="false">E81/E84</f>
        <v>0.354970013278994</v>
      </c>
      <c r="F92" s="18" t="n">
        <f aca="false">F81/F84</f>
        <v>0.354484998378905</v>
      </c>
      <c r="G92" s="18" t="n">
        <f aca="false">G81/G84</f>
        <v>0.338961860797474</v>
      </c>
    </row>
    <row r="93" customFormat="false" ht="17.15" hidden="false" customHeight="false" outlineLevel="0" collapsed="false">
      <c r="A93" s="6" t="s">
        <v>424</v>
      </c>
    </row>
    <row r="94" customFormat="false" ht="17.15" hidden="false" customHeight="false" outlineLevel="0" collapsed="false">
      <c r="A94" s="4" t="s">
        <v>425</v>
      </c>
      <c r="B94" s="0" t="s">
        <v>103</v>
      </c>
      <c r="D94" s="15" t="n">
        <f aca="false">a26_gp/a26_rev+d_nap*D92</f>
        <v>0.219589247962076</v>
      </c>
      <c r="H94" s="8" t="s">
        <v>426</v>
      </c>
    </row>
    <row r="95" customFormat="false" ht="15" hidden="false" customHeight="false" outlineLevel="0" collapsed="false">
      <c r="A95" s="4" t="s">
        <v>320</v>
      </c>
      <c r="B95" s="0" t="s">
        <v>186</v>
      </c>
      <c r="C95" s="20" t="n">
        <f aca="false">a25_gp</f>
        <v>44.921088</v>
      </c>
      <c r="D95" s="20" t="n">
        <f aca="false">a26_gp</f>
        <v>77.875907</v>
      </c>
      <c r="E95" s="20" t="n">
        <f aca="false">$D$94*(E76+E83)+($D$94-d_nap)*E81</f>
        <v>129.069426452133</v>
      </c>
      <c r="F95" s="20" t="n">
        <f aca="false">$D$94*(F76+F83)+($D$94-d_nap)*F81</f>
        <v>146.50032233564</v>
      </c>
      <c r="G95" s="20" t="n">
        <f aca="false">$D$94*(G76+G83)+($D$94-d_nap)*G81</f>
        <v>166.605505340178</v>
      </c>
    </row>
    <row r="96" customFormat="false" ht="15" hidden="false" customHeight="false" outlineLevel="0" collapsed="false">
      <c r="A96" s="4" t="s">
        <v>322</v>
      </c>
      <c r="B96" s="0" t="s">
        <v>103</v>
      </c>
      <c r="C96" s="15" t="n">
        <f aca="false">C95/C84</f>
        <v>0.1809</v>
      </c>
      <c r="D96" s="15" t="n">
        <f aca="false">D95/D84</f>
        <v>0.189589247962076</v>
      </c>
      <c r="E96" s="15" t="n">
        <f aca="false">E95/E84</f>
        <v>0.198291047165337</v>
      </c>
      <c r="F96" s="15" t="n">
        <f aca="false">F95/F84</f>
        <v>0.198320148059342</v>
      </c>
      <c r="G96" s="15" t="n">
        <f aca="false">G95/G84</f>
        <v>0.199251536314228</v>
      </c>
    </row>
    <row r="97" customFormat="false" ht="15" hidden="false" customHeight="false" outlineLevel="0" collapsed="false">
      <c r="A97" s="4" t="s">
        <v>427</v>
      </c>
      <c r="B97" s="0" t="s">
        <v>186</v>
      </c>
      <c r="C97" s="20" t="n">
        <f aca="false">a25_opx</f>
        <v>12.78848</v>
      </c>
      <c r="D97" s="20" t="n">
        <f aca="false">a26_opx</f>
        <v>17.956088</v>
      </c>
      <c r="E97" s="20" t="n">
        <f aca="false">D97*(1+MAX(0,phi*E90))</f>
        <v>24.2548060293549</v>
      </c>
      <c r="F97" s="20" t="n">
        <f aca="false">E97*(1+MAX(0,phi*F90))</f>
        <v>26.217756997778</v>
      </c>
      <c r="G97" s="20" t="n">
        <f aca="false">F97*(1+MAX(0,phi*G90))</f>
        <v>28.2929528412671</v>
      </c>
    </row>
    <row r="98" customFormat="false" ht="15" hidden="false" customHeight="false" outlineLevel="0" collapsed="false">
      <c r="A98" s="4" t="s">
        <v>324</v>
      </c>
      <c r="B98" s="0" t="s">
        <v>186</v>
      </c>
      <c r="C98" s="20" t="n">
        <f aca="false">C97</f>
        <v>12.78848</v>
      </c>
      <c r="D98" s="20" t="n">
        <f aca="false">D97</f>
        <v>17.956088</v>
      </c>
      <c r="E98" s="20" t="n">
        <f aca="false">E97+0*E84</f>
        <v>24.2548060293549</v>
      </c>
      <c r="F98" s="20" t="n">
        <f aca="false">F97+0*F84</f>
        <v>26.217756997778</v>
      </c>
      <c r="G98" s="20" t="n">
        <f aca="false">G97+0*G84</f>
        <v>28.2929528412671</v>
      </c>
    </row>
    <row r="99" customFormat="false" ht="15" hidden="false" customHeight="false" outlineLevel="0" collapsed="false">
      <c r="A99" s="4" t="s">
        <v>326</v>
      </c>
      <c r="B99" s="0" t="s">
        <v>186</v>
      </c>
      <c r="C99" s="20" t="n">
        <f aca="false">C95-C98</f>
        <v>32.132608</v>
      </c>
      <c r="D99" s="20" t="n">
        <f aca="false">D95-D98</f>
        <v>59.919819</v>
      </c>
      <c r="E99" s="20" t="n">
        <f aca="false">E95-E98</f>
        <v>104.814620422778</v>
      </c>
      <c r="F99" s="20" t="n">
        <f aca="false">F95-F98</f>
        <v>120.282565337862</v>
      </c>
      <c r="G99" s="20" t="n">
        <f aca="false">G95-G98</f>
        <v>138.312552498911</v>
      </c>
    </row>
    <row r="100" customFormat="false" ht="15" hidden="false" customHeight="false" outlineLevel="0" collapsed="false">
      <c r="A100" s="4" t="s">
        <v>328</v>
      </c>
      <c r="B100" s="0" t="s">
        <v>103</v>
      </c>
      <c r="C100" s="15" t="n">
        <f aca="false">C99/C84</f>
        <v>0.1294</v>
      </c>
      <c r="D100" s="15" t="n">
        <f aca="false">D99/D84</f>
        <v>0.145875070478906</v>
      </c>
      <c r="E100" s="15" t="n">
        <f aca="false">E99/E84</f>
        <v>0.161028071582683</v>
      </c>
      <c r="F100" s="15" t="n">
        <f aca="false">F99/F84</f>
        <v>0.162828694070109</v>
      </c>
      <c r="G100" s="15" t="n">
        <f aca="false">G99/G84</f>
        <v>0.165414633332073</v>
      </c>
    </row>
    <row r="101" customFormat="false" ht="17.15" hidden="false" customHeight="false" outlineLevel="0" collapsed="false">
      <c r="A101" s="4" t="s">
        <v>224</v>
      </c>
      <c r="B101" s="0" t="s">
        <v>76</v>
      </c>
      <c r="C101" s="16" t="n">
        <f aca="false">a25_ni/a25_oi</f>
        <v>0.819790289042209</v>
      </c>
      <c r="D101" s="16" t="n">
        <f aca="false">a26_ni/a26_oi</f>
        <v>0.798164213413262</v>
      </c>
      <c r="E101" s="16" t="n">
        <f aca="false">nio_f</f>
        <v>0.8</v>
      </c>
      <c r="F101" s="16" t="n">
        <f aca="false">nio_f</f>
        <v>0.8</v>
      </c>
      <c r="G101" s="16" t="n">
        <f aca="false">nio_f</f>
        <v>0.8</v>
      </c>
    </row>
    <row r="102" customFormat="false" ht="15" hidden="false" customHeight="false" outlineLevel="0" collapsed="false">
      <c r="A102" s="4" t="s">
        <v>329</v>
      </c>
      <c r="B102" s="0" t="s">
        <v>186</v>
      </c>
      <c r="C102" s="20" t="n">
        <f aca="false">a25_ni</f>
        <v>26.342</v>
      </c>
      <c r="D102" s="20" t="n">
        <f aca="false">a26_ni</f>
        <v>47.8258552</v>
      </c>
      <c r="E102" s="20" t="n">
        <f aca="false">E99*E101</f>
        <v>83.8516963382226</v>
      </c>
      <c r="F102" s="20" t="n">
        <f aca="false">F99*F101</f>
        <v>96.2260522702898</v>
      </c>
      <c r="G102" s="20" t="n">
        <f aca="false">G99*G101</f>
        <v>110.650041999129</v>
      </c>
    </row>
    <row r="103" customFormat="false" ht="15" hidden="false" customHeight="false" outlineLevel="0" collapsed="false">
      <c r="A103" s="4" t="s">
        <v>428</v>
      </c>
      <c r="B103" s="4" t="s">
        <v>211</v>
      </c>
      <c r="C103" s="17" t="n">
        <f aca="false">a25_sh</f>
        <v>0.558922130277955</v>
      </c>
      <c r="D103" s="17" t="n">
        <f aca="false">a26_sh</f>
        <v>0.558904899135447</v>
      </c>
      <c r="E103" s="17" t="n">
        <f aca="false">D103*(1+sh_g27)</f>
        <v>0.568853406340058</v>
      </c>
      <c r="F103" s="17" t="n">
        <f aca="false">E103*(1+sh_g)</f>
        <v>0.568853406340058</v>
      </c>
      <c r="G103" s="17" t="n">
        <f aca="false">F103*(1+sh_g)</f>
        <v>0.568853406340058</v>
      </c>
    </row>
    <row r="104" customFormat="false" ht="15" hidden="false" customHeight="false" outlineLevel="0" collapsed="false">
      <c r="A104" s="0" t="s">
        <v>334</v>
      </c>
      <c r="B104" s="0" t="s">
        <v>244</v>
      </c>
      <c r="C104" s="14" t="n">
        <f aca="false">C102/C103</f>
        <v>47.13</v>
      </c>
      <c r="D104" s="14" t="n">
        <f aca="false">D102/D103</f>
        <v>85.5706494503455</v>
      </c>
      <c r="E104" s="14" t="n">
        <f aca="false">E102/E103</f>
        <v>147.404753849881</v>
      </c>
      <c r="F104" s="14" t="n">
        <f aca="false">F102/F103</f>
        <v>169.157908167234</v>
      </c>
      <c r="G104" s="14" t="n">
        <f aca="false">G102/G103</f>
        <v>194.514159124122</v>
      </c>
    </row>
    <row r="105" customFormat="false" ht="17.15" hidden="false" customHeight="false" outlineLevel="0" collapsed="false">
      <c r="A105" s="0" t="s">
        <v>429</v>
      </c>
      <c r="B105" s="0" t="s">
        <v>103</v>
      </c>
      <c r="D105" s="18" t="n">
        <f aca="false">D104/C104-1</f>
        <v>0.815630160202535</v>
      </c>
      <c r="E105" s="18" t="n">
        <f aca="false">E104/D104-1</f>
        <v>0.72260880099334</v>
      </c>
      <c r="F105" s="18" t="n">
        <f aca="false">F104/E104-1</f>
        <v>0.147574306453554</v>
      </c>
      <c r="G105" s="18" t="n">
        <f aca="false">G104/F104-1</f>
        <v>0.149896929038754</v>
      </c>
    </row>
    <row r="108" customFormat="false" ht="17.15" hidden="false" customHeight="false" outlineLevel="0" collapsed="false">
      <c r="A108" s="1" t="s">
        <v>430</v>
      </c>
    </row>
    <row r="109" customFormat="false" ht="17.15" hidden="false" customHeight="false" outlineLevel="0" collapsed="false">
      <c r="A109" s="5" t="s">
        <v>21</v>
      </c>
      <c r="B109" s="5" t="s">
        <v>22</v>
      </c>
      <c r="C109" s="12" t="s">
        <v>309</v>
      </c>
      <c r="D109" s="12" t="s">
        <v>371</v>
      </c>
      <c r="E109" s="12" t="s">
        <v>372</v>
      </c>
      <c r="F109" s="12" t="s">
        <v>373</v>
      </c>
      <c r="G109" s="12" t="s">
        <v>374</v>
      </c>
      <c r="H109" s="5" t="s">
        <v>350</v>
      </c>
    </row>
    <row r="110" customFormat="false" ht="17.15" hidden="false" customHeight="false" outlineLevel="0" collapsed="false">
      <c r="A110" s="6" t="s">
        <v>389</v>
      </c>
    </row>
    <row r="111" customFormat="false" ht="17.15" hidden="false" customHeight="false" outlineLevel="0" collapsed="false">
      <c r="A111" s="4" t="s">
        <v>390</v>
      </c>
      <c r="B111" s="0" t="s">
        <v>186</v>
      </c>
      <c r="C111" s="20" t="n">
        <f aca="false">a25_rev*nap25s</f>
        <v>156.4416</v>
      </c>
      <c r="D111" s="20" t="n">
        <f aca="false">a26_rev*ns26</f>
        <v>205.3806</v>
      </c>
    </row>
    <row r="112" customFormat="false" ht="17.15" hidden="false" customHeight="false" outlineLevel="0" collapsed="false">
      <c r="A112" s="4" t="s">
        <v>391</v>
      </c>
      <c r="B112" s="0" t="s">
        <v>186</v>
      </c>
      <c r="C112" s="20" t="n">
        <f aca="false">a25_rev*(1-nap25s-sw25s*af25)</f>
        <v>41.22112</v>
      </c>
      <c r="D112" s="20" t="n">
        <f aca="false">C112*(1+g_nai26)</f>
        <v>45.343232</v>
      </c>
    </row>
    <row r="113" customFormat="false" ht="17.15" hidden="false" customHeight="false" outlineLevel="0" collapsed="false">
      <c r="A113" s="0" t="s">
        <v>392</v>
      </c>
      <c r="B113" s="0" t="s">
        <v>186</v>
      </c>
      <c r="C113" s="20" t="n">
        <f aca="false">a25_rev*sw25s*af25</f>
        <v>50.65728</v>
      </c>
      <c r="D113" s="20" t="n">
        <f aca="false">a26_rev-D111-D112</f>
        <v>160.037368</v>
      </c>
      <c r="H113" s="8" t="s">
        <v>393</v>
      </c>
    </row>
    <row r="114" customFormat="false" ht="17.15" hidden="false" customHeight="false" outlineLevel="0" collapsed="false">
      <c r="A114" s="6" t="s">
        <v>394</v>
      </c>
    </row>
    <row r="115" customFormat="false" ht="17.15" hidden="false" customHeight="false" outlineLevel="0" collapsed="false">
      <c r="A115" s="0" t="s">
        <v>395</v>
      </c>
      <c r="B115" s="0" t="s">
        <v>32</v>
      </c>
      <c r="D115" s="14" t="n">
        <f aca="false">mkt_26*1</f>
        <v>32.0719</v>
      </c>
      <c r="E115" s="14" t="n">
        <f aca="false">mkt_27*1*1</f>
        <v>61.085</v>
      </c>
      <c r="F115" s="14" t="n">
        <f aca="false">mkt_28*um28_B*1</f>
        <v>55.204</v>
      </c>
      <c r="G115" s="14" t="n">
        <f aca="false">mkt_29*um29_B*1</f>
        <v>66.7098275</v>
      </c>
    </row>
    <row r="116" customFormat="false" ht="15" hidden="false" customHeight="false" outlineLevel="0" collapsed="false">
      <c r="A116" s="4" t="s">
        <v>396</v>
      </c>
      <c r="B116" s="0" t="s">
        <v>103</v>
      </c>
      <c r="D116" s="18" t="n">
        <f aca="false">eth_26</f>
        <v>0.75</v>
      </c>
      <c r="E116" s="18" t="n">
        <f aca="false">eth_27</f>
        <v>0.8</v>
      </c>
      <c r="F116" s="18" t="n">
        <f aca="false">eth_28</f>
        <v>0.83</v>
      </c>
      <c r="G116" s="18" t="n">
        <f aca="false">eth_29</f>
        <v>0.85</v>
      </c>
    </row>
    <row r="117" customFormat="false" ht="17.15" hidden="false" customHeight="false" outlineLevel="0" collapsed="false">
      <c r="A117" s="4" t="s">
        <v>397</v>
      </c>
      <c r="B117" s="0" t="s">
        <v>32</v>
      </c>
      <c r="D117" s="14" t="n">
        <f aca="false">su_26*1</f>
        <v>3.015</v>
      </c>
      <c r="E117" s="14" t="n">
        <f aca="false">su_27*1*1</f>
        <v>11.3414</v>
      </c>
      <c r="F117" s="14" t="n">
        <f aca="false">su_28*um28_B*1</f>
        <v>11.11616</v>
      </c>
      <c r="G117" s="14" t="n">
        <f aca="false">su_29*um29_B*1</f>
        <v>13.582558</v>
      </c>
    </row>
    <row r="118" customFormat="false" ht="17.15" hidden="false" customHeight="false" outlineLevel="0" collapsed="false">
      <c r="A118" s="0" t="s">
        <v>398</v>
      </c>
      <c r="B118" s="0" t="s">
        <v>32</v>
      </c>
      <c r="D118" s="14" t="n">
        <f aca="false">D115*D116+D117</f>
        <v>27.068925</v>
      </c>
      <c r="E118" s="14" t="n">
        <f aca="false">E115*E116+E117</f>
        <v>60.2094</v>
      </c>
      <c r="F118" s="14" t="n">
        <f aca="false">F115*F116+F117</f>
        <v>56.93548</v>
      </c>
      <c r="G118" s="14" t="n">
        <f aca="false">G115*G116+G117</f>
        <v>70.285911375</v>
      </c>
    </row>
    <row r="119" customFormat="false" ht="15" hidden="false" customHeight="false" outlineLevel="0" collapsed="false">
      <c r="A119" s="4" t="s">
        <v>355</v>
      </c>
      <c r="B119" s="0" t="s">
        <v>103</v>
      </c>
      <c r="D119" s="18" t="n">
        <f aca="false">wb_26</f>
        <v>0.45</v>
      </c>
      <c r="E119" s="18" t="n">
        <f aca="false">wb_27</f>
        <v>0.47</v>
      </c>
      <c r="F119" s="18" t="n">
        <f aca="false">wb_28</f>
        <v>0.48</v>
      </c>
      <c r="G119" s="18" t="n">
        <f aca="false">wb_29</f>
        <v>0.5</v>
      </c>
    </row>
    <row r="120" customFormat="false" ht="17.15" hidden="false" customHeight="false" outlineLevel="0" collapsed="false">
      <c r="A120" s="4" t="s">
        <v>357</v>
      </c>
      <c r="B120" s="0" t="s">
        <v>32</v>
      </c>
      <c r="D120" s="14" t="n">
        <f aca="false">D118*D119</f>
        <v>12.18101625</v>
      </c>
      <c r="E120" s="14" t="n">
        <f aca="false">E118*E119</f>
        <v>28.298418</v>
      </c>
      <c r="F120" s="14" t="n">
        <f aca="false">F118*F119</f>
        <v>27.3290304</v>
      </c>
      <c r="G120" s="14" t="n">
        <f aca="false">G118*G119</f>
        <v>35.1429556875</v>
      </c>
    </row>
    <row r="121" customFormat="false" ht="17.15" hidden="false" customHeight="false" outlineLevel="0" collapsed="false">
      <c r="A121" s="4" t="s">
        <v>399</v>
      </c>
      <c r="B121" s="0" t="s">
        <v>103</v>
      </c>
      <c r="D121" s="18" t="n">
        <f aca="false">D113/fx/D120</f>
        <v>0.410570649226414</v>
      </c>
      <c r="H121" s="8" t="s">
        <v>400</v>
      </c>
    </row>
    <row r="122" customFormat="false" ht="17.15" hidden="false" customHeight="false" outlineLevel="0" collapsed="false">
      <c r="A122" s="4" t="s">
        <v>401</v>
      </c>
      <c r="B122" s="0" t="s">
        <v>76</v>
      </c>
      <c r="D122" s="19" t="n">
        <f aca="false">1</f>
        <v>1</v>
      </c>
      <c r="E122" s="19" t="n">
        <f aca="false">rel_27</f>
        <v>1</v>
      </c>
      <c r="F122" s="19" t="n">
        <f aca="false">rel_28</f>
        <v>0.95</v>
      </c>
      <c r="G122" s="19" t="n">
        <f aca="false">rel_29</f>
        <v>0.92</v>
      </c>
    </row>
    <row r="123" customFormat="false" ht="15" hidden="false" customHeight="false" outlineLevel="0" collapsed="false">
      <c r="A123" s="4" t="s">
        <v>402</v>
      </c>
      <c r="B123" s="0" t="s">
        <v>103</v>
      </c>
      <c r="D123" s="18" t="n">
        <f aca="false">$D$121*D122</f>
        <v>0.410570649226414</v>
      </c>
      <c r="E123" s="18" t="n">
        <f aca="false">$D$121*E122</f>
        <v>0.410570649226414</v>
      </c>
      <c r="F123" s="18" t="n">
        <f aca="false">$D$121*F122</f>
        <v>0.390042116765093</v>
      </c>
      <c r="G123" s="18" t="n">
        <f aca="false">$D$121*G122</f>
        <v>0.377724997288301</v>
      </c>
    </row>
    <row r="124" customFormat="false" ht="17.15" hidden="false" customHeight="false" outlineLevel="0" collapsed="false">
      <c r="A124" s="0" t="s">
        <v>403</v>
      </c>
      <c r="B124" s="0" t="s">
        <v>186</v>
      </c>
      <c r="C124" s="20" t="n">
        <f aca="false">C113</f>
        <v>50.65728</v>
      </c>
      <c r="D124" s="20" t="n">
        <f aca="false">D120*D123*fx</f>
        <v>160.037368</v>
      </c>
      <c r="E124" s="20" t="n">
        <f aca="false">E120*E123*fx</f>
        <v>371.791995210894</v>
      </c>
      <c r="F124" s="20" t="n">
        <f aca="false">F120*F123*fx</f>
        <v>341.103131723315</v>
      </c>
      <c r="G124" s="20" t="n">
        <f aca="false">G120*G123*fx</f>
        <v>424.779930936442</v>
      </c>
    </row>
    <row r="125" customFormat="false" ht="17.15" hidden="false" customHeight="false" outlineLevel="0" collapsed="false">
      <c r="A125" s="6" t="s">
        <v>404</v>
      </c>
    </row>
    <row r="126" customFormat="false" ht="17.15" hidden="false" customHeight="false" outlineLevel="0" collapsed="false">
      <c r="A126" s="0" t="s">
        <v>405</v>
      </c>
      <c r="B126" s="4" t="s">
        <v>55</v>
      </c>
      <c r="D126" s="19" t="n">
        <f aca="false">trn_26*1</f>
        <v>2</v>
      </c>
      <c r="E126" s="19" t="n">
        <f aca="false">trn_27*1*1</f>
        <v>2.5</v>
      </c>
      <c r="F126" s="19" t="n">
        <f aca="false">trn_28*um28_B*1</f>
        <v>2.4</v>
      </c>
      <c r="G126" s="19" t="n">
        <f aca="false">trn_29*um29_B*1</f>
        <v>2.9325</v>
      </c>
    </row>
    <row r="127" customFormat="false" ht="17.15" hidden="false" customHeight="false" outlineLevel="0" collapsed="false">
      <c r="A127" s="4" t="s">
        <v>406</v>
      </c>
      <c r="B127" s="4" t="s">
        <v>407</v>
      </c>
      <c r="D127" s="20" t="n">
        <f aca="false">D111/D126</f>
        <v>102.6903</v>
      </c>
      <c r="H127" s="8" t="s">
        <v>408</v>
      </c>
    </row>
    <row r="128" customFormat="false" ht="17.15" hidden="false" customHeight="false" outlineLevel="0" collapsed="false">
      <c r="A128" s="4" t="s">
        <v>409</v>
      </c>
      <c r="B128" s="0" t="s">
        <v>76</v>
      </c>
      <c r="D128" s="19" t="n">
        <f aca="false">1</f>
        <v>1</v>
      </c>
      <c r="E128" s="19" t="n">
        <f aca="false">nrel_27</f>
        <v>0.9</v>
      </c>
      <c r="F128" s="19" t="n">
        <f aca="false">nrel_28</f>
        <v>0.85</v>
      </c>
      <c r="G128" s="19" t="n">
        <f aca="false">nrel_29</f>
        <v>0.8</v>
      </c>
    </row>
    <row r="129" customFormat="false" ht="15" hidden="false" customHeight="false" outlineLevel="0" collapsed="false">
      <c r="A129" s="4" t="s">
        <v>410</v>
      </c>
      <c r="B129" s="0" t="s">
        <v>186</v>
      </c>
      <c r="C129" s="20" t="n">
        <f aca="false">C111</f>
        <v>156.4416</v>
      </c>
      <c r="D129" s="20" t="n">
        <f aca="false">D126*$D$127*D128</f>
        <v>205.3806</v>
      </c>
      <c r="E129" s="20" t="n">
        <f aca="false">E126*$D$127*E128</f>
        <v>231.053175</v>
      </c>
      <c r="F129" s="20" t="n">
        <f aca="false">F126*$D$127*F128</f>
        <v>209.488212</v>
      </c>
      <c r="G129" s="20" t="n">
        <f aca="false">G126*$D$127*G128</f>
        <v>240.9114438</v>
      </c>
    </row>
    <row r="130" customFormat="false" ht="17.15" hidden="false" customHeight="false" outlineLevel="0" collapsed="false">
      <c r="A130" s="6" t="s">
        <v>411</v>
      </c>
    </row>
    <row r="131" customFormat="false" ht="17.15" hidden="false" customHeight="false" outlineLevel="0" collapsed="false">
      <c r="A131" s="4" t="s">
        <v>412</v>
      </c>
      <c r="B131" s="0" t="s">
        <v>186</v>
      </c>
      <c r="C131" s="20" t="n">
        <f aca="false">C112</f>
        <v>41.22112</v>
      </c>
      <c r="D131" s="20" t="n">
        <f aca="false">D112</f>
        <v>45.343232</v>
      </c>
      <c r="E131" s="20" t="n">
        <f aca="false">D131*(1+g_nai27)</f>
        <v>48.06382592</v>
      </c>
      <c r="F131" s="20" t="n">
        <f aca="false">E131*(1+g_nai28)</f>
        <v>50.467017216</v>
      </c>
      <c r="G131" s="20" t="n">
        <f aca="false">F131*(1+g_nai29)</f>
        <v>52.9903680768</v>
      </c>
    </row>
    <row r="132" customFormat="false" ht="15" hidden="false" customHeight="false" outlineLevel="0" collapsed="false">
      <c r="A132" s="4" t="s">
        <v>316</v>
      </c>
      <c r="B132" s="0" t="s">
        <v>186</v>
      </c>
      <c r="C132" s="20" t="n">
        <f aca="false">C124+C129+C131</f>
        <v>248.32</v>
      </c>
      <c r="D132" s="20" t="n">
        <f aca="false">D124+D129+D131</f>
        <v>410.7612</v>
      </c>
      <c r="E132" s="20" t="n">
        <f aca="false">E124+E129+E131</f>
        <v>650.908996130894</v>
      </c>
      <c r="F132" s="20" t="n">
        <f aca="false">F124+F129+F131</f>
        <v>601.058360939315</v>
      </c>
      <c r="G132" s="20" t="n">
        <f aca="false">G124+G129+G131</f>
        <v>718.681742813242</v>
      </c>
    </row>
    <row r="133" customFormat="false" ht="17.15" hidden="false" customHeight="false" outlineLevel="0" collapsed="false">
      <c r="A133" s="4" t="s">
        <v>413</v>
      </c>
      <c r="B133" s="0" t="s">
        <v>103</v>
      </c>
      <c r="C133" s="18" t="n">
        <f aca="false">sw25s*(1-af25)/(1-nap25s-sw25s*af25)</f>
        <v>0.819277108433735</v>
      </c>
      <c r="H133" s="8" t="s">
        <v>414</v>
      </c>
    </row>
    <row r="134" customFormat="false" ht="17.15" hidden="false" customHeight="false" outlineLevel="0" collapsed="false">
      <c r="A134" s="4" t="s">
        <v>415</v>
      </c>
      <c r="B134" s="0" t="s">
        <v>186</v>
      </c>
      <c r="C134" s="20" t="n">
        <f aca="false">C131*$C$133</f>
        <v>33.77152</v>
      </c>
      <c r="D134" s="20" t="n">
        <f aca="false">D131*$C$133</f>
        <v>37.148672</v>
      </c>
      <c r="E134" s="20" t="n">
        <f aca="false">E131*$C$133</f>
        <v>39.37759232</v>
      </c>
      <c r="F134" s="20" t="n">
        <f aca="false">F131*$C$133</f>
        <v>41.346471936</v>
      </c>
      <c r="G134" s="20" t="n">
        <f aca="false">G131*$C$133</f>
        <v>43.4137955328</v>
      </c>
    </row>
    <row r="135" customFormat="false" ht="17.15" hidden="false" customHeight="false" outlineLevel="0" collapsed="false">
      <c r="A135" s="4" t="s">
        <v>416</v>
      </c>
      <c r="B135" s="0" t="s">
        <v>186</v>
      </c>
      <c r="C135" s="20" t="n">
        <f aca="false">C124+C134</f>
        <v>84.4288</v>
      </c>
      <c r="D135" s="20" t="n">
        <f aca="false">D124+D134</f>
        <v>197.18604</v>
      </c>
      <c r="E135" s="20" t="n">
        <f aca="false">E124+E134</f>
        <v>411.169587530894</v>
      </c>
      <c r="F135" s="20" t="n">
        <f aca="false">F124+F134</f>
        <v>382.449603659315</v>
      </c>
      <c r="G135" s="20" t="n">
        <f aca="false">G124+G134</f>
        <v>468.193726469242</v>
      </c>
      <c r="H135" s="4" t="s">
        <v>417</v>
      </c>
    </row>
    <row r="136" customFormat="false" ht="17.15" hidden="false" customHeight="false" outlineLevel="0" collapsed="false">
      <c r="A136" s="4" t="s">
        <v>418</v>
      </c>
      <c r="B136" s="0" t="s">
        <v>186</v>
      </c>
      <c r="C136" s="20" t="n">
        <f aca="false">C131-C134</f>
        <v>7.44959999999999</v>
      </c>
      <c r="D136" s="20" t="n">
        <f aca="false">D131-D134</f>
        <v>8.19455999999999</v>
      </c>
      <c r="E136" s="20" t="n">
        <f aca="false">E131-E134</f>
        <v>8.68623359999999</v>
      </c>
      <c r="F136" s="20" t="n">
        <f aca="false">F131-F134</f>
        <v>9.12054527999999</v>
      </c>
      <c r="G136" s="20" t="n">
        <f aca="false">G131-G134</f>
        <v>9.57657254399999</v>
      </c>
      <c r="H136" s="4" t="s">
        <v>419</v>
      </c>
    </row>
    <row r="137" customFormat="false" ht="17.15" hidden="false" customHeight="false" outlineLevel="0" collapsed="false">
      <c r="A137" s="4" t="s">
        <v>420</v>
      </c>
      <c r="B137" s="0" t="s">
        <v>186</v>
      </c>
      <c r="C137" s="16" t="n">
        <f aca="false">C135+C129+C136-a25_rev</f>
        <v>0</v>
      </c>
      <c r="D137" s="16" t="n">
        <f aca="false">D135+D129+D136-D132</f>
        <v>0</v>
      </c>
      <c r="E137" s="16" t="n">
        <f aca="false">E135+E129+E136-E132</f>
        <v>0</v>
      </c>
      <c r="F137" s="16" t="n">
        <f aca="false">F135+F129+F136-F132</f>
        <v>0</v>
      </c>
      <c r="G137" s="16" t="n">
        <f aca="false">G135+G129+G136-G132</f>
        <v>0</v>
      </c>
    </row>
    <row r="138" customFormat="false" ht="15" hidden="false" customHeight="false" outlineLevel="0" collapsed="false">
      <c r="A138" s="4" t="s">
        <v>421</v>
      </c>
      <c r="B138" s="0" t="s">
        <v>103</v>
      </c>
      <c r="D138" s="18" t="n">
        <f aca="false">D132/C132-1</f>
        <v>0.654160760309279</v>
      </c>
      <c r="E138" s="18" t="n">
        <f aca="false">E132/D132-1</f>
        <v>0.584640896294232</v>
      </c>
      <c r="F138" s="18" t="n">
        <f aca="false">F132/E132-1</f>
        <v>-0.0765861825353457</v>
      </c>
      <c r="G138" s="18" t="n">
        <f aca="false">G132/F132-1</f>
        <v>0.195693778704133</v>
      </c>
    </row>
    <row r="139" customFormat="false" ht="17.15" hidden="false" customHeight="false" outlineLevel="0" collapsed="false">
      <c r="A139" s="0" t="s">
        <v>422</v>
      </c>
      <c r="B139" s="0" t="s">
        <v>103</v>
      </c>
      <c r="C139" s="18" t="n">
        <f aca="false">(C124+C129)/C132</f>
        <v>0.834</v>
      </c>
      <c r="D139" s="18" t="n">
        <f aca="false">(D124+D129)/D132</f>
        <v>0.889611696528299</v>
      </c>
      <c r="E139" s="18" t="n">
        <f aca="false">(E124+E129)/E132</f>
        <v>0.926158915907294</v>
      </c>
      <c r="F139" s="18" t="n">
        <f aca="false">(F124+F129)/F132</f>
        <v>0.916036410944968</v>
      </c>
      <c r="G139" s="18" t="n">
        <f aca="false">(G124+G129)/G132</f>
        <v>0.926267268360858</v>
      </c>
    </row>
    <row r="140" customFormat="false" ht="17.15" hidden="false" customHeight="false" outlineLevel="0" collapsed="false">
      <c r="A140" s="4" t="s">
        <v>423</v>
      </c>
      <c r="B140" s="0" t="s">
        <v>103</v>
      </c>
      <c r="C140" s="18" t="n">
        <f aca="false">C129/C132</f>
        <v>0.63</v>
      </c>
      <c r="D140" s="18" t="n">
        <f aca="false">D129/D132</f>
        <v>0.5</v>
      </c>
      <c r="E140" s="18" t="n">
        <f aca="false">E129/E132</f>
        <v>0.354970013278994</v>
      </c>
      <c r="F140" s="18" t="n">
        <f aca="false">F129/F132</f>
        <v>0.348532231832893</v>
      </c>
      <c r="G140" s="18" t="n">
        <f aca="false">G129/G132</f>
        <v>0.335212973209761</v>
      </c>
    </row>
    <row r="141" customFormat="false" ht="17.15" hidden="false" customHeight="false" outlineLevel="0" collapsed="false">
      <c r="A141" s="6" t="s">
        <v>424</v>
      </c>
    </row>
    <row r="142" customFormat="false" ht="17.15" hidden="false" customHeight="false" outlineLevel="0" collapsed="false">
      <c r="A142" s="4" t="s">
        <v>425</v>
      </c>
      <c r="B142" s="0" t="s">
        <v>103</v>
      </c>
      <c r="D142" s="15" t="n">
        <f aca="false">a26_gp/a26_rev+d_nap*D140</f>
        <v>0.219589247962076</v>
      </c>
      <c r="H142" s="8" t="s">
        <v>426</v>
      </c>
    </row>
    <row r="143" customFormat="false" ht="15" hidden="false" customHeight="false" outlineLevel="0" collapsed="false">
      <c r="A143" s="4" t="s">
        <v>320</v>
      </c>
      <c r="B143" s="0" t="s">
        <v>186</v>
      </c>
      <c r="C143" s="20" t="n">
        <f aca="false">a25_gp</f>
        <v>44.921088</v>
      </c>
      <c r="D143" s="20" t="n">
        <f aca="false">a26_gp</f>
        <v>77.875907</v>
      </c>
      <c r="E143" s="20" t="n">
        <f aca="false">$D$142*(E124+E131)+($D$142-d_nap)*E129</f>
        <v>129.069426452133</v>
      </c>
      <c r="F143" s="20" t="n">
        <f aca="false">$D$142*(F124+F131)+($D$142-d_nap)*F129</f>
        <v>119.416660739982</v>
      </c>
      <c r="G143" s="20" t="n">
        <f aca="false">$D$142*(G124+G131)+($D$142-d_nap)*G129</f>
        <v>143.360096800434</v>
      </c>
    </row>
    <row r="144" customFormat="false" ht="15" hidden="false" customHeight="false" outlineLevel="0" collapsed="false">
      <c r="A144" s="4" t="s">
        <v>322</v>
      </c>
      <c r="B144" s="0" t="s">
        <v>103</v>
      </c>
      <c r="C144" s="15" t="n">
        <f aca="false">C143/C132</f>
        <v>0.1809</v>
      </c>
      <c r="D144" s="15" t="n">
        <f aca="false">D143/D132</f>
        <v>0.189589247962076</v>
      </c>
      <c r="E144" s="15" t="n">
        <f aca="false">E143/E132</f>
        <v>0.198291047165337</v>
      </c>
      <c r="F144" s="15" t="n">
        <f aca="false">F143/F132</f>
        <v>0.198677314052103</v>
      </c>
      <c r="G144" s="15" t="n">
        <f aca="false">G143/G132</f>
        <v>0.199476469569491</v>
      </c>
    </row>
    <row r="145" customFormat="false" ht="15" hidden="false" customHeight="false" outlineLevel="0" collapsed="false">
      <c r="A145" s="4" t="s">
        <v>427</v>
      </c>
      <c r="B145" s="0" t="s">
        <v>186</v>
      </c>
      <c r="C145" s="20" t="n">
        <f aca="false">a25_opx</f>
        <v>12.78848</v>
      </c>
      <c r="D145" s="20" t="n">
        <f aca="false">a26_opx</f>
        <v>17.956088</v>
      </c>
      <c r="E145" s="20" t="n">
        <f aca="false">D145*(1+MAX(0,phi*E138))</f>
        <v>24.2548060293549</v>
      </c>
      <c r="F145" s="20" t="n">
        <f aca="false">E145*(1+MAX(0,phi*F138))</f>
        <v>24.2548060293549</v>
      </c>
      <c r="G145" s="20" t="n">
        <f aca="false">F145*(1+MAX(0,phi*G138))</f>
        <v>27.102714815527</v>
      </c>
    </row>
    <row r="146" customFormat="false" ht="15" hidden="false" customHeight="false" outlineLevel="0" collapsed="false">
      <c r="A146" s="4" t="s">
        <v>324</v>
      </c>
      <c r="B146" s="0" t="s">
        <v>186</v>
      </c>
      <c r="C146" s="20" t="n">
        <f aca="false">C145</f>
        <v>12.78848</v>
      </c>
      <c r="D146" s="20" t="n">
        <f aca="false">D145</f>
        <v>17.956088</v>
      </c>
      <c r="E146" s="20" t="n">
        <f aca="false">E145+0*E132</f>
        <v>24.2548060293549</v>
      </c>
      <c r="F146" s="20" t="n">
        <f aca="false">F145+0*F132</f>
        <v>24.2548060293549</v>
      </c>
      <c r="G146" s="20" t="n">
        <f aca="false">G145+0*G132</f>
        <v>27.102714815527</v>
      </c>
    </row>
    <row r="147" customFormat="false" ht="15" hidden="false" customHeight="false" outlineLevel="0" collapsed="false">
      <c r="A147" s="4" t="s">
        <v>326</v>
      </c>
      <c r="B147" s="0" t="s">
        <v>186</v>
      </c>
      <c r="C147" s="20" t="n">
        <f aca="false">C143-C146</f>
        <v>32.132608</v>
      </c>
      <c r="D147" s="20" t="n">
        <f aca="false">D143-D146</f>
        <v>59.919819</v>
      </c>
      <c r="E147" s="20" t="n">
        <f aca="false">E143-E146</f>
        <v>104.814620422778</v>
      </c>
      <c r="F147" s="20" t="n">
        <f aca="false">F143-F146</f>
        <v>95.1618547106275</v>
      </c>
      <c r="G147" s="20" t="n">
        <f aca="false">G143-G146</f>
        <v>116.257381984907</v>
      </c>
    </row>
    <row r="148" customFormat="false" ht="15" hidden="false" customHeight="false" outlineLevel="0" collapsed="false">
      <c r="A148" s="4" t="s">
        <v>328</v>
      </c>
      <c r="B148" s="0" t="s">
        <v>103</v>
      </c>
      <c r="C148" s="15" t="n">
        <f aca="false">C147/C132</f>
        <v>0.1294</v>
      </c>
      <c r="D148" s="15" t="n">
        <f aca="false">D147/D132</f>
        <v>0.145875070478906</v>
      </c>
      <c r="E148" s="15" t="n">
        <f aca="false">E147/E132</f>
        <v>0.161028071582683</v>
      </c>
      <c r="F148" s="15" t="n">
        <f aca="false">F147/F132</f>
        <v>0.158323818276002</v>
      </c>
      <c r="G148" s="15" t="n">
        <f aca="false">G147/G132</f>
        <v>0.161764763259219</v>
      </c>
    </row>
    <row r="149" customFormat="false" ht="17.15" hidden="false" customHeight="false" outlineLevel="0" collapsed="false">
      <c r="A149" s="4" t="s">
        <v>224</v>
      </c>
      <c r="B149" s="0" t="s">
        <v>76</v>
      </c>
      <c r="C149" s="16" t="n">
        <f aca="false">a25_ni/a25_oi</f>
        <v>0.819790289042209</v>
      </c>
      <c r="D149" s="16" t="n">
        <f aca="false">a26_ni/a26_oi</f>
        <v>0.798164213413262</v>
      </c>
      <c r="E149" s="16" t="n">
        <f aca="false">nio_f</f>
        <v>0.8</v>
      </c>
      <c r="F149" s="16" t="n">
        <f aca="false">nio_f</f>
        <v>0.8</v>
      </c>
      <c r="G149" s="16" t="n">
        <f aca="false">nio_f</f>
        <v>0.8</v>
      </c>
    </row>
    <row r="150" customFormat="false" ht="15" hidden="false" customHeight="false" outlineLevel="0" collapsed="false">
      <c r="A150" s="4" t="s">
        <v>329</v>
      </c>
      <c r="B150" s="0" t="s">
        <v>186</v>
      </c>
      <c r="C150" s="20" t="n">
        <f aca="false">a25_ni</f>
        <v>26.342</v>
      </c>
      <c r="D150" s="20" t="n">
        <f aca="false">a26_ni</f>
        <v>47.8258552</v>
      </c>
      <c r="E150" s="20" t="n">
        <f aca="false">E147*E149</f>
        <v>83.8516963382226</v>
      </c>
      <c r="F150" s="20" t="n">
        <f aca="false">F147*F149</f>
        <v>76.129483768502</v>
      </c>
      <c r="G150" s="20" t="n">
        <f aca="false">G147*G149</f>
        <v>93.0059055879257</v>
      </c>
    </row>
    <row r="151" customFormat="false" ht="15" hidden="false" customHeight="false" outlineLevel="0" collapsed="false">
      <c r="A151" s="4" t="s">
        <v>428</v>
      </c>
      <c r="B151" s="4" t="s">
        <v>211</v>
      </c>
      <c r="C151" s="17" t="n">
        <f aca="false">a25_sh</f>
        <v>0.558922130277955</v>
      </c>
      <c r="D151" s="17" t="n">
        <f aca="false">a26_sh</f>
        <v>0.558904899135447</v>
      </c>
      <c r="E151" s="17" t="n">
        <f aca="false">D151*(1+sh_g27)</f>
        <v>0.568853406340058</v>
      </c>
      <c r="F151" s="17" t="n">
        <f aca="false">E151*(1+sh_g)</f>
        <v>0.568853406340058</v>
      </c>
      <c r="G151" s="17" t="n">
        <f aca="false">F151*(1+sh_g)</f>
        <v>0.568853406340058</v>
      </c>
    </row>
    <row r="152" customFormat="false" ht="15" hidden="false" customHeight="false" outlineLevel="0" collapsed="false">
      <c r="A152" s="0" t="s">
        <v>334</v>
      </c>
      <c r="B152" s="0" t="s">
        <v>244</v>
      </c>
      <c r="C152" s="14" t="n">
        <f aca="false">C150/C151</f>
        <v>47.13</v>
      </c>
      <c r="D152" s="14" t="n">
        <f aca="false">D150/D151</f>
        <v>85.5706494503455</v>
      </c>
      <c r="E152" s="14" t="n">
        <f aca="false">E150/E151</f>
        <v>147.404753849881</v>
      </c>
      <c r="F152" s="14" t="n">
        <f aca="false">F150/F151</f>
        <v>133.829705368754</v>
      </c>
      <c r="G152" s="14" t="n">
        <f aca="false">G150/G151</f>
        <v>163.497141005652</v>
      </c>
    </row>
    <row r="153" customFormat="false" ht="17.15" hidden="false" customHeight="false" outlineLevel="0" collapsed="false">
      <c r="A153" s="0" t="s">
        <v>429</v>
      </c>
      <c r="B153" s="0" t="s">
        <v>103</v>
      </c>
      <c r="D153" s="18" t="n">
        <f aca="false">D152/C152-1</f>
        <v>0.815630160202535</v>
      </c>
      <c r="E153" s="18" t="n">
        <f aca="false">E152/D152-1</f>
        <v>0.72260880099334</v>
      </c>
      <c r="F153" s="18" t="n">
        <f aca="false">F152/E152-1</f>
        <v>-0.0920936952613626</v>
      </c>
      <c r="G153" s="18" t="n">
        <f aca="false">G152/F152-1</f>
        <v>0.221680497279377</v>
      </c>
    </row>
    <row r="156" customFormat="false" ht="17.15" hidden="false" customHeight="false" outlineLevel="0" collapsed="false">
      <c r="A156" s="1" t="s">
        <v>431</v>
      </c>
    </row>
    <row r="157" customFormat="false" ht="17.15" hidden="false" customHeight="false" outlineLevel="0" collapsed="false">
      <c r="A157" s="5" t="s">
        <v>21</v>
      </c>
      <c r="B157" s="5" t="s">
        <v>22</v>
      </c>
      <c r="C157" s="12" t="s">
        <v>309</v>
      </c>
      <c r="D157" s="12" t="s">
        <v>371</v>
      </c>
      <c r="E157" s="12" t="s">
        <v>372</v>
      </c>
      <c r="F157" s="12" t="s">
        <v>373</v>
      </c>
      <c r="G157" s="12" t="s">
        <v>374</v>
      </c>
      <c r="H157" s="5" t="s">
        <v>350</v>
      </c>
    </row>
    <row r="158" customFormat="false" ht="17.15" hidden="false" customHeight="false" outlineLevel="0" collapsed="false">
      <c r="A158" s="6" t="s">
        <v>389</v>
      </c>
    </row>
    <row r="159" customFormat="false" ht="17.15" hidden="false" customHeight="false" outlineLevel="0" collapsed="false">
      <c r="A159" s="4" t="s">
        <v>390</v>
      </c>
      <c r="B159" s="0" t="s">
        <v>186</v>
      </c>
      <c r="C159" s="20" t="n">
        <f aca="false">a25_rev*nap25s</f>
        <v>156.4416</v>
      </c>
      <c r="D159" s="20" t="n">
        <f aca="false">a26_rev*ns26</f>
        <v>205.3806</v>
      </c>
    </row>
    <row r="160" customFormat="false" ht="17.15" hidden="false" customHeight="false" outlineLevel="0" collapsed="false">
      <c r="A160" s="4" t="s">
        <v>391</v>
      </c>
      <c r="B160" s="0" t="s">
        <v>186</v>
      </c>
      <c r="C160" s="20" t="n">
        <f aca="false">a25_rev*(1-nap25s-sw25s*af25)</f>
        <v>41.22112</v>
      </c>
      <c r="D160" s="20" t="n">
        <f aca="false">C160*(1+g_nai26)</f>
        <v>45.343232</v>
      </c>
    </row>
    <row r="161" customFormat="false" ht="17.15" hidden="false" customHeight="false" outlineLevel="0" collapsed="false">
      <c r="A161" s="0" t="s">
        <v>392</v>
      </c>
      <c r="B161" s="0" t="s">
        <v>186</v>
      </c>
      <c r="C161" s="20" t="n">
        <f aca="false">a25_rev*sw25s*af25</f>
        <v>50.65728</v>
      </c>
      <c r="D161" s="20" t="n">
        <f aca="false">a26_rev-D159-D160</f>
        <v>160.037368</v>
      </c>
      <c r="H161" s="8" t="s">
        <v>393</v>
      </c>
    </row>
    <row r="162" customFormat="false" ht="17.15" hidden="false" customHeight="false" outlineLevel="0" collapsed="false">
      <c r="A162" s="6" t="s">
        <v>394</v>
      </c>
    </row>
    <row r="163" customFormat="false" ht="17.15" hidden="false" customHeight="false" outlineLevel="0" collapsed="false">
      <c r="A163" s="0" t="s">
        <v>395</v>
      </c>
      <c r="B163" s="0" t="s">
        <v>32</v>
      </c>
      <c r="D163" s="14" t="n">
        <f aca="false">mkt_26*1</f>
        <v>32.0719</v>
      </c>
      <c r="E163" s="14" t="n">
        <f aca="false">mkt_27*1*1</f>
        <v>61.085</v>
      </c>
      <c r="F163" s="14" t="n">
        <f aca="false">mkt_28*um28_C*1</f>
        <v>41.403</v>
      </c>
      <c r="G163" s="14" t="n">
        <f aca="false">mkt_29*um29_C*1</f>
        <v>47.08929</v>
      </c>
    </row>
    <row r="164" customFormat="false" ht="15" hidden="false" customHeight="false" outlineLevel="0" collapsed="false">
      <c r="A164" s="4" t="s">
        <v>396</v>
      </c>
      <c r="B164" s="0" t="s">
        <v>103</v>
      </c>
      <c r="D164" s="18" t="n">
        <f aca="false">eth_26</f>
        <v>0.75</v>
      </c>
      <c r="E164" s="18" t="n">
        <f aca="false">eth_27</f>
        <v>0.8</v>
      </c>
      <c r="F164" s="18" t="n">
        <f aca="false">eth_28</f>
        <v>0.83</v>
      </c>
      <c r="G164" s="18" t="n">
        <f aca="false">eth_29</f>
        <v>0.85</v>
      </c>
    </row>
    <row r="165" customFormat="false" ht="17.15" hidden="false" customHeight="false" outlineLevel="0" collapsed="false">
      <c r="A165" s="4" t="s">
        <v>397</v>
      </c>
      <c r="B165" s="0" t="s">
        <v>32</v>
      </c>
      <c r="D165" s="14" t="n">
        <f aca="false">su_26*1</f>
        <v>3.015</v>
      </c>
      <c r="E165" s="14" t="n">
        <f aca="false">su_27*1*1</f>
        <v>11.3414</v>
      </c>
      <c r="F165" s="14" t="n">
        <f aca="false">su_28*um28_C*1</f>
        <v>8.33712</v>
      </c>
      <c r="G165" s="14" t="n">
        <f aca="false">su_29*um29_C*1</f>
        <v>9.587688</v>
      </c>
    </row>
    <row r="166" customFormat="false" ht="17.15" hidden="false" customHeight="false" outlineLevel="0" collapsed="false">
      <c r="A166" s="0" t="s">
        <v>398</v>
      </c>
      <c r="B166" s="0" t="s">
        <v>32</v>
      </c>
      <c r="D166" s="14" t="n">
        <f aca="false">D163*D164+D165</f>
        <v>27.068925</v>
      </c>
      <c r="E166" s="14" t="n">
        <f aca="false">E163*E164+E165</f>
        <v>60.2094</v>
      </c>
      <c r="F166" s="14" t="n">
        <f aca="false">F163*F164+F165</f>
        <v>42.70161</v>
      </c>
      <c r="G166" s="14" t="n">
        <f aca="false">G163*G164+G165</f>
        <v>49.6135845</v>
      </c>
    </row>
    <row r="167" customFormat="false" ht="15" hidden="false" customHeight="false" outlineLevel="0" collapsed="false">
      <c r="A167" s="4" t="s">
        <v>355</v>
      </c>
      <c r="B167" s="0" t="s">
        <v>103</v>
      </c>
      <c r="D167" s="18" t="n">
        <f aca="false">wb_26</f>
        <v>0.45</v>
      </c>
      <c r="E167" s="18" t="n">
        <f aca="false">wb_27</f>
        <v>0.47</v>
      </c>
      <c r="F167" s="18" t="n">
        <f aca="false">wb_28</f>
        <v>0.48</v>
      </c>
      <c r="G167" s="18" t="n">
        <f aca="false">wb_29</f>
        <v>0.5</v>
      </c>
    </row>
    <row r="168" customFormat="false" ht="17.15" hidden="false" customHeight="false" outlineLevel="0" collapsed="false">
      <c r="A168" s="4" t="s">
        <v>357</v>
      </c>
      <c r="B168" s="0" t="s">
        <v>32</v>
      </c>
      <c r="D168" s="14" t="n">
        <f aca="false">D166*D167</f>
        <v>12.18101625</v>
      </c>
      <c r="E168" s="14" t="n">
        <f aca="false">E166*E167</f>
        <v>28.298418</v>
      </c>
      <c r="F168" s="14" t="n">
        <f aca="false">F166*F167</f>
        <v>20.4967728</v>
      </c>
      <c r="G168" s="14" t="n">
        <f aca="false">G166*G167</f>
        <v>24.80679225</v>
      </c>
    </row>
    <row r="169" customFormat="false" ht="17.15" hidden="false" customHeight="false" outlineLevel="0" collapsed="false">
      <c r="A169" s="4" t="s">
        <v>399</v>
      </c>
      <c r="B169" s="0" t="s">
        <v>103</v>
      </c>
      <c r="D169" s="18" t="n">
        <f aca="false">D161/fx/D168</f>
        <v>0.410570649226414</v>
      </c>
      <c r="H169" s="8" t="s">
        <v>400</v>
      </c>
    </row>
    <row r="170" customFormat="false" ht="17.15" hidden="false" customHeight="false" outlineLevel="0" collapsed="false">
      <c r="A170" s="4" t="s">
        <v>401</v>
      </c>
      <c r="B170" s="0" t="s">
        <v>76</v>
      </c>
      <c r="D170" s="19" t="n">
        <f aca="false">1</f>
        <v>1</v>
      </c>
      <c r="E170" s="19" t="n">
        <f aca="false">rel_27</f>
        <v>1</v>
      </c>
      <c r="F170" s="19" t="n">
        <f aca="false">rel_28</f>
        <v>0.95</v>
      </c>
      <c r="G170" s="19" t="n">
        <f aca="false">rel_29</f>
        <v>0.92</v>
      </c>
    </row>
    <row r="171" customFormat="false" ht="15" hidden="false" customHeight="false" outlineLevel="0" collapsed="false">
      <c r="A171" s="4" t="s">
        <v>402</v>
      </c>
      <c r="B171" s="0" t="s">
        <v>103</v>
      </c>
      <c r="D171" s="18" t="n">
        <f aca="false">$D$169*D170</f>
        <v>0.410570649226414</v>
      </c>
      <c r="E171" s="18" t="n">
        <f aca="false">$D$169*E170</f>
        <v>0.410570649226414</v>
      </c>
      <c r="F171" s="18" t="n">
        <f aca="false">$D$169*F170</f>
        <v>0.390042116765093</v>
      </c>
      <c r="G171" s="18" t="n">
        <f aca="false">$D$169*G170</f>
        <v>0.377724997288301</v>
      </c>
    </row>
    <row r="172" customFormat="false" ht="17.15" hidden="false" customHeight="false" outlineLevel="0" collapsed="false">
      <c r="A172" s="0" t="s">
        <v>403</v>
      </c>
      <c r="B172" s="0" t="s">
        <v>186</v>
      </c>
      <c r="C172" s="20" t="n">
        <f aca="false">C161</f>
        <v>50.65728</v>
      </c>
      <c r="D172" s="20" t="n">
        <f aca="false">D168*D171*fx</f>
        <v>160.037368</v>
      </c>
      <c r="E172" s="20" t="n">
        <f aca="false">E168*E171*fx</f>
        <v>371.791995210894</v>
      </c>
      <c r="F172" s="20" t="n">
        <f aca="false">F168*F171*fx</f>
        <v>255.827348792486</v>
      </c>
      <c r="G172" s="20" t="n">
        <f aca="false">G168*G171*fx</f>
        <v>299.844657131606</v>
      </c>
    </row>
    <row r="173" customFormat="false" ht="17.15" hidden="false" customHeight="false" outlineLevel="0" collapsed="false">
      <c r="A173" s="6" t="s">
        <v>404</v>
      </c>
    </row>
    <row r="174" customFormat="false" ht="17.15" hidden="false" customHeight="false" outlineLevel="0" collapsed="false">
      <c r="A174" s="0" t="s">
        <v>405</v>
      </c>
      <c r="B174" s="4" t="s">
        <v>55</v>
      </c>
      <c r="D174" s="19" t="n">
        <f aca="false">trn_26*1</f>
        <v>2</v>
      </c>
      <c r="E174" s="19" t="n">
        <f aca="false">trn_27*1*1</f>
        <v>2.5</v>
      </c>
      <c r="F174" s="19" t="n">
        <f aca="false">trn_28*um28_C*1</f>
        <v>1.8</v>
      </c>
      <c r="G174" s="19" t="n">
        <f aca="false">trn_29*um29_C*1</f>
        <v>2.07</v>
      </c>
    </row>
    <row r="175" customFormat="false" ht="17.15" hidden="false" customHeight="false" outlineLevel="0" collapsed="false">
      <c r="A175" s="4" t="s">
        <v>406</v>
      </c>
      <c r="B175" s="4" t="s">
        <v>407</v>
      </c>
      <c r="D175" s="20" t="n">
        <f aca="false">D159/D174</f>
        <v>102.6903</v>
      </c>
      <c r="H175" s="8" t="s">
        <v>408</v>
      </c>
    </row>
    <row r="176" customFormat="false" ht="17.15" hidden="false" customHeight="false" outlineLevel="0" collapsed="false">
      <c r="A176" s="4" t="s">
        <v>409</v>
      </c>
      <c r="B176" s="0" t="s">
        <v>76</v>
      </c>
      <c r="D176" s="19" t="n">
        <f aca="false">1</f>
        <v>1</v>
      </c>
      <c r="E176" s="19" t="n">
        <f aca="false">nrel_27</f>
        <v>0.9</v>
      </c>
      <c r="F176" s="19" t="n">
        <f aca="false">nrel_28</f>
        <v>0.85</v>
      </c>
      <c r="G176" s="19" t="n">
        <f aca="false">nrel_29</f>
        <v>0.8</v>
      </c>
    </row>
    <row r="177" customFormat="false" ht="15" hidden="false" customHeight="false" outlineLevel="0" collapsed="false">
      <c r="A177" s="4" t="s">
        <v>410</v>
      </c>
      <c r="B177" s="0" t="s">
        <v>186</v>
      </c>
      <c r="C177" s="20" t="n">
        <f aca="false">C159</f>
        <v>156.4416</v>
      </c>
      <c r="D177" s="20" t="n">
        <f aca="false">D174*$D$175*D176</f>
        <v>205.3806</v>
      </c>
      <c r="E177" s="20" t="n">
        <f aca="false">E174*$D$175*E176</f>
        <v>231.053175</v>
      </c>
      <c r="F177" s="20" t="n">
        <f aca="false">F174*$D$175*F176</f>
        <v>157.116159</v>
      </c>
      <c r="G177" s="20" t="n">
        <f aca="false">G174*$D$175*G176</f>
        <v>170.0551368</v>
      </c>
    </row>
    <row r="178" customFormat="false" ht="17.15" hidden="false" customHeight="false" outlineLevel="0" collapsed="false">
      <c r="A178" s="6" t="s">
        <v>411</v>
      </c>
    </row>
    <row r="179" customFormat="false" ht="17.15" hidden="false" customHeight="false" outlineLevel="0" collapsed="false">
      <c r="A179" s="4" t="s">
        <v>412</v>
      </c>
      <c r="B179" s="0" t="s">
        <v>186</v>
      </c>
      <c r="C179" s="20" t="n">
        <f aca="false">C160</f>
        <v>41.22112</v>
      </c>
      <c r="D179" s="20" t="n">
        <f aca="false">D160</f>
        <v>45.343232</v>
      </c>
      <c r="E179" s="20" t="n">
        <f aca="false">D179*(1+g_nai27)</f>
        <v>48.06382592</v>
      </c>
      <c r="F179" s="20" t="n">
        <f aca="false">E179*(1+g_nai28)</f>
        <v>50.467017216</v>
      </c>
      <c r="G179" s="20" t="n">
        <f aca="false">F179*(1+g_nai29)</f>
        <v>52.9903680768</v>
      </c>
    </row>
    <row r="180" customFormat="false" ht="15" hidden="false" customHeight="false" outlineLevel="0" collapsed="false">
      <c r="A180" s="4" t="s">
        <v>316</v>
      </c>
      <c r="B180" s="0" t="s">
        <v>186</v>
      </c>
      <c r="C180" s="20" t="n">
        <f aca="false">C172+C177+C179</f>
        <v>248.32</v>
      </c>
      <c r="D180" s="20" t="n">
        <f aca="false">D172+D177+D179</f>
        <v>410.7612</v>
      </c>
      <c r="E180" s="20" t="n">
        <f aca="false">E172+E177+E179</f>
        <v>650.908996130894</v>
      </c>
      <c r="F180" s="20" t="n">
        <f aca="false">F172+F177+F179</f>
        <v>463.410525008486</v>
      </c>
      <c r="G180" s="20" t="n">
        <f aca="false">G172+G177+G179</f>
        <v>522.890162008406</v>
      </c>
    </row>
    <row r="181" customFormat="false" ht="17.15" hidden="false" customHeight="false" outlineLevel="0" collapsed="false">
      <c r="A181" s="4" t="s">
        <v>413</v>
      </c>
      <c r="B181" s="0" t="s">
        <v>103</v>
      </c>
      <c r="C181" s="18" t="n">
        <f aca="false">sw25s*(1-af25)/(1-nap25s-sw25s*af25)</f>
        <v>0.819277108433735</v>
      </c>
      <c r="H181" s="8" t="s">
        <v>414</v>
      </c>
    </row>
    <row r="182" customFormat="false" ht="17.15" hidden="false" customHeight="false" outlineLevel="0" collapsed="false">
      <c r="A182" s="4" t="s">
        <v>415</v>
      </c>
      <c r="B182" s="0" t="s">
        <v>186</v>
      </c>
      <c r="C182" s="20" t="n">
        <f aca="false">C179*$C$181</f>
        <v>33.77152</v>
      </c>
      <c r="D182" s="20" t="n">
        <f aca="false">D179*$C$181</f>
        <v>37.148672</v>
      </c>
      <c r="E182" s="20" t="n">
        <f aca="false">E179*$C$181</f>
        <v>39.37759232</v>
      </c>
      <c r="F182" s="20" t="n">
        <f aca="false">F179*$C$181</f>
        <v>41.346471936</v>
      </c>
      <c r="G182" s="20" t="n">
        <f aca="false">G179*$C$181</f>
        <v>43.4137955328</v>
      </c>
    </row>
    <row r="183" customFormat="false" ht="17.15" hidden="false" customHeight="false" outlineLevel="0" collapsed="false">
      <c r="A183" s="4" t="s">
        <v>416</v>
      </c>
      <c r="B183" s="0" t="s">
        <v>186</v>
      </c>
      <c r="C183" s="20" t="n">
        <f aca="false">C172+C182</f>
        <v>84.4288</v>
      </c>
      <c r="D183" s="20" t="n">
        <f aca="false">D172+D182</f>
        <v>197.18604</v>
      </c>
      <c r="E183" s="20" t="n">
        <f aca="false">E172+E182</f>
        <v>411.169587530894</v>
      </c>
      <c r="F183" s="20" t="n">
        <f aca="false">F172+F182</f>
        <v>297.173820728486</v>
      </c>
      <c r="G183" s="20" t="n">
        <f aca="false">G172+G182</f>
        <v>343.258452664406</v>
      </c>
      <c r="H183" s="4" t="s">
        <v>417</v>
      </c>
    </row>
    <row r="184" customFormat="false" ht="17.15" hidden="false" customHeight="false" outlineLevel="0" collapsed="false">
      <c r="A184" s="4" t="s">
        <v>418</v>
      </c>
      <c r="B184" s="0" t="s">
        <v>186</v>
      </c>
      <c r="C184" s="20" t="n">
        <f aca="false">C179-C182</f>
        <v>7.44959999999999</v>
      </c>
      <c r="D184" s="20" t="n">
        <f aca="false">D179-D182</f>
        <v>8.19455999999999</v>
      </c>
      <c r="E184" s="20" t="n">
        <f aca="false">E179-E182</f>
        <v>8.68623359999999</v>
      </c>
      <c r="F184" s="20" t="n">
        <f aca="false">F179-F182</f>
        <v>9.12054527999999</v>
      </c>
      <c r="G184" s="20" t="n">
        <f aca="false">G179-G182</f>
        <v>9.57657254399999</v>
      </c>
      <c r="H184" s="4" t="s">
        <v>419</v>
      </c>
    </row>
    <row r="185" customFormat="false" ht="17.15" hidden="false" customHeight="false" outlineLevel="0" collapsed="false">
      <c r="A185" s="4" t="s">
        <v>420</v>
      </c>
      <c r="B185" s="0" t="s">
        <v>186</v>
      </c>
      <c r="C185" s="16" t="n">
        <f aca="false">C183+C177+C184-a25_rev</f>
        <v>0</v>
      </c>
      <c r="D185" s="16" t="n">
        <f aca="false">D183+D177+D184-D180</f>
        <v>0</v>
      </c>
      <c r="E185" s="16" t="n">
        <f aca="false">E183+E177+E184-E180</f>
        <v>0</v>
      </c>
      <c r="F185" s="16" t="n">
        <f aca="false">F183+F177+F184-F180</f>
        <v>0</v>
      </c>
      <c r="G185" s="16" t="n">
        <f aca="false">G183+G177+G184-G180</f>
        <v>0</v>
      </c>
    </row>
    <row r="186" customFormat="false" ht="15" hidden="false" customHeight="false" outlineLevel="0" collapsed="false">
      <c r="A186" s="4" t="s">
        <v>421</v>
      </c>
      <c r="B186" s="0" t="s">
        <v>103</v>
      </c>
      <c r="D186" s="18" t="n">
        <f aca="false">D180/C180-1</f>
        <v>0.654160760309279</v>
      </c>
      <c r="E186" s="18" t="n">
        <f aca="false">E180/D180-1</f>
        <v>0.584640896294232</v>
      </c>
      <c r="F186" s="18" t="n">
        <f aca="false">F180/E180-1</f>
        <v>-0.288056352327174</v>
      </c>
      <c r="G186" s="18" t="n">
        <f aca="false">G180/F180-1</f>
        <v>0.128351933739164</v>
      </c>
    </row>
    <row r="187" customFormat="false" ht="17.15" hidden="false" customHeight="false" outlineLevel="0" collapsed="false">
      <c r="A187" s="0" t="s">
        <v>422</v>
      </c>
      <c r="B187" s="0" t="s">
        <v>103</v>
      </c>
      <c r="C187" s="18" t="n">
        <f aca="false">(C172+C177)/C180</f>
        <v>0.834</v>
      </c>
      <c r="D187" s="18" t="n">
        <f aca="false">(D172+D177)/D180</f>
        <v>0.889611696528299</v>
      </c>
      <c r="E187" s="18" t="n">
        <f aca="false">(E172+E177)/E180</f>
        <v>0.926158915907294</v>
      </c>
      <c r="F187" s="18" t="n">
        <f aca="false">(F172+F177)/F180</f>
        <v>0.891096523508878</v>
      </c>
      <c r="G187" s="18" t="n">
        <f aca="false">(G172+G177)/G180</f>
        <v>0.898658701335543</v>
      </c>
    </row>
    <row r="188" customFormat="false" ht="17.15" hidden="false" customHeight="false" outlineLevel="0" collapsed="false">
      <c r="A188" s="4" t="s">
        <v>423</v>
      </c>
      <c r="B188" s="0" t="s">
        <v>103</v>
      </c>
      <c r="C188" s="18" t="n">
        <f aca="false">C177/C180</f>
        <v>0.63</v>
      </c>
      <c r="D188" s="18" t="n">
        <f aca="false">D177/D180</f>
        <v>0.5</v>
      </c>
      <c r="E188" s="18" t="n">
        <f aca="false">E177/E180</f>
        <v>0.354970013278994</v>
      </c>
      <c r="F188" s="18" t="n">
        <f aca="false">F177/F180</f>
        <v>0.33904313890394</v>
      </c>
      <c r="G188" s="18" t="n">
        <f aca="false">G177/G180</f>
        <v>0.325221526729099</v>
      </c>
    </row>
    <row r="189" customFormat="false" ht="17.15" hidden="false" customHeight="false" outlineLevel="0" collapsed="false">
      <c r="A189" s="6" t="s">
        <v>424</v>
      </c>
    </row>
    <row r="190" customFormat="false" ht="17.15" hidden="false" customHeight="false" outlineLevel="0" collapsed="false">
      <c r="A190" s="4" t="s">
        <v>425</v>
      </c>
      <c r="B190" s="0" t="s">
        <v>103</v>
      </c>
      <c r="D190" s="15" t="n">
        <f aca="false">a26_gp/a26_rev+d_nap*D188</f>
        <v>0.219589247962076</v>
      </c>
      <c r="H190" s="8" t="s">
        <v>426</v>
      </c>
    </row>
    <row r="191" customFormat="false" ht="15" hidden="false" customHeight="false" outlineLevel="0" collapsed="false">
      <c r="A191" s="4" t="s">
        <v>320</v>
      </c>
      <c r="B191" s="0" t="s">
        <v>186</v>
      </c>
      <c r="C191" s="20" t="n">
        <f aca="false">a25_gp</f>
        <v>44.921088</v>
      </c>
      <c r="D191" s="20" t="n">
        <f aca="false">a26_gp</f>
        <v>77.875907</v>
      </c>
      <c r="E191" s="20" t="n">
        <f aca="false">$D$190*(E172+E179)+($D$190-d_nap)*E177</f>
        <v>129.069426452133</v>
      </c>
      <c r="F191" s="20" t="n">
        <f aca="false">$D$190*(F172+F179)+($D$190-d_nap)*F177</f>
        <v>92.3329991443244</v>
      </c>
      <c r="G191" s="20" t="n">
        <f aca="false">$D$190*(G172+G179)+($D$190-d_nap)*G177</f>
        <v>104.617749234194</v>
      </c>
    </row>
    <row r="192" customFormat="false" ht="15" hidden="false" customHeight="false" outlineLevel="0" collapsed="false">
      <c r="A192" s="4" t="s">
        <v>322</v>
      </c>
      <c r="B192" s="0" t="s">
        <v>103</v>
      </c>
      <c r="C192" s="15" t="n">
        <f aca="false">C191/C180</f>
        <v>0.1809</v>
      </c>
      <c r="D192" s="15" t="n">
        <f aca="false">D191/D180</f>
        <v>0.189589247962076</v>
      </c>
      <c r="E192" s="15" t="n">
        <f aca="false">E191/E180</f>
        <v>0.198291047165337</v>
      </c>
      <c r="F192" s="15" t="n">
        <f aca="false">F191/F180</f>
        <v>0.19924665962784</v>
      </c>
      <c r="G192" s="15" t="n">
        <f aca="false">G191/G180</f>
        <v>0.20007595635833</v>
      </c>
    </row>
    <row r="193" customFormat="false" ht="15" hidden="false" customHeight="false" outlineLevel="0" collapsed="false">
      <c r="A193" s="4" t="s">
        <v>427</v>
      </c>
      <c r="B193" s="0" t="s">
        <v>186</v>
      </c>
      <c r="C193" s="20" t="n">
        <f aca="false">a25_opx</f>
        <v>12.78848</v>
      </c>
      <c r="D193" s="20" t="n">
        <f aca="false">a26_opx</f>
        <v>17.956088</v>
      </c>
      <c r="E193" s="20" t="n">
        <f aca="false">D193*(1+MAX(0,phi*E186))</f>
        <v>24.2548060293549</v>
      </c>
      <c r="F193" s="20" t="n">
        <f aca="false">E193*(1+MAX(0,phi*F186))</f>
        <v>24.2548060293549</v>
      </c>
      <c r="G193" s="20" t="n">
        <f aca="false">F193*(1+MAX(0,phi*G186))</f>
        <v>26.1226967831565</v>
      </c>
    </row>
    <row r="194" customFormat="false" ht="15" hidden="false" customHeight="false" outlineLevel="0" collapsed="false">
      <c r="A194" s="4" t="s">
        <v>324</v>
      </c>
      <c r="B194" s="0" t="s">
        <v>186</v>
      </c>
      <c r="C194" s="20" t="n">
        <f aca="false">C193</f>
        <v>12.78848</v>
      </c>
      <c r="D194" s="20" t="n">
        <f aca="false">D193</f>
        <v>17.956088</v>
      </c>
      <c r="E194" s="20" t="n">
        <f aca="false">E193+0*E180</f>
        <v>24.2548060293549</v>
      </c>
      <c r="F194" s="20" t="n">
        <f aca="false">F193+0*F180</f>
        <v>24.2548060293549</v>
      </c>
      <c r="G194" s="20" t="n">
        <f aca="false">G193+0*G180</f>
        <v>26.1226967831565</v>
      </c>
    </row>
    <row r="195" customFormat="false" ht="15" hidden="false" customHeight="false" outlineLevel="0" collapsed="false">
      <c r="A195" s="4" t="s">
        <v>326</v>
      </c>
      <c r="B195" s="0" t="s">
        <v>186</v>
      </c>
      <c r="C195" s="20" t="n">
        <f aca="false">C191-C194</f>
        <v>32.132608</v>
      </c>
      <c r="D195" s="20" t="n">
        <f aca="false">D191-D194</f>
        <v>59.919819</v>
      </c>
      <c r="E195" s="20" t="n">
        <f aca="false">E191-E194</f>
        <v>104.814620422778</v>
      </c>
      <c r="F195" s="20" t="n">
        <f aca="false">F191-F194</f>
        <v>68.0781931149695</v>
      </c>
      <c r="G195" s="20" t="n">
        <f aca="false">G191-G194</f>
        <v>78.4950524510377</v>
      </c>
    </row>
    <row r="196" customFormat="false" ht="15" hidden="false" customHeight="false" outlineLevel="0" collapsed="false">
      <c r="A196" s="4" t="s">
        <v>328</v>
      </c>
      <c r="B196" s="0" t="s">
        <v>103</v>
      </c>
      <c r="C196" s="15" t="n">
        <f aca="false">C195/C180</f>
        <v>0.1294</v>
      </c>
      <c r="D196" s="15" t="n">
        <f aca="false">D195/D180</f>
        <v>0.145875070478906</v>
      </c>
      <c r="E196" s="15" t="n">
        <f aca="false">E195/E180</f>
        <v>0.161028071582683</v>
      </c>
      <c r="F196" s="15" t="n">
        <f aca="false">F195/F180</f>
        <v>0.146906877252568</v>
      </c>
      <c r="G196" s="15" t="n">
        <f aca="false">G195/G180</f>
        <v>0.150117669358208</v>
      </c>
    </row>
    <row r="197" customFormat="false" ht="17.15" hidden="false" customHeight="false" outlineLevel="0" collapsed="false">
      <c r="A197" s="4" t="s">
        <v>224</v>
      </c>
      <c r="B197" s="0" t="s">
        <v>76</v>
      </c>
      <c r="C197" s="16" t="n">
        <f aca="false">a25_ni/a25_oi</f>
        <v>0.819790289042209</v>
      </c>
      <c r="D197" s="16" t="n">
        <f aca="false">a26_ni/a26_oi</f>
        <v>0.798164213413262</v>
      </c>
      <c r="E197" s="16" t="n">
        <f aca="false">nio_f</f>
        <v>0.8</v>
      </c>
      <c r="F197" s="16" t="n">
        <f aca="false">nio_f</f>
        <v>0.8</v>
      </c>
      <c r="G197" s="16" t="n">
        <f aca="false">nio_f</f>
        <v>0.8</v>
      </c>
    </row>
    <row r="198" customFormat="false" ht="15" hidden="false" customHeight="false" outlineLevel="0" collapsed="false">
      <c r="A198" s="4" t="s">
        <v>329</v>
      </c>
      <c r="B198" s="0" t="s">
        <v>186</v>
      </c>
      <c r="C198" s="20" t="n">
        <f aca="false">a25_ni</f>
        <v>26.342</v>
      </c>
      <c r="D198" s="20" t="n">
        <f aca="false">a26_ni</f>
        <v>47.8258552</v>
      </c>
      <c r="E198" s="20" t="n">
        <f aca="false">E195*E197</f>
        <v>83.8516963382226</v>
      </c>
      <c r="F198" s="20" t="n">
        <f aca="false">F195*F197</f>
        <v>54.4625544919756</v>
      </c>
      <c r="G198" s="20" t="n">
        <f aca="false">G195*G197</f>
        <v>62.7960419608301</v>
      </c>
    </row>
    <row r="199" customFormat="false" ht="15" hidden="false" customHeight="false" outlineLevel="0" collapsed="false">
      <c r="A199" s="4" t="s">
        <v>428</v>
      </c>
      <c r="B199" s="4" t="s">
        <v>211</v>
      </c>
      <c r="C199" s="17" t="n">
        <f aca="false">a25_sh</f>
        <v>0.558922130277955</v>
      </c>
      <c r="D199" s="17" t="n">
        <f aca="false">a26_sh</f>
        <v>0.558904899135447</v>
      </c>
      <c r="E199" s="17" t="n">
        <f aca="false">D199*(1+sh_g27)</f>
        <v>0.568853406340058</v>
      </c>
      <c r="F199" s="17" t="n">
        <f aca="false">E199*(1+sh_g)</f>
        <v>0.568853406340058</v>
      </c>
      <c r="G199" s="17" t="n">
        <f aca="false">F199*(1+sh_g)</f>
        <v>0.568853406340058</v>
      </c>
    </row>
    <row r="200" customFormat="false" ht="15" hidden="false" customHeight="false" outlineLevel="0" collapsed="false">
      <c r="A200" s="0" t="s">
        <v>334</v>
      </c>
      <c r="B200" s="0" t="s">
        <v>244</v>
      </c>
      <c r="C200" s="14" t="n">
        <f aca="false">C198/C199</f>
        <v>47.13</v>
      </c>
      <c r="D200" s="14" t="n">
        <f aca="false">D198/D199</f>
        <v>85.5706494503455</v>
      </c>
      <c r="E200" s="14" t="n">
        <f aca="false">E198/E199</f>
        <v>147.404753849881</v>
      </c>
      <c r="F200" s="14" t="n">
        <f aca="false">F198/F199</f>
        <v>95.74093058945</v>
      </c>
      <c r="G200" s="14" t="n">
        <f aca="false">G198/G199</f>
        <v>110.390552752164</v>
      </c>
    </row>
    <row r="201" customFormat="false" ht="17.15" hidden="false" customHeight="false" outlineLevel="0" collapsed="false">
      <c r="A201" s="0" t="s">
        <v>429</v>
      </c>
      <c r="B201" s="0" t="s">
        <v>103</v>
      </c>
      <c r="D201" s="18" t="n">
        <f aca="false">D200/C200-1</f>
        <v>0.815630160202535</v>
      </c>
      <c r="E201" s="18" t="n">
        <f aca="false">E200/D200-1</f>
        <v>0.72260880099334</v>
      </c>
      <c r="F201" s="18" t="n">
        <f aca="false">F200/E200-1</f>
        <v>-0.350489532468174</v>
      </c>
      <c r="G201" s="18" t="n">
        <f aca="false">G200/F200-1</f>
        <v>0.153013158244025</v>
      </c>
    </row>
    <row r="204" customFormat="false" ht="17.15" hidden="false" customHeight="false" outlineLevel="0" collapsed="false">
      <c r="A204" s="1" t="s">
        <v>432</v>
      </c>
    </row>
    <row r="205" customFormat="false" ht="17.15" hidden="false" customHeight="false" outlineLevel="0" collapsed="false">
      <c r="A205" s="4" t="s">
        <v>433</v>
      </c>
    </row>
    <row r="206" customFormat="false" ht="15" hidden="false" customHeight="false" outlineLevel="0" collapsed="false">
      <c r="A206" s="5" t="s">
        <v>434</v>
      </c>
      <c r="B206" s="5" t="s">
        <v>22</v>
      </c>
      <c r="C206" s="12" t="s">
        <v>309</v>
      </c>
      <c r="D206" s="12" t="s">
        <v>435</v>
      </c>
      <c r="E206" s="12" t="s">
        <v>372</v>
      </c>
      <c r="F206" s="12" t="s">
        <v>373</v>
      </c>
      <c r="G206" s="12" t="s">
        <v>374</v>
      </c>
      <c r="H206" s="12" t="s">
        <v>436</v>
      </c>
      <c r="I206" s="12" t="s">
        <v>437</v>
      </c>
      <c r="J206" s="12" t="s">
        <v>438</v>
      </c>
      <c r="K206" s="5" t="s">
        <v>350</v>
      </c>
    </row>
    <row r="207" customFormat="false" ht="17.15" hidden="false" customHeight="false" outlineLevel="0" collapsed="false">
      <c r="A207" s="1" t="s">
        <v>375</v>
      </c>
    </row>
    <row r="208" customFormat="false" ht="15" hidden="false" customHeight="false" outlineLevel="0" collapsed="false">
      <c r="A208" s="4" t="s">
        <v>316</v>
      </c>
      <c r="B208" s="0" t="s">
        <v>186</v>
      </c>
      <c r="C208" s="20" t="n">
        <f aca="false">C84</f>
        <v>248.32</v>
      </c>
      <c r="D208" s="20" t="n">
        <f aca="false">D84</f>
        <v>410.7612</v>
      </c>
      <c r="E208" s="20" t="n">
        <f aca="false">E84</f>
        <v>650.908996130894</v>
      </c>
      <c r="F208" s="20" t="n">
        <f aca="false">F84</f>
        <v>738.706196870144</v>
      </c>
      <c r="G208" s="20" t="n">
        <f aca="false">G84</f>
        <v>836.156691296144</v>
      </c>
      <c r="H208" s="21" t="n">
        <f aca="false">G208*(1+H209)</f>
        <v>926.417300354358</v>
      </c>
      <c r="I208" s="21" t="n">
        <f aca="false">H208*(1+I209)</f>
        <v>1004.21180502298</v>
      </c>
      <c r="J208" s="21" t="n">
        <f aca="false">I208*(1+J209)</f>
        <v>1064.46451332436</v>
      </c>
    </row>
    <row r="209" customFormat="false" ht="17.15" hidden="false" customHeight="false" outlineLevel="0" collapsed="false">
      <c r="A209" s="4" t="s">
        <v>376</v>
      </c>
      <c r="B209" s="0" t="s">
        <v>103</v>
      </c>
      <c r="C209" s="18"/>
      <c r="D209" s="18" t="n">
        <f aca="false">D208/C208-1</f>
        <v>0.654160760309279</v>
      </c>
      <c r="E209" s="18" t="n">
        <f aca="false">E208/D208-1</f>
        <v>0.584640896294232</v>
      </c>
      <c r="F209" s="18" t="n">
        <f aca="false">F208/E208-1</f>
        <v>0.134883987256483</v>
      </c>
      <c r="G209" s="18" t="n">
        <f aca="false">G208/F208-1</f>
        <v>0.131920504848738</v>
      </c>
      <c r="H209" s="22" t="n">
        <f aca="false">$G$209+((tp_g+tp_gd)-$G$209)*1/3</f>
        <v>0.107947003232492</v>
      </c>
      <c r="I209" s="22" t="n">
        <f aca="false">$G$209+((tp_g+tp_gd)-$G$209)*2/3</f>
        <v>0.0839735016162458</v>
      </c>
      <c r="J209" s="22" t="n">
        <f aca="false">$G$209+((tp_g+tp_gd)-$G$209)*3/3</f>
        <v>0.06</v>
      </c>
      <c r="K209" s="8" t="s">
        <v>439</v>
      </c>
    </row>
    <row r="210" customFormat="false" ht="17.15" hidden="false" customHeight="false" outlineLevel="0" collapsed="false">
      <c r="A210" s="4" t="s">
        <v>440</v>
      </c>
      <c r="B210" s="0" t="s">
        <v>103</v>
      </c>
      <c r="C210" s="18" t="n">
        <f aca="false">C211/C208</f>
        <v>0.106080863402062</v>
      </c>
      <c r="D210" s="18" t="n">
        <f aca="false">D211/D208</f>
        <v>0.1164322608854</v>
      </c>
      <c r="E210" s="18" t="n">
        <f aca="false">E211/E208</f>
        <v>0.128822457266147</v>
      </c>
      <c r="F210" s="18" t="n">
        <f aca="false">F211/F208</f>
        <v>0.130262955256087</v>
      </c>
      <c r="G210" s="18" t="n">
        <f aca="false">G211/G208</f>
        <v>0.132331706665659</v>
      </c>
      <c r="H210" s="22" t="n">
        <f aca="false">$G$210+($G$210-$G$210)*1/3</f>
        <v>0.132331706665659</v>
      </c>
      <c r="I210" s="22" t="n">
        <f aca="false">$G$210+($G$210-$G$210)*2/3</f>
        <v>0.132331706665659</v>
      </c>
      <c r="J210" s="22" t="n">
        <f aca="false">$G$210+($G$210-$G$210)*3/3</f>
        <v>0.132331706665659</v>
      </c>
      <c r="K210" s="8" t="s">
        <v>441</v>
      </c>
    </row>
    <row r="211" customFormat="false" ht="15" hidden="false" customHeight="false" outlineLevel="0" collapsed="false">
      <c r="A211" s="4" t="s">
        <v>442</v>
      </c>
      <c r="B211" s="0" t="s">
        <v>186</v>
      </c>
      <c r="C211" s="20" t="n">
        <f aca="false">C102</f>
        <v>26.342</v>
      </c>
      <c r="D211" s="20" t="n">
        <f aca="false">D102</f>
        <v>47.8258552</v>
      </c>
      <c r="E211" s="20" t="n">
        <f aca="false">E102</f>
        <v>83.8516963382226</v>
      </c>
      <c r="F211" s="20" t="n">
        <f aca="false">F102</f>
        <v>96.2260522702898</v>
      </c>
      <c r="G211" s="20" t="n">
        <f aca="false">G102</f>
        <v>110.650041999129</v>
      </c>
      <c r="H211" s="21" t="n">
        <f aca="false">H208*H210</f>
        <v>122.594382440484</v>
      </c>
      <c r="I211" s="21" t="n">
        <f aca="false">I208*I210</f>
        <v>132.889062012493</v>
      </c>
      <c r="J211" s="21" t="n">
        <f aca="false">J208*J210</f>
        <v>140.862405733242</v>
      </c>
    </row>
    <row r="212" customFormat="false" ht="17.15" hidden="false" customHeight="false" outlineLevel="0" collapsed="false">
      <c r="A212" s="4" t="s">
        <v>443</v>
      </c>
      <c r="B212" s="4" t="s">
        <v>211</v>
      </c>
      <c r="C212" s="16" t="n">
        <f aca="false">C103</f>
        <v>0.558922130277955</v>
      </c>
      <c r="D212" s="16" t="n">
        <f aca="false">D103</f>
        <v>0.558904899135447</v>
      </c>
      <c r="E212" s="16" t="n">
        <f aca="false">E103</f>
        <v>0.568853406340058</v>
      </c>
      <c r="F212" s="16" t="n">
        <f aca="false">F103</f>
        <v>0.568853406340058</v>
      </c>
      <c r="G212" s="16" t="n">
        <f aca="false">G103</f>
        <v>0.568853406340058</v>
      </c>
      <c r="H212" s="23" t="n">
        <f aca="false">G212*(1+$G$212/$F$212-1)</f>
        <v>0.568853406340058</v>
      </c>
      <c r="I212" s="23" t="n">
        <f aca="false">H212*(1+$G$212/$F$212-1)</f>
        <v>0.568853406340058</v>
      </c>
      <c r="J212" s="23" t="n">
        <f aca="false">I212*(1+$G$212/$F$212-1)</f>
        <v>0.568853406340058</v>
      </c>
      <c r="K212" s="8" t="s">
        <v>444</v>
      </c>
    </row>
    <row r="213" customFormat="false" ht="17.15" hidden="false" customHeight="false" outlineLevel="0" collapsed="false">
      <c r="A213" s="0" t="s">
        <v>445</v>
      </c>
      <c r="B213" s="0" t="s">
        <v>244</v>
      </c>
      <c r="C213" s="14" t="n">
        <f aca="false">C104</f>
        <v>47.13</v>
      </c>
      <c r="D213" s="14" t="n">
        <f aca="false">D104</f>
        <v>85.5706494503455</v>
      </c>
      <c r="E213" s="14" t="n">
        <f aca="false">E104</f>
        <v>147.404753849881</v>
      </c>
      <c r="F213" s="14" t="n">
        <f aca="false">F104</f>
        <v>169.157908167234</v>
      </c>
      <c r="G213" s="14" t="n">
        <f aca="false">G104</f>
        <v>194.514159124122</v>
      </c>
      <c r="H213" s="24" t="n">
        <f aca="false">H211/H212</f>
        <v>215.511379687859</v>
      </c>
      <c r="I213" s="24" t="n">
        <f aca="false">I211/I212</f>
        <v>233.608624878397</v>
      </c>
      <c r="J213" s="24" t="n">
        <f aca="false">J211/J212</f>
        <v>247.625142371101</v>
      </c>
    </row>
    <row r="214" customFormat="false" ht="17.15" hidden="false" customHeight="false" outlineLevel="0" collapsed="false">
      <c r="A214" s="0" t="s">
        <v>381</v>
      </c>
      <c r="B214" s="0" t="s">
        <v>103</v>
      </c>
      <c r="C214" s="18"/>
      <c r="D214" s="18" t="n">
        <f aca="false">D213/C213-1</f>
        <v>0.815630160202535</v>
      </c>
      <c r="E214" s="18" t="n">
        <f aca="false">E213/D213-1</f>
        <v>0.72260880099334</v>
      </c>
      <c r="F214" s="18" t="n">
        <f aca="false">F213/E213-1</f>
        <v>0.147574306453554</v>
      </c>
      <c r="G214" s="18" t="n">
        <f aca="false">G213/F213-1</f>
        <v>0.149896929038754</v>
      </c>
      <c r="H214" s="22" t="n">
        <f aca="false">H213/G213-1</f>
        <v>0.107947003232492</v>
      </c>
      <c r="I214" s="22" t="n">
        <f aca="false">I213/H213-1</f>
        <v>0.0839735016162455</v>
      </c>
      <c r="J214" s="22" t="n">
        <f aca="false">J213/I213-1</f>
        <v>0.0600000000000003</v>
      </c>
    </row>
    <row r="216" customFormat="false" ht="17.15" hidden="false" customHeight="false" outlineLevel="0" collapsed="false">
      <c r="A216" s="1" t="s">
        <v>382</v>
      </c>
    </row>
    <row r="217" customFormat="false" ht="15" hidden="false" customHeight="false" outlineLevel="0" collapsed="false">
      <c r="A217" s="4" t="s">
        <v>316</v>
      </c>
      <c r="B217" s="0" t="s">
        <v>186</v>
      </c>
      <c r="C217" s="20" t="n">
        <f aca="false">C132</f>
        <v>248.32</v>
      </c>
      <c r="D217" s="20" t="n">
        <f aca="false">D132</f>
        <v>410.7612</v>
      </c>
      <c r="E217" s="20" t="n">
        <f aca="false">E132</f>
        <v>650.908996130894</v>
      </c>
      <c r="F217" s="20" t="n">
        <f aca="false">F132</f>
        <v>601.058360939315</v>
      </c>
      <c r="G217" s="20" t="n">
        <f aca="false">G132</f>
        <v>718.681742813242</v>
      </c>
      <c r="H217" s="21" t="n">
        <f aca="false">G217*(1+H218)</f>
        <v>822.025196675283</v>
      </c>
      <c r="I217" s="21" t="n">
        <f aca="false">H217*(1+I218)</f>
        <v>897.567607562422</v>
      </c>
      <c r="J217" s="21" t="n">
        <f aca="false">I217*(1+J218)</f>
        <v>933.470311864918</v>
      </c>
    </row>
    <row r="218" customFormat="false" ht="17.15" hidden="false" customHeight="false" outlineLevel="0" collapsed="false">
      <c r="A218" s="4" t="s">
        <v>376</v>
      </c>
      <c r="B218" s="0" t="s">
        <v>103</v>
      </c>
      <c r="C218" s="18"/>
      <c r="D218" s="18" t="n">
        <f aca="false">D217/C217-1</f>
        <v>0.654160760309279</v>
      </c>
      <c r="E218" s="18" t="n">
        <f aca="false">E217/D217-1</f>
        <v>0.584640896294232</v>
      </c>
      <c r="F218" s="18" t="n">
        <f aca="false">F217/E217-1</f>
        <v>-0.0765861825353457</v>
      </c>
      <c r="G218" s="18" t="n">
        <f aca="false">G217/F217-1</f>
        <v>0.195693778704133</v>
      </c>
      <c r="H218" s="22" t="n">
        <f aca="false">$G$218+(tp_g-$G$218)*1/3</f>
        <v>0.143795852469422</v>
      </c>
      <c r="I218" s="22" t="n">
        <f aca="false">$G$218+(tp_g-$G$218)*2/3</f>
        <v>0.0918979262347111</v>
      </c>
      <c r="J218" s="22" t="n">
        <f aca="false">$G$218+(tp_g-$G$218)*3/3</f>
        <v>0.04</v>
      </c>
      <c r="K218" s="8" t="s">
        <v>446</v>
      </c>
    </row>
    <row r="219" customFormat="false" ht="17.15" hidden="false" customHeight="false" outlineLevel="0" collapsed="false">
      <c r="A219" s="4" t="s">
        <v>440</v>
      </c>
      <c r="B219" s="0" t="s">
        <v>103</v>
      </c>
      <c r="C219" s="18" t="n">
        <f aca="false">C220/C217</f>
        <v>0.106080863402062</v>
      </c>
      <c r="D219" s="18" t="n">
        <f aca="false">D220/D217</f>
        <v>0.1164322608854</v>
      </c>
      <c r="E219" s="18" t="n">
        <f aca="false">E220/E217</f>
        <v>0.128822457266147</v>
      </c>
      <c r="F219" s="18" t="n">
        <f aca="false">F220/F217</f>
        <v>0.126659054620801</v>
      </c>
      <c r="G219" s="18" t="n">
        <f aca="false">G220/G217</f>
        <v>0.129411810607375</v>
      </c>
      <c r="H219" s="22" t="n">
        <f aca="false">$G$219+(($G$219+$G$219*nm10_k)/2-$G$219)*1/3</f>
        <v>0.125098083587129</v>
      </c>
      <c r="I219" s="22" t="n">
        <f aca="false">$G$219+(($G$219+$G$219*nm10_k)/2-$G$219)*2/3</f>
        <v>0.120784356566884</v>
      </c>
      <c r="J219" s="22" t="n">
        <f aca="false">$G$219+(($G$219+$G$219*nm10_k)/2-$G$219)*3/3</f>
        <v>0.116470629546638</v>
      </c>
      <c r="K219" s="8" t="s">
        <v>447</v>
      </c>
    </row>
    <row r="220" customFormat="false" ht="15" hidden="false" customHeight="false" outlineLevel="0" collapsed="false">
      <c r="A220" s="4" t="s">
        <v>442</v>
      </c>
      <c r="B220" s="0" t="s">
        <v>186</v>
      </c>
      <c r="C220" s="20" t="n">
        <f aca="false">C150</f>
        <v>26.342</v>
      </c>
      <c r="D220" s="20" t="n">
        <f aca="false">D150</f>
        <v>47.8258552</v>
      </c>
      <c r="E220" s="20" t="n">
        <f aca="false">E150</f>
        <v>83.8516963382226</v>
      </c>
      <c r="F220" s="20" t="n">
        <f aca="false">F150</f>
        <v>76.129483768502</v>
      </c>
      <c r="G220" s="20" t="n">
        <f aca="false">G150</f>
        <v>93.0059055879257</v>
      </c>
      <c r="H220" s="21" t="n">
        <f aca="false">H217*H219</f>
        <v>102.833776764411</v>
      </c>
      <c r="I220" s="21" t="n">
        <f aca="false">I217*I219</f>
        <v>108.412125954704</v>
      </c>
      <c r="J220" s="21" t="n">
        <f aca="false">J217*J219</f>
        <v>108.721874886003</v>
      </c>
    </row>
    <row r="221" customFormat="false" ht="17.15" hidden="false" customHeight="false" outlineLevel="0" collapsed="false">
      <c r="A221" s="4" t="s">
        <v>443</v>
      </c>
      <c r="B221" s="4" t="s">
        <v>211</v>
      </c>
      <c r="C221" s="16" t="n">
        <f aca="false">C151</f>
        <v>0.558922130277955</v>
      </c>
      <c r="D221" s="16" t="n">
        <f aca="false">D151</f>
        <v>0.558904899135447</v>
      </c>
      <c r="E221" s="16" t="n">
        <f aca="false">E151</f>
        <v>0.568853406340058</v>
      </c>
      <c r="F221" s="16" t="n">
        <f aca="false">F151</f>
        <v>0.568853406340058</v>
      </c>
      <c r="G221" s="16" t="n">
        <f aca="false">G151</f>
        <v>0.568853406340058</v>
      </c>
      <c r="H221" s="23" t="n">
        <f aca="false">G221*(1+$G$221/$F$221-1)</f>
        <v>0.568853406340058</v>
      </c>
      <c r="I221" s="23" t="n">
        <f aca="false">H221*(1+$G$221/$F$221-1)</f>
        <v>0.568853406340058</v>
      </c>
      <c r="J221" s="23" t="n">
        <f aca="false">I221*(1+$G$221/$F$221-1)</f>
        <v>0.568853406340058</v>
      </c>
      <c r="K221" s="8" t="s">
        <v>444</v>
      </c>
    </row>
    <row r="222" customFormat="false" ht="17.15" hidden="false" customHeight="false" outlineLevel="0" collapsed="false">
      <c r="A222" s="0" t="s">
        <v>445</v>
      </c>
      <c r="B222" s="0" t="s">
        <v>244</v>
      </c>
      <c r="C222" s="14" t="n">
        <f aca="false">C152</f>
        <v>47.13</v>
      </c>
      <c r="D222" s="14" t="n">
        <f aca="false">D152</f>
        <v>85.5706494503455</v>
      </c>
      <c r="E222" s="14" t="n">
        <f aca="false">E152</f>
        <v>147.404753849881</v>
      </c>
      <c r="F222" s="14" t="n">
        <f aca="false">F152</f>
        <v>133.829705368754</v>
      </c>
      <c r="G222" s="14" t="n">
        <f aca="false">G152</f>
        <v>163.497141005652</v>
      </c>
      <c r="H222" s="24" t="n">
        <f aca="false">H220/H221</f>
        <v>180.773773380444</v>
      </c>
      <c r="I222" s="24" t="n">
        <f aca="false">I220/I221</f>
        <v>190.580076952015</v>
      </c>
      <c r="J222" s="24" t="n">
        <f aca="false">J220/J221</f>
        <v>191.124591457593</v>
      </c>
    </row>
    <row r="223" customFormat="false" ht="17.15" hidden="false" customHeight="false" outlineLevel="0" collapsed="false">
      <c r="A223" s="0" t="s">
        <v>381</v>
      </c>
      <c r="B223" s="0" t="s">
        <v>103</v>
      </c>
      <c r="C223" s="18"/>
      <c r="D223" s="18" t="n">
        <f aca="false">D222/C222-1</f>
        <v>0.815630160202535</v>
      </c>
      <c r="E223" s="18" t="n">
        <f aca="false">E222/D222-1</f>
        <v>0.72260880099334</v>
      </c>
      <c r="F223" s="18" t="n">
        <f aca="false">F222/E222-1</f>
        <v>-0.0920936952613626</v>
      </c>
      <c r="G223" s="18" t="n">
        <f aca="false">G222/F222-1</f>
        <v>0.221680497279377</v>
      </c>
      <c r="H223" s="22" t="n">
        <f aca="false">H222/G222-1</f>
        <v>0.105669324053775</v>
      </c>
      <c r="I223" s="22" t="n">
        <f aca="false">I222/H222-1</f>
        <v>0.0542462736059282</v>
      </c>
      <c r="J223" s="22" t="n">
        <f aca="false">J222/I222-1</f>
        <v>0.00285714285714289</v>
      </c>
    </row>
    <row r="225" customFormat="false" ht="17.15" hidden="false" customHeight="false" outlineLevel="0" collapsed="false">
      <c r="A225" s="1" t="s">
        <v>383</v>
      </c>
    </row>
    <row r="226" customFormat="false" ht="15" hidden="false" customHeight="false" outlineLevel="0" collapsed="false">
      <c r="A226" s="4" t="s">
        <v>316</v>
      </c>
      <c r="B226" s="0" t="s">
        <v>186</v>
      </c>
      <c r="C226" s="20" t="n">
        <f aca="false">C180</f>
        <v>248.32</v>
      </c>
      <c r="D226" s="20" t="n">
        <f aca="false">D180</f>
        <v>410.7612</v>
      </c>
      <c r="E226" s="20" t="n">
        <f aca="false">E180</f>
        <v>650.908996130894</v>
      </c>
      <c r="F226" s="20" t="n">
        <f aca="false">F180</f>
        <v>463.410525008486</v>
      </c>
      <c r="G226" s="20" t="n">
        <f aca="false">G180</f>
        <v>522.890162008406</v>
      </c>
      <c r="H226" s="21" t="n">
        <f aca="false">G226*(1+H227)</f>
        <v>571.118738706438</v>
      </c>
      <c r="I226" s="21" t="n">
        <f aca="false">H226*(1+I227)</f>
        <v>603.168386725072</v>
      </c>
      <c r="J226" s="21" t="n">
        <f aca="false">I226*(1+J227)</f>
        <v>615.231754459573</v>
      </c>
    </row>
    <row r="227" customFormat="false" ht="17.15" hidden="false" customHeight="false" outlineLevel="0" collapsed="false">
      <c r="A227" s="4" t="s">
        <v>376</v>
      </c>
      <c r="B227" s="0" t="s">
        <v>103</v>
      </c>
      <c r="C227" s="18"/>
      <c r="D227" s="18" t="n">
        <f aca="false">D226/C226-1</f>
        <v>0.654160760309279</v>
      </c>
      <c r="E227" s="18" t="n">
        <f aca="false">E226/D226-1</f>
        <v>0.584640896294232</v>
      </c>
      <c r="F227" s="18" t="n">
        <f aca="false">F226/E226-1</f>
        <v>-0.288056352327174</v>
      </c>
      <c r="G227" s="18" t="n">
        <f aca="false">G226/F226-1</f>
        <v>0.128351933739164</v>
      </c>
      <c r="H227" s="22" t="n">
        <f aca="false">$G$227+((tp_g-tp_gd)-$G$227)*1/3</f>
        <v>0.0922346224927758</v>
      </c>
      <c r="I227" s="22" t="n">
        <f aca="false">$G$227+((tp_g-tp_gd)-$G$227)*2/3</f>
        <v>0.0561173112463879</v>
      </c>
      <c r="J227" s="22" t="n">
        <f aca="false">$G$227+((tp_g-tp_gd)-$G$227)*3/3</f>
        <v>0.02</v>
      </c>
      <c r="K227" s="8" t="s">
        <v>448</v>
      </c>
    </row>
    <row r="228" customFormat="false" ht="17.15" hidden="false" customHeight="false" outlineLevel="0" collapsed="false">
      <c r="A228" s="4" t="s">
        <v>440</v>
      </c>
      <c r="B228" s="0" t="s">
        <v>103</v>
      </c>
      <c r="C228" s="18" t="n">
        <f aca="false">C229/C226</f>
        <v>0.106080863402062</v>
      </c>
      <c r="D228" s="18" t="n">
        <f aca="false">D229/D226</f>
        <v>0.1164322608854</v>
      </c>
      <c r="E228" s="18" t="n">
        <f aca="false">E229/E226</f>
        <v>0.128822457266147</v>
      </c>
      <c r="F228" s="18" t="n">
        <f aca="false">F229/F226</f>
        <v>0.117525501802054</v>
      </c>
      <c r="G228" s="18" t="n">
        <f aca="false">G229/G226</f>
        <v>0.120094135486566</v>
      </c>
      <c r="H228" s="22" t="n">
        <f aca="false">$G$228+($G$228*nm10_k-$G$228)*1/3</f>
        <v>0.112087859787462</v>
      </c>
      <c r="I228" s="22" t="n">
        <f aca="false">$G$228+($G$228*nm10_k-$G$228)*2/3</f>
        <v>0.104081584088357</v>
      </c>
      <c r="J228" s="22" t="n">
        <f aca="false">$G$228+($G$228*nm10_k-$G$228)*3/3</f>
        <v>0.096075308389253</v>
      </c>
      <c r="K228" s="8" t="s">
        <v>449</v>
      </c>
    </row>
    <row r="229" customFormat="false" ht="15" hidden="false" customHeight="false" outlineLevel="0" collapsed="false">
      <c r="A229" s="4" t="s">
        <v>442</v>
      </c>
      <c r="B229" s="0" t="s">
        <v>186</v>
      </c>
      <c r="C229" s="20" t="n">
        <f aca="false">C198</f>
        <v>26.342</v>
      </c>
      <c r="D229" s="20" t="n">
        <f aca="false">D198</f>
        <v>47.8258552</v>
      </c>
      <c r="E229" s="20" t="n">
        <f aca="false">E198</f>
        <v>83.8516963382226</v>
      </c>
      <c r="F229" s="20" t="n">
        <f aca="false">F198</f>
        <v>54.4625544919756</v>
      </c>
      <c r="G229" s="20" t="n">
        <f aca="false">G198</f>
        <v>62.7960419608301</v>
      </c>
      <c r="H229" s="21" t="n">
        <f aca="false">H226*H228</f>
        <v>64.0154771061193</v>
      </c>
      <c r="I229" s="21" t="n">
        <f aca="false">I226*I228</f>
        <v>62.7787211623645</v>
      </c>
      <c r="J229" s="21" t="n">
        <f aca="false">J226*J228</f>
        <v>59.1085805405647</v>
      </c>
    </row>
    <row r="230" customFormat="false" ht="17.15" hidden="false" customHeight="false" outlineLevel="0" collapsed="false">
      <c r="A230" s="4" t="s">
        <v>443</v>
      </c>
      <c r="B230" s="4" t="s">
        <v>211</v>
      </c>
      <c r="C230" s="16" t="n">
        <f aca="false">C199</f>
        <v>0.558922130277955</v>
      </c>
      <c r="D230" s="16" t="n">
        <f aca="false">D199</f>
        <v>0.558904899135447</v>
      </c>
      <c r="E230" s="16" t="n">
        <f aca="false">E199</f>
        <v>0.568853406340058</v>
      </c>
      <c r="F230" s="16" t="n">
        <f aca="false">F199</f>
        <v>0.568853406340058</v>
      </c>
      <c r="G230" s="16" t="n">
        <f aca="false">G199</f>
        <v>0.568853406340058</v>
      </c>
      <c r="H230" s="23" t="n">
        <f aca="false">G230*(1+$G$230/$F$230-1)</f>
        <v>0.568853406340058</v>
      </c>
      <c r="I230" s="23" t="n">
        <f aca="false">H230*(1+$G$230/$F$230-1)</f>
        <v>0.568853406340058</v>
      </c>
      <c r="J230" s="23" t="n">
        <f aca="false">I230*(1+$G$230/$F$230-1)</f>
        <v>0.568853406340058</v>
      </c>
      <c r="K230" s="8" t="s">
        <v>444</v>
      </c>
    </row>
    <row r="231" customFormat="false" ht="17.15" hidden="false" customHeight="false" outlineLevel="0" collapsed="false">
      <c r="A231" s="0" t="s">
        <v>445</v>
      </c>
      <c r="B231" s="0" t="s">
        <v>244</v>
      </c>
      <c r="C231" s="14" t="n">
        <f aca="false">C200</f>
        <v>47.13</v>
      </c>
      <c r="D231" s="14" t="n">
        <f aca="false">D200</f>
        <v>85.5706494503455</v>
      </c>
      <c r="E231" s="14" t="n">
        <f aca="false">E200</f>
        <v>147.404753849881</v>
      </c>
      <c r="F231" s="14" t="n">
        <f aca="false">F200</f>
        <v>95.74093058945</v>
      </c>
      <c r="G231" s="14" t="n">
        <f aca="false">G200</f>
        <v>110.390552752164</v>
      </c>
      <c r="H231" s="24" t="n">
        <f aca="false">H229/H230</f>
        <v>112.534224797893</v>
      </c>
      <c r="I231" s="24" t="n">
        <f aca="false">I229/I230</f>
        <v>110.36010413698</v>
      </c>
      <c r="J231" s="24" t="n">
        <f aca="false">J229/J230</f>
        <v>103.908282664356</v>
      </c>
    </row>
    <row r="232" customFormat="false" ht="17.15" hidden="false" customHeight="false" outlineLevel="0" collapsed="false">
      <c r="A232" s="0" t="s">
        <v>381</v>
      </c>
      <c r="B232" s="0" t="s">
        <v>103</v>
      </c>
      <c r="C232" s="18"/>
      <c r="D232" s="18" t="n">
        <f aca="false">D231/C231-1</f>
        <v>0.815630160202535</v>
      </c>
      <c r="E232" s="18" t="n">
        <f aca="false">E231/D231-1</f>
        <v>0.72260880099334</v>
      </c>
      <c r="F232" s="18" t="n">
        <f aca="false">F231/E231-1</f>
        <v>-0.350489532468174</v>
      </c>
      <c r="G232" s="18" t="n">
        <f aca="false">G231/F231-1</f>
        <v>0.153013158244025</v>
      </c>
      <c r="H232" s="22" t="n">
        <f aca="false">H231/G231-1</f>
        <v>0.0194189809932575</v>
      </c>
      <c r="I232" s="22" t="n">
        <f aca="false">I231/H231-1</f>
        <v>-0.0193196395569254</v>
      </c>
      <c r="J232" s="22" t="n">
        <f aca="false">J231/I231-1</f>
        <v>-0.0584615384615383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450</v>
      </c>
    </row>
    <row r="2" customFormat="false" ht="17.15" hidden="false" customHeight="false" outlineLevel="0" collapsed="false">
      <c r="A2" s="4" t="s">
        <v>451</v>
      </c>
    </row>
    <row r="3" customFormat="false" ht="17.15" hidden="false" customHeight="false" outlineLevel="0" collapsed="false">
      <c r="A3" s="6" t="s">
        <v>452</v>
      </c>
    </row>
    <row r="4" customFormat="false" ht="17.15" hidden="false" customHeight="false" outlineLevel="0" collapsed="false">
      <c r="A4" s="6" t="s">
        <v>453</v>
      </c>
    </row>
    <row r="5" customFormat="false" ht="17.15" hidden="false" customHeight="false" outlineLevel="0" collapsed="false">
      <c r="A5" s="5" t="s">
        <v>21</v>
      </c>
      <c r="B5" s="12" t="s">
        <v>454</v>
      </c>
      <c r="C5" s="12" t="s">
        <v>455</v>
      </c>
      <c r="D5" s="12" t="s">
        <v>456</v>
      </c>
      <c r="E5" s="5" t="s">
        <v>350</v>
      </c>
      <c r="F5" s="5" t="s">
        <v>457</v>
      </c>
      <c r="G5" s="5" t="s">
        <v>458</v>
      </c>
    </row>
    <row r="6" customFormat="false" ht="17.15" hidden="false" customHeight="false" outlineLevel="0" collapsed="false">
      <c r="A6" s="4" t="s">
        <v>459</v>
      </c>
      <c r="E6" s="4" t="s">
        <v>460</v>
      </c>
    </row>
    <row r="7" customFormat="false" ht="15" hidden="false" customHeight="false" outlineLevel="0" collapsed="false">
      <c r="A7" s="0" t="s">
        <v>461</v>
      </c>
      <c r="B7" s="14" t="n">
        <f aca="false">PL!E213</f>
        <v>147.404753849881</v>
      </c>
      <c r="C7" s="14" t="n">
        <f aca="false">PL!E222</f>
        <v>147.404753849881</v>
      </c>
      <c r="D7" s="14" t="n">
        <f aca="false">PL!E231</f>
        <v>147.404753849881</v>
      </c>
      <c r="F7" s="16" t="n">
        <v>1</v>
      </c>
      <c r="G7" s="16" t="n">
        <v>1</v>
      </c>
    </row>
    <row r="8" customFormat="false" ht="15" hidden="false" customHeight="false" outlineLevel="0" collapsed="false">
      <c r="A8" s="0" t="s">
        <v>462</v>
      </c>
      <c r="B8" s="14" t="n">
        <f aca="false">PL!F213</f>
        <v>169.157908167234</v>
      </c>
      <c r="C8" s="14" t="n">
        <f aca="false">PL!F222</f>
        <v>133.829705368754</v>
      </c>
      <c r="D8" s="14" t="n">
        <f aca="false">PL!F231</f>
        <v>95.74093058945</v>
      </c>
      <c r="F8" s="16" t="n">
        <v>2</v>
      </c>
      <c r="G8" s="16" t="n">
        <v>1</v>
      </c>
    </row>
    <row r="9" customFormat="false" ht="15" hidden="false" customHeight="false" outlineLevel="0" collapsed="false">
      <c r="A9" s="0" t="s">
        <v>463</v>
      </c>
      <c r="B9" s="14" t="n">
        <f aca="false">PL!G213</f>
        <v>194.514159124122</v>
      </c>
      <c r="C9" s="14" t="n">
        <f aca="false">PL!G222</f>
        <v>163.497141005652</v>
      </c>
      <c r="D9" s="14" t="n">
        <f aca="false">PL!G231</f>
        <v>110.390552752164</v>
      </c>
      <c r="F9" s="16" t="n">
        <v>3</v>
      </c>
      <c r="G9" s="16" t="n">
        <v>1</v>
      </c>
    </row>
    <row r="10" customFormat="false" ht="15" hidden="false" customHeight="false" outlineLevel="0" collapsed="false">
      <c r="A10" s="0" t="s">
        <v>464</v>
      </c>
      <c r="B10" s="14" t="n">
        <f aca="false">PL!H213</f>
        <v>215.511379687859</v>
      </c>
      <c r="C10" s="14" t="n">
        <f aca="false">PL!H222</f>
        <v>180.773773380444</v>
      </c>
      <c r="D10" s="14" t="n">
        <f aca="false">PL!H231</f>
        <v>112.534224797893</v>
      </c>
      <c r="F10" s="16" t="n">
        <v>4</v>
      </c>
      <c r="G10" s="16" t="n">
        <v>1</v>
      </c>
    </row>
    <row r="11" customFormat="false" ht="15" hidden="false" customHeight="false" outlineLevel="0" collapsed="false">
      <c r="A11" s="0" t="s">
        <v>465</v>
      </c>
      <c r="B11" s="14" t="n">
        <f aca="false">PL!I213</f>
        <v>233.608624878397</v>
      </c>
      <c r="C11" s="14" t="n">
        <f aca="false">PL!I222</f>
        <v>190.580076952015</v>
      </c>
      <c r="D11" s="14" t="n">
        <f aca="false">PL!I231</f>
        <v>110.36010413698</v>
      </c>
      <c r="F11" s="16" t="n">
        <v>5</v>
      </c>
      <c r="G11" s="16" t="n">
        <v>1</v>
      </c>
    </row>
    <row r="12" customFormat="false" ht="15" hidden="false" customHeight="false" outlineLevel="0" collapsed="false">
      <c r="A12" s="0" t="s">
        <v>466</v>
      </c>
      <c r="B12" s="14" t="n">
        <f aca="false">PL!J213</f>
        <v>247.625142371101</v>
      </c>
      <c r="C12" s="14" t="n">
        <f aca="false">PL!J222</f>
        <v>191.124591457593</v>
      </c>
      <c r="D12" s="14" t="n">
        <f aca="false">PL!J231</f>
        <v>103.908282664356</v>
      </c>
      <c r="F12" s="16" t="n">
        <v>6</v>
      </c>
      <c r="G12" s="16" t="n">
        <v>1</v>
      </c>
    </row>
    <row r="13" customFormat="false" ht="17.15" hidden="false" customHeight="false" outlineLevel="0" collapsed="false">
      <c r="A13" s="4" t="s">
        <v>467</v>
      </c>
      <c r="B13" s="18" t="n">
        <f aca="false">1-MIN(0.8,tp_g/tp_roe)</f>
        <v>0.910614525139665</v>
      </c>
      <c r="E13" s="8" t="s">
        <v>468</v>
      </c>
    </row>
    <row r="14" customFormat="false" ht="17.15" hidden="false" customHeight="false" outlineLevel="0" collapsed="false">
      <c r="A14" s="0" t="s">
        <v>469</v>
      </c>
      <c r="B14" s="14" t="n">
        <f aca="false">B7*$B$13*$G$7</f>
        <v>134.228909930339</v>
      </c>
      <c r="C14" s="14" t="n">
        <f aca="false">C7*$B$13*$G$7</f>
        <v>134.228909930339</v>
      </c>
      <c r="D14" s="14" t="n">
        <f aca="false">D7*$B$13*$G$7</f>
        <v>134.228909930339</v>
      </c>
    </row>
    <row r="15" customFormat="false" ht="17.15" hidden="false" customHeight="false" outlineLevel="0" collapsed="false">
      <c r="A15" s="0" t="s">
        <v>470</v>
      </c>
      <c r="B15" s="14" t="n">
        <f aca="false">B8*$B$13*$G$8</f>
        <v>154.037648219325</v>
      </c>
      <c r="C15" s="14" t="n">
        <f aca="false">C8*$B$13*$G$8</f>
        <v>121.867273603949</v>
      </c>
      <c r="D15" s="14" t="n">
        <f aca="false">D8*$B$13*$G$8</f>
        <v>87.1830820451416</v>
      </c>
    </row>
    <row r="16" customFormat="false" ht="17.15" hidden="false" customHeight="false" outlineLevel="0" collapsed="false">
      <c r="A16" s="0" t="s">
        <v>471</v>
      </c>
      <c r="B16" s="14" t="n">
        <f aca="false">B9*$B$13*$G$9</f>
        <v>177.127418643754</v>
      </c>
      <c r="C16" s="14" t="n">
        <f aca="false">C9*$B$13*$G$9</f>
        <v>148.882871418554</v>
      </c>
      <c r="D16" s="14" t="n">
        <f aca="false">D9*$B$13*$G$9</f>
        <v>100.523240774317</v>
      </c>
    </row>
    <row r="17" customFormat="false" ht="17.15" hidden="false" customHeight="false" outlineLevel="0" collapsed="false">
      <c r="A17" s="0" t="s">
        <v>472</v>
      </c>
      <c r="B17" s="14" t="n">
        <f aca="false">B10*$B$13*$G$10</f>
        <v>196.247792676654</v>
      </c>
      <c r="C17" s="14" t="n">
        <f aca="false">C10*$B$13*$G$10</f>
        <v>164.615223804538</v>
      </c>
      <c r="D17" s="14" t="n">
        <f aca="false">D10*$B$13*$G$10</f>
        <v>102.475299676294</v>
      </c>
    </row>
    <row r="18" customFormat="false" ht="17.15" hidden="false" customHeight="false" outlineLevel="0" collapsed="false">
      <c r="A18" s="0" t="s">
        <v>473</v>
      </c>
      <c r="B18" s="14" t="n">
        <f aca="false">B11*$B$13*$G$11</f>
        <v>212.727407012172</v>
      </c>
      <c r="C18" s="14" t="n">
        <f aca="false">C11*$B$13*$G$11</f>
        <v>173.54498627474</v>
      </c>
      <c r="D18" s="14" t="n">
        <f aca="false">D11*$B$13*$G$11</f>
        <v>100.49551382306</v>
      </c>
    </row>
    <row r="19" customFormat="false" ht="17.15" hidden="false" customHeight="false" outlineLevel="0" collapsed="false">
      <c r="A19" s="0" t="s">
        <v>474</v>
      </c>
      <c r="B19" s="14" t="n">
        <f aca="false">B12*$B$13*$G$12</f>
        <v>225.491051432902</v>
      </c>
      <c r="C19" s="14" t="n">
        <f aca="false">C12*$B$13*$G$12</f>
        <v>174.040829092668</v>
      </c>
      <c r="D19" s="14" t="n">
        <f aca="false">D12*$B$13*$G$12</f>
        <v>94.620391476481</v>
      </c>
    </row>
    <row r="20" customFormat="false" ht="17.15" hidden="false" customHeight="false" outlineLevel="0" collapsed="false">
      <c r="A20" s="4" t="s">
        <v>475</v>
      </c>
      <c r="B20" s="14" t="n">
        <f aca="false">B19*(1+tp_g)/(tp_r-tp_g)</f>
        <v>3908.5115581703</v>
      </c>
      <c r="C20" s="14" t="n">
        <f aca="false">C19*(1+tp_g)/(tp_r-tp_g)</f>
        <v>3016.70770427291</v>
      </c>
      <c r="D20" s="14" t="n">
        <f aca="false">D19*(1+tp_g)/(tp_r-tp_g)</f>
        <v>1640.08678559234</v>
      </c>
    </row>
    <row r="21" customFormat="false" ht="17.15" hidden="false" customHeight="false" outlineLevel="0" collapsed="false">
      <c r="A21" s="9" t="s">
        <v>476</v>
      </c>
      <c r="B21" s="25" t="n">
        <f aca="false">MAX(0,B14/(1+tp_r)^$F$7+B15/(1+tp_r)^$F$8+B16/(1+tp_r)^$F$9+B17/(1+tp_r)^$F$10+B18/(1+tp_r)^$F$11+B19/(1+tp_r)^$F$12+B20/(1+tp_r)^$F$12)</f>
        <v>2982.07214042305</v>
      </c>
      <c r="C21" s="25" t="n">
        <f aca="false">MAX(0,C14/(1+tp_r)^$F$7+C15/(1+tp_r)^$F$8+C16/(1+tp_r)^$F$9+C17/(1+tp_r)^$F$10+C18/(1+tp_r)^$F$11+C19/(1+tp_r)^$F$12+C20/(1+tp_r)^$F$12)</f>
        <v>2355.88750144355</v>
      </c>
      <c r="D21" s="25" t="n">
        <f aca="false">MAX(0,D14/(1+tp_r)^$F$7+D15/(1+tp_r)^$F$8+D16/(1+tp_r)^$F$9+D17/(1+tp_r)^$F$10+D18/(1+tp_r)^$F$11+D19/(1+tp_r)^$F$12+D20/(1+tp_r)^$F$12)</f>
        <v>1381.19180796332</v>
      </c>
      <c r="E21" s="10" t="s">
        <v>477</v>
      </c>
    </row>
    <row r="22" customFormat="false" ht="15" hidden="false" customHeight="false" outlineLevel="0" collapsed="false">
      <c r="A22" s="4" t="s">
        <v>478</v>
      </c>
      <c r="B22" s="18" t="n">
        <f aca="false">B20/(1+tp_r)^$F$12/B21</f>
        <v>0.739838869085177</v>
      </c>
      <c r="C22" s="18" t="n">
        <f aca="false">C20/(1+tp_r)^$F$12/C21</f>
        <v>0.722807372003558</v>
      </c>
      <c r="D22" s="18" t="n">
        <f aca="false">D20/(1+tp_r)^$F$12/D21</f>
        <v>0.670280715650723</v>
      </c>
    </row>
    <row r="23" customFormat="false" ht="17.15" hidden="false" customHeight="false" outlineLevel="0" collapsed="false">
      <c r="A23" s="9" t="s">
        <v>479</v>
      </c>
      <c r="B23" s="25" t="n">
        <f aca="false">(tp_wA*B21+tp_wB*C21+tp_wC*D21)*(1+tp_r)</f>
        <v>2583.68412988549</v>
      </c>
      <c r="C23" s="9"/>
      <c r="D23" s="9"/>
      <c r="E23" s="9" t="s">
        <v>480</v>
      </c>
    </row>
    <row r="25" customFormat="false" ht="17.15" hidden="false" customHeight="false" outlineLevel="0" collapsed="false">
      <c r="A25" s="6" t="s">
        <v>481</v>
      </c>
    </row>
    <row r="26" customFormat="false" ht="17.15" hidden="false" customHeight="false" outlineLevel="0" collapsed="false">
      <c r="A26" s="5" t="s">
        <v>482</v>
      </c>
      <c r="B26" s="5" t="s">
        <v>483</v>
      </c>
      <c r="C26" s="5" t="s">
        <v>484</v>
      </c>
      <c r="D26" s="5" t="s">
        <v>485</v>
      </c>
      <c r="E26" s="5" t="s">
        <v>486</v>
      </c>
      <c r="F26" s="5" t="s">
        <v>26</v>
      </c>
    </row>
    <row r="27" customFormat="false" ht="17.15" hidden="false" customHeight="false" outlineLevel="0" collapsed="false">
      <c r="A27" s="0" t="s">
        <v>487</v>
      </c>
      <c r="B27" s="0" t="s">
        <v>488</v>
      </c>
      <c r="C27" s="26" t="n">
        <v>37.06</v>
      </c>
      <c r="D27" s="8" t="s">
        <v>489</v>
      </c>
      <c r="E27" s="8" t="s">
        <v>490</v>
      </c>
      <c r="F27" s="8" t="s">
        <v>491</v>
      </c>
    </row>
    <row r="28" customFormat="false" ht="17.15" hidden="false" customHeight="false" outlineLevel="0" collapsed="false">
      <c r="A28" s="0" t="s">
        <v>492</v>
      </c>
      <c r="B28" s="0" t="s">
        <v>493</v>
      </c>
      <c r="C28" s="26" t="n">
        <v>16.65</v>
      </c>
      <c r="D28" s="8" t="s">
        <v>489</v>
      </c>
      <c r="E28" s="4" t="s">
        <v>38</v>
      </c>
      <c r="F28" s="8" t="s">
        <v>494</v>
      </c>
    </row>
    <row r="29" customFormat="false" ht="17.15" hidden="false" customHeight="false" outlineLevel="0" collapsed="false">
      <c r="A29" s="4" t="s">
        <v>495</v>
      </c>
      <c r="B29" s="0" t="s">
        <v>496</v>
      </c>
      <c r="C29" s="26" t="n">
        <v>11.73</v>
      </c>
      <c r="D29" s="8" t="s">
        <v>497</v>
      </c>
      <c r="E29" s="4" t="s">
        <v>498</v>
      </c>
      <c r="F29" s="8" t="s">
        <v>494</v>
      </c>
    </row>
    <row r="30" customFormat="false" ht="17.15" hidden="false" customHeight="false" outlineLevel="0" collapsed="false">
      <c r="A30" s="4" t="s">
        <v>499</v>
      </c>
      <c r="B30" s="0" t="s">
        <v>500</v>
      </c>
      <c r="C30" s="26" t="n">
        <v>11.52</v>
      </c>
      <c r="D30" s="8" t="s">
        <v>497</v>
      </c>
      <c r="E30" s="4" t="s">
        <v>498</v>
      </c>
      <c r="F30" s="8" t="s">
        <v>494</v>
      </c>
    </row>
    <row r="31" customFormat="false" ht="17.15" hidden="false" customHeight="false" outlineLevel="0" collapsed="false">
      <c r="A31" s="4" t="s">
        <v>501</v>
      </c>
      <c r="E31" s="4" t="s">
        <v>502</v>
      </c>
    </row>
    <row r="32" customFormat="false" ht="17.15" hidden="false" customHeight="false" outlineLevel="0" collapsed="false">
      <c r="A32" s="10" t="s">
        <v>503</v>
      </c>
      <c r="B32" s="27" t="n">
        <f aca="false">MEDIAN(C27:C30)</f>
        <v>14.19</v>
      </c>
      <c r="C32" s="9"/>
      <c r="D32" s="9"/>
      <c r="E32" s="9"/>
    </row>
    <row r="33" customFormat="false" ht="17.15" hidden="false" customHeight="false" outlineLevel="0" collapsed="false">
      <c r="A33" s="4" t="s">
        <v>504</v>
      </c>
      <c r="B33" s="14" t="n">
        <f aca="false">2/12*PL!E213+10/12*PL!F213</f>
        <v>165.532382447675</v>
      </c>
      <c r="C33" s="14" t="n">
        <f aca="false">2/12*PL!E222+10/12*PL!F222</f>
        <v>136.092213448942</v>
      </c>
      <c r="D33" s="14" t="n">
        <f aca="false">2/12*PL!E231+10/12*PL!F231</f>
        <v>104.351567799522</v>
      </c>
      <c r="E33" s="4" t="s">
        <v>505</v>
      </c>
    </row>
    <row r="34" customFormat="false" ht="17.15" hidden="false" customHeight="false" outlineLevel="0" collapsed="false">
      <c r="A34" s="0" t="s">
        <v>506</v>
      </c>
      <c r="B34" s="14" t="n">
        <f aca="false">tp_wA*B33+tp_wB*C33+tp_wC*D33</f>
        <v>138.576135018678</v>
      </c>
    </row>
    <row r="35" customFormat="false" ht="17.15" hidden="false" customHeight="false" outlineLevel="0" collapsed="false">
      <c r="A35" s="9" t="s">
        <v>507</v>
      </c>
      <c r="B35" s="25" t="n">
        <f aca="false">B32*B34</f>
        <v>1966.39535591504</v>
      </c>
      <c r="C35" s="9"/>
      <c r="D35" s="9"/>
      <c r="E35" s="10" t="s">
        <v>508</v>
      </c>
    </row>
    <row r="37" customFormat="false" ht="17.15" hidden="false" customHeight="false" outlineLevel="0" collapsed="false">
      <c r="A37" s="6" t="s">
        <v>509</v>
      </c>
    </row>
    <row r="38" customFormat="false" ht="15" hidden="false" customHeight="false" outlineLevel="0" collapsed="false">
      <c r="A38" s="5" t="s">
        <v>21</v>
      </c>
      <c r="B38" s="5" t="s">
        <v>510</v>
      </c>
      <c r="C38" s="5" t="s">
        <v>511</v>
      </c>
      <c r="D38" s="5" t="s">
        <v>511</v>
      </c>
      <c r="E38" s="5" t="s">
        <v>350</v>
      </c>
    </row>
    <row r="39" customFormat="false" ht="17.15" hidden="false" customHeight="false" outlineLevel="0" collapsed="false">
      <c r="A39" s="10" t="s">
        <v>512</v>
      </c>
      <c r="B39" s="25" t="n">
        <f aca="false">tp_w_dcf*B23+(1-tp_w_dcf)*B35</f>
        <v>2275.03974290026</v>
      </c>
      <c r="C39" s="9"/>
      <c r="D39" s="9"/>
      <c r="E39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0" customFormat="false" ht="17.15" hidden="false" customHeight="false" outlineLevel="0" collapsed="false">
      <c r="A40" s="0" t="s">
        <v>513</v>
      </c>
      <c r="B40" s="28" t="n">
        <f aca="false">B35</f>
        <v>1966.39535591504</v>
      </c>
    </row>
    <row r="41" customFormat="false" ht="17.15" hidden="false" customHeight="false" outlineLevel="0" collapsed="false">
      <c r="A41" s="4" t="s">
        <v>514</v>
      </c>
      <c r="B41" s="28" t="n">
        <f aca="false">cons_tp</f>
        <v>3500</v>
      </c>
      <c r="E41" s="8" t="s">
        <v>515</v>
      </c>
    </row>
    <row r="42" customFormat="false" ht="15" hidden="false" customHeight="false" outlineLevel="0" collapsed="false">
      <c r="A42" s="4" t="s">
        <v>516</v>
      </c>
      <c r="B42" s="18" t="n">
        <f aca="false">B39/px-1</f>
        <v>0.281712531211416</v>
      </c>
    </row>
    <row r="43" customFormat="false" ht="17.15" hidden="false" customHeight="false" outlineLevel="0" collapsed="false">
      <c r="A43" s="4" t="s">
        <v>517</v>
      </c>
      <c r="B43" s="18" t="n">
        <f aca="false">B40/px-1</f>
        <v>0.107828369529599</v>
      </c>
    </row>
    <row r="44" customFormat="false" ht="17.15" hidden="false" customHeight="false" outlineLevel="0" collapsed="false">
      <c r="A44" s="4" t="s">
        <v>518</v>
      </c>
      <c r="B44" s="18" t="n">
        <f aca="false">B34/C44-1</f>
        <v>-0.146058921285377</v>
      </c>
      <c r="C44" s="14" t="n">
        <f aca="false">2/12*cons_eps27+10/12*cons_eps28</f>
        <v>162.278333333333</v>
      </c>
      <c r="E44" s="8" t="s">
        <v>519</v>
      </c>
    </row>
    <row r="45" customFormat="false" ht="17.15" hidden="false" customHeight="false" outlineLevel="0" collapsed="false">
      <c r="A45" s="4" t="s">
        <v>520</v>
      </c>
      <c r="B45" s="18" t="n">
        <f aca="false">C45/B32-1</f>
        <v>0.519935330660086</v>
      </c>
      <c r="C45" s="29" t="n">
        <f aca="false">B41/C44</f>
        <v>21.5678823420666</v>
      </c>
      <c r="D45" s="29" t="n">
        <f aca="false">B32</f>
        <v>14.19</v>
      </c>
      <c r="E45" s="8" t="s">
        <v>521</v>
      </c>
    </row>
    <row r="46" customFormat="false" ht="17.15" hidden="false" customHeight="false" outlineLevel="0" collapsed="false">
      <c r="A46" s="4" t="s">
        <v>522</v>
      </c>
      <c r="B46" s="28" t="n">
        <f aca="false">D21*(1+tp_r)</f>
        <v>1519.31098875966</v>
      </c>
      <c r="C46" s="28" t="n">
        <f aca="false">B21*(1+tp_r)</f>
        <v>3280.27935446535</v>
      </c>
      <c r="E46" s="8" t="s">
        <v>523</v>
      </c>
    </row>
    <row r="47" customFormat="false" ht="17.15" hidden="false" customHeight="false" outlineLevel="0" collapsed="false">
      <c r="A47" s="4" t="s">
        <v>524</v>
      </c>
      <c r="B47" s="29" t="n">
        <f aca="false">px/PL!F213</f>
        <v>10.4931541139962</v>
      </c>
      <c r="C47" s="29" t="n">
        <f aca="false">px/PL!F222</f>
        <v>13.2631241704461</v>
      </c>
      <c r="D47" s="29" t="n">
        <f aca="false">px/PL!F231</f>
        <v>18.5396150744705</v>
      </c>
    </row>
    <row r="48" customFormat="false" ht="17.15" hidden="false" customHeight="false" outlineLevel="0" collapsed="false">
      <c r="A48" s="4" t="s">
        <v>525</v>
      </c>
      <c r="B48" s="30" t="n">
        <f aca="false">IF(B47&lt;MIN(B115:B124),0,IF(B47&gt;MAX(B115:B124),1,PERCENTRANK(B115:B124,B47)))</f>
        <v>0</v>
      </c>
      <c r="C48" s="30" t="n">
        <f aca="false">IF(C47&lt;MIN(B115:B124),0,IF(C47&gt;MAX(B115:B124),1,PERCENTRANK(B115:B124,C47)))</f>
        <v>0.0545</v>
      </c>
      <c r="D48" s="30" t="n">
        <f aca="false">IF(D47&lt;MIN(B115:B124),0,IF(D47&gt;MAX(B115:B124),1,PERCENTRANK(B115:B124,D47)))</f>
        <v>0.442</v>
      </c>
      <c r="E48" s="4" t="s">
        <v>526</v>
      </c>
    </row>
    <row r="49" customFormat="false" ht="17.15" hidden="false" customHeight="false" outlineLevel="0" collapsed="false">
      <c r="A49" s="4" t="s">
        <v>527</v>
      </c>
      <c r="B49" s="0" t="s">
        <v>528</v>
      </c>
    </row>
    <row r="50" customFormat="false" ht="17.15" hidden="false" customHeight="false" outlineLevel="0" collapsed="false">
      <c r="A50" s="4" t="s">
        <v>529</v>
      </c>
      <c r="B50" s="16" t="n">
        <f aca="false">ROUND(tp_wA+tp_wB+tp_wC,6)</f>
        <v>1</v>
      </c>
    </row>
    <row r="51" customFormat="false" ht="17.15" hidden="false" customHeight="false" outlineLevel="0" collapsed="false">
      <c r="A51" s="4" t="s">
        <v>530</v>
      </c>
      <c r="B51" s="31" t="str">
        <f aca="false">IF(B42&gt;0.5,"大於 50%",IF(B42&gt;0.25,"25%–50%",IF(B42&gt;=0,"0%–25%",IF(B42&gt;=-0.25,"0%～−25%",IF(B42&gt;=-0.5,"−25%～−50%","小於 −50%")))))</f>
        <v>25%–50%</v>
      </c>
      <c r="E51" s="4" t="s">
        <v>531</v>
      </c>
    </row>
    <row r="52" customFormat="false" ht="17.15" hidden="false" customHeight="false" outlineLevel="0" collapsed="false">
      <c r="A52" s="4" t="s">
        <v>532</v>
      </c>
      <c r="B52" s="31" t="str">
        <f aca="false">IF(B42&gt;0.5,"強力買進",IF(B42&gt;0.25,"買進",IF(B42&gt;=-0.25,"中立",IF(B42&gt;=-0.5,"放空","強力放空"))))</f>
        <v>買進</v>
      </c>
      <c r="E52" s="4" t="s">
        <v>533</v>
      </c>
    </row>
    <row r="54" customFormat="false" ht="15" hidden="false" customHeight="false" outlineLevel="0" collapsed="false">
      <c r="A54" s="1" t="s">
        <v>534</v>
      </c>
    </row>
    <row r="55" customFormat="false" ht="17.15" hidden="false" customHeight="false" outlineLevel="0" collapsed="false">
      <c r="A55" s="5" t="s">
        <v>21</v>
      </c>
      <c r="B55" s="5" t="s">
        <v>535</v>
      </c>
      <c r="C55" s="5" t="s">
        <v>536</v>
      </c>
      <c r="D55" s="5" t="s">
        <v>537</v>
      </c>
      <c r="E55" s="5" t="s">
        <v>350</v>
      </c>
    </row>
    <row r="56" customFormat="false" ht="17.15" hidden="false" customHeight="false" outlineLevel="0" collapsed="false">
      <c r="A56" s="10" t="s">
        <v>538</v>
      </c>
      <c r="B56" s="25" t="n">
        <f aca="false">tp_wA*E83+tp_wB*E84+tp_wC*E85</f>
        <v>3452.51414467191</v>
      </c>
      <c r="C56" s="9"/>
      <c r="D56" s="9"/>
      <c r="E56" s="10" t="s">
        <v>539</v>
      </c>
    </row>
    <row r="57" customFormat="false" ht="15" hidden="false" customHeight="false" outlineLevel="0" collapsed="false">
      <c r="A57" s="4" t="s">
        <v>540</v>
      </c>
      <c r="B57" s="30" t="n">
        <f aca="false">B56/px-1</f>
        <v>0.945078391364459</v>
      </c>
    </row>
    <row r="58" customFormat="false" ht="17.15" hidden="false" customHeight="false" outlineLevel="0" collapsed="false">
      <c r="A58" s="4" t="s">
        <v>541</v>
      </c>
      <c r="B58" s="28" t="n">
        <f aca="false">E83</f>
        <v>3676.27456101603</v>
      </c>
      <c r="C58" s="30" t="n">
        <f aca="false">E83/px-1</f>
        <v>1.07114059775551</v>
      </c>
      <c r="E58" s="8" t="s">
        <v>542</v>
      </c>
    </row>
    <row r="59" customFormat="false" ht="17.15" hidden="false" customHeight="false" outlineLevel="0" collapsed="false">
      <c r="A59" s="4" t="s">
        <v>543</v>
      </c>
      <c r="B59" s="28" t="n">
        <f aca="false">E84</f>
        <v>3676.27456101603</v>
      </c>
      <c r="C59" s="30" t="n">
        <f aca="false">E84/px-1</f>
        <v>1.07114059775551</v>
      </c>
    </row>
    <row r="60" customFormat="false" ht="17.15" hidden="false" customHeight="false" outlineLevel="0" collapsed="false">
      <c r="A60" s="4" t="s">
        <v>544</v>
      </c>
      <c r="B60" s="28" t="n">
        <f aca="false">E85</f>
        <v>2557.47247929544</v>
      </c>
      <c r="C60" s="30" t="n">
        <f aca="false">E85/px-1</f>
        <v>0.440829565800246</v>
      </c>
    </row>
    <row r="61" customFormat="false" ht="17.15" hidden="false" customHeight="false" outlineLevel="0" collapsed="false">
      <c r="A61" s="4" t="s">
        <v>545</v>
      </c>
      <c r="B61" s="30" t="n">
        <f aca="false">tp_wA</f>
        <v>0.3</v>
      </c>
      <c r="C61" s="30" t="n">
        <f aca="false">tp_wB</f>
        <v>0.5</v>
      </c>
      <c r="D61" s="30" t="n">
        <f aca="false">tp_wC</f>
        <v>0.2</v>
      </c>
    </row>
    <row r="62" customFormat="false" ht="17.15" hidden="false" customHeight="false" outlineLevel="0" collapsed="false">
      <c r="A62" s="4" t="s">
        <v>546</v>
      </c>
      <c r="B62" s="0" t="s">
        <v>547</v>
      </c>
    </row>
    <row r="63" customFormat="false" ht="17.15" hidden="false" customHeight="false" outlineLevel="0" collapsed="false">
      <c r="A63" s="4" t="s">
        <v>548</v>
      </c>
      <c r="B63" s="19" t="n">
        <f aca="false">tp_wA+tp_wB+tp_wC</f>
        <v>1</v>
      </c>
    </row>
    <row r="64" customFormat="false" ht="17.15" hidden="false" customHeight="false" outlineLevel="0" collapsed="false">
      <c r="A64" s="6" t="s">
        <v>549</v>
      </c>
    </row>
    <row r="65" customFormat="false" ht="15" hidden="false" customHeight="false" outlineLevel="0" collapsed="false">
      <c r="A65" s="5" t="s">
        <v>21</v>
      </c>
      <c r="B65" s="12" t="s">
        <v>454</v>
      </c>
      <c r="C65" s="12" t="s">
        <v>455</v>
      </c>
      <c r="D65" s="12" t="s">
        <v>456</v>
      </c>
      <c r="E65" s="5" t="s">
        <v>350</v>
      </c>
    </row>
    <row r="66" customFormat="false" ht="17.15" hidden="false" customHeight="false" outlineLevel="0" collapsed="false">
      <c r="A66" s="4" t="s">
        <v>550</v>
      </c>
      <c r="B66" s="28" t="n">
        <f aca="false">px</f>
        <v>1775</v>
      </c>
    </row>
    <row r="67" customFormat="false" ht="17.15" hidden="false" customHeight="false" outlineLevel="0" collapsed="false">
      <c r="A67" s="4" t="s">
        <v>551</v>
      </c>
      <c r="B67" s="29" t="n">
        <f aca="false">px/PL!D14</f>
        <v>20.7430937056285</v>
      </c>
      <c r="C67" s="29" t="n">
        <f aca="false">px/PL!D27</f>
        <v>20.7430937056285</v>
      </c>
      <c r="D67" s="29" t="n">
        <f aca="false">px/PL!D40</f>
        <v>20.7430937056285</v>
      </c>
    </row>
    <row r="68" customFormat="false" ht="17.15" hidden="false" customHeight="false" outlineLevel="0" collapsed="false">
      <c r="A68" s="4" t="s">
        <v>552</v>
      </c>
      <c r="B68" s="29" t="n">
        <f aca="false">px/PL!E14</f>
        <v>12.0416740548794</v>
      </c>
      <c r="C68" s="29" t="n">
        <f aca="false">px/PL!E27</f>
        <v>12.0416740548794</v>
      </c>
      <c r="D68" s="29" t="n">
        <f aca="false">px/PL!E40</f>
        <v>12.0416740548794</v>
      </c>
      <c r="E68" s="8" t="s">
        <v>553</v>
      </c>
    </row>
    <row r="69" customFormat="false" ht="17.15" hidden="false" customHeight="false" outlineLevel="0" collapsed="false">
      <c r="A69" s="4" t="s">
        <v>554</v>
      </c>
      <c r="B69" s="29" t="n">
        <f aca="false">px/PL!F14</f>
        <v>10.4931541139962</v>
      </c>
      <c r="C69" s="29" t="n">
        <f aca="false">px/PL!F27</f>
        <v>13.2631241704461</v>
      </c>
      <c r="D69" s="29" t="n">
        <f aca="false">px/PL!F40</f>
        <v>18.5396150744705</v>
      </c>
    </row>
    <row r="70" customFormat="false" ht="17.15" hidden="false" customHeight="false" outlineLevel="0" collapsed="false">
      <c r="A70" s="4" t="s">
        <v>555</v>
      </c>
      <c r="B70" s="29" t="n">
        <f aca="false">px/PL!G14</f>
        <v>9.12529971079045</v>
      </c>
      <c r="C70" s="29" t="n">
        <f aca="false">px/PL!G27</f>
        <v>10.8564589514054</v>
      </c>
      <c r="D70" s="29" t="n">
        <f aca="false">px/PL!G40</f>
        <v>16.0792745008264</v>
      </c>
    </row>
    <row r="71" customFormat="false" ht="17.15" hidden="false" customHeight="false" outlineLevel="0" collapsed="false">
      <c r="A71" s="4" t="s">
        <v>556</v>
      </c>
      <c r="B71" s="19" t="n">
        <f aca="false">0.2*PL!D14+0.8*PL!E14</f>
        <v>135.037932969974</v>
      </c>
    </row>
    <row r="72" customFormat="false" ht="17.15" hidden="false" customHeight="false" outlineLevel="0" collapsed="false">
      <c r="A72" s="4" t="s">
        <v>557</v>
      </c>
      <c r="B72" s="29" t="n">
        <f aca="false">px/B71</f>
        <v>13.1444547540185</v>
      </c>
    </row>
    <row r="73" customFormat="false" ht="17.15" hidden="false" customHeight="false" outlineLevel="0" collapsed="false">
      <c r="A73" s="4" t="s">
        <v>268</v>
      </c>
      <c r="B73" s="29" t="n">
        <f aca="false">pe_ttm</f>
        <v>27.88</v>
      </c>
    </row>
    <row r="75" customFormat="false" ht="17.15" hidden="false" customHeight="false" outlineLevel="0" collapsed="false">
      <c r="A75" s="6" t="s">
        <v>558</v>
      </c>
    </row>
    <row r="76" customFormat="false" ht="17.15" hidden="false" customHeight="false" outlineLevel="0" collapsed="false">
      <c r="A76" s="5" t="s">
        <v>559</v>
      </c>
      <c r="B76" s="5" t="s">
        <v>560</v>
      </c>
      <c r="C76" s="12" t="s">
        <v>561</v>
      </c>
      <c r="D76" s="5" t="s">
        <v>562</v>
      </c>
      <c r="E76" s="5" t="s">
        <v>563</v>
      </c>
      <c r="F76" s="5" t="s">
        <v>350</v>
      </c>
    </row>
    <row r="77" customFormat="false" ht="17.15" hidden="false" customHeight="false" outlineLevel="0" collapsed="false">
      <c r="A77" s="0" t="s">
        <v>454</v>
      </c>
      <c r="B77" s="0" t="n">
        <f aca="false">INDEX({2026,2027,2028,2029},MATCH(MAX(PL!D84:G84),PL!D84:G84,0))</f>
        <v>2029</v>
      </c>
      <c r="C77" s="0" t="str">
        <f aca="false">IF(B77=2029,"中段",IF(2027&lt;B77,"中段",IF(2027=B77,"見頂","谷底")))</f>
        <v>中段</v>
      </c>
      <c r="D77" s="29" t="n">
        <f aca="false">IF(C77="見頂",pe_peak,IF(C77="谷底",pe_trough,pe_mid))</f>
        <v>24.94</v>
      </c>
      <c r="E77" s="0" t="str">
        <f aca="false">IF(B77=2029,"是：營收到觀測期末仍在增加","否")</f>
        <v>是：營收到觀測期末仍在增加</v>
      </c>
      <c r="F77" s="8" t="s">
        <v>564</v>
      </c>
    </row>
    <row r="78" customFormat="false" ht="15" hidden="false" customHeight="false" outlineLevel="0" collapsed="false">
      <c r="A78" s="0" t="s">
        <v>455</v>
      </c>
      <c r="B78" s="0" t="n">
        <f aca="false">INDEX({2026,2027,2028,2029},MATCH(MAX(PL!D132:G132),PL!D132:G132,0))</f>
        <v>2029</v>
      </c>
      <c r="C78" s="0" t="str">
        <f aca="false">IF(B78=2029,"中段",IF(2027&lt;B78,"中段",IF(2027=B78,"見頂","谷底")))</f>
        <v>中段</v>
      </c>
      <c r="D78" s="29" t="n">
        <f aca="false">IF(C78="見頂",pe_peak,IF(C78="谷底",pe_trough,pe_mid))</f>
        <v>24.94</v>
      </c>
      <c r="E78" s="0" t="str">
        <f aca="false">IF(B78=2029,"是：營收到觀測期末仍在增加","否")</f>
        <v>是：營收到觀測期末仍在增加</v>
      </c>
      <c r="F78" s="4" t="s">
        <v>38</v>
      </c>
    </row>
    <row r="79" customFormat="false" ht="15" hidden="false" customHeight="false" outlineLevel="0" collapsed="false">
      <c r="A79" s="0" t="s">
        <v>456</v>
      </c>
      <c r="B79" s="0" t="n">
        <f aca="false">INDEX({2026,2027,2028,2029},MATCH(MAX(PL!D180:G180),PL!D180:G180,0))</f>
        <v>2027</v>
      </c>
      <c r="C79" s="0" t="str">
        <f aca="false">IF(B79=2029,"中段",IF(2027&lt;B79,"中段",IF(2027=B79,"見頂","谷底")))</f>
        <v>見頂</v>
      </c>
      <c r="D79" s="29" t="n">
        <f aca="false">IF(C79="見頂",pe_peak,IF(C79="谷底",pe_trough,pe_mid))</f>
        <v>17.35</v>
      </c>
      <c r="E79" s="0" t="str">
        <f aca="false">IF(B79=2029,"是：營收到觀測期末仍在增加","否")</f>
        <v>否</v>
      </c>
      <c r="F79" s="4" t="s">
        <v>38</v>
      </c>
    </row>
    <row r="81" customFormat="false" ht="17.15" hidden="false" customHeight="false" outlineLevel="0" collapsed="false">
      <c r="A81" s="6" t="s">
        <v>565</v>
      </c>
    </row>
    <row r="82" customFormat="false" ht="17.15" hidden="false" customHeight="false" outlineLevel="0" collapsed="false">
      <c r="A82" s="5" t="s">
        <v>559</v>
      </c>
      <c r="B82" s="12" t="s">
        <v>566</v>
      </c>
      <c r="C82" s="5" t="s">
        <v>567</v>
      </c>
      <c r="D82" s="5" t="s">
        <v>568</v>
      </c>
      <c r="E82" s="5" t="s">
        <v>569</v>
      </c>
      <c r="F82" s="5" t="s">
        <v>570</v>
      </c>
      <c r="G82" s="5" t="s">
        <v>571</v>
      </c>
    </row>
    <row r="83" customFormat="false" ht="15" hidden="false" customHeight="false" outlineLevel="0" collapsed="false">
      <c r="A83" s="9" t="s">
        <v>454</v>
      </c>
      <c r="B83" s="32" t="n">
        <f aca="false">PL!E14</f>
        <v>147.404753849881</v>
      </c>
      <c r="C83" s="32" t="n">
        <f aca="false">B83</f>
        <v>147.404753849881</v>
      </c>
      <c r="D83" s="27" t="n">
        <f aca="false">D77</f>
        <v>24.94</v>
      </c>
      <c r="E83" s="25" t="n">
        <f aca="false">C83*D83</f>
        <v>3676.27456101603</v>
      </c>
      <c r="F83" s="33" t="n">
        <f aca="false">E83/px-1</f>
        <v>1.07114059775551</v>
      </c>
      <c r="G83" s="27" t="n">
        <f aca="false">px/C83</f>
        <v>12.0416740548794</v>
      </c>
    </row>
    <row r="84" customFormat="false" ht="15" hidden="false" customHeight="false" outlineLevel="0" collapsed="false">
      <c r="A84" s="9" t="s">
        <v>455</v>
      </c>
      <c r="B84" s="32" t="n">
        <f aca="false">PL!E27</f>
        <v>147.404753849881</v>
      </c>
      <c r="C84" s="32" t="n">
        <f aca="false">B84</f>
        <v>147.404753849881</v>
      </c>
      <c r="D84" s="27" t="n">
        <f aca="false">D78</f>
        <v>24.94</v>
      </c>
      <c r="E84" s="25" t="n">
        <f aca="false">C84*D84</f>
        <v>3676.27456101603</v>
      </c>
      <c r="F84" s="33" t="n">
        <f aca="false">E84/px-1</f>
        <v>1.07114059775551</v>
      </c>
      <c r="G84" s="27" t="n">
        <f aca="false">px/C84</f>
        <v>12.0416740548794</v>
      </c>
    </row>
    <row r="85" customFormat="false" ht="15" hidden="false" customHeight="false" outlineLevel="0" collapsed="false">
      <c r="A85" s="9" t="s">
        <v>456</v>
      </c>
      <c r="B85" s="32" t="n">
        <f aca="false">PL!E40</f>
        <v>147.404753849881</v>
      </c>
      <c r="C85" s="32" t="n">
        <f aca="false">B85</f>
        <v>147.404753849881</v>
      </c>
      <c r="D85" s="27" t="n">
        <f aca="false">D79</f>
        <v>17.35</v>
      </c>
      <c r="E85" s="25" t="n">
        <f aca="false">C85*D85</f>
        <v>2557.47247929544</v>
      </c>
      <c r="F85" s="33" t="n">
        <f aca="false">E85/px-1</f>
        <v>0.440829565800246</v>
      </c>
      <c r="G85" s="27" t="n">
        <f aca="false">px/C85</f>
        <v>12.0416740548794</v>
      </c>
    </row>
    <row r="86" customFormat="false" ht="17.15" hidden="false" customHeight="false" outlineLevel="0" collapsed="false">
      <c r="A86" s="6" t="s">
        <v>572</v>
      </c>
    </row>
    <row r="87" customFormat="false" ht="17.15" hidden="false" customHeight="false" outlineLevel="0" collapsed="false">
      <c r="A87" s="12" t="s">
        <v>573</v>
      </c>
      <c r="B87" s="5" t="s">
        <v>574</v>
      </c>
      <c r="C87" s="5" t="s">
        <v>575</v>
      </c>
      <c r="D87" s="5" t="s">
        <v>576</v>
      </c>
    </row>
    <row r="88" customFormat="false" ht="15" hidden="false" customHeight="false" outlineLevel="0" collapsed="false">
      <c r="A88" s="34" t="n">
        <v>1</v>
      </c>
      <c r="B88" s="29" t="n">
        <f aca="false">px*A88/PL!F14</f>
        <v>10.4931541139962</v>
      </c>
      <c r="C88" s="29" t="n">
        <f aca="false">px*A88/PL!F40</f>
        <v>18.5396150744705</v>
      </c>
      <c r="D88" s="29" t="n">
        <f aca="false">pe_mid</f>
        <v>24.94</v>
      </c>
    </row>
    <row r="89" customFormat="false" ht="15" hidden="false" customHeight="false" outlineLevel="0" collapsed="false">
      <c r="A89" s="34" t="n">
        <v>1.1</v>
      </c>
      <c r="B89" s="29" t="n">
        <f aca="false">px*A89/PL!F14</f>
        <v>11.5424695253958</v>
      </c>
      <c r="C89" s="29" t="n">
        <f aca="false">px*A89/PL!F40</f>
        <v>20.3935765819176</v>
      </c>
      <c r="D89" s="29" t="n">
        <f aca="false">pe_mid</f>
        <v>24.94</v>
      </c>
    </row>
    <row r="90" customFormat="false" ht="15" hidden="false" customHeight="false" outlineLevel="0" collapsed="false">
      <c r="A90" s="34" t="n">
        <v>1.21</v>
      </c>
      <c r="B90" s="29" t="n">
        <f aca="false">px*A90/PL!F14</f>
        <v>12.6967164779354</v>
      </c>
      <c r="C90" s="29" t="n">
        <f aca="false">px*A90/PL!F40</f>
        <v>22.4329342401093</v>
      </c>
      <c r="D90" s="29" t="n">
        <f aca="false">pe_mid</f>
        <v>24.94</v>
      </c>
    </row>
    <row r="91" customFormat="false" ht="15" hidden="false" customHeight="false" outlineLevel="0" collapsed="false">
      <c r="A91" s="34" t="n">
        <v>1.5</v>
      </c>
      <c r="B91" s="29" t="n">
        <f aca="false">px*A91/PL!F14</f>
        <v>15.7397311709943</v>
      </c>
      <c r="C91" s="29" t="n">
        <f aca="false">px*A91/PL!F40</f>
        <v>27.8094226117057</v>
      </c>
      <c r="D91" s="29" t="n">
        <f aca="false">pe_mid</f>
        <v>24.94</v>
      </c>
    </row>
    <row r="92" customFormat="false" ht="15" hidden="false" customHeight="false" outlineLevel="0" collapsed="false">
      <c r="A92" s="34" t="n">
        <v>2</v>
      </c>
      <c r="B92" s="29" t="n">
        <f aca="false">px*A92/PL!F14</f>
        <v>20.9863082279923</v>
      </c>
      <c r="C92" s="29" t="n">
        <f aca="false">px*A92/PL!F40</f>
        <v>37.079230148941</v>
      </c>
      <c r="D92" s="29" t="n">
        <f aca="false">pe_mid</f>
        <v>24.94</v>
      </c>
    </row>
    <row r="93" customFormat="false" ht="17.15" hidden="false" customHeight="false" outlineLevel="0" collapsed="false">
      <c r="A93" s="4" t="s">
        <v>577</v>
      </c>
    </row>
    <row r="110" customFormat="false" ht="17.15" hidden="false" customHeight="false" outlineLevel="0" collapsed="false">
      <c r="A110" s="6" t="s">
        <v>578</v>
      </c>
    </row>
    <row r="111" customFormat="false" ht="17.15" hidden="false" customHeight="false" outlineLevel="0" collapsed="false">
      <c r="A111" s="4" t="s">
        <v>579</v>
      </c>
    </row>
    <row r="113" customFormat="false" ht="17.15" hidden="false" customHeight="false" outlineLevel="0" collapsed="false">
      <c r="A113" s="6" t="s">
        <v>580</v>
      </c>
    </row>
    <row r="114" customFormat="false" ht="17.15" hidden="false" customHeight="false" outlineLevel="0" collapsed="false">
      <c r="A114" s="5" t="s">
        <v>581</v>
      </c>
      <c r="B114" s="12" t="s">
        <v>582</v>
      </c>
      <c r="C114" s="12" t="s">
        <v>583</v>
      </c>
      <c r="D114" s="5" t="s">
        <v>584</v>
      </c>
    </row>
    <row r="115" customFormat="false" ht="17.15" hidden="false" customHeight="false" outlineLevel="0" collapsed="false">
      <c r="A115" s="0" t="s">
        <v>585</v>
      </c>
      <c r="B115" s="34" t="n">
        <v>11.4</v>
      </c>
      <c r="D115" s="8" t="s">
        <v>586</v>
      </c>
    </row>
    <row r="116" customFormat="false" ht="15" hidden="false" customHeight="false" outlineLevel="0" collapsed="false">
      <c r="A116" s="0" t="s">
        <v>587</v>
      </c>
      <c r="B116" s="34" t="n">
        <v>18.6</v>
      </c>
    </row>
    <row r="117" customFormat="false" ht="15" hidden="false" customHeight="false" outlineLevel="0" collapsed="false">
      <c r="A117" s="0" t="s">
        <v>588</v>
      </c>
      <c r="B117" s="34" t="n">
        <v>15.8</v>
      </c>
      <c r="C117" s="19" t="n">
        <f aca="false">98.6/5.33</f>
        <v>18.4990619136961</v>
      </c>
    </row>
    <row r="118" customFormat="false" ht="15" hidden="false" customHeight="false" outlineLevel="0" collapsed="false">
      <c r="A118" s="0" t="s">
        <v>589</v>
      </c>
      <c r="B118" s="34" t="n">
        <v>16.3</v>
      </c>
      <c r="C118" s="19" t="n">
        <f aca="false">168/8.91</f>
        <v>18.8552188552189</v>
      </c>
    </row>
    <row r="119" customFormat="false" ht="15" hidden="false" customHeight="false" outlineLevel="0" collapsed="false">
      <c r="A119" s="0" t="s">
        <v>590</v>
      </c>
      <c r="B119" s="34" t="n">
        <v>31.7</v>
      </c>
      <c r="C119" s="19" t="n">
        <f aca="false">316/9.07</f>
        <v>34.8401323042999</v>
      </c>
    </row>
    <row r="120" customFormat="false" ht="15" hidden="false" customHeight="false" outlineLevel="0" collapsed="false">
      <c r="A120" s="0" t="s">
        <v>591</v>
      </c>
      <c r="B120" s="34" t="n">
        <v>28.6</v>
      </c>
      <c r="C120" s="19" t="n">
        <f aca="false">260/8.44</f>
        <v>30.8056872037915</v>
      </c>
    </row>
    <row r="121" customFormat="false" ht="15" hidden="false" customHeight="false" outlineLevel="0" collapsed="false">
      <c r="A121" s="0" t="s">
        <v>592</v>
      </c>
      <c r="B121" s="34" t="n">
        <v>15.2</v>
      </c>
      <c r="C121" s="19" t="n">
        <f aca="false">234.5/14.64</f>
        <v>16.0177595628415</v>
      </c>
    </row>
    <row r="122" customFormat="false" ht="15" hidden="false" customHeight="false" outlineLevel="0" collapsed="false">
      <c r="A122" s="0" t="s">
        <v>593</v>
      </c>
      <c r="B122" s="34" t="n">
        <v>31.7</v>
      </c>
      <c r="C122" s="19" t="n">
        <f aca="false">523/15.99</f>
        <v>32.70794246404</v>
      </c>
    </row>
    <row r="123" customFormat="false" ht="15" hidden="false" customHeight="false" outlineLevel="0" collapsed="false">
      <c r="A123" s="0" t="s">
        <v>594</v>
      </c>
      <c r="B123" s="34" t="n">
        <v>35</v>
      </c>
      <c r="C123" s="19" t="n">
        <f aca="false">773/21.49</f>
        <v>35.9702187063751</v>
      </c>
    </row>
    <row r="124" customFormat="false" ht="15" hidden="false" customHeight="false" outlineLevel="0" collapsed="false">
      <c r="A124" s="0" t="s">
        <v>595</v>
      </c>
      <c r="B124" s="34" t="n">
        <v>25.2</v>
      </c>
      <c r="C124" s="19" t="n">
        <f aca="false">1185/47.13</f>
        <v>25.1432208784214</v>
      </c>
    </row>
    <row r="125" customFormat="false" ht="17.15" hidden="false" customHeight="false" outlineLevel="0" collapsed="false">
      <c r="A125" s="0" t="s">
        <v>596</v>
      </c>
      <c r="B125" s="19" t="n">
        <f aca="false">PERCENTILE(B115:B124,0.25)</f>
        <v>15.925</v>
      </c>
      <c r="C125" s="19" t="n">
        <f aca="false">PERCENTILE(C115:C124,0.25)</f>
        <v>18.7661796198382</v>
      </c>
    </row>
    <row r="126" customFormat="false" ht="15" hidden="false" customHeight="false" outlineLevel="0" collapsed="false">
      <c r="A126" s="4" t="s">
        <v>597</v>
      </c>
      <c r="B126" s="19" t="n">
        <f aca="false">MEDIAN(B115:B124)</f>
        <v>21.9</v>
      </c>
      <c r="C126" s="19" t="n">
        <f aca="false">MEDIAN(C115:C124)</f>
        <v>27.9744540411064</v>
      </c>
    </row>
    <row r="127" customFormat="false" ht="17.15" hidden="false" customHeight="false" outlineLevel="0" collapsed="false">
      <c r="A127" s="0" t="s">
        <v>598</v>
      </c>
      <c r="B127" s="19" t="n">
        <f aca="false">PERCENTILE(B115:B124,0.75)</f>
        <v>30.925</v>
      </c>
      <c r="C127" s="19" t="n">
        <f aca="false">PERCENTILE(C115:C124,0.75)</f>
        <v>33.240989924105</v>
      </c>
    </row>
    <row r="128" customFormat="false" ht="15" hidden="false" customHeight="false" outlineLevel="0" collapsed="false">
      <c r="A128" s="4" t="s">
        <v>599</v>
      </c>
      <c r="B128" s="19" t="n">
        <f aca="false">MIN(B115:B124)</f>
        <v>11.4</v>
      </c>
      <c r="C128" s="19" t="n">
        <f aca="false">MIN(C115:C124)</f>
        <v>16.0177595628415</v>
      </c>
    </row>
    <row r="129" customFormat="false" ht="15" hidden="false" customHeight="false" outlineLevel="0" collapsed="false">
      <c r="A129" s="4" t="s">
        <v>600</v>
      </c>
      <c r="B129" s="19" t="n">
        <f aca="false">MAX(B115:B124)</f>
        <v>35</v>
      </c>
      <c r="C129" s="19" t="n">
        <f aca="false">MAX(C115:C124)</f>
        <v>35.9702187063751</v>
      </c>
    </row>
    <row r="130" customFormat="false" ht="17.15" hidden="false" customHeight="false" outlineLevel="0" collapsed="false">
      <c r="A130" s="1" t="s">
        <v>601</v>
      </c>
      <c r="B130" s="19" t="n">
        <f aca="false">ROUND(AVERAGE(B125,C125),2)</f>
        <v>17.35</v>
      </c>
    </row>
    <row r="131" customFormat="false" ht="17.15" hidden="false" customHeight="false" outlineLevel="0" collapsed="false">
      <c r="A131" s="1" t="s">
        <v>602</v>
      </c>
      <c r="B131" s="19" t="n">
        <f aca="false">ROUND(AVERAGE(B126,C126),2)</f>
        <v>24.94</v>
      </c>
    </row>
    <row r="132" customFormat="false" ht="17.15" hidden="false" customHeight="false" outlineLevel="0" collapsed="false">
      <c r="A132" s="1" t="s">
        <v>603</v>
      </c>
      <c r="B132" s="19" t="n">
        <f aca="false">ROUND(AVERAGE(B127,C127),2)</f>
        <v>32.08</v>
      </c>
    </row>
    <row r="133" customFormat="false" ht="17.15" hidden="false" customHeight="false" outlineLevel="0" collapsed="false">
      <c r="A133" s="1" t="s">
        <v>604</v>
      </c>
      <c r="B133" s="19" t="n">
        <f aca="false">ROUND(MIN(B128,C128),2)</f>
        <v>11.4</v>
      </c>
    </row>
    <row r="134" customFormat="false" ht="17.15" hidden="false" customHeight="false" outlineLevel="0" collapsed="false">
      <c r="A134" s="1" t="s">
        <v>605</v>
      </c>
      <c r="B134" s="19" t="n">
        <f aca="false">ROUND(MAX(B129,C129),2)</f>
        <v>35.97</v>
      </c>
    </row>
    <row r="136" customFormat="false" ht="17.15" hidden="false" customHeight="false" outlineLevel="0" collapsed="false">
      <c r="A136" s="6" t="s">
        <v>606</v>
      </c>
    </row>
    <row r="137" customFormat="false" ht="17.15" hidden="false" customHeight="false" outlineLevel="0" collapsed="false">
      <c r="A137" s="5" t="s">
        <v>607</v>
      </c>
      <c r="B137" s="5" t="s">
        <v>608</v>
      </c>
      <c r="C137" s="5" t="s">
        <v>609</v>
      </c>
      <c r="D137" s="5" t="s">
        <v>24</v>
      </c>
      <c r="E137" s="5" t="s">
        <v>610</v>
      </c>
      <c r="F137" s="5" t="s">
        <v>569</v>
      </c>
      <c r="G137" s="5" t="s">
        <v>611</v>
      </c>
      <c r="H137" s="5" t="s">
        <v>612</v>
      </c>
    </row>
    <row r="138" customFormat="false" ht="17.15" hidden="false" customHeight="false" outlineLevel="0" collapsed="false">
      <c r="A138" s="4" t="s">
        <v>613</v>
      </c>
      <c r="B138" s="0" t="s">
        <v>614</v>
      </c>
      <c r="C138" s="19" t="n">
        <f aca="false">B130</f>
        <v>17.35</v>
      </c>
      <c r="D138" s="8" t="s">
        <v>615</v>
      </c>
      <c r="E138" s="14" t="n">
        <f aca="false">C83</f>
        <v>147.404753849881</v>
      </c>
      <c r="F138" s="20" t="n">
        <f aca="false">C138*E138</f>
        <v>2557.47247929544</v>
      </c>
      <c r="G138" s="18" t="n">
        <f aca="false">F138/px-1</f>
        <v>0.440829565800246</v>
      </c>
      <c r="H138" s="19" t="n">
        <f aca="false">px/E138</f>
        <v>12.0416740548794</v>
      </c>
    </row>
    <row r="139" customFormat="false" ht="17.15" hidden="false" customHeight="false" outlineLevel="0" collapsed="false">
      <c r="A139" s="4" t="s">
        <v>616</v>
      </c>
      <c r="B139" s="4" t="s">
        <v>617</v>
      </c>
      <c r="C139" s="19" t="n">
        <f aca="false">B131</f>
        <v>24.94</v>
      </c>
      <c r="D139" s="8" t="s">
        <v>615</v>
      </c>
      <c r="E139" s="14" t="n">
        <f aca="false">C83</f>
        <v>147.404753849881</v>
      </c>
      <c r="F139" s="20" t="n">
        <f aca="false">C139*E139</f>
        <v>3676.27456101603</v>
      </c>
      <c r="G139" s="18" t="n">
        <f aca="false">F139/px-1</f>
        <v>1.07114059775551</v>
      </c>
      <c r="H139" s="19" t="n">
        <f aca="false">px/E139</f>
        <v>12.0416740548794</v>
      </c>
    </row>
    <row r="140" customFormat="false" ht="17.15" hidden="false" customHeight="false" outlineLevel="0" collapsed="false">
      <c r="A140" s="4" t="s">
        <v>618</v>
      </c>
      <c r="B140" s="0" t="s">
        <v>619</v>
      </c>
      <c r="C140" s="19" t="n">
        <f aca="false">B132</f>
        <v>32.08</v>
      </c>
      <c r="D140" s="8" t="s">
        <v>615</v>
      </c>
      <c r="E140" s="14" t="n">
        <f aca="false">C83</f>
        <v>147.404753849881</v>
      </c>
      <c r="F140" s="20" t="n">
        <f aca="false">C140*E140</f>
        <v>4728.74450350418</v>
      </c>
      <c r="G140" s="18" t="n">
        <f aca="false">F140/px-1</f>
        <v>1.66408141042489</v>
      </c>
      <c r="H140" s="19" t="n">
        <f aca="false">px/E140</f>
        <v>12.0416740548794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620</v>
      </c>
    </row>
    <row r="3" customFormat="false" ht="17.15" hidden="false" customHeight="false" outlineLevel="0" collapsed="false">
      <c r="A3" s="5" t="s">
        <v>21</v>
      </c>
      <c r="B3" s="5" t="s">
        <v>621</v>
      </c>
      <c r="C3" s="5" t="s">
        <v>622</v>
      </c>
      <c r="D3" s="5" t="s">
        <v>623</v>
      </c>
      <c r="E3" s="5" t="s">
        <v>624</v>
      </c>
      <c r="F3" s="5" t="s">
        <v>625</v>
      </c>
      <c r="G3" s="5" t="s">
        <v>626</v>
      </c>
      <c r="H3" s="5" t="s">
        <v>627</v>
      </c>
      <c r="I3" s="5" t="s">
        <v>628</v>
      </c>
      <c r="J3" s="5" t="s">
        <v>350</v>
      </c>
    </row>
    <row r="4" customFormat="false" ht="17.15" hidden="false" customHeight="false" outlineLevel="0" collapsed="false">
      <c r="A4" s="6" t="s">
        <v>629</v>
      </c>
    </row>
    <row r="5" customFormat="false" ht="17.15" hidden="false" customHeight="false" outlineLevel="0" collapsed="false">
      <c r="A5" s="0" t="s">
        <v>630</v>
      </c>
      <c r="B5" s="14" t="n">
        <f aca="false">cons_rev26</f>
        <v>412.45</v>
      </c>
      <c r="C5" s="14" t="n">
        <f aca="false">PL!D84</f>
        <v>410.7612</v>
      </c>
      <c r="D5" s="18" t="n">
        <f aca="false">C5/B5-1</f>
        <v>-0.0040945569159897</v>
      </c>
      <c r="E5" s="14" t="n">
        <f aca="false">PL!D132</f>
        <v>410.7612</v>
      </c>
      <c r="F5" s="18" t="n">
        <f aca="false">E5/B5-1</f>
        <v>-0.0040945569159897</v>
      </c>
      <c r="G5" s="14" t="n">
        <f aca="false">PL!D180</f>
        <v>410.7612</v>
      </c>
      <c r="H5" s="18" t="n">
        <f aca="false">G5/B5-1</f>
        <v>-0.0040945569159897</v>
      </c>
      <c r="I5" s="8" t="s">
        <v>631</v>
      </c>
      <c r="J5" s="4" t="s">
        <v>632</v>
      </c>
    </row>
    <row r="6" customFormat="false" ht="17.15" hidden="false" customHeight="false" outlineLevel="0" collapsed="false">
      <c r="A6" s="0" t="s">
        <v>633</v>
      </c>
      <c r="B6" s="14" t="n">
        <f aca="false">cons_eps26</f>
        <v>85.85</v>
      </c>
      <c r="C6" s="14" t="n">
        <f aca="false">PL!D104</f>
        <v>85.5706494503455</v>
      </c>
      <c r="D6" s="18" t="n">
        <f aca="false">C6/B6-1</f>
        <v>-0.0032539376779791</v>
      </c>
      <c r="E6" s="14" t="n">
        <f aca="false">PL!D152</f>
        <v>85.5706494503455</v>
      </c>
      <c r="F6" s="18" t="n">
        <f aca="false">E6/B6-1</f>
        <v>-0.0032539376779791</v>
      </c>
      <c r="G6" s="14" t="n">
        <f aca="false">PL!D200</f>
        <v>85.5706494503455</v>
      </c>
      <c r="H6" s="18" t="n">
        <f aca="false">G6/B6-1</f>
        <v>-0.0032539376779791</v>
      </c>
      <c r="I6" s="8" t="s">
        <v>631</v>
      </c>
    </row>
    <row r="7" customFormat="false" ht="17.15" hidden="false" customHeight="false" outlineLevel="0" collapsed="false">
      <c r="A7" s="0" t="s">
        <v>634</v>
      </c>
      <c r="B7" s="14" t="n">
        <f aca="false">cons_rev27</f>
        <v>551.5</v>
      </c>
      <c r="C7" s="14" t="n">
        <f aca="false">PL!E84</f>
        <v>650.908996130894</v>
      </c>
      <c r="D7" s="18" t="n">
        <f aca="false">C7/B7-1</f>
        <v>0.180252032875601</v>
      </c>
      <c r="E7" s="14" t="n">
        <f aca="false">PL!E132</f>
        <v>650.908996130894</v>
      </c>
      <c r="F7" s="18" t="n">
        <f aca="false">E7/B7-1</f>
        <v>0.180252032875601</v>
      </c>
      <c r="G7" s="14" t="n">
        <f aca="false">PL!E180</f>
        <v>650.908996130894</v>
      </c>
      <c r="H7" s="18" t="n">
        <f aca="false">G7/B7-1</f>
        <v>0.180252032875601</v>
      </c>
      <c r="I7" s="8" t="s">
        <v>631</v>
      </c>
    </row>
    <row r="8" customFormat="false" ht="17.15" hidden="false" customHeight="false" outlineLevel="0" collapsed="false">
      <c r="A8" s="0" t="s">
        <v>635</v>
      </c>
      <c r="B8" s="14" t="n">
        <f aca="false">cons_eps27</f>
        <v>120.82</v>
      </c>
      <c r="C8" s="14" t="n">
        <f aca="false">PL!E104</f>
        <v>147.404753849881</v>
      </c>
      <c r="D8" s="18" t="n">
        <f aca="false">C8/B8-1</f>
        <v>0.220036035837453</v>
      </c>
      <c r="E8" s="14" t="n">
        <f aca="false">PL!E152</f>
        <v>147.404753849881</v>
      </c>
      <c r="F8" s="18" t="n">
        <f aca="false">E8/B8-1</f>
        <v>0.220036035837453</v>
      </c>
      <c r="G8" s="14" t="n">
        <f aca="false">PL!E200</f>
        <v>147.404753849881</v>
      </c>
      <c r="H8" s="18" t="n">
        <f aca="false">G8/B8-1</f>
        <v>0.220036035837453</v>
      </c>
      <c r="I8" s="8" t="s">
        <v>631</v>
      </c>
      <c r="J8" s="4" t="s">
        <v>636</v>
      </c>
    </row>
    <row r="9" customFormat="false" ht="17.15" hidden="false" customHeight="false" outlineLevel="0" collapsed="false">
      <c r="A9" s="0" t="s">
        <v>637</v>
      </c>
      <c r="B9" s="14" t="n">
        <f aca="false">cons_eps28</f>
        <v>170.57</v>
      </c>
      <c r="C9" s="14" t="n">
        <f aca="false">PL!F104</f>
        <v>169.157908167234</v>
      </c>
      <c r="D9" s="18" t="n">
        <f aca="false">C9/B9-1</f>
        <v>-0.00827866467002314</v>
      </c>
      <c r="E9" s="14" t="n">
        <f aca="false">PL!F152</f>
        <v>133.829705368754</v>
      </c>
      <c r="F9" s="18" t="n">
        <f aca="false">E9/B9-1</f>
        <v>-0.215397166156101</v>
      </c>
      <c r="G9" s="14" t="n">
        <f aca="false">PL!F200</f>
        <v>95.74093058945</v>
      </c>
      <c r="H9" s="18" t="n">
        <f aca="false">G9/B9-1</f>
        <v>-0.438700061033887</v>
      </c>
      <c r="I9" s="8" t="s">
        <v>631</v>
      </c>
    </row>
    <row r="10" customFormat="false" ht="17.15" hidden="false" customHeight="false" outlineLevel="0" collapsed="false">
      <c r="A10" s="6" t="s">
        <v>638</v>
      </c>
    </row>
    <row r="11" customFormat="false" ht="17.15" hidden="false" customHeight="false" outlineLevel="0" collapsed="false">
      <c r="A11" s="0" t="s">
        <v>639</v>
      </c>
      <c r="B11" s="18" t="n">
        <f aca="false">br_sw26</f>
        <v>0.48</v>
      </c>
      <c r="C11" s="18" t="n">
        <f aca="false">(PL!D76+a25_rev*sw25s*(1-af25)*(1+g_nai26))/PL!D84</f>
        <v>0.4800503066015</v>
      </c>
      <c r="D11" s="18" t="n">
        <f aca="false">C11-B11</f>
        <v>5.03066014999054E-005</v>
      </c>
      <c r="E11" s="18" t="n">
        <f aca="false">(PL!D124+a25_rev*sw25s*(1-af25)*(1+g_nai26))/PL!D132</f>
        <v>0.4800503066015</v>
      </c>
      <c r="F11" s="18" t="n">
        <f aca="false">E11-B11</f>
        <v>5.03066014999054E-005</v>
      </c>
      <c r="G11" s="18" t="n">
        <f aca="false">(PL!D172+a25_rev*sw25s*(1-af25)*(1+g_nai26))/PL!D180</f>
        <v>0.4800503066015</v>
      </c>
      <c r="H11" s="18" t="n">
        <f aca="false">G11-B11</f>
        <v>5.03066014999054E-005</v>
      </c>
      <c r="I11" s="4" t="s">
        <v>640</v>
      </c>
      <c r="J11" s="4" t="s">
        <v>641</v>
      </c>
    </row>
    <row r="12" customFormat="false" ht="17.15" hidden="false" customHeight="false" outlineLevel="0" collapsed="false">
      <c r="A12" s="0" t="s">
        <v>642</v>
      </c>
      <c r="B12" s="18" t="n">
        <f aca="false">1-dell_top2</f>
        <v>0.5</v>
      </c>
      <c r="C12" s="18" t="n">
        <f aca="false">PL!D76/fx/PL!D70</f>
        <v>0.184756792151886</v>
      </c>
      <c r="D12" s="18" t="n">
        <f aca="false">C12-B12</f>
        <v>-0.315243207848114</v>
      </c>
      <c r="E12" s="18" t="n">
        <f aca="false">PL!D124/fx/PL!D118</f>
        <v>0.184756792151886</v>
      </c>
      <c r="F12" s="18" t="n">
        <f aca="false">E12-B12</f>
        <v>-0.315243207848114</v>
      </c>
      <c r="G12" s="18" t="n">
        <f aca="false">PL!D172/fx/PL!D166</f>
        <v>0.184756792151886</v>
      </c>
      <c r="H12" s="18" t="n">
        <f aca="false">G12-B12</f>
        <v>-0.315243207848114</v>
      </c>
      <c r="I12" s="8" t="s">
        <v>643</v>
      </c>
      <c r="J12" s="4" t="s">
        <v>644</v>
      </c>
    </row>
    <row r="13" customFormat="false" ht="17.15" hidden="false" customHeight="false" outlineLevel="0" collapsed="false">
      <c r="A13" s="0" t="s">
        <v>645</v>
      </c>
      <c r="C13" s="18" t="n">
        <f aca="false">PL!E91</f>
        <v>0.926158915907294</v>
      </c>
      <c r="E13" s="18" t="n">
        <f aca="false">PL!E139</f>
        <v>0.926158915907294</v>
      </c>
      <c r="G13" s="18" t="n">
        <f aca="false">PL!E187</f>
        <v>0.926158915907294</v>
      </c>
      <c r="I13" s="8" t="s">
        <v>112</v>
      </c>
    </row>
    <row r="14" customFormat="false" ht="17.15" hidden="false" customHeight="false" outlineLevel="0" collapsed="false">
      <c r="A14" s="0" t="s">
        <v>646</v>
      </c>
      <c r="C14" s="15" t="n">
        <f aca="false">(PL!E76+PL!E81)/fx/itc_27</f>
        <v>0.0120349516524039</v>
      </c>
      <c r="E14" s="15" t="n">
        <f aca="false">(PL!E124+PL!E129)/fx/itc_27</f>
        <v>0.0120349516524039</v>
      </c>
      <c r="G14" s="15" t="n">
        <f aca="false">(PL!E172+PL!E177)/fx/itc_27</f>
        <v>0.0120349516524039</v>
      </c>
      <c r="I14" s="8" t="s">
        <v>647</v>
      </c>
    </row>
    <row r="15" customFormat="false" ht="17.15" hidden="false" customHeight="false" outlineLevel="0" collapsed="false">
      <c r="A15" s="0" t="s">
        <v>648</v>
      </c>
      <c r="C15" s="19" t="n">
        <f aca="false">PL!D79/fx</f>
        <v>3.209071875</v>
      </c>
      <c r="E15" s="19" t="n">
        <f aca="false">PL!D127/fx</f>
        <v>3.209071875</v>
      </c>
      <c r="G15" s="19" t="n">
        <f aca="false">PL!D175/fx</f>
        <v>3.209071875</v>
      </c>
      <c r="I15" s="8" t="s">
        <v>112</v>
      </c>
      <c r="J15" s="4" t="s">
        <v>649</v>
      </c>
    </row>
    <row r="16" customFormat="false" ht="17.15" hidden="false" customHeight="false" outlineLevel="0" collapsed="false">
      <c r="A16" s="6" t="s">
        <v>650</v>
      </c>
    </row>
    <row r="17" customFormat="false" ht="17.15" hidden="false" customHeight="false" outlineLevel="0" collapsed="false">
      <c r="A17" s="4" t="s">
        <v>651</v>
      </c>
      <c r="C17" s="18" t="n">
        <f aca="false">PL!D94</f>
        <v>0.219589247962076</v>
      </c>
      <c r="E17" s="18" t="n">
        <f aca="false">PL!D142</f>
        <v>0.219589247962076</v>
      </c>
      <c r="G17" s="18" t="n">
        <f aca="false">PL!D190</f>
        <v>0.219589247962076</v>
      </c>
      <c r="I17" s="8" t="s">
        <v>652</v>
      </c>
      <c r="J17" s="4" t="s">
        <v>653</v>
      </c>
    </row>
    <row r="18" customFormat="false" ht="17.15" hidden="false" customHeight="false" outlineLevel="0" collapsed="false">
      <c r="A18" s="0" t="s">
        <v>654</v>
      </c>
      <c r="B18" s="18" t="n">
        <f aca="false">a26_gp/a26_rev</f>
        <v>0.189589247962076</v>
      </c>
      <c r="C18" s="18" t="n">
        <f aca="false">PL!E96</f>
        <v>0.198291047165337</v>
      </c>
      <c r="D18" s="18" t="n">
        <f aca="false">C18-B18</f>
        <v>0.00870179920326036</v>
      </c>
      <c r="E18" s="18" t="n">
        <f aca="false">PL!E144</f>
        <v>0.198291047165337</v>
      </c>
      <c r="F18" s="18" t="n">
        <f aca="false">E18-B18</f>
        <v>0.00870179920326036</v>
      </c>
      <c r="G18" s="18" t="n">
        <f aca="false">PL!E192</f>
        <v>0.198291047165337</v>
      </c>
      <c r="H18" s="18" t="n">
        <f aca="false">G18-B18</f>
        <v>0.00870179920326036</v>
      </c>
      <c r="I18" s="4" t="s">
        <v>655</v>
      </c>
    </row>
    <row r="19" customFormat="false" ht="17.15" hidden="false" customHeight="false" outlineLevel="0" collapsed="false">
      <c r="A19" s="0" t="s">
        <v>344</v>
      </c>
      <c r="B19" s="19" t="n">
        <v>23.91</v>
      </c>
      <c r="C19" s="19" t="n">
        <f aca="false">Q!E13</f>
        <v>25.0594332267712</v>
      </c>
      <c r="D19" s="18" t="n">
        <f aca="false">C19/B19-1</f>
        <v>0.0480733260882966</v>
      </c>
      <c r="E19" s="19" t="n">
        <f aca="false">Q!E13</f>
        <v>25.0594332267712</v>
      </c>
      <c r="F19" s="18" t="n">
        <f aca="false">E19/B19-1</f>
        <v>0.0480733260882966</v>
      </c>
      <c r="G19" s="19" t="n">
        <f aca="false">Q!E13</f>
        <v>25.0594332267712</v>
      </c>
      <c r="H19" s="18" t="n">
        <f aca="false">G19/B19-1</f>
        <v>0.0480733260882966</v>
      </c>
      <c r="I19" s="4" t="s">
        <v>656</v>
      </c>
    </row>
    <row r="20" customFormat="false" ht="17.15" hidden="false" customHeight="false" outlineLevel="0" collapsed="false">
      <c r="A20" s="6" t="s">
        <v>657</v>
      </c>
    </row>
    <row r="21" customFormat="false" ht="17.15" hidden="false" customHeight="false" outlineLevel="0" collapsed="false">
      <c r="A21" s="0" t="s">
        <v>658</v>
      </c>
      <c r="J21" s="4" t="s">
        <v>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660</v>
      </c>
    </row>
    <row r="3" customFormat="false" ht="17.15" hidden="false" customHeight="false" outlineLevel="0" collapsed="false">
      <c r="A3" s="5" t="s">
        <v>661</v>
      </c>
      <c r="B3" s="5" t="s">
        <v>662</v>
      </c>
      <c r="C3" s="12" t="s">
        <v>663</v>
      </c>
      <c r="D3" s="12" t="s">
        <v>664</v>
      </c>
      <c r="E3" s="12" t="s">
        <v>665</v>
      </c>
      <c r="F3" s="12" t="s">
        <v>566</v>
      </c>
      <c r="G3" s="12" t="s">
        <v>666</v>
      </c>
      <c r="H3" s="12" t="s">
        <v>667</v>
      </c>
      <c r="I3" s="12" t="s">
        <v>668</v>
      </c>
      <c r="J3" s="12" t="s">
        <v>669</v>
      </c>
      <c r="K3" s="12" t="s">
        <v>670</v>
      </c>
      <c r="L3" s="12" t="s">
        <v>671</v>
      </c>
    </row>
    <row r="4" customFormat="false" ht="17.15" hidden="false" customHeight="false" outlineLevel="0" collapsed="false">
      <c r="A4" s="4" t="s">
        <v>672</v>
      </c>
      <c r="B4" s="0" t="s">
        <v>673</v>
      </c>
      <c r="C4" s="20" t="n">
        <f aca="false">PL!E84</f>
        <v>650.908996130894</v>
      </c>
      <c r="D4" s="20" t="n">
        <f aca="false">PL!E76</f>
        <v>371.791995210894</v>
      </c>
      <c r="E4" s="18" t="n">
        <f aca="false">PL!E96</f>
        <v>0.198291047165337</v>
      </c>
      <c r="F4" s="19" t="n">
        <f aca="false">PL!E104</f>
        <v>147.404753849881</v>
      </c>
      <c r="G4" s="18" t="n">
        <f aca="false">F4/F$4-1</f>
        <v>0</v>
      </c>
      <c r="H4" s="20" t="n">
        <f aca="false">PL!F84</f>
        <v>738.706196870144</v>
      </c>
      <c r="I4" s="20" t="n">
        <f aca="false">PL!F76</f>
        <v>426.378914654143</v>
      </c>
      <c r="J4" s="18" t="n">
        <f aca="false">PL!F96</f>
        <v>0.198320148059342</v>
      </c>
      <c r="K4" s="19" t="n">
        <f aca="false">PL!F104</f>
        <v>169.157908167234</v>
      </c>
      <c r="L4" s="18" t="n">
        <f aca="false">K4/K$4-1</f>
        <v>0</v>
      </c>
    </row>
    <row r="5" customFormat="false" ht="17.15" hidden="false" customHeight="false" outlineLevel="0" collapsed="false">
      <c r="A5" s="4" t="s">
        <v>674</v>
      </c>
      <c r="B5" s="4" t="s">
        <v>675</v>
      </c>
      <c r="C5" s="20" t="n">
        <f aca="false">E64</f>
        <v>576.550597088715</v>
      </c>
      <c r="D5" s="20" t="n">
        <f aca="false">E56</f>
        <v>297.433596168715</v>
      </c>
      <c r="E5" s="18" t="n">
        <f aca="false">E76</f>
        <v>0.195544193512385</v>
      </c>
      <c r="F5" s="19" t="n">
        <f aca="false">E84</f>
        <v>127.184436962286</v>
      </c>
      <c r="G5" s="18" t="n">
        <f aca="false">F5/F$4-1</f>
        <v>-0.137175473378472</v>
      </c>
      <c r="H5" s="20" t="n">
        <f aca="false">F64</f>
        <v>626.501219329579</v>
      </c>
      <c r="I5" s="20" t="n">
        <f aca="false">F56</f>
        <v>314.173937113579</v>
      </c>
      <c r="J5" s="18" t="n">
        <f aca="false">F76</f>
        <v>0.194510899484458</v>
      </c>
      <c r="K5" s="19" t="n">
        <f aca="false">F84</f>
        <v>138.379950053793</v>
      </c>
      <c r="L5" s="18" t="n">
        <f aca="false">K5/K$4-1</f>
        <v>-0.18194808890054</v>
      </c>
    </row>
    <row r="6" customFormat="false" ht="17.15" hidden="false" customHeight="false" outlineLevel="0" collapsed="false">
      <c r="A6" s="4" t="s">
        <v>676</v>
      </c>
      <c r="B6" s="4" t="s">
        <v>677</v>
      </c>
      <c r="C6" s="20" t="n">
        <f aca="false">E112</f>
        <v>688.088195651984</v>
      </c>
      <c r="D6" s="20" t="n">
        <f aca="false">E104</f>
        <v>408.971194731984</v>
      </c>
      <c r="E6" s="18" t="n">
        <f aca="false">E124</f>
        <v>0.199441844493159</v>
      </c>
      <c r="F6" s="19" t="n">
        <f aca="false">E132</f>
        <v>157.514912293678</v>
      </c>
      <c r="G6" s="18" t="n">
        <f aca="false">F6/F$4-1</f>
        <v>0.0685877366892362</v>
      </c>
      <c r="H6" s="20" t="n">
        <f aca="false">F112</f>
        <v>806.029183394482</v>
      </c>
      <c r="I6" s="20" t="n">
        <f aca="false">F104</f>
        <v>493.701901178482</v>
      </c>
      <c r="J6" s="18" t="n">
        <f aca="false">F124</f>
        <v>0.200096633769334</v>
      </c>
      <c r="K6" s="19" t="n">
        <f aca="false">F132</f>
        <v>187.688506012329</v>
      </c>
      <c r="L6" s="18" t="n">
        <f aca="false">K6/K$4-1</f>
        <v>0.109546151556657</v>
      </c>
    </row>
    <row r="7" customFormat="false" ht="17.15" hidden="false" customHeight="false" outlineLevel="0" collapsed="false">
      <c r="A7" s="4" t="s">
        <v>678</v>
      </c>
      <c r="B7" s="0" t="s">
        <v>679</v>
      </c>
      <c r="C7" s="20" t="n">
        <f aca="false">E160</f>
        <v>635.088060164473</v>
      </c>
      <c r="D7" s="20" t="n">
        <f aca="false">E152</f>
        <v>355.971059244473</v>
      </c>
      <c r="E7" s="18" t="n">
        <f aca="false">E172</f>
        <v>0.197760479056533</v>
      </c>
      <c r="F7" s="19" t="n">
        <f aca="false">E180</f>
        <v>143.102558767414</v>
      </c>
      <c r="G7" s="18" t="n">
        <f aca="false">F7/F$4-1</f>
        <v>-0.0291862709315897</v>
      </c>
      <c r="H7" s="20" t="n">
        <f aca="false">F160</f>
        <v>712.05751470426</v>
      </c>
      <c r="I7" s="20" t="n">
        <f aca="false">F152</f>
        <v>399.73023248826</v>
      </c>
      <c r="J7" s="18" t="n">
        <f aca="false">F172</f>
        <v>0.197524154095992</v>
      </c>
      <c r="K7" s="19" t="n">
        <f aca="false">F180</f>
        <v>161.834524420404</v>
      </c>
      <c r="L7" s="18" t="n">
        <f aca="false">K7/K$4-1</f>
        <v>-0.0432931798824942</v>
      </c>
    </row>
    <row r="8" customFormat="false" ht="15" hidden="false" customHeight="false" outlineLevel="0" collapsed="false">
      <c r="A8" s="4" t="s">
        <v>680</v>
      </c>
      <c r="B8" s="0" t="s">
        <v>681</v>
      </c>
      <c r="C8" s="20" t="n">
        <f aca="false">E208</f>
        <v>648.032462318818</v>
      </c>
      <c r="D8" s="20" t="n">
        <f aca="false">E200</f>
        <v>368.915461398818</v>
      </c>
      <c r="E8" s="18" t="n">
        <f aca="false">E220</f>
        <v>0.198196507156478</v>
      </c>
      <c r="F8" s="19" t="n">
        <f aca="false">E228</f>
        <v>146.62253656216</v>
      </c>
      <c r="G8" s="18" t="n">
        <f aca="false">F8/F$4-1</f>
        <v>-0.00530659471483441</v>
      </c>
      <c r="H8" s="20" t="n">
        <f aca="false">F208</f>
        <v>733.860981930892</v>
      </c>
      <c r="I8" s="20" t="n">
        <f aca="false">F200</f>
        <v>421.533699714892</v>
      </c>
      <c r="J8" s="18" t="n">
        <f aca="false">F220</f>
        <v>0.198179721789067</v>
      </c>
      <c r="K8" s="19" t="n">
        <f aca="false">F228</f>
        <v>167.82608254306</v>
      </c>
      <c r="L8" s="18" t="n">
        <f aca="false">K8/K$4-1</f>
        <v>-0.00787326846615633</v>
      </c>
    </row>
    <row r="9" customFormat="false" ht="15" hidden="false" customHeight="false" outlineLevel="0" collapsed="false">
      <c r="A9" s="4" t="s">
        <v>682</v>
      </c>
      <c r="B9" s="0" t="s">
        <v>683</v>
      </c>
      <c r="C9" s="20" t="n">
        <f aca="false">E256</f>
        <v>642.245235670794</v>
      </c>
      <c r="D9" s="20" t="n">
        <f aca="false">E248</f>
        <v>363.128234750794</v>
      </c>
      <c r="E9" s="18" t="n">
        <f aca="false">E268</f>
        <v>0.19800373867368</v>
      </c>
      <c r="F9" s="19" t="n">
        <f aca="false">E276</f>
        <v>145.048813106159</v>
      </c>
      <c r="G9" s="18" t="n">
        <f aca="false">F9/F$4-1</f>
        <v>-0.015982800297755</v>
      </c>
      <c r="H9" s="20" t="n">
        <f aca="false">F256</f>
        <v>726.005908645118</v>
      </c>
      <c r="I9" s="20" t="n">
        <f aca="false">F248</f>
        <v>413.678626429118</v>
      </c>
      <c r="J9" s="18" t="n">
        <f aca="false">F268</f>
        <v>0.197948079876652</v>
      </c>
      <c r="K9" s="19" t="n">
        <f aca="false">F276</f>
        <v>165.671818851584</v>
      </c>
      <c r="L9" s="18" t="n">
        <f aca="false">K9/K$4-1</f>
        <v>-0.0206084915178986</v>
      </c>
    </row>
    <row r="10" customFormat="false" ht="15" hidden="false" customHeight="false" outlineLevel="0" collapsed="false">
      <c r="A10" s="4" t="s">
        <v>684</v>
      </c>
      <c r="B10" s="0" t="s">
        <v>685</v>
      </c>
      <c r="C10" s="20" t="n">
        <f aca="false">E304</f>
        <v>658.603664027452</v>
      </c>
      <c r="D10" s="20" t="n">
        <f aca="false">E296</f>
        <v>379.486663107452</v>
      </c>
      <c r="E10" s="18" t="n">
        <f aca="false">E316</f>
        <v>0.198539880554636</v>
      </c>
      <c r="F10" s="19" t="n">
        <f aca="false">E324</f>
        <v>149.497168764906</v>
      </c>
      <c r="G10" s="18" t="n">
        <f aca="false">F10/F$4-1</f>
        <v>0.0141950300812916</v>
      </c>
      <c r="H10" s="20" t="n">
        <f aca="false">F304</f>
        <v>742.180065166834</v>
      </c>
      <c r="I10" s="20" t="n">
        <f aca="false">F296</f>
        <v>429.852782950834</v>
      </c>
      <c r="J10" s="18" t="n">
        <f aca="false">F316</f>
        <v>0.198419700789628</v>
      </c>
      <c r="K10" s="19" t="n">
        <f aca="false">F324</f>
        <v>170.088674455207</v>
      </c>
      <c r="L10" s="18" t="n">
        <f aca="false">K10/K$4-1</f>
        <v>0.00550235160778234</v>
      </c>
    </row>
    <row r="11" customFormat="false" ht="17.15" hidden="false" customHeight="false" outlineLevel="0" collapsed="false">
      <c r="A11" s="0" t="s">
        <v>686</v>
      </c>
      <c r="B11" s="0" t="s">
        <v>687</v>
      </c>
      <c r="C11" s="20" t="n">
        <f aca="false">E352</f>
        <v>576.550597088715</v>
      </c>
      <c r="D11" s="20" t="n">
        <f aca="false">E344</f>
        <v>297.433596168715</v>
      </c>
      <c r="E11" s="18" t="n">
        <f aca="false">E364</f>
        <v>0.195544193512385</v>
      </c>
      <c r="F11" s="19" t="n">
        <f aca="false">E372</f>
        <v>127.184436962286</v>
      </c>
      <c r="G11" s="18" t="n">
        <f aca="false">F11/F$4-1</f>
        <v>-0.137175473378472</v>
      </c>
      <c r="H11" s="20" t="n">
        <f aca="false">F352</f>
        <v>653.430413939315</v>
      </c>
      <c r="I11" s="20" t="n">
        <f aca="false">F344</f>
        <v>341.103131723315</v>
      </c>
      <c r="J11" s="18" t="n">
        <f aca="false">F364</f>
        <v>0.195544429164494</v>
      </c>
      <c r="K11" s="19" t="n">
        <f aca="false">F372</f>
        <v>145.81707204265</v>
      </c>
      <c r="L11" s="18" t="n">
        <f aca="false">K11/K$4-1</f>
        <v>-0.137982529918194</v>
      </c>
    </row>
    <row r="12" customFormat="false" ht="17.15" hidden="false" customHeight="false" outlineLevel="0" collapsed="false">
      <c r="A12" s="0" t="s">
        <v>688</v>
      </c>
      <c r="B12" s="0" t="s">
        <v>689</v>
      </c>
      <c r="C12" s="20" t="n">
        <f aca="false">E400</f>
        <v>725.267395173073</v>
      </c>
      <c r="D12" s="20" t="n">
        <f aca="false">E392</f>
        <v>446.150394253073</v>
      </c>
      <c r="E12" s="18" t="n">
        <f aca="false">E412</f>
        <v>0.200474655754754</v>
      </c>
      <c r="F12" s="19" t="n">
        <f aca="false">E420</f>
        <v>167.625070737476</v>
      </c>
      <c r="G12" s="18" t="n">
        <f aca="false">F12/F$4-1</f>
        <v>0.137175473378472</v>
      </c>
      <c r="H12" s="20" t="n">
        <f aca="false">F400</f>
        <v>823.981979800972</v>
      </c>
      <c r="I12" s="20" t="n">
        <f aca="false">F392</f>
        <v>511.654697584972</v>
      </c>
      <c r="J12" s="18" t="n">
        <f aca="false">F412</f>
        <v>0.200521335938327</v>
      </c>
      <c r="K12" s="19" t="n">
        <f aca="false">F420</f>
        <v>192.500657522409</v>
      </c>
      <c r="L12" s="18" t="n">
        <f aca="false">K12/K$4-1</f>
        <v>0.137993840241257</v>
      </c>
    </row>
    <row r="13" customFormat="false" ht="17.15" hidden="false" customHeight="false" outlineLevel="0" collapsed="false">
      <c r="A13" s="0" t="s">
        <v>690</v>
      </c>
      <c r="B13" s="4" t="s">
        <v>691</v>
      </c>
      <c r="C13" s="20" t="n">
        <f aca="false">E448</f>
        <v>586.727558630894</v>
      </c>
      <c r="D13" s="20" t="n">
        <f aca="false">E440</f>
        <v>371.791995210894</v>
      </c>
      <c r="E13" s="18" t="n">
        <f aca="false">E460</f>
        <v>0.202524591457167</v>
      </c>
      <c r="F13" s="19" t="n">
        <f aca="false">E468</f>
        <v>135.367509810058</v>
      </c>
      <c r="G13" s="18" t="n">
        <f aca="false">F13/F$4-1</f>
        <v>-0.0816611657727273</v>
      </c>
      <c r="H13" s="20" t="n">
        <f aca="false">F448</f>
        <v>646.284926870144</v>
      </c>
      <c r="I13" s="20" t="n">
        <f aca="false">F440</f>
        <v>426.378914654143</v>
      </c>
      <c r="J13" s="18" t="n">
        <f aca="false">F460</f>
        <v>0.203858818120189</v>
      </c>
      <c r="K13" s="19" t="n">
        <f aca="false">F468</f>
        <v>151.609892289066</v>
      </c>
      <c r="L13" s="18" t="n">
        <f aca="false">K13/K$4-1</f>
        <v>-0.103737484509559</v>
      </c>
    </row>
    <row r="14" customFormat="false" ht="17.15" hidden="false" customHeight="false" outlineLevel="0" collapsed="false">
      <c r="A14" s="0" t="s">
        <v>692</v>
      </c>
      <c r="B14" s="0" t="s">
        <v>693</v>
      </c>
      <c r="C14" s="20" t="n">
        <f aca="false">E496</f>
        <v>604.698361130894</v>
      </c>
      <c r="D14" s="20" t="n">
        <f aca="false">E488</f>
        <v>371.791995210894</v>
      </c>
      <c r="E14" s="18" t="n">
        <f aca="false">E508</f>
        <v>0.201248612179206</v>
      </c>
      <c r="F14" s="19" t="n">
        <f aca="false">E516</f>
        <v>138.737938141208</v>
      </c>
      <c r="G14" s="18" t="n">
        <f aca="false">F14/F$4-1</f>
        <v>-0.0587960393563637</v>
      </c>
      <c r="H14" s="20" t="n">
        <f aca="false">F496</f>
        <v>686.334143870144</v>
      </c>
      <c r="I14" s="20" t="n">
        <f aca="false">F488</f>
        <v>426.378914654143</v>
      </c>
      <c r="J14" s="18" t="n">
        <f aca="false">F508</f>
        <v>0.201275584228077</v>
      </c>
      <c r="K14" s="19" t="n">
        <f aca="false">F516</f>
        <v>159.243890489578</v>
      </c>
      <c r="L14" s="18" t="n">
        <f aca="false">K14/K$4-1</f>
        <v>-0.0586080650031129</v>
      </c>
    </row>
    <row r="15" customFormat="false" ht="17.15" hidden="false" customHeight="false" outlineLevel="0" collapsed="false">
      <c r="A15" s="4" t="s">
        <v>694</v>
      </c>
      <c r="B15" s="0" t="s">
        <v>695</v>
      </c>
      <c r="C15" s="20" t="n">
        <f aca="false">E544</f>
        <v>690.281521734107</v>
      </c>
      <c r="D15" s="20" t="n">
        <f aca="false">E536</f>
        <v>448.133028814107</v>
      </c>
      <c r="E15" s="18" t="n">
        <f aca="false">E556</f>
        <v>0.197919203417431</v>
      </c>
      <c r="F15" s="19" t="n">
        <f aca="false">E564</f>
        <v>156.571066080487</v>
      </c>
      <c r="G15" s="18" t="n">
        <f aca="false">F15/F$4-1</f>
        <v>0.0621846446006797</v>
      </c>
      <c r="H15" s="20" t="n">
        <f aca="false">F544</f>
        <v>784.358064601069</v>
      </c>
      <c r="I15" s="20" t="n">
        <f aca="false">F536</f>
        <v>513.928424785069</v>
      </c>
      <c r="J15" s="18" t="n">
        <f aca="false">F556</f>
        <v>0.19796305855748</v>
      </c>
      <c r="K15" s="19" t="n">
        <f aca="false">F564</f>
        <v>179.896774404932</v>
      </c>
      <c r="L15" s="18" t="n">
        <f aca="false">K15/K$4-1</f>
        <v>0.0634842695446487</v>
      </c>
    </row>
    <row r="16" customFormat="false" ht="17.15" hidden="false" customHeight="false" outlineLevel="0" collapsed="false">
      <c r="A16" s="4" t="s">
        <v>696</v>
      </c>
      <c r="B16" s="0" t="s">
        <v>697</v>
      </c>
      <c r="C16" s="20" t="n">
        <f aca="false">E592</f>
        <v>611.536470527682</v>
      </c>
      <c r="D16" s="20" t="n">
        <f aca="false">E584</f>
        <v>295.450961607682</v>
      </c>
      <c r="E16" s="18" t="n">
        <f aca="false">E604</f>
        <v>0.198092695335994</v>
      </c>
      <c r="F16" s="19" t="n">
        <f aca="false">E612</f>
        <v>137.706879369208</v>
      </c>
      <c r="G16" s="18" t="n">
        <f aca="false">F16/F$4-1</f>
        <v>-0.0657907850824773</v>
      </c>
      <c r="H16" s="20" t="n">
        <f aca="false">F592</f>
        <v>693.054329139218</v>
      </c>
      <c r="I16" s="20" t="n">
        <f aca="false">F584</f>
        <v>338.829404523218</v>
      </c>
      <c r="J16" s="18" t="n">
        <f aca="false">F604</f>
        <v>0.198091923672022</v>
      </c>
      <c r="K16" s="19" t="n">
        <f aca="false">F612</f>
        <v>157.803798338816</v>
      </c>
      <c r="L16" s="18" t="n">
        <f aca="false">K16/K$4-1</f>
        <v>-0.0671213657784938</v>
      </c>
    </row>
    <row r="17" customFormat="false" ht="17.15" hidden="false" customHeight="false" outlineLevel="0" collapsed="false">
      <c r="A17" s="4" t="s">
        <v>698</v>
      </c>
      <c r="B17" s="4" t="s">
        <v>699</v>
      </c>
      <c r="C17" s="20" t="n">
        <f aca="false">E640</f>
        <v>650.908996130894</v>
      </c>
      <c r="D17" s="20" t="n">
        <f aca="false">E632</f>
        <v>371.791995210894</v>
      </c>
      <c r="E17" s="18" t="n">
        <f aca="false">E652</f>
        <v>0.193940147563706</v>
      </c>
      <c r="F17" s="19" t="n">
        <f aca="false">E660</f>
        <v>143.421949618915</v>
      </c>
      <c r="G17" s="18" t="n">
        <f aca="false">F17/F$4-1</f>
        <v>-0.0270195100696845</v>
      </c>
      <c r="H17" s="20" t="n">
        <f aca="false">F640</f>
        <v>738.706196870144</v>
      </c>
      <c r="I17" s="20" t="n">
        <f aca="false">F632</f>
        <v>426.378914654143</v>
      </c>
      <c r="J17" s="18" t="n">
        <f aca="false">F652</f>
        <v>0.193954698010709</v>
      </c>
      <c r="K17" s="19" t="n">
        <f aca="false">F660</f>
        <v>164.622771392647</v>
      </c>
      <c r="L17" s="18" t="n">
        <f aca="false">K17/K$4-1</f>
        <v>-0.0268100783683326</v>
      </c>
    </row>
    <row r="18" customFormat="false" ht="17.15" hidden="false" customHeight="false" outlineLevel="0" collapsed="false">
      <c r="A18" s="4" t="s">
        <v>700</v>
      </c>
      <c r="B18" s="4" t="s">
        <v>701</v>
      </c>
      <c r="C18" s="20" t="n">
        <f aca="false">E688</f>
        <v>650.908996130894</v>
      </c>
      <c r="D18" s="20" t="n">
        <f aca="false">E680</f>
        <v>371.791995210894</v>
      </c>
      <c r="E18" s="18" t="n">
        <f aca="false">E700</f>
        <v>0.204092246634177</v>
      </c>
      <c r="F18" s="19" t="n">
        <f aca="false">E708</f>
        <v>152.715159491169</v>
      </c>
      <c r="G18" s="18" t="n">
        <f aca="false">F18/F$4-1</f>
        <v>0.0360260134262465</v>
      </c>
      <c r="H18" s="20" t="n">
        <f aca="false">F688</f>
        <v>738.706196870144</v>
      </c>
      <c r="I18" s="20" t="n">
        <f aca="false">F680</f>
        <v>426.378914654143</v>
      </c>
      <c r="J18" s="18" t="n">
        <f aca="false">F700</f>
        <v>0.204140748124186</v>
      </c>
      <c r="K18" s="19" t="n">
        <f aca="false">F708</f>
        <v>175.204757200016</v>
      </c>
      <c r="L18" s="18" t="n">
        <f aca="false">K18/K$4-1</f>
        <v>0.0357467711577766</v>
      </c>
    </row>
    <row r="19" customFormat="false" ht="17.15" hidden="false" customHeight="false" outlineLevel="0" collapsed="false">
      <c r="A19" s="4" t="s">
        <v>702</v>
      </c>
      <c r="B19" s="4" t="s">
        <v>703</v>
      </c>
      <c r="C19" s="20" t="n">
        <f aca="false">E736</f>
        <v>650.908996130894</v>
      </c>
      <c r="D19" s="20" t="n">
        <f aca="false">E728</f>
        <v>371.791995210894</v>
      </c>
      <c r="E19" s="18" t="n">
        <f aca="false">E748</f>
        <v>0.198291047165337</v>
      </c>
      <c r="F19" s="19" t="n">
        <f aca="false">E756</f>
        <v>138.191956734264</v>
      </c>
      <c r="G19" s="18" t="n">
        <f aca="false">F19/F$4-1</f>
        <v>-0.0624999999999999</v>
      </c>
      <c r="H19" s="20" t="n">
        <f aca="false">F736</f>
        <v>738.706196870144</v>
      </c>
      <c r="I19" s="20" t="n">
        <f aca="false">F728</f>
        <v>426.378914654143</v>
      </c>
      <c r="J19" s="18" t="n">
        <f aca="false">F748</f>
        <v>0.198320148059342</v>
      </c>
      <c r="K19" s="19" t="n">
        <f aca="false">F756</f>
        <v>158.585538906782</v>
      </c>
      <c r="L19" s="18" t="n">
        <f aca="false">K19/K$4-1</f>
        <v>-0.0625000000000002</v>
      </c>
    </row>
    <row r="20" customFormat="false" ht="17.15" hidden="false" customHeight="false" outlineLevel="0" collapsed="false">
      <c r="A20" s="4" t="s">
        <v>704</v>
      </c>
      <c r="B20" s="4" t="s">
        <v>705</v>
      </c>
      <c r="C20" s="20" t="n">
        <f aca="false">E784</f>
        <v>650.908996130894</v>
      </c>
      <c r="D20" s="20" t="n">
        <f aca="false">E776</f>
        <v>371.791995210894</v>
      </c>
      <c r="E20" s="18" t="n">
        <f aca="false">E796</f>
        <v>0.198291047165337</v>
      </c>
      <c r="F20" s="19" t="n">
        <f aca="false">E804</f>
        <v>142.827764496376</v>
      </c>
      <c r="G20" s="18" t="n">
        <f aca="false">F20/F$4-1</f>
        <v>-0.0310504867310208</v>
      </c>
      <c r="H20" s="20" t="n">
        <f aca="false">F784</f>
        <v>738.706196870144</v>
      </c>
      <c r="I20" s="20" t="n">
        <f aca="false">F776</f>
        <v>426.378914654143</v>
      </c>
      <c r="J20" s="18" t="n">
        <f aca="false">F796</f>
        <v>0.198320148059342</v>
      </c>
      <c r="K20" s="19" t="n">
        <f aca="false">F804</f>
        <v>163.963556240098</v>
      </c>
      <c r="L20" s="18" t="n">
        <f aca="false">K20/K$4-1</f>
        <v>-0.0307071184753664</v>
      </c>
    </row>
    <row r="21" customFormat="false" ht="17.15" hidden="false" customHeight="false" outlineLevel="0" collapsed="false">
      <c r="A21" s="4" t="s">
        <v>706</v>
      </c>
      <c r="B21" s="0" t="s">
        <v>707</v>
      </c>
      <c r="C21" s="20" t="n">
        <f aca="false">PL!E132</f>
        <v>650.908996130894</v>
      </c>
      <c r="D21" s="20" t="n">
        <f aca="false">PL!E124</f>
        <v>371.791995210894</v>
      </c>
      <c r="E21" s="18" t="n">
        <f aca="false">PL!E144</f>
        <v>0.198291047165337</v>
      </c>
      <c r="F21" s="19" t="n">
        <f aca="false">PL!E152</f>
        <v>147.404753849881</v>
      </c>
      <c r="G21" s="18" t="n">
        <f aca="false">F21/F$4-1</f>
        <v>0</v>
      </c>
      <c r="H21" s="20" t="n">
        <f aca="false">PL!F132</f>
        <v>601.058360939315</v>
      </c>
      <c r="I21" s="20" t="n">
        <f aca="false">PL!F124</f>
        <v>341.103131723315</v>
      </c>
      <c r="J21" s="18" t="n">
        <f aca="false">PL!F144</f>
        <v>0.198677314052103</v>
      </c>
      <c r="K21" s="19" t="n">
        <f aca="false">PL!F152</f>
        <v>133.829705368754</v>
      </c>
      <c r="L21" s="18" t="n">
        <f aca="false">K21/K$4-1</f>
        <v>-0.208847479738008</v>
      </c>
    </row>
    <row r="22" customFormat="false" ht="17.15" hidden="false" customHeight="false" outlineLevel="0" collapsed="false">
      <c r="A22" s="4" t="s">
        <v>708</v>
      </c>
      <c r="B22" s="0" t="s">
        <v>709</v>
      </c>
      <c r="C22" s="20" t="n">
        <f aca="false">PL!E180</f>
        <v>650.908996130894</v>
      </c>
      <c r="D22" s="20" t="n">
        <f aca="false">PL!E172</f>
        <v>371.791995210894</v>
      </c>
      <c r="E22" s="18" t="n">
        <f aca="false">PL!E192</f>
        <v>0.198291047165337</v>
      </c>
      <c r="F22" s="19" t="n">
        <f aca="false">PL!E200</f>
        <v>147.404753849881</v>
      </c>
      <c r="G22" s="18" t="n">
        <f aca="false">F22/F$4-1</f>
        <v>0</v>
      </c>
      <c r="H22" s="20" t="n">
        <f aca="false">PL!F180</f>
        <v>463.410525008486</v>
      </c>
      <c r="I22" s="20" t="n">
        <f aca="false">PL!F172</f>
        <v>255.827348792486</v>
      </c>
      <c r="J22" s="18" t="n">
        <f aca="false">PL!F192</f>
        <v>0.19924665962784</v>
      </c>
      <c r="K22" s="19" t="n">
        <f aca="false">PL!F200</f>
        <v>95.74093058945</v>
      </c>
      <c r="L22" s="18" t="n">
        <f aca="false">K22/K$4-1</f>
        <v>-0.434014456511263</v>
      </c>
    </row>
    <row r="24" customFormat="false" ht="17.15" hidden="false" customHeight="false" outlineLevel="0" collapsed="false">
      <c r="A24" s="4" t="s">
        <v>710</v>
      </c>
    </row>
    <row r="26" customFormat="false" ht="17.15" hidden="false" customHeight="false" outlineLevel="0" collapsed="false">
      <c r="A26" s="1" t="s">
        <v>711</v>
      </c>
    </row>
    <row r="27" customFormat="false" ht="15" hidden="false" customHeight="false" outlineLevel="0" collapsed="false">
      <c r="A27" s="5" t="s">
        <v>712</v>
      </c>
      <c r="B27" s="5" t="s">
        <v>713</v>
      </c>
      <c r="C27" s="5" t="s">
        <v>714</v>
      </c>
      <c r="D27" s="5" t="s">
        <v>715</v>
      </c>
      <c r="E27" s="5" t="s">
        <v>716</v>
      </c>
      <c r="F27" s="5" t="s">
        <v>717</v>
      </c>
      <c r="G27" s="5" t="s">
        <v>718</v>
      </c>
    </row>
    <row r="28" customFormat="false" ht="17.15" hidden="false" customHeight="false" outlineLevel="0" collapsed="false">
      <c r="A28" s="0" t="s">
        <v>719</v>
      </c>
      <c r="B28" s="4" t="s">
        <v>720</v>
      </c>
      <c r="C28" s="28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$35</f>
        <v>2522.26187343976</v>
      </c>
      <c r="D28" s="18" t="n">
        <f aca="false">C28/G28-1</f>
        <v>0.10866717001802</v>
      </c>
      <c r="E28" s="28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$35</f>
        <v>2098.47751358077</v>
      </c>
      <c r="F28" s="18" t="n">
        <f aca="false">E28/G28-1</f>
        <v>-0.0776084153564763</v>
      </c>
      <c r="G28" s="28" t="n">
        <f aca="false">Val!$B$39</f>
        <v>2275.03974290026</v>
      </c>
    </row>
    <row r="29" customFormat="false" ht="17.15" hidden="false" customHeight="false" outlineLevel="0" collapsed="false">
      <c r="A29" s="0" t="s">
        <v>721</v>
      </c>
      <c r="B29" s="4" t="s">
        <v>722</v>
      </c>
      <c r="C29" s="28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$35</f>
        <v>2162.12814507803</v>
      </c>
      <c r="D29" s="18" t="n">
        <f aca="false">C29/G29-1</f>
        <v>-0.0496306045529977</v>
      </c>
      <c r="E29" s="28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$35</f>
        <v>2436.09802541398</v>
      </c>
      <c r="F29" s="18" t="n">
        <f aca="false">E29/G29-1</f>
        <v>0.0707936127341635</v>
      </c>
      <c r="G29" s="28" t="n">
        <f aca="false">Val!$B$39</f>
        <v>2275.03974290026</v>
      </c>
    </row>
    <row r="30" customFormat="false" ht="17.15" hidden="false" customHeight="false" outlineLevel="0" collapsed="false">
      <c r="A30" s="0" t="s">
        <v>723</v>
      </c>
      <c r="B30" s="0" t="s">
        <v>724</v>
      </c>
      <c r="C30" s="28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$35</f>
        <v>2151.58198810617</v>
      </c>
      <c r="D30" s="18" t="n">
        <f aca="false">C30/G30-1</f>
        <v>-0.05426619696617</v>
      </c>
      <c r="E30" s="28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$35</f>
        <v>2398.49749769435</v>
      </c>
      <c r="F30" s="18" t="n">
        <f aca="false">E30/G30-1</f>
        <v>0.0542661969661695</v>
      </c>
      <c r="G30" s="28" t="n">
        <f aca="false">Val!$B$39</f>
        <v>2275.03974290026</v>
      </c>
    </row>
    <row r="40" customFormat="false" ht="17.15" hidden="false" customHeight="false" outlineLevel="0" collapsed="false">
      <c r="A40" s="1" t="s">
        <v>725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2" t="s">
        <v>309</v>
      </c>
      <c r="D41" s="12" t="s">
        <v>371</v>
      </c>
      <c r="E41" s="12" t="s">
        <v>372</v>
      </c>
      <c r="F41" s="12" t="s">
        <v>373</v>
      </c>
      <c r="G41" s="12" t="s">
        <v>374</v>
      </c>
      <c r="H41" s="5" t="s">
        <v>350</v>
      </c>
    </row>
    <row r="42" customFormat="false" ht="17.15" hidden="false" customHeight="false" outlineLevel="0" collapsed="false">
      <c r="A42" s="6" t="s">
        <v>389</v>
      </c>
    </row>
    <row r="43" customFormat="false" ht="17.15" hidden="false" customHeight="false" outlineLevel="0" collapsed="false">
      <c r="A43" s="4" t="s">
        <v>390</v>
      </c>
      <c r="B43" s="0" t="s">
        <v>186</v>
      </c>
      <c r="C43" s="20" t="n">
        <f aca="false">a25_rev*nap25s</f>
        <v>156.4416</v>
      </c>
      <c r="D43" s="20" t="n">
        <f aca="false">a26_rev*ns26</f>
        <v>205.3806</v>
      </c>
    </row>
    <row r="44" customFormat="false" ht="17.15" hidden="false" customHeight="false" outlineLevel="0" collapsed="false">
      <c r="A44" s="4" t="s">
        <v>391</v>
      </c>
      <c r="B44" s="0" t="s">
        <v>186</v>
      </c>
      <c r="C44" s="20" t="n">
        <f aca="false">a25_rev*(1-nap25s-sw25s*af25)</f>
        <v>41.22112</v>
      </c>
      <c r="D44" s="20" t="n">
        <f aca="false">C44*(1+g_nai26)</f>
        <v>45.343232</v>
      </c>
    </row>
    <row r="45" customFormat="false" ht="17.15" hidden="false" customHeight="false" outlineLevel="0" collapsed="false">
      <c r="A45" s="0" t="s">
        <v>392</v>
      </c>
      <c r="B45" s="0" t="s">
        <v>186</v>
      </c>
      <c r="C45" s="20" t="n">
        <f aca="false">a25_rev*sw25s*af25</f>
        <v>50.65728</v>
      </c>
      <c r="D45" s="20" t="n">
        <f aca="false">a26_rev-D43-D44</f>
        <v>160.037368</v>
      </c>
      <c r="H45" s="8" t="s">
        <v>393</v>
      </c>
    </row>
    <row r="46" customFormat="false" ht="17.15" hidden="false" customHeight="false" outlineLevel="0" collapsed="false">
      <c r="A46" s="6" t="s">
        <v>394</v>
      </c>
    </row>
    <row r="47" customFormat="false" ht="17.15" hidden="false" customHeight="false" outlineLevel="0" collapsed="false">
      <c r="A47" s="0" t="s">
        <v>395</v>
      </c>
      <c r="B47" s="0" t="s">
        <v>32</v>
      </c>
      <c r="D47" s="14" t="n">
        <f aca="false">mkt_26*1</f>
        <v>32.0719</v>
      </c>
      <c r="E47" s="14" t="n">
        <f aca="false">mkt_27*1*1</f>
        <v>61.085</v>
      </c>
      <c r="F47" s="14" t="n">
        <f aca="false">mkt_28*um28_A*1</f>
        <v>69.005</v>
      </c>
      <c r="G47" s="14" t="n">
        <f aca="false">mkt_29*um29_A*1</f>
        <v>78.48215</v>
      </c>
    </row>
    <row r="48" customFormat="false" ht="15" hidden="false" customHeight="false" outlineLevel="0" collapsed="false">
      <c r="A48" s="4" t="s">
        <v>396</v>
      </c>
      <c r="B48" s="0" t="s">
        <v>103</v>
      </c>
      <c r="D48" s="18" t="n">
        <f aca="false">eth_26</f>
        <v>0.75</v>
      </c>
      <c r="E48" s="18" t="n">
        <f aca="false">eth_27</f>
        <v>0.8</v>
      </c>
      <c r="F48" s="18" t="n">
        <f aca="false">eth_28</f>
        <v>0.83</v>
      </c>
      <c r="G48" s="18" t="n">
        <f aca="false">eth_29</f>
        <v>0.85</v>
      </c>
    </row>
    <row r="49" customFormat="false" ht="17.15" hidden="false" customHeight="false" outlineLevel="0" collapsed="false">
      <c r="A49" s="4" t="s">
        <v>397</v>
      </c>
      <c r="B49" s="0" t="s">
        <v>32</v>
      </c>
      <c r="D49" s="14" t="n">
        <f aca="false">su_26*1</f>
        <v>3.015</v>
      </c>
      <c r="E49" s="14" t="n">
        <f aca="false">su_27*1*1</f>
        <v>11.3414</v>
      </c>
      <c r="F49" s="14" t="n">
        <f aca="false">su_28*um28_A*1</f>
        <v>13.8952</v>
      </c>
      <c r="G49" s="14" t="n">
        <f aca="false">su_29*um29_A*1</f>
        <v>15.97948</v>
      </c>
    </row>
    <row r="50" customFormat="false" ht="17.15" hidden="false" customHeight="false" outlineLevel="0" collapsed="false">
      <c r="A50" s="0" t="s">
        <v>398</v>
      </c>
      <c r="B50" s="0" t="s">
        <v>32</v>
      </c>
      <c r="D50" s="14" t="n">
        <f aca="false">D47*D48+D49</f>
        <v>27.068925</v>
      </c>
      <c r="E50" s="14" t="n">
        <f aca="false">E47*E48+E49</f>
        <v>60.2094</v>
      </c>
      <c r="F50" s="14" t="n">
        <f aca="false">F47*F48+F49</f>
        <v>71.16935</v>
      </c>
      <c r="G50" s="14" t="n">
        <f aca="false">G47*G48+G49</f>
        <v>82.6893075</v>
      </c>
    </row>
    <row r="51" customFormat="false" ht="15" hidden="false" customHeight="false" outlineLevel="0" collapsed="false">
      <c r="A51" s="4" t="s">
        <v>355</v>
      </c>
      <c r="B51" s="0" t="s">
        <v>103</v>
      </c>
      <c r="D51" s="18" t="n">
        <f aca="false">wb_26</f>
        <v>0.45</v>
      </c>
      <c r="E51" s="18" t="n">
        <f aca="false">wb_27</f>
        <v>0.47</v>
      </c>
      <c r="F51" s="18" t="n">
        <f aca="false">wb_28</f>
        <v>0.48</v>
      </c>
      <c r="G51" s="18" t="n">
        <f aca="false">wb_29</f>
        <v>0.5</v>
      </c>
    </row>
    <row r="52" customFormat="false" ht="17.15" hidden="false" customHeight="false" outlineLevel="0" collapsed="false">
      <c r="A52" s="4" t="s">
        <v>357</v>
      </c>
      <c r="B52" s="0" t="s">
        <v>32</v>
      </c>
      <c r="D52" s="14" t="n">
        <f aca="false">D50*D51</f>
        <v>12.18101625</v>
      </c>
      <c r="E52" s="14" t="n">
        <f aca="false">E50*E51</f>
        <v>28.298418</v>
      </c>
      <c r="F52" s="14" t="n">
        <f aca="false">F50*F51</f>
        <v>34.161288</v>
      </c>
      <c r="G52" s="14" t="n">
        <f aca="false">G50*G51</f>
        <v>41.34465375</v>
      </c>
    </row>
    <row r="53" customFormat="false" ht="17.15" hidden="false" customHeight="false" outlineLevel="0" collapsed="false">
      <c r="A53" s="4" t="s">
        <v>399</v>
      </c>
      <c r="B53" s="0" t="s">
        <v>103</v>
      </c>
      <c r="D53" s="18" t="n">
        <f aca="false">D45/fx/D52</f>
        <v>0.410570649226414</v>
      </c>
      <c r="H53" s="8" t="s">
        <v>400</v>
      </c>
    </row>
    <row r="54" customFormat="false" ht="17.15" hidden="false" customHeight="false" outlineLevel="0" collapsed="false">
      <c r="A54" s="4" t="s">
        <v>401</v>
      </c>
      <c r="B54" s="0" t="s">
        <v>76</v>
      </c>
      <c r="D54" s="19" t="n">
        <f aca="false">1</f>
        <v>1</v>
      </c>
      <c r="E54" s="19" t="n">
        <f aca="false">RLO_27</f>
        <v>0.8</v>
      </c>
      <c r="F54" s="19" t="n">
        <f aca="false">RLO_28</f>
        <v>0.7</v>
      </c>
      <c r="G54" s="19" t="n">
        <f aca="false">RLO_29</f>
        <v>0.65</v>
      </c>
    </row>
    <row r="55" customFormat="false" ht="15" hidden="false" customHeight="false" outlineLevel="0" collapsed="false">
      <c r="A55" s="4" t="s">
        <v>402</v>
      </c>
      <c r="B55" s="0" t="s">
        <v>103</v>
      </c>
      <c r="D55" s="18" t="n">
        <f aca="false">$D$53*D54</f>
        <v>0.410570649226414</v>
      </c>
      <c r="E55" s="18" t="n">
        <f aca="false">$D$53*E54</f>
        <v>0.328456519381131</v>
      </c>
      <c r="F55" s="18" t="n">
        <f aca="false">$D$53*F54</f>
        <v>0.28739945445849</v>
      </c>
      <c r="G55" s="18" t="n">
        <f aca="false">$D$53*G54</f>
        <v>0.266870921997169</v>
      </c>
    </row>
    <row r="56" customFormat="false" ht="17.15" hidden="false" customHeight="false" outlineLevel="0" collapsed="false">
      <c r="A56" s="0" t="s">
        <v>403</v>
      </c>
      <c r="B56" s="0" t="s">
        <v>186</v>
      </c>
      <c r="C56" s="20" t="n">
        <f aca="false">C45</f>
        <v>50.65728</v>
      </c>
      <c r="D56" s="20" t="n">
        <f aca="false">D52*D55*fx</f>
        <v>160.037368</v>
      </c>
      <c r="E56" s="20" t="n">
        <f aca="false">E52*E55*fx</f>
        <v>297.433596168715</v>
      </c>
      <c r="F56" s="20" t="n">
        <f aca="false">F52*F55*fx</f>
        <v>314.173937113579</v>
      </c>
      <c r="G56" s="20" t="n">
        <f aca="false">G52*G55*fx</f>
        <v>353.077947709319</v>
      </c>
    </row>
    <row r="57" customFormat="false" ht="17.15" hidden="false" customHeight="false" outlineLevel="0" collapsed="false">
      <c r="A57" s="6" t="s">
        <v>404</v>
      </c>
    </row>
    <row r="58" customFormat="false" ht="17.15" hidden="false" customHeight="false" outlineLevel="0" collapsed="false">
      <c r="A58" s="0" t="s">
        <v>405</v>
      </c>
      <c r="B58" s="4" t="s">
        <v>55</v>
      </c>
      <c r="D58" s="19" t="n">
        <f aca="false">trn_26*1</f>
        <v>2</v>
      </c>
      <c r="E58" s="19" t="n">
        <f aca="false">trn_27*1*1</f>
        <v>2.5</v>
      </c>
      <c r="F58" s="19" t="n">
        <f aca="false">trn_28*um28_A*1</f>
        <v>3</v>
      </c>
      <c r="G58" s="19" t="n">
        <f aca="false">trn_29*um29_A*1</f>
        <v>3.45</v>
      </c>
    </row>
    <row r="59" customFormat="false" ht="17.15" hidden="false" customHeight="false" outlineLevel="0" collapsed="false">
      <c r="A59" s="4" t="s">
        <v>406</v>
      </c>
      <c r="B59" s="4" t="s">
        <v>407</v>
      </c>
      <c r="D59" s="20" t="n">
        <f aca="false">D43/D58</f>
        <v>102.6903</v>
      </c>
      <c r="H59" s="8" t="s">
        <v>408</v>
      </c>
    </row>
    <row r="60" customFormat="false" ht="17.15" hidden="false" customHeight="false" outlineLevel="0" collapsed="false">
      <c r="A60" s="4" t="s">
        <v>409</v>
      </c>
      <c r="B60" s="0" t="s">
        <v>76</v>
      </c>
      <c r="D60" s="19" t="n">
        <f aca="false">1</f>
        <v>1</v>
      </c>
      <c r="E60" s="19" t="n">
        <f aca="false">nrel_27</f>
        <v>0.9</v>
      </c>
      <c r="F60" s="19" t="n">
        <f aca="false">nrel_28</f>
        <v>0.85</v>
      </c>
      <c r="G60" s="19" t="n">
        <f aca="false">nrel_29</f>
        <v>0.8</v>
      </c>
    </row>
    <row r="61" customFormat="false" ht="15" hidden="false" customHeight="false" outlineLevel="0" collapsed="false">
      <c r="A61" s="4" t="s">
        <v>410</v>
      </c>
      <c r="B61" s="0" t="s">
        <v>186</v>
      </c>
      <c r="C61" s="20" t="n">
        <f aca="false">C43</f>
        <v>156.4416</v>
      </c>
      <c r="D61" s="20" t="n">
        <f aca="false">D58*$D$59*D60</f>
        <v>205.3806</v>
      </c>
      <c r="E61" s="20" t="n">
        <f aca="false">E58*$D$59*E60</f>
        <v>231.053175</v>
      </c>
      <c r="F61" s="20" t="n">
        <f aca="false">F58*$D$59*F60</f>
        <v>261.860265</v>
      </c>
      <c r="G61" s="20" t="n">
        <f aca="false">G58*$D$59*G60</f>
        <v>283.425228</v>
      </c>
    </row>
    <row r="62" customFormat="false" ht="17.15" hidden="false" customHeight="false" outlineLevel="0" collapsed="false">
      <c r="A62" s="6" t="s">
        <v>411</v>
      </c>
    </row>
    <row r="63" customFormat="false" ht="17.15" hidden="false" customHeight="false" outlineLevel="0" collapsed="false">
      <c r="A63" s="4" t="s">
        <v>412</v>
      </c>
      <c r="B63" s="0" t="s">
        <v>186</v>
      </c>
      <c r="C63" s="20" t="n">
        <f aca="false">C44</f>
        <v>41.22112</v>
      </c>
      <c r="D63" s="20" t="n">
        <f aca="false">D44</f>
        <v>45.343232</v>
      </c>
      <c r="E63" s="20" t="n">
        <f aca="false">D63*(1+g_nai27)</f>
        <v>48.06382592</v>
      </c>
      <c r="F63" s="20" t="n">
        <f aca="false">E63*(1+g_nai28)</f>
        <v>50.467017216</v>
      </c>
      <c r="G63" s="20" t="n">
        <f aca="false">F63*(1+g_nai29)</f>
        <v>52.9903680768</v>
      </c>
    </row>
    <row r="64" customFormat="false" ht="15" hidden="false" customHeight="false" outlineLevel="0" collapsed="false">
      <c r="A64" s="4" t="s">
        <v>316</v>
      </c>
      <c r="B64" s="0" t="s">
        <v>186</v>
      </c>
      <c r="C64" s="20" t="n">
        <f aca="false">C56+C61+C63</f>
        <v>248.32</v>
      </c>
      <c r="D64" s="20" t="n">
        <f aca="false">D56+D61+D63</f>
        <v>410.7612</v>
      </c>
      <c r="E64" s="20" t="n">
        <f aca="false">E56+E61+E63</f>
        <v>576.550597088715</v>
      </c>
      <c r="F64" s="20" t="n">
        <f aca="false">F56+F61+F63</f>
        <v>626.501219329579</v>
      </c>
      <c r="G64" s="20" t="n">
        <f aca="false">G56+G61+G63</f>
        <v>689.493543786119</v>
      </c>
    </row>
    <row r="65" customFormat="false" ht="17.15" hidden="false" customHeight="false" outlineLevel="0" collapsed="false">
      <c r="A65" s="4" t="s">
        <v>413</v>
      </c>
      <c r="B65" s="0" t="s">
        <v>103</v>
      </c>
      <c r="C65" s="18" t="n">
        <f aca="false">sw25s*(1-af25)/(1-nap25s-sw25s*af25)</f>
        <v>0.819277108433735</v>
      </c>
      <c r="H65" s="8" t="s">
        <v>414</v>
      </c>
    </row>
    <row r="66" customFormat="false" ht="17.15" hidden="false" customHeight="false" outlineLevel="0" collapsed="false">
      <c r="A66" s="4" t="s">
        <v>415</v>
      </c>
      <c r="B66" s="0" t="s">
        <v>186</v>
      </c>
      <c r="C66" s="20" t="n">
        <f aca="false">C63*$C$65</f>
        <v>33.77152</v>
      </c>
      <c r="D66" s="20" t="n">
        <f aca="false">D63*$C$65</f>
        <v>37.148672</v>
      </c>
      <c r="E66" s="20" t="n">
        <f aca="false">E63*$C$65</f>
        <v>39.37759232</v>
      </c>
      <c r="F66" s="20" t="n">
        <f aca="false">F63*$C$65</f>
        <v>41.346471936</v>
      </c>
      <c r="G66" s="20" t="n">
        <f aca="false">G63*$C$65</f>
        <v>43.4137955328</v>
      </c>
    </row>
    <row r="67" customFormat="false" ht="17.15" hidden="false" customHeight="false" outlineLevel="0" collapsed="false">
      <c r="A67" s="4" t="s">
        <v>416</v>
      </c>
      <c r="B67" s="0" t="s">
        <v>186</v>
      </c>
      <c r="C67" s="20" t="n">
        <f aca="false">C56+C66</f>
        <v>84.4288</v>
      </c>
      <c r="D67" s="20" t="n">
        <f aca="false">D56+D66</f>
        <v>197.18604</v>
      </c>
      <c r="E67" s="20" t="n">
        <f aca="false">E56+E66</f>
        <v>336.811188488715</v>
      </c>
      <c r="F67" s="20" t="n">
        <f aca="false">F56+F66</f>
        <v>355.520409049579</v>
      </c>
      <c r="G67" s="20" t="n">
        <f aca="false">G56+G66</f>
        <v>396.491743242119</v>
      </c>
      <c r="H67" s="4" t="s">
        <v>417</v>
      </c>
    </row>
    <row r="68" customFormat="false" ht="17.15" hidden="false" customHeight="false" outlineLevel="0" collapsed="false">
      <c r="A68" s="4" t="s">
        <v>418</v>
      </c>
      <c r="B68" s="0" t="s">
        <v>186</v>
      </c>
      <c r="C68" s="20" t="n">
        <f aca="false">C63-C66</f>
        <v>7.44959999999999</v>
      </c>
      <c r="D68" s="20" t="n">
        <f aca="false">D63-D66</f>
        <v>8.19455999999999</v>
      </c>
      <c r="E68" s="20" t="n">
        <f aca="false">E63-E66</f>
        <v>8.68623359999999</v>
      </c>
      <c r="F68" s="20" t="n">
        <f aca="false">F63-F66</f>
        <v>9.12054527999999</v>
      </c>
      <c r="G68" s="20" t="n">
        <f aca="false">G63-G66</f>
        <v>9.57657254399999</v>
      </c>
      <c r="H68" s="4" t="s">
        <v>419</v>
      </c>
    </row>
    <row r="69" customFormat="false" ht="17.15" hidden="false" customHeight="false" outlineLevel="0" collapsed="false">
      <c r="A69" s="4" t="s">
        <v>420</v>
      </c>
      <c r="B69" s="0" t="s">
        <v>186</v>
      </c>
      <c r="C69" s="16" t="n">
        <f aca="false">C67+C61+C68-a25_rev</f>
        <v>0</v>
      </c>
      <c r="D69" s="16" t="n">
        <f aca="false">D67+D61+D68-D64</f>
        <v>0</v>
      </c>
      <c r="E69" s="16" t="n">
        <f aca="false">E67+E61+E68-E64</f>
        <v>0</v>
      </c>
      <c r="F69" s="16" t="n">
        <f aca="false">F67+F61+F68-F64</f>
        <v>0</v>
      </c>
      <c r="G69" s="16" t="n">
        <f aca="false">G67+G61+G68-G64</f>
        <v>0</v>
      </c>
    </row>
    <row r="70" customFormat="false" ht="15" hidden="false" customHeight="false" outlineLevel="0" collapsed="false">
      <c r="A70" s="4" t="s">
        <v>421</v>
      </c>
      <c r="B70" s="0" t="s">
        <v>103</v>
      </c>
      <c r="D70" s="18" t="n">
        <f aca="false">D64/C64-1</f>
        <v>0.654160760309279</v>
      </c>
      <c r="E70" s="18" t="n">
        <f aca="false">E64/D64-1</f>
        <v>0.403615037371386</v>
      </c>
      <c r="F70" s="18" t="n">
        <f aca="false">F64/E64-1</f>
        <v>0.0866370141546797</v>
      </c>
      <c r="G70" s="18" t="n">
        <f aca="false">G64/F64-1</f>
        <v>0.100546212063159</v>
      </c>
    </row>
    <row r="71" customFormat="false" ht="17.15" hidden="false" customHeight="false" outlineLevel="0" collapsed="false">
      <c r="A71" s="0" t="s">
        <v>422</v>
      </c>
      <c r="B71" s="0" t="s">
        <v>103</v>
      </c>
      <c r="C71" s="18" t="n">
        <f aca="false">(C56+C61)/C64</f>
        <v>0.834</v>
      </c>
      <c r="D71" s="18" t="n">
        <f aca="false">(D56+D61)/D64</f>
        <v>0.889611696528299</v>
      </c>
      <c r="E71" s="18" t="n">
        <f aca="false">(E56+E61)/E64</f>
        <v>0.91663554566989</v>
      </c>
      <c r="F71" s="18" t="n">
        <f aca="false">(F56+F61)/F64</f>
        <v>0.919446258588283</v>
      </c>
      <c r="G71" s="18" t="n">
        <f aca="false">(G56+G61)/G64</f>
        <v>0.923145954658514</v>
      </c>
    </row>
    <row r="72" customFormat="false" ht="17.15" hidden="false" customHeight="false" outlineLevel="0" collapsed="false">
      <c r="A72" s="4" t="s">
        <v>423</v>
      </c>
      <c r="B72" s="0" t="s">
        <v>103</v>
      </c>
      <c r="C72" s="18" t="n">
        <f aca="false">C61/C64</f>
        <v>0.63</v>
      </c>
      <c r="D72" s="18" t="n">
        <f aca="false">D61/D64</f>
        <v>0.5</v>
      </c>
      <c r="E72" s="18" t="n">
        <f aca="false">E61/E64</f>
        <v>0.40075090749485</v>
      </c>
      <c r="F72" s="18" t="n">
        <f aca="false">F61/F64</f>
        <v>0.417972474626973</v>
      </c>
      <c r="G72" s="18" t="n">
        <f aca="false">G61/G64</f>
        <v>0.411062917926203</v>
      </c>
    </row>
    <row r="73" customFormat="false" ht="17.15" hidden="false" customHeight="false" outlineLevel="0" collapsed="false">
      <c r="A73" s="6" t="s">
        <v>424</v>
      </c>
    </row>
    <row r="74" customFormat="false" ht="17.15" hidden="false" customHeight="false" outlineLevel="0" collapsed="false">
      <c r="A74" s="4" t="s">
        <v>425</v>
      </c>
      <c r="B74" s="0" t="s">
        <v>103</v>
      </c>
      <c r="D74" s="15" t="n">
        <f aca="false">a26_gp/a26_rev+d_nap*D72</f>
        <v>0.219589247962076</v>
      </c>
      <c r="H74" s="8" t="s">
        <v>426</v>
      </c>
    </row>
    <row r="75" customFormat="false" ht="15" hidden="false" customHeight="false" outlineLevel="0" collapsed="false">
      <c r="A75" s="4" t="s">
        <v>320</v>
      </c>
      <c r="B75" s="0" t="s">
        <v>186</v>
      </c>
      <c r="C75" s="20" t="n">
        <f aca="false">a25_gp</f>
        <v>44.921088</v>
      </c>
      <c r="D75" s="20" t="n">
        <f aca="false">a26_gp</f>
        <v>77.875907</v>
      </c>
      <c r="E75" s="20" t="n">
        <f aca="false">$D$74*(E56+E63)+($D$74-d_nap)*E61</f>
        <v>112.741121526797</v>
      </c>
      <c r="F75" s="20" t="n">
        <f aca="false">$D$74*(F56+F63)+($D$74-d_nap)*F61</f>
        <v>121.861315699906</v>
      </c>
      <c r="G75" s="20" t="n">
        <f aca="false">$D$74*(G56+G63)+($D$74-d_nap)*G61</f>
        <v>134.399855074701</v>
      </c>
    </row>
    <row r="76" customFormat="false" ht="15" hidden="false" customHeight="false" outlineLevel="0" collapsed="false">
      <c r="A76" s="4" t="s">
        <v>322</v>
      </c>
      <c r="B76" s="0" t="s">
        <v>103</v>
      </c>
      <c r="C76" s="15" t="n">
        <f aca="false">C75/C64</f>
        <v>0.1809</v>
      </c>
      <c r="D76" s="15" t="n">
        <f aca="false">D75/D64</f>
        <v>0.189589247962076</v>
      </c>
      <c r="E76" s="15" t="n">
        <f aca="false">E75/E64</f>
        <v>0.195544193512385</v>
      </c>
      <c r="F76" s="15" t="n">
        <f aca="false">F75/F64</f>
        <v>0.194510899484458</v>
      </c>
      <c r="G76" s="15" t="n">
        <f aca="false">G75/G64</f>
        <v>0.194925472886504</v>
      </c>
    </row>
    <row r="77" customFormat="false" ht="15" hidden="false" customHeight="false" outlineLevel="0" collapsed="false">
      <c r="A77" s="4" t="s">
        <v>427</v>
      </c>
      <c r="B77" s="0" t="s">
        <v>186</v>
      </c>
      <c r="C77" s="20" t="n">
        <f aca="false">a25_opx</f>
        <v>12.78848</v>
      </c>
      <c r="D77" s="20" t="n">
        <f aca="false">a26_opx</f>
        <v>17.956088</v>
      </c>
      <c r="E77" s="20" t="n">
        <f aca="false">D77*(1+MAX(0,phi*E70))</f>
        <v>22.3044962774983</v>
      </c>
      <c r="F77" s="20" t="n">
        <f aca="false">E77*(1+MAX(0,phi*F70))</f>
        <v>23.4639332533223</v>
      </c>
      <c r="G77" s="20" t="n">
        <f aca="false">F77*(1+MAX(0,phi*G70))</f>
        <v>24.8794590185569</v>
      </c>
    </row>
    <row r="78" customFormat="false" ht="15" hidden="false" customHeight="false" outlineLevel="0" collapsed="false">
      <c r="A78" s="4" t="s">
        <v>324</v>
      </c>
      <c r="B78" s="0" t="s">
        <v>186</v>
      </c>
      <c r="C78" s="20" t="n">
        <f aca="false">C77</f>
        <v>12.78848</v>
      </c>
      <c r="D78" s="20" t="n">
        <f aca="false">D77</f>
        <v>17.956088</v>
      </c>
      <c r="E78" s="20" t="n">
        <f aca="false">E77+0*E64</f>
        <v>22.3044962774983</v>
      </c>
      <c r="F78" s="20" t="n">
        <f aca="false">F77+0*F64</f>
        <v>23.4639332533223</v>
      </c>
      <c r="G78" s="20" t="n">
        <f aca="false">G77+0*G64</f>
        <v>24.8794590185569</v>
      </c>
    </row>
    <row r="79" customFormat="false" ht="15" hidden="false" customHeight="false" outlineLevel="0" collapsed="false">
      <c r="A79" s="4" t="s">
        <v>326</v>
      </c>
      <c r="B79" s="0" t="s">
        <v>186</v>
      </c>
      <c r="C79" s="20" t="n">
        <f aca="false">C75-C78</f>
        <v>32.132608</v>
      </c>
      <c r="D79" s="20" t="n">
        <f aca="false">D75-D78</f>
        <v>59.919819</v>
      </c>
      <c r="E79" s="20" t="n">
        <f aca="false">E75-E78</f>
        <v>90.4366252492987</v>
      </c>
      <c r="F79" s="20" t="n">
        <f aca="false">F75-F78</f>
        <v>98.3973824465838</v>
      </c>
      <c r="G79" s="20" t="n">
        <f aca="false">G75-G78</f>
        <v>109.520396056144</v>
      </c>
    </row>
    <row r="80" customFormat="false" ht="15" hidden="false" customHeight="false" outlineLevel="0" collapsed="false">
      <c r="A80" s="4" t="s">
        <v>328</v>
      </c>
      <c r="B80" s="0" t="s">
        <v>103</v>
      </c>
      <c r="C80" s="15" t="n">
        <f aca="false">C79/C64</f>
        <v>0.1294</v>
      </c>
      <c r="D80" s="15" t="n">
        <f aca="false">D79/D64</f>
        <v>0.145875070478906</v>
      </c>
      <c r="E80" s="15" t="n">
        <f aca="false">E79/E64</f>
        <v>0.15685808965589</v>
      </c>
      <c r="F80" s="15" t="n">
        <f aca="false">F79/F64</f>
        <v>0.157058564948811</v>
      </c>
      <c r="G80" s="15" t="n">
        <f aca="false">G79/G64</f>
        <v>0.158841800685689</v>
      </c>
    </row>
    <row r="81" customFormat="false" ht="17.15" hidden="false" customHeight="false" outlineLevel="0" collapsed="false">
      <c r="A81" s="4" t="s">
        <v>224</v>
      </c>
      <c r="B81" s="0" t="s">
        <v>76</v>
      </c>
      <c r="C81" s="16" t="n">
        <f aca="false">a25_ni/a25_oi</f>
        <v>0.819790289042209</v>
      </c>
      <c r="D81" s="16" t="n">
        <f aca="false">a26_ni/a26_oi</f>
        <v>0.798164213413262</v>
      </c>
      <c r="E81" s="16" t="n">
        <f aca="false">nio_f</f>
        <v>0.8</v>
      </c>
      <c r="F81" s="16" t="n">
        <f aca="false">nio_f</f>
        <v>0.8</v>
      </c>
      <c r="G81" s="16" t="n">
        <f aca="false">nio_f</f>
        <v>0.8</v>
      </c>
    </row>
    <row r="82" customFormat="false" ht="15" hidden="false" customHeight="false" outlineLevel="0" collapsed="false">
      <c r="A82" s="4" t="s">
        <v>329</v>
      </c>
      <c r="B82" s="0" t="s">
        <v>186</v>
      </c>
      <c r="C82" s="20" t="n">
        <f aca="false">a25_ni</f>
        <v>26.342</v>
      </c>
      <c r="D82" s="20" t="n">
        <f aca="false">a26_ni</f>
        <v>47.8258552</v>
      </c>
      <c r="E82" s="20" t="n">
        <f aca="false">E79*E81</f>
        <v>72.349300199439</v>
      </c>
      <c r="F82" s="20" t="n">
        <f aca="false">F79*F81</f>
        <v>78.7179059572671</v>
      </c>
      <c r="G82" s="20" t="n">
        <f aca="false">G79*G81</f>
        <v>87.6163168449151</v>
      </c>
    </row>
    <row r="83" customFormat="false" ht="15" hidden="false" customHeight="false" outlineLevel="0" collapsed="false">
      <c r="A83" s="4" t="s">
        <v>428</v>
      </c>
      <c r="B83" s="4" t="s">
        <v>211</v>
      </c>
      <c r="C83" s="17" t="n">
        <f aca="false">a25_sh</f>
        <v>0.558922130277955</v>
      </c>
      <c r="D83" s="17" t="n">
        <f aca="false">a26_sh</f>
        <v>0.558904899135447</v>
      </c>
      <c r="E83" s="17" t="n">
        <f aca="false">D83*(1+sh_g27)</f>
        <v>0.568853406340058</v>
      </c>
      <c r="F83" s="17" t="n">
        <f aca="false">E83*(1+sh_g)</f>
        <v>0.568853406340058</v>
      </c>
      <c r="G83" s="17" t="n">
        <f aca="false">F83*(1+sh_g)</f>
        <v>0.568853406340058</v>
      </c>
    </row>
    <row r="84" customFormat="false" ht="15" hidden="false" customHeight="false" outlineLevel="0" collapsed="false">
      <c r="A84" s="0" t="s">
        <v>334</v>
      </c>
      <c r="B84" s="0" t="s">
        <v>244</v>
      </c>
      <c r="C84" s="14" t="n">
        <f aca="false">C82/C83</f>
        <v>47.13</v>
      </c>
      <c r="D84" s="14" t="n">
        <f aca="false">D82/D83</f>
        <v>85.5706494503455</v>
      </c>
      <c r="E84" s="14" t="n">
        <f aca="false">E82/E83</f>
        <v>127.184436962286</v>
      </c>
      <c r="F84" s="14" t="n">
        <f aca="false">F82/F83</f>
        <v>138.379950053793</v>
      </c>
      <c r="G84" s="14" t="n">
        <f aca="false">G82/G83</f>
        <v>154.022663604371</v>
      </c>
    </row>
    <row r="85" customFormat="false" ht="17.15" hidden="false" customHeight="false" outlineLevel="0" collapsed="false">
      <c r="A85" s="0" t="s">
        <v>429</v>
      </c>
      <c r="B85" s="0" t="s">
        <v>103</v>
      </c>
      <c r="D85" s="18" t="n">
        <f aca="false">D84/C84-1</f>
        <v>0.815630160202535</v>
      </c>
      <c r="E85" s="18" t="n">
        <f aca="false">E84/D84-1</f>
        <v>0.486309123271156</v>
      </c>
      <c r="F85" s="18" t="n">
        <f aca="false">F84/E84-1</f>
        <v>0.0880258100668885</v>
      </c>
      <c r="G85" s="18" t="n">
        <f aca="false">G84/F84-1</f>
        <v>0.11304176323591</v>
      </c>
    </row>
    <row r="88" customFormat="false" ht="17.15" hidden="false" customHeight="false" outlineLevel="0" collapsed="false">
      <c r="A88" s="1" t="s">
        <v>726</v>
      </c>
    </row>
    <row r="89" customFormat="false" ht="17.15" hidden="false" customHeight="false" outlineLevel="0" collapsed="false">
      <c r="A89" s="5" t="s">
        <v>21</v>
      </c>
      <c r="B89" s="5" t="s">
        <v>22</v>
      </c>
      <c r="C89" s="12" t="s">
        <v>309</v>
      </c>
      <c r="D89" s="12" t="s">
        <v>371</v>
      </c>
      <c r="E89" s="12" t="s">
        <v>372</v>
      </c>
      <c r="F89" s="12" t="s">
        <v>373</v>
      </c>
      <c r="G89" s="12" t="s">
        <v>374</v>
      </c>
      <c r="H89" s="5" t="s">
        <v>350</v>
      </c>
    </row>
    <row r="90" customFormat="false" ht="17.15" hidden="false" customHeight="false" outlineLevel="0" collapsed="false">
      <c r="A90" s="6" t="s">
        <v>389</v>
      </c>
    </row>
    <row r="91" customFormat="false" ht="17.15" hidden="false" customHeight="false" outlineLevel="0" collapsed="false">
      <c r="A91" s="4" t="s">
        <v>390</v>
      </c>
      <c r="B91" s="0" t="s">
        <v>186</v>
      </c>
      <c r="C91" s="20" t="n">
        <f aca="false">a25_rev*nap25s</f>
        <v>156.4416</v>
      </c>
      <c r="D91" s="20" t="n">
        <f aca="false">a26_rev*ns26</f>
        <v>205.3806</v>
      </c>
    </row>
    <row r="92" customFormat="false" ht="17.15" hidden="false" customHeight="false" outlineLevel="0" collapsed="false">
      <c r="A92" s="4" t="s">
        <v>391</v>
      </c>
      <c r="B92" s="0" t="s">
        <v>186</v>
      </c>
      <c r="C92" s="20" t="n">
        <f aca="false">a25_rev*(1-nap25s-sw25s*af25)</f>
        <v>41.22112</v>
      </c>
      <c r="D92" s="20" t="n">
        <f aca="false">C92*(1+g_nai26)</f>
        <v>45.343232</v>
      </c>
    </row>
    <row r="93" customFormat="false" ht="17.15" hidden="false" customHeight="false" outlineLevel="0" collapsed="false">
      <c r="A93" s="0" t="s">
        <v>392</v>
      </c>
      <c r="B93" s="0" t="s">
        <v>186</v>
      </c>
      <c r="C93" s="20" t="n">
        <f aca="false">a25_rev*sw25s*af25</f>
        <v>50.65728</v>
      </c>
      <c r="D93" s="20" t="n">
        <f aca="false">a26_rev-D91-D92</f>
        <v>160.037368</v>
      </c>
      <c r="H93" s="8" t="s">
        <v>393</v>
      </c>
    </row>
    <row r="94" customFormat="false" ht="17.15" hidden="false" customHeight="false" outlineLevel="0" collapsed="false">
      <c r="A94" s="6" t="s">
        <v>394</v>
      </c>
    </row>
    <row r="95" customFormat="false" ht="17.15" hidden="false" customHeight="false" outlineLevel="0" collapsed="false">
      <c r="A95" s="0" t="s">
        <v>395</v>
      </c>
      <c r="B95" s="0" t="s">
        <v>32</v>
      </c>
      <c r="D95" s="14" t="n">
        <f aca="false">mkt_26*1</f>
        <v>32.0719</v>
      </c>
      <c r="E95" s="14" t="n">
        <f aca="false">mkt_27*1*1</f>
        <v>61.085</v>
      </c>
      <c r="F95" s="14" t="n">
        <f aca="false">mkt_28*um28_A*1</f>
        <v>69.005</v>
      </c>
      <c r="G95" s="14" t="n">
        <f aca="false">mkt_29*um29_A*1</f>
        <v>78.48215</v>
      </c>
    </row>
    <row r="96" customFormat="false" ht="15" hidden="false" customHeight="false" outlineLevel="0" collapsed="false">
      <c r="A96" s="4" t="s">
        <v>396</v>
      </c>
      <c r="B96" s="0" t="s">
        <v>103</v>
      </c>
      <c r="D96" s="18" t="n">
        <f aca="false">eth_26</f>
        <v>0.75</v>
      </c>
      <c r="E96" s="18" t="n">
        <f aca="false">eth_27</f>
        <v>0.8</v>
      </c>
      <c r="F96" s="18" t="n">
        <f aca="false">eth_28</f>
        <v>0.83</v>
      </c>
      <c r="G96" s="18" t="n">
        <f aca="false">eth_29</f>
        <v>0.85</v>
      </c>
    </row>
    <row r="97" customFormat="false" ht="17.15" hidden="false" customHeight="false" outlineLevel="0" collapsed="false">
      <c r="A97" s="4" t="s">
        <v>397</v>
      </c>
      <c r="B97" s="0" t="s">
        <v>32</v>
      </c>
      <c r="D97" s="14" t="n">
        <f aca="false">su_26*1</f>
        <v>3.015</v>
      </c>
      <c r="E97" s="14" t="n">
        <f aca="false">su_27*1*1</f>
        <v>11.3414</v>
      </c>
      <c r="F97" s="14" t="n">
        <f aca="false">su_28*um28_A*1</f>
        <v>13.8952</v>
      </c>
      <c r="G97" s="14" t="n">
        <f aca="false">su_29*um29_A*1</f>
        <v>15.97948</v>
      </c>
    </row>
    <row r="98" customFormat="false" ht="17.15" hidden="false" customHeight="false" outlineLevel="0" collapsed="false">
      <c r="A98" s="0" t="s">
        <v>398</v>
      </c>
      <c r="B98" s="0" t="s">
        <v>32</v>
      </c>
      <c r="D98" s="14" t="n">
        <f aca="false">D95*D96+D97</f>
        <v>27.068925</v>
      </c>
      <c r="E98" s="14" t="n">
        <f aca="false">E95*E96+E97</f>
        <v>60.2094</v>
      </c>
      <c r="F98" s="14" t="n">
        <f aca="false">F95*F96+F97</f>
        <v>71.16935</v>
      </c>
      <c r="G98" s="14" t="n">
        <f aca="false">G95*G96+G97</f>
        <v>82.6893075</v>
      </c>
    </row>
    <row r="99" customFormat="false" ht="15" hidden="false" customHeight="false" outlineLevel="0" collapsed="false">
      <c r="A99" s="4" t="s">
        <v>355</v>
      </c>
      <c r="B99" s="0" t="s">
        <v>103</v>
      </c>
      <c r="D99" s="18" t="n">
        <f aca="false">wb_26</f>
        <v>0.45</v>
      </c>
      <c r="E99" s="18" t="n">
        <f aca="false">wb_27</f>
        <v>0.47</v>
      </c>
      <c r="F99" s="18" t="n">
        <f aca="false">wb_28</f>
        <v>0.48</v>
      </c>
      <c r="G99" s="18" t="n">
        <f aca="false">wb_29</f>
        <v>0.5</v>
      </c>
    </row>
    <row r="100" customFormat="false" ht="17.15" hidden="false" customHeight="false" outlineLevel="0" collapsed="false">
      <c r="A100" s="4" t="s">
        <v>357</v>
      </c>
      <c r="B100" s="0" t="s">
        <v>32</v>
      </c>
      <c r="D100" s="14" t="n">
        <f aca="false">D98*D99</f>
        <v>12.18101625</v>
      </c>
      <c r="E100" s="14" t="n">
        <f aca="false">E98*E99</f>
        <v>28.298418</v>
      </c>
      <c r="F100" s="14" t="n">
        <f aca="false">F98*F99</f>
        <v>34.161288</v>
      </c>
      <c r="G100" s="14" t="n">
        <f aca="false">G98*G99</f>
        <v>41.34465375</v>
      </c>
    </row>
    <row r="101" customFormat="false" ht="17.15" hidden="false" customHeight="false" outlineLevel="0" collapsed="false">
      <c r="A101" s="4" t="s">
        <v>399</v>
      </c>
      <c r="B101" s="0" t="s">
        <v>103</v>
      </c>
      <c r="D101" s="18" t="n">
        <f aca="false">D93/fx/D100</f>
        <v>0.410570649226414</v>
      </c>
      <c r="H101" s="8" t="s">
        <v>400</v>
      </c>
    </row>
    <row r="102" customFormat="false" ht="17.15" hidden="false" customHeight="false" outlineLevel="0" collapsed="false">
      <c r="A102" s="4" t="s">
        <v>401</v>
      </c>
      <c r="B102" s="0" t="s">
        <v>76</v>
      </c>
      <c r="D102" s="19" t="n">
        <f aca="false">1</f>
        <v>1</v>
      </c>
      <c r="E102" s="19" t="n">
        <f aca="false">RHI_27</f>
        <v>1.1</v>
      </c>
      <c r="F102" s="19" t="n">
        <f aca="false">RHI_28</f>
        <v>1.1</v>
      </c>
      <c r="G102" s="19" t="n">
        <f aca="false">RHI_29</f>
        <v>1.1</v>
      </c>
    </row>
    <row r="103" customFormat="false" ht="15" hidden="false" customHeight="false" outlineLevel="0" collapsed="false">
      <c r="A103" s="4" t="s">
        <v>402</v>
      </c>
      <c r="B103" s="0" t="s">
        <v>103</v>
      </c>
      <c r="D103" s="18" t="n">
        <f aca="false">$D$101*D102</f>
        <v>0.410570649226414</v>
      </c>
      <c r="E103" s="18" t="n">
        <f aca="false">$D$101*E102</f>
        <v>0.451627714149056</v>
      </c>
      <c r="F103" s="18" t="n">
        <f aca="false">$D$101*F102</f>
        <v>0.451627714149056</v>
      </c>
      <c r="G103" s="18" t="n">
        <f aca="false">$D$101*G102</f>
        <v>0.451627714149056</v>
      </c>
    </row>
    <row r="104" customFormat="false" ht="17.15" hidden="false" customHeight="false" outlineLevel="0" collapsed="false">
      <c r="A104" s="0" t="s">
        <v>403</v>
      </c>
      <c r="B104" s="0" t="s">
        <v>186</v>
      </c>
      <c r="C104" s="20" t="n">
        <f aca="false">C93</f>
        <v>50.65728</v>
      </c>
      <c r="D104" s="20" t="n">
        <f aca="false">D100*D103*fx</f>
        <v>160.037368</v>
      </c>
      <c r="E104" s="20" t="n">
        <f aca="false">E100*E103*fx</f>
        <v>408.971194731984</v>
      </c>
      <c r="F104" s="20" t="n">
        <f aca="false">F100*F103*fx</f>
        <v>493.701901178482</v>
      </c>
      <c r="G104" s="20" t="n">
        <f aca="false">G100*G103*fx</f>
        <v>597.516526892694</v>
      </c>
    </row>
    <row r="105" customFormat="false" ht="17.15" hidden="false" customHeight="false" outlineLevel="0" collapsed="false">
      <c r="A105" s="6" t="s">
        <v>404</v>
      </c>
    </row>
    <row r="106" customFormat="false" ht="17.15" hidden="false" customHeight="false" outlineLevel="0" collapsed="false">
      <c r="A106" s="0" t="s">
        <v>405</v>
      </c>
      <c r="B106" s="4" t="s">
        <v>55</v>
      </c>
      <c r="D106" s="19" t="n">
        <f aca="false">trn_26*1</f>
        <v>2</v>
      </c>
      <c r="E106" s="19" t="n">
        <f aca="false">trn_27*1*1</f>
        <v>2.5</v>
      </c>
      <c r="F106" s="19" t="n">
        <f aca="false">trn_28*um28_A*1</f>
        <v>3</v>
      </c>
      <c r="G106" s="19" t="n">
        <f aca="false">trn_29*um29_A*1</f>
        <v>3.45</v>
      </c>
    </row>
    <row r="107" customFormat="false" ht="17.15" hidden="false" customHeight="false" outlineLevel="0" collapsed="false">
      <c r="A107" s="4" t="s">
        <v>406</v>
      </c>
      <c r="B107" s="4" t="s">
        <v>407</v>
      </c>
      <c r="D107" s="20" t="n">
        <f aca="false">D91/D106</f>
        <v>102.6903</v>
      </c>
      <c r="H107" s="8" t="s">
        <v>408</v>
      </c>
    </row>
    <row r="108" customFormat="false" ht="17.15" hidden="false" customHeight="false" outlineLevel="0" collapsed="false">
      <c r="A108" s="4" t="s">
        <v>409</v>
      </c>
      <c r="B108" s="0" t="s">
        <v>76</v>
      </c>
      <c r="D108" s="19" t="n">
        <f aca="false">1</f>
        <v>1</v>
      </c>
      <c r="E108" s="19" t="n">
        <f aca="false">nrel_27</f>
        <v>0.9</v>
      </c>
      <c r="F108" s="19" t="n">
        <f aca="false">nrel_28</f>
        <v>0.85</v>
      </c>
      <c r="G108" s="19" t="n">
        <f aca="false">nrel_29</f>
        <v>0.8</v>
      </c>
    </row>
    <row r="109" customFormat="false" ht="15" hidden="false" customHeight="false" outlineLevel="0" collapsed="false">
      <c r="A109" s="4" t="s">
        <v>410</v>
      </c>
      <c r="B109" s="0" t="s">
        <v>186</v>
      </c>
      <c r="C109" s="20" t="n">
        <f aca="false">C91</f>
        <v>156.4416</v>
      </c>
      <c r="D109" s="20" t="n">
        <f aca="false">D106*$D$107*D108</f>
        <v>205.3806</v>
      </c>
      <c r="E109" s="20" t="n">
        <f aca="false">E106*$D$107*E108</f>
        <v>231.053175</v>
      </c>
      <c r="F109" s="20" t="n">
        <f aca="false">F106*$D$107*F108</f>
        <v>261.860265</v>
      </c>
      <c r="G109" s="20" t="n">
        <f aca="false">G106*$D$107*G108</f>
        <v>283.425228</v>
      </c>
    </row>
    <row r="110" customFormat="false" ht="17.15" hidden="false" customHeight="false" outlineLevel="0" collapsed="false">
      <c r="A110" s="6" t="s">
        <v>411</v>
      </c>
    </row>
    <row r="111" customFormat="false" ht="17.15" hidden="false" customHeight="false" outlineLevel="0" collapsed="false">
      <c r="A111" s="4" t="s">
        <v>412</v>
      </c>
      <c r="B111" s="0" t="s">
        <v>186</v>
      </c>
      <c r="C111" s="20" t="n">
        <f aca="false">C92</f>
        <v>41.22112</v>
      </c>
      <c r="D111" s="20" t="n">
        <f aca="false">D92</f>
        <v>45.343232</v>
      </c>
      <c r="E111" s="20" t="n">
        <f aca="false">D111*(1+g_nai27)</f>
        <v>48.06382592</v>
      </c>
      <c r="F111" s="20" t="n">
        <f aca="false">E111*(1+g_nai28)</f>
        <v>50.467017216</v>
      </c>
      <c r="G111" s="20" t="n">
        <f aca="false">F111*(1+g_nai29)</f>
        <v>52.9903680768</v>
      </c>
    </row>
    <row r="112" customFormat="false" ht="15" hidden="false" customHeight="false" outlineLevel="0" collapsed="false">
      <c r="A112" s="4" t="s">
        <v>316</v>
      </c>
      <c r="B112" s="0" t="s">
        <v>186</v>
      </c>
      <c r="C112" s="20" t="n">
        <f aca="false">C104+C109+C111</f>
        <v>248.32</v>
      </c>
      <c r="D112" s="20" t="n">
        <f aca="false">D104+D109+D111</f>
        <v>410.7612</v>
      </c>
      <c r="E112" s="20" t="n">
        <f aca="false">E104+E109+E111</f>
        <v>688.088195651984</v>
      </c>
      <c r="F112" s="20" t="n">
        <f aca="false">F104+F109+F111</f>
        <v>806.029183394482</v>
      </c>
      <c r="G112" s="20" t="n">
        <f aca="false">G104+G109+G111</f>
        <v>933.932122969494</v>
      </c>
    </row>
    <row r="113" customFormat="false" ht="17.15" hidden="false" customHeight="false" outlineLevel="0" collapsed="false">
      <c r="A113" s="4" t="s">
        <v>413</v>
      </c>
      <c r="B113" s="0" t="s">
        <v>103</v>
      </c>
      <c r="C113" s="18" t="n">
        <f aca="false">sw25s*(1-af25)/(1-nap25s-sw25s*af25)</f>
        <v>0.819277108433735</v>
      </c>
      <c r="H113" s="8" t="s">
        <v>414</v>
      </c>
    </row>
    <row r="114" customFormat="false" ht="17.15" hidden="false" customHeight="false" outlineLevel="0" collapsed="false">
      <c r="A114" s="4" t="s">
        <v>415</v>
      </c>
      <c r="B114" s="0" t="s">
        <v>186</v>
      </c>
      <c r="C114" s="20" t="n">
        <f aca="false">C111*$C$113</f>
        <v>33.77152</v>
      </c>
      <c r="D114" s="20" t="n">
        <f aca="false">D111*$C$113</f>
        <v>37.148672</v>
      </c>
      <c r="E114" s="20" t="n">
        <f aca="false">E111*$C$113</f>
        <v>39.37759232</v>
      </c>
      <c r="F114" s="20" t="n">
        <f aca="false">F111*$C$113</f>
        <v>41.346471936</v>
      </c>
      <c r="G114" s="20" t="n">
        <f aca="false">G111*$C$113</f>
        <v>43.4137955328</v>
      </c>
    </row>
    <row r="115" customFormat="false" ht="17.15" hidden="false" customHeight="false" outlineLevel="0" collapsed="false">
      <c r="A115" s="4" t="s">
        <v>416</v>
      </c>
      <c r="B115" s="0" t="s">
        <v>186</v>
      </c>
      <c r="C115" s="20" t="n">
        <f aca="false">C104+C114</f>
        <v>84.4288</v>
      </c>
      <c r="D115" s="20" t="n">
        <f aca="false">D104+D114</f>
        <v>197.18604</v>
      </c>
      <c r="E115" s="20" t="n">
        <f aca="false">E104+E114</f>
        <v>448.348787051984</v>
      </c>
      <c r="F115" s="20" t="n">
        <f aca="false">F104+F114</f>
        <v>535.048373114482</v>
      </c>
      <c r="G115" s="20" t="n">
        <f aca="false">G104+G114</f>
        <v>640.930322425494</v>
      </c>
      <c r="H115" s="4" t="s">
        <v>417</v>
      </c>
    </row>
    <row r="116" customFormat="false" ht="17.15" hidden="false" customHeight="false" outlineLevel="0" collapsed="false">
      <c r="A116" s="4" t="s">
        <v>418</v>
      </c>
      <c r="B116" s="0" t="s">
        <v>186</v>
      </c>
      <c r="C116" s="20" t="n">
        <f aca="false">C111-C114</f>
        <v>7.44959999999999</v>
      </c>
      <c r="D116" s="20" t="n">
        <f aca="false">D111-D114</f>
        <v>8.19455999999999</v>
      </c>
      <c r="E116" s="20" t="n">
        <f aca="false">E111-E114</f>
        <v>8.68623359999999</v>
      </c>
      <c r="F116" s="20" t="n">
        <f aca="false">F111-F114</f>
        <v>9.12054527999999</v>
      </c>
      <c r="G116" s="20" t="n">
        <f aca="false">G111-G114</f>
        <v>9.57657254399999</v>
      </c>
      <c r="H116" s="4" t="s">
        <v>419</v>
      </c>
    </row>
    <row r="117" customFormat="false" ht="17.15" hidden="false" customHeight="false" outlineLevel="0" collapsed="false">
      <c r="A117" s="4" t="s">
        <v>420</v>
      </c>
      <c r="B117" s="0" t="s">
        <v>186</v>
      </c>
      <c r="C117" s="16" t="n">
        <f aca="false">C115+C109+C116-a25_rev</f>
        <v>0</v>
      </c>
      <c r="D117" s="16" t="n">
        <f aca="false">D115+D109+D116-D112</f>
        <v>0</v>
      </c>
      <c r="E117" s="16" t="n">
        <f aca="false">E115+E109+E116-E112</f>
        <v>0</v>
      </c>
      <c r="F117" s="16" t="n">
        <f aca="false">F115+F109+F116-F112</f>
        <v>0</v>
      </c>
      <c r="G117" s="16" t="n">
        <f aca="false">G115+G109+G116-G112</f>
        <v>0</v>
      </c>
    </row>
    <row r="118" customFormat="false" ht="15" hidden="false" customHeight="false" outlineLevel="0" collapsed="false">
      <c r="A118" s="4" t="s">
        <v>421</v>
      </c>
      <c r="B118" s="0" t="s">
        <v>103</v>
      </c>
      <c r="D118" s="18" t="n">
        <f aca="false">D112/C112-1</f>
        <v>0.654160760309279</v>
      </c>
      <c r="E118" s="18" t="n">
        <f aca="false">E112/D112-1</f>
        <v>0.675153825755654</v>
      </c>
      <c r="F118" s="18" t="n">
        <f aca="false">F112/E112-1</f>
        <v>0.171403881781093</v>
      </c>
      <c r="G118" s="18" t="n">
        <f aca="false">G112/F112-1</f>
        <v>0.158682765103325</v>
      </c>
    </row>
    <row r="119" customFormat="false" ht="17.15" hidden="false" customHeight="false" outlineLevel="0" collapsed="false">
      <c r="A119" s="0" t="s">
        <v>422</v>
      </c>
      <c r="B119" s="0" t="s">
        <v>103</v>
      </c>
      <c r="C119" s="18" t="n">
        <f aca="false">(C104+C109)/C112</f>
        <v>0.834</v>
      </c>
      <c r="D119" s="18" t="n">
        <f aca="false">(D104+D109)/D112</f>
        <v>0.889611696528299</v>
      </c>
      <c r="E119" s="18" t="n">
        <f aca="false">(E104+E109)/E112</f>
        <v>0.930148742234332</v>
      </c>
      <c r="F119" s="18" t="n">
        <f aca="false">(F104+F109)/F112</f>
        <v>0.937388101751521</v>
      </c>
      <c r="G119" s="18" t="n">
        <f aca="false">(G104+G109)/G112</f>
        <v>0.943261007118682</v>
      </c>
    </row>
    <row r="120" customFormat="false" ht="17.15" hidden="false" customHeight="false" outlineLevel="0" collapsed="false">
      <c r="A120" s="4" t="s">
        <v>423</v>
      </c>
      <c r="B120" s="0" t="s">
        <v>103</v>
      </c>
      <c r="C120" s="18" t="n">
        <f aca="false">C109/C112</f>
        <v>0.63</v>
      </c>
      <c r="D120" s="18" t="n">
        <f aca="false">D109/D112</f>
        <v>0.5</v>
      </c>
      <c r="E120" s="18" t="n">
        <f aca="false">E109/E112</f>
        <v>0.335790057815293</v>
      </c>
      <c r="F120" s="18" t="n">
        <f aca="false">F109/F112</f>
        <v>0.324876903212377</v>
      </c>
      <c r="G120" s="18" t="n">
        <f aca="false">G109/G112</f>
        <v>0.303475189501816</v>
      </c>
    </row>
    <row r="121" customFormat="false" ht="17.15" hidden="false" customHeight="false" outlineLevel="0" collapsed="false">
      <c r="A121" s="6" t="s">
        <v>424</v>
      </c>
    </row>
    <row r="122" customFormat="false" ht="17.15" hidden="false" customHeight="false" outlineLevel="0" collapsed="false">
      <c r="A122" s="4" t="s">
        <v>425</v>
      </c>
      <c r="B122" s="0" t="s">
        <v>103</v>
      </c>
      <c r="D122" s="15" t="n">
        <f aca="false">a26_gp/a26_rev+d_nap*D120</f>
        <v>0.219589247962076</v>
      </c>
      <c r="H122" s="8" t="s">
        <v>426</v>
      </c>
    </row>
    <row r="123" customFormat="false" ht="15" hidden="false" customHeight="false" outlineLevel="0" collapsed="false">
      <c r="A123" s="4" t="s">
        <v>320</v>
      </c>
      <c r="B123" s="0" t="s">
        <v>186</v>
      </c>
      <c r="C123" s="20" t="n">
        <f aca="false">a25_gp</f>
        <v>44.921088</v>
      </c>
      <c r="D123" s="20" t="n">
        <f aca="false">a26_gp</f>
        <v>77.875907</v>
      </c>
      <c r="E123" s="20" t="n">
        <f aca="false">$D$122*(E104+E111)+($D$122-d_nap)*E109</f>
        <v>137.233578914801</v>
      </c>
      <c r="F123" s="20" t="n">
        <f aca="false">$D$122*(F104+F111)+($D$122-d_nap)*F109</f>
        <v>161.283726317081</v>
      </c>
      <c r="G123" s="20" t="n">
        <f aca="false">$D$122*(G104+G111)+($D$122-d_nap)*G109</f>
        <v>188.075938850496</v>
      </c>
    </row>
    <row r="124" customFormat="false" ht="15" hidden="false" customHeight="false" outlineLevel="0" collapsed="false">
      <c r="A124" s="4" t="s">
        <v>322</v>
      </c>
      <c r="B124" s="0" t="s">
        <v>103</v>
      </c>
      <c r="C124" s="15" t="n">
        <f aca="false">C123/C112</f>
        <v>0.1809</v>
      </c>
      <c r="D124" s="15" t="n">
        <f aca="false">D123/D112</f>
        <v>0.189589247962076</v>
      </c>
      <c r="E124" s="15" t="n">
        <f aca="false">E123/E112</f>
        <v>0.199441844493159</v>
      </c>
      <c r="F124" s="15" t="n">
        <f aca="false">F123/F112</f>
        <v>0.200096633769334</v>
      </c>
      <c r="G124" s="15" t="n">
        <f aca="false">G123/G112</f>
        <v>0.201380736591967</v>
      </c>
    </row>
    <row r="125" customFormat="false" ht="15" hidden="false" customHeight="false" outlineLevel="0" collapsed="false">
      <c r="A125" s="4" t="s">
        <v>427</v>
      </c>
      <c r="B125" s="0" t="s">
        <v>186</v>
      </c>
      <c r="C125" s="20" t="n">
        <f aca="false">a25_opx</f>
        <v>12.78848</v>
      </c>
      <c r="D125" s="20" t="n">
        <f aca="false">a26_opx</f>
        <v>17.956088</v>
      </c>
      <c r="E125" s="20" t="n">
        <f aca="false">D125*(1+MAX(0,phi*E118))</f>
        <v>25.2299609052831</v>
      </c>
      <c r="F125" s="20" t="n">
        <f aca="false">E125*(1+MAX(0,phi*F118))</f>
        <v>27.8246688470936</v>
      </c>
      <c r="G125" s="20" t="n">
        <f aca="false">F125*(1+MAX(0,phi*G118))</f>
        <v>30.4738460815383</v>
      </c>
    </row>
    <row r="126" customFormat="false" ht="15" hidden="false" customHeight="false" outlineLevel="0" collapsed="false">
      <c r="A126" s="4" t="s">
        <v>324</v>
      </c>
      <c r="B126" s="0" t="s">
        <v>186</v>
      </c>
      <c r="C126" s="20" t="n">
        <f aca="false">C125</f>
        <v>12.78848</v>
      </c>
      <c r="D126" s="20" t="n">
        <f aca="false">D125</f>
        <v>17.956088</v>
      </c>
      <c r="E126" s="20" t="n">
        <f aca="false">E125+0*E112</f>
        <v>25.2299609052831</v>
      </c>
      <c r="F126" s="20" t="n">
        <f aca="false">F125+0*F112</f>
        <v>27.8246688470936</v>
      </c>
      <c r="G126" s="20" t="n">
        <f aca="false">G125+0*G112</f>
        <v>30.4738460815383</v>
      </c>
    </row>
    <row r="127" customFormat="false" ht="15" hidden="false" customHeight="false" outlineLevel="0" collapsed="false">
      <c r="A127" s="4" t="s">
        <v>326</v>
      </c>
      <c r="B127" s="0" t="s">
        <v>186</v>
      </c>
      <c r="C127" s="20" t="n">
        <f aca="false">C123-C126</f>
        <v>32.132608</v>
      </c>
      <c r="D127" s="20" t="n">
        <f aca="false">D123-D126</f>
        <v>59.919819</v>
      </c>
      <c r="E127" s="20" t="n">
        <f aca="false">E123-E126</f>
        <v>112.003618009518</v>
      </c>
      <c r="F127" s="20" t="n">
        <f aca="false">F123-F126</f>
        <v>133.459057469987</v>
      </c>
      <c r="G127" s="20" t="n">
        <f aca="false">G123-G126</f>
        <v>157.602092768958</v>
      </c>
    </row>
    <row r="128" customFormat="false" ht="15" hidden="false" customHeight="false" outlineLevel="0" collapsed="false">
      <c r="A128" s="4" t="s">
        <v>328</v>
      </c>
      <c r="B128" s="0" t="s">
        <v>103</v>
      </c>
      <c r="C128" s="15" t="n">
        <f aca="false">C127/C112</f>
        <v>0.1294</v>
      </c>
      <c r="D128" s="15" t="n">
        <f aca="false">D127/D112</f>
        <v>0.145875070478906</v>
      </c>
      <c r="E128" s="15" t="n">
        <f aca="false">E127/E112</f>
        <v>0.16277509004989</v>
      </c>
      <c r="F128" s="15" t="n">
        <f aca="false">F127/F112</f>
        <v>0.16557596203644</v>
      </c>
      <c r="G128" s="15" t="n">
        <f aca="false">G127/G112</f>
        <v>0.168751121085602</v>
      </c>
    </row>
    <row r="129" customFormat="false" ht="17.15" hidden="false" customHeight="false" outlineLevel="0" collapsed="false">
      <c r="A129" s="4" t="s">
        <v>224</v>
      </c>
      <c r="B129" s="0" t="s">
        <v>76</v>
      </c>
      <c r="C129" s="16" t="n">
        <f aca="false">a25_ni/a25_oi</f>
        <v>0.819790289042209</v>
      </c>
      <c r="D129" s="16" t="n">
        <f aca="false">a26_ni/a26_oi</f>
        <v>0.798164213413262</v>
      </c>
      <c r="E129" s="16" t="n">
        <f aca="false">nio_f</f>
        <v>0.8</v>
      </c>
      <c r="F129" s="16" t="n">
        <f aca="false">nio_f</f>
        <v>0.8</v>
      </c>
      <c r="G129" s="16" t="n">
        <f aca="false">nio_f</f>
        <v>0.8</v>
      </c>
    </row>
    <row r="130" customFormat="false" ht="15" hidden="false" customHeight="false" outlineLevel="0" collapsed="false">
      <c r="A130" s="4" t="s">
        <v>329</v>
      </c>
      <c r="B130" s="0" t="s">
        <v>186</v>
      </c>
      <c r="C130" s="20" t="n">
        <f aca="false">a25_ni</f>
        <v>26.342</v>
      </c>
      <c r="D130" s="20" t="n">
        <f aca="false">a26_ni</f>
        <v>47.8258552</v>
      </c>
      <c r="E130" s="20" t="n">
        <f aca="false">E127*E129</f>
        <v>89.6028944076144</v>
      </c>
      <c r="F130" s="20" t="n">
        <f aca="false">F127*F129</f>
        <v>106.76724597599</v>
      </c>
      <c r="G130" s="20" t="n">
        <f aca="false">G127*G129</f>
        <v>126.081674215167</v>
      </c>
    </row>
    <row r="131" customFormat="false" ht="15" hidden="false" customHeight="false" outlineLevel="0" collapsed="false">
      <c r="A131" s="4" t="s">
        <v>428</v>
      </c>
      <c r="B131" s="4" t="s">
        <v>211</v>
      </c>
      <c r="C131" s="17" t="n">
        <f aca="false">a25_sh</f>
        <v>0.558922130277955</v>
      </c>
      <c r="D131" s="17" t="n">
        <f aca="false">a26_sh</f>
        <v>0.558904899135447</v>
      </c>
      <c r="E131" s="17" t="n">
        <f aca="false">D131*(1+sh_g27)</f>
        <v>0.568853406340058</v>
      </c>
      <c r="F131" s="17" t="n">
        <f aca="false">E131*(1+sh_g)</f>
        <v>0.568853406340058</v>
      </c>
      <c r="G131" s="17" t="n">
        <f aca="false">F131*(1+sh_g)</f>
        <v>0.568853406340058</v>
      </c>
    </row>
    <row r="132" customFormat="false" ht="15" hidden="false" customHeight="false" outlineLevel="0" collapsed="false">
      <c r="A132" s="0" t="s">
        <v>334</v>
      </c>
      <c r="B132" s="0" t="s">
        <v>244</v>
      </c>
      <c r="C132" s="14" t="n">
        <f aca="false">C130/C131</f>
        <v>47.13</v>
      </c>
      <c r="D132" s="14" t="n">
        <f aca="false">D130/D131</f>
        <v>85.5706494503455</v>
      </c>
      <c r="E132" s="14" t="n">
        <f aca="false">E130/E131</f>
        <v>157.514912293678</v>
      </c>
      <c r="F132" s="14" t="n">
        <f aca="false">F130/F131</f>
        <v>187.688506012329</v>
      </c>
      <c r="G132" s="14" t="n">
        <f aca="false">G130/G131</f>
        <v>221.641767123032</v>
      </c>
    </row>
    <row r="133" customFormat="false" ht="17.15" hidden="false" customHeight="false" outlineLevel="0" collapsed="false">
      <c r="A133" s="0" t="s">
        <v>429</v>
      </c>
      <c r="B133" s="0" t="s">
        <v>103</v>
      </c>
      <c r="D133" s="18" t="n">
        <f aca="false">D132/C132-1</f>
        <v>0.815630160202535</v>
      </c>
      <c r="E133" s="18" t="n">
        <f aca="false">E132/D132-1</f>
        <v>0.840758639854432</v>
      </c>
      <c r="F133" s="18" t="n">
        <f aca="false">F132/E132-1</f>
        <v>0.191560235658155</v>
      </c>
      <c r="G133" s="18" t="n">
        <f aca="false">G132/F132-1</f>
        <v>0.180902186458198</v>
      </c>
    </row>
    <row r="136" customFormat="false" ht="17.15" hidden="false" customHeight="false" outlineLevel="0" collapsed="false">
      <c r="A136" s="1" t="s">
        <v>727</v>
      </c>
    </row>
    <row r="137" customFormat="false" ht="17.15" hidden="false" customHeight="false" outlineLevel="0" collapsed="false">
      <c r="A137" s="5" t="s">
        <v>21</v>
      </c>
      <c r="B137" s="5" t="s">
        <v>22</v>
      </c>
      <c r="C137" s="12" t="s">
        <v>309</v>
      </c>
      <c r="D137" s="12" t="s">
        <v>371</v>
      </c>
      <c r="E137" s="12" t="s">
        <v>372</v>
      </c>
      <c r="F137" s="12" t="s">
        <v>373</v>
      </c>
      <c r="G137" s="12" t="s">
        <v>374</v>
      </c>
      <c r="H137" s="5" t="s">
        <v>350</v>
      </c>
    </row>
    <row r="138" customFormat="false" ht="17.15" hidden="false" customHeight="false" outlineLevel="0" collapsed="false">
      <c r="A138" s="6" t="s">
        <v>389</v>
      </c>
    </row>
    <row r="139" customFormat="false" ht="17.15" hidden="false" customHeight="false" outlineLevel="0" collapsed="false">
      <c r="A139" s="4" t="s">
        <v>390</v>
      </c>
      <c r="B139" s="0" t="s">
        <v>186</v>
      </c>
      <c r="C139" s="20" t="n">
        <f aca="false">a25_rev*nap25s</f>
        <v>156.4416</v>
      </c>
      <c r="D139" s="20" t="n">
        <f aca="false">a26_rev*ns26</f>
        <v>205.3806</v>
      </c>
    </row>
    <row r="140" customFormat="false" ht="17.15" hidden="false" customHeight="false" outlineLevel="0" collapsed="false">
      <c r="A140" s="4" t="s">
        <v>391</v>
      </c>
      <c r="B140" s="0" t="s">
        <v>186</v>
      </c>
      <c r="C140" s="20" t="n">
        <f aca="false">a25_rev*(1-nap25s-sw25s*af25)</f>
        <v>41.22112</v>
      </c>
      <c r="D140" s="20" t="n">
        <f aca="false">C140*(1+g_nai26)</f>
        <v>45.343232</v>
      </c>
    </row>
    <row r="141" customFormat="false" ht="17.15" hidden="false" customHeight="false" outlineLevel="0" collapsed="false">
      <c r="A141" s="0" t="s">
        <v>392</v>
      </c>
      <c r="B141" s="0" t="s">
        <v>186</v>
      </c>
      <c r="C141" s="20" t="n">
        <f aca="false">a25_rev*sw25s*af25</f>
        <v>50.65728</v>
      </c>
      <c r="D141" s="20" t="n">
        <f aca="false">a26_rev-D139-D140</f>
        <v>160.037368</v>
      </c>
      <c r="H141" s="8" t="s">
        <v>393</v>
      </c>
    </row>
    <row r="142" customFormat="false" ht="17.15" hidden="false" customHeight="false" outlineLevel="0" collapsed="false">
      <c r="A142" s="6" t="s">
        <v>394</v>
      </c>
    </row>
    <row r="143" customFormat="false" ht="17.15" hidden="false" customHeight="false" outlineLevel="0" collapsed="false">
      <c r="A143" s="0" t="s">
        <v>395</v>
      </c>
      <c r="B143" s="0" t="s">
        <v>32</v>
      </c>
      <c r="D143" s="14" t="n">
        <f aca="false">mkt_26*1</f>
        <v>32.0719</v>
      </c>
      <c r="E143" s="14" t="n">
        <f aca="false">mkt_27*1*1</f>
        <v>61.085</v>
      </c>
      <c r="F143" s="14" t="n">
        <f aca="false">mkt_28*um28_A*1</f>
        <v>69.005</v>
      </c>
      <c r="G143" s="14" t="n">
        <f aca="false">mkt_29*um29_A*1</f>
        <v>78.48215</v>
      </c>
    </row>
    <row r="144" customFormat="false" ht="15" hidden="false" customHeight="false" outlineLevel="0" collapsed="false">
      <c r="A144" s="4" t="s">
        <v>396</v>
      </c>
      <c r="B144" s="0" t="s">
        <v>103</v>
      </c>
      <c r="D144" s="18" t="n">
        <f aca="false">eth_26</f>
        <v>0.75</v>
      </c>
      <c r="E144" s="18" t="n">
        <f aca="false">eth_27</f>
        <v>0.8</v>
      </c>
      <c r="F144" s="18" t="n">
        <f aca="false">eth_28</f>
        <v>0.83</v>
      </c>
      <c r="G144" s="18" t="n">
        <f aca="false">eth_29</f>
        <v>0.85</v>
      </c>
    </row>
    <row r="145" customFormat="false" ht="17.15" hidden="false" customHeight="false" outlineLevel="0" collapsed="false">
      <c r="A145" s="4" t="s">
        <v>397</v>
      </c>
      <c r="B145" s="0" t="s">
        <v>32</v>
      </c>
      <c r="D145" s="14" t="n">
        <f aca="false">su_26*1</f>
        <v>3.015</v>
      </c>
      <c r="E145" s="14" t="n">
        <f aca="false">su_27*1*1</f>
        <v>11.3414</v>
      </c>
      <c r="F145" s="14" t="n">
        <f aca="false">su_28*um28_A*1</f>
        <v>13.8952</v>
      </c>
      <c r="G145" s="14" t="n">
        <f aca="false">su_29*um29_A*1</f>
        <v>15.97948</v>
      </c>
    </row>
    <row r="146" customFormat="false" ht="17.15" hidden="false" customHeight="false" outlineLevel="0" collapsed="false">
      <c r="A146" s="0" t="s">
        <v>398</v>
      </c>
      <c r="B146" s="0" t="s">
        <v>32</v>
      </c>
      <c r="D146" s="14" t="n">
        <f aca="false">D143*D144+D145</f>
        <v>27.068925</v>
      </c>
      <c r="E146" s="14" t="n">
        <f aca="false">E143*E144+E145</f>
        <v>60.2094</v>
      </c>
      <c r="F146" s="14" t="n">
        <f aca="false">F143*F144+F145</f>
        <v>71.16935</v>
      </c>
      <c r="G146" s="14" t="n">
        <f aca="false">G143*G144+G145</f>
        <v>82.6893075</v>
      </c>
    </row>
    <row r="147" customFormat="false" ht="15" hidden="false" customHeight="false" outlineLevel="0" collapsed="false">
      <c r="A147" s="4" t="s">
        <v>355</v>
      </c>
      <c r="B147" s="0" t="s">
        <v>103</v>
      </c>
      <c r="D147" s="18" t="n">
        <f aca="false">WBLO_26</f>
        <v>0.35</v>
      </c>
      <c r="E147" s="18" t="n">
        <f aca="false">WBLO_27</f>
        <v>0.35</v>
      </c>
      <c r="F147" s="18" t="n">
        <f aca="false">WBLO_28</f>
        <v>0.35</v>
      </c>
      <c r="G147" s="18" t="n">
        <f aca="false">WBLO_29</f>
        <v>0.35</v>
      </c>
    </row>
    <row r="148" customFormat="false" ht="17.15" hidden="false" customHeight="false" outlineLevel="0" collapsed="false">
      <c r="A148" s="4" t="s">
        <v>357</v>
      </c>
      <c r="B148" s="0" t="s">
        <v>32</v>
      </c>
      <c r="D148" s="14" t="n">
        <f aca="false">D146*D147</f>
        <v>9.47412375</v>
      </c>
      <c r="E148" s="14" t="n">
        <f aca="false">E146*E147</f>
        <v>21.07329</v>
      </c>
      <c r="F148" s="14" t="n">
        <f aca="false">F146*F147</f>
        <v>24.9092725</v>
      </c>
      <c r="G148" s="14" t="n">
        <f aca="false">G146*G147</f>
        <v>28.941257625</v>
      </c>
    </row>
    <row r="149" customFormat="false" ht="17.15" hidden="false" customHeight="false" outlineLevel="0" collapsed="false">
      <c r="A149" s="4" t="s">
        <v>399</v>
      </c>
      <c r="B149" s="0" t="s">
        <v>103</v>
      </c>
      <c r="D149" s="18" t="n">
        <f aca="false">D141/fx/D148</f>
        <v>0.52787654900539</v>
      </c>
      <c r="H149" s="8" t="s">
        <v>400</v>
      </c>
    </row>
    <row r="150" customFormat="false" ht="17.15" hidden="false" customHeight="false" outlineLevel="0" collapsed="false">
      <c r="A150" s="4" t="s">
        <v>401</v>
      </c>
      <c r="B150" s="0" t="s">
        <v>76</v>
      </c>
      <c r="D150" s="19" t="n">
        <f aca="false">1</f>
        <v>1</v>
      </c>
      <c r="E150" s="19" t="n">
        <f aca="false">rel_27</f>
        <v>1</v>
      </c>
      <c r="F150" s="19" t="n">
        <f aca="false">rel_28</f>
        <v>0.95</v>
      </c>
      <c r="G150" s="19" t="n">
        <f aca="false">rel_29</f>
        <v>0.92</v>
      </c>
    </row>
    <row r="151" customFormat="false" ht="15" hidden="false" customHeight="false" outlineLevel="0" collapsed="false">
      <c r="A151" s="4" t="s">
        <v>402</v>
      </c>
      <c r="B151" s="0" t="s">
        <v>103</v>
      </c>
      <c r="D151" s="18" t="n">
        <f aca="false">$D$149*D150</f>
        <v>0.52787654900539</v>
      </c>
      <c r="E151" s="18" t="n">
        <f aca="false">$D$149*E150</f>
        <v>0.52787654900539</v>
      </c>
      <c r="F151" s="18" t="n">
        <f aca="false">$D$149*F150</f>
        <v>0.50148272155512</v>
      </c>
      <c r="G151" s="18" t="n">
        <f aca="false">$D$149*G150</f>
        <v>0.485646425084959</v>
      </c>
    </row>
    <row r="152" customFormat="false" ht="17.15" hidden="false" customHeight="false" outlineLevel="0" collapsed="false">
      <c r="A152" s="0" t="s">
        <v>403</v>
      </c>
      <c r="B152" s="0" t="s">
        <v>186</v>
      </c>
      <c r="C152" s="20" t="n">
        <f aca="false">C141</f>
        <v>50.65728</v>
      </c>
      <c r="D152" s="20" t="n">
        <f aca="false">D148*D151*fx</f>
        <v>160.037368</v>
      </c>
      <c r="E152" s="20" t="n">
        <f aca="false">E148*E151*fx</f>
        <v>355.971059244473</v>
      </c>
      <c r="F152" s="20" t="n">
        <f aca="false">F148*F151*fx</f>
        <v>399.73023248826</v>
      </c>
      <c r="G152" s="20" t="n">
        <f aca="false">G148*G151*fx</f>
        <v>449.76698569741</v>
      </c>
    </row>
    <row r="153" customFormat="false" ht="17.15" hidden="false" customHeight="false" outlineLevel="0" collapsed="false">
      <c r="A153" s="6" t="s">
        <v>404</v>
      </c>
    </row>
    <row r="154" customFormat="false" ht="17.15" hidden="false" customHeight="false" outlineLevel="0" collapsed="false">
      <c r="A154" s="0" t="s">
        <v>405</v>
      </c>
      <c r="B154" s="4" t="s">
        <v>55</v>
      </c>
      <c r="D154" s="19" t="n">
        <f aca="false">trn_26*1</f>
        <v>2</v>
      </c>
      <c r="E154" s="19" t="n">
        <f aca="false">trn_27*1*1</f>
        <v>2.5</v>
      </c>
      <c r="F154" s="19" t="n">
        <f aca="false">trn_28*um28_A*1</f>
        <v>3</v>
      </c>
      <c r="G154" s="19" t="n">
        <f aca="false">trn_29*um29_A*1</f>
        <v>3.45</v>
      </c>
    </row>
    <row r="155" customFormat="false" ht="17.15" hidden="false" customHeight="false" outlineLevel="0" collapsed="false">
      <c r="A155" s="4" t="s">
        <v>406</v>
      </c>
      <c r="B155" s="4" t="s">
        <v>407</v>
      </c>
      <c r="D155" s="20" t="n">
        <f aca="false">D139/D154</f>
        <v>102.6903</v>
      </c>
      <c r="H155" s="8" t="s">
        <v>408</v>
      </c>
    </row>
    <row r="156" customFormat="false" ht="17.15" hidden="false" customHeight="false" outlineLevel="0" collapsed="false">
      <c r="A156" s="4" t="s">
        <v>409</v>
      </c>
      <c r="B156" s="0" t="s">
        <v>76</v>
      </c>
      <c r="D156" s="19" t="n">
        <f aca="false">1</f>
        <v>1</v>
      </c>
      <c r="E156" s="19" t="n">
        <f aca="false">nrel_27</f>
        <v>0.9</v>
      </c>
      <c r="F156" s="19" t="n">
        <f aca="false">nrel_28</f>
        <v>0.85</v>
      </c>
      <c r="G156" s="19" t="n">
        <f aca="false">nrel_29</f>
        <v>0.8</v>
      </c>
    </row>
    <row r="157" customFormat="false" ht="15" hidden="false" customHeight="false" outlineLevel="0" collapsed="false">
      <c r="A157" s="4" t="s">
        <v>410</v>
      </c>
      <c r="B157" s="0" t="s">
        <v>186</v>
      </c>
      <c r="C157" s="20" t="n">
        <f aca="false">C139</f>
        <v>156.4416</v>
      </c>
      <c r="D157" s="20" t="n">
        <f aca="false">D154*$D$155*D156</f>
        <v>205.3806</v>
      </c>
      <c r="E157" s="20" t="n">
        <f aca="false">E154*$D$155*E156</f>
        <v>231.053175</v>
      </c>
      <c r="F157" s="20" t="n">
        <f aca="false">F154*$D$155*F156</f>
        <v>261.860265</v>
      </c>
      <c r="G157" s="20" t="n">
        <f aca="false">G154*$D$155*G156</f>
        <v>283.425228</v>
      </c>
    </row>
    <row r="158" customFormat="false" ht="17.15" hidden="false" customHeight="false" outlineLevel="0" collapsed="false">
      <c r="A158" s="6" t="s">
        <v>411</v>
      </c>
    </row>
    <row r="159" customFormat="false" ht="17.15" hidden="false" customHeight="false" outlineLevel="0" collapsed="false">
      <c r="A159" s="4" t="s">
        <v>412</v>
      </c>
      <c r="B159" s="0" t="s">
        <v>186</v>
      </c>
      <c r="C159" s="20" t="n">
        <f aca="false">C140</f>
        <v>41.22112</v>
      </c>
      <c r="D159" s="20" t="n">
        <f aca="false">D140</f>
        <v>45.343232</v>
      </c>
      <c r="E159" s="20" t="n">
        <f aca="false">D159*(1+g_nai27)</f>
        <v>48.06382592</v>
      </c>
      <c r="F159" s="20" t="n">
        <f aca="false">E159*(1+g_nai28)</f>
        <v>50.467017216</v>
      </c>
      <c r="G159" s="20" t="n">
        <f aca="false">F159*(1+g_nai29)</f>
        <v>52.9903680768</v>
      </c>
    </row>
    <row r="160" customFormat="false" ht="15" hidden="false" customHeight="false" outlineLevel="0" collapsed="false">
      <c r="A160" s="4" t="s">
        <v>316</v>
      </c>
      <c r="B160" s="0" t="s">
        <v>186</v>
      </c>
      <c r="C160" s="20" t="n">
        <f aca="false">C152+C157+C159</f>
        <v>248.32</v>
      </c>
      <c r="D160" s="20" t="n">
        <f aca="false">D152+D157+D159</f>
        <v>410.7612</v>
      </c>
      <c r="E160" s="20" t="n">
        <f aca="false">E152+E157+E159</f>
        <v>635.088060164473</v>
      </c>
      <c r="F160" s="20" t="n">
        <f aca="false">F152+F157+F159</f>
        <v>712.05751470426</v>
      </c>
      <c r="G160" s="20" t="n">
        <f aca="false">G152+G157+G159</f>
        <v>786.18258177421</v>
      </c>
    </row>
    <row r="161" customFormat="false" ht="17.15" hidden="false" customHeight="false" outlineLevel="0" collapsed="false">
      <c r="A161" s="4" t="s">
        <v>413</v>
      </c>
      <c r="B161" s="0" t="s">
        <v>103</v>
      </c>
      <c r="C161" s="18" t="n">
        <f aca="false">sw25s*(1-af25)/(1-nap25s-sw25s*af25)</f>
        <v>0.819277108433735</v>
      </c>
      <c r="H161" s="8" t="s">
        <v>414</v>
      </c>
    </row>
    <row r="162" customFormat="false" ht="17.15" hidden="false" customHeight="false" outlineLevel="0" collapsed="false">
      <c r="A162" s="4" t="s">
        <v>415</v>
      </c>
      <c r="B162" s="0" t="s">
        <v>186</v>
      </c>
      <c r="C162" s="20" t="n">
        <f aca="false">C159*$C$161</f>
        <v>33.77152</v>
      </c>
      <c r="D162" s="20" t="n">
        <f aca="false">D159*$C$161</f>
        <v>37.148672</v>
      </c>
      <c r="E162" s="20" t="n">
        <f aca="false">E159*$C$161</f>
        <v>39.37759232</v>
      </c>
      <c r="F162" s="20" t="n">
        <f aca="false">F159*$C$161</f>
        <v>41.346471936</v>
      </c>
      <c r="G162" s="20" t="n">
        <f aca="false">G159*$C$161</f>
        <v>43.4137955328</v>
      </c>
    </row>
    <row r="163" customFormat="false" ht="17.15" hidden="false" customHeight="false" outlineLevel="0" collapsed="false">
      <c r="A163" s="4" t="s">
        <v>416</v>
      </c>
      <c r="B163" s="0" t="s">
        <v>186</v>
      </c>
      <c r="C163" s="20" t="n">
        <f aca="false">C152+C162</f>
        <v>84.4288</v>
      </c>
      <c r="D163" s="20" t="n">
        <f aca="false">D152+D162</f>
        <v>197.18604</v>
      </c>
      <c r="E163" s="20" t="n">
        <f aca="false">E152+E162</f>
        <v>395.348651564473</v>
      </c>
      <c r="F163" s="20" t="n">
        <f aca="false">F152+F162</f>
        <v>441.07670442426</v>
      </c>
      <c r="G163" s="20" t="n">
        <f aca="false">G152+G162</f>
        <v>493.18078123021</v>
      </c>
      <c r="H163" s="4" t="s">
        <v>417</v>
      </c>
    </row>
    <row r="164" customFormat="false" ht="17.15" hidden="false" customHeight="false" outlineLevel="0" collapsed="false">
      <c r="A164" s="4" t="s">
        <v>418</v>
      </c>
      <c r="B164" s="0" t="s">
        <v>186</v>
      </c>
      <c r="C164" s="20" t="n">
        <f aca="false">C159-C162</f>
        <v>7.44959999999999</v>
      </c>
      <c r="D164" s="20" t="n">
        <f aca="false">D159-D162</f>
        <v>8.19455999999999</v>
      </c>
      <c r="E164" s="20" t="n">
        <f aca="false">E159-E162</f>
        <v>8.68623359999999</v>
      </c>
      <c r="F164" s="20" t="n">
        <f aca="false">F159-F162</f>
        <v>9.12054527999999</v>
      </c>
      <c r="G164" s="20" t="n">
        <f aca="false">G159-G162</f>
        <v>9.57657254399999</v>
      </c>
      <c r="H164" s="4" t="s">
        <v>419</v>
      </c>
    </row>
    <row r="165" customFormat="false" ht="17.15" hidden="false" customHeight="false" outlineLevel="0" collapsed="false">
      <c r="A165" s="4" t="s">
        <v>420</v>
      </c>
      <c r="B165" s="0" t="s">
        <v>186</v>
      </c>
      <c r="C165" s="16" t="n">
        <f aca="false">C163+C157+C164-a25_rev</f>
        <v>0</v>
      </c>
      <c r="D165" s="16" t="n">
        <f aca="false">D163+D157+D164-D160</f>
        <v>0</v>
      </c>
      <c r="E165" s="16" t="n">
        <f aca="false">E163+E157+E164-E160</f>
        <v>0</v>
      </c>
      <c r="F165" s="16" t="n">
        <f aca="false">F163+F157+F164-F160</f>
        <v>0</v>
      </c>
      <c r="G165" s="16" t="n">
        <f aca="false">G163+G157+G164-G160</f>
        <v>0</v>
      </c>
    </row>
    <row r="166" customFormat="false" ht="15" hidden="false" customHeight="false" outlineLevel="0" collapsed="false">
      <c r="A166" s="4" t="s">
        <v>421</v>
      </c>
      <c r="B166" s="0" t="s">
        <v>103</v>
      </c>
      <c r="D166" s="18" t="n">
        <f aca="false">D160/C160-1</f>
        <v>0.654160760309279</v>
      </c>
      <c r="E166" s="18" t="n">
        <f aca="false">E160/D160-1</f>
        <v>0.546124756097882</v>
      </c>
      <c r="F166" s="18" t="n">
        <f aca="false">F160/E160-1</f>
        <v>0.121194932431659</v>
      </c>
      <c r="G166" s="18" t="n">
        <f aca="false">G160/F160-1</f>
        <v>0.104099831178295</v>
      </c>
    </row>
    <row r="167" customFormat="false" ht="17.15" hidden="false" customHeight="false" outlineLevel="0" collapsed="false">
      <c r="A167" s="0" t="s">
        <v>422</v>
      </c>
      <c r="B167" s="0" t="s">
        <v>103</v>
      </c>
      <c r="C167" s="18" t="n">
        <f aca="false">(C152+C157)/C160</f>
        <v>0.834</v>
      </c>
      <c r="D167" s="18" t="n">
        <f aca="false">(D152+D157)/D160</f>
        <v>0.889611696528299</v>
      </c>
      <c r="E167" s="18" t="n">
        <f aca="false">(E152+E157)/E160</f>
        <v>0.924319430745474</v>
      </c>
      <c r="F167" s="18" t="n">
        <f aca="false">(F152+F157)/F160</f>
        <v>0.929125083053213</v>
      </c>
      <c r="G167" s="18" t="n">
        <f aca="false">(G152+G157)/G160</f>
        <v>0.932597885904297</v>
      </c>
    </row>
    <row r="168" customFormat="false" ht="17.15" hidden="false" customHeight="false" outlineLevel="0" collapsed="false">
      <c r="A168" s="4" t="s">
        <v>423</v>
      </c>
      <c r="B168" s="0" t="s">
        <v>103</v>
      </c>
      <c r="C168" s="18" t="n">
        <f aca="false">C157/C160</f>
        <v>0.63</v>
      </c>
      <c r="D168" s="18" t="n">
        <f aca="false">D157/D160</f>
        <v>0.5</v>
      </c>
      <c r="E168" s="18" t="n">
        <f aca="false">E157/E160</f>
        <v>0.363812815092387</v>
      </c>
      <c r="F168" s="18" t="n">
        <f aca="false">F157/F160</f>
        <v>0.367751564434734</v>
      </c>
      <c r="G168" s="18" t="n">
        <f aca="false">G157/G160</f>
        <v>0.36050814985036</v>
      </c>
    </row>
    <row r="169" customFormat="false" ht="17.15" hidden="false" customHeight="false" outlineLevel="0" collapsed="false">
      <c r="A169" s="6" t="s">
        <v>424</v>
      </c>
    </row>
    <row r="170" customFormat="false" ht="17.15" hidden="false" customHeight="false" outlineLevel="0" collapsed="false">
      <c r="A170" s="4" t="s">
        <v>425</v>
      </c>
      <c r="B170" s="0" t="s">
        <v>103</v>
      </c>
      <c r="D170" s="15" t="n">
        <f aca="false">a26_gp/a26_rev+d_nap*D168</f>
        <v>0.219589247962076</v>
      </c>
      <c r="H170" s="8" t="s">
        <v>426</v>
      </c>
    </row>
    <row r="171" customFormat="false" ht="15" hidden="false" customHeight="false" outlineLevel="0" collapsed="false">
      <c r="A171" s="4" t="s">
        <v>320</v>
      </c>
      <c r="B171" s="0" t="s">
        <v>186</v>
      </c>
      <c r="C171" s="20" t="n">
        <f aca="false">a25_gp</f>
        <v>44.921088</v>
      </c>
      <c r="D171" s="20" t="n">
        <f aca="false">a26_gp</f>
        <v>77.875907</v>
      </c>
      <c r="E171" s="20" t="n">
        <f aca="false">$D$170*(E152+E159)+($D$170-d_nap)*E157</f>
        <v>125.595319021211</v>
      </c>
      <c r="F171" s="20" t="n">
        <f aca="false">$D$170*(F152+F159)+($D$170-d_nap)*F157</f>
        <v>140.648558259653</v>
      </c>
      <c r="G171" s="20" t="n">
        <f aca="false">$D$170*(G152+G159)+($D$170-d_nap)*G157</f>
        <v>155.631728212682</v>
      </c>
    </row>
    <row r="172" customFormat="false" ht="15" hidden="false" customHeight="false" outlineLevel="0" collapsed="false">
      <c r="A172" s="4" t="s">
        <v>322</v>
      </c>
      <c r="B172" s="0" t="s">
        <v>103</v>
      </c>
      <c r="C172" s="15" t="n">
        <f aca="false">C171/C160</f>
        <v>0.1809</v>
      </c>
      <c r="D172" s="15" t="n">
        <f aca="false">D171/D160</f>
        <v>0.189589247962076</v>
      </c>
      <c r="E172" s="15" t="n">
        <f aca="false">E171/E160</f>
        <v>0.197760479056533</v>
      </c>
      <c r="F172" s="15" t="n">
        <f aca="false">F171/F160</f>
        <v>0.197524154095992</v>
      </c>
      <c r="G172" s="15" t="n">
        <f aca="false">G171/G160</f>
        <v>0.197958758971055</v>
      </c>
    </row>
    <row r="173" customFormat="false" ht="15" hidden="false" customHeight="false" outlineLevel="0" collapsed="false">
      <c r="A173" s="4" t="s">
        <v>427</v>
      </c>
      <c r="B173" s="0" t="s">
        <v>186</v>
      </c>
      <c r="C173" s="20" t="n">
        <f aca="false">a25_opx</f>
        <v>12.78848</v>
      </c>
      <c r="D173" s="20" t="n">
        <f aca="false">a26_opx</f>
        <v>17.956088</v>
      </c>
      <c r="E173" s="20" t="n">
        <f aca="false">D173*(1+MAX(0,phi*E166))</f>
        <v>23.8398465076833</v>
      </c>
      <c r="F173" s="20" t="n">
        <f aca="false">E173*(1+MAX(0,phi*F166))</f>
        <v>25.5734076596911</v>
      </c>
      <c r="G173" s="20" t="n">
        <f aca="false">F173*(1+MAX(0,phi*G166))</f>
        <v>27.1707201117077</v>
      </c>
    </row>
    <row r="174" customFormat="false" ht="15" hidden="false" customHeight="false" outlineLevel="0" collapsed="false">
      <c r="A174" s="4" t="s">
        <v>324</v>
      </c>
      <c r="B174" s="0" t="s">
        <v>186</v>
      </c>
      <c r="C174" s="20" t="n">
        <f aca="false">C173</f>
        <v>12.78848</v>
      </c>
      <c r="D174" s="20" t="n">
        <f aca="false">D173</f>
        <v>17.956088</v>
      </c>
      <c r="E174" s="20" t="n">
        <f aca="false">E173+0*E160</f>
        <v>23.8398465076833</v>
      </c>
      <c r="F174" s="20" t="n">
        <f aca="false">F173+0*F160</f>
        <v>25.5734076596911</v>
      </c>
      <c r="G174" s="20" t="n">
        <f aca="false">G173+0*G160</f>
        <v>27.1707201117077</v>
      </c>
    </row>
    <row r="175" customFormat="false" ht="15" hidden="false" customHeight="false" outlineLevel="0" collapsed="false">
      <c r="A175" s="4" t="s">
        <v>326</v>
      </c>
      <c r="B175" s="0" t="s">
        <v>186</v>
      </c>
      <c r="C175" s="20" t="n">
        <f aca="false">C171-C174</f>
        <v>32.132608</v>
      </c>
      <c r="D175" s="20" t="n">
        <f aca="false">D171-D174</f>
        <v>59.919819</v>
      </c>
      <c r="E175" s="20" t="n">
        <f aca="false">E171-E174</f>
        <v>101.755472513527</v>
      </c>
      <c r="F175" s="20" t="n">
        <f aca="false">F171-F174</f>
        <v>115.075150599962</v>
      </c>
      <c r="G175" s="20" t="n">
        <f aca="false">G171-G174</f>
        <v>128.461008100975</v>
      </c>
    </row>
    <row r="176" customFormat="false" ht="15" hidden="false" customHeight="false" outlineLevel="0" collapsed="false">
      <c r="A176" s="4" t="s">
        <v>328</v>
      </c>
      <c r="B176" s="0" t="s">
        <v>103</v>
      </c>
      <c r="C176" s="15" t="n">
        <f aca="false">C175/C160</f>
        <v>0.1294</v>
      </c>
      <c r="D176" s="15" t="n">
        <f aca="false">D175/D160</f>
        <v>0.145875070478906</v>
      </c>
      <c r="E176" s="15" t="n">
        <f aca="false">E175/E160</f>
        <v>0.160222619343804</v>
      </c>
      <c r="F176" s="15" t="n">
        <f aca="false">F175/F160</f>
        <v>0.161609347873755</v>
      </c>
      <c r="G176" s="15" t="n">
        <f aca="false">G175/G160</f>
        <v>0.163398440869895</v>
      </c>
    </row>
    <row r="177" customFormat="false" ht="17.15" hidden="false" customHeight="false" outlineLevel="0" collapsed="false">
      <c r="A177" s="4" t="s">
        <v>224</v>
      </c>
      <c r="B177" s="0" t="s">
        <v>76</v>
      </c>
      <c r="C177" s="16" t="n">
        <f aca="false">a25_ni/a25_oi</f>
        <v>0.819790289042209</v>
      </c>
      <c r="D177" s="16" t="n">
        <f aca="false">a26_ni/a26_oi</f>
        <v>0.798164213413262</v>
      </c>
      <c r="E177" s="16" t="n">
        <f aca="false">nio_f</f>
        <v>0.8</v>
      </c>
      <c r="F177" s="16" t="n">
        <f aca="false">nio_f</f>
        <v>0.8</v>
      </c>
      <c r="G177" s="16" t="n">
        <f aca="false">nio_f</f>
        <v>0.8</v>
      </c>
    </row>
    <row r="178" customFormat="false" ht="15" hidden="false" customHeight="false" outlineLevel="0" collapsed="false">
      <c r="A178" s="4" t="s">
        <v>329</v>
      </c>
      <c r="B178" s="0" t="s">
        <v>186</v>
      </c>
      <c r="C178" s="20" t="n">
        <f aca="false">a25_ni</f>
        <v>26.342</v>
      </c>
      <c r="D178" s="20" t="n">
        <f aca="false">a26_ni</f>
        <v>47.8258552</v>
      </c>
      <c r="E178" s="20" t="n">
        <f aca="false">E175*E177</f>
        <v>81.4043780108218</v>
      </c>
      <c r="F178" s="20" t="n">
        <f aca="false">F175*F177</f>
        <v>92.0601204799698</v>
      </c>
      <c r="G178" s="20" t="n">
        <f aca="false">G175*G177</f>
        <v>102.76880648078</v>
      </c>
    </row>
    <row r="179" customFormat="false" ht="15" hidden="false" customHeight="false" outlineLevel="0" collapsed="false">
      <c r="A179" s="4" t="s">
        <v>428</v>
      </c>
      <c r="B179" s="4" t="s">
        <v>211</v>
      </c>
      <c r="C179" s="17" t="n">
        <f aca="false">a25_sh</f>
        <v>0.558922130277955</v>
      </c>
      <c r="D179" s="17" t="n">
        <f aca="false">a26_sh</f>
        <v>0.558904899135447</v>
      </c>
      <c r="E179" s="17" t="n">
        <f aca="false">D179*(1+sh_g27)</f>
        <v>0.568853406340058</v>
      </c>
      <c r="F179" s="17" t="n">
        <f aca="false">E179*(1+sh_g)</f>
        <v>0.568853406340058</v>
      </c>
      <c r="G179" s="17" t="n">
        <f aca="false">F179*(1+sh_g)</f>
        <v>0.568853406340058</v>
      </c>
    </row>
    <row r="180" customFormat="false" ht="15" hidden="false" customHeight="false" outlineLevel="0" collapsed="false">
      <c r="A180" s="0" t="s">
        <v>334</v>
      </c>
      <c r="B180" s="0" t="s">
        <v>244</v>
      </c>
      <c r="C180" s="14" t="n">
        <f aca="false">C178/C179</f>
        <v>47.13</v>
      </c>
      <c r="D180" s="14" t="n">
        <f aca="false">D178/D179</f>
        <v>85.5706494503455</v>
      </c>
      <c r="E180" s="14" t="n">
        <f aca="false">E178/E179</f>
        <v>143.102558767414</v>
      </c>
      <c r="F180" s="14" t="n">
        <f aca="false">F178/F179</f>
        <v>161.834524420404</v>
      </c>
      <c r="G180" s="14" t="n">
        <f aca="false">G178/G179</f>
        <v>180.659560680111</v>
      </c>
    </row>
    <row r="181" customFormat="false" ht="17.15" hidden="false" customHeight="false" outlineLevel="0" collapsed="false">
      <c r="A181" s="0" t="s">
        <v>429</v>
      </c>
      <c r="B181" s="0" t="s">
        <v>103</v>
      </c>
      <c r="D181" s="18" t="n">
        <f aca="false">D180/C180-1</f>
        <v>0.815630160202535</v>
      </c>
      <c r="E181" s="18" t="n">
        <f aca="false">E180/D180-1</f>
        <v>0.672332273818408</v>
      </c>
      <c r="F181" s="18" t="n">
        <f aca="false">F180/E180-1</f>
        <v>0.130898886884579</v>
      </c>
      <c r="G181" s="18" t="n">
        <f aca="false">G180/F180-1</f>
        <v>0.116322745885823</v>
      </c>
    </row>
    <row r="184" customFormat="false" ht="17.15" hidden="false" customHeight="false" outlineLevel="0" collapsed="false">
      <c r="A184" s="1" t="s">
        <v>728</v>
      </c>
    </row>
    <row r="185" customFormat="false" ht="17.15" hidden="false" customHeight="false" outlineLevel="0" collapsed="false">
      <c r="A185" s="5" t="s">
        <v>21</v>
      </c>
      <c r="B185" s="5" t="s">
        <v>22</v>
      </c>
      <c r="C185" s="12" t="s">
        <v>309</v>
      </c>
      <c r="D185" s="12" t="s">
        <v>371</v>
      </c>
      <c r="E185" s="12" t="s">
        <v>372</v>
      </c>
      <c r="F185" s="12" t="s">
        <v>373</v>
      </c>
      <c r="G185" s="12" t="s">
        <v>374</v>
      </c>
      <c r="H185" s="5" t="s">
        <v>350</v>
      </c>
    </row>
    <row r="186" customFormat="false" ht="17.15" hidden="false" customHeight="false" outlineLevel="0" collapsed="false">
      <c r="A186" s="6" t="s">
        <v>389</v>
      </c>
    </row>
    <row r="187" customFormat="false" ht="17.15" hidden="false" customHeight="false" outlineLevel="0" collapsed="false">
      <c r="A187" s="4" t="s">
        <v>390</v>
      </c>
      <c r="B187" s="0" t="s">
        <v>186</v>
      </c>
      <c r="C187" s="20" t="n">
        <f aca="false">a25_rev*nap25s</f>
        <v>156.4416</v>
      </c>
      <c r="D187" s="20" t="n">
        <f aca="false">a26_rev*ns26</f>
        <v>205.3806</v>
      </c>
    </row>
    <row r="188" customFormat="false" ht="17.15" hidden="false" customHeight="false" outlineLevel="0" collapsed="false">
      <c r="A188" s="4" t="s">
        <v>391</v>
      </c>
      <c r="B188" s="0" t="s">
        <v>186</v>
      </c>
      <c r="C188" s="20" t="n">
        <f aca="false">a25_rev*(1-nap25s-sw25s*af25)</f>
        <v>41.22112</v>
      </c>
      <c r="D188" s="20" t="n">
        <f aca="false">C188*(1+g_nai26)</f>
        <v>45.343232</v>
      </c>
    </row>
    <row r="189" customFormat="false" ht="17.15" hidden="false" customHeight="false" outlineLevel="0" collapsed="false">
      <c r="A189" s="0" t="s">
        <v>392</v>
      </c>
      <c r="B189" s="0" t="s">
        <v>186</v>
      </c>
      <c r="C189" s="20" t="n">
        <f aca="false">a25_rev*sw25s*af25</f>
        <v>50.65728</v>
      </c>
      <c r="D189" s="20" t="n">
        <f aca="false">a26_rev-D187-D188</f>
        <v>160.037368</v>
      </c>
      <c r="H189" s="8" t="s">
        <v>393</v>
      </c>
    </row>
    <row r="190" customFormat="false" ht="17.15" hidden="false" customHeight="false" outlineLevel="0" collapsed="false">
      <c r="A190" s="6" t="s">
        <v>394</v>
      </c>
    </row>
    <row r="191" customFormat="false" ht="17.15" hidden="false" customHeight="false" outlineLevel="0" collapsed="false">
      <c r="A191" s="0" t="s">
        <v>395</v>
      </c>
      <c r="B191" s="0" t="s">
        <v>32</v>
      </c>
      <c r="D191" s="14" t="n">
        <f aca="false">mkt_26*1</f>
        <v>32.0719</v>
      </c>
      <c r="E191" s="14" t="n">
        <f aca="false">mkt_27*1*1</f>
        <v>61.085</v>
      </c>
      <c r="F191" s="14" t="n">
        <f aca="false">mkt_28*um28_A*1</f>
        <v>69.005</v>
      </c>
      <c r="G191" s="14" t="n">
        <f aca="false">mkt_29*um29_A*1</f>
        <v>78.48215</v>
      </c>
    </row>
    <row r="192" customFormat="false" ht="15" hidden="false" customHeight="false" outlineLevel="0" collapsed="false">
      <c r="A192" s="4" t="s">
        <v>396</v>
      </c>
      <c r="B192" s="0" t="s">
        <v>103</v>
      </c>
      <c r="D192" s="18" t="n">
        <f aca="false">eth_26</f>
        <v>0.75</v>
      </c>
      <c r="E192" s="18" t="n">
        <f aca="false">eth_27</f>
        <v>0.8</v>
      </c>
      <c r="F192" s="18" t="n">
        <f aca="false">eth_28</f>
        <v>0.83</v>
      </c>
      <c r="G192" s="18" t="n">
        <f aca="false">eth_29</f>
        <v>0.85</v>
      </c>
    </row>
    <row r="193" customFormat="false" ht="17.15" hidden="false" customHeight="false" outlineLevel="0" collapsed="false">
      <c r="A193" s="4" t="s">
        <v>397</v>
      </c>
      <c r="B193" s="0" t="s">
        <v>32</v>
      </c>
      <c r="D193" s="14" t="n">
        <f aca="false">su_26*1</f>
        <v>3.015</v>
      </c>
      <c r="E193" s="14" t="n">
        <f aca="false">su_27*1*1</f>
        <v>11.3414</v>
      </c>
      <c r="F193" s="14" t="n">
        <f aca="false">su_28*um28_A*1</f>
        <v>13.8952</v>
      </c>
      <c r="G193" s="14" t="n">
        <f aca="false">su_29*um29_A*1</f>
        <v>15.97948</v>
      </c>
    </row>
    <row r="194" customFormat="false" ht="17.15" hidden="false" customHeight="false" outlineLevel="0" collapsed="false">
      <c r="A194" s="0" t="s">
        <v>398</v>
      </c>
      <c r="B194" s="0" t="s">
        <v>32</v>
      </c>
      <c r="D194" s="14" t="n">
        <f aca="false">D191*D192+D193</f>
        <v>27.068925</v>
      </c>
      <c r="E194" s="14" t="n">
        <f aca="false">E191*E192+E193</f>
        <v>60.2094</v>
      </c>
      <c r="F194" s="14" t="n">
        <f aca="false">F191*F192+F193</f>
        <v>71.16935</v>
      </c>
      <c r="G194" s="14" t="n">
        <f aca="false">G191*G192+G193</f>
        <v>82.6893075</v>
      </c>
    </row>
    <row r="195" customFormat="false" ht="15" hidden="false" customHeight="false" outlineLevel="0" collapsed="false">
      <c r="A195" s="4" t="s">
        <v>355</v>
      </c>
      <c r="B195" s="0" t="s">
        <v>103</v>
      </c>
      <c r="D195" s="18" t="n">
        <f aca="false">WBHI_26</f>
        <v>0.55</v>
      </c>
      <c r="E195" s="18" t="n">
        <f aca="false">WBHI_27</f>
        <v>0.57</v>
      </c>
      <c r="F195" s="18" t="n">
        <f aca="false">WBHI_28</f>
        <v>0.58</v>
      </c>
      <c r="G195" s="18" t="n">
        <f aca="false">WBHI_29</f>
        <v>0.6</v>
      </c>
    </row>
    <row r="196" customFormat="false" ht="17.15" hidden="false" customHeight="false" outlineLevel="0" collapsed="false">
      <c r="A196" s="4" t="s">
        <v>357</v>
      </c>
      <c r="B196" s="0" t="s">
        <v>32</v>
      </c>
      <c r="D196" s="14" t="n">
        <f aca="false">D194*D195</f>
        <v>14.88790875</v>
      </c>
      <c r="E196" s="14" t="n">
        <f aca="false">E194*E195</f>
        <v>34.319358</v>
      </c>
      <c r="F196" s="14" t="n">
        <f aca="false">F194*F195</f>
        <v>41.278223</v>
      </c>
      <c r="G196" s="14" t="n">
        <f aca="false">G194*G195</f>
        <v>49.6135845</v>
      </c>
    </row>
    <row r="197" customFormat="false" ht="17.15" hidden="false" customHeight="false" outlineLevel="0" collapsed="false">
      <c r="A197" s="4" t="s">
        <v>399</v>
      </c>
      <c r="B197" s="0" t="s">
        <v>103</v>
      </c>
      <c r="D197" s="18" t="n">
        <f aca="false">D189/fx/D196</f>
        <v>0.335921440276157</v>
      </c>
      <c r="H197" s="8" t="s">
        <v>400</v>
      </c>
    </row>
    <row r="198" customFormat="false" ht="17.15" hidden="false" customHeight="false" outlineLevel="0" collapsed="false">
      <c r="A198" s="4" t="s">
        <v>401</v>
      </c>
      <c r="B198" s="0" t="s">
        <v>76</v>
      </c>
      <c r="D198" s="19" t="n">
        <f aca="false">1</f>
        <v>1</v>
      </c>
      <c r="E198" s="19" t="n">
        <f aca="false">rel_27</f>
        <v>1</v>
      </c>
      <c r="F198" s="19" t="n">
        <f aca="false">rel_28</f>
        <v>0.95</v>
      </c>
      <c r="G198" s="19" t="n">
        <f aca="false">rel_29</f>
        <v>0.92</v>
      </c>
    </row>
    <row r="199" customFormat="false" ht="15" hidden="false" customHeight="false" outlineLevel="0" collapsed="false">
      <c r="A199" s="4" t="s">
        <v>402</v>
      </c>
      <c r="B199" s="0" t="s">
        <v>103</v>
      </c>
      <c r="D199" s="18" t="n">
        <f aca="false">$D$197*D198</f>
        <v>0.335921440276157</v>
      </c>
      <c r="E199" s="18" t="n">
        <f aca="false">$D$197*E198</f>
        <v>0.335921440276157</v>
      </c>
      <c r="F199" s="18" t="n">
        <f aca="false">$D$197*F198</f>
        <v>0.319125368262349</v>
      </c>
      <c r="G199" s="18" t="n">
        <f aca="false">$D$197*G198</f>
        <v>0.309047725054064</v>
      </c>
    </row>
    <row r="200" customFormat="false" ht="17.15" hidden="false" customHeight="false" outlineLevel="0" collapsed="false">
      <c r="A200" s="0" t="s">
        <v>403</v>
      </c>
      <c r="B200" s="0" t="s">
        <v>186</v>
      </c>
      <c r="C200" s="20" t="n">
        <f aca="false">C189</f>
        <v>50.65728</v>
      </c>
      <c r="D200" s="20" t="n">
        <f aca="false">D196*D199*fx</f>
        <v>160.037368</v>
      </c>
      <c r="E200" s="20" t="n">
        <f aca="false">E196*E199*fx</f>
        <v>368.915461398818</v>
      </c>
      <c r="F200" s="20" t="n">
        <f aca="false">F196*F199*fx</f>
        <v>421.533699714892</v>
      </c>
      <c r="G200" s="20" t="n">
        <f aca="false">G196*G199*fx</f>
        <v>490.654893488083</v>
      </c>
    </row>
    <row r="201" customFormat="false" ht="17.15" hidden="false" customHeight="false" outlineLevel="0" collapsed="false">
      <c r="A201" s="6" t="s">
        <v>404</v>
      </c>
    </row>
    <row r="202" customFormat="false" ht="17.15" hidden="false" customHeight="false" outlineLevel="0" collapsed="false">
      <c r="A202" s="0" t="s">
        <v>405</v>
      </c>
      <c r="B202" s="4" t="s">
        <v>55</v>
      </c>
      <c r="D202" s="19" t="n">
        <f aca="false">trn_26*1</f>
        <v>2</v>
      </c>
      <c r="E202" s="19" t="n">
        <f aca="false">trn_27*1*1</f>
        <v>2.5</v>
      </c>
      <c r="F202" s="19" t="n">
        <f aca="false">trn_28*um28_A*1</f>
        <v>3</v>
      </c>
      <c r="G202" s="19" t="n">
        <f aca="false">trn_29*um29_A*1</f>
        <v>3.45</v>
      </c>
    </row>
    <row r="203" customFormat="false" ht="17.15" hidden="false" customHeight="false" outlineLevel="0" collapsed="false">
      <c r="A203" s="4" t="s">
        <v>406</v>
      </c>
      <c r="B203" s="4" t="s">
        <v>407</v>
      </c>
      <c r="D203" s="20" t="n">
        <f aca="false">D187/D202</f>
        <v>102.6903</v>
      </c>
      <c r="H203" s="8" t="s">
        <v>408</v>
      </c>
    </row>
    <row r="204" customFormat="false" ht="17.15" hidden="false" customHeight="false" outlineLevel="0" collapsed="false">
      <c r="A204" s="4" t="s">
        <v>409</v>
      </c>
      <c r="B204" s="0" t="s">
        <v>76</v>
      </c>
      <c r="D204" s="19" t="n">
        <f aca="false">1</f>
        <v>1</v>
      </c>
      <c r="E204" s="19" t="n">
        <f aca="false">nrel_27</f>
        <v>0.9</v>
      </c>
      <c r="F204" s="19" t="n">
        <f aca="false">nrel_28</f>
        <v>0.85</v>
      </c>
      <c r="G204" s="19" t="n">
        <f aca="false">nrel_29</f>
        <v>0.8</v>
      </c>
    </row>
    <row r="205" customFormat="false" ht="15" hidden="false" customHeight="false" outlineLevel="0" collapsed="false">
      <c r="A205" s="4" t="s">
        <v>410</v>
      </c>
      <c r="B205" s="0" t="s">
        <v>186</v>
      </c>
      <c r="C205" s="20" t="n">
        <f aca="false">C187</f>
        <v>156.4416</v>
      </c>
      <c r="D205" s="20" t="n">
        <f aca="false">D202*$D$203*D204</f>
        <v>205.3806</v>
      </c>
      <c r="E205" s="20" t="n">
        <f aca="false">E202*$D$203*E204</f>
        <v>231.053175</v>
      </c>
      <c r="F205" s="20" t="n">
        <f aca="false">F202*$D$203*F204</f>
        <v>261.860265</v>
      </c>
      <c r="G205" s="20" t="n">
        <f aca="false">G202*$D$203*G204</f>
        <v>283.425228</v>
      </c>
    </row>
    <row r="206" customFormat="false" ht="17.15" hidden="false" customHeight="false" outlineLevel="0" collapsed="false">
      <c r="A206" s="6" t="s">
        <v>411</v>
      </c>
    </row>
    <row r="207" customFormat="false" ht="17.15" hidden="false" customHeight="false" outlineLevel="0" collapsed="false">
      <c r="A207" s="4" t="s">
        <v>412</v>
      </c>
      <c r="B207" s="0" t="s">
        <v>186</v>
      </c>
      <c r="C207" s="20" t="n">
        <f aca="false">C188</f>
        <v>41.22112</v>
      </c>
      <c r="D207" s="20" t="n">
        <f aca="false">D188</f>
        <v>45.343232</v>
      </c>
      <c r="E207" s="20" t="n">
        <f aca="false">D207*(1+g_nai27)</f>
        <v>48.06382592</v>
      </c>
      <c r="F207" s="20" t="n">
        <f aca="false">E207*(1+g_nai28)</f>
        <v>50.467017216</v>
      </c>
      <c r="G207" s="20" t="n">
        <f aca="false">F207*(1+g_nai29)</f>
        <v>52.9903680768</v>
      </c>
    </row>
    <row r="208" customFormat="false" ht="15" hidden="false" customHeight="false" outlineLevel="0" collapsed="false">
      <c r="A208" s="4" t="s">
        <v>316</v>
      </c>
      <c r="B208" s="0" t="s">
        <v>186</v>
      </c>
      <c r="C208" s="20" t="n">
        <f aca="false">C200+C205+C207</f>
        <v>248.32</v>
      </c>
      <c r="D208" s="20" t="n">
        <f aca="false">D200+D205+D207</f>
        <v>410.7612</v>
      </c>
      <c r="E208" s="20" t="n">
        <f aca="false">E200+E205+E207</f>
        <v>648.032462318818</v>
      </c>
      <c r="F208" s="20" t="n">
        <f aca="false">F200+F205+F207</f>
        <v>733.860981930892</v>
      </c>
      <c r="G208" s="20" t="n">
        <f aca="false">G200+G205+G207</f>
        <v>827.070489564883</v>
      </c>
    </row>
    <row r="209" customFormat="false" ht="17.15" hidden="false" customHeight="false" outlineLevel="0" collapsed="false">
      <c r="A209" s="4" t="s">
        <v>413</v>
      </c>
      <c r="B209" s="0" t="s">
        <v>103</v>
      </c>
      <c r="C209" s="18" t="n">
        <f aca="false">sw25s*(1-af25)/(1-nap25s-sw25s*af25)</f>
        <v>0.819277108433735</v>
      </c>
      <c r="H209" s="8" t="s">
        <v>414</v>
      </c>
    </row>
    <row r="210" customFormat="false" ht="17.15" hidden="false" customHeight="false" outlineLevel="0" collapsed="false">
      <c r="A210" s="4" t="s">
        <v>415</v>
      </c>
      <c r="B210" s="0" t="s">
        <v>186</v>
      </c>
      <c r="C210" s="20" t="n">
        <f aca="false">C207*$C$209</f>
        <v>33.77152</v>
      </c>
      <c r="D210" s="20" t="n">
        <f aca="false">D207*$C$209</f>
        <v>37.148672</v>
      </c>
      <c r="E210" s="20" t="n">
        <f aca="false">E207*$C$209</f>
        <v>39.37759232</v>
      </c>
      <c r="F210" s="20" t="n">
        <f aca="false">F207*$C$209</f>
        <v>41.346471936</v>
      </c>
      <c r="G210" s="20" t="n">
        <f aca="false">G207*$C$209</f>
        <v>43.4137955328</v>
      </c>
    </row>
    <row r="211" customFormat="false" ht="17.15" hidden="false" customHeight="false" outlineLevel="0" collapsed="false">
      <c r="A211" s="4" t="s">
        <v>416</v>
      </c>
      <c r="B211" s="0" t="s">
        <v>186</v>
      </c>
      <c r="C211" s="20" t="n">
        <f aca="false">C200+C210</f>
        <v>84.4288</v>
      </c>
      <c r="D211" s="20" t="n">
        <f aca="false">D200+D210</f>
        <v>197.18604</v>
      </c>
      <c r="E211" s="20" t="n">
        <f aca="false">E200+E210</f>
        <v>408.293053718818</v>
      </c>
      <c r="F211" s="20" t="n">
        <f aca="false">F200+F210</f>
        <v>462.880171650892</v>
      </c>
      <c r="G211" s="20" t="n">
        <f aca="false">G200+G210</f>
        <v>534.068689020883</v>
      </c>
      <c r="H211" s="4" t="s">
        <v>417</v>
      </c>
    </row>
    <row r="212" customFormat="false" ht="17.15" hidden="false" customHeight="false" outlineLevel="0" collapsed="false">
      <c r="A212" s="4" t="s">
        <v>418</v>
      </c>
      <c r="B212" s="0" t="s">
        <v>186</v>
      </c>
      <c r="C212" s="20" t="n">
        <f aca="false">C207-C210</f>
        <v>7.44959999999999</v>
      </c>
      <c r="D212" s="20" t="n">
        <f aca="false">D207-D210</f>
        <v>8.19455999999999</v>
      </c>
      <c r="E212" s="20" t="n">
        <f aca="false">E207-E210</f>
        <v>8.68623359999999</v>
      </c>
      <c r="F212" s="20" t="n">
        <f aca="false">F207-F210</f>
        <v>9.12054527999999</v>
      </c>
      <c r="G212" s="20" t="n">
        <f aca="false">G207-G210</f>
        <v>9.57657254399999</v>
      </c>
      <c r="H212" s="4" t="s">
        <v>419</v>
      </c>
    </row>
    <row r="213" customFormat="false" ht="17.15" hidden="false" customHeight="false" outlineLevel="0" collapsed="false">
      <c r="A213" s="4" t="s">
        <v>420</v>
      </c>
      <c r="B213" s="0" t="s">
        <v>186</v>
      </c>
      <c r="C213" s="16" t="n">
        <f aca="false">C211+C205+C212-a25_rev</f>
        <v>0</v>
      </c>
      <c r="D213" s="16" t="n">
        <f aca="false">D211+D205+D212-D208</f>
        <v>0</v>
      </c>
      <c r="E213" s="16" t="n">
        <f aca="false">E211+E205+E212-E208</f>
        <v>0</v>
      </c>
      <c r="F213" s="16" t="n">
        <f aca="false">F211+F205+F212-F208</f>
        <v>0</v>
      </c>
      <c r="G213" s="16" t="n">
        <f aca="false">G211+G205+G212-G208</f>
        <v>0</v>
      </c>
    </row>
    <row r="214" customFormat="false" ht="15" hidden="false" customHeight="false" outlineLevel="0" collapsed="false">
      <c r="A214" s="4" t="s">
        <v>421</v>
      </c>
      <c r="B214" s="0" t="s">
        <v>103</v>
      </c>
      <c r="D214" s="18" t="n">
        <f aca="false">D208/C208-1</f>
        <v>0.654160760309279</v>
      </c>
      <c r="E214" s="18" t="n">
        <f aca="false">E208/D208-1</f>
        <v>0.577637961713077</v>
      </c>
      <c r="F214" s="18" t="n">
        <f aca="false">F208/E208-1</f>
        <v>0.132444784177877</v>
      </c>
      <c r="G214" s="18" t="n">
        <f aca="false">G208/F208-1</f>
        <v>0.127012485918987</v>
      </c>
    </row>
    <row r="215" customFormat="false" ht="17.15" hidden="false" customHeight="false" outlineLevel="0" collapsed="false">
      <c r="A215" s="0" t="s">
        <v>422</v>
      </c>
      <c r="B215" s="0" t="s">
        <v>103</v>
      </c>
      <c r="C215" s="18" t="n">
        <f aca="false">(C200+C205)/C208</f>
        <v>0.834</v>
      </c>
      <c r="D215" s="18" t="n">
        <f aca="false">(D200+D205)/D208</f>
        <v>0.889611696528299</v>
      </c>
      <c r="E215" s="18" t="n">
        <f aca="false">(E200+E205)/E208</f>
        <v>0.925831144711461</v>
      </c>
      <c r="F215" s="18" t="n">
        <f aca="false">(F200+F205)/F208</f>
        <v>0.931230821015699</v>
      </c>
      <c r="G215" s="18" t="n">
        <f aca="false">(G200+G205)/G208</f>
        <v>0.935930046174567</v>
      </c>
    </row>
    <row r="216" customFormat="false" ht="17.15" hidden="false" customHeight="false" outlineLevel="0" collapsed="false">
      <c r="A216" s="4" t="s">
        <v>423</v>
      </c>
      <c r="B216" s="0" t="s">
        <v>103</v>
      </c>
      <c r="C216" s="18" t="n">
        <f aca="false">C205/C208</f>
        <v>0.63</v>
      </c>
      <c r="D216" s="18" t="n">
        <f aca="false">D205/D208</f>
        <v>0.5</v>
      </c>
      <c r="E216" s="18" t="n">
        <f aca="false">E205/E208</f>
        <v>0.356545680093302</v>
      </c>
      <c r="F216" s="18" t="n">
        <f aca="false">F205/F208</f>
        <v>0.356825436216828</v>
      </c>
      <c r="G216" s="18" t="n">
        <f aca="false">G205/G208</f>
        <v>0.342685697985801</v>
      </c>
    </row>
    <row r="217" customFormat="false" ht="17.15" hidden="false" customHeight="false" outlineLevel="0" collapsed="false">
      <c r="A217" s="6" t="s">
        <v>424</v>
      </c>
    </row>
    <row r="218" customFormat="false" ht="17.15" hidden="false" customHeight="false" outlineLevel="0" collapsed="false">
      <c r="A218" s="4" t="s">
        <v>425</v>
      </c>
      <c r="B218" s="0" t="s">
        <v>103</v>
      </c>
      <c r="D218" s="15" t="n">
        <f aca="false">a26_gp/a26_rev+d_nap*D216</f>
        <v>0.219589247962076</v>
      </c>
      <c r="H218" s="8" t="s">
        <v>426</v>
      </c>
    </row>
    <row r="219" customFormat="false" ht="15" hidden="false" customHeight="false" outlineLevel="0" collapsed="false">
      <c r="A219" s="4" t="s">
        <v>320</v>
      </c>
      <c r="B219" s="0" t="s">
        <v>186</v>
      </c>
      <c r="C219" s="20" t="n">
        <f aca="false">a25_gp</f>
        <v>44.921088</v>
      </c>
      <c r="D219" s="20" t="n">
        <f aca="false">a26_gp</f>
        <v>77.875907</v>
      </c>
      <c r="E219" s="20" t="n">
        <f aca="false">$D$218*(E200+E207)+($D$218-d_nap)*E205</f>
        <v>128.437770555602</v>
      </c>
      <c r="F219" s="20" t="n">
        <f aca="false">$D$218*(F200+F207)+($D$218-d_nap)*F205</f>
        <v>145.436365230915</v>
      </c>
      <c r="G219" s="20" t="n">
        <f aca="false">$D$218*(G200+G207)+($D$218-d_nap)*G205</f>
        <v>164.610273135179</v>
      </c>
    </row>
    <row r="220" customFormat="false" ht="15" hidden="false" customHeight="false" outlineLevel="0" collapsed="false">
      <c r="A220" s="4" t="s">
        <v>322</v>
      </c>
      <c r="B220" s="0" t="s">
        <v>103</v>
      </c>
      <c r="C220" s="15" t="n">
        <f aca="false">C219/C208</f>
        <v>0.1809</v>
      </c>
      <c r="D220" s="15" t="n">
        <f aca="false">D219/D208</f>
        <v>0.189589247962076</v>
      </c>
      <c r="E220" s="15" t="n">
        <f aca="false">E219/E208</f>
        <v>0.198196507156478</v>
      </c>
      <c r="F220" s="15" t="n">
        <f aca="false">F219/F208</f>
        <v>0.198179721789067</v>
      </c>
      <c r="G220" s="15" t="n">
        <f aca="false">G219/G208</f>
        <v>0.199028106082928</v>
      </c>
    </row>
    <row r="221" customFormat="false" ht="15" hidden="false" customHeight="false" outlineLevel="0" collapsed="false">
      <c r="A221" s="4" t="s">
        <v>427</v>
      </c>
      <c r="B221" s="0" t="s">
        <v>186</v>
      </c>
      <c r="C221" s="20" t="n">
        <f aca="false">a25_opx</f>
        <v>12.78848</v>
      </c>
      <c r="D221" s="20" t="n">
        <f aca="false">a26_opx</f>
        <v>17.956088</v>
      </c>
      <c r="E221" s="20" t="n">
        <f aca="false">D221*(1+MAX(0,phi*E214))</f>
        <v>24.1793588435964</v>
      </c>
      <c r="F221" s="20" t="n">
        <f aca="false">E221*(1+MAX(0,phi*F214))</f>
        <v>26.1008168217561</v>
      </c>
      <c r="G221" s="20" t="n">
        <f aca="false">F221*(1+MAX(0,phi*G214))</f>
        <v>28.0898945991845</v>
      </c>
    </row>
    <row r="222" customFormat="false" ht="15" hidden="false" customHeight="false" outlineLevel="0" collapsed="false">
      <c r="A222" s="4" t="s">
        <v>324</v>
      </c>
      <c r="B222" s="0" t="s">
        <v>186</v>
      </c>
      <c r="C222" s="20" t="n">
        <f aca="false">C221</f>
        <v>12.78848</v>
      </c>
      <c r="D222" s="20" t="n">
        <f aca="false">D221</f>
        <v>17.956088</v>
      </c>
      <c r="E222" s="20" t="n">
        <f aca="false">E221+0*E208</f>
        <v>24.1793588435964</v>
      </c>
      <c r="F222" s="20" t="n">
        <f aca="false">F221+0*F208</f>
        <v>26.1008168217561</v>
      </c>
      <c r="G222" s="20" t="n">
        <f aca="false">G221+0*G208</f>
        <v>28.0898945991845</v>
      </c>
    </row>
    <row r="223" customFormat="false" ht="15" hidden="false" customHeight="false" outlineLevel="0" collapsed="false">
      <c r="A223" s="4" t="s">
        <v>326</v>
      </c>
      <c r="B223" s="0" t="s">
        <v>186</v>
      </c>
      <c r="C223" s="20" t="n">
        <f aca="false">C219-C222</f>
        <v>32.132608</v>
      </c>
      <c r="D223" s="20" t="n">
        <f aca="false">D219-D222</f>
        <v>59.919819</v>
      </c>
      <c r="E223" s="20" t="n">
        <f aca="false">E219-E222</f>
        <v>104.258411712005</v>
      </c>
      <c r="F223" s="20" t="n">
        <f aca="false">F219-F222</f>
        <v>119.335548409159</v>
      </c>
      <c r="G223" s="20" t="n">
        <f aca="false">G219-G222</f>
        <v>136.520378535994</v>
      </c>
    </row>
    <row r="224" customFormat="false" ht="15" hidden="false" customHeight="false" outlineLevel="0" collapsed="false">
      <c r="A224" s="4" t="s">
        <v>328</v>
      </c>
      <c r="B224" s="0" t="s">
        <v>103</v>
      </c>
      <c r="C224" s="15" t="n">
        <f aca="false">C223/C208</f>
        <v>0.1294</v>
      </c>
      <c r="D224" s="15" t="n">
        <f aca="false">D223/D208</f>
        <v>0.145875070478906</v>
      </c>
      <c r="E224" s="15" t="n">
        <f aca="false">E223/E208</f>
        <v>0.160884550966696</v>
      </c>
      <c r="F224" s="15" t="n">
        <f aca="false">F223/F208</f>
        <v>0.162613289638551</v>
      </c>
      <c r="G224" s="15" t="n">
        <f aca="false">G223/G208</f>
        <v>0.165064985703718</v>
      </c>
    </row>
    <row r="225" customFormat="false" ht="17.15" hidden="false" customHeight="false" outlineLevel="0" collapsed="false">
      <c r="A225" s="4" t="s">
        <v>224</v>
      </c>
      <c r="B225" s="0" t="s">
        <v>76</v>
      </c>
      <c r="C225" s="16" t="n">
        <f aca="false">a25_ni/a25_oi</f>
        <v>0.819790289042209</v>
      </c>
      <c r="D225" s="16" t="n">
        <f aca="false">a26_ni/a26_oi</f>
        <v>0.798164213413262</v>
      </c>
      <c r="E225" s="16" t="n">
        <f aca="false">nio_f</f>
        <v>0.8</v>
      </c>
      <c r="F225" s="16" t="n">
        <f aca="false">nio_f</f>
        <v>0.8</v>
      </c>
      <c r="G225" s="16" t="n">
        <f aca="false">nio_f</f>
        <v>0.8</v>
      </c>
    </row>
    <row r="226" customFormat="false" ht="15" hidden="false" customHeight="false" outlineLevel="0" collapsed="false">
      <c r="A226" s="4" t="s">
        <v>329</v>
      </c>
      <c r="B226" s="0" t="s">
        <v>186</v>
      </c>
      <c r="C226" s="20" t="n">
        <f aca="false">a25_ni</f>
        <v>26.342</v>
      </c>
      <c r="D226" s="20" t="n">
        <f aca="false">a26_ni</f>
        <v>47.8258552</v>
      </c>
      <c r="E226" s="20" t="n">
        <f aca="false">E223*E225</f>
        <v>83.4067293696042</v>
      </c>
      <c r="F226" s="20" t="n">
        <f aca="false">F223*F225</f>
        <v>95.4684387273274</v>
      </c>
      <c r="G226" s="20" t="n">
        <f aca="false">G223*G225</f>
        <v>109.216302828795</v>
      </c>
    </row>
    <row r="227" customFormat="false" ht="15" hidden="false" customHeight="false" outlineLevel="0" collapsed="false">
      <c r="A227" s="4" t="s">
        <v>428</v>
      </c>
      <c r="B227" s="4" t="s">
        <v>211</v>
      </c>
      <c r="C227" s="17" t="n">
        <f aca="false">a25_sh</f>
        <v>0.558922130277955</v>
      </c>
      <c r="D227" s="17" t="n">
        <f aca="false">a26_sh</f>
        <v>0.558904899135447</v>
      </c>
      <c r="E227" s="17" t="n">
        <f aca="false">D227*(1+sh_g27)</f>
        <v>0.568853406340058</v>
      </c>
      <c r="F227" s="17" t="n">
        <f aca="false">E227*(1+sh_g)</f>
        <v>0.568853406340058</v>
      </c>
      <c r="G227" s="17" t="n">
        <f aca="false">F227*(1+sh_g)</f>
        <v>0.568853406340058</v>
      </c>
    </row>
    <row r="228" customFormat="false" ht="15" hidden="false" customHeight="false" outlineLevel="0" collapsed="false">
      <c r="A228" s="0" t="s">
        <v>334</v>
      </c>
      <c r="B228" s="0" t="s">
        <v>244</v>
      </c>
      <c r="C228" s="14" t="n">
        <f aca="false">C226/C227</f>
        <v>47.13</v>
      </c>
      <c r="D228" s="14" t="n">
        <f aca="false">D226/D227</f>
        <v>85.5706494503455</v>
      </c>
      <c r="E228" s="14" t="n">
        <f aca="false">E226/E227</f>
        <v>146.62253656216</v>
      </c>
      <c r="F228" s="14" t="n">
        <f aca="false">F226/F227</f>
        <v>167.82608254306</v>
      </c>
      <c r="G228" s="14" t="n">
        <f aca="false">G226/G227</f>
        <v>191.993757287104</v>
      </c>
    </row>
    <row r="229" customFormat="false" ht="17.15" hidden="false" customHeight="false" outlineLevel="0" collapsed="false">
      <c r="A229" s="0" t="s">
        <v>429</v>
      </c>
      <c r="B229" s="0" t="s">
        <v>103</v>
      </c>
      <c r="D229" s="18" t="n">
        <f aca="false">D228/C228-1</f>
        <v>0.815630160202535</v>
      </c>
      <c r="E229" s="18" t="n">
        <f aca="false">E228/D228-1</f>
        <v>0.713467614234262</v>
      </c>
      <c r="F229" s="18" t="n">
        <f aca="false">F228/E228-1</f>
        <v>0.144613143914006</v>
      </c>
      <c r="G229" s="18" t="n">
        <f aca="false">G228/F228-1</f>
        <v>0.144004283349957</v>
      </c>
    </row>
    <row r="232" customFormat="false" ht="17.15" hidden="false" customHeight="false" outlineLevel="0" collapsed="false">
      <c r="A232" s="1" t="s">
        <v>729</v>
      </c>
    </row>
    <row r="233" customFormat="false" ht="17.15" hidden="false" customHeight="false" outlineLevel="0" collapsed="false">
      <c r="A233" s="5" t="s">
        <v>21</v>
      </c>
      <c r="B233" s="5" t="s">
        <v>22</v>
      </c>
      <c r="C233" s="12" t="s">
        <v>309</v>
      </c>
      <c r="D233" s="12" t="s">
        <v>371</v>
      </c>
      <c r="E233" s="12" t="s">
        <v>372</v>
      </c>
      <c r="F233" s="12" t="s">
        <v>373</v>
      </c>
      <c r="G233" s="12" t="s">
        <v>374</v>
      </c>
      <c r="H233" s="5" t="s">
        <v>350</v>
      </c>
    </row>
    <row r="234" customFormat="false" ht="17.15" hidden="false" customHeight="false" outlineLevel="0" collapsed="false">
      <c r="A234" s="6" t="s">
        <v>389</v>
      </c>
    </row>
    <row r="235" customFormat="false" ht="17.15" hidden="false" customHeight="false" outlineLevel="0" collapsed="false">
      <c r="A235" s="4" t="s">
        <v>390</v>
      </c>
      <c r="B235" s="0" t="s">
        <v>186</v>
      </c>
      <c r="C235" s="20" t="n">
        <f aca="false">a25_rev*nap25s</f>
        <v>156.4416</v>
      </c>
      <c r="D235" s="20" t="n">
        <f aca="false">a26_rev*ns26</f>
        <v>205.3806</v>
      </c>
    </row>
    <row r="236" customFormat="false" ht="17.15" hidden="false" customHeight="false" outlineLevel="0" collapsed="false">
      <c r="A236" s="4" t="s">
        <v>391</v>
      </c>
      <c r="B236" s="0" t="s">
        <v>186</v>
      </c>
      <c r="C236" s="20" t="n">
        <f aca="false">a25_rev*(1-nap25s-sw25s*af25)</f>
        <v>41.22112</v>
      </c>
      <c r="D236" s="20" t="n">
        <f aca="false">C236*(1+g_nai26)</f>
        <v>45.343232</v>
      </c>
    </row>
    <row r="237" customFormat="false" ht="17.15" hidden="false" customHeight="false" outlineLevel="0" collapsed="false">
      <c r="A237" s="0" t="s">
        <v>392</v>
      </c>
      <c r="B237" s="0" t="s">
        <v>186</v>
      </c>
      <c r="C237" s="20" t="n">
        <f aca="false">a25_rev*sw25s*af25</f>
        <v>50.65728</v>
      </c>
      <c r="D237" s="20" t="n">
        <f aca="false">a26_rev-D235-D236</f>
        <v>160.037368</v>
      </c>
      <c r="H237" s="8" t="s">
        <v>393</v>
      </c>
    </row>
    <row r="238" customFormat="false" ht="17.15" hidden="false" customHeight="false" outlineLevel="0" collapsed="false">
      <c r="A238" s="6" t="s">
        <v>394</v>
      </c>
    </row>
    <row r="239" customFormat="false" ht="17.15" hidden="false" customHeight="false" outlineLevel="0" collapsed="false">
      <c r="A239" s="0" t="s">
        <v>395</v>
      </c>
      <c r="B239" s="0" t="s">
        <v>32</v>
      </c>
      <c r="D239" s="14" t="n">
        <f aca="false">mkt_26*1</f>
        <v>32.0719</v>
      </c>
      <c r="E239" s="14" t="n">
        <f aca="false">mkt_27*1*1</f>
        <v>61.085</v>
      </c>
      <c r="F239" s="14" t="n">
        <f aca="false">mkt_28*um28_A*1</f>
        <v>69.005</v>
      </c>
      <c r="G239" s="14" t="n">
        <f aca="false">mkt_29*um29_A*1</f>
        <v>78.48215</v>
      </c>
    </row>
    <row r="240" customFormat="false" ht="15" hidden="false" customHeight="false" outlineLevel="0" collapsed="false">
      <c r="A240" s="4" t="s">
        <v>396</v>
      </c>
      <c r="B240" s="0" t="s">
        <v>103</v>
      </c>
      <c r="D240" s="18" t="n">
        <f aca="false">ETLO_26</f>
        <v>0.7</v>
      </c>
      <c r="E240" s="18" t="n">
        <f aca="false">ETLO_27</f>
        <v>0.72</v>
      </c>
      <c r="F240" s="18" t="n">
        <f aca="false">ETLO_28</f>
        <v>0.74</v>
      </c>
      <c r="G240" s="18" t="n">
        <f aca="false">ETLO_29</f>
        <v>0.75</v>
      </c>
    </row>
    <row r="241" customFormat="false" ht="17.15" hidden="false" customHeight="false" outlineLevel="0" collapsed="false">
      <c r="A241" s="4" t="s">
        <v>397</v>
      </c>
      <c r="B241" s="0" t="s">
        <v>32</v>
      </c>
      <c r="D241" s="14" t="n">
        <f aca="false">su_26*1</f>
        <v>3.015</v>
      </c>
      <c r="E241" s="14" t="n">
        <f aca="false">su_27*1*1</f>
        <v>11.3414</v>
      </c>
      <c r="F241" s="14" t="n">
        <f aca="false">su_28*um28_A*1</f>
        <v>13.8952</v>
      </c>
      <c r="G241" s="14" t="n">
        <f aca="false">su_29*um29_A*1</f>
        <v>15.97948</v>
      </c>
    </row>
    <row r="242" customFormat="false" ht="17.15" hidden="false" customHeight="false" outlineLevel="0" collapsed="false">
      <c r="A242" s="0" t="s">
        <v>398</v>
      </c>
      <c r="B242" s="0" t="s">
        <v>32</v>
      </c>
      <c r="D242" s="14" t="n">
        <f aca="false">D239*D240+D241</f>
        <v>25.46533</v>
      </c>
      <c r="E242" s="14" t="n">
        <f aca="false">E239*E240+E241</f>
        <v>55.3226</v>
      </c>
      <c r="F242" s="14" t="n">
        <f aca="false">F239*F240+F241</f>
        <v>64.9589</v>
      </c>
      <c r="G242" s="14" t="n">
        <f aca="false">G239*G240+G241</f>
        <v>74.8410925</v>
      </c>
    </row>
    <row r="243" customFormat="false" ht="15" hidden="false" customHeight="false" outlineLevel="0" collapsed="false">
      <c r="A243" s="4" t="s">
        <v>355</v>
      </c>
      <c r="B243" s="0" t="s">
        <v>103</v>
      </c>
      <c r="D243" s="18" t="n">
        <f aca="false">wb_26</f>
        <v>0.45</v>
      </c>
      <c r="E243" s="18" t="n">
        <f aca="false">wb_27</f>
        <v>0.47</v>
      </c>
      <c r="F243" s="18" t="n">
        <f aca="false">wb_28</f>
        <v>0.48</v>
      </c>
      <c r="G243" s="18" t="n">
        <f aca="false">wb_29</f>
        <v>0.5</v>
      </c>
    </row>
    <row r="244" customFormat="false" ht="17.15" hidden="false" customHeight="false" outlineLevel="0" collapsed="false">
      <c r="A244" s="4" t="s">
        <v>357</v>
      </c>
      <c r="B244" s="0" t="s">
        <v>32</v>
      </c>
      <c r="D244" s="14" t="n">
        <f aca="false">D242*D243</f>
        <v>11.4593985</v>
      </c>
      <c r="E244" s="14" t="n">
        <f aca="false">E242*E243</f>
        <v>26.001622</v>
      </c>
      <c r="F244" s="14" t="n">
        <f aca="false">F242*F243</f>
        <v>31.180272</v>
      </c>
      <c r="G244" s="14" t="n">
        <f aca="false">G242*G243</f>
        <v>37.42054625</v>
      </c>
    </row>
    <row r="245" customFormat="false" ht="17.15" hidden="false" customHeight="false" outlineLevel="0" collapsed="false">
      <c r="A245" s="4" t="s">
        <v>399</v>
      </c>
      <c r="B245" s="0" t="s">
        <v>103</v>
      </c>
      <c r="D245" s="18" t="n">
        <f aca="false">D237/fx/D244</f>
        <v>0.436424979024859</v>
      </c>
      <c r="H245" s="8" t="s">
        <v>400</v>
      </c>
    </row>
    <row r="246" customFormat="false" ht="17.15" hidden="false" customHeight="false" outlineLevel="0" collapsed="false">
      <c r="A246" s="4" t="s">
        <v>401</v>
      </c>
      <c r="B246" s="0" t="s">
        <v>76</v>
      </c>
      <c r="D246" s="19" t="n">
        <f aca="false">1</f>
        <v>1</v>
      </c>
      <c r="E246" s="19" t="n">
        <f aca="false">rel_27</f>
        <v>1</v>
      </c>
      <c r="F246" s="19" t="n">
        <f aca="false">rel_28</f>
        <v>0.95</v>
      </c>
      <c r="G246" s="19" t="n">
        <f aca="false">rel_29</f>
        <v>0.92</v>
      </c>
    </row>
    <row r="247" customFormat="false" ht="15" hidden="false" customHeight="false" outlineLevel="0" collapsed="false">
      <c r="A247" s="4" t="s">
        <v>402</v>
      </c>
      <c r="B247" s="0" t="s">
        <v>103</v>
      </c>
      <c r="D247" s="18" t="n">
        <f aca="false">$D$245*D246</f>
        <v>0.436424979024859</v>
      </c>
      <c r="E247" s="18" t="n">
        <f aca="false">$D$245*E246</f>
        <v>0.436424979024859</v>
      </c>
      <c r="F247" s="18" t="n">
        <f aca="false">$D$245*F246</f>
        <v>0.414603730073616</v>
      </c>
      <c r="G247" s="18" t="n">
        <f aca="false">$D$245*G246</f>
        <v>0.40151098070287</v>
      </c>
    </row>
    <row r="248" customFormat="false" ht="17.15" hidden="false" customHeight="false" outlineLevel="0" collapsed="false">
      <c r="A248" s="0" t="s">
        <v>403</v>
      </c>
      <c r="B248" s="0" t="s">
        <v>186</v>
      </c>
      <c r="C248" s="20" t="n">
        <f aca="false">C237</f>
        <v>50.65728</v>
      </c>
      <c r="D248" s="20" t="n">
        <f aca="false">D244*D247*fx</f>
        <v>160.037368</v>
      </c>
      <c r="E248" s="20" t="n">
        <f aca="false">E244*E247*fx</f>
        <v>363.128234750794</v>
      </c>
      <c r="F248" s="20" t="n">
        <f aca="false">F244*F247*fx</f>
        <v>413.678626429118</v>
      </c>
      <c r="G248" s="20" t="n">
        <f aca="false">G244*G247*fx</f>
        <v>480.792327144788</v>
      </c>
    </row>
    <row r="249" customFormat="false" ht="17.15" hidden="false" customHeight="false" outlineLevel="0" collapsed="false">
      <c r="A249" s="6" t="s">
        <v>404</v>
      </c>
    </row>
    <row r="250" customFormat="false" ht="17.15" hidden="false" customHeight="false" outlineLevel="0" collapsed="false">
      <c r="A250" s="0" t="s">
        <v>405</v>
      </c>
      <c r="B250" s="4" t="s">
        <v>55</v>
      </c>
      <c r="D250" s="19" t="n">
        <f aca="false">trn_26*1</f>
        <v>2</v>
      </c>
      <c r="E250" s="19" t="n">
        <f aca="false">trn_27*1*1</f>
        <v>2.5</v>
      </c>
      <c r="F250" s="19" t="n">
        <f aca="false">trn_28*um28_A*1</f>
        <v>3</v>
      </c>
      <c r="G250" s="19" t="n">
        <f aca="false">trn_29*um29_A*1</f>
        <v>3.45</v>
      </c>
    </row>
    <row r="251" customFormat="false" ht="17.15" hidden="false" customHeight="false" outlineLevel="0" collapsed="false">
      <c r="A251" s="4" t="s">
        <v>406</v>
      </c>
      <c r="B251" s="4" t="s">
        <v>407</v>
      </c>
      <c r="D251" s="20" t="n">
        <f aca="false">D235/D250</f>
        <v>102.6903</v>
      </c>
      <c r="H251" s="8" t="s">
        <v>408</v>
      </c>
    </row>
    <row r="252" customFormat="false" ht="17.15" hidden="false" customHeight="false" outlineLevel="0" collapsed="false">
      <c r="A252" s="4" t="s">
        <v>409</v>
      </c>
      <c r="B252" s="0" t="s">
        <v>76</v>
      </c>
      <c r="D252" s="19" t="n">
        <f aca="false">1</f>
        <v>1</v>
      </c>
      <c r="E252" s="19" t="n">
        <f aca="false">nrel_27</f>
        <v>0.9</v>
      </c>
      <c r="F252" s="19" t="n">
        <f aca="false">nrel_28</f>
        <v>0.85</v>
      </c>
      <c r="G252" s="19" t="n">
        <f aca="false">nrel_29</f>
        <v>0.8</v>
      </c>
    </row>
    <row r="253" customFormat="false" ht="15" hidden="false" customHeight="false" outlineLevel="0" collapsed="false">
      <c r="A253" s="4" t="s">
        <v>410</v>
      </c>
      <c r="B253" s="0" t="s">
        <v>186</v>
      </c>
      <c r="C253" s="20" t="n">
        <f aca="false">C235</f>
        <v>156.4416</v>
      </c>
      <c r="D253" s="20" t="n">
        <f aca="false">D250*$D$251*D252</f>
        <v>205.3806</v>
      </c>
      <c r="E253" s="20" t="n">
        <f aca="false">E250*$D$251*E252</f>
        <v>231.053175</v>
      </c>
      <c r="F253" s="20" t="n">
        <f aca="false">F250*$D$251*F252</f>
        <v>261.860265</v>
      </c>
      <c r="G253" s="20" t="n">
        <f aca="false">G250*$D$251*G252</f>
        <v>283.425228</v>
      </c>
    </row>
    <row r="254" customFormat="false" ht="17.15" hidden="false" customHeight="false" outlineLevel="0" collapsed="false">
      <c r="A254" s="6" t="s">
        <v>411</v>
      </c>
    </row>
    <row r="255" customFormat="false" ht="17.15" hidden="false" customHeight="false" outlineLevel="0" collapsed="false">
      <c r="A255" s="4" t="s">
        <v>412</v>
      </c>
      <c r="B255" s="0" t="s">
        <v>186</v>
      </c>
      <c r="C255" s="20" t="n">
        <f aca="false">C236</f>
        <v>41.22112</v>
      </c>
      <c r="D255" s="20" t="n">
        <f aca="false">D236</f>
        <v>45.343232</v>
      </c>
      <c r="E255" s="20" t="n">
        <f aca="false">D255*(1+g_nai27)</f>
        <v>48.06382592</v>
      </c>
      <c r="F255" s="20" t="n">
        <f aca="false">E255*(1+g_nai28)</f>
        <v>50.467017216</v>
      </c>
      <c r="G255" s="20" t="n">
        <f aca="false">F255*(1+g_nai29)</f>
        <v>52.9903680768</v>
      </c>
    </row>
    <row r="256" customFormat="false" ht="15" hidden="false" customHeight="false" outlineLevel="0" collapsed="false">
      <c r="A256" s="4" t="s">
        <v>316</v>
      </c>
      <c r="B256" s="0" t="s">
        <v>186</v>
      </c>
      <c r="C256" s="20" t="n">
        <f aca="false">C248+C253+C255</f>
        <v>248.32</v>
      </c>
      <c r="D256" s="20" t="n">
        <f aca="false">D248+D253+D255</f>
        <v>410.7612</v>
      </c>
      <c r="E256" s="20" t="n">
        <f aca="false">E248+E253+E255</f>
        <v>642.245235670794</v>
      </c>
      <c r="F256" s="20" t="n">
        <f aca="false">F248+F253+F255</f>
        <v>726.005908645118</v>
      </c>
      <c r="G256" s="20" t="n">
        <f aca="false">G248+G253+G255</f>
        <v>817.207923221588</v>
      </c>
    </row>
    <row r="257" customFormat="false" ht="17.15" hidden="false" customHeight="false" outlineLevel="0" collapsed="false">
      <c r="A257" s="4" t="s">
        <v>413</v>
      </c>
      <c r="B257" s="0" t="s">
        <v>103</v>
      </c>
      <c r="C257" s="18" t="n">
        <f aca="false">sw25s*(1-af25)/(1-nap25s-sw25s*af25)</f>
        <v>0.819277108433735</v>
      </c>
      <c r="H257" s="8" t="s">
        <v>414</v>
      </c>
    </row>
    <row r="258" customFormat="false" ht="17.15" hidden="false" customHeight="false" outlineLevel="0" collapsed="false">
      <c r="A258" s="4" t="s">
        <v>415</v>
      </c>
      <c r="B258" s="0" t="s">
        <v>186</v>
      </c>
      <c r="C258" s="20" t="n">
        <f aca="false">C255*$C$257</f>
        <v>33.77152</v>
      </c>
      <c r="D258" s="20" t="n">
        <f aca="false">D255*$C$257</f>
        <v>37.148672</v>
      </c>
      <c r="E258" s="20" t="n">
        <f aca="false">E255*$C$257</f>
        <v>39.37759232</v>
      </c>
      <c r="F258" s="20" t="n">
        <f aca="false">F255*$C$257</f>
        <v>41.346471936</v>
      </c>
      <c r="G258" s="20" t="n">
        <f aca="false">G255*$C$257</f>
        <v>43.4137955328</v>
      </c>
    </row>
    <row r="259" customFormat="false" ht="17.15" hidden="false" customHeight="false" outlineLevel="0" collapsed="false">
      <c r="A259" s="4" t="s">
        <v>416</v>
      </c>
      <c r="B259" s="0" t="s">
        <v>186</v>
      </c>
      <c r="C259" s="20" t="n">
        <f aca="false">C248+C258</f>
        <v>84.4288</v>
      </c>
      <c r="D259" s="20" t="n">
        <f aca="false">D248+D258</f>
        <v>197.18604</v>
      </c>
      <c r="E259" s="20" t="n">
        <f aca="false">E248+E258</f>
        <v>402.505827070794</v>
      </c>
      <c r="F259" s="20" t="n">
        <f aca="false">F248+F258</f>
        <v>455.025098365118</v>
      </c>
      <c r="G259" s="20" t="n">
        <f aca="false">G248+G258</f>
        <v>524.206122677588</v>
      </c>
      <c r="H259" s="4" t="s">
        <v>417</v>
      </c>
    </row>
    <row r="260" customFormat="false" ht="17.15" hidden="false" customHeight="false" outlineLevel="0" collapsed="false">
      <c r="A260" s="4" t="s">
        <v>418</v>
      </c>
      <c r="B260" s="0" t="s">
        <v>186</v>
      </c>
      <c r="C260" s="20" t="n">
        <f aca="false">C255-C258</f>
        <v>7.44959999999999</v>
      </c>
      <c r="D260" s="20" t="n">
        <f aca="false">D255-D258</f>
        <v>8.19455999999999</v>
      </c>
      <c r="E260" s="20" t="n">
        <f aca="false">E255-E258</f>
        <v>8.68623359999999</v>
      </c>
      <c r="F260" s="20" t="n">
        <f aca="false">F255-F258</f>
        <v>9.12054527999999</v>
      </c>
      <c r="G260" s="20" t="n">
        <f aca="false">G255-G258</f>
        <v>9.57657254399999</v>
      </c>
      <c r="H260" s="4" t="s">
        <v>419</v>
      </c>
    </row>
    <row r="261" customFormat="false" ht="17.15" hidden="false" customHeight="false" outlineLevel="0" collapsed="false">
      <c r="A261" s="4" t="s">
        <v>420</v>
      </c>
      <c r="B261" s="0" t="s">
        <v>186</v>
      </c>
      <c r="C261" s="16" t="n">
        <f aca="false">C259+C253+C260-a25_rev</f>
        <v>0</v>
      </c>
      <c r="D261" s="16" t="n">
        <f aca="false">D259+D253+D260-D256</f>
        <v>0</v>
      </c>
      <c r="E261" s="16" t="n">
        <f aca="false">E259+E253+E260-E256</f>
        <v>0</v>
      </c>
      <c r="F261" s="16" t="n">
        <f aca="false">F259+F253+F260-F256</f>
        <v>0</v>
      </c>
      <c r="G261" s="16" t="n">
        <f aca="false">G259+G253+G260-G256</f>
        <v>0</v>
      </c>
    </row>
    <row r="262" customFormat="false" ht="15" hidden="false" customHeight="false" outlineLevel="0" collapsed="false">
      <c r="A262" s="4" t="s">
        <v>421</v>
      </c>
      <c r="B262" s="0" t="s">
        <v>103</v>
      </c>
      <c r="D262" s="18" t="n">
        <f aca="false">D256/C256-1</f>
        <v>0.654160760309279</v>
      </c>
      <c r="E262" s="18" t="n">
        <f aca="false">E256/D256-1</f>
        <v>0.563548932252594</v>
      </c>
      <c r="F262" s="18" t="n">
        <f aca="false">F256/E256-1</f>
        <v>0.130418519783708</v>
      </c>
      <c r="G262" s="18" t="n">
        <f aca="false">G256/F256-1</f>
        <v>0.12562158722189</v>
      </c>
    </row>
    <row r="263" customFormat="false" ht="17.15" hidden="false" customHeight="false" outlineLevel="0" collapsed="false">
      <c r="A263" s="0" t="s">
        <v>422</v>
      </c>
      <c r="B263" s="0" t="s">
        <v>103</v>
      </c>
      <c r="C263" s="18" t="n">
        <f aca="false">(C248+C253)/C256</f>
        <v>0.834</v>
      </c>
      <c r="D263" s="18" t="n">
        <f aca="false">(D248+D253)/D256</f>
        <v>0.889611696528299</v>
      </c>
      <c r="E263" s="18" t="n">
        <f aca="false">(E248+E253)/E256</f>
        <v>0.925162814372925</v>
      </c>
      <c r="F263" s="18" t="n">
        <f aca="false">(F248+F253)/F256</f>
        <v>0.930486767924269</v>
      </c>
      <c r="G263" s="18" t="n">
        <f aca="false">(G248+G253)/G256</f>
        <v>0.935156810683012</v>
      </c>
    </row>
    <row r="264" customFormat="false" ht="17.15" hidden="false" customHeight="false" outlineLevel="0" collapsed="false">
      <c r="A264" s="4" t="s">
        <v>423</v>
      </c>
      <c r="B264" s="0" t="s">
        <v>103</v>
      </c>
      <c r="C264" s="18" t="n">
        <f aca="false">C253/C256</f>
        <v>0.63</v>
      </c>
      <c r="D264" s="18" t="n">
        <f aca="false">D253/D256</f>
        <v>0.5</v>
      </c>
      <c r="E264" s="18" t="n">
        <f aca="false">E253/E256</f>
        <v>0.359758488139933</v>
      </c>
      <c r="F264" s="18" t="n">
        <f aca="false">F253/F256</f>
        <v>0.360686134757067</v>
      </c>
      <c r="G264" s="18" t="n">
        <f aca="false">G253/G256</f>
        <v>0.346821439129817</v>
      </c>
    </row>
    <row r="265" customFormat="false" ht="17.15" hidden="false" customHeight="false" outlineLevel="0" collapsed="false">
      <c r="A265" s="6" t="s">
        <v>424</v>
      </c>
    </row>
    <row r="266" customFormat="false" ht="17.15" hidden="false" customHeight="false" outlineLevel="0" collapsed="false">
      <c r="A266" s="4" t="s">
        <v>425</v>
      </c>
      <c r="B266" s="0" t="s">
        <v>103</v>
      </c>
      <c r="D266" s="15" t="n">
        <f aca="false">a26_gp/a26_rev+d_nap*D264</f>
        <v>0.219589247962076</v>
      </c>
      <c r="H266" s="8" t="s">
        <v>426</v>
      </c>
    </row>
    <row r="267" customFormat="false" ht="15" hidden="false" customHeight="false" outlineLevel="0" collapsed="false">
      <c r="A267" s="4" t="s">
        <v>320</v>
      </c>
      <c r="B267" s="0" t="s">
        <v>186</v>
      </c>
      <c r="C267" s="20" t="n">
        <f aca="false">a25_gp</f>
        <v>44.921088</v>
      </c>
      <c r="D267" s="20" t="n">
        <f aca="false">a26_gp</f>
        <v>77.875907</v>
      </c>
      <c r="E267" s="20" t="n">
        <f aca="false">$D$266*(E248+E255)+($D$266-d_nap)*E253</f>
        <v>127.166957808176</v>
      </c>
      <c r="F267" s="20" t="n">
        <f aca="false">$D$266*(F248+F255)+($D$266-d_nap)*F253</f>
        <v>143.711475595405</v>
      </c>
      <c r="G267" s="20" t="n">
        <f aca="false">$D$266*(G248+G255)+($D$266-d_nap)*G253</f>
        <v>162.444559608879</v>
      </c>
    </row>
    <row r="268" customFormat="false" ht="15" hidden="false" customHeight="false" outlineLevel="0" collapsed="false">
      <c r="A268" s="4" t="s">
        <v>322</v>
      </c>
      <c r="B268" s="0" t="s">
        <v>103</v>
      </c>
      <c r="C268" s="15" t="n">
        <f aca="false">C267/C256</f>
        <v>0.1809</v>
      </c>
      <c r="D268" s="15" t="n">
        <f aca="false">D267/D256</f>
        <v>0.189589247962076</v>
      </c>
      <c r="E268" s="15" t="n">
        <f aca="false">E267/E256</f>
        <v>0.19800373867368</v>
      </c>
      <c r="F268" s="15" t="n">
        <f aca="false">F267/F256</f>
        <v>0.197948079876652</v>
      </c>
      <c r="G268" s="15" t="n">
        <f aca="false">G267/G256</f>
        <v>0.198779961614287</v>
      </c>
    </row>
    <row r="269" customFormat="false" ht="15" hidden="false" customHeight="false" outlineLevel="0" collapsed="false">
      <c r="A269" s="4" t="s">
        <v>427</v>
      </c>
      <c r="B269" s="0" t="s">
        <v>186</v>
      </c>
      <c r="C269" s="20" t="n">
        <f aca="false">a25_opx</f>
        <v>12.78848</v>
      </c>
      <c r="D269" s="20" t="n">
        <f aca="false">a26_opx</f>
        <v>17.956088</v>
      </c>
      <c r="E269" s="20" t="n">
        <f aca="false">D269*(1+MAX(0,phi*E262))</f>
        <v>24.0275685319002</v>
      </c>
      <c r="F269" s="20" t="n">
        <f aca="false">E269*(1+MAX(0,phi*F262))</f>
        <v>25.9077524850594</v>
      </c>
      <c r="G269" s="20" t="n">
        <f aca="false">F269*(1+MAX(0,phi*G262))</f>
        <v>27.8604962781744</v>
      </c>
    </row>
    <row r="270" customFormat="false" ht="15" hidden="false" customHeight="false" outlineLevel="0" collapsed="false">
      <c r="A270" s="4" t="s">
        <v>324</v>
      </c>
      <c r="B270" s="0" t="s">
        <v>186</v>
      </c>
      <c r="C270" s="20" t="n">
        <f aca="false">C269</f>
        <v>12.78848</v>
      </c>
      <c r="D270" s="20" t="n">
        <f aca="false">D269</f>
        <v>17.956088</v>
      </c>
      <c r="E270" s="20" t="n">
        <f aca="false">E269+0*E256</f>
        <v>24.0275685319002</v>
      </c>
      <c r="F270" s="20" t="n">
        <f aca="false">F269+0*F256</f>
        <v>25.9077524850594</v>
      </c>
      <c r="G270" s="20" t="n">
        <f aca="false">G269+0*G256</f>
        <v>27.8604962781744</v>
      </c>
    </row>
    <row r="271" customFormat="false" ht="15" hidden="false" customHeight="false" outlineLevel="0" collapsed="false">
      <c r="A271" s="4" t="s">
        <v>326</v>
      </c>
      <c r="B271" s="0" t="s">
        <v>186</v>
      </c>
      <c r="C271" s="20" t="n">
        <f aca="false">C267-C270</f>
        <v>32.132608</v>
      </c>
      <c r="D271" s="20" t="n">
        <f aca="false">D267-D270</f>
        <v>59.919819</v>
      </c>
      <c r="E271" s="20" t="n">
        <f aca="false">E267-E270</f>
        <v>103.139389276276</v>
      </c>
      <c r="F271" s="20" t="n">
        <f aca="false">F267-F270</f>
        <v>117.803723110346</v>
      </c>
      <c r="G271" s="20" t="n">
        <f aca="false">G267-G270</f>
        <v>134.584063330704</v>
      </c>
    </row>
    <row r="272" customFormat="false" ht="15" hidden="false" customHeight="false" outlineLevel="0" collapsed="false">
      <c r="A272" s="4" t="s">
        <v>328</v>
      </c>
      <c r="B272" s="0" t="s">
        <v>103</v>
      </c>
      <c r="C272" s="15" t="n">
        <f aca="false">C271/C256</f>
        <v>0.1294</v>
      </c>
      <c r="D272" s="15" t="n">
        <f aca="false">D271/D256</f>
        <v>0.145875070478906</v>
      </c>
      <c r="E272" s="15" t="n">
        <f aca="false">E271/E256</f>
        <v>0.160591910298177</v>
      </c>
      <c r="F272" s="15" t="n">
        <f aca="false">F271/F256</f>
        <v>0.162262760822695</v>
      </c>
      <c r="G272" s="15" t="n">
        <f aca="false">G271/G256</f>
        <v>0.164687663330708</v>
      </c>
    </row>
    <row r="273" customFormat="false" ht="17.15" hidden="false" customHeight="false" outlineLevel="0" collapsed="false">
      <c r="A273" s="4" t="s">
        <v>224</v>
      </c>
      <c r="B273" s="0" t="s">
        <v>76</v>
      </c>
      <c r="C273" s="16" t="n">
        <f aca="false">a25_ni/a25_oi</f>
        <v>0.819790289042209</v>
      </c>
      <c r="D273" s="16" t="n">
        <f aca="false">a26_ni/a26_oi</f>
        <v>0.798164213413262</v>
      </c>
      <c r="E273" s="16" t="n">
        <f aca="false">nio_f</f>
        <v>0.8</v>
      </c>
      <c r="F273" s="16" t="n">
        <f aca="false">nio_f</f>
        <v>0.8</v>
      </c>
      <c r="G273" s="16" t="n">
        <f aca="false">nio_f</f>
        <v>0.8</v>
      </c>
    </row>
    <row r="274" customFormat="false" ht="15" hidden="false" customHeight="false" outlineLevel="0" collapsed="false">
      <c r="A274" s="4" t="s">
        <v>329</v>
      </c>
      <c r="B274" s="0" t="s">
        <v>186</v>
      </c>
      <c r="C274" s="20" t="n">
        <f aca="false">a25_ni</f>
        <v>26.342</v>
      </c>
      <c r="D274" s="20" t="n">
        <f aca="false">a26_ni</f>
        <v>47.8258552</v>
      </c>
      <c r="E274" s="20" t="n">
        <f aca="false">E271*E273</f>
        <v>82.5115114210207</v>
      </c>
      <c r="F274" s="20" t="n">
        <f aca="false">F271*F273</f>
        <v>94.2429784882767</v>
      </c>
      <c r="G274" s="20" t="n">
        <f aca="false">G271*G273</f>
        <v>107.667250664563</v>
      </c>
    </row>
    <row r="275" customFormat="false" ht="15" hidden="false" customHeight="false" outlineLevel="0" collapsed="false">
      <c r="A275" s="4" t="s">
        <v>428</v>
      </c>
      <c r="B275" s="4" t="s">
        <v>211</v>
      </c>
      <c r="C275" s="17" t="n">
        <f aca="false">a25_sh</f>
        <v>0.558922130277955</v>
      </c>
      <c r="D275" s="17" t="n">
        <f aca="false">a26_sh</f>
        <v>0.558904899135447</v>
      </c>
      <c r="E275" s="17" t="n">
        <f aca="false">D275*(1+sh_g27)</f>
        <v>0.568853406340058</v>
      </c>
      <c r="F275" s="17" t="n">
        <f aca="false">E275*(1+sh_g)</f>
        <v>0.568853406340058</v>
      </c>
      <c r="G275" s="17" t="n">
        <f aca="false">F275*(1+sh_g)</f>
        <v>0.568853406340058</v>
      </c>
    </row>
    <row r="276" customFormat="false" ht="15" hidden="false" customHeight="false" outlineLevel="0" collapsed="false">
      <c r="A276" s="0" t="s">
        <v>334</v>
      </c>
      <c r="B276" s="0" t="s">
        <v>244</v>
      </c>
      <c r="C276" s="14" t="n">
        <f aca="false">C274/C275</f>
        <v>47.13</v>
      </c>
      <c r="D276" s="14" t="n">
        <f aca="false">D274/D275</f>
        <v>85.5706494503455</v>
      </c>
      <c r="E276" s="14" t="n">
        <f aca="false">E274/E275</f>
        <v>145.048813106159</v>
      </c>
      <c r="F276" s="14" t="n">
        <f aca="false">F274/F275</f>
        <v>165.671818851584</v>
      </c>
      <c r="G276" s="14" t="n">
        <f aca="false">G274/G275</f>
        <v>189.270644184559</v>
      </c>
    </row>
    <row r="277" customFormat="false" ht="17.15" hidden="false" customHeight="false" outlineLevel="0" collapsed="false">
      <c r="A277" s="0" t="s">
        <v>429</v>
      </c>
      <c r="B277" s="0" t="s">
        <v>103</v>
      </c>
      <c r="D277" s="18" t="n">
        <f aca="false">D276/C276-1</f>
        <v>0.815630160202535</v>
      </c>
      <c r="E277" s="18" t="n">
        <f aca="false">E276/D276-1</f>
        <v>0.695076688535908</v>
      </c>
      <c r="F277" s="18" t="n">
        <f aca="false">F276/E276-1</f>
        <v>0.142179762135192</v>
      </c>
      <c r="G277" s="18" t="n">
        <f aca="false">G276/F276-1</f>
        <v>0.142443207882661</v>
      </c>
    </row>
    <row r="280" customFormat="false" ht="17.15" hidden="false" customHeight="false" outlineLevel="0" collapsed="false">
      <c r="A280" s="1" t="s">
        <v>730</v>
      </c>
    </row>
    <row r="281" customFormat="false" ht="17.15" hidden="false" customHeight="false" outlineLevel="0" collapsed="false">
      <c r="A281" s="5" t="s">
        <v>21</v>
      </c>
      <c r="B281" s="5" t="s">
        <v>22</v>
      </c>
      <c r="C281" s="12" t="s">
        <v>309</v>
      </c>
      <c r="D281" s="12" t="s">
        <v>371</v>
      </c>
      <c r="E281" s="12" t="s">
        <v>372</v>
      </c>
      <c r="F281" s="12" t="s">
        <v>373</v>
      </c>
      <c r="G281" s="12" t="s">
        <v>374</v>
      </c>
      <c r="H281" s="5" t="s">
        <v>350</v>
      </c>
    </row>
    <row r="282" customFormat="false" ht="17.15" hidden="false" customHeight="false" outlineLevel="0" collapsed="false">
      <c r="A282" s="6" t="s">
        <v>389</v>
      </c>
    </row>
    <row r="283" customFormat="false" ht="17.15" hidden="false" customHeight="false" outlineLevel="0" collapsed="false">
      <c r="A283" s="4" t="s">
        <v>390</v>
      </c>
      <c r="B283" s="0" t="s">
        <v>186</v>
      </c>
      <c r="C283" s="20" t="n">
        <f aca="false">a25_rev*nap25s</f>
        <v>156.4416</v>
      </c>
      <c r="D283" s="20" t="n">
        <f aca="false">a26_rev*ns26</f>
        <v>205.3806</v>
      </c>
    </row>
    <row r="284" customFormat="false" ht="17.15" hidden="false" customHeight="false" outlineLevel="0" collapsed="false">
      <c r="A284" s="4" t="s">
        <v>391</v>
      </c>
      <c r="B284" s="0" t="s">
        <v>186</v>
      </c>
      <c r="C284" s="20" t="n">
        <f aca="false">a25_rev*(1-nap25s-sw25s*af25)</f>
        <v>41.22112</v>
      </c>
      <c r="D284" s="20" t="n">
        <f aca="false">C284*(1+g_nai26)</f>
        <v>45.343232</v>
      </c>
    </row>
    <row r="285" customFormat="false" ht="17.15" hidden="false" customHeight="false" outlineLevel="0" collapsed="false">
      <c r="A285" s="0" t="s">
        <v>392</v>
      </c>
      <c r="B285" s="0" t="s">
        <v>186</v>
      </c>
      <c r="C285" s="20" t="n">
        <f aca="false">a25_rev*sw25s*af25</f>
        <v>50.65728</v>
      </c>
      <c r="D285" s="20" t="n">
        <f aca="false">a26_rev-D283-D284</f>
        <v>160.037368</v>
      </c>
      <c r="H285" s="8" t="s">
        <v>393</v>
      </c>
    </row>
    <row r="286" customFormat="false" ht="17.15" hidden="false" customHeight="false" outlineLevel="0" collapsed="false">
      <c r="A286" s="6" t="s">
        <v>394</v>
      </c>
    </row>
    <row r="287" customFormat="false" ht="17.15" hidden="false" customHeight="false" outlineLevel="0" collapsed="false">
      <c r="A287" s="0" t="s">
        <v>395</v>
      </c>
      <c r="B287" s="0" t="s">
        <v>32</v>
      </c>
      <c r="D287" s="14" t="n">
        <f aca="false">mkt_26*1</f>
        <v>32.0719</v>
      </c>
      <c r="E287" s="14" t="n">
        <f aca="false">mkt_27*1*1</f>
        <v>61.085</v>
      </c>
      <c r="F287" s="14" t="n">
        <f aca="false">mkt_28*um28_A*1</f>
        <v>69.005</v>
      </c>
      <c r="G287" s="14" t="n">
        <f aca="false">mkt_29*um29_A*1</f>
        <v>78.48215</v>
      </c>
    </row>
    <row r="288" customFormat="false" ht="15" hidden="false" customHeight="false" outlineLevel="0" collapsed="false">
      <c r="A288" s="4" t="s">
        <v>396</v>
      </c>
      <c r="B288" s="0" t="s">
        <v>103</v>
      </c>
      <c r="D288" s="18" t="n">
        <f aca="false">ETHI_26</f>
        <v>0.8</v>
      </c>
      <c r="E288" s="18" t="n">
        <f aca="false">ETHI_27</f>
        <v>0.88</v>
      </c>
      <c r="F288" s="18" t="n">
        <f aca="false">ETHI_28</f>
        <v>0.9</v>
      </c>
      <c r="G288" s="18" t="n">
        <f aca="false">ETHI_29</f>
        <v>0.92</v>
      </c>
    </row>
    <row r="289" customFormat="false" ht="17.15" hidden="false" customHeight="false" outlineLevel="0" collapsed="false">
      <c r="A289" s="4" t="s">
        <v>397</v>
      </c>
      <c r="B289" s="0" t="s">
        <v>32</v>
      </c>
      <c r="D289" s="14" t="n">
        <f aca="false">su_26*1</f>
        <v>3.015</v>
      </c>
      <c r="E289" s="14" t="n">
        <f aca="false">su_27*1*1</f>
        <v>11.3414</v>
      </c>
      <c r="F289" s="14" t="n">
        <f aca="false">su_28*um28_A*1</f>
        <v>13.8952</v>
      </c>
      <c r="G289" s="14" t="n">
        <f aca="false">su_29*um29_A*1</f>
        <v>15.97948</v>
      </c>
    </row>
    <row r="290" customFormat="false" ht="17.15" hidden="false" customHeight="false" outlineLevel="0" collapsed="false">
      <c r="A290" s="0" t="s">
        <v>398</v>
      </c>
      <c r="B290" s="0" t="s">
        <v>32</v>
      </c>
      <c r="D290" s="14" t="n">
        <f aca="false">D287*D288+D289</f>
        <v>28.67252</v>
      </c>
      <c r="E290" s="14" t="n">
        <f aca="false">E287*E288+E289</f>
        <v>65.0962</v>
      </c>
      <c r="F290" s="14" t="n">
        <f aca="false">F287*F288+F289</f>
        <v>75.9997</v>
      </c>
      <c r="G290" s="14" t="n">
        <f aca="false">G287*G288+G289</f>
        <v>88.183058</v>
      </c>
    </row>
    <row r="291" customFormat="false" ht="15" hidden="false" customHeight="false" outlineLevel="0" collapsed="false">
      <c r="A291" s="4" t="s">
        <v>355</v>
      </c>
      <c r="B291" s="0" t="s">
        <v>103</v>
      </c>
      <c r="D291" s="18" t="n">
        <f aca="false">wb_26</f>
        <v>0.45</v>
      </c>
      <c r="E291" s="18" t="n">
        <f aca="false">wb_27</f>
        <v>0.47</v>
      </c>
      <c r="F291" s="18" t="n">
        <f aca="false">wb_28</f>
        <v>0.48</v>
      </c>
      <c r="G291" s="18" t="n">
        <f aca="false">wb_29</f>
        <v>0.5</v>
      </c>
    </row>
    <row r="292" customFormat="false" ht="17.15" hidden="false" customHeight="false" outlineLevel="0" collapsed="false">
      <c r="A292" s="4" t="s">
        <v>357</v>
      </c>
      <c r="B292" s="0" t="s">
        <v>32</v>
      </c>
      <c r="D292" s="14" t="n">
        <f aca="false">D290*D291</f>
        <v>12.902634</v>
      </c>
      <c r="E292" s="14" t="n">
        <f aca="false">E290*E291</f>
        <v>30.595214</v>
      </c>
      <c r="F292" s="14" t="n">
        <f aca="false">F290*F291</f>
        <v>36.479856</v>
      </c>
      <c r="G292" s="14" t="n">
        <f aca="false">G290*G291</f>
        <v>44.091529</v>
      </c>
    </row>
    <row r="293" customFormat="false" ht="17.15" hidden="false" customHeight="false" outlineLevel="0" collapsed="false">
      <c r="A293" s="4" t="s">
        <v>399</v>
      </c>
      <c r="B293" s="0" t="s">
        <v>103</v>
      </c>
      <c r="D293" s="18" t="n">
        <f aca="false">D285/fx/D292</f>
        <v>0.387608278278683</v>
      </c>
      <c r="H293" s="8" t="s">
        <v>400</v>
      </c>
    </row>
    <row r="294" customFormat="false" ht="17.15" hidden="false" customHeight="false" outlineLevel="0" collapsed="false">
      <c r="A294" s="4" t="s">
        <v>401</v>
      </c>
      <c r="B294" s="0" t="s">
        <v>76</v>
      </c>
      <c r="D294" s="19" t="n">
        <f aca="false">1</f>
        <v>1</v>
      </c>
      <c r="E294" s="19" t="n">
        <f aca="false">rel_27</f>
        <v>1</v>
      </c>
      <c r="F294" s="19" t="n">
        <f aca="false">rel_28</f>
        <v>0.95</v>
      </c>
      <c r="G294" s="19" t="n">
        <f aca="false">rel_29</f>
        <v>0.92</v>
      </c>
    </row>
    <row r="295" customFormat="false" ht="15" hidden="false" customHeight="false" outlineLevel="0" collapsed="false">
      <c r="A295" s="4" t="s">
        <v>402</v>
      </c>
      <c r="B295" s="0" t="s">
        <v>103</v>
      </c>
      <c r="D295" s="18" t="n">
        <f aca="false">$D$293*D294</f>
        <v>0.387608278278683</v>
      </c>
      <c r="E295" s="18" t="n">
        <f aca="false">$D$293*E294</f>
        <v>0.387608278278683</v>
      </c>
      <c r="F295" s="18" t="n">
        <f aca="false">$D$293*F294</f>
        <v>0.368227864364749</v>
      </c>
      <c r="G295" s="18" t="n">
        <f aca="false">$D$293*G294</f>
        <v>0.356599616016389</v>
      </c>
    </row>
    <row r="296" customFormat="false" ht="17.15" hidden="false" customHeight="false" outlineLevel="0" collapsed="false">
      <c r="A296" s="0" t="s">
        <v>403</v>
      </c>
      <c r="B296" s="0" t="s">
        <v>186</v>
      </c>
      <c r="C296" s="20" t="n">
        <f aca="false">C285</f>
        <v>50.65728</v>
      </c>
      <c r="D296" s="20" t="n">
        <f aca="false">D292*D295*fx</f>
        <v>160.037368</v>
      </c>
      <c r="E296" s="20" t="n">
        <f aca="false">E292*E295*fx</f>
        <v>379.486663107452</v>
      </c>
      <c r="F296" s="20" t="n">
        <f aca="false">F292*F295*fx</f>
        <v>429.852782950834</v>
      </c>
      <c r="G296" s="20" t="n">
        <f aca="false">G292*G295*fx</f>
        <v>503.136713951215</v>
      </c>
    </row>
    <row r="297" customFormat="false" ht="17.15" hidden="false" customHeight="false" outlineLevel="0" collapsed="false">
      <c r="A297" s="6" t="s">
        <v>404</v>
      </c>
    </row>
    <row r="298" customFormat="false" ht="17.15" hidden="false" customHeight="false" outlineLevel="0" collapsed="false">
      <c r="A298" s="0" t="s">
        <v>405</v>
      </c>
      <c r="B298" s="4" t="s">
        <v>55</v>
      </c>
      <c r="D298" s="19" t="n">
        <f aca="false">trn_26*1</f>
        <v>2</v>
      </c>
      <c r="E298" s="19" t="n">
        <f aca="false">trn_27*1*1</f>
        <v>2.5</v>
      </c>
      <c r="F298" s="19" t="n">
        <f aca="false">trn_28*um28_A*1</f>
        <v>3</v>
      </c>
      <c r="G298" s="19" t="n">
        <f aca="false">trn_29*um29_A*1</f>
        <v>3.45</v>
      </c>
    </row>
    <row r="299" customFormat="false" ht="17.15" hidden="false" customHeight="false" outlineLevel="0" collapsed="false">
      <c r="A299" s="4" t="s">
        <v>406</v>
      </c>
      <c r="B299" s="4" t="s">
        <v>407</v>
      </c>
      <c r="D299" s="20" t="n">
        <f aca="false">D283/D298</f>
        <v>102.6903</v>
      </c>
      <c r="H299" s="8" t="s">
        <v>408</v>
      </c>
    </row>
    <row r="300" customFormat="false" ht="17.15" hidden="false" customHeight="false" outlineLevel="0" collapsed="false">
      <c r="A300" s="4" t="s">
        <v>409</v>
      </c>
      <c r="B300" s="0" t="s">
        <v>76</v>
      </c>
      <c r="D300" s="19" t="n">
        <f aca="false">1</f>
        <v>1</v>
      </c>
      <c r="E300" s="19" t="n">
        <f aca="false">nrel_27</f>
        <v>0.9</v>
      </c>
      <c r="F300" s="19" t="n">
        <f aca="false">nrel_28</f>
        <v>0.85</v>
      </c>
      <c r="G300" s="19" t="n">
        <f aca="false">nrel_29</f>
        <v>0.8</v>
      </c>
    </row>
    <row r="301" customFormat="false" ht="15" hidden="false" customHeight="false" outlineLevel="0" collapsed="false">
      <c r="A301" s="4" t="s">
        <v>410</v>
      </c>
      <c r="B301" s="0" t="s">
        <v>186</v>
      </c>
      <c r="C301" s="20" t="n">
        <f aca="false">C283</f>
        <v>156.4416</v>
      </c>
      <c r="D301" s="20" t="n">
        <f aca="false">D298*$D$299*D300</f>
        <v>205.3806</v>
      </c>
      <c r="E301" s="20" t="n">
        <f aca="false">E298*$D$299*E300</f>
        <v>231.053175</v>
      </c>
      <c r="F301" s="20" t="n">
        <f aca="false">F298*$D$299*F300</f>
        <v>261.860265</v>
      </c>
      <c r="G301" s="20" t="n">
        <f aca="false">G298*$D$299*G300</f>
        <v>283.425228</v>
      </c>
    </row>
    <row r="302" customFormat="false" ht="17.15" hidden="false" customHeight="false" outlineLevel="0" collapsed="false">
      <c r="A302" s="6" t="s">
        <v>411</v>
      </c>
    </row>
    <row r="303" customFormat="false" ht="17.15" hidden="false" customHeight="false" outlineLevel="0" collapsed="false">
      <c r="A303" s="4" t="s">
        <v>412</v>
      </c>
      <c r="B303" s="0" t="s">
        <v>186</v>
      </c>
      <c r="C303" s="20" t="n">
        <f aca="false">C284</f>
        <v>41.22112</v>
      </c>
      <c r="D303" s="20" t="n">
        <f aca="false">D284</f>
        <v>45.343232</v>
      </c>
      <c r="E303" s="20" t="n">
        <f aca="false">D303*(1+g_nai27)</f>
        <v>48.06382592</v>
      </c>
      <c r="F303" s="20" t="n">
        <f aca="false">E303*(1+g_nai28)</f>
        <v>50.467017216</v>
      </c>
      <c r="G303" s="20" t="n">
        <f aca="false">F303*(1+g_nai29)</f>
        <v>52.9903680768</v>
      </c>
    </row>
    <row r="304" customFormat="false" ht="15" hidden="false" customHeight="false" outlineLevel="0" collapsed="false">
      <c r="A304" s="4" t="s">
        <v>316</v>
      </c>
      <c r="B304" s="0" t="s">
        <v>186</v>
      </c>
      <c r="C304" s="20" t="n">
        <f aca="false">C296+C301+C303</f>
        <v>248.32</v>
      </c>
      <c r="D304" s="20" t="n">
        <f aca="false">D296+D301+D303</f>
        <v>410.7612</v>
      </c>
      <c r="E304" s="20" t="n">
        <f aca="false">E296+E301+E303</f>
        <v>658.603664027452</v>
      </c>
      <c r="F304" s="20" t="n">
        <f aca="false">F296+F301+F303</f>
        <v>742.180065166834</v>
      </c>
      <c r="G304" s="20" t="n">
        <f aca="false">G296+G301+G303</f>
        <v>839.552310028015</v>
      </c>
    </row>
    <row r="305" customFormat="false" ht="17.15" hidden="false" customHeight="false" outlineLevel="0" collapsed="false">
      <c r="A305" s="4" t="s">
        <v>413</v>
      </c>
      <c r="B305" s="0" t="s">
        <v>103</v>
      </c>
      <c r="C305" s="18" t="n">
        <f aca="false">sw25s*(1-af25)/(1-nap25s-sw25s*af25)</f>
        <v>0.819277108433735</v>
      </c>
      <c r="H305" s="8" t="s">
        <v>414</v>
      </c>
    </row>
    <row r="306" customFormat="false" ht="17.15" hidden="false" customHeight="false" outlineLevel="0" collapsed="false">
      <c r="A306" s="4" t="s">
        <v>415</v>
      </c>
      <c r="B306" s="0" t="s">
        <v>186</v>
      </c>
      <c r="C306" s="20" t="n">
        <f aca="false">C303*$C$305</f>
        <v>33.77152</v>
      </c>
      <c r="D306" s="20" t="n">
        <f aca="false">D303*$C$305</f>
        <v>37.148672</v>
      </c>
      <c r="E306" s="20" t="n">
        <f aca="false">E303*$C$305</f>
        <v>39.37759232</v>
      </c>
      <c r="F306" s="20" t="n">
        <f aca="false">F303*$C$305</f>
        <v>41.346471936</v>
      </c>
      <c r="G306" s="20" t="n">
        <f aca="false">G303*$C$305</f>
        <v>43.4137955328</v>
      </c>
    </row>
    <row r="307" customFormat="false" ht="17.15" hidden="false" customHeight="false" outlineLevel="0" collapsed="false">
      <c r="A307" s="4" t="s">
        <v>416</v>
      </c>
      <c r="B307" s="0" t="s">
        <v>186</v>
      </c>
      <c r="C307" s="20" t="n">
        <f aca="false">C296+C306</f>
        <v>84.4288</v>
      </c>
      <c r="D307" s="20" t="n">
        <f aca="false">D296+D306</f>
        <v>197.18604</v>
      </c>
      <c r="E307" s="20" t="n">
        <f aca="false">E296+E306</f>
        <v>418.864255427452</v>
      </c>
      <c r="F307" s="20" t="n">
        <f aca="false">F296+F306</f>
        <v>471.199254886834</v>
      </c>
      <c r="G307" s="20" t="n">
        <f aca="false">G296+G306</f>
        <v>546.550509484015</v>
      </c>
      <c r="H307" s="4" t="s">
        <v>417</v>
      </c>
    </row>
    <row r="308" customFormat="false" ht="17.15" hidden="false" customHeight="false" outlineLevel="0" collapsed="false">
      <c r="A308" s="4" t="s">
        <v>418</v>
      </c>
      <c r="B308" s="0" t="s">
        <v>186</v>
      </c>
      <c r="C308" s="20" t="n">
        <f aca="false">C303-C306</f>
        <v>7.44959999999999</v>
      </c>
      <c r="D308" s="20" t="n">
        <f aca="false">D303-D306</f>
        <v>8.19455999999999</v>
      </c>
      <c r="E308" s="20" t="n">
        <f aca="false">E303-E306</f>
        <v>8.68623359999999</v>
      </c>
      <c r="F308" s="20" t="n">
        <f aca="false">F303-F306</f>
        <v>9.12054527999999</v>
      </c>
      <c r="G308" s="20" t="n">
        <f aca="false">G303-G306</f>
        <v>9.57657254399999</v>
      </c>
      <c r="H308" s="4" t="s">
        <v>419</v>
      </c>
    </row>
    <row r="309" customFormat="false" ht="17.15" hidden="false" customHeight="false" outlineLevel="0" collapsed="false">
      <c r="A309" s="4" t="s">
        <v>420</v>
      </c>
      <c r="B309" s="0" t="s">
        <v>186</v>
      </c>
      <c r="C309" s="16" t="n">
        <f aca="false">C307+C301+C308-a25_rev</f>
        <v>0</v>
      </c>
      <c r="D309" s="16" t="n">
        <f aca="false">D307+D301+D308-D304</f>
        <v>0</v>
      </c>
      <c r="E309" s="16" t="n">
        <f aca="false">E307+E301+E308-E304</f>
        <v>0</v>
      </c>
      <c r="F309" s="16" t="n">
        <f aca="false">F307+F301+F308-F304</f>
        <v>0</v>
      </c>
      <c r="G309" s="16" t="n">
        <f aca="false">G307+G301+G308-G304</f>
        <v>0</v>
      </c>
    </row>
    <row r="310" customFormat="false" ht="15" hidden="false" customHeight="false" outlineLevel="0" collapsed="false">
      <c r="A310" s="4" t="s">
        <v>421</v>
      </c>
      <c r="B310" s="0" t="s">
        <v>103</v>
      </c>
      <c r="D310" s="18" t="n">
        <f aca="false">D304/C304-1</f>
        <v>0.654160760309279</v>
      </c>
      <c r="E310" s="18" t="n">
        <f aca="false">E304/D304-1</f>
        <v>0.603373600105004</v>
      </c>
      <c r="F310" s="18" t="n">
        <f aca="false">F304/E304-1</f>
        <v>0.126899386845651</v>
      </c>
      <c r="G310" s="18" t="n">
        <f aca="false">G304/F304-1</f>
        <v>0.131197602079614</v>
      </c>
    </row>
    <row r="311" customFormat="false" ht="17.15" hidden="false" customHeight="false" outlineLevel="0" collapsed="false">
      <c r="A311" s="0" t="s">
        <v>422</v>
      </c>
      <c r="B311" s="0" t="s">
        <v>103</v>
      </c>
      <c r="C311" s="18" t="n">
        <f aca="false">(C296+C301)/C304</f>
        <v>0.834</v>
      </c>
      <c r="D311" s="18" t="n">
        <f aca="false">(D296+D301)/D304</f>
        <v>0.889611696528299</v>
      </c>
      <c r="E311" s="18" t="n">
        <f aca="false">(E296+E301)/E304</f>
        <v>0.927021623860877</v>
      </c>
      <c r="F311" s="18" t="n">
        <f aca="false">(F296+F301)/F304</f>
        <v>0.932001653527765</v>
      </c>
      <c r="G311" s="18" t="n">
        <f aca="false">(G296+G301)/G304</f>
        <v>0.936882589156319</v>
      </c>
    </row>
    <row r="312" customFormat="false" ht="17.15" hidden="false" customHeight="false" outlineLevel="0" collapsed="false">
      <c r="A312" s="4" t="s">
        <v>423</v>
      </c>
      <c r="B312" s="0" t="s">
        <v>103</v>
      </c>
      <c r="C312" s="18" t="n">
        <f aca="false">C301/C304</f>
        <v>0.63</v>
      </c>
      <c r="D312" s="18" t="n">
        <f aca="false">D301/D304</f>
        <v>0.5</v>
      </c>
      <c r="E312" s="18" t="n">
        <f aca="false">E301/E304</f>
        <v>0.350822790124</v>
      </c>
      <c r="F312" s="18" t="n">
        <f aca="false">F301/F304</f>
        <v>0.35282578620747</v>
      </c>
      <c r="G312" s="18" t="n">
        <f aca="false">G301/G304</f>
        <v>0.337590909601026</v>
      </c>
    </row>
    <row r="313" customFormat="false" ht="17.15" hidden="false" customHeight="false" outlineLevel="0" collapsed="false">
      <c r="A313" s="6" t="s">
        <v>424</v>
      </c>
    </row>
    <row r="314" customFormat="false" ht="17.15" hidden="false" customHeight="false" outlineLevel="0" collapsed="false">
      <c r="A314" s="4" t="s">
        <v>425</v>
      </c>
      <c r="B314" s="0" t="s">
        <v>103</v>
      </c>
      <c r="D314" s="15" t="n">
        <f aca="false">a26_gp/a26_rev+d_nap*D312</f>
        <v>0.219589247962076</v>
      </c>
      <c r="H314" s="8" t="s">
        <v>426</v>
      </c>
    </row>
    <row r="315" customFormat="false" ht="15" hidden="false" customHeight="false" outlineLevel="0" collapsed="false">
      <c r="A315" s="4" t="s">
        <v>320</v>
      </c>
      <c r="B315" s="0" t="s">
        <v>186</v>
      </c>
      <c r="C315" s="20" t="n">
        <f aca="false">a25_gp</f>
        <v>44.921088</v>
      </c>
      <c r="D315" s="20" t="n">
        <f aca="false">a26_gp</f>
        <v>77.875907</v>
      </c>
      <c r="E315" s="20" t="n">
        <f aca="false">$D$314*(E296+E303)+($D$314-d_nap)*E301</f>
        <v>130.759092788856</v>
      </c>
      <c r="F315" s="20" t="n">
        <f aca="false">$D$314*(F296+F303)+($D$314-d_nap)*F301</f>
        <v>147.26314646243</v>
      </c>
      <c r="G315" s="20" t="n">
        <f aca="false">$D$314*(G296+G303)+($D$314-d_nap)*G301</f>
        <v>167.351146703876</v>
      </c>
    </row>
    <row r="316" customFormat="false" ht="15" hidden="false" customHeight="false" outlineLevel="0" collapsed="false">
      <c r="A316" s="4" t="s">
        <v>322</v>
      </c>
      <c r="B316" s="0" t="s">
        <v>103</v>
      </c>
      <c r="C316" s="15" t="n">
        <f aca="false">C315/C304</f>
        <v>0.1809</v>
      </c>
      <c r="D316" s="15" t="n">
        <f aca="false">D315/D304</f>
        <v>0.189589247962076</v>
      </c>
      <c r="E316" s="15" t="n">
        <f aca="false">E315/E304</f>
        <v>0.198539880554636</v>
      </c>
      <c r="F316" s="15" t="n">
        <f aca="false">F315/F304</f>
        <v>0.198419700789628</v>
      </c>
      <c r="G316" s="15" t="n">
        <f aca="false">G315/G304</f>
        <v>0.199333793386015</v>
      </c>
    </row>
    <row r="317" customFormat="false" ht="15" hidden="false" customHeight="false" outlineLevel="0" collapsed="false">
      <c r="A317" s="4" t="s">
        <v>427</v>
      </c>
      <c r="B317" s="0" t="s">
        <v>186</v>
      </c>
      <c r="C317" s="20" t="n">
        <f aca="false">a25_opx</f>
        <v>12.78848</v>
      </c>
      <c r="D317" s="20" t="n">
        <f aca="false">a26_opx</f>
        <v>17.956088</v>
      </c>
      <c r="E317" s="20" t="n">
        <f aca="false">D317*(1+MAX(0,phi*E310))</f>
        <v>24.4566256762174</v>
      </c>
      <c r="F317" s="20" t="n">
        <f aca="false">E317*(1+MAX(0,phi*F310))</f>
        <v>26.3187441577927</v>
      </c>
      <c r="G317" s="20" t="n">
        <f aca="false">F317*(1+MAX(0,phi*G310))</f>
        <v>28.3905178317423</v>
      </c>
    </row>
    <row r="318" customFormat="false" ht="15" hidden="false" customHeight="false" outlineLevel="0" collapsed="false">
      <c r="A318" s="4" t="s">
        <v>324</v>
      </c>
      <c r="B318" s="0" t="s">
        <v>186</v>
      </c>
      <c r="C318" s="20" t="n">
        <f aca="false">C317</f>
        <v>12.78848</v>
      </c>
      <c r="D318" s="20" t="n">
        <f aca="false">D317</f>
        <v>17.956088</v>
      </c>
      <c r="E318" s="20" t="n">
        <f aca="false">E317+0*E304</f>
        <v>24.4566256762174</v>
      </c>
      <c r="F318" s="20" t="n">
        <f aca="false">F317+0*F304</f>
        <v>26.3187441577927</v>
      </c>
      <c r="G318" s="20" t="n">
        <f aca="false">G317+0*G304</f>
        <v>28.3905178317423</v>
      </c>
    </row>
    <row r="319" customFormat="false" ht="15" hidden="false" customHeight="false" outlineLevel="0" collapsed="false">
      <c r="A319" s="4" t="s">
        <v>326</v>
      </c>
      <c r="B319" s="0" t="s">
        <v>186</v>
      </c>
      <c r="C319" s="20" t="n">
        <f aca="false">C315-C318</f>
        <v>32.132608</v>
      </c>
      <c r="D319" s="20" t="n">
        <f aca="false">D315-D318</f>
        <v>59.919819</v>
      </c>
      <c r="E319" s="20" t="n">
        <f aca="false">E315-E318</f>
        <v>106.302467112639</v>
      </c>
      <c r="F319" s="20" t="n">
        <f aca="false">F315-F318</f>
        <v>120.944402304637</v>
      </c>
      <c r="G319" s="20" t="n">
        <f aca="false">G315-G318</f>
        <v>138.960628872133</v>
      </c>
    </row>
    <row r="320" customFormat="false" ht="15" hidden="false" customHeight="false" outlineLevel="0" collapsed="false">
      <c r="A320" s="4" t="s">
        <v>328</v>
      </c>
      <c r="B320" s="0" t="s">
        <v>103</v>
      </c>
      <c r="C320" s="15" t="n">
        <f aca="false">C319/C304</f>
        <v>0.1294</v>
      </c>
      <c r="D320" s="15" t="n">
        <f aca="false">D319/D304</f>
        <v>0.145875070478906</v>
      </c>
      <c r="E320" s="15" t="n">
        <f aca="false">E319/E304</f>
        <v>0.16140582404687</v>
      </c>
      <c r="F320" s="15" t="n">
        <f aca="false">F319/F304</f>
        <v>0.162958300796519</v>
      </c>
      <c r="G320" s="15" t="n">
        <f aca="false">G319/G304</f>
        <v>0.165517535015176</v>
      </c>
    </row>
    <row r="321" customFormat="false" ht="17.15" hidden="false" customHeight="false" outlineLevel="0" collapsed="false">
      <c r="A321" s="4" t="s">
        <v>224</v>
      </c>
      <c r="B321" s="0" t="s">
        <v>76</v>
      </c>
      <c r="C321" s="16" t="n">
        <f aca="false">a25_ni/a25_oi</f>
        <v>0.819790289042209</v>
      </c>
      <c r="D321" s="16" t="n">
        <f aca="false">a26_ni/a26_oi</f>
        <v>0.798164213413262</v>
      </c>
      <c r="E321" s="16" t="n">
        <f aca="false">nio_f</f>
        <v>0.8</v>
      </c>
      <c r="F321" s="16" t="n">
        <f aca="false">nio_f</f>
        <v>0.8</v>
      </c>
      <c r="G321" s="16" t="n">
        <f aca="false">nio_f</f>
        <v>0.8</v>
      </c>
    </row>
    <row r="322" customFormat="false" ht="15" hidden="false" customHeight="false" outlineLevel="0" collapsed="false">
      <c r="A322" s="4" t="s">
        <v>329</v>
      </c>
      <c r="B322" s="0" t="s">
        <v>186</v>
      </c>
      <c r="C322" s="20" t="n">
        <f aca="false">a25_ni</f>
        <v>26.342</v>
      </c>
      <c r="D322" s="20" t="n">
        <f aca="false">a26_ni</f>
        <v>47.8258552</v>
      </c>
      <c r="E322" s="20" t="n">
        <f aca="false">E319*E321</f>
        <v>85.041973690111</v>
      </c>
      <c r="F322" s="20" t="n">
        <f aca="false">F319*F321</f>
        <v>96.7555218437098</v>
      </c>
      <c r="G322" s="20" t="n">
        <f aca="false">G319*G321</f>
        <v>111.168503097707</v>
      </c>
    </row>
    <row r="323" customFormat="false" ht="15" hidden="false" customHeight="false" outlineLevel="0" collapsed="false">
      <c r="A323" s="4" t="s">
        <v>428</v>
      </c>
      <c r="B323" s="4" t="s">
        <v>211</v>
      </c>
      <c r="C323" s="17" t="n">
        <f aca="false">a25_sh</f>
        <v>0.558922130277955</v>
      </c>
      <c r="D323" s="17" t="n">
        <f aca="false">a26_sh</f>
        <v>0.558904899135447</v>
      </c>
      <c r="E323" s="17" t="n">
        <f aca="false">D323*(1+sh_g27)</f>
        <v>0.568853406340058</v>
      </c>
      <c r="F323" s="17" t="n">
        <f aca="false">E323*(1+sh_g)</f>
        <v>0.568853406340058</v>
      </c>
      <c r="G323" s="17" t="n">
        <f aca="false">F323*(1+sh_g)</f>
        <v>0.568853406340058</v>
      </c>
    </row>
    <row r="324" customFormat="false" ht="15" hidden="false" customHeight="false" outlineLevel="0" collapsed="false">
      <c r="A324" s="0" t="s">
        <v>334</v>
      </c>
      <c r="B324" s="0" t="s">
        <v>244</v>
      </c>
      <c r="C324" s="14" t="n">
        <f aca="false">C322/C323</f>
        <v>47.13</v>
      </c>
      <c r="D324" s="14" t="n">
        <f aca="false">D322/D323</f>
        <v>85.5706494503455</v>
      </c>
      <c r="E324" s="14" t="n">
        <f aca="false">E322/E323</f>
        <v>149.497168764906</v>
      </c>
      <c r="F324" s="14" t="n">
        <f aca="false">F322/F323</f>
        <v>170.088674455207</v>
      </c>
      <c r="G324" s="14" t="n">
        <f aca="false">G322/G323</f>
        <v>195.425573370393</v>
      </c>
    </row>
    <row r="325" customFormat="false" ht="17.15" hidden="false" customHeight="false" outlineLevel="0" collapsed="false">
      <c r="A325" s="0" t="s">
        <v>429</v>
      </c>
      <c r="B325" s="0" t="s">
        <v>103</v>
      </c>
      <c r="D325" s="18" t="n">
        <f aca="false">D324/C324-1</f>
        <v>0.815630160202535</v>
      </c>
      <c r="E325" s="18" t="n">
        <f aca="false">E324/D324-1</f>
        <v>0.747061284741738</v>
      </c>
      <c r="F325" s="18" t="n">
        <f aca="false">F324/E324-1</f>
        <v>0.137738432509604</v>
      </c>
      <c r="G325" s="18" t="n">
        <f aca="false">G324/F324-1</f>
        <v>0.148962880664097</v>
      </c>
    </row>
    <row r="328" customFormat="false" ht="17.15" hidden="false" customHeight="false" outlineLevel="0" collapsed="false">
      <c r="A328" s="1" t="s">
        <v>731</v>
      </c>
    </row>
    <row r="329" customFormat="false" ht="17.15" hidden="false" customHeight="false" outlineLevel="0" collapsed="false">
      <c r="A329" s="5" t="s">
        <v>21</v>
      </c>
      <c r="B329" s="5" t="s">
        <v>22</v>
      </c>
      <c r="C329" s="12" t="s">
        <v>309</v>
      </c>
      <c r="D329" s="12" t="s">
        <v>371</v>
      </c>
      <c r="E329" s="12" t="s">
        <v>372</v>
      </c>
      <c r="F329" s="12" t="s">
        <v>373</v>
      </c>
      <c r="G329" s="12" t="s">
        <v>374</v>
      </c>
      <c r="H329" s="5" t="s">
        <v>350</v>
      </c>
    </row>
    <row r="330" customFormat="false" ht="17.15" hidden="false" customHeight="false" outlineLevel="0" collapsed="false">
      <c r="A330" s="6" t="s">
        <v>389</v>
      </c>
    </row>
    <row r="331" customFormat="false" ht="17.15" hidden="false" customHeight="false" outlineLevel="0" collapsed="false">
      <c r="A331" s="4" t="s">
        <v>390</v>
      </c>
      <c r="B331" s="0" t="s">
        <v>186</v>
      </c>
      <c r="C331" s="20" t="n">
        <f aca="false">a25_rev*nap25s</f>
        <v>156.4416</v>
      </c>
      <c r="D331" s="20" t="n">
        <f aca="false">a26_rev*ns26</f>
        <v>205.3806</v>
      </c>
    </row>
    <row r="332" customFormat="false" ht="17.15" hidden="false" customHeight="false" outlineLevel="0" collapsed="false">
      <c r="A332" s="4" t="s">
        <v>391</v>
      </c>
      <c r="B332" s="0" t="s">
        <v>186</v>
      </c>
      <c r="C332" s="20" t="n">
        <f aca="false">a25_rev*(1-nap25s-sw25s*af25)</f>
        <v>41.22112</v>
      </c>
      <c r="D332" s="20" t="n">
        <f aca="false">C332*(1+g_nai26)</f>
        <v>45.343232</v>
      </c>
    </row>
    <row r="333" customFormat="false" ht="17.15" hidden="false" customHeight="false" outlineLevel="0" collapsed="false">
      <c r="A333" s="0" t="s">
        <v>392</v>
      </c>
      <c r="B333" s="0" t="s">
        <v>186</v>
      </c>
      <c r="C333" s="20" t="n">
        <f aca="false">a25_rev*sw25s*af25</f>
        <v>50.65728</v>
      </c>
      <c r="D333" s="20" t="n">
        <f aca="false">a26_rev-D331-D332</f>
        <v>160.037368</v>
      </c>
      <c r="H333" s="8" t="s">
        <v>393</v>
      </c>
    </row>
    <row r="334" customFormat="false" ht="17.15" hidden="false" customHeight="false" outlineLevel="0" collapsed="false">
      <c r="A334" s="6" t="s">
        <v>394</v>
      </c>
    </row>
    <row r="335" customFormat="false" ht="17.15" hidden="false" customHeight="false" outlineLevel="0" collapsed="false">
      <c r="A335" s="0" t="s">
        <v>395</v>
      </c>
      <c r="B335" s="0" t="s">
        <v>32</v>
      </c>
      <c r="D335" s="14" t="n">
        <f aca="false">mkt_26*1</f>
        <v>32.0719</v>
      </c>
      <c r="E335" s="14" t="n">
        <f aca="false">mkt_27*1*mf_lo</f>
        <v>48.868</v>
      </c>
      <c r="F335" s="14" t="n">
        <f aca="false">mkt_28*um28_A*mf_lo</f>
        <v>55.204</v>
      </c>
      <c r="G335" s="14" t="n">
        <f aca="false">mkt_29*um29_A*mf_lo</f>
        <v>62.78572</v>
      </c>
    </row>
    <row r="336" customFormat="false" ht="15" hidden="false" customHeight="false" outlineLevel="0" collapsed="false">
      <c r="A336" s="4" t="s">
        <v>396</v>
      </c>
      <c r="B336" s="0" t="s">
        <v>103</v>
      </c>
      <c r="D336" s="18" t="n">
        <f aca="false">eth_26</f>
        <v>0.75</v>
      </c>
      <c r="E336" s="18" t="n">
        <f aca="false">eth_27</f>
        <v>0.8</v>
      </c>
      <c r="F336" s="18" t="n">
        <f aca="false">eth_28</f>
        <v>0.83</v>
      </c>
      <c r="G336" s="18" t="n">
        <f aca="false">eth_29</f>
        <v>0.85</v>
      </c>
    </row>
    <row r="337" customFormat="false" ht="17.15" hidden="false" customHeight="false" outlineLevel="0" collapsed="false">
      <c r="A337" s="4" t="s">
        <v>397</v>
      </c>
      <c r="B337" s="0" t="s">
        <v>32</v>
      </c>
      <c r="D337" s="14" t="n">
        <f aca="false">su_26*1</f>
        <v>3.015</v>
      </c>
      <c r="E337" s="14" t="n">
        <f aca="false">su_27*1*mf_lo</f>
        <v>9.07312</v>
      </c>
      <c r="F337" s="14" t="n">
        <f aca="false">su_28*um28_A*mf_lo</f>
        <v>11.11616</v>
      </c>
      <c r="G337" s="14" t="n">
        <f aca="false">su_29*um29_A*mf_lo</f>
        <v>12.783584</v>
      </c>
    </row>
    <row r="338" customFormat="false" ht="17.15" hidden="false" customHeight="false" outlineLevel="0" collapsed="false">
      <c r="A338" s="0" t="s">
        <v>398</v>
      </c>
      <c r="B338" s="0" t="s">
        <v>32</v>
      </c>
      <c r="D338" s="14" t="n">
        <f aca="false">D335*D336+D337</f>
        <v>27.068925</v>
      </c>
      <c r="E338" s="14" t="n">
        <f aca="false">E335*E336+E337</f>
        <v>48.16752</v>
      </c>
      <c r="F338" s="14" t="n">
        <f aca="false">F335*F336+F337</f>
        <v>56.93548</v>
      </c>
      <c r="G338" s="14" t="n">
        <f aca="false">G335*G336+G337</f>
        <v>66.151446</v>
      </c>
    </row>
    <row r="339" customFormat="false" ht="15" hidden="false" customHeight="false" outlineLevel="0" collapsed="false">
      <c r="A339" s="4" t="s">
        <v>355</v>
      </c>
      <c r="B339" s="0" t="s">
        <v>103</v>
      </c>
      <c r="D339" s="18" t="n">
        <f aca="false">wb_26</f>
        <v>0.45</v>
      </c>
      <c r="E339" s="18" t="n">
        <f aca="false">wb_27</f>
        <v>0.47</v>
      </c>
      <c r="F339" s="18" t="n">
        <f aca="false">wb_28</f>
        <v>0.48</v>
      </c>
      <c r="G339" s="18" t="n">
        <f aca="false">wb_29</f>
        <v>0.5</v>
      </c>
    </row>
    <row r="340" customFormat="false" ht="17.15" hidden="false" customHeight="false" outlineLevel="0" collapsed="false">
      <c r="A340" s="4" t="s">
        <v>357</v>
      </c>
      <c r="B340" s="0" t="s">
        <v>32</v>
      </c>
      <c r="D340" s="14" t="n">
        <f aca="false">D338*D339</f>
        <v>12.18101625</v>
      </c>
      <c r="E340" s="14" t="n">
        <f aca="false">E338*E339</f>
        <v>22.6387344</v>
      </c>
      <c r="F340" s="14" t="n">
        <f aca="false">F338*F339</f>
        <v>27.3290304</v>
      </c>
      <c r="G340" s="14" t="n">
        <f aca="false">G338*G339</f>
        <v>33.075723</v>
      </c>
    </row>
    <row r="341" customFormat="false" ht="17.15" hidden="false" customHeight="false" outlineLevel="0" collapsed="false">
      <c r="A341" s="4" t="s">
        <v>399</v>
      </c>
      <c r="B341" s="0" t="s">
        <v>103</v>
      </c>
      <c r="D341" s="18" t="n">
        <f aca="false">D333/fx/D340</f>
        <v>0.410570649226414</v>
      </c>
      <c r="H341" s="8" t="s">
        <v>400</v>
      </c>
    </row>
    <row r="342" customFormat="false" ht="17.15" hidden="false" customHeight="false" outlineLevel="0" collapsed="false">
      <c r="A342" s="4" t="s">
        <v>401</v>
      </c>
      <c r="B342" s="0" t="s">
        <v>76</v>
      </c>
      <c r="D342" s="19" t="n">
        <f aca="false">1</f>
        <v>1</v>
      </c>
      <c r="E342" s="19" t="n">
        <f aca="false">rel_27</f>
        <v>1</v>
      </c>
      <c r="F342" s="19" t="n">
        <f aca="false">rel_28</f>
        <v>0.95</v>
      </c>
      <c r="G342" s="19" t="n">
        <f aca="false">rel_29</f>
        <v>0.92</v>
      </c>
    </row>
    <row r="343" customFormat="false" ht="15" hidden="false" customHeight="false" outlineLevel="0" collapsed="false">
      <c r="A343" s="4" t="s">
        <v>402</v>
      </c>
      <c r="B343" s="0" t="s">
        <v>103</v>
      </c>
      <c r="D343" s="18" t="n">
        <f aca="false">$D$341*D342</f>
        <v>0.410570649226414</v>
      </c>
      <c r="E343" s="18" t="n">
        <f aca="false">$D$341*E342</f>
        <v>0.410570649226414</v>
      </c>
      <c r="F343" s="18" t="n">
        <f aca="false">$D$341*F342</f>
        <v>0.390042116765093</v>
      </c>
      <c r="G343" s="18" t="n">
        <f aca="false">$D$341*G342</f>
        <v>0.377724997288301</v>
      </c>
    </row>
    <row r="344" customFormat="false" ht="17.15" hidden="false" customHeight="false" outlineLevel="0" collapsed="false">
      <c r="A344" s="0" t="s">
        <v>403</v>
      </c>
      <c r="B344" s="0" t="s">
        <v>186</v>
      </c>
      <c r="C344" s="20" t="n">
        <f aca="false">C333</f>
        <v>50.65728</v>
      </c>
      <c r="D344" s="20" t="n">
        <f aca="false">D340*D343*fx</f>
        <v>160.037368</v>
      </c>
      <c r="E344" s="20" t="n">
        <f aca="false">E340*E343*fx</f>
        <v>297.433596168715</v>
      </c>
      <c r="F344" s="20" t="n">
        <f aca="false">F340*F343*fx</f>
        <v>341.103131723315</v>
      </c>
      <c r="G344" s="20" t="n">
        <f aca="false">G340*G343*fx</f>
        <v>399.792876175475</v>
      </c>
    </row>
    <row r="345" customFormat="false" ht="17.15" hidden="false" customHeight="false" outlineLevel="0" collapsed="false">
      <c r="A345" s="6" t="s">
        <v>404</v>
      </c>
    </row>
    <row r="346" customFormat="false" ht="17.15" hidden="false" customHeight="false" outlineLevel="0" collapsed="false">
      <c r="A346" s="0" t="s">
        <v>405</v>
      </c>
      <c r="B346" s="4" t="s">
        <v>55</v>
      </c>
      <c r="D346" s="19" t="n">
        <f aca="false">trn_26*1</f>
        <v>2</v>
      </c>
      <c r="E346" s="19" t="n">
        <f aca="false">trn_27*1*1</f>
        <v>2.5</v>
      </c>
      <c r="F346" s="19" t="n">
        <f aca="false">trn_28*um28_A*1</f>
        <v>3</v>
      </c>
      <c r="G346" s="19" t="n">
        <f aca="false">trn_29*um29_A*1</f>
        <v>3.45</v>
      </c>
    </row>
    <row r="347" customFormat="false" ht="17.15" hidden="false" customHeight="false" outlineLevel="0" collapsed="false">
      <c r="A347" s="4" t="s">
        <v>406</v>
      </c>
      <c r="B347" s="4" t="s">
        <v>407</v>
      </c>
      <c r="D347" s="20" t="n">
        <f aca="false">D331/D346</f>
        <v>102.6903</v>
      </c>
      <c r="H347" s="8" t="s">
        <v>408</v>
      </c>
    </row>
    <row r="348" customFormat="false" ht="17.15" hidden="false" customHeight="false" outlineLevel="0" collapsed="false">
      <c r="A348" s="4" t="s">
        <v>409</v>
      </c>
      <c r="B348" s="0" t="s">
        <v>76</v>
      </c>
      <c r="D348" s="19" t="n">
        <f aca="false">1</f>
        <v>1</v>
      </c>
      <c r="E348" s="19" t="n">
        <f aca="false">nrel_27</f>
        <v>0.9</v>
      </c>
      <c r="F348" s="19" t="n">
        <f aca="false">nrel_28</f>
        <v>0.85</v>
      </c>
      <c r="G348" s="19" t="n">
        <f aca="false">nrel_29</f>
        <v>0.8</v>
      </c>
    </row>
    <row r="349" customFormat="false" ht="15" hidden="false" customHeight="false" outlineLevel="0" collapsed="false">
      <c r="A349" s="4" t="s">
        <v>410</v>
      </c>
      <c r="B349" s="0" t="s">
        <v>186</v>
      </c>
      <c r="C349" s="20" t="n">
        <f aca="false">C331</f>
        <v>156.4416</v>
      </c>
      <c r="D349" s="20" t="n">
        <f aca="false">D346*$D$347*D348</f>
        <v>205.3806</v>
      </c>
      <c r="E349" s="20" t="n">
        <f aca="false">E346*$D$347*E348</f>
        <v>231.053175</v>
      </c>
      <c r="F349" s="20" t="n">
        <f aca="false">F346*$D$347*F348</f>
        <v>261.860265</v>
      </c>
      <c r="G349" s="20" t="n">
        <f aca="false">G346*$D$347*G348</f>
        <v>283.425228</v>
      </c>
    </row>
    <row r="350" customFormat="false" ht="17.15" hidden="false" customHeight="false" outlineLevel="0" collapsed="false">
      <c r="A350" s="6" t="s">
        <v>411</v>
      </c>
    </row>
    <row r="351" customFormat="false" ht="17.15" hidden="false" customHeight="false" outlineLevel="0" collapsed="false">
      <c r="A351" s="4" t="s">
        <v>412</v>
      </c>
      <c r="B351" s="0" t="s">
        <v>186</v>
      </c>
      <c r="C351" s="20" t="n">
        <f aca="false">C332</f>
        <v>41.22112</v>
      </c>
      <c r="D351" s="20" t="n">
        <f aca="false">D332</f>
        <v>45.343232</v>
      </c>
      <c r="E351" s="20" t="n">
        <f aca="false">D351*(1+g_nai27)</f>
        <v>48.06382592</v>
      </c>
      <c r="F351" s="20" t="n">
        <f aca="false">E351*(1+g_nai28)</f>
        <v>50.467017216</v>
      </c>
      <c r="G351" s="20" t="n">
        <f aca="false">F351*(1+g_nai29)</f>
        <v>52.9903680768</v>
      </c>
    </row>
    <row r="352" customFormat="false" ht="15" hidden="false" customHeight="false" outlineLevel="0" collapsed="false">
      <c r="A352" s="4" t="s">
        <v>316</v>
      </c>
      <c r="B352" s="0" t="s">
        <v>186</v>
      </c>
      <c r="C352" s="20" t="n">
        <f aca="false">C344+C349+C351</f>
        <v>248.32</v>
      </c>
      <c r="D352" s="20" t="n">
        <f aca="false">D344+D349+D351</f>
        <v>410.7612</v>
      </c>
      <c r="E352" s="20" t="n">
        <f aca="false">E344+E349+E351</f>
        <v>576.550597088715</v>
      </c>
      <c r="F352" s="20" t="n">
        <f aca="false">F344+F349+F351</f>
        <v>653.430413939315</v>
      </c>
      <c r="G352" s="20" t="n">
        <f aca="false">G344+G349+G351</f>
        <v>736.208472252275</v>
      </c>
    </row>
    <row r="353" customFormat="false" ht="17.15" hidden="false" customHeight="false" outlineLevel="0" collapsed="false">
      <c r="A353" s="4" t="s">
        <v>413</v>
      </c>
      <c r="B353" s="0" t="s">
        <v>103</v>
      </c>
      <c r="C353" s="18" t="n">
        <f aca="false">sw25s*(1-af25)/(1-nap25s-sw25s*af25)</f>
        <v>0.819277108433735</v>
      </c>
      <c r="H353" s="8" t="s">
        <v>414</v>
      </c>
    </row>
    <row r="354" customFormat="false" ht="17.15" hidden="false" customHeight="false" outlineLevel="0" collapsed="false">
      <c r="A354" s="4" t="s">
        <v>415</v>
      </c>
      <c r="B354" s="0" t="s">
        <v>186</v>
      </c>
      <c r="C354" s="20" t="n">
        <f aca="false">C351*$C$353</f>
        <v>33.77152</v>
      </c>
      <c r="D354" s="20" t="n">
        <f aca="false">D351*$C$353</f>
        <v>37.148672</v>
      </c>
      <c r="E354" s="20" t="n">
        <f aca="false">E351*$C$353</f>
        <v>39.37759232</v>
      </c>
      <c r="F354" s="20" t="n">
        <f aca="false">F351*$C$353</f>
        <v>41.346471936</v>
      </c>
      <c r="G354" s="20" t="n">
        <f aca="false">G351*$C$353</f>
        <v>43.4137955328</v>
      </c>
    </row>
    <row r="355" customFormat="false" ht="17.15" hidden="false" customHeight="false" outlineLevel="0" collapsed="false">
      <c r="A355" s="4" t="s">
        <v>416</v>
      </c>
      <c r="B355" s="0" t="s">
        <v>186</v>
      </c>
      <c r="C355" s="20" t="n">
        <f aca="false">C344+C354</f>
        <v>84.4288</v>
      </c>
      <c r="D355" s="20" t="n">
        <f aca="false">D344+D354</f>
        <v>197.18604</v>
      </c>
      <c r="E355" s="20" t="n">
        <f aca="false">E344+E354</f>
        <v>336.811188488715</v>
      </c>
      <c r="F355" s="20" t="n">
        <f aca="false">F344+F354</f>
        <v>382.449603659315</v>
      </c>
      <c r="G355" s="20" t="n">
        <f aca="false">G344+G354</f>
        <v>443.206671708275</v>
      </c>
      <c r="H355" s="4" t="s">
        <v>417</v>
      </c>
    </row>
    <row r="356" customFormat="false" ht="17.15" hidden="false" customHeight="false" outlineLevel="0" collapsed="false">
      <c r="A356" s="4" t="s">
        <v>418</v>
      </c>
      <c r="B356" s="0" t="s">
        <v>186</v>
      </c>
      <c r="C356" s="20" t="n">
        <f aca="false">C351-C354</f>
        <v>7.44959999999999</v>
      </c>
      <c r="D356" s="20" t="n">
        <f aca="false">D351-D354</f>
        <v>8.19455999999999</v>
      </c>
      <c r="E356" s="20" t="n">
        <f aca="false">E351-E354</f>
        <v>8.68623359999999</v>
      </c>
      <c r="F356" s="20" t="n">
        <f aca="false">F351-F354</f>
        <v>9.12054527999999</v>
      </c>
      <c r="G356" s="20" t="n">
        <f aca="false">G351-G354</f>
        <v>9.57657254399999</v>
      </c>
      <c r="H356" s="4" t="s">
        <v>419</v>
      </c>
    </row>
    <row r="357" customFormat="false" ht="17.15" hidden="false" customHeight="false" outlineLevel="0" collapsed="false">
      <c r="A357" s="4" t="s">
        <v>420</v>
      </c>
      <c r="B357" s="0" t="s">
        <v>186</v>
      </c>
      <c r="C357" s="16" t="n">
        <f aca="false">C355+C349+C356-a25_rev</f>
        <v>0</v>
      </c>
      <c r="D357" s="16" t="n">
        <f aca="false">D355+D349+D356-D352</f>
        <v>0</v>
      </c>
      <c r="E357" s="16" t="n">
        <f aca="false">E355+E349+E356-E352</f>
        <v>0</v>
      </c>
      <c r="F357" s="16" t="n">
        <f aca="false">F355+F349+F356-F352</f>
        <v>0</v>
      </c>
      <c r="G357" s="16" t="n">
        <f aca="false">G355+G349+G356-G352</f>
        <v>0</v>
      </c>
    </row>
    <row r="358" customFormat="false" ht="15" hidden="false" customHeight="false" outlineLevel="0" collapsed="false">
      <c r="A358" s="4" t="s">
        <v>421</v>
      </c>
      <c r="B358" s="0" t="s">
        <v>103</v>
      </c>
      <c r="D358" s="18" t="n">
        <f aca="false">D352/C352-1</f>
        <v>0.654160760309279</v>
      </c>
      <c r="E358" s="18" t="n">
        <f aca="false">E352/D352-1</f>
        <v>0.403615037371386</v>
      </c>
      <c r="F358" s="18" t="n">
        <f aca="false">F352/E352-1</f>
        <v>0.1333444406073</v>
      </c>
      <c r="G358" s="18" t="n">
        <f aca="false">G352/F352-1</f>
        <v>0.126682285591696</v>
      </c>
    </row>
    <row r="359" customFormat="false" ht="17.15" hidden="false" customHeight="false" outlineLevel="0" collapsed="false">
      <c r="A359" s="0" t="s">
        <v>422</v>
      </c>
      <c r="B359" s="0" t="s">
        <v>103</v>
      </c>
      <c r="C359" s="18" t="n">
        <f aca="false">(C344+C349)/C352</f>
        <v>0.834</v>
      </c>
      <c r="D359" s="18" t="n">
        <f aca="false">(D344+D349)/D352</f>
        <v>0.889611696528299</v>
      </c>
      <c r="E359" s="18" t="n">
        <f aca="false">(E344+E349)/E352</f>
        <v>0.91663554566989</v>
      </c>
      <c r="F359" s="18" t="n">
        <f aca="false">(F344+F349)/F352</f>
        <v>0.922766041893044</v>
      </c>
      <c r="G359" s="18" t="n">
        <f aca="false">(G344+G349)/G352</f>
        <v>0.928022604908787</v>
      </c>
    </row>
    <row r="360" customFormat="false" ht="17.15" hidden="false" customHeight="false" outlineLevel="0" collapsed="false">
      <c r="A360" s="4" t="s">
        <v>423</v>
      </c>
      <c r="B360" s="0" t="s">
        <v>103</v>
      </c>
      <c r="C360" s="18" t="n">
        <f aca="false">C349/C352</f>
        <v>0.63</v>
      </c>
      <c r="D360" s="18" t="n">
        <f aca="false">D349/D352</f>
        <v>0.5</v>
      </c>
      <c r="E360" s="18" t="n">
        <f aca="false">E349/E352</f>
        <v>0.400750907494849</v>
      </c>
      <c r="F360" s="18" t="n">
        <f aca="false">F349/F352</f>
        <v>0.400746979959705</v>
      </c>
      <c r="G360" s="18" t="n">
        <f aca="false">G349/G352</f>
        <v>0.384979579402177</v>
      </c>
    </row>
    <row r="361" customFormat="false" ht="17.15" hidden="false" customHeight="false" outlineLevel="0" collapsed="false">
      <c r="A361" s="6" t="s">
        <v>424</v>
      </c>
    </row>
    <row r="362" customFormat="false" ht="17.15" hidden="false" customHeight="false" outlineLevel="0" collapsed="false">
      <c r="A362" s="4" t="s">
        <v>425</v>
      </c>
      <c r="B362" s="0" t="s">
        <v>103</v>
      </c>
      <c r="D362" s="15" t="n">
        <f aca="false">a26_gp/a26_rev+d_nap*D360</f>
        <v>0.219589247962076</v>
      </c>
      <c r="H362" s="8" t="s">
        <v>426</v>
      </c>
    </row>
    <row r="363" customFormat="false" ht="15" hidden="false" customHeight="false" outlineLevel="0" collapsed="false">
      <c r="A363" s="4" t="s">
        <v>320</v>
      </c>
      <c r="B363" s="0" t="s">
        <v>186</v>
      </c>
      <c r="C363" s="20" t="n">
        <f aca="false">a25_gp</f>
        <v>44.921088</v>
      </c>
      <c r="D363" s="20" t="n">
        <f aca="false">a26_gp</f>
        <v>77.875907</v>
      </c>
      <c r="E363" s="20" t="n">
        <f aca="false">$D$362*(E344+E351)+($D$362-d_nap)*E349</f>
        <v>112.741121526797</v>
      </c>
      <c r="F363" s="20" t="n">
        <f aca="false">$D$362*(F344+F351)+($D$362-d_nap)*F349</f>
        <v>127.774677292482</v>
      </c>
      <c r="G363" s="20" t="n">
        <f aca="false">$D$362*(G344+G351)+($D$362-d_nap)*G349</f>
        <v>144.657951085186</v>
      </c>
    </row>
    <row r="364" customFormat="false" ht="15" hidden="false" customHeight="false" outlineLevel="0" collapsed="false">
      <c r="A364" s="4" t="s">
        <v>322</v>
      </c>
      <c r="B364" s="0" t="s">
        <v>103</v>
      </c>
      <c r="C364" s="15" t="n">
        <f aca="false">C363/C352</f>
        <v>0.1809</v>
      </c>
      <c r="D364" s="15" t="n">
        <f aca="false">D363/D352</f>
        <v>0.189589247962076</v>
      </c>
      <c r="E364" s="15" t="n">
        <f aca="false">E363/E352</f>
        <v>0.195544193512385</v>
      </c>
      <c r="F364" s="15" t="n">
        <f aca="false">F363/F352</f>
        <v>0.195544429164494</v>
      </c>
      <c r="G364" s="15" t="n">
        <f aca="false">G363/G352</f>
        <v>0.196490473197946</v>
      </c>
    </row>
    <row r="365" customFormat="false" ht="15" hidden="false" customHeight="false" outlineLevel="0" collapsed="false">
      <c r="A365" s="4" t="s">
        <v>427</v>
      </c>
      <c r="B365" s="0" t="s">
        <v>186</v>
      </c>
      <c r="C365" s="20" t="n">
        <f aca="false">a25_opx</f>
        <v>12.78848</v>
      </c>
      <c r="D365" s="20" t="n">
        <f aca="false">a26_opx</f>
        <v>17.956088</v>
      </c>
      <c r="E365" s="20" t="n">
        <f aca="false">D365*(1+MAX(0,phi*E358))</f>
        <v>22.3044962774983</v>
      </c>
      <c r="F365" s="20" t="n">
        <f aca="false">E365*(1+MAX(0,phi*F358))</f>
        <v>24.0890046249887</v>
      </c>
      <c r="G365" s="20" t="n">
        <f aca="false">F365*(1+MAX(0,phi*G358))</f>
        <v>25.9199947231022</v>
      </c>
    </row>
    <row r="366" customFormat="false" ht="15" hidden="false" customHeight="false" outlineLevel="0" collapsed="false">
      <c r="A366" s="4" t="s">
        <v>324</v>
      </c>
      <c r="B366" s="0" t="s">
        <v>186</v>
      </c>
      <c r="C366" s="20" t="n">
        <f aca="false">C365</f>
        <v>12.78848</v>
      </c>
      <c r="D366" s="20" t="n">
        <f aca="false">D365</f>
        <v>17.956088</v>
      </c>
      <c r="E366" s="20" t="n">
        <f aca="false">E365+0*E352</f>
        <v>22.3044962774983</v>
      </c>
      <c r="F366" s="20" t="n">
        <f aca="false">F365+0*F352</f>
        <v>24.0890046249887</v>
      </c>
      <c r="G366" s="20" t="n">
        <f aca="false">G365+0*G352</f>
        <v>25.9199947231022</v>
      </c>
    </row>
    <row r="367" customFormat="false" ht="15" hidden="false" customHeight="false" outlineLevel="0" collapsed="false">
      <c r="A367" s="4" t="s">
        <v>326</v>
      </c>
      <c r="B367" s="0" t="s">
        <v>186</v>
      </c>
      <c r="C367" s="20" t="n">
        <f aca="false">C363-C366</f>
        <v>32.132608</v>
      </c>
      <c r="D367" s="20" t="n">
        <f aca="false">D363-D366</f>
        <v>59.919819</v>
      </c>
      <c r="E367" s="20" t="n">
        <f aca="false">E363-E366</f>
        <v>90.4366252492987</v>
      </c>
      <c r="F367" s="20" t="n">
        <f aca="false">F363-F366</f>
        <v>103.685672667494</v>
      </c>
      <c r="G367" s="20" t="n">
        <f aca="false">G363-G366</f>
        <v>118.737956362084</v>
      </c>
    </row>
    <row r="368" customFormat="false" ht="15" hidden="false" customHeight="false" outlineLevel="0" collapsed="false">
      <c r="A368" s="4" t="s">
        <v>328</v>
      </c>
      <c r="B368" s="0" t="s">
        <v>103</v>
      </c>
      <c r="C368" s="15" t="n">
        <f aca="false">C367/C352</f>
        <v>0.1294</v>
      </c>
      <c r="D368" s="15" t="n">
        <f aca="false">D367/D352</f>
        <v>0.145875070478906</v>
      </c>
      <c r="E368" s="15" t="n">
        <f aca="false">E367/E352</f>
        <v>0.15685808965589</v>
      </c>
      <c r="F368" s="15" t="n">
        <f aca="false">F367/F352</f>
        <v>0.158678981656833</v>
      </c>
      <c r="G368" s="15" t="n">
        <f aca="false">G367/G352</f>
        <v>0.161283061574706</v>
      </c>
    </row>
    <row r="369" customFormat="false" ht="17.15" hidden="false" customHeight="false" outlineLevel="0" collapsed="false">
      <c r="A369" s="4" t="s">
        <v>224</v>
      </c>
      <c r="B369" s="0" t="s">
        <v>76</v>
      </c>
      <c r="C369" s="16" t="n">
        <f aca="false">a25_ni/a25_oi</f>
        <v>0.819790289042209</v>
      </c>
      <c r="D369" s="16" t="n">
        <f aca="false">a26_ni/a26_oi</f>
        <v>0.798164213413262</v>
      </c>
      <c r="E369" s="16" t="n">
        <f aca="false">nio_f</f>
        <v>0.8</v>
      </c>
      <c r="F369" s="16" t="n">
        <f aca="false">nio_f</f>
        <v>0.8</v>
      </c>
      <c r="G369" s="16" t="n">
        <f aca="false">nio_f</f>
        <v>0.8</v>
      </c>
    </row>
    <row r="370" customFormat="false" ht="15" hidden="false" customHeight="false" outlineLevel="0" collapsed="false">
      <c r="A370" s="4" t="s">
        <v>329</v>
      </c>
      <c r="B370" s="0" t="s">
        <v>186</v>
      </c>
      <c r="C370" s="20" t="n">
        <f aca="false">a25_ni</f>
        <v>26.342</v>
      </c>
      <c r="D370" s="20" t="n">
        <f aca="false">a26_ni</f>
        <v>47.8258552</v>
      </c>
      <c r="E370" s="20" t="n">
        <f aca="false">E367*E369</f>
        <v>72.349300199439</v>
      </c>
      <c r="F370" s="20" t="n">
        <f aca="false">F367*F369</f>
        <v>82.9485381339949</v>
      </c>
      <c r="G370" s="20" t="n">
        <f aca="false">G367*G369</f>
        <v>94.9903650896672</v>
      </c>
    </row>
    <row r="371" customFormat="false" ht="15" hidden="false" customHeight="false" outlineLevel="0" collapsed="false">
      <c r="A371" s="4" t="s">
        <v>428</v>
      </c>
      <c r="B371" s="4" t="s">
        <v>211</v>
      </c>
      <c r="C371" s="17" t="n">
        <f aca="false">a25_sh</f>
        <v>0.558922130277955</v>
      </c>
      <c r="D371" s="17" t="n">
        <f aca="false">a26_sh</f>
        <v>0.558904899135447</v>
      </c>
      <c r="E371" s="17" t="n">
        <f aca="false">D371*(1+sh_g27)</f>
        <v>0.568853406340058</v>
      </c>
      <c r="F371" s="17" t="n">
        <f aca="false">E371*(1+sh_g)</f>
        <v>0.568853406340058</v>
      </c>
      <c r="G371" s="17" t="n">
        <f aca="false">F371*(1+sh_g)</f>
        <v>0.568853406340058</v>
      </c>
    </row>
    <row r="372" customFormat="false" ht="15" hidden="false" customHeight="false" outlineLevel="0" collapsed="false">
      <c r="A372" s="0" t="s">
        <v>334</v>
      </c>
      <c r="B372" s="0" t="s">
        <v>244</v>
      </c>
      <c r="C372" s="14" t="n">
        <f aca="false">C370/C371</f>
        <v>47.13</v>
      </c>
      <c r="D372" s="14" t="n">
        <f aca="false">D370/D371</f>
        <v>85.5706494503455</v>
      </c>
      <c r="E372" s="14" t="n">
        <f aca="false">E370/E371</f>
        <v>127.184436962286</v>
      </c>
      <c r="F372" s="14" t="n">
        <f aca="false">F370/F371</f>
        <v>145.81707204265</v>
      </c>
      <c r="G372" s="14" t="n">
        <f aca="false">G370/G371</f>
        <v>166.985666308698</v>
      </c>
    </row>
    <row r="373" customFormat="false" ht="17.15" hidden="false" customHeight="false" outlineLevel="0" collapsed="false">
      <c r="A373" s="0" t="s">
        <v>429</v>
      </c>
      <c r="B373" s="0" t="s">
        <v>103</v>
      </c>
      <c r="D373" s="18" t="n">
        <f aca="false">D372/C372-1</f>
        <v>0.815630160202535</v>
      </c>
      <c r="E373" s="18" t="n">
        <f aca="false">E372/D372-1</f>
        <v>0.486309123271156</v>
      </c>
      <c r="F373" s="18" t="n">
        <f aca="false">F372/E372-1</f>
        <v>0.146500904712802</v>
      </c>
      <c r="G373" s="18" t="n">
        <f aca="false">G372/F372-1</f>
        <v>0.145172262544519</v>
      </c>
    </row>
    <row r="376" customFormat="false" ht="17.15" hidden="false" customHeight="false" outlineLevel="0" collapsed="false">
      <c r="A376" s="1" t="s">
        <v>732</v>
      </c>
    </row>
    <row r="377" customFormat="false" ht="17.15" hidden="false" customHeight="false" outlineLevel="0" collapsed="false">
      <c r="A377" s="5" t="s">
        <v>21</v>
      </c>
      <c r="B377" s="5" t="s">
        <v>22</v>
      </c>
      <c r="C377" s="12" t="s">
        <v>309</v>
      </c>
      <c r="D377" s="12" t="s">
        <v>371</v>
      </c>
      <c r="E377" s="12" t="s">
        <v>372</v>
      </c>
      <c r="F377" s="12" t="s">
        <v>373</v>
      </c>
      <c r="G377" s="12" t="s">
        <v>374</v>
      </c>
      <c r="H377" s="5" t="s">
        <v>350</v>
      </c>
    </row>
    <row r="378" customFormat="false" ht="17.15" hidden="false" customHeight="false" outlineLevel="0" collapsed="false">
      <c r="A378" s="6" t="s">
        <v>389</v>
      </c>
    </row>
    <row r="379" customFormat="false" ht="17.15" hidden="false" customHeight="false" outlineLevel="0" collapsed="false">
      <c r="A379" s="4" t="s">
        <v>390</v>
      </c>
      <c r="B379" s="0" t="s">
        <v>186</v>
      </c>
      <c r="C379" s="20" t="n">
        <f aca="false">a25_rev*nap25s</f>
        <v>156.4416</v>
      </c>
      <c r="D379" s="20" t="n">
        <f aca="false">a26_rev*ns26</f>
        <v>205.3806</v>
      </c>
    </row>
    <row r="380" customFormat="false" ht="17.15" hidden="false" customHeight="false" outlineLevel="0" collapsed="false">
      <c r="A380" s="4" t="s">
        <v>391</v>
      </c>
      <c r="B380" s="0" t="s">
        <v>186</v>
      </c>
      <c r="C380" s="20" t="n">
        <f aca="false">a25_rev*(1-nap25s-sw25s*af25)</f>
        <v>41.22112</v>
      </c>
      <c r="D380" s="20" t="n">
        <f aca="false">C380*(1+g_nai26)</f>
        <v>45.343232</v>
      </c>
    </row>
    <row r="381" customFormat="false" ht="17.15" hidden="false" customHeight="false" outlineLevel="0" collapsed="false">
      <c r="A381" s="0" t="s">
        <v>392</v>
      </c>
      <c r="B381" s="0" t="s">
        <v>186</v>
      </c>
      <c r="C381" s="20" t="n">
        <f aca="false">a25_rev*sw25s*af25</f>
        <v>50.65728</v>
      </c>
      <c r="D381" s="20" t="n">
        <f aca="false">a26_rev-D379-D380</f>
        <v>160.037368</v>
      </c>
      <c r="H381" s="8" t="s">
        <v>393</v>
      </c>
    </row>
    <row r="382" customFormat="false" ht="17.15" hidden="false" customHeight="false" outlineLevel="0" collapsed="false">
      <c r="A382" s="6" t="s">
        <v>394</v>
      </c>
    </row>
    <row r="383" customFormat="false" ht="17.15" hidden="false" customHeight="false" outlineLevel="0" collapsed="false">
      <c r="A383" s="0" t="s">
        <v>395</v>
      </c>
      <c r="B383" s="0" t="s">
        <v>32</v>
      </c>
      <c r="D383" s="14" t="n">
        <f aca="false">mkt_26*1</f>
        <v>32.0719</v>
      </c>
      <c r="E383" s="14" t="n">
        <f aca="false">mkt_27*1*mf_hi</f>
        <v>73.302</v>
      </c>
      <c r="F383" s="14" t="n">
        <f aca="false">mkt_28*um28_A*mf_hi</f>
        <v>82.806</v>
      </c>
      <c r="G383" s="14" t="n">
        <f aca="false">mkt_29*um29_A*mf_hi</f>
        <v>94.17858</v>
      </c>
    </row>
    <row r="384" customFormat="false" ht="15" hidden="false" customHeight="false" outlineLevel="0" collapsed="false">
      <c r="A384" s="4" t="s">
        <v>396</v>
      </c>
      <c r="B384" s="0" t="s">
        <v>103</v>
      </c>
      <c r="D384" s="18" t="n">
        <f aca="false">eth_26</f>
        <v>0.75</v>
      </c>
      <c r="E384" s="18" t="n">
        <f aca="false">eth_27</f>
        <v>0.8</v>
      </c>
      <c r="F384" s="18" t="n">
        <f aca="false">eth_28</f>
        <v>0.83</v>
      </c>
      <c r="G384" s="18" t="n">
        <f aca="false">eth_29</f>
        <v>0.85</v>
      </c>
    </row>
    <row r="385" customFormat="false" ht="17.15" hidden="false" customHeight="false" outlineLevel="0" collapsed="false">
      <c r="A385" s="4" t="s">
        <v>397</v>
      </c>
      <c r="B385" s="0" t="s">
        <v>32</v>
      </c>
      <c r="D385" s="14" t="n">
        <f aca="false">su_26*1</f>
        <v>3.015</v>
      </c>
      <c r="E385" s="14" t="n">
        <f aca="false">su_27*1*mf_hi</f>
        <v>13.60968</v>
      </c>
      <c r="F385" s="14" t="n">
        <f aca="false">su_28*um28_A*mf_hi</f>
        <v>16.67424</v>
      </c>
      <c r="G385" s="14" t="n">
        <f aca="false">su_29*um29_A*mf_hi</f>
        <v>19.175376</v>
      </c>
    </row>
    <row r="386" customFormat="false" ht="17.15" hidden="false" customHeight="false" outlineLevel="0" collapsed="false">
      <c r="A386" s="0" t="s">
        <v>398</v>
      </c>
      <c r="B386" s="0" t="s">
        <v>32</v>
      </c>
      <c r="D386" s="14" t="n">
        <f aca="false">D383*D384+D385</f>
        <v>27.068925</v>
      </c>
      <c r="E386" s="14" t="n">
        <f aca="false">E383*E384+E385</f>
        <v>72.25128</v>
      </c>
      <c r="F386" s="14" t="n">
        <f aca="false">F383*F384+F385</f>
        <v>85.40322</v>
      </c>
      <c r="G386" s="14" t="n">
        <f aca="false">G383*G384+G385</f>
        <v>99.227169</v>
      </c>
    </row>
    <row r="387" customFormat="false" ht="15" hidden="false" customHeight="false" outlineLevel="0" collapsed="false">
      <c r="A387" s="4" t="s">
        <v>355</v>
      </c>
      <c r="B387" s="0" t="s">
        <v>103</v>
      </c>
      <c r="D387" s="18" t="n">
        <f aca="false">wb_26</f>
        <v>0.45</v>
      </c>
      <c r="E387" s="18" t="n">
        <f aca="false">wb_27</f>
        <v>0.47</v>
      </c>
      <c r="F387" s="18" t="n">
        <f aca="false">wb_28</f>
        <v>0.48</v>
      </c>
      <c r="G387" s="18" t="n">
        <f aca="false">wb_29</f>
        <v>0.5</v>
      </c>
    </row>
    <row r="388" customFormat="false" ht="17.15" hidden="false" customHeight="false" outlineLevel="0" collapsed="false">
      <c r="A388" s="4" t="s">
        <v>357</v>
      </c>
      <c r="B388" s="0" t="s">
        <v>32</v>
      </c>
      <c r="D388" s="14" t="n">
        <f aca="false">D386*D387</f>
        <v>12.18101625</v>
      </c>
      <c r="E388" s="14" t="n">
        <f aca="false">E386*E387</f>
        <v>33.9581016</v>
      </c>
      <c r="F388" s="14" t="n">
        <f aca="false">F386*F387</f>
        <v>40.9935456</v>
      </c>
      <c r="G388" s="14" t="n">
        <f aca="false">G386*G387</f>
        <v>49.6135845</v>
      </c>
    </row>
    <row r="389" customFormat="false" ht="17.15" hidden="false" customHeight="false" outlineLevel="0" collapsed="false">
      <c r="A389" s="4" t="s">
        <v>399</v>
      </c>
      <c r="B389" s="0" t="s">
        <v>103</v>
      </c>
      <c r="D389" s="18" t="n">
        <f aca="false">D381/fx/D388</f>
        <v>0.410570649226414</v>
      </c>
      <c r="H389" s="8" t="s">
        <v>400</v>
      </c>
    </row>
    <row r="390" customFormat="false" ht="17.15" hidden="false" customHeight="false" outlineLevel="0" collapsed="false">
      <c r="A390" s="4" t="s">
        <v>401</v>
      </c>
      <c r="B390" s="0" t="s">
        <v>76</v>
      </c>
      <c r="D390" s="19" t="n">
        <f aca="false">1</f>
        <v>1</v>
      </c>
      <c r="E390" s="19" t="n">
        <f aca="false">rel_27</f>
        <v>1</v>
      </c>
      <c r="F390" s="19" t="n">
        <f aca="false">rel_28</f>
        <v>0.95</v>
      </c>
      <c r="G390" s="19" t="n">
        <f aca="false">rel_29</f>
        <v>0.92</v>
      </c>
    </row>
    <row r="391" customFormat="false" ht="15" hidden="false" customHeight="false" outlineLevel="0" collapsed="false">
      <c r="A391" s="4" t="s">
        <v>402</v>
      </c>
      <c r="B391" s="0" t="s">
        <v>103</v>
      </c>
      <c r="D391" s="18" t="n">
        <f aca="false">$D$389*D390</f>
        <v>0.410570649226414</v>
      </c>
      <c r="E391" s="18" t="n">
        <f aca="false">$D$389*E390</f>
        <v>0.410570649226414</v>
      </c>
      <c r="F391" s="18" t="n">
        <f aca="false">$D$389*F390</f>
        <v>0.390042116765093</v>
      </c>
      <c r="G391" s="18" t="n">
        <f aca="false">$D$389*G390</f>
        <v>0.377724997288301</v>
      </c>
    </row>
    <row r="392" customFormat="false" ht="17.15" hidden="false" customHeight="false" outlineLevel="0" collapsed="false">
      <c r="A392" s="0" t="s">
        <v>403</v>
      </c>
      <c r="B392" s="0" t="s">
        <v>186</v>
      </c>
      <c r="C392" s="20" t="n">
        <f aca="false">C381</f>
        <v>50.65728</v>
      </c>
      <c r="D392" s="20" t="n">
        <f aca="false">D388*D391*fx</f>
        <v>160.037368</v>
      </c>
      <c r="E392" s="20" t="n">
        <f aca="false">E388*E391*fx</f>
        <v>446.150394253073</v>
      </c>
      <c r="F392" s="20" t="n">
        <f aca="false">F388*F391*fx</f>
        <v>511.654697584972</v>
      </c>
      <c r="G392" s="20" t="n">
        <f aca="false">G388*G391*fx</f>
        <v>599.689314263213</v>
      </c>
    </row>
    <row r="393" customFormat="false" ht="17.15" hidden="false" customHeight="false" outlineLevel="0" collapsed="false">
      <c r="A393" s="6" t="s">
        <v>404</v>
      </c>
    </row>
    <row r="394" customFormat="false" ht="17.15" hidden="false" customHeight="false" outlineLevel="0" collapsed="false">
      <c r="A394" s="0" t="s">
        <v>405</v>
      </c>
      <c r="B394" s="4" t="s">
        <v>55</v>
      </c>
      <c r="D394" s="19" t="n">
        <f aca="false">trn_26*1</f>
        <v>2</v>
      </c>
      <c r="E394" s="19" t="n">
        <f aca="false">trn_27*1*1</f>
        <v>2.5</v>
      </c>
      <c r="F394" s="19" t="n">
        <f aca="false">trn_28*um28_A*1</f>
        <v>3</v>
      </c>
      <c r="G394" s="19" t="n">
        <f aca="false">trn_29*um29_A*1</f>
        <v>3.45</v>
      </c>
    </row>
    <row r="395" customFormat="false" ht="17.15" hidden="false" customHeight="false" outlineLevel="0" collapsed="false">
      <c r="A395" s="4" t="s">
        <v>406</v>
      </c>
      <c r="B395" s="4" t="s">
        <v>407</v>
      </c>
      <c r="D395" s="20" t="n">
        <f aca="false">D379/D394</f>
        <v>102.6903</v>
      </c>
      <c r="H395" s="8" t="s">
        <v>408</v>
      </c>
    </row>
    <row r="396" customFormat="false" ht="17.15" hidden="false" customHeight="false" outlineLevel="0" collapsed="false">
      <c r="A396" s="4" t="s">
        <v>409</v>
      </c>
      <c r="B396" s="0" t="s">
        <v>76</v>
      </c>
      <c r="D396" s="19" t="n">
        <f aca="false">1</f>
        <v>1</v>
      </c>
      <c r="E396" s="19" t="n">
        <f aca="false">nrel_27</f>
        <v>0.9</v>
      </c>
      <c r="F396" s="19" t="n">
        <f aca="false">nrel_28</f>
        <v>0.85</v>
      </c>
      <c r="G396" s="19" t="n">
        <f aca="false">nrel_29</f>
        <v>0.8</v>
      </c>
    </row>
    <row r="397" customFormat="false" ht="15" hidden="false" customHeight="false" outlineLevel="0" collapsed="false">
      <c r="A397" s="4" t="s">
        <v>410</v>
      </c>
      <c r="B397" s="0" t="s">
        <v>186</v>
      </c>
      <c r="C397" s="20" t="n">
        <f aca="false">C379</f>
        <v>156.4416</v>
      </c>
      <c r="D397" s="20" t="n">
        <f aca="false">D394*$D$395*D396</f>
        <v>205.3806</v>
      </c>
      <c r="E397" s="20" t="n">
        <f aca="false">E394*$D$395*E396</f>
        <v>231.053175</v>
      </c>
      <c r="F397" s="20" t="n">
        <f aca="false">F394*$D$395*F396</f>
        <v>261.860265</v>
      </c>
      <c r="G397" s="20" t="n">
        <f aca="false">G394*$D$395*G396</f>
        <v>283.425228</v>
      </c>
    </row>
    <row r="398" customFormat="false" ht="17.15" hidden="false" customHeight="false" outlineLevel="0" collapsed="false">
      <c r="A398" s="6" t="s">
        <v>411</v>
      </c>
    </row>
    <row r="399" customFormat="false" ht="17.15" hidden="false" customHeight="false" outlineLevel="0" collapsed="false">
      <c r="A399" s="4" t="s">
        <v>412</v>
      </c>
      <c r="B399" s="0" t="s">
        <v>186</v>
      </c>
      <c r="C399" s="20" t="n">
        <f aca="false">C380</f>
        <v>41.22112</v>
      </c>
      <c r="D399" s="20" t="n">
        <f aca="false">D380</f>
        <v>45.343232</v>
      </c>
      <c r="E399" s="20" t="n">
        <f aca="false">D399*(1+g_nai27)</f>
        <v>48.06382592</v>
      </c>
      <c r="F399" s="20" t="n">
        <f aca="false">E399*(1+g_nai28)</f>
        <v>50.467017216</v>
      </c>
      <c r="G399" s="20" t="n">
        <f aca="false">F399*(1+g_nai29)</f>
        <v>52.9903680768</v>
      </c>
    </row>
    <row r="400" customFormat="false" ht="15" hidden="false" customHeight="false" outlineLevel="0" collapsed="false">
      <c r="A400" s="4" t="s">
        <v>316</v>
      </c>
      <c r="B400" s="0" t="s">
        <v>186</v>
      </c>
      <c r="C400" s="20" t="n">
        <f aca="false">C392+C397+C399</f>
        <v>248.32</v>
      </c>
      <c r="D400" s="20" t="n">
        <f aca="false">D392+D397+D399</f>
        <v>410.7612</v>
      </c>
      <c r="E400" s="20" t="n">
        <f aca="false">E392+E397+E399</f>
        <v>725.267395173073</v>
      </c>
      <c r="F400" s="20" t="n">
        <f aca="false">F392+F397+F399</f>
        <v>823.981979800972</v>
      </c>
      <c r="G400" s="20" t="n">
        <f aca="false">G392+G397+G399</f>
        <v>936.104910340013</v>
      </c>
    </row>
    <row r="401" customFormat="false" ht="17.15" hidden="false" customHeight="false" outlineLevel="0" collapsed="false">
      <c r="A401" s="4" t="s">
        <v>413</v>
      </c>
      <c r="B401" s="0" t="s">
        <v>103</v>
      </c>
      <c r="C401" s="18" t="n">
        <f aca="false">sw25s*(1-af25)/(1-nap25s-sw25s*af25)</f>
        <v>0.819277108433735</v>
      </c>
      <c r="H401" s="8" t="s">
        <v>414</v>
      </c>
    </row>
    <row r="402" customFormat="false" ht="17.15" hidden="false" customHeight="false" outlineLevel="0" collapsed="false">
      <c r="A402" s="4" t="s">
        <v>415</v>
      </c>
      <c r="B402" s="0" t="s">
        <v>186</v>
      </c>
      <c r="C402" s="20" t="n">
        <f aca="false">C399*$C$401</f>
        <v>33.77152</v>
      </c>
      <c r="D402" s="20" t="n">
        <f aca="false">D399*$C$401</f>
        <v>37.148672</v>
      </c>
      <c r="E402" s="20" t="n">
        <f aca="false">E399*$C$401</f>
        <v>39.37759232</v>
      </c>
      <c r="F402" s="20" t="n">
        <f aca="false">F399*$C$401</f>
        <v>41.346471936</v>
      </c>
      <c r="G402" s="20" t="n">
        <f aca="false">G399*$C$401</f>
        <v>43.4137955328</v>
      </c>
    </row>
    <row r="403" customFormat="false" ht="17.15" hidden="false" customHeight="false" outlineLevel="0" collapsed="false">
      <c r="A403" s="4" t="s">
        <v>416</v>
      </c>
      <c r="B403" s="0" t="s">
        <v>186</v>
      </c>
      <c r="C403" s="20" t="n">
        <f aca="false">C392+C402</f>
        <v>84.4288</v>
      </c>
      <c r="D403" s="20" t="n">
        <f aca="false">D392+D402</f>
        <v>197.18604</v>
      </c>
      <c r="E403" s="20" t="n">
        <f aca="false">E392+E402</f>
        <v>485.527986573073</v>
      </c>
      <c r="F403" s="20" t="n">
        <f aca="false">F392+F402</f>
        <v>553.001169520972</v>
      </c>
      <c r="G403" s="20" t="n">
        <f aca="false">G392+G402</f>
        <v>643.103109796013</v>
      </c>
      <c r="H403" s="4" t="s">
        <v>417</v>
      </c>
    </row>
    <row r="404" customFormat="false" ht="17.15" hidden="false" customHeight="false" outlineLevel="0" collapsed="false">
      <c r="A404" s="4" t="s">
        <v>418</v>
      </c>
      <c r="B404" s="0" t="s">
        <v>186</v>
      </c>
      <c r="C404" s="20" t="n">
        <f aca="false">C399-C402</f>
        <v>7.44959999999999</v>
      </c>
      <c r="D404" s="20" t="n">
        <f aca="false">D399-D402</f>
        <v>8.19455999999999</v>
      </c>
      <c r="E404" s="20" t="n">
        <f aca="false">E399-E402</f>
        <v>8.68623359999999</v>
      </c>
      <c r="F404" s="20" t="n">
        <f aca="false">F399-F402</f>
        <v>9.12054527999999</v>
      </c>
      <c r="G404" s="20" t="n">
        <f aca="false">G399-G402</f>
        <v>9.57657254399999</v>
      </c>
      <c r="H404" s="4" t="s">
        <v>419</v>
      </c>
    </row>
    <row r="405" customFormat="false" ht="17.15" hidden="false" customHeight="false" outlineLevel="0" collapsed="false">
      <c r="A405" s="4" t="s">
        <v>420</v>
      </c>
      <c r="B405" s="0" t="s">
        <v>186</v>
      </c>
      <c r="C405" s="16" t="n">
        <f aca="false">C403+C397+C404-a25_rev</f>
        <v>0</v>
      </c>
      <c r="D405" s="16" t="n">
        <f aca="false">D403+D397+D404-D400</f>
        <v>0</v>
      </c>
      <c r="E405" s="16" t="n">
        <f aca="false">E403+E397+E404-E400</f>
        <v>0</v>
      </c>
      <c r="F405" s="16" t="n">
        <f aca="false">F403+F397+F404-F400</f>
        <v>0</v>
      </c>
      <c r="G405" s="16" t="n">
        <f aca="false">G403+G397+G404-G400</f>
        <v>0</v>
      </c>
    </row>
    <row r="406" customFormat="false" ht="15" hidden="false" customHeight="false" outlineLevel="0" collapsed="false">
      <c r="A406" s="4" t="s">
        <v>421</v>
      </c>
      <c r="B406" s="0" t="s">
        <v>103</v>
      </c>
      <c r="D406" s="18" t="n">
        <f aca="false">D400/C400-1</f>
        <v>0.654160760309279</v>
      </c>
      <c r="E406" s="18" t="n">
        <f aca="false">E400/D400-1</f>
        <v>0.765666755217077</v>
      </c>
      <c r="F406" s="18" t="n">
        <f aca="false">F400/E400-1</f>
        <v>0.136107848339636</v>
      </c>
      <c r="G406" s="18" t="n">
        <f aca="false">G400/F400-1</f>
        <v>0.136074493481184</v>
      </c>
    </row>
    <row r="407" customFormat="false" ht="17.15" hidden="false" customHeight="false" outlineLevel="0" collapsed="false">
      <c r="A407" s="0" t="s">
        <v>422</v>
      </c>
      <c r="B407" s="0" t="s">
        <v>103</v>
      </c>
      <c r="C407" s="18" t="n">
        <f aca="false">(C392+C397)/C400</f>
        <v>0.834</v>
      </c>
      <c r="D407" s="18" t="n">
        <f aca="false">(D392+D397)/D400</f>
        <v>0.889611696528299</v>
      </c>
      <c r="E407" s="18" t="n">
        <f aca="false">(E392+E397)/E400</f>
        <v>0.93372950964033</v>
      </c>
      <c r="F407" s="18" t="n">
        <f aca="false">(F392+F397)/F400</f>
        <v>0.938752280446485</v>
      </c>
      <c r="G407" s="18" t="n">
        <f aca="false">(G392+G397)/G400</f>
        <v>0.943392703647337</v>
      </c>
    </row>
    <row r="408" customFormat="false" ht="17.15" hidden="false" customHeight="false" outlineLevel="0" collapsed="false">
      <c r="A408" s="4" t="s">
        <v>423</v>
      </c>
      <c r="B408" s="0" t="s">
        <v>103</v>
      </c>
      <c r="C408" s="18" t="n">
        <f aca="false">C397/C400</f>
        <v>0.63</v>
      </c>
      <c r="D408" s="18" t="n">
        <f aca="false">D397/D400</f>
        <v>0.5</v>
      </c>
      <c r="E408" s="18" t="n">
        <f aca="false">E397/E400</f>
        <v>0.318576536788701</v>
      </c>
      <c r="F408" s="18" t="n">
        <f aca="false">F397/F400</f>
        <v>0.317798533729161</v>
      </c>
      <c r="G408" s="18" t="n">
        <f aca="false">G397/G400</f>
        <v>0.302770795099295</v>
      </c>
    </row>
    <row r="409" customFormat="false" ht="17.15" hidden="false" customHeight="false" outlineLevel="0" collapsed="false">
      <c r="A409" s="6" t="s">
        <v>424</v>
      </c>
    </row>
    <row r="410" customFormat="false" ht="17.15" hidden="false" customHeight="false" outlineLevel="0" collapsed="false">
      <c r="A410" s="4" t="s">
        <v>425</v>
      </c>
      <c r="B410" s="0" t="s">
        <v>103</v>
      </c>
      <c r="D410" s="15" t="n">
        <f aca="false">a26_gp/a26_rev+d_nap*D408</f>
        <v>0.219589247962076</v>
      </c>
      <c r="H410" s="8" t="s">
        <v>426</v>
      </c>
    </row>
    <row r="411" customFormat="false" ht="15" hidden="false" customHeight="false" outlineLevel="0" collapsed="false">
      <c r="A411" s="4" t="s">
        <v>320</v>
      </c>
      <c r="B411" s="0" t="s">
        <v>186</v>
      </c>
      <c r="C411" s="20" t="n">
        <f aca="false">a25_gp</f>
        <v>44.921088</v>
      </c>
      <c r="D411" s="20" t="n">
        <f aca="false">a26_gp</f>
        <v>77.875907</v>
      </c>
      <c r="E411" s="20" t="n">
        <f aca="false">$D$410*(E392+E399)+($D$410-d_nap)*E397</f>
        <v>145.397731377469</v>
      </c>
      <c r="F411" s="20" t="n">
        <f aca="false">$D$410*(F392+F399)+($D$410-d_nap)*F397</f>
        <v>165.225967378798</v>
      </c>
      <c r="G411" s="20" t="n">
        <f aca="false">$D$410*(G392+G399)+($D$410-d_nap)*G397</f>
        <v>188.55305959517</v>
      </c>
    </row>
    <row r="412" customFormat="false" ht="15" hidden="false" customHeight="false" outlineLevel="0" collapsed="false">
      <c r="A412" s="4" t="s">
        <v>322</v>
      </c>
      <c r="B412" s="0" t="s">
        <v>103</v>
      </c>
      <c r="C412" s="15" t="n">
        <f aca="false">C411/C400</f>
        <v>0.1809</v>
      </c>
      <c r="D412" s="15" t="n">
        <f aca="false">D411/D400</f>
        <v>0.189589247962076</v>
      </c>
      <c r="E412" s="15" t="n">
        <f aca="false">E411/E400</f>
        <v>0.200474655754754</v>
      </c>
      <c r="F412" s="15" t="n">
        <f aca="false">F411/F400</f>
        <v>0.200521335938327</v>
      </c>
      <c r="G412" s="15" t="n">
        <f aca="false">G411/G400</f>
        <v>0.201423000256119</v>
      </c>
    </row>
    <row r="413" customFormat="false" ht="15" hidden="false" customHeight="false" outlineLevel="0" collapsed="false">
      <c r="A413" s="4" t="s">
        <v>427</v>
      </c>
      <c r="B413" s="0" t="s">
        <v>186</v>
      </c>
      <c r="C413" s="20" t="n">
        <f aca="false">a25_opx</f>
        <v>12.78848</v>
      </c>
      <c r="D413" s="20" t="n">
        <f aca="false">a26_opx</f>
        <v>17.956088</v>
      </c>
      <c r="E413" s="20" t="n">
        <f aca="false">D413*(1+MAX(0,phi*E406))</f>
        <v>26.2051157812114</v>
      </c>
      <c r="F413" s="20" t="n">
        <f aca="false">E413*(1+MAX(0,phi*F406))</f>
        <v>28.3451489358944</v>
      </c>
      <c r="G413" s="20" t="n">
        <f aca="false">F413*(1+MAX(0,phi*G406))</f>
        <v>30.6593800063547</v>
      </c>
    </row>
    <row r="414" customFormat="false" ht="15" hidden="false" customHeight="false" outlineLevel="0" collapsed="false">
      <c r="A414" s="4" t="s">
        <v>324</v>
      </c>
      <c r="B414" s="0" t="s">
        <v>186</v>
      </c>
      <c r="C414" s="20" t="n">
        <f aca="false">C413</f>
        <v>12.78848</v>
      </c>
      <c r="D414" s="20" t="n">
        <f aca="false">D413</f>
        <v>17.956088</v>
      </c>
      <c r="E414" s="20" t="n">
        <f aca="false">E413+0*E400</f>
        <v>26.2051157812114</v>
      </c>
      <c r="F414" s="20" t="n">
        <f aca="false">F413+0*F400</f>
        <v>28.3451489358944</v>
      </c>
      <c r="G414" s="20" t="n">
        <f aca="false">G413+0*G400</f>
        <v>30.6593800063547</v>
      </c>
    </row>
    <row r="415" customFormat="false" ht="15" hidden="false" customHeight="false" outlineLevel="0" collapsed="false">
      <c r="A415" s="4" t="s">
        <v>326</v>
      </c>
      <c r="B415" s="0" t="s">
        <v>186</v>
      </c>
      <c r="C415" s="20" t="n">
        <f aca="false">C411-C414</f>
        <v>32.132608</v>
      </c>
      <c r="D415" s="20" t="n">
        <f aca="false">D411-D414</f>
        <v>59.919819</v>
      </c>
      <c r="E415" s="20" t="n">
        <f aca="false">E411-E414</f>
        <v>119.192615596258</v>
      </c>
      <c r="F415" s="20" t="n">
        <f aca="false">F411-F414</f>
        <v>136.880818442904</v>
      </c>
      <c r="G415" s="20" t="n">
        <f aca="false">G411-G414</f>
        <v>157.893679588815</v>
      </c>
    </row>
    <row r="416" customFormat="false" ht="15" hidden="false" customHeight="false" outlineLevel="0" collapsed="false">
      <c r="A416" s="4" t="s">
        <v>328</v>
      </c>
      <c r="B416" s="0" t="s">
        <v>103</v>
      </c>
      <c r="C416" s="15" t="n">
        <f aca="false">C415/C400</f>
        <v>0.1294</v>
      </c>
      <c r="D416" s="15" t="n">
        <f aca="false">D415/D400</f>
        <v>0.145875070478906</v>
      </c>
      <c r="E416" s="15" t="n">
        <f aca="false">E415/E400</f>
        <v>0.164342994583142</v>
      </c>
      <c r="F416" s="15" t="n">
        <f aca="false">F415/F400</f>
        <v>0.16612113104217</v>
      </c>
      <c r="G416" s="15" t="n">
        <f aca="false">G415/G400</f>
        <v>0.168670923359931</v>
      </c>
    </row>
    <row r="417" customFormat="false" ht="17.15" hidden="false" customHeight="false" outlineLevel="0" collapsed="false">
      <c r="A417" s="4" t="s">
        <v>224</v>
      </c>
      <c r="B417" s="0" t="s">
        <v>76</v>
      </c>
      <c r="C417" s="16" t="n">
        <f aca="false">a25_ni/a25_oi</f>
        <v>0.819790289042209</v>
      </c>
      <c r="D417" s="16" t="n">
        <f aca="false">a26_ni/a26_oi</f>
        <v>0.798164213413262</v>
      </c>
      <c r="E417" s="16" t="n">
        <f aca="false">nio_f</f>
        <v>0.8</v>
      </c>
      <c r="F417" s="16" t="n">
        <f aca="false">nio_f</f>
        <v>0.8</v>
      </c>
      <c r="G417" s="16" t="n">
        <f aca="false">nio_f</f>
        <v>0.8</v>
      </c>
    </row>
    <row r="418" customFormat="false" ht="15" hidden="false" customHeight="false" outlineLevel="0" collapsed="false">
      <c r="A418" s="4" t="s">
        <v>329</v>
      </c>
      <c r="B418" s="0" t="s">
        <v>186</v>
      </c>
      <c r="C418" s="20" t="n">
        <f aca="false">a25_ni</f>
        <v>26.342</v>
      </c>
      <c r="D418" s="20" t="n">
        <f aca="false">a26_ni</f>
        <v>47.8258552</v>
      </c>
      <c r="E418" s="20" t="n">
        <f aca="false">E415*E417</f>
        <v>95.3540924770061</v>
      </c>
      <c r="F418" s="20" t="n">
        <f aca="false">F415*F417</f>
        <v>109.504654754323</v>
      </c>
      <c r="G418" s="20" t="n">
        <f aca="false">G415*G417</f>
        <v>126.314943671052</v>
      </c>
    </row>
    <row r="419" customFormat="false" ht="15" hidden="false" customHeight="false" outlineLevel="0" collapsed="false">
      <c r="A419" s="4" t="s">
        <v>428</v>
      </c>
      <c r="B419" s="4" t="s">
        <v>211</v>
      </c>
      <c r="C419" s="17" t="n">
        <f aca="false">a25_sh</f>
        <v>0.558922130277955</v>
      </c>
      <c r="D419" s="17" t="n">
        <f aca="false">a26_sh</f>
        <v>0.558904899135447</v>
      </c>
      <c r="E419" s="17" t="n">
        <f aca="false">D419*(1+sh_g27)</f>
        <v>0.568853406340058</v>
      </c>
      <c r="F419" s="17" t="n">
        <f aca="false">E419*(1+sh_g)</f>
        <v>0.568853406340058</v>
      </c>
      <c r="G419" s="17" t="n">
        <f aca="false">F419*(1+sh_g)</f>
        <v>0.568853406340058</v>
      </c>
    </row>
    <row r="420" customFormat="false" ht="15" hidden="false" customHeight="false" outlineLevel="0" collapsed="false">
      <c r="A420" s="0" t="s">
        <v>334</v>
      </c>
      <c r="B420" s="0" t="s">
        <v>244</v>
      </c>
      <c r="C420" s="14" t="n">
        <f aca="false">C418/C419</f>
        <v>47.13</v>
      </c>
      <c r="D420" s="14" t="n">
        <f aca="false">D418/D419</f>
        <v>85.5706494503455</v>
      </c>
      <c r="E420" s="14" t="n">
        <f aca="false">E418/E419</f>
        <v>167.625070737476</v>
      </c>
      <c r="F420" s="14" t="n">
        <f aca="false">F418/F419</f>
        <v>192.500657522409</v>
      </c>
      <c r="G420" s="14" t="n">
        <f aca="false">G418/G419</f>
        <v>222.051836665178</v>
      </c>
    </row>
    <row r="421" customFormat="false" ht="17.15" hidden="false" customHeight="false" outlineLevel="0" collapsed="false">
      <c r="A421" s="0" t="s">
        <v>429</v>
      </c>
      <c r="B421" s="0" t="s">
        <v>103</v>
      </c>
      <c r="D421" s="18" t="n">
        <f aca="false">D420/C420-1</f>
        <v>0.815630160202535</v>
      </c>
      <c r="E421" s="18" t="n">
        <f aca="false">E420/D420-1</f>
        <v>0.958908478715524</v>
      </c>
      <c r="F421" s="18" t="n">
        <f aca="false">F420/E420-1</f>
        <v>0.14840015682315</v>
      </c>
      <c r="G421" s="18" t="n">
        <f aca="false">G420/F420-1</f>
        <v>0.153512094572086</v>
      </c>
    </row>
    <row r="424" customFormat="false" ht="17.15" hidden="false" customHeight="false" outlineLevel="0" collapsed="false">
      <c r="A424" s="1" t="s">
        <v>733</v>
      </c>
    </row>
    <row r="425" customFormat="false" ht="17.15" hidden="false" customHeight="false" outlineLevel="0" collapsed="false">
      <c r="A425" s="5" t="s">
        <v>21</v>
      </c>
      <c r="B425" s="5" t="s">
        <v>22</v>
      </c>
      <c r="C425" s="12" t="s">
        <v>309</v>
      </c>
      <c r="D425" s="12" t="s">
        <v>371</v>
      </c>
      <c r="E425" s="12" t="s">
        <v>372</v>
      </c>
      <c r="F425" s="12" t="s">
        <v>373</v>
      </c>
      <c r="G425" s="12" t="s">
        <v>374</v>
      </c>
      <c r="H425" s="5" t="s">
        <v>350</v>
      </c>
    </row>
    <row r="426" customFormat="false" ht="17.15" hidden="false" customHeight="false" outlineLevel="0" collapsed="false">
      <c r="A426" s="6" t="s">
        <v>389</v>
      </c>
    </row>
    <row r="427" customFormat="false" ht="17.15" hidden="false" customHeight="false" outlineLevel="0" collapsed="false">
      <c r="A427" s="4" t="s">
        <v>390</v>
      </c>
      <c r="B427" s="0" t="s">
        <v>186</v>
      </c>
      <c r="C427" s="20" t="n">
        <f aca="false">a25_rev*nap25s</f>
        <v>156.4416</v>
      </c>
      <c r="D427" s="20" t="n">
        <f aca="false">a26_rev*ns26</f>
        <v>205.3806</v>
      </c>
    </row>
    <row r="428" customFormat="false" ht="17.15" hidden="false" customHeight="false" outlineLevel="0" collapsed="false">
      <c r="A428" s="4" t="s">
        <v>391</v>
      </c>
      <c r="B428" s="0" t="s">
        <v>186</v>
      </c>
      <c r="C428" s="20" t="n">
        <f aca="false">a25_rev*(1-nap25s-sw25s*af25)</f>
        <v>41.22112</v>
      </c>
      <c r="D428" s="20" t="n">
        <f aca="false">C428*(1+g_nai26)</f>
        <v>45.343232</v>
      </c>
    </row>
    <row r="429" customFormat="false" ht="17.15" hidden="false" customHeight="false" outlineLevel="0" collapsed="false">
      <c r="A429" s="0" t="s">
        <v>392</v>
      </c>
      <c r="B429" s="0" t="s">
        <v>186</v>
      </c>
      <c r="C429" s="20" t="n">
        <f aca="false">a25_rev*sw25s*af25</f>
        <v>50.65728</v>
      </c>
      <c r="D429" s="20" t="n">
        <f aca="false">a26_rev-D427-D428</f>
        <v>160.037368</v>
      </c>
      <c r="H429" s="8" t="s">
        <v>393</v>
      </c>
    </row>
    <row r="430" customFormat="false" ht="17.15" hidden="false" customHeight="false" outlineLevel="0" collapsed="false">
      <c r="A430" s="6" t="s">
        <v>394</v>
      </c>
    </row>
    <row r="431" customFormat="false" ht="17.15" hidden="false" customHeight="false" outlineLevel="0" collapsed="false">
      <c r="A431" s="0" t="s">
        <v>395</v>
      </c>
      <c r="B431" s="0" t="s">
        <v>32</v>
      </c>
      <c r="D431" s="14" t="n">
        <f aca="false">mkt_26*1</f>
        <v>32.0719</v>
      </c>
      <c r="E431" s="14" t="n">
        <f aca="false">mkt_27*1*1</f>
        <v>61.085</v>
      </c>
      <c r="F431" s="14" t="n">
        <f aca="false">mkt_28*um28_A*1</f>
        <v>69.005</v>
      </c>
      <c r="G431" s="14" t="n">
        <f aca="false">mkt_29*um29_A*1</f>
        <v>78.48215</v>
      </c>
    </row>
    <row r="432" customFormat="false" ht="15" hidden="false" customHeight="false" outlineLevel="0" collapsed="false">
      <c r="A432" s="4" t="s">
        <v>396</v>
      </c>
      <c r="B432" s="0" t="s">
        <v>103</v>
      </c>
      <c r="D432" s="18" t="n">
        <f aca="false">eth_26</f>
        <v>0.75</v>
      </c>
      <c r="E432" s="18" t="n">
        <f aca="false">eth_27</f>
        <v>0.8</v>
      </c>
      <c r="F432" s="18" t="n">
        <f aca="false">eth_28</f>
        <v>0.83</v>
      </c>
      <c r="G432" s="18" t="n">
        <f aca="false">eth_29</f>
        <v>0.85</v>
      </c>
    </row>
    <row r="433" customFormat="false" ht="17.15" hidden="false" customHeight="false" outlineLevel="0" collapsed="false">
      <c r="A433" s="4" t="s">
        <v>397</v>
      </c>
      <c r="B433" s="0" t="s">
        <v>32</v>
      </c>
      <c r="D433" s="14" t="n">
        <f aca="false">su_26*1</f>
        <v>3.015</v>
      </c>
      <c r="E433" s="14" t="n">
        <f aca="false">su_27*1*1</f>
        <v>11.3414</v>
      </c>
      <c r="F433" s="14" t="n">
        <f aca="false">su_28*um28_A*1</f>
        <v>13.8952</v>
      </c>
      <c r="G433" s="14" t="n">
        <f aca="false">su_29*um29_A*1</f>
        <v>15.97948</v>
      </c>
    </row>
    <row r="434" customFormat="false" ht="17.15" hidden="false" customHeight="false" outlineLevel="0" collapsed="false">
      <c r="A434" s="0" t="s">
        <v>398</v>
      </c>
      <c r="B434" s="0" t="s">
        <v>32</v>
      </c>
      <c r="D434" s="14" t="n">
        <f aca="false">D431*D432+D433</f>
        <v>27.068925</v>
      </c>
      <c r="E434" s="14" t="n">
        <f aca="false">E431*E432+E433</f>
        <v>60.2094</v>
      </c>
      <c r="F434" s="14" t="n">
        <f aca="false">F431*F432+F433</f>
        <v>71.16935</v>
      </c>
      <c r="G434" s="14" t="n">
        <f aca="false">G431*G432+G433</f>
        <v>82.6893075</v>
      </c>
    </row>
    <row r="435" customFormat="false" ht="15" hidden="false" customHeight="false" outlineLevel="0" collapsed="false">
      <c r="A435" s="4" t="s">
        <v>355</v>
      </c>
      <c r="B435" s="0" t="s">
        <v>103</v>
      </c>
      <c r="D435" s="18" t="n">
        <f aca="false">wb_26</f>
        <v>0.45</v>
      </c>
      <c r="E435" s="18" t="n">
        <f aca="false">wb_27</f>
        <v>0.47</v>
      </c>
      <c r="F435" s="18" t="n">
        <f aca="false">wb_28</f>
        <v>0.48</v>
      </c>
      <c r="G435" s="18" t="n">
        <f aca="false">wb_29</f>
        <v>0.5</v>
      </c>
    </row>
    <row r="436" customFormat="false" ht="17.15" hidden="false" customHeight="false" outlineLevel="0" collapsed="false">
      <c r="A436" s="4" t="s">
        <v>357</v>
      </c>
      <c r="B436" s="0" t="s">
        <v>32</v>
      </c>
      <c r="D436" s="14" t="n">
        <f aca="false">D434*D435</f>
        <v>12.18101625</v>
      </c>
      <c r="E436" s="14" t="n">
        <f aca="false">E434*E435</f>
        <v>28.298418</v>
      </c>
      <c r="F436" s="14" t="n">
        <f aca="false">F434*F435</f>
        <v>34.161288</v>
      </c>
      <c r="G436" s="14" t="n">
        <f aca="false">G434*G435</f>
        <v>41.34465375</v>
      </c>
    </row>
    <row r="437" customFormat="false" ht="17.15" hidden="false" customHeight="false" outlineLevel="0" collapsed="false">
      <c r="A437" s="4" t="s">
        <v>399</v>
      </c>
      <c r="B437" s="0" t="s">
        <v>103</v>
      </c>
      <c r="D437" s="18" t="n">
        <f aca="false">D429/fx/D436</f>
        <v>0.410570649226414</v>
      </c>
      <c r="H437" s="8" t="s">
        <v>400</v>
      </c>
    </row>
    <row r="438" customFormat="false" ht="17.15" hidden="false" customHeight="false" outlineLevel="0" collapsed="false">
      <c r="A438" s="4" t="s">
        <v>401</v>
      </c>
      <c r="B438" s="0" t="s">
        <v>76</v>
      </c>
      <c r="D438" s="19" t="n">
        <f aca="false">1</f>
        <v>1</v>
      </c>
      <c r="E438" s="19" t="n">
        <f aca="false">rel_27</f>
        <v>1</v>
      </c>
      <c r="F438" s="19" t="n">
        <f aca="false">rel_28</f>
        <v>0.95</v>
      </c>
      <c r="G438" s="19" t="n">
        <f aca="false">rel_29</f>
        <v>0.92</v>
      </c>
    </row>
    <row r="439" customFormat="false" ht="15" hidden="false" customHeight="false" outlineLevel="0" collapsed="false">
      <c r="A439" s="4" t="s">
        <v>402</v>
      </c>
      <c r="B439" s="0" t="s">
        <v>103</v>
      </c>
      <c r="D439" s="18" t="n">
        <f aca="false">$D$437*D438</f>
        <v>0.410570649226414</v>
      </c>
      <c r="E439" s="18" t="n">
        <f aca="false">$D$437*E438</f>
        <v>0.410570649226414</v>
      </c>
      <c r="F439" s="18" t="n">
        <f aca="false">$D$437*F438</f>
        <v>0.390042116765093</v>
      </c>
      <c r="G439" s="18" t="n">
        <f aca="false">$D$437*G438</f>
        <v>0.377724997288301</v>
      </c>
    </row>
    <row r="440" customFormat="false" ht="17.15" hidden="false" customHeight="false" outlineLevel="0" collapsed="false">
      <c r="A440" s="0" t="s">
        <v>403</v>
      </c>
      <c r="B440" s="0" t="s">
        <v>186</v>
      </c>
      <c r="C440" s="20" t="n">
        <f aca="false">C429</f>
        <v>50.65728</v>
      </c>
      <c r="D440" s="20" t="n">
        <f aca="false">D436*D439*fx</f>
        <v>160.037368</v>
      </c>
      <c r="E440" s="20" t="n">
        <f aca="false">E436*E439*fx</f>
        <v>371.791995210894</v>
      </c>
      <c r="F440" s="20" t="n">
        <f aca="false">F436*F439*fx</f>
        <v>426.378914654143</v>
      </c>
      <c r="G440" s="20" t="n">
        <f aca="false">G436*G439*fx</f>
        <v>499.741095219344</v>
      </c>
    </row>
    <row r="441" customFormat="false" ht="17.15" hidden="false" customHeight="false" outlineLevel="0" collapsed="false">
      <c r="A441" s="6" t="s">
        <v>404</v>
      </c>
    </row>
    <row r="442" customFormat="false" ht="17.15" hidden="false" customHeight="false" outlineLevel="0" collapsed="false">
      <c r="A442" s="0" t="s">
        <v>405</v>
      </c>
      <c r="B442" s="4" t="s">
        <v>55</v>
      </c>
      <c r="D442" s="19" t="n">
        <f aca="false">trn_26*1</f>
        <v>2</v>
      </c>
      <c r="E442" s="19" t="n">
        <f aca="false">trn_27*1*1</f>
        <v>2.5</v>
      </c>
      <c r="F442" s="19" t="n">
        <f aca="false">trn_28*um28_A*1</f>
        <v>3</v>
      </c>
      <c r="G442" s="19" t="n">
        <f aca="false">trn_29*um29_A*1</f>
        <v>3.45</v>
      </c>
    </row>
    <row r="443" customFormat="false" ht="17.15" hidden="false" customHeight="false" outlineLevel="0" collapsed="false">
      <c r="A443" s="4" t="s">
        <v>406</v>
      </c>
      <c r="B443" s="4" t="s">
        <v>407</v>
      </c>
      <c r="D443" s="20" t="n">
        <f aca="false">D427/D442</f>
        <v>102.6903</v>
      </c>
      <c r="H443" s="8" t="s">
        <v>408</v>
      </c>
    </row>
    <row r="444" customFormat="false" ht="17.15" hidden="false" customHeight="false" outlineLevel="0" collapsed="false">
      <c r="A444" s="4" t="s">
        <v>409</v>
      </c>
      <c r="B444" s="0" t="s">
        <v>76</v>
      </c>
      <c r="D444" s="19" t="n">
        <f aca="false">1</f>
        <v>1</v>
      </c>
      <c r="E444" s="19" t="n">
        <f aca="false">NRLO_27</f>
        <v>0.65</v>
      </c>
      <c r="F444" s="19" t="n">
        <f aca="false">NRLO_28</f>
        <v>0.55</v>
      </c>
      <c r="G444" s="19" t="n">
        <f aca="false">NRLO_29</f>
        <v>0.5</v>
      </c>
    </row>
    <row r="445" customFormat="false" ht="15" hidden="false" customHeight="false" outlineLevel="0" collapsed="false">
      <c r="A445" s="4" t="s">
        <v>410</v>
      </c>
      <c r="B445" s="0" t="s">
        <v>186</v>
      </c>
      <c r="C445" s="20" t="n">
        <f aca="false">C427</f>
        <v>156.4416</v>
      </c>
      <c r="D445" s="20" t="n">
        <f aca="false">D442*$D$443*D444</f>
        <v>205.3806</v>
      </c>
      <c r="E445" s="20" t="n">
        <f aca="false">E442*$D$443*E444</f>
        <v>166.8717375</v>
      </c>
      <c r="F445" s="20" t="n">
        <f aca="false">F442*$D$443*F444</f>
        <v>169.438995</v>
      </c>
      <c r="G445" s="20" t="n">
        <f aca="false">G442*$D$443*G444</f>
        <v>177.1407675</v>
      </c>
    </row>
    <row r="446" customFormat="false" ht="17.15" hidden="false" customHeight="false" outlineLevel="0" collapsed="false">
      <c r="A446" s="6" t="s">
        <v>411</v>
      </c>
    </row>
    <row r="447" customFormat="false" ht="17.15" hidden="false" customHeight="false" outlineLevel="0" collapsed="false">
      <c r="A447" s="4" t="s">
        <v>412</v>
      </c>
      <c r="B447" s="0" t="s">
        <v>186</v>
      </c>
      <c r="C447" s="20" t="n">
        <f aca="false">C428</f>
        <v>41.22112</v>
      </c>
      <c r="D447" s="20" t="n">
        <f aca="false">D428</f>
        <v>45.343232</v>
      </c>
      <c r="E447" s="20" t="n">
        <f aca="false">D447*(1+g_nai27)</f>
        <v>48.06382592</v>
      </c>
      <c r="F447" s="20" t="n">
        <f aca="false">E447*(1+g_nai28)</f>
        <v>50.467017216</v>
      </c>
      <c r="G447" s="20" t="n">
        <f aca="false">F447*(1+g_nai29)</f>
        <v>52.9903680768</v>
      </c>
    </row>
    <row r="448" customFormat="false" ht="15" hidden="false" customHeight="false" outlineLevel="0" collapsed="false">
      <c r="A448" s="4" t="s">
        <v>316</v>
      </c>
      <c r="B448" s="0" t="s">
        <v>186</v>
      </c>
      <c r="C448" s="20" t="n">
        <f aca="false">C440+C445+C447</f>
        <v>248.32</v>
      </c>
      <c r="D448" s="20" t="n">
        <f aca="false">D440+D445+D447</f>
        <v>410.7612</v>
      </c>
      <c r="E448" s="20" t="n">
        <f aca="false">E440+E445+E447</f>
        <v>586.727558630894</v>
      </c>
      <c r="F448" s="20" t="n">
        <f aca="false">F440+F445+F447</f>
        <v>646.284926870144</v>
      </c>
      <c r="G448" s="20" t="n">
        <f aca="false">G440+G445+G447</f>
        <v>729.872230796144</v>
      </c>
    </row>
    <row r="449" customFormat="false" ht="17.15" hidden="false" customHeight="false" outlineLevel="0" collapsed="false">
      <c r="A449" s="4" t="s">
        <v>413</v>
      </c>
      <c r="B449" s="0" t="s">
        <v>103</v>
      </c>
      <c r="C449" s="18" t="n">
        <f aca="false">sw25s*(1-af25)/(1-nap25s-sw25s*af25)</f>
        <v>0.819277108433735</v>
      </c>
      <c r="H449" s="8" t="s">
        <v>414</v>
      </c>
    </row>
    <row r="450" customFormat="false" ht="17.15" hidden="false" customHeight="false" outlineLevel="0" collapsed="false">
      <c r="A450" s="4" t="s">
        <v>415</v>
      </c>
      <c r="B450" s="0" t="s">
        <v>186</v>
      </c>
      <c r="C450" s="20" t="n">
        <f aca="false">C447*$C$449</f>
        <v>33.77152</v>
      </c>
      <c r="D450" s="20" t="n">
        <f aca="false">D447*$C$449</f>
        <v>37.148672</v>
      </c>
      <c r="E450" s="20" t="n">
        <f aca="false">E447*$C$449</f>
        <v>39.37759232</v>
      </c>
      <c r="F450" s="20" t="n">
        <f aca="false">F447*$C$449</f>
        <v>41.346471936</v>
      </c>
      <c r="G450" s="20" t="n">
        <f aca="false">G447*$C$449</f>
        <v>43.4137955328</v>
      </c>
    </row>
    <row r="451" customFormat="false" ht="17.15" hidden="false" customHeight="false" outlineLevel="0" collapsed="false">
      <c r="A451" s="4" t="s">
        <v>416</v>
      </c>
      <c r="B451" s="0" t="s">
        <v>186</v>
      </c>
      <c r="C451" s="20" t="n">
        <f aca="false">C440+C450</f>
        <v>84.4288</v>
      </c>
      <c r="D451" s="20" t="n">
        <f aca="false">D440+D450</f>
        <v>197.18604</v>
      </c>
      <c r="E451" s="20" t="n">
        <f aca="false">E440+E450</f>
        <v>411.169587530894</v>
      </c>
      <c r="F451" s="20" t="n">
        <f aca="false">F440+F450</f>
        <v>467.725386590143</v>
      </c>
      <c r="G451" s="20" t="n">
        <f aca="false">G440+G450</f>
        <v>543.154890752144</v>
      </c>
      <c r="H451" s="4" t="s">
        <v>417</v>
      </c>
    </row>
    <row r="452" customFormat="false" ht="17.15" hidden="false" customHeight="false" outlineLevel="0" collapsed="false">
      <c r="A452" s="4" t="s">
        <v>418</v>
      </c>
      <c r="B452" s="0" t="s">
        <v>186</v>
      </c>
      <c r="C452" s="20" t="n">
        <f aca="false">C447-C450</f>
        <v>7.44959999999999</v>
      </c>
      <c r="D452" s="20" t="n">
        <f aca="false">D447-D450</f>
        <v>8.19455999999999</v>
      </c>
      <c r="E452" s="20" t="n">
        <f aca="false">E447-E450</f>
        <v>8.68623359999999</v>
      </c>
      <c r="F452" s="20" t="n">
        <f aca="false">F447-F450</f>
        <v>9.12054527999999</v>
      </c>
      <c r="G452" s="20" t="n">
        <f aca="false">G447-G450</f>
        <v>9.57657254399999</v>
      </c>
      <c r="H452" s="4" t="s">
        <v>419</v>
      </c>
    </row>
    <row r="453" customFormat="false" ht="17.15" hidden="false" customHeight="false" outlineLevel="0" collapsed="false">
      <c r="A453" s="4" t="s">
        <v>420</v>
      </c>
      <c r="B453" s="0" t="s">
        <v>186</v>
      </c>
      <c r="C453" s="16" t="n">
        <f aca="false">C451+C445+C452-a25_rev</f>
        <v>0</v>
      </c>
      <c r="D453" s="16" t="n">
        <f aca="false">D451+D445+D452-D448</f>
        <v>0</v>
      </c>
      <c r="E453" s="16" t="n">
        <f aca="false">E451+E445+E452-E448</f>
        <v>0</v>
      </c>
      <c r="F453" s="16" t="n">
        <f aca="false">F451+F445+F452-F448</f>
        <v>0</v>
      </c>
      <c r="G453" s="16" t="n">
        <f aca="false">G451+G445+G452-G448</f>
        <v>0</v>
      </c>
    </row>
    <row r="454" customFormat="false" ht="15" hidden="false" customHeight="false" outlineLevel="0" collapsed="false">
      <c r="A454" s="4" t="s">
        <v>421</v>
      </c>
      <c r="B454" s="0" t="s">
        <v>103</v>
      </c>
      <c r="D454" s="18" t="n">
        <f aca="false">D448/C448-1</f>
        <v>0.654160760309279</v>
      </c>
      <c r="E454" s="18" t="n">
        <f aca="false">E448/D448-1</f>
        <v>0.428390896294232</v>
      </c>
      <c r="F454" s="18" t="n">
        <f aca="false">F448/E448-1</f>
        <v>0.101507705515357</v>
      </c>
      <c r="G454" s="18" t="n">
        <f aca="false">G448/F448-1</f>
        <v>0.129335066393704</v>
      </c>
    </row>
    <row r="455" customFormat="false" ht="17.15" hidden="false" customHeight="false" outlineLevel="0" collapsed="false">
      <c r="A455" s="0" t="s">
        <v>422</v>
      </c>
      <c r="B455" s="0" t="s">
        <v>103</v>
      </c>
      <c r="C455" s="18" t="n">
        <f aca="false">(C440+C445)/C448</f>
        <v>0.834</v>
      </c>
      <c r="D455" s="18" t="n">
        <f aca="false">(D440+D445)/D448</f>
        <v>0.889611696528299</v>
      </c>
      <c r="E455" s="18" t="n">
        <f aca="false">(E440+E445)/E448</f>
        <v>0.918081526574012</v>
      </c>
      <c r="F455" s="18" t="n">
        <f aca="false">(F440+F445)/F448</f>
        <v>0.921912124021824</v>
      </c>
      <c r="G455" s="18" t="n">
        <f aca="false">(G440+G445)/G448</f>
        <v>0.927397747385185</v>
      </c>
    </row>
    <row r="456" customFormat="false" ht="17.15" hidden="false" customHeight="false" outlineLevel="0" collapsed="false">
      <c r="A456" s="4" t="s">
        <v>423</v>
      </c>
      <c r="B456" s="0" t="s">
        <v>103</v>
      </c>
      <c r="C456" s="18" t="n">
        <f aca="false">C445/C448</f>
        <v>0.63</v>
      </c>
      <c r="D456" s="18" t="n">
        <f aca="false">D445/D448</f>
        <v>0.5</v>
      </c>
      <c r="E456" s="18" t="n">
        <f aca="false">E445/E448</f>
        <v>0.284410941748481</v>
      </c>
      <c r="F456" s="18" t="n">
        <f aca="false">F445/F448</f>
        <v>0.26217383069812</v>
      </c>
      <c r="G456" s="18" t="n">
        <f aca="false">G445/G448</f>
        <v>0.242701064687411</v>
      </c>
    </row>
    <row r="457" customFormat="false" ht="17.15" hidden="false" customHeight="false" outlineLevel="0" collapsed="false">
      <c r="A457" s="6" t="s">
        <v>424</v>
      </c>
    </row>
    <row r="458" customFormat="false" ht="17.15" hidden="false" customHeight="false" outlineLevel="0" collapsed="false">
      <c r="A458" s="4" t="s">
        <v>425</v>
      </c>
      <c r="B458" s="0" t="s">
        <v>103</v>
      </c>
      <c r="D458" s="15" t="n">
        <f aca="false">a26_gp/a26_rev+d_nap*D456</f>
        <v>0.219589247962076</v>
      </c>
      <c r="H458" s="8" t="s">
        <v>426</v>
      </c>
    </row>
    <row r="459" customFormat="false" ht="15" hidden="false" customHeight="false" outlineLevel="0" collapsed="false">
      <c r="A459" s="4" t="s">
        <v>320</v>
      </c>
      <c r="B459" s="0" t="s">
        <v>186</v>
      </c>
      <c r="C459" s="20" t="n">
        <f aca="false">a25_gp</f>
        <v>44.921088</v>
      </c>
      <c r="D459" s="20" t="n">
        <f aca="false">a26_gp</f>
        <v>77.875907</v>
      </c>
      <c r="E459" s="20" t="n">
        <f aca="false">$D$458*(E440+E447)+($D$458-d_nap)*E445</f>
        <v>118.826759108383</v>
      </c>
      <c r="F459" s="20" t="n">
        <f aca="false">$D$458*(F440+F447)+($D$458-d_nap)*F445</f>
        <v>131.75088136064</v>
      </c>
      <c r="G459" s="20" t="n">
        <f aca="false">$D$458*(G440+G447)+($D$458-d_nap)*G445</f>
        <v>149.643648218928</v>
      </c>
    </row>
    <row r="460" customFormat="false" ht="15" hidden="false" customHeight="false" outlineLevel="0" collapsed="false">
      <c r="A460" s="4" t="s">
        <v>322</v>
      </c>
      <c r="B460" s="0" t="s">
        <v>103</v>
      </c>
      <c r="C460" s="15" t="n">
        <f aca="false">C459/C448</f>
        <v>0.1809</v>
      </c>
      <c r="D460" s="15" t="n">
        <f aca="false">D459/D448</f>
        <v>0.189589247962076</v>
      </c>
      <c r="E460" s="15" t="n">
        <f aca="false">E459/E448</f>
        <v>0.202524591457167</v>
      </c>
      <c r="F460" s="15" t="n">
        <f aca="false">F459/F448</f>
        <v>0.203858818120189</v>
      </c>
      <c r="G460" s="15" t="n">
        <f aca="false">G459/G448</f>
        <v>0.205027184080832</v>
      </c>
    </row>
    <row r="461" customFormat="false" ht="15" hidden="false" customHeight="false" outlineLevel="0" collapsed="false">
      <c r="A461" s="4" t="s">
        <v>427</v>
      </c>
      <c r="B461" s="0" t="s">
        <v>186</v>
      </c>
      <c r="C461" s="20" t="n">
        <f aca="false">a25_opx</f>
        <v>12.78848</v>
      </c>
      <c r="D461" s="20" t="n">
        <f aca="false">a26_opx</f>
        <v>17.956088</v>
      </c>
      <c r="E461" s="20" t="n">
        <f aca="false">D461*(1+MAX(0,phi*E454))</f>
        <v>22.5714227793549</v>
      </c>
      <c r="F461" s="20" t="n">
        <f aca="false">E461*(1+MAX(0,phi*F454))</f>
        <v>23.9461267812845</v>
      </c>
      <c r="G461" s="20" t="n">
        <f aca="false">F461*(1+MAX(0,phi*G454))</f>
        <v>25.8043711195622</v>
      </c>
    </row>
    <row r="462" customFormat="false" ht="15" hidden="false" customHeight="false" outlineLevel="0" collapsed="false">
      <c r="A462" s="4" t="s">
        <v>324</v>
      </c>
      <c r="B462" s="0" t="s">
        <v>186</v>
      </c>
      <c r="C462" s="20" t="n">
        <f aca="false">C461</f>
        <v>12.78848</v>
      </c>
      <c r="D462" s="20" t="n">
        <f aca="false">D461</f>
        <v>17.956088</v>
      </c>
      <c r="E462" s="20" t="n">
        <f aca="false">E461+0*E448</f>
        <v>22.5714227793549</v>
      </c>
      <c r="F462" s="20" t="n">
        <f aca="false">F461+0*F448</f>
        <v>23.9461267812845</v>
      </c>
      <c r="G462" s="20" t="n">
        <f aca="false">G461+0*G448</f>
        <v>25.8043711195622</v>
      </c>
    </row>
    <row r="463" customFormat="false" ht="15" hidden="false" customHeight="false" outlineLevel="0" collapsed="false">
      <c r="A463" s="4" t="s">
        <v>326</v>
      </c>
      <c r="B463" s="0" t="s">
        <v>186</v>
      </c>
      <c r="C463" s="20" t="n">
        <f aca="false">C459-C462</f>
        <v>32.132608</v>
      </c>
      <c r="D463" s="20" t="n">
        <f aca="false">D459-D462</f>
        <v>59.919819</v>
      </c>
      <c r="E463" s="20" t="n">
        <f aca="false">E459-E462</f>
        <v>96.2553363290282</v>
      </c>
      <c r="F463" s="20" t="n">
        <f aca="false">F459-F462</f>
        <v>107.804754579356</v>
      </c>
      <c r="G463" s="20" t="n">
        <f aca="false">G459-G462</f>
        <v>123.839277099366</v>
      </c>
    </row>
    <row r="464" customFormat="false" ht="15" hidden="false" customHeight="false" outlineLevel="0" collapsed="false">
      <c r="A464" s="4" t="s">
        <v>328</v>
      </c>
      <c r="B464" s="0" t="s">
        <v>103</v>
      </c>
      <c r="C464" s="15" t="n">
        <f aca="false">C463/C448</f>
        <v>0.1294</v>
      </c>
      <c r="D464" s="15" t="n">
        <f aca="false">D463/D448</f>
        <v>0.145875070478906</v>
      </c>
      <c r="E464" s="15" t="n">
        <f aca="false">E463/E448</f>
        <v>0.164054568279759</v>
      </c>
      <c r="F464" s="15" t="n">
        <f aca="false">F463/F448</f>
        <v>0.166806852670133</v>
      </c>
      <c r="G464" s="15" t="n">
        <f aca="false">G463/G448</f>
        <v>0.169672542500051</v>
      </c>
    </row>
    <row r="465" customFormat="false" ht="17.15" hidden="false" customHeight="false" outlineLevel="0" collapsed="false">
      <c r="A465" s="4" t="s">
        <v>224</v>
      </c>
      <c r="B465" s="0" t="s">
        <v>76</v>
      </c>
      <c r="C465" s="16" t="n">
        <f aca="false">a25_ni/a25_oi</f>
        <v>0.819790289042209</v>
      </c>
      <c r="D465" s="16" t="n">
        <f aca="false">a26_ni/a26_oi</f>
        <v>0.798164213413262</v>
      </c>
      <c r="E465" s="16" t="n">
        <f aca="false">nio_f</f>
        <v>0.8</v>
      </c>
      <c r="F465" s="16" t="n">
        <f aca="false">nio_f</f>
        <v>0.8</v>
      </c>
      <c r="G465" s="16" t="n">
        <f aca="false">nio_f</f>
        <v>0.8</v>
      </c>
    </row>
    <row r="466" customFormat="false" ht="15" hidden="false" customHeight="false" outlineLevel="0" collapsed="false">
      <c r="A466" s="4" t="s">
        <v>329</v>
      </c>
      <c r="B466" s="0" t="s">
        <v>186</v>
      </c>
      <c r="C466" s="20" t="n">
        <f aca="false">a25_ni</f>
        <v>26.342</v>
      </c>
      <c r="D466" s="20" t="n">
        <f aca="false">a26_ni</f>
        <v>47.8258552</v>
      </c>
      <c r="E466" s="20" t="n">
        <f aca="false">E463*E465</f>
        <v>77.0042690632226</v>
      </c>
      <c r="F466" s="20" t="n">
        <f aca="false">F463*F465</f>
        <v>86.2438036634846</v>
      </c>
      <c r="G466" s="20" t="n">
        <f aca="false">G463*G465</f>
        <v>99.0714216794928</v>
      </c>
    </row>
    <row r="467" customFormat="false" ht="15" hidden="false" customHeight="false" outlineLevel="0" collapsed="false">
      <c r="A467" s="4" t="s">
        <v>428</v>
      </c>
      <c r="B467" s="4" t="s">
        <v>211</v>
      </c>
      <c r="C467" s="17" t="n">
        <f aca="false">a25_sh</f>
        <v>0.558922130277955</v>
      </c>
      <c r="D467" s="17" t="n">
        <f aca="false">a26_sh</f>
        <v>0.558904899135447</v>
      </c>
      <c r="E467" s="17" t="n">
        <f aca="false">D467*(1+sh_g27)</f>
        <v>0.568853406340058</v>
      </c>
      <c r="F467" s="17" t="n">
        <f aca="false">E467*(1+sh_g)</f>
        <v>0.568853406340058</v>
      </c>
      <c r="G467" s="17" t="n">
        <f aca="false">F467*(1+sh_g)</f>
        <v>0.568853406340058</v>
      </c>
    </row>
    <row r="468" customFormat="false" ht="15" hidden="false" customHeight="false" outlineLevel="0" collapsed="false">
      <c r="A468" s="0" t="s">
        <v>334</v>
      </c>
      <c r="B468" s="0" t="s">
        <v>244</v>
      </c>
      <c r="C468" s="14" t="n">
        <f aca="false">C466/C467</f>
        <v>47.13</v>
      </c>
      <c r="D468" s="14" t="n">
        <f aca="false">D466/D467</f>
        <v>85.5706494503455</v>
      </c>
      <c r="E468" s="14" t="n">
        <f aca="false">E466/E467</f>
        <v>135.367509810058</v>
      </c>
      <c r="F468" s="14" t="n">
        <f aca="false">F466/F467</f>
        <v>151.609892289066</v>
      </c>
      <c r="G468" s="14" t="n">
        <f aca="false">G466/G467</f>
        <v>174.159846061058</v>
      </c>
    </row>
    <row r="469" customFormat="false" ht="17.15" hidden="false" customHeight="false" outlineLevel="0" collapsed="false">
      <c r="A469" s="0" t="s">
        <v>429</v>
      </c>
      <c r="B469" s="0" t="s">
        <v>103</v>
      </c>
      <c r="D469" s="18" t="n">
        <f aca="false">D468/C468-1</f>
        <v>0.815630160202535</v>
      </c>
      <c r="E469" s="18" t="n">
        <f aca="false">E468/D468-1</f>
        <v>0.581938558133864</v>
      </c>
      <c r="F469" s="18" t="n">
        <f aca="false">F468/E468-1</f>
        <v>0.119987303465944</v>
      </c>
      <c r="G469" s="18" t="n">
        <f aca="false">G468/F468-1</f>
        <v>0.148736691462037</v>
      </c>
    </row>
    <row r="472" customFormat="false" ht="17.15" hidden="false" customHeight="false" outlineLevel="0" collapsed="false">
      <c r="A472" s="1" t="s">
        <v>734</v>
      </c>
    </row>
    <row r="473" customFormat="false" ht="17.15" hidden="false" customHeight="false" outlineLevel="0" collapsed="false">
      <c r="A473" s="5" t="s">
        <v>21</v>
      </c>
      <c r="B473" s="5" t="s">
        <v>22</v>
      </c>
      <c r="C473" s="12" t="s">
        <v>309</v>
      </c>
      <c r="D473" s="12" t="s">
        <v>371</v>
      </c>
      <c r="E473" s="12" t="s">
        <v>372</v>
      </c>
      <c r="F473" s="12" t="s">
        <v>373</v>
      </c>
      <c r="G473" s="12" t="s">
        <v>374</v>
      </c>
      <c r="H473" s="5" t="s">
        <v>350</v>
      </c>
    </row>
    <row r="474" customFormat="false" ht="17.15" hidden="false" customHeight="false" outlineLevel="0" collapsed="false">
      <c r="A474" s="6" t="s">
        <v>389</v>
      </c>
    </row>
    <row r="475" customFormat="false" ht="17.15" hidden="false" customHeight="false" outlineLevel="0" collapsed="false">
      <c r="A475" s="4" t="s">
        <v>390</v>
      </c>
      <c r="B475" s="0" t="s">
        <v>186</v>
      </c>
      <c r="C475" s="20" t="n">
        <f aca="false">a25_rev*nap25s</f>
        <v>156.4416</v>
      </c>
      <c r="D475" s="20" t="n">
        <f aca="false">a26_rev*ns26</f>
        <v>205.3806</v>
      </c>
    </row>
    <row r="476" customFormat="false" ht="17.15" hidden="false" customHeight="false" outlineLevel="0" collapsed="false">
      <c r="A476" s="4" t="s">
        <v>391</v>
      </c>
      <c r="B476" s="0" t="s">
        <v>186</v>
      </c>
      <c r="C476" s="20" t="n">
        <f aca="false">a25_rev*(1-nap25s-sw25s*af25)</f>
        <v>41.22112</v>
      </c>
      <c r="D476" s="20" t="n">
        <f aca="false">C476*(1+g_nai26)</f>
        <v>45.343232</v>
      </c>
    </row>
    <row r="477" customFormat="false" ht="17.15" hidden="false" customHeight="false" outlineLevel="0" collapsed="false">
      <c r="A477" s="0" t="s">
        <v>392</v>
      </c>
      <c r="B477" s="0" t="s">
        <v>186</v>
      </c>
      <c r="C477" s="20" t="n">
        <f aca="false">a25_rev*sw25s*af25</f>
        <v>50.65728</v>
      </c>
      <c r="D477" s="20" t="n">
        <f aca="false">a26_rev-D475-D476</f>
        <v>160.037368</v>
      </c>
      <c r="H477" s="8" t="s">
        <v>393</v>
      </c>
    </row>
    <row r="478" customFormat="false" ht="17.15" hidden="false" customHeight="false" outlineLevel="0" collapsed="false">
      <c r="A478" s="6" t="s">
        <v>394</v>
      </c>
    </row>
    <row r="479" customFormat="false" ht="17.15" hidden="false" customHeight="false" outlineLevel="0" collapsed="false">
      <c r="A479" s="0" t="s">
        <v>395</v>
      </c>
      <c r="B479" s="0" t="s">
        <v>32</v>
      </c>
      <c r="D479" s="14" t="n">
        <f aca="false">mkt_26*1</f>
        <v>32.0719</v>
      </c>
      <c r="E479" s="14" t="n">
        <f aca="false">mkt_27*1*1</f>
        <v>61.085</v>
      </c>
      <c r="F479" s="14" t="n">
        <f aca="false">mkt_28*um28_A*1</f>
        <v>69.005</v>
      </c>
      <c r="G479" s="14" t="n">
        <f aca="false">mkt_29*um29_A*1</f>
        <v>78.48215</v>
      </c>
    </row>
    <row r="480" customFormat="false" ht="15" hidden="false" customHeight="false" outlineLevel="0" collapsed="false">
      <c r="A480" s="4" t="s">
        <v>396</v>
      </c>
      <c r="B480" s="0" t="s">
        <v>103</v>
      </c>
      <c r="D480" s="18" t="n">
        <f aca="false">eth_26</f>
        <v>0.75</v>
      </c>
      <c r="E480" s="18" t="n">
        <f aca="false">eth_27</f>
        <v>0.8</v>
      </c>
      <c r="F480" s="18" t="n">
        <f aca="false">eth_28</f>
        <v>0.83</v>
      </c>
      <c r="G480" s="18" t="n">
        <f aca="false">eth_29</f>
        <v>0.85</v>
      </c>
    </row>
    <row r="481" customFormat="false" ht="17.15" hidden="false" customHeight="false" outlineLevel="0" collapsed="false">
      <c r="A481" s="4" t="s">
        <v>397</v>
      </c>
      <c r="B481" s="0" t="s">
        <v>32</v>
      </c>
      <c r="D481" s="14" t="n">
        <f aca="false">su_26*1</f>
        <v>3.015</v>
      </c>
      <c r="E481" s="14" t="n">
        <f aca="false">su_27*1*1</f>
        <v>11.3414</v>
      </c>
      <c r="F481" s="14" t="n">
        <f aca="false">su_28*um28_A*1</f>
        <v>13.8952</v>
      </c>
      <c r="G481" s="14" t="n">
        <f aca="false">su_29*um29_A*1</f>
        <v>15.97948</v>
      </c>
    </row>
    <row r="482" customFormat="false" ht="17.15" hidden="false" customHeight="false" outlineLevel="0" collapsed="false">
      <c r="A482" s="0" t="s">
        <v>398</v>
      </c>
      <c r="B482" s="0" t="s">
        <v>32</v>
      </c>
      <c r="D482" s="14" t="n">
        <f aca="false">D479*D480+D481</f>
        <v>27.068925</v>
      </c>
      <c r="E482" s="14" t="n">
        <f aca="false">E479*E480+E481</f>
        <v>60.2094</v>
      </c>
      <c r="F482" s="14" t="n">
        <f aca="false">F479*F480+F481</f>
        <v>71.16935</v>
      </c>
      <c r="G482" s="14" t="n">
        <f aca="false">G479*G480+G481</f>
        <v>82.6893075</v>
      </c>
    </row>
    <row r="483" customFormat="false" ht="15" hidden="false" customHeight="false" outlineLevel="0" collapsed="false">
      <c r="A483" s="4" t="s">
        <v>355</v>
      </c>
      <c r="B483" s="0" t="s">
        <v>103</v>
      </c>
      <c r="D483" s="18" t="n">
        <f aca="false">wb_26</f>
        <v>0.45</v>
      </c>
      <c r="E483" s="18" t="n">
        <f aca="false">wb_27</f>
        <v>0.47</v>
      </c>
      <c r="F483" s="18" t="n">
        <f aca="false">wb_28</f>
        <v>0.48</v>
      </c>
      <c r="G483" s="18" t="n">
        <f aca="false">wb_29</f>
        <v>0.5</v>
      </c>
    </row>
    <row r="484" customFormat="false" ht="17.15" hidden="false" customHeight="false" outlineLevel="0" collapsed="false">
      <c r="A484" s="4" t="s">
        <v>357</v>
      </c>
      <c r="B484" s="0" t="s">
        <v>32</v>
      </c>
      <c r="D484" s="14" t="n">
        <f aca="false">D482*D483</f>
        <v>12.18101625</v>
      </c>
      <c r="E484" s="14" t="n">
        <f aca="false">E482*E483</f>
        <v>28.298418</v>
      </c>
      <c r="F484" s="14" t="n">
        <f aca="false">F482*F483</f>
        <v>34.161288</v>
      </c>
      <c r="G484" s="14" t="n">
        <f aca="false">G482*G483</f>
        <v>41.34465375</v>
      </c>
    </row>
    <row r="485" customFormat="false" ht="17.15" hidden="false" customHeight="false" outlineLevel="0" collapsed="false">
      <c r="A485" s="4" t="s">
        <v>399</v>
      </c>
      <c r="B485" s="0" t="s">
        <v>103</v>
      </c>
      <c r="D485" s="18" t="n">
        <f aca="false">D477/fx/D484</f>
        <v>0.410570649226414</v>
      </c>
      <c r="H485" s="8" t="s">
        <v>400</v>
      </c>
    </row>
    <row r="486" customFormat="false" ht="17.15" hidden="false" customHeight="false" outlineLevel="0" collapsed="false">
      <c r="A486" s="4" t="s">
        <v>401</v>
      </c>
      <c r="B486" s="0" t="s">
        <v>76</v>
      </c>
      <c r="D486" s="19" t="n">
        <f aca="false">1</f>
        <v>1</v>
      </c>
      <c r="E486" s="19" t="n">
        <f aca="false">rel_27</f>
        <v>1</v>
      </c>
      <c r="F486" s="19" t="n">
        <f aca="false">rel_28</f>
        <v>0.95</v>
      </c>
      <c r="G486" s="19" t="n">
        <f aca="false">rel_29</f>
        <v>0.92</v>
      </c>
    </row>
    <row r="487" customFormat="false" ht="15" hidden="false" customHeight="false" outlineLevel="0" collapsed="false">
      <c r="A487" s="4" t="s">
        <v>402</v>
      </c>
      <c r="B487" s="0" t="s">
        <v>103</v>
      </c>
      <c r="D487" s="18" t="n">
        <f aca="false">$D$485*D486</f>
        <v>0.410570649226414</v>
      </c>
      <c r="E487" s="18" t="n">
        <f aca="false">$D$485*E486</f>
        <v>0.410570649226414</v>
      </c>
      <c r="F487" s="18" t="n">
        <f aca="false">$D$485*F486</f>
        <v>0.390042116765093</v>
      </c>
      <c r="G487" s="18" t="n">
        <f aca="false">$D$485*G486</f>
        <v>0.377724997288301</v>
      </c>
    </row>
    <row r="488" customFormat="false" ht="17.15" hidden="false" customHeight="false" outlineLevel="0" collapsed="false">
      <c r="A488" s="0" t="s">
        <v>403</v>
      </c>
      <c r="B488" s="0" t="s">
        <v>186</v>
      </c>
      <c r="C488" s="20" t="n">
        <f aca="false">C477</f>
        <v>50.65728</v>
      </c>
      <c r="D488" s="20" t="n">
        <f aca="false">D484*D487*fx</f>
        <v>160.037368</v>
      </c>
      <c r="E488" s="20" t="n">
        <f aca="false">E484*E487*fx</f>
        <v>371.791995210894</v>
      </c>
      <c r="F488" s="20" t="n">
        <f aca="false">F484*F487*fx</f>
        <v>426.378914654143</v>
      </c>
      <c r="G488" s="20" t="n">
        <f aca="false">G484*G487*fx</f>
        <v>499.741095219344</v>
      </c>
    </row>
    <row r="489" customFormat="false" ht="17.15" hidden="false" customHeight="false" outlineLevel="0" collapsed="false">
      <c r="A489" s="6" t="s">
        <v>404</v>
      </c>
    </row>
    <row r="490" customFormat="false" ht="17.15" hidden="false" customHeight="false" outlineLevel="0" collapsed="false">
      <c r="A490" s="0" t="s">
        <v>405</v>
      </c>
      <c r="B490" s="4" t="s">
        <v>55</v>
      </c>
      <c r="D490" s="19" t="n">
        <f aca="false">trn_26*1</f>
        <v>2</v>
      </c>
      <c r="E490" s="19" t="n">
        <f aca="false">trn_27*1*tf_lo</f>
        <v>2</v>
      </c>
      <c r="F490" s="19" t="n">
        <f aca="false">trn_28*um28_A*tf_lo</f>
        <v>2.4</v>
      </c>
      <c r="G490" s="19" t="n">
        <f aca="false">trn_29*um29_A*tf_lo</f>
        <v>2.76</v>
      </c>
    </row>
    <row r="491" customFormat="false" ht="17.15" hidden="false" customHeight="false" outlineLevel="0" collapsed="false">
      <c r="A491" s="4" t="s">
        <v>406</v>
      </c>
      <c r="B491" s="4" t="s">
        <v>407</v>
      </c>
      <c r="D491" s="20" t="n">
        <f aca="false">D475/D490</f>
        <v>102.6903</v>
      </c>
      <c r="H491" s="8" t="s">
        <v>408</v>
      </c>
    </row>
    <row r="492" customFormat="false" ht="17.15" hidden="false" customHeight="false" outlineLevel="0" collapsed="false">
      <c r="A492" s="4" t="s">
        <v>409</v>
      </c>
      <c r="B492" s="0" t="s">
        <v>76</v>
      </c>
      <c r="D492" s="19" t="n">
        <f aca="false">1</f>
        <v>1</v>
      </c>
      <c r="E492" s="19" t="n">
        <f aca="false">nrel_27</f>
        <v>0.9</v>
      </c>
      <c r="F492" s="19" t="n">
        <f aca="false">nrel_28</f>
        <v>0.85</v>
      </c>
      <c r="G492" s="19" t="n">
        <f aca="false">nrel_29</f>
        <v>0.8</v>
      </c>
    </row>
    <row r="493" customFormat="false" ht="15" hidden="false" customHeight="false" outlineLevel="0" collapsed="false">
      <c r="A493" s="4" t="s">
        <v>410</v>
      </c>
      <c r="B493" s="0" t="s">
        <v>186</v>
      </c>
      <c r="C493" s="20" t="n">
        <f aca="false">C475</f>
        <v>156.4416</v>
      </c>
      <c r="D493" s="20" t="n">
        <f aca="false">D490*$D$491*D492</f>
        <v>205.3806</v>
      </c>
      <c r="E493" s="20" t="n">
        <f aca="false">E490*$D$491*E492</f>
        <v>184.84254</v>
      </c>
      <c r="F493" s="20" t="n">
        <f aca="false">F490*$D$491*F492</f>
        <v>209.488212</v>
      </c>
      <c r="G493" s="20" t="n">
        <f aca="false">G490*$D$491*G492</f>
        <v>226.7401824</v>
      </c>
    </row>
    <row r="494" customFormat="false" ht="17.15" hidden="false" customHeight="false" outlineLevel="0" collapsed="false">
      <c r="A494" s="6" t="s">
        <v>411</v>
      </c>
    </row>
    <row r="495" customFormat="false" ht="17.15" hidden="false" customHeight="false" outlineLevel="0" collapsed="false">
      <c r="A495" s="4" t="s">
        <v>412</v>
      </c>
      <c r="B495" s="0" t="s">
        <v>186</v>
      </c>
      <c r="C495" s="20" t="n">
        <f aca="false">C476</f>
        <v>41.22112</v>
      </c>
      <c r="D495" s="20" t="n">
        <f aca="false">D476</f>
        <v>45.343232</v>
      </c>
      <c r="E495" s="20" t="n">
        <f aca="false">D495*(1+g_nai27)</f>
        <v>48.06382592</v>
      </c>
      <c r="F495" s="20" t="n">
        <f aca="false">E495*(1+g_nai28)</f>
        <v>50.467017216</v>
      </c>
      <c r="G495" s="20" t="n">
        <f aca="false">F495*(1+g_nai29)</f>
        <v>52.9903680768</v>
      </c>
    </row>
    <row r="496" customFormat="false" ht="15" hidden="false" customHeight="false" outlineLevel="0" collapsed="false">
      <c r="A496" s="4" t="s">
        <v>316</v>
      </c>
      <c r="B496" s="0" t="s">
        <v>186</v>
      </c>
      <c r="C496" s="20" t="n">
        <f aca="false">C488+C493+C495</f>
        <v>248.32</v>
      </c>
      <c r="D496" s="20" t="n">
        <f aca="false">D488+D493+D495</f>
        <v>410.7612</v>
      </c>
      <c r="E496" s="20" t="n">
        <f aca="false">E488+E493+E495</f>
        <v>604.698361130894</v>
      </c>
      <c r="F496" s="20" t="n">
        <f aca="false">F488+F493+F495</f>
        <v>686.334143870144</v>
      </c>
      <c r="G496" s="20" t="n">
        <f aca="false">G488+G493+G495</f>
        <v>779.471645696144</v>
      </c>
    </row>
    <row r="497" customFormat="false" ht="17.15" hidden="false" customHeight="false" outlineLevel="0" collapsed="false">
      <c r="A497" s="4" t="s">
        <v>413</v>
      </c>
      <c r="B497" s="0" t="s">
        <v>103</v>
      </c>
      <c r="C497" s="18" t="n">
        <f aca="false">sw25s*(1-af25)/(1-nap25s-sw25s*af25)</f>
        <v>0.819277108433735</v>
      </c>
      <c r="H497" s="8" t="s">
        <v>414</v>
      </c>
    </row>
    <row r="498" customFormat="false" ht="17.15" hidden="false" customHeight="false" outlineLevel="0" collapsed="false">
      <c r="A498" s="4" t="s">
        <v>415</v>
      </c>
      <c r="B498" s="0" t="s">
        <v>186</v>
      </c>
      <c r="C498" s="20" t="n">
        <f aca="false">C495*$C$497</f>
        <v>33.77152</v>
      </c>
      <c r="D498" s="20" t="n">
        <f aca="false">D495*$C$497</f>
        <v>37.148672</v>
      </c>
      <c r="E498" s="20" t="n">
        <f aca="false">E495*$C$497</f>
        <v>39.37759232</v>
      </c>
      <c r="F498" s="20" t="n">
        <f aca="false">F495*$C$497</f>
        <v>41.346471936</v>
      </c>
      <c r="G498" s="20" t="n">
        <f aca="false">G495*$C$497</f>
        <v>43.4137955328</v>
      </c>
    </row>
    <row r="499" customFormat="false" ht="17.15" hidden="false" customHeight="false" outlineLevel="0" collapsed="false">
      <c r="A499" s="4" t="s">
        <v>416</v>
      </c>
      <c r="B499" s="0" t="s">
        <v>186</v>
      </c>
      <c r="C499" s="20" t="n">
        <f aca="false">C488+C498</f>
        <v>84.4288</v>
      </c>
      <c r="D499" s="20" t="n">
        <f aca="false">D488+D498</f>
        <v>197.18604</v>
      </c>
      <c r="E499" s="20" t="n">
        <f aca="false">E488+E498</f>
        <v>411.169587530894</v>
      </c>
      <c r="F499" s="20" t="n">
        <f aca="false">F488+F498</f>
        <v>467.725386590143</v>
      </c>
      <c r="G499" s="20" t="n">
        <f aca="false">G488+G498</f>
        <v>543.154890752144</v>
      </c>
      <c r="H499" s="4" t="s">
        <v>417</v>
      </c>
    </row>
    <row r="500" customFormat="false" ht="17.15" hidden="false" customHeight="false" outlineLevel="0" collapsed="false">
      <c r="A500" s="4" t="s">
        <v>418</v>
      </c>
      <c r="B500" s="0" t="s">
        <v>186</v>
      </c>
      <c r="C500" s="20" t="n">
        <f aca="false">C495-C498</f>
        <v>7.44959999999999</v>
      </c>
      <c r="D500" s="20" t="n">
        <f aca="false">D495-D498</f>
        <v>8.19455999999999</v>
      </c>
      <c r="E500" s="20" t="n">
        <f aca="false">E495-E498</f>
        <v>8.68623359999999</v>
      </c>
      <c r="F500" s="20" t="n">
        <f aca="false">F495-F498</f>
        <v>9.12054527999999</v>
      </c>
      <c r="G500" s="20" t="n">
        <f aca="false">G495-G498</f>
        <v>9.57657254399999</v>
      </c>
      <c r="H500" s="4" t="s">
        <v>419</v>
      </c>
    </row>
    <row r="501" customFormat="false" ht="17.15" hidden="false" customHeight="false" outlineLevel="0" collapsed="false">
      <c r="A501" s="4" t="s">
        <v>420</v>
      </c>
      <c r="B501" s="0" t="s">
        <v>186</v>
      </c>
      <c r="C501" s="16" t="n">
        <f aca="false">C499+C493+C500-a25_rev</f>
        <v>0</v>
      </c>
      <c r="D501" s="16" t="n">
        <f aca="false">D499+D493+D500-D496</f>
        <v>0</v>
      </c>
      <c r="E501" s="16" t="n">
        <f aca="false">E499+E493+E500-E496</f>
        <v>0</v>
      </c>
      <c r="F501" s="16" t="n">
        <f aca="false">F499+F493+F500-F496</f>
        <v>0</v>
      </c>
      <c r="G501" s="16" t="n">
        <f aca="false">G499+G493+G500-G496</f>
        <v>0</v>
      </c>
    </row>
    <row r="502" customFormat="false" ht="15" hidden="false" customHeight="false" outlineLevel="0" collapsed="false">
      <c r="A502" s="4" t="s">
        <v>421</v>
      </c>
      <c r="B502" s="0" t="s">
        <v>103</v>
      </c>
      <c r="D502" s="18" t="n">
        <f aca="false">D496/C496-1</f>
        <v>0.654160760309279</v>
      </c>
      <c r="E502" s="18" t="n">
        <f aca="false">E496/D496-1</f>
        <v>0.472140896294232</v>
      </c>
      <c r="F502" s="18" t="n">
        <f aca="false">F496/E496-1</f>
        <v>0.135002487168273</v>
      </c>
      <c r="G502" s="18" t="n">
        <f aca="false">G496/F496-1</f>
        <v>0.135702853570435</v>
      </c>
    </row>
    <row r="503" customFormat="false" ht="17.15" hidden="false" customHeight="false" outlineLevel="0" collapsed="false">
      <c r="A503" s="0" t="s">
        <v>422</v>
      </c>
      <c r="B503" s="0" t="s">
        <v>103</v>
      </c>
      <c r="C503" s="18" t="n">
        <f aca="false">(C488+C493)/C496</f>
        <v>0.834</v>
      </c>
      <c r="D503" s="18" t="n">
        <f aca="false">(D488+D493)/D496</f>
        <v>0.889611696528299</v>
      </c>
      <c r="E503" s="18" t="n">
        <f aca="false">(E488+E493)/E496</f>
        <v>0.920516030785809</v>
      </c>
      <c r="F503" s="18" t="n">
        <f aca="false">(F488+F493)/F496</f>
        <v>0.9264687358676</v>
      </c>
      <c r="G503" s="18" t="n">
        <f aca="false">(G488+G493)/G496</f>
        <v>0.932017580922428</v>
      </c>
    </row>
    <row r="504" customFormat="false" ht="17.15" hidden="false" customHeight="false" outlineLevel="0" collapsed="false">
      <c r="A504" s="4" t="s">
        <v>423</v>
      </c>
      <c r="B504" s="0" t="s">
        <v>103</v>
      </c>
      <c r="C504" s="18" t="n">
        <f aca="false">C493/C496</f>
        <v>0.63</v>
      </c>
      <c r="D504" s="18" t="n">
        <f aca="false">D493/D496</f>
        <v>0.5</v>
      </c>
      <c r="E504" s="18" t="n">
        <f aca="false">E493/E496</f>
        <v>0.30567726304783</v>
      </c>
      <c r="F504" s="18" t="n">
        <f aca="false">F493/F496</f>
        <v>0.305227728899986</v>
      </c>
      <c r="G504" s="18" t="n">
        <f aca="false">G493/G496</f>
        <v>0.290889583542836</v>
      </c>
    </row>
    <row r="505" customFormat="false" ht="17.15" hidden="false" customHeight="false" outlineLevel="0" collapsed="false">
      <c r="A505" s="6" t="s">
        <v>424</v>
      </c>
    </row>
    <row r="506" customFormat="false" ht="17.15" hidden="false" customHeight="false" outlineLevel="0" collapsed="false">
      <c r="A506" s="4" t="s">
        <v>425</v>
      </c>
      <c r="B506" s="0" t="s">
        <v>103</v>
      </c>
      <c r="D506" s="15" t="n">
        <f aca="false">a26_gp/a26_rev+d_nap*D504</f>
        <v>0.219589247962076</v>
      </c>
      <c r="H506" s="8" t="s">
        <v>426</v>
      </c>
    </row>
    <row r="507" customFormat="false" ht="15" hidden="false" customHeight="false" outlineLevel="0" collapsed="false">
      <c r="A507" s="4" t="s">
        <v>320</v>
      </c>
      <c r="B507" s="0" t="s">
        <v>186</v>
      </c>
      <c r="C507" s="20" t="n">
        <f aca="false">a25_gp</f>
        <v>44.921088</v>
      </c>
      <c r="D507" s="20" t="n">
        <f aca="false">a26_gp</f>
        <v>77.875907</v>
      </c>
      <c r="E507" s="20" t="n">
        <f aca="false">$D$506*(E488+E495)+($D$506-d_nap)*E493</f>
        <v>121.694705964633</v>
      </c>
      <c r="F507" s="20" t="n">
        <f aca="false">$D$506*(F488+F495)+($D$506-d_nap)*F493</f>
        <v>138.14230578314</v>
      </c>
      <c r="G507" s="20" t="n">
        <f aca="false">$D$506*(G488+G495)+($D$506-d_nap)*G493</f>
        <v>157.559181542178</v>
      </c>
    </row>
    <row r="508" customFormat="false" ht="15" hidden="false" customHeight="false" outlineLevel="0" collapsed="false">
      <c r="A508" s="4" t="s">
        <v>322</v>
      </c>
      <c r="B508" s="0" t="s">
        <v>103</v>
      </c>
      <c r="C508" s="15" t="n">
        <f aca="false">C507/C496</f>
        <v>0.1809</v>
      </c>
      <c r="D508" s="15" t="n">
        <f aca="false">D507/D496</f>
        <v>0.189589247962076</v>
      </c>
      <c r="E508" s="15" t="n">
        <f aca="false">E507/E496</f>
        <v>0.201248612179206</v>
      </c>
      <c r="F508" s="15" t="n">
        <f aca="false">F507/F496</f>
        <v>0.201275584228077</v>
      </c>
      <c r="G508" s="15" t="n">
        <f aca="false">G507/G496</f>
        <v>0.202135872949506</v>
      </c>
    </row>
    <row r="509" customFormat="false" ht="15" hidden="false" customHeight="false" outlineLevel="0" collapsed="false">
      <c r="A509" s="4" t="s">
        <v>427</v>
      </c>
      <c r="B509" s="0" t="s">
        <v>186</v>
      </c>
      <c r="C509" s="20" t="n">
        <f aca="false">a25_opx</f>
        <v>12.78848</v>
      </c>
      <c r="D509" s="20" t="n">
        <f aca="false">a26_opx</f>
        <v>17.956088</v>
      </c>
      <c r="E509" s="20" t="n">
        <f aca="false">D509*(1+MAX(0,phi*E502))</f>
        <v>23.0427700893549</v>
      </c>
      <c r="F509" s="20" t="n">
        <f aca="false">E509*(1+MAX(0,phi*F502))</f>
        <v>24.9092688533406</v>
      </c>
      <c r="G509" s="20" t="n">
        <f aca="false">F509*(1+MAX(0,phi*G502))</f>
        <v>26.9374241715915</v>
      </c>
    </row>
    <row r="510" customFormat="false" ht="15" hidden="false" customHeight="false" outlineLevel="0" collapsed="false">
      <c r="A510" s="4" t="s">
        <v>324</v>
      </c>
      <c r="B510" s="0" t="s">
        <v>186</v>
      </c>
      <c r="C510" s="20" t="n">
        <f aca="false">C509</f>
        <v>12.78848</v>
      </c>
      <c r="D510" s="20" t="n">
        <f aca="false">D509</f>
        <v>17.956088</v>
      </c>
      <c r="E510" s="20" t="n">
        <f aca="false">E509+0*E496</f>
        <v>23.0427700893549</v>
      </c>
      <c r="F510" s="20" t="n">
        <f aca="false">F509+0*F496</f>
        <v>24.9092688533406</v>
      </c>
      <c r="G510" s="20" t="n">
        <f aca="false">G509+0*G496</f>
        <v>26.9374241715915</v>
      </c>
    </row>
    <row r="511" customFormat="false" ht="15" hidden="false" customHeight="false" outlineLevel="0" collapsed="false">
      <c r="A511" s="4" t="s">
        <v>326</v>
      </c>
      <c r="B511" s="0" t="s">
        <v>186</v>
      </c>
      <c r="C511" s="20" t="n">
        <f aca="false">C507-C510</f>
        <v>32.132608</v>
      </c>
      <c r="D511" s="20" t="n">
        <f aca="false">D507-D510</f>
        <v>59.919819</v>
      </c>
      <c r="E511" s="20" t="n">
        <f aca="false">E507-E510</f>
        <v>98.6519358752782</v>
      </c>
      <c r="F511" s="20" t="n">
        <f aca="false">F507-F510</f>
        <v>113.2330369298</v>
      </c>
      <c r="G511" s="20" t="n">
        <f aca="false">G507-G510</f>
        <v>130.621757370587</v>
      </c>
    </row>
    <row r="512" customFormat="false" ht="15" hidden="false" customHeight="false" outlineLevel="0" collapsed="false">
      <c r="A512" s="4" t="s">
        <v>328</v>
      </c>
      <c r="B512" s="0" t="s">
        <v>103</v>
      </c>
      <c r="C512" s="15" t="n">
        <f aca="false">C511/C496</f>
        <v>0.1294</v>
      </c>
      <c r="D512" s="15" t="n">
        <f aca="false">D511/D496</f>
        <v>0.145875070478906</v>
      </c>
      <c r="E512" s="15" t="n">
        <f aca="false">E511/E496</f>
        <v>0.163142390018689</v>
      </c>
      <c r="F512" s="15" t="n">
        <f aca="false">F511/F496</f>
        <v>0.164982374753053</v>
      </c>
      <c r="G512" s="15" t="n">
        <f aca="false">G511/G496</f>
        <v>0.167577304564977</v>
      </c>
    </row>
    <row r="513" customFormat="false" ht="17.15" hidden="false" customHeight="false" outlineLevel="0" collapsed="false">
      <c r="A513" s="4" t="s">
        <v>224</v>
      </c>
      <c r="B513" s="0" t="s">
        <v>76</v>
      </c>
      <c r="C513" s="16" t="n">
        <f aca="false">a25_ni/a25_oi</f>
        <v>0.819790289042209</v>
      </c>
      <c r="D513" s="16" t="n">
        <f aca="false">a26_ni/a26_oi</f>
        <v>0.798164213413262</v>
      </c>
      <c r="E513" s="16" t="n">
        <f aca="false">nio_f</f>
        <v>0.8</v>
      </c>
      <c r="F513" s="16" t="n">
        <f aca="false">nio_f</f>
        <v>0.8</v>
      </c>
      <c r="G513" s="16" t="n">
        <f aca="false">nio_f</f>
        <v>0.8</v>
      </c>
    </row>
    <row r="514" customFormat="false" ht="15" hidden="false" customHeight="false" outlineLevel="0" collapsed="false">
      <c r="A514" s="4" t="s">
        <v>329</v>
      </c>
      <c r="B514" s="0" t="s">
        <v>186</v>
      </c>
      <c r="C514" s="20" t="n">
        <f aca="false">a25_ni</f>
        <v>26.342</v>
      </c>
      <c r="D514" s="20" t="n">
        <f aca="false">a26_ni</f>
        <v>47.8258552</v>
      </c>
      <c r="E514" s="20" t="n">
        <f aca="false">E511*E513</f>
        <v>78.9215487002226</v>
      </c>
      <c r="F514" s="20" t="n">
        <f aca="false">F511*F513</f>
        <v>90.5864295438397</v>
      </c>
      <c r="G514" s="20" t="n">
        <f aca="false">G511*G513</f>
        <v>104.497405896469</v>
      </c>
    </row>
    <row r="515" customFormat="false" ht="15" hidden="false" customHeight="false" outlineLevel="0" collapsed="false">
      <c r="A515" s="4" t="s">
        <v>428</v>
      </c>
      <c r="B515" s="4" t="s">
        <v>211</v>
      </c>
      <c r="C515" s="17" t="n">
        <f aca="false">a25_sh</f>
        <v>0.558922130277955</v>
      </c>
      <c r="D515" s="17" t="n">
        <f aca="false">a26_sh</f>
        <v>0.558904899135447</v>
      </c>
      <c r="E515" s="17" t="n">
        <f aca="false">D515*(1+sh_g27)</f>
        <v>0.568853406340058</v>
      </c>
      <c r="F515" s="17" t="n">
        <f aca="false">E515*(1+sh_g)</f>
        <v>0.568853406340058</v>
      </c>
      <c r="G515" s="17" t="n">
        <f aca="false">F515*(1+sh_g)</f>
        <v>0.568853406340058</v>
      </c>
    </row>
    <row r="516" customFormat="false" ht="15" hidden="false" customHeight="false" outlineLevel="0" collapsed="false">
      <c r="A516" s="0" t="s">
        <v>334</v>
      </c>
      <c r="B516" s="0" t="s">
        <v>244</v>
      </c>
      <c r="C516" s="14" t="n">
        <f aca="false">C514/C515</f>
        <v>47.13</v>
      </c>
      <c r="D516" s="14" t="n">
        <f aca="false">D514/D515</f>
        <v>85.5706494503455</v>
      </c>
      <c r="E516" s="14" t="n">
        <f aca="false">E514/E515</f>
        <v>138.737938141208</v>
      </c>
      <c r="F516" s="14" t="n">
        <f aca="false">F514/F515</f>
        <v>159.243890489578</v>
      </c>
      <c r="G516" s="14" t="n">
        <f aca="false">G514/G515</f>
        <v>183.698303871984</v>
      </c>
    </row>
    <row r="517" customFormat="false" ht="17.15" hidden="false" customHeight="false" outlineLevel="0" collapsed="false">
      <c r="A517" s="0" t="s">
        <v>429</v>
      </c>
      <c r="B517" s="0" t="s">
        <v>103</v>
      </c>
      <c r="D517" s="18" t="n">
        <f aca="false">D516/C516-1</f>
        <v>0.815630160202535</v>
      </c>
      <c r="E517" s="18" t="n">
        <f aca="false">E516/D516-1</f>
        <v>0.621326226134517</v>
      </c>
      <c r="F517" s="18" t="n">
        <f aca="false">F516/E516-1</f>
        <v>0.147803496456023</v>
      </c>
      <c r="G517" s="18" t="n">
        <f aca="false">G516/F516-1</f>
        <v>0.15356578709063</v>
      </c>
    </row>
    <row r="520" customFormat="false" ht="17.15" hidden="false" customHeight="false" outlineLevel="0" collapsed="false">
      <c r="A520" s="1" t="s">
        <v>735</v>
      </c>
    </row>
    <row r="521" customFormat="false" ht="17.15" hidden="false" customHeight="false" outlineLevel="0" collapsed="false">
      <c r="A521" s="5" t="s">
        <v>21</v>
      </c>
      <c r="B521" s="5" t="s">
        <v>22</v>
      </c>
      <c r="C521" s="12" t="s">
        <v>309</v>
      </c>
      <c r="D521" s="12" t="s">
        <v>371</v>
      </c>
      <c r="E521" s="12" t="s">
        <v>372</v>
      </c>
      <c r="F521" s="12" t="s">
        <v>373</v>
      </c>
      <c r="G521" s="12" t="s">
        <v>374</v>
      </c>
      <c r="H521" s="5" t="s">
        <v>350</v>
      </c>
    </row>
    <row r="522" customFormat="false" ht="17.15" hidden="false" customHeight="false" outlineLevel="0" collapsed="false">
      <c r="A522" s="6" t="s">
        <v>389</v>
      </c>
    </row>
    <row r="523" customFormat="false" ht="17.15" hidden="false" customHeight="false" outlineLevel="0" collapsed="false">
      <c r="A523" s="4" t="s">
        <v>390</v>
      </c>
      <c r="B523" s="0" t="s">
        <v>186</v>
      </c>
      <c r="C523" s="20" t="n">
        <f aca="false">a25_rev*nap25s</f>
        <v>156.4416</v>
      </c>
      <c r="D523" s="20" t="n">
        <f aca="false">a26_rev*ns26_lo</f>
        <v>172.519704</v>
      </c>
    </row>
    <row r="524" customFormat="false" ht="17.15" hidden="false" customHeight="false" outlineLevel="0" collapsed="false">
      <c r="A524" s="4" t="s">
        <v>391</v>
      </c>
      <c r="B524" s="0" t="s">
        <v>186</v>
      </c>
      <c r="C524" s="20" t="n">
        <f aca="false">a25_rev*(1-nap25s-sw25s*af25)</f>
        <v>41.22112</v>
      </c>
      <c r="D524" s="20" t="n">
        <f aca="false">C524*(1+g_nai26)</f>
        <v>45.343232</v>
      </c>
    </row>
    <row r="525" customFormat="false" ht="17.15" hidden="false" customHeight="false" outlineLevel="0" collapsed="false">
      <c r="A525" s="0" t="s">
        <v>392</v>
      </c>
      <c r="B525" s="0" t="s">
        <v>186</v>
      </c>
      <c r="C525" s="20" t="n">
        <f aca="false">a25_rev*sw25s*af25</f>
        <v>50.65728</v>
      </c>
      <c r="D525" s="20" t="n">
        <f aca="false">a26_rev-D523-D524</f>
        <v>192.898264</v>
      </c>
      <c r="H525" s="8" t="s">
        <v>393</v>
      </c>
    </row>
    <row r="526" customFormat="false" ht="17.15" hidden="false" customHeight="false" outlineLevel="0" collapsed="false">
      <c r="A526" s="6" t="s">
        <v>394</v>
      </c>
    </row>
    <row r="527" customFormat="false" ht="17.15" hidden="false" customHeight="false" outlineLevel="0" collapsed="false">
      <c r="A527" s="0" t="s">
        <v>395</v>
      </c>
      <c r="B527" s="0" t="s">
        <v>32</v>
      </c>
      <c r="D527" s="14" t="n">
        <f aca="false">mkt_26*1</f>
        <v>32.0719</v>
      </c>
      <c r="E527" s="14" t="n">
        <f aca="false">mkt_27*1*1</f>
        <v>61.085</v>
      </c>
      <c r="F527" s="14" t="n">
        <f aca="false">mkt_28*um28_A*1</f>
        <v>69.005</v>
      </c>
      <c r="G527" s="14" t="n">
        <f aca="false">mkt_29*um29_A*1</f>
        <v>78.48215</v>
      </c>
    </row>
    <row r="528" customFormat="false" ht="15" hidden="false" customHeight="false" outlineLevel="0" collapsed="false">
      <c r="A528" s="4" t="s">
        <v>396</v>
      </c>
      <c r="B528" s="0" t="s">
        <v>103</v>
      </c>
      <c r="D528" s="18" t="n">
        <f aca="false">eth_26</f>
        <v>0.75</v>
      </c>
      <c r="E528" s="18" t="n">
        <f aca="false">eth_27</f>
        <v>0.8</v>
      </c>
      <c r="F528" s="18" t="n">
        <f aca="false">eth_28</f>
        <v>0.83</v>
      </c>
      <c r="G528" s="18" t="n">
        <f aca="false">eth_29</f>
        <v>0.85</v>
      </c>
    </row>
    <row r="529" customFormat="false" ht="17.15" hidden="false" customHeight="false" outlineLevel="0" collapsed="false">
      <c r="A529" s="4" t="s">
        <v>397</v>
      </c>
      <c r="B529" s="0" t="s">
        <v>32</v>
      </c>
      <c r="D529" s="14" t="n">
        <f aca="false">su_26*1</f>
        <v>3.015</v>
      </c>
      <c r="E529" s="14" t="n">
        <f aca="false">su_27*1*1</f>
        <v>11.3414</v>
      </c>
      <c r="F529" s="14" t="n">
        <f aca="false">su_28*um28_A*1</f>
        <v>13.8952</v>
      </c>
      <c r="G529" s="14" t="n">
        <f aca="false">su_29*um29_A*1</f>
        <v>15.97948</v>
      </c>
    </row>
    <row r="530" customFormat="false" ht="17.15" hidden="false" customHeight="false" outlineLevel="0" collapsed="false">
      <c r="A530" s="0" t="s">
        <v>398</v>
      </c>
      <c r="B530" s="0" t="s">
        <v>32</v>
      </c>
      <c r="D530" s="14" t="n">
        <f aca="false">D527*D528+D529</f>
        <v>27.068925</v>
      </c>
      <c r="E530" s="14" t="n">
        <f aca="false">E527*E528+E529</f>
        <v>60.2094</v>
      </c>
      <c r="F530" s="14" t="n">
        <f aca="false">F527*F528+F529</f>
        <v>71.16935</v>
      </c>
      <c r="G530" s="14" t="n">
        <f aca="false">G527*G528+G529</f>
        <v>82.6893075</v>
      </c>
    </row>
    <row r="531" customFormat="false" ht="15" hidden="false" customHeight="false" outlineLevel="0" collapsed="false">
      <c r="A531" s="4" t="s">
        <v>355</v>
      </c>
      <c r="B531" s="0" t="s">
        <v>103</v>
      </c>
      <c r="D531" s="18" t="n">
        <f aca="false">wb_26</f>
        <v>0.45</v>
      </c>
      <c r="E531" s="18" t="n">
        <f aca="false">wb_27</f>
        <v>0.47</v>
      </c>
      <c r="F531" s="18" t="n">
        <f aca="false">wb_28</f>
        <v>0.48</v>
      </c>
      <c r="G531" s="18" t="n">
        <f aca="false">wb_29</f>
        <v>0.5</v>
      </c>
    </row>
    <row r="532" customFormat="false" ht="17.15" hidden="false" customHeight="false" outlineLevel="0" collapsed="false">
      <c r="A532" s="4" t="s">
        <v>357</v>
      </c>
      <c r="B532" s="0" t="s">
        <v>32</v>
      </c>
      <c r="D532" s="14" t="n">
        <f aca="false">D530*D531</f>
        <v>12.18101625</v>
      </c>
      <c r="E532" s="14" t="n">
        <f aca="false">E530*E531</f>
        <v>28.298418</v>
      </c>
      <c r="F532" s="14" t="n">
        <f aca="false">F530*F531</f>
        <v>34.161288</v>
      </c>
      <c r="G532" s="14" t="n">
        <f aca="false">G530*G531</f>
        <v>41.34465375</v>
      </c>
    </row>
    <row r="533" customFormat="false" ht="17.15" hidden="false" customHeight="false" outlineLevel="0" collapsed="false">
      <c r="A533" s="4" t="s">
        <v>399</v>
      </c>
      <c r="B533" s="0" t="s">
        <v>103</v>
      </c>
      <c r="D533" s="18" t="n">
        <f aca="false">D525/fx/D532</f>
        <v>0.494874206411144</v>
      </c>
      <c r="H533" s="8" t="s">
        <v>400</v>
      </c>
    </row>
    <row r="534" customFormat="false" ht="17.15" hidden="false" customHeight="false" outlineLevel="0" collapsed="false">
      <c r="A534" s="4" t="s">
        <v>401</v>
      </c>
      <c r="B534" s="0" t="s">
        <v>76</v>
      </c>
      <c r="D534" s="19" t="n">
        <f aca="false">1</f>
        <v>1</v>
      </c>
      <c r="E534" s="19" t="n">
        <f aca="false">rel_27</f>
        <v>1</v>
      </c>
      <c r="F534" s="19" t="n">
        <f aca="false">rel_28</f>
        <v>0.95</v>
      </c>
      <c r="G534" s="19" t="n">
        <f aca="false">rel_29</f>
        <v>0.92</v>
      </c>
    </row>
    <row r="535" customFormat="false" ht="15" hidden="false" customHeight="false" outlineLevel="0" collapsed="false">
      <c r="A535" s="4" t="s">
        <v>402</v>
      </c>
      <c r="B535" s="0" t="s">
        <v>103</v>
      </c>
      <c r="D535" s="18" t="n">
        <f aca="false">$D$533*D534</f>
        <v>0.494874206411144</v>
      </c>
      <c r="E535" s="18" t="n">
        <f aca="false">$D$533*E534</f>
        <v>0.494874206411144</v>
      </c>
      <c r="F535" s="18" t="n">
        <f aca="false">$D$533*F534</f>
        <v>0.470130496090587</v>
      </c>
      <c r="G535" s="18" t="n">
        <f aca="false">$D$533*G534</f>
        <v>0.455284269898253</v>
      </c>
    </row>
    <row r="536" customFormat="false" ht="17.15" hidden="false" customHeight="false" outlineLevel="0" collapsed="false">
      <c r="A536" s="0" t="s">
        <v>403</v>
      </c>
      <c r="B536" s="0" t="s">
        <v>186</v>
      </c>
      <c r="C536" s="20" t="n">
        <f aca="false">C525</f>
        <v>50.65728</v>
      </c>
      <c r="D536" s="20" t="n">
        <f aca="false">D532*D535*fx</f>
        <v>192.898264</v>
      </c>
      <c r="E536" s="20" t="n">
        <f aca="false">E532*E535*fx</f>
        <v>448.133028814107</v>
      </c>
      <c r="F536" s="20" t="n">
        <f aca="false">F532*F535*fx</f>
        <v>513.928424785069</v>
      </c>
      <c r="G536" s="20" t="n">
        <f aca="false">G532*G535*fx</f>
        <v>602.354255896474</v>
      </c>
    </row>
    <row r="537" customFormat="false" ht="17.15" hidden="false" customHeight="false" outlineLevel="0" collapsed="false">
      <c r="A537" s="6" t="s">
        <v>404</v>
      </c>
    </row>
    <row r="538" customFormat="false" ht="17.15" hidden="false" customHeight="false" outlineLevel="0" collapsed="false">
      <c r="A538" s="0" t="s">
        <v>405</v>
      </c>
      <c r="B538" s="4" t="s">
        <v>55</v>
      </c>
      <c r="D538" s="19" t="n">
        <f aca="false">trn_26*1</f>
        <v>2</v>
      </c>
      <c r="E538" s="19" t="n">
        <f aca="false">trn_27*1*1</f>
        <v>2.5</v>
      </c>
      <c r="F538" s="19" t="n">
        <f aca="false">trn_28*um28_A*1</f>
        <v>3</v>
      </c>
      <c r="G538" s="19" t="n">
        <f aca="false">trn_29*um29_A*1</f>
        <v>3.45</v>
      </c>
    </row>
    <row r="539" customFormat="false" ht="17.15" hidden="false" customHeight="false" outlineLevel="0" collapsed="false">
      <c r="A539" s="4" t="s">
        <v>406</v>
      </c>
      <c r="B539" s="4" t="s">
        <v>407</v>
      </c>
      <c r="D539" s="20" t="n">
        <f aca="false">D523/D538</f>
        <v>86.259852</v>
      </c>
      <c r="H539" s="8" t="s">
        <v>408</v>
      </c>
    </row>
    <row r="540" customFormat="false" ht="17.15" hidden="false" customHeight="false" outlineLevel="0" collapsed="false">
      <c r="A540" s="4" t="s">
        <v>409</v>
      </c>
      <c r="B540" s="0" t="s">
        <v>76</v>
      </c>
      <c r="D540" s="19" t="n">
        <f aca="false">1</f>
        <v>1</v>
      </c>
      <c r="E540" s="19" t="n">
        <f aca="false">nrel_27</f>
        <v>0.9</v>
      </c>
      <c r="F540" s="19" t="n">
        <f aca="false">nrel_28</f>
        <v>0.85</v>
      </c>
      <c r="G540" s="19" t="n">
        <f aca="false">nrel_29</f>
        <v>0.8</v>
      </c>
    </row>
    <row r="541" customFormat="false" ht="15" hidden="false" customHeight="false" outlineLevel="0" collapsed="false">
      <c r="A541" s="4" t="s">
        <v>410</v>
      </c>
      <c r="B541" s="0" t="s">
        <v>186</v>
      </c>
      <c r="C541" s="20" t="n">
        <f aca="false">C523</f>
        <v>156.4416</v>
      </c>
      <c r="D541" s="20" t="n">
        <f aca="false">D538*$D$539*D540</f>
        <v>172.519704</v>
      </c>
      <c r="E541" s="20" t="n">
        <f aca="false">E538*$D$539*E540</f>
        <v>194.084667</v>
      </c>
      <c r="F541" s="20" t="n">
        <f aca="false">F538*$D$539*F540</f>
        <v>219.9626226</v>
      </c>
      <c r="G541" s="20" t="n">
        <f aca="false">G538*$D$539*G540</f>
        <v>238.07719152</v>
      </c>
    </row>
    <row r="542" customFormat="false" ht="17.15" hidden="false" customHeight="false" outlineLevel="0" collapsed="false">
      <c r="A542" s="6" t="s">
        <v>411</v>
      </c>
    </row>
    <row r="543" customFormat="false" ht="17.15" hidden="false" customHeight="false" outlineLevel="0" collapsed="false">
      <c r="A543" s="4" t="s">
        <v>412</v>
      </c>
      <c r="B543" s="0" t="s">
        <v>186</v>
      </c>
      <c r="C543" s="20" t="n">
        <f aca="false">C524</f>
        <v>41.22112</v>
      </c>
      <c r="D543" s="20" t="n">
        <f aca="false">D524</f>
        <v>45.343232</v>
      </c>
      <c r="E543" s="20" t="n">
        <f aca="false">D543*(1+g_nai27)</f>
        <v>48.06382592</v>
      </c>
      <c r="F543" s="20" t="n">
        <f aca="false">E543*(1+g_nai28)</f>
        <v>50.467017216</v>
      </c>
      <c r="G543" s="20" t="n">
        <f aca="false">F543*(1+g_nai29)</f>
        <v>52.9903680768</v>
      </c>
    </row>
    <row r="544" customFormat="false" ht="15" hidden="false" customHeight="false" outlineLevel="0" collapsed="false">
      <c r="A544" s="4" t="s">
        <v>316</v>
      </c>
      <c r="B544" s="0" t="s">
        <v>186</v>
      </c>
      <c r="C544" s="20" t="n">
        <f aca="false">C536+C541+C543</f>
        <v>248.32</v>
      </c>
      <c r="D544" s="20" t="n">
        <f aca="false">D536+D541+D543</f>
        <v>410.7612</v>
      </c>
      <c r="E544" s="20" t="n">
        <f aca="false">E536+E541+E543</f>
        <v>690.281521734107</v>
      </c>
      <c r="F544" s="20" t="n">
        <f aca="false">F536+F541+F543</f>
        <v>784.358064601069</v>
      </c>
      <c r="G544" s="20" t="n">
        <f aca="false">G536+G541+G543</f>
        <v>893.421815493274</v>
      </c>
    </row>
    <row r="545" customFormat="false" ht="17.15" hidden="false" customHeight="false" outlineLevel="0" collapsed="false">
      <c r="A545" s="4" t="s">
        <v>413</v>
      </c>
      <c r="B545" s="0" t="s">
        <v>103</v>
      </c>
      <c r="C545" s="18" t="n">
        <f aca="false">sw25s*(1-af25)/(1-nap25s-sw25s*af25)</f>
        <v>0.819277108433735</v>
      </c>
      <c r="H545" s="8" t="s">
        <v>414</v>
      </c>
    </row>
    <row r="546" customFormat="false" ht="17.15" hidden="false" customHeight="false" outlineLevel="0" collapsed="false">
      <c r="A546" s="4" t="s">
        <v>415</v>
      </c>
      <c r="B546" s="0" t="s">
        <v>186</v>
      </c>
      <c r="C546" s="20" t="n">
        <f aca="false">C543*$C$545</f>
        <v>33.77152</v>
      </c>
      <c r="D546" s="20" t="n">
        <f aca="false">D543*$C$545</f>
        <v>37.148672</v>
      </c>
      <c r="E546" s="20" t="n">
        <f aca="false">E543*$C$545</f>
        <v>39.37759232</v>
      </c>
      <c r="F546" s="20" t="n">
        <f aca="false">F543*$C$545</f>
        <v>41.346471936</v>
      </c>
      <c r="G546" s="20" t="n">
        <f aca="false">G543*$C$545</f>
        <v>43.4137955328</v>
      </c>
    </row>
    <row r="547" customFormat="false" ht="17.15" hidden="false" customHeight="false" outlineLevel="0" collapsed="false">
      <c r="A547" s="4" t="s">
        <v>416</v>
      </c>
      <c r="B547" s="0" t="s">
        <v>186</v>
      </c>
      <c r="C547" s="20" t="n">
        <f aca="false">C536+C546</f>
        <v>84.4288</v>
      </c>
      <c r="D547" s="20" t="n">
        <f aca="false">D536+D546</f>
        <v>230.046936</v>
      </c>
      <c r="E547" s="20" t="n">
        <f aca="false">E536+E546</f>
        <v>487.510621134107</v>
      </c>
      <c r="F547" s="20" t="n">
        <f aca="false">F536+F546</f>
        <v>555.274896721069</v>
      </c>
      <c r="G547" s="20" t="n">
        <f aca="false">G536+G546</f>
        <v>645.768051429274</v>
      </c>
      <c r="H547" s="4" t="s">
        <v>417</v>
      </c>
    </row>
    <row r="548" customFormat="false" ht="17.15" hidden="false" customHeight="false" outlineLevel="0" collapsed="false">
      <c r="A548" s="4" t="s">
        <v>418</v>
      </c>
      <c r="B548" s="0" t="s">
        <v>186</v>
      </c>
      <c r="C548" s="20" t="n">
        <f aca="false">C543-C546</f>
        <v>7.44959999999999</v>
      </c>
      <c r="D548" s="20" t="n">
        <f aca="false">D543-D546</f>
        <v>8.19455999999999</v>
      </c>
      <c r="E548" s="20" t="n">
        <f aca="false">E543-E546</f>
        <v>8.68623359999999</v>
      </c>
      <c r="F548" s="20" t="n">
        <f aca="false">F543-F546</f>
        <v>9.12054527999999</v>
      </c>
      <c r="G548" s="20" t="n">
        <f aca="false">G543-G546</f>
        <v>9.57657254399999</v>
      </c>
      <c r="H548" s="4" t="s">
        <v>419</v>
      </c>
    </row>
    <row r="549" customFormat="false" ht="17.15" hidden="false" customHeight="false" outlineLevel="0" collapsed="false">
      <c r="A549" s="4" t="s">
        <v>420</v>
      </c>
      <c r="B549" s="0" t="s">
        <v>186</v>
      </c>
      <c r="C549" s="16" t="n">
        <f aca="false">C547+C541+C548-a25_rev</f>
        <v>0</v>
      </c>
      <c r="D549" s="16" t="n">
        <f aca="false">D547+D541+D548-D544</f>
        <v>0</v>
      </c>
      <c r="E549" s="16" t="n">
        <f aca="false">E547+E541+E548-E544</f>
        <v>0</v>
      </c>
      <c r="F549" s="16" t="n">
        <f aca="false">F547+F541+F548-F544</f>
        <v>0</v>
      </c>
      <c r="G549" s="16" t="n">
        <f aca="false">G547+G541+G548-G544</f>
        <v>0</v>
      </c>
    </row>
    <row r="550" customFormat="false" ht="15" hidden="false" customHeight="false" outlineLevel="0" collapsed="false">
      <c r="A550" s="4" t="s">
        <v>421</v>
      </c>
      <c r="B550" s="0" t="s">
        <v>103</v>
      </c>
      <c r="D550" s="18" t="n">
        <f aca="false">D544/C544-1</f>
        <v>0.654160760309279</v>
      </c>
      <c r="E550" s="18" t="n">
        <f aca="false">E544/D544-1</f>
        <v>0.68049348802688</v>
      </c>
      <c r="F550" s="18" t="n">
        <f aca="false">F544/E544-1</f>
        <v>0.136287210224932</v>
      </c>
      <c r="G550" s="18" t="n">
        <f aca="false">G544/F544-1</f>
        <v>0.139048421651246</v>
      </c>
    </row>
    <row r="551" customFormat="false" ht="17.15" hidden="false" customHeight="false" outlineLevel="0" collapsed="false">
      <c r="A551" s="0" t="s">
        <v>422</v>
      </c>
      <c r="B551" s="0" t="s">
        <v>103</v>
      </c>
      <c r="C551" s="18" t="n">
        <f aca="false">(C536+C541)/C544</f>
        <v>0.834</v>
      </c>
      <c r="D551" s="18" t="n">
        <f aca="false">(D536+D541)/D544</f>
        <v>0.889611696528299</v>
      </c>
      <c r="E551" s="18" t="n">
        <f aca="false">(E536+E541)/E544</f>
        <v>0.930370690208749</v>
      </c>
      <c r="F551" s="18" t="n">
        <f aca="false">(F536+F541)/F544</f>
        <v>0.93565819044435</v>
      </c>
      <c r="G551" s="18" t="n">
        <f aca="false">(G536+G541)/G544</f>
        <v>0.940688298452234</v>
      </c>
    </row>
    <row r="552" customFormat="false" ht="17.15" hidden="false" customHeight="false" outlineLevel="0" collapsed="false">
      <c r="A552" s="4" t="s">
        <v>423</v>
      </c>
      <c r="B552" s="0" t="s">
        <v>103</v>
      </c>
      <c r="C552" s="18" t="n">
        <f aca="false">C541/C544</f>
        <v>0.63</v>
      </c>
      <c r="D552" s="18" t="n">
        <f aca="false">D541/D544</f>
        <v>0.42</v>
      </c>
      <c r="E552" s="18" t="n">
        <f aca="false">E541/E544</f>
        <v>0.281167409077424</v>
      </c>
      <c r="F552" s="18" t="n">
        <f aca="false">F541/F544</f>
        <v>0.280436490076601</v>
      </c>
      <c r="G552" s="18" t="n">
        <f aca="false">G541/G544</f>
        <v>0.26647792497495</v>
      </c>
    </row>
    <row r="553" customFormat="false" ht="17.15" hidden="false" customHeight="false" outlineLevel="0" collapsed="false">
      <c r="A553" s="6" t="s">
        <v>424</v>
      </c>
    </row>
    <row r="554" customFormat="false" ht="17.15" hidden="false" customHeight="false" outlineLevel="0" collapsed="false">
      <c r="A554" s="4" t="s">
        <v>425</v>
      </c>
      <c r="B554" s="0" t="s">
        <v>103</v>
      </c>
      <c r="D554" s="15" t="n">
        <f aca="false">a26_gp/a26_rev+d_nap*D552</f>
        <v>0.214789247962076</v>
      </c>
      <c r="H554" s="8" t="s">
        <v>426</v>
      </c>
    </row>
    <row r="555" customFormat="false" ht="15" hidden="false" customHeight="false" outlineLevel="0" collapsed="false">
      <c r="A555" s="4" t="s">
        <v>320</v>
      </c>
      <c r="B555" s="0" t="s">
        <v>186</v>
      </c>
      <c r="C555" s="20" t="n">
        <f aca="false">a25_gp</f>
        <v>44.921088</v>
      </c>
      <c r="D555" s="20" t="n">
        <f aca="false">a26_gp</f>
        <v>77.875907</v>
      </c>
      <c r="E555" s="20" t="n">
        <f aca="false">$D$554*(E536+E543)+($D$554-d_nap)*E541</f>
        <v>136.619968915386</v>
      </c>
      <c r="F555" s="20" t="n">
        <f aca="false">$D$554*(F536+F543)+($D$554-d_nap)*F541</f>
        <v>155.273921472653</v>
      </c>
      <c r="G555" s="20" t="n">
        <f aca="false">$D$554*(G536+G543)+($D$554-d_nap)*G541</f>
        <v>177.612768371513</v>
      </c>
    </row>
    <row r="556" customFormat="false" ht="15" hidden="false" customHeight="false" outlineLevel="0" collapsed="false">
      <c r="A556" s="4" t="s">
        <v>322</v>
      </c>
      <c r="B556" s="0" t="s">
        <v>103</v>
      </c>
      <c r="C556" s="15" t="n">
        <f aca="false">C555/C544</f>
        <v>0.1809</v>
      </c>
      <c r="D556" s="15" t="n">
        <f aca="false">D555/D544</f>
        <v>0.189589247962076</v>
      </c>
      <c r="E556" s="15" t="n">
        <f aca="false">E555/E544</f>
        <v>0.197919203417431</v>
      </c>
      <c r="F556" s="15" t="n">
        <f aca="false">F555/F544</f>
        <v>0.19796305855748</v>
      </c>
      <c r="G556" s="15" t="n">
        <f aca="false">G555/G544</f>
        <v>0.198800572463579</v>
      </c>
    </row>
    <row r="557" customFormat="false" ht="15" hidden="false" customHeight="false" outlineLevel="0" collapsed="false">
      <c r="A557" s="4" t="s">
        <v>427</v>
      </c>
      <c r="B557" s="0" t="s">
        <v>186</v>
      </c>
      <c r="C557" s="20" t="n">
        <f aca="false">a25_opx</f>
        <v>12.78848</v>
      </c>
      <c r="D557" s="20" t="n">
        <f aca="false">a26_opx</f>
        <v>17.956088</v>
      </c>
      <c r="E557" s="20" t="n">
        <f aca="false">D557*(1+MAX(0,phi*E550))</f>
        <v>25.2874885726626</v>
      </c>
      <c r="F557" s="20" t="n">
        <f aca="false">E557*(1+MAX(0,phi*F550))</f>
        <v>27.3553053353604</v>
      </c>
      <c r="G557" s="20" t="n">
        <f aca="false">F557*(1+MAX(0,phi*G550))</f>
        <v>29.6375325537622</v>
      </c>
    </row>
    <row r="558" customFormat="false" ht="15" hidden="false" customHeight="false" outlineLevel="0" collapsed="false">
      <c r="A558" s="4" t="s">
        <v>324</v>
      </c>
      <c r="B558" s="0" t="s">
        <v>186</v>
      </c>
      <c r="C558" s="20" t="n">
        <f aca="false">C557</f>
        <v>12.78848</v>
      </c>
      <c r="D558" s="20" t="n">
        <f aca="false">D557</f>
        <v>17.956088</v>
      </c>
      <c r="E558" s="20" t="n">
        <f aca="false">E557+0*E544</f>
        <v>25.2874885726626</v>
      </c>
      <c r="F558" s="20" t="n">
        <f aca="false">F557+0*F544</f>
        <v>27.3553053353604</v>
      </c>
      <c r="G558" s="20" t="n">
        <f aca="false">G557+0*G544</f>
        <v>29.6375325537622</v>
      </c>
    </row>
    <row r="559" customFormat="false" ht="15" hidden="false" customHeight="false" outlineLevel="0" collapsed="false">
      <c r="A559" s="4" t="s">
        <v>326</v>
      </c>
      <c r="B559" s="0" t="s">
        <v>186</v>
      </c>
      <c r="C559" s="20" t="n">
        <f aca="false">C555-C558</f>
        <v>32.132608</v>
      </c>
      <c r="D559" s="20" t="n">
        <f aca="false">D555-D558</f>
        <v>59.919819</v>
      </c>
      <c r="E559" s="20" t="n">
        <f aca="false">E555-E558</f>
        <v>111.332480342724</v>
      </c>
      <c r="F559" s="20" t="n">
        <f aca="false">F555-F558</f>
        <v>127.918616137293</v>
      </c>
      <c r="G559" s="20" t="n">
        <f aca="false">G555-G558</f>
        <v>147.975235817751</v>
      </c>
    </row>
    <row r="560" customFormat="false" ht="15" hidden="false" customHeight="false" outlineLevel="0" collapsed="false">
      <c r="A560" s="4" t="s">
        <v>328</v>
      </c>
      <c r="B560" s="0" t="s">
        <v>103</v>
      </c>
      <c r="C560" s="15" t="n">
        <f aca="false">C559/C544</f>
        <v>0.1294</v>
      </c>
      <c r="D560" s="15" t="n">
        <f aca="false">D559/D544</f>
        <v>0.145875070478906</v>
      </c>
      <c r="E560" s="15" t="n">
        <f aca="false">E559/E544</f>
        <v>0.161285615849947</v>
      </c>
      <c r="F560" s="15" t="n">
        <f aca="false">F559/F544</f>
        <v>0.163087015880118</v>
      </c>
      <c r="G560" s="15" t="n">
        <f aca="false">G559/G544</f>
        <v>0.165627515750834</v>
      </c>
    </row>
    <row r="561" customFormat="false" ht="17.15" hidden="false" customHeight="false" outlineLevel="0" collapsed="false">
      <c r="A561" s="4" t="s">
        <v>224</v>
      </c>
      <c r="B561" s="0" t="s">
        <v>76</v>
      </c>
      <c r="C561" s="16" t="n">
        <f aca="false">a25_ni/a25_oi</f>
        <v>0.819790289042209</v>
      </c>
      <c r="D561" s="16" t="n">
        <f aca="false">a26_ni/a26_oi</f>
        <v>0.798164213413262</v>
      </c>
      <c r="E561" s="16" t="n">
        <f aca="false">nio_f</f>
        <v>0.8</v>
      </c>
      <c r="F561" s="16" t="n">
        <f aca="false">nio_f</f>
        <v>0.8</v>
      </c>
      <c r="G561" s="16" t="n">
        <f aca="false">nio_f</f>
        <v>0.8</v>
      </c>
    </row>
    <row r="562" customFormat="false" ht="15" hidden="false" customHeight="false" outlineLevel="0" collapsed="false">
      <c r="A562" s="4" t="s">
        <v>329</v>
      </c>
      <c r="B562" s="0" t="s">
        <v>186</v>
      </c>
      <c r="C562" s="20" t="n">
        <f aca="false">a25_ni</f>
        <v>26.342</v>
      </c>
      <c r="D562" s="20" t="n">
        <f aca="false">a26_ni</f>
        <v>47.8258552</v>
      </c>
      <c r="E562" s="20" t="n">
        <f aca="false">E559*E561</f>
        <v>89.065984274179</v>
      </c>
      <c r="F562" s="20" t="n">
        <f aca="false">F559*F561</f>
        <v>102.334892909834</v>
      </c>
      <c r="G562" s="20" t="n">
        <f aca="false">G559*G561</f>
        <v>118.380188654201</v>
      </c>
    </row>
    <row r="563" customFormat="false" ht="15" hidden="false" customHeight="false" outlineLevel="0" collapsed="false">
      <c r="A563" s="4" t="s">
        <v>428</v>
      </c>
      <c r="B563" s="4" t="s">
        <v>211</v>
      </c>
      <c r="C563" s="17" t="n">
        <f aca="false">a25_sh</f>
        <v>0.558922130277955</v>
      </c>
      <c r="D563" s="17" t="n">
        <f aca="false">a26_sh</f>
        <v>0.558904899135447</v>
      </c>
      <c r="E563" s="17" t="n">
        <f aca="false">D563*(1+sh_g27)</f>
        <v>0.568853406340058</v>
      </c>
      <c r="F563" s="17" t="n">
        <f aca="false">E563*(1+sh_g)</f>
        <v>0.568853406340058</v>
      </c>
      <c r="G563" s="17" t="n">
        <f aca="false">F563*(1+sh_g)</f>
        <v>0.568853406340058</v>
      </c>
    </row>
    <row r="564" customFormat="false" ht="15" hidden="false" customHeight="false" outlineLevel="0" collapsed="false">
      <c r="A564" s="0" t="s">
        <v>334</v>
      </c>
      <c r="B564" s="0" t="s">
        <v>244</v>
      </c>
      <c r="C564" s="14" t="n">
        <f aca="false">C562/C563</f>
        <v>47.13</v>
      </c>
      <c r="D564" s="14" t="n">
        <f aca="false">D562/D563</f>
        <v>85.5706494503455</v>
      </c>
      <c r="E564" s="14" t="n">
        <f aca="false">E562/E563</f>
        <v>156.571066080487</v>
      </c>
      <c r="F564" s="14" t="n">
        <f aca="false">F562/F563</f>
        <v>179.896774404932</v>
      </c>
      <c r="G564" s="14" t="n">
        <f aca="false">G562/G563</f>
        <v>208.103155109585</v>
      </c>
    </row>
    <row r="565" customFormat="false" ht="17.15" hidden="false" customHeight="false" outlineLevel="0" collapsed="false">
      <c r="A565" s="0" t="s">
        <v>429</v>
      </c>
      <c r="B565" s="0" t="s">
        <v>103</v>
      </c>
      <c r="D565" s="18" t="n">
        <f aca="false">D564/C564-1</f>
        <v>0.815630160202535</v>
      </c>
      <c r="E565" s="18" t="n">
        <f aca="false">E564/D564-1</f>
        <v>0.829728617069114</v>
      </c>
      <c r="F565" s="18" t="n">
        <f aca="false">F564/E564-1</f>
        <v>0.148978409027722</v>
      </c>
      <c r="G565" s="18" t="n">
        <f aca="false">G564/F564-1</f>
        <v>0.156792031418879</v>
      </c>
    </row>
    <row r="568" customFormat="false" ht="17.15" hidden="false" customHeight="false" outlineLevel="0" collapsed="false">
      <c r="A568" s="1" t="s">
        <v>736</v>
      </c>
    </row>
    <row r="569" customFormat="false" ht="17.15" hidden="false" customHeight="false" outlineLevel="0" collapsed="false">
      <c r="A569" s="5" t="s">
        <v>21</v>
      </c>
      <c r="B569" s="5" t="s">
        <v>22</v>
      </c>
      <c r="C569" s="12" t="s">
        <v>309</v>
      </c>
      <c r="D569" s="12" t="s">
        <v>371</v>
      </c>
      <c r="E569" s="12" t="s">
        <v>372</v>
      </c>
      <c r="F569" s="12" t="s">
        <v>373</v>
      </c>
      <c r="G569" s="12" t="s">
        <v>374</v>
      </c>
      <c r="H569" s="5" t="s">
        <v>350</v>
      </c>
    </row>
    <row r="570" customFormat="false" ht="17.15" hidden="false" customHeight="false" outlineLevel="0" collapsed="false">
      <c r="A570" s="6" t="s">
        <v>389</v>
      </c>
    </row>
    <row r="571" customFormat="false" ht="17.15" hidden="false" customHeight="false" outlineLevel="0" collapsed="false">
      <c r="A571" s="4" t="s">
        <v>390</v>
      </c>
      <c r="B571" s="0" t="s">
        <v>186</v>
      </c>
      <c r="C571" s="20" t="n">
        <f aca="false">a25_rev*nap25s</f>
        <v>156.4416</v>
      </c>
      <c r="D571" s="20" t="n">
        <f aca="false">a26_rev*ns26_hi</f>
        <v>238.241496</v>
      </c>
    </row>
    <row r="572" customFormat="false" ht="17.15" hidden="false" customHeight="false" outlineLevel="0" collapsed="false">
      <c r="A572" s="4" t="s">
        <v>391</v>
      </c>
      <c r="B572" s="0" t="s">
        <v>186</v>
      </c>
      <c r="C572" s="20" t="n">
        <f aca="false">a25_rev*(1-nap25s-sw25s*af25)</f>
        <v>41.22112</v>
      </c>
      <c r="D572" s="20" t="n">
        <f aca="false">C572*(1+g_nai26)</f>
        <v>45.343232</v>
      </c>
    </row>
    <row r="573" customFormat="false" ht="17.15" hidden="false" customHeight="false" outlineLevel="0" collapsed="false">
      <c r="A573" s="0" t="s">
        <v>392</v>
      </c>
      <c r="B573" s="0" t="s">
        <v>186</v>
      </c>
      <c r="C573" s="20" t="n">
        <f aca="false">a25_rev*sw25s*af25</f>
        <v>50.65728</v>
      </c>
      <c r="D573" s="20" t="n">
        <f aca="false">a26_rev-D571-D572</f>
        <v>127.176472</v>
      </c>
      <c r="H573" s="8" t="s">
        <v>393</v>
      </c>
    </row>
    <row r="574" customFormat="false" ht="17.15" hidden="false" customHeight="false" outlineLevel="0" collapsed="false">
      <c r="A574" s="6" t="s">
        <v>394</v>
      </c>
    </row>
    <row r="575" customFormat="false" ht="17.15" hidden="false" customHeight="false" outlineLevel="0" collapsed="false">
      <c r="A575" s="0" t="s">
        <v>395</v>
      </c>
      <c r="B575" s="0" t="s">
        <v>32</v>
      </c>
      <c r="D575" s="14" t="n">
        <f aca="false">mkt_26*1</f>
        <v>32.0719</v>
      </c>
      <c r="E575" s="14" t="n">
        <f aca="false">mkt_27*1*1</f>
        <v>61.085</v>
      </c>
      <c r="F575" s="14" t="n">
        <f aca="false">mkt_28*um28_A*1</f>
        <v>69.005</v>
      </c>
      <c r="G575" s="14" t="n">
        <f aca="false">mkt_29*um29_A*1</f>
        <v>78.48215</v>
      </c>
    </row>
    <row r="576" customFormat="false" ht="15" hidden="false" customHeight="false" outlineLevel="0" collapsed="false">
      <c r="A576" s="4" t="s">
        <v>396</v>
      </c>
      <c r="B576" s="0" t="s">
        <v>103</v>
      </c>
      <c r="D576" s="18" t="n">
        <f aca="false">eth_26</f>
        <v>0.75</v>
      </c>
      <c r="E576" s="18" t="n">
        <f aca="false">eth_27</f>
        <v>0.8</v>
      </c>
      <c r="F576" s="18" t="n">
        <f aca="false">eth_28</f>
        <v>0.83</v>
      </c>
      <c r="G576" s="18" t="n">
        <f aca="false">eth_29</f>
        <v>0.85</v>
      </c>
    </row>
    <row r="577" customFormat="false" ht="17.15" hidden="false" customHeight="false" outlineLevel="0" collapsed="false">
      <c r="A577" s="4" t="s">
        <v>397</v>
      </c>
      <c r="B577" s="0" t="s">
        <v>32</v>
      </c>
      <c r="D577" s="14" t="n">
        <f aca="false">su_26*1</f>
        <v>3.015</v>
      </c>
      <c r="E577" s="14" t="n">
        <f aca="false">su_27*1*1</f>
        <v>11.3414</v>
      </c>
      <c r="F577" s="14" t="n">
        <f aca="false">su_28*um28_A*1</f>
        <v>13.8952</v>
      </c>
      <c r="G577" s="14" t="n">
        <f aca="false">su_29*um29_A*1</f>
        <v>15.97948</v>
      </c>
    </row>
    <row r="578" customFormat="false" ht="17.15" hidden="false" customHeight="false" outlineLevel="0" collapsed="false">
      <c r="A578" s="0" t="s">
        <v>398</v>
      </c>
      <c r="B578" s="0" t="s">
        <v>32</v>
      </c>
      <c r="D578" s="14" t="n">
        <f aca="false">D575*D576+D577</f>
        <v>27.068925</v>
      </c>
      <c r="E578" s="14" t="n">
        <f aca="false">E575*E576+E577</f>
        <v>60.2094</v>
      </c>
      <c r="F578" s="14" t="n">
        <f aca="false">F575*F576+F577</f>
        <v>71.16935</v>
      </c>
      <c r="G578" s="14" t="n">
        <f aca="false">G575*G576+G577</f>
        <v>82.6893075</v>
      </c>
    </row>
    <row r="579" customFormat="false" ht="15" hidden="false" customHeight="false" outlineLevel="0" collapsed="false">
      <c r="A579" s="4" t="s">
        <v>355</v>
      </c>
      <c r="B579" s="0" t="s">
        <v>103</v>
      </c>
      <c r="D579" s="18" t="n">
        <f aca="false">wb_26</f>
        <v>0.45</v>
      </c>
      <c r="E579" s="18" t="n">
        <f aca="false">wb_27</f>
        <v>0.47</v>
      </c>
      <c r="F579" s="18" t="n">
        <f aca="false">wb_28</f>
        <v>0.48</v>
      </c>
      <c r="G579" s="18" t="n">
        <f aca="false">wb_29</f>
        <v>0.5</v>
      </c>
    </row>
    <row r="580" customFormat="false" ht="17.15" hidden="false" customHeight="false" outlineLevel="0" collapsed="false">
      <c r="A580" s="4" t="s">
        <v>357</v>
      </c>
      <c r="B580" s="0" t="s">
        <v>32</v>
      </c>
      <c r="D580" s="14" t="n">
        <f aca="false">D578*D579</f>
        <v>12.18101625</v>
      </c>
      <c r="E580" s="14" t="n">
        <f aca="false">E578*E579</f>
        <v>28.298418</v>
      </c>
      <c r="F580" s="14" t="n">
        <f aca="false">F578*F579</f>
        <v>34.161288</v>
      </c>
      <c r="G580" s="14" t="n">
        <f aca="false">G578*G579</f>
        <v>41.34465375</v>
      </c>
    </row>
    <row r="581" customFormat="false" ht="17.15" hidden="false" customHeight="false" outlineLevel="0" collapsed="false">
      <c r="A581" s="4" t="s">
        <v>399</v>
      </c>
      <c r="B581" s="0" t="s">
        <v>103</v>
      </c>
      <c r="D581" s="18" t="n">
        <f aca="false">D573/fx/D580</f>
        <v>0.326267092041684</v>
      </c>
      <c r="H581" s="8" t="s">
        <v>400</v>
      </c>
    </row>
    <row r="582" customFormat="false" ht="17.15" hidden="false" customHeight="false" outlineLevel="0" collapsed="false">
      <c r="A582" s="4" t="s">
        <v>401</v>
      </c>
      <c r="B582" s="0" t="s">
        <v>76</v>
      </c>
      <c r="D582" s="19" t="n">
        <f aca="false">1</f>
        <v>1</v>
      </c>
      <c r="E582" s="19" t="n">
        <f aca="false">rel_27</f>
        <v>1</v>
      </c>
      <c r="F582" s="19" t="n">
        <f aca="false">rel_28</f>
        <v>0.95</v>
      </c>
      <c r="G582" s="19" t="n">
        <f aca="false">rel_29</f>
        <v>0.92</v>
      </c>
    </row>
    <row r="583" customFormat="false" ht="15" hidden="false" customHeight="false" outlineLevel="0" collapsed="false">
      <c r="A583" s="4" t="s">
        <v>402</v>
      </c>
      <c r="B583" s="0" t="s">
        <v>103</v>
      </c>
      <c r="D583" s="18" t="n">
        <f aca="false">$D$581*D582</f>
        <v>0.326267092041684</v>
      </c>
      <c r="E583" s="18" t="n">
        <f aca="false">$D$581*E582</f>
        <v>0.326267092041684</v>
      </c>
      <c r="F583" s="18" t="n">
        <f aca="false">$D$581*F582</f>
        <v>0.3099537374396</v>
      </c>
      <c r="G583" s="18" t="n">
        <f aca="false">$D$581*G582</f>
        <v>0.300165724678349</v>
      </c>
    </row>
    <row r="584" customFormat="false" ht="17.15" hidden="false" customHeight="false" outlineLevel="0" collapsed="false">
      <c r="A584" s="0" t="s">
        <v>403</v>
      </c>
      <c r="B584" s="0" t="s">
        <v>186</v>
      </c>
      <c r="C584" s="20" t="n">
        <f aca="false">C573</f>
        <v>50.65728</v>
      </c>
      <c r="D584" s="20" t="n">
        <f aca="false">D580*D583*fx</f>
        <v>127.176472</v>
      </c>
      <c r="E584" s="20" t="n">
        <f aca="false">E580*E583*fx</f>
        <v>295.450961607682</v>
      </c>
      <c r="F584" s="20" t="n">
        <f aca="false">F580*F583*fx</f>
        <v>338.829404523218</v>
      </c>
      <c r="G584" s="20" t="n">
        <f aca="false">G580*G583*fx</f>
        <v>397.127934542214</v>
      </c>
    </row>
    <row r="585" customFormat="false" ht="17.15" hidden="false" customHeight="false" outlineLevel="0" collapsed="false">
      <c r="A585" s="6" t="s">
        <v>404</v>
      </c>
    </row>
    <row r="586" customFormat="false" ht="17.15" hidden="false" customHeight="false" outlineLevel="0" collapsed="false">
      <c r="A586" s="0" t="s">
        <v>405</v>
      </c>
      <c r="B586" s="4" t="s">
        <v>55</v>
      </c>
      <c r="D586" s="19" t="n">
        <f aca="false">trn_26*1</f>
        <v>2</v>
      </c>
      <c r="E586" s="19" t="n">
        <f aca="false">trn_27*1*1</f>
        <v>2.5</v>
      </c>
      <c r="F586" s="19" t="n">
        <f aca="false">trn_28*um28_A*1</f>
        <v>3</v>
      </c>
      <c r="G586" s="19" t="n">
        <f aca="false">trn_29*um29_A*1</f>
        <v>3.45</v>
      </c>
    </row>
    <row r="587" customFormat="false" ht="17.15" hidden="false" customHeight="false" outlineLevel="0" collapsed="false">
      <c r="A587" s="4" t="s">
        <v>406</v>
      </c>
      <c r="B587" s="4" t="s">
        <v>407</v>
      </c>
      <c r="D587" s="20" t="n">
        <f aca="false">D571/D586</f>
        <v>119.120748</v>
      </c>
      <c r="H587" s="8" t="s">
        <v>408</v>
      </c>
    </row>
    <row r="588" customFormat="false" ht="17.15" hidden="false" customHeight="false" outlineLevel="0" collapsed="false">
      <c r="A588" s="4" t="s">
        <v>409</v>
      </c>
      <c r="B588" s="0" t="s">
        <v>76</v>
      </c>
      <c r="D588" s="19" t="n">
        <f aca="false">1</f>
        <v>1</v>
      </c>
      <c r="E588" s="19" t="n">
        <f aca="false">nrel_27</f>
        <v>0.9</v>
      </c>
      <c r="F588" s="19" t="n">
        <f aca="false">nrel_28</f>
        <v>0.85</v>
      </c>
      <c r="G588" s="19" t="n">
        <f aca="false">nrel_29</f>
        <v>0.8</v>
      </c>
    </row>
    <row r="589" customFormat="false" ht="15" hidden="false" customHeight="false" outlineLevel="0" collapsed="false">
      <c r="A589" s="4" t="s">
        <v>410</v>
      </c>
      <c r="B589" s="0" t="s">
        <v>186</v>
      </c>
      <c r="C589" s="20" t="n">
        <f aca="false">C571</f>
        <v>156.4416</v>
      </c>
      <c r="D589" s="20" t="n">
        <f aca="false">D586*$D$587*D588</f>
        <v>238.241496</v>
      </c>
      <c r="E589" s="20" t="n">
        <f aca="false">E586*$D$587*E588</f>
        <v>268.021683</v>
      </c>
      <c r="F589" s="20" t="n">
        <f aca="false">F586*$D$587*F588</f>
        <v>303.7579074</v>
      </c>
      <c r="G589" s="20" t="n">
        <f aca="false">G586*$D$587*G588</f>
        <v>328.77326448</v>
      </c>
    </row>
    <row r="590" customFormat="false" ht="17.15" hidden="false" customHeight="false" outlineLevel="0" collapsed="false">
      <c r="A590" s="6" t="s">
        <v>411</v>
      </c>
    </row>
    <row r="591" customFormat="false" ht="17.15" hidden="false" customHeight="false" outlineLevel="0" collapsed="false">
      <c r="A591" s="4" t="s">
        <v>412</v>
      </c>
      <c r="B591" s="0" t="s">
        <v>186</v>
      </c>
      <c r="C591" s="20" t="n">
        <f aca="false">C572</f>
        <v>41.22112</v>
      </c>
      <c r="D591" s="20" t="n">
        <f aca="false">D572</f>
        <v>45.343232</v>
      </c>
      <c r="E591" s="20" t="n">
        <f aca="false">D591*(1+g_nai27)</f>
        <v>48.06382592</v>
      </c>
      <c r="F591" s="20" t="n">
        <f aca="false">E591*(1+g_nai28)</f>
        <v>50.467017216</v>
      </c>
      <c r="G591" s="20" t="n">
        <f aca="false">F591*(1+g_nai29)</f>
        <v>52.9903680768</v>
      </c>
    </row>
    <row r="592" customFormat="false" ht="15" hidden="false" customHeight="false" outlineLevel="0" collapsed="false">
      <c r="A592" s="4" t="s">
        <v>316</v>
      </c>
      <c r="B592" s="0" t="s">
        <v>186</v>
      </c>
      <c r="C592" s="20" t="n">
        <f aca="false">C584+C589+C591</f>
        <v>248.32</v>
      </c>
      <c r="D592" s="20" t="n">
        <f aca="false">D584+D589+D591</f>
        <v>410.7612</v>
      </c>
      <c r="E592" s="20" t="n">
        <f aca="false">E584+E589+E591</f>
        <v>611.536470527682</v>
      </c>
      <c r="F592" s="20" t="n">
        <f aca="false">F584+F589+F591</f>
        <v>693.054329139218</v>
      </c>
      <c r="G592" s="20" t="n">
        <f aca="false">G584+G589+G591</f>
        <v>778.891567099014</v>
      </c>
    </row>
    <row r="593" customFormat="false" ht="17.15" hidden="false" customHeight="false" outlineLevel="0" collapsed="false">
      <c r="A593" s="4" t="s">
        <v>413</v>
      </c>
      <c r="B593" s="0" t="s">
        <v>103</v>
      </c>
      <c r="C593" s="18" t="n">
        <f aca="false">sw25s*(1-af25)/(1-nap25s-sw25s*af25)</f>
        <v>0.819277108433735</v>
      </c>
      <c r="H593" s="8" t="s">
        <v>414</v>
      </c>
    </row>
    <row r="594" customFormat="false" ht="17.15" hidden="false" customHeight="false" outlineLevel="0" collapsed="false">
      <c r="A594" s="4" t="s">
        <v>415</v>
      </c>
      <c r="B594" s="0" t="s">
        <v>186</v>
      </c>
      <c r="C594" s="20" t="n">
        <f aca="false">C591*$C$593</f>
        <v>33.77152</v>
      </c>
      <c r="D594" s="20" t="n">
        <f aca="false">D591*$C$593</f>
        <v>37.148672</v>
      </c>
      <c r="E594" s="20" t="n">
        <f aca="false">E591*$C$593</f>
        <v>39.37759232</v>
      </c>
      <c r="F594" s="20" t="n">
        <f aca="false">F591*$C$593</f>
        <v>41.346471936</v>
      </c>
      <c r="G594" s="20" t="n">
        <f aca="false">G591*$C$593</f>
        <v>43.4137955328</v>
      </c>
    </row>
    <row r="595" customFormat="false" ht="17.15" hidden="false" customHeight="false" outlineLevel="0" collapsed="false">
      <c r="A595" s="4" t="s">
        <v>416</v>
      </c>
      <c r="B595" s="0" t="s">
        <v>186</v>
      </c>
      <c r="C595" s="20" t="n">
        <f aca="false">C584+C594</f>
        <v>84.4288</v>
      </c>
      <c r="D595" s="20" t="n">
        <f aca="false">D584+D594</f>
        <v>164.325144</v>
      </c>
      <c r="E595" s="20" t="n">
        <f aca="false">E584+E594</f>
        <v>334.828553927682</v>
      </c>
      <c r="F595" s="20" t="n">
        <f aca="false">F584+F594</f>
        <v>380.175876459218</v>
      </c>
      <c r="G595" s="20" t="n">
        <f aca="false">G584+G594</f>
        <v>440.541730075014</v>
      </c>
      <c r="H595" s="4" t="s">
        <v>417</v>
      </c>
    </row>
    <row r="596" customFormat="false" ht="17.15" hidden="false" customHeight="false" outlineLevel="0" collapsed="false">
      <c r="A596" s="4" t="s">
        <v>418</v>
      </c>
      <c r="B596" s="0" t="s">
        <v>186</v>
      </c>
      <c r="C596" s="20" t="n">
        <f aca="false">C591-C594</f>
        <v>7.44959999999999</v>
      </c>
      <c r="D596" s="20" t="n">
        <f aca="false">D591-D594</f>
        <v>8.19455999999999</v>
      </c>
      <c r="E596" s="20" t="n">
        <f aca="false">E591-E594</f>
        <v>8.68623359999999</v>
      </c>
      <c r="F596" s="20" t="n">
        <f aca="false">F591-F594</f>
        <v>9.12054527999999</v>
      </c>
      <c r="G596" s="20" t="n">
        <f aca="false">G591-G594</f>
        <v>9.57657254399999</v>
      </c>
      <c r="H596" s="4" t="s">
        <v>419</v>
      </c>
    </row>
    <row r="597" customFormat="false" ht="17.15" hidden="false" customHeight="false" outlineLevel="0" collapsed="false">
      <c r="A597" s="4" t="s">
        <v>420</v>
      </c>
      <c r="B597" s="0" t="s">
        <v>186</v>
      </c>
      <c r="C597" s="16" t="n">
        <f aca="false">C595+C589+C596-a25_rev</f>
        <v>0</v>
      </c>
      <c r="D597" s="16" t="n">
        <f aca="false">D595+D589+D596-D592</f>
        <v>0</v>
      </c>
      <c r="E597" s="16" t="n">
        <f aca="false">E595+E589+E596-E592</f>
        <v>0</v>
      </c>
      <c r="F597" s="16" t="n">
        <f aca="false">F595+F589+F596-F592</f>
        <v>0</v>
      </c>
      <c r="G597" s="16" t="n">
        <f aca="false">G595+G589+G596-G592</f>
        <v>0</v>
      </c>
    </row>
    <row r="598" customFormat="false" ht="15" hidden="false" customHeight="false" outlineLevel="0" collapsed="false">
      <c r="A598" s="4" t="s">
        <v>421</v>
      </c>
      <c r="B598" s="0" t="s">
        <v>103</v>
      </c>
      <c r="D598" s="18" t="n">
        <f aca="false">D592/C592-1</f>
        <v>0.654160760309279</v>
      </c>
      <c r="E598" s="18" t="n">
        <f aca="false">E592/D592-1</f>
        <v>0.488788304561584</v>
      </c>
      <c r="F598" s="18" t="n">
        <f aca="false">F592/E592-1</f>
        <v>0.133300077003087</v>
      </c>
      <c r="G598" s="18" t="n">
        <f aca="false">G592/F592-1</f>
        <v>0.123853548489347</v>
      </c>
    </row>
    <row r="599" customFormat="false" ht="17.15" hidden="false" customHeight="false" outlineLevel="0" collapsed="false">
      <c r="A599" s="0" t="s">
        <v>422</v>
      </c>
      <c r="B599" s="0" t="s">
        <v>103</v>
      </c>
      <c r="C599" s="18" t="n">
        <f aca="false">(C584+C589)/C592</f>
        <v>0.834</v>
      </c>
      <c r="D599" s="18" t="n">
        <f aca="false">(D584+D589)/D592</f>
        <v>0.889611696528299</v>
      </c>
      <c r="E599" s="18" t="n">
        <f aca="false">(E584+E589)/E592</f>
        <v>0.921404808647754</v>
      </c>
      <c r="F599" s="18" t="n">
        <f aca="false">(F584+F589)/F592</f>
        <v>0.927181730069155</v>
      </c>
      <c r="G599" s="18" t="n">
        <f aca="false">(G584+G589)/G592</f>
        <v>0.931966951094152</v>
      </c>
    </row>
    <row r="600" customFormat="false" ht="17.15" hidden="false" customHeight="false" outlineLevel="0" collapsed="false">
      <c r="A600" s="4" t="s">
        <v>423</v>
      </c>
      <c r="B600" s="0" t="s">
        <v>103</v>
      </c>
      <c r="C600" s="18" t="n">
        <f aca="false">C589/C592</f>
        <v>0.63</v>
      </c>
      <c r="D600" s="18" t="n">
        <f aca="false">D589/D592</f>
        <v>0.58</v>
      </c>
      <c r="E600" s="18" t="n">
        <f aca="false">E589/E592</f>
        <v>0.438275877101377</v>
      </c>
      <c r="F600" s="18" t="n">
        <f aca="false">F589/F592</f>
        <v>0.438288738167571</v>
      </c>
      <c r="G600" s="18" t="n">
        <f aca="false">G589/G592</f>
        <v>0.422104023676258</v>
      </c>
    </row>
    <row r="601" customFormat="false" ht="17.15" hidden="false" customHeight="false" outlineLevel="0" collapsed="false">
      <c r="A601" s="6" t="s">
        <v>424</v>
      </c>
    </row>
    <row r="602" customFormat="false" ht="17.15" hidden="false" customHeight="false" outlineLevel="0" collapsed="false">
      <c r="A602" s="4" t="s">
        <v>425</v>
      </c>
      <c r="B602" s="0" t="s">
        <v>103</v>
      </c>
      <c r="D602" s="15" t="n">
        <f aca="false">a26_gp/a26_rev+d_nap*D600</f>
        <v>0.224389247962076</v>
      </c>
      <c r="H602" s="8" t="s">
        <v>426</v>
      </c>
    </row>
    <row r="603" customFormat="false" ht="15" hidden="false" customHeight="false" outlineLevel="0" collapsed="false">
      <c r="A603" s="4" t="s">
        <v>320</v>
      </c>
      <c r="B603" s="0" t="s">
        <v>186</v>
      </c>
      <c r="C603" s="20" t="n">
        <f aca="false">a25_gp</f>
        <v>44.921088</v>
      </c>
      <c r="D603" s="20" t="n">
        <f aca="false">a26_gp</f>
        <v>77.875907</v>
      </c>
      <c r="E603" s="20" t="n">
        <f aca="false">$D$602*(E584+E591)+($D$602-d_nap)*E589</f>
        <v>121.140907743089</v>
      </c>
      <c r="F603" s="20" t="n">
        <f aca="false">$D$602*(F584+F591)+($D$602-d_nap)*F589</f>
        <v>137.28846526841</v>
      </c>
      <c r="G603" s="20" t="n">
        <f aca="false">$D$602*(G584+G591)+($D$602-d_nap)*G589</f>
        <v>155.048497116551</v>
      </c>
    </row>
    <row r="604" customFormat="false" ht="15" hidden="false" customHeight="false" outlineLevel="0" collapsed="false">
      <c r="A604" s="4" t="s">
        <v>322</v>
      </c>
      <c r="B604" s="0" t="s">
        <v>103</v>
      </c>
      <c r="C604" s="15" t="n">
        <f aca="false">C603/C592</f>
        <v>0.1809</v>
      </c>
      <c r="D604" s="15" t="n">
        <f aca="false">D603/D592</f>
        <v>0.189589247962076</v>
      </c>
      <c r="E604" s="15" t="n">
        <f aca="false">E603/E592</f>
        <v>0.198092695335994</v>
      </c>
      <c r="F604" s="15" t="n">
        <f aca="false">F603/F592</f>
        <v>0.198091923672022</v>
      </c>
      <c r="G604" s="15" t="n">
        <f aca="false">G603/G592</f>
        <v>0.199063006541501</v>
      </c>
    </row>
    <row r="605" customFormat="false" ht="15" hidden="false" customHeight="false" outlineLevel="0" collapsed="false">
      <c r="A605" s="4" t="s">
        <v>427</v>
      </c>
      <c r="B605" s="0" t="s">
        <v>186</v>
      </c>
      <c r="C605" s="20" t="n">
        <f aca="false">a25_opx</f>
        <v>12.78848</v>
      </c>
      <c r="D605" s="20" t="n">
        <f aca="false">a26_opx</f>
        <v>17.956088</v>
      </c>
      <c r="E605" s="20" t="n">
        <f aca="false">D605*(1+MAX(0,phi*E598))</f>
        <v>23.2221234860472</v>
      </c>
      <c r="F605" s="20" t="n">
        <f aca="false">E605*(1+MAX(0,phi*F598))</f>
        <v>25.0794299953663</v>
      </c>
      <c r="G605" s="20" t="n">
        <f aca="false">F605*(1+MAX(0,phi*G598))</f>
        <v>26.9431358347761</v>
      </c>
    </row>
    <row r="606" customFormat="false" ht="15" hidden="false" customHeight="false" outlineLevel="0" collapsed="false">
      <c r="A606" s="4" t="s">
        <v>324</v>
      </c>
      <c r="B606" s="0" t="s">
        <v>186</v>
      </c>
      <c r="C606" s="20" t="n">
        <f aca="false">C605</f>
        <v>12.78848</v>
      </c>
      <c r="D606" s="20" t="n">
        <f aca="false">D605</f>
        <v>17.956088</v>
      </c>
      <c r="E606" s="20" t="n">
        <f aca="false">E605+0*E592</f>
        <v>23.2221234860472</v>
      </c>
      <c r="F606" s="20" t="n">
        <f aca="false">F605+0*F592</f>
        <v>25.0794299953663</v>
      </c>
      <c r="G606" s="20" t="n">
        <f aca="false">G605+0*G592</f>
        <v>26.9431358347761</v>
      </c>
    </row>
    <row r="607" customFormat="false" ht="15" hidden="false" customHeight="false" outlineLevel="0" collapsed="false">
      <c r="A607" s="4" t="s">
        <v>326</v>
      </c>
      <c r="B607" s="0" t="s">
        <v>186</v>
      </c>
      <c r="C607" s="20" t="n">
        <f aca="false">C603-C606</f>
        <v>32.132608</v>
      </c>
      <c r="D607" s="20" t="n">
        <f aca="false">D603-D606</f>
        <v>59.919819</v>
      </c>
      <c r="E607" s="20" t="n">
        <f aca="false">E603-E606</f>
        <v>97.9187842570417</v>
      </c>
      <c r="F607" s="20" t="n">
        <f aca="false">F603-F606</f>
        <v>112.209035273044</v>
      </c>
      <c r="G607" s="20" t="n">
        <f aca="false">G603-G606</f>
        <v>128.105361281775</v>
      </c>
    </row>
    <row r="608" customFormat="false" ht="15" hidden="false" customHeight="false" outlineLevel="0" collapsed="false">
      <c r="A608" s="4" t="s">
        <v>328</v>
      </c>
      <c r="B608" s="0" t="s">
        <v>103</v>
      </c>
      <c r="C608" s="15" t="n">
        <f aca="false">C607/C592</f>
        <v>0.1294</v>
      </c>
      <c r="D608" s="15" t="n">
        <f aca="false">D607/D592</f>
        <v>0.145875070478906</v>
      </c>
      <c r="E608" s="15" t="n">
        <f aca="false">E607/E592</f>
        <v>0.160119288016543</v>
      </c>
      <c r="F608" s="15" t="n">
        <f aca="false">F607/F592</f>
        <v>0.161905106937878</v>
      </c>
      <c r="G608" s="15" t="n">
        <f aca="false">G607/G592</f>
        <v>0.164471367637095</v>
      </c>
    </row>
    <row r="609" customFormat="false" ht="17.15" hidden="false" customHeight="false" outlineLevel="0" collapsed="false">
      <c r="A609" s="4" t="s">
        <v>224</v>
      </c>
      <c r="B609" s="0" t="s">
        <v>76</v>
      </c>
      <c r="C609" s="16" t="n">
        <f aca="false">a25_ni/a25_oi</f>
        <v>0.819790289042209</v>
      </c>
      <c r="D609" s="16" t="n">
        <f aca="false">a26_ni/a26_oi</f>
        <v>0.798164213413262</v>
      </c>
      <c r="E609" s="16" t="n">
        <f aca="false">nio_f</f>
        <v>0.8</v>
      </c>
      <c r="F609" s="16" t="n">
        <f aca="false">nio_f</f>
        <v>0.8</v>
      </c>
      <c r="G609" s="16" t="n">
        <f aca="false">nio_f</f>
        <v>0.8</v>
      </c>
    </row>
    <row r="610" customFormat="false" ht="15" hidden="false" customHeight="false" outlineLevel="0" collapsed="false">
      <c r="A610" s="4" t="s">
        <v>329</v>
      </c>
      <c r="B610" s="0" t="s">
        <v>186</v>
      </c>
      <c r="C610" s="20" t="n">
        <f aca="false">a25_ni</f>
        <v>26.342</v>
      </c>
      <c r="D610" s="20" t="n">
        <f aca="false">a26_ni</f>
        <v>47.8258552</v>
      </c>
      <c r="E610" s="20" t="n">
        <f aca="false">E607*E609</f>
        <v>78.3350274056334</v>
      </c>
      <c r="F610" s="20" t="n">
        <f aca="false">F607*F609</f>
        <v>89.7672282184352</v>
      </c>
      <c r="G610" s="20" t="n">
        <f aca="false">G607*G609</f>
        <v>102.48428902542</v>
      </c>
    </row>
    <row r="611" customFormat="false" ht="15" hidden="false" customHeight="false" outlineLevel="0" collapsed="false">
      <c r="A611" s="4" t="s">
        <v>428</v>
      </c>
      <c r="B611" s="4" t="s">
        <v>211</v>
      </c>
      <c r="C611" s="17" t="n">
        <f aca="false">a25_sh</f>
        <v>0.558922130277955</v>
      </c>
      <c r="D611" s="17" t="n">
        <f aca="false">a26_sh</f>
        <v>0.558904899135447</v>
      </c>
      <c r="E611" s="17" t="n">
        <f aca="false">D611*(1+sh_g27)</f>
        <v>0.568853406340058</v>
      </c>
      <c r="F611" s="17" t="n">
        <f aca="false">E611*(1+sh_g)</f>
        <v>0.568853406340058</v>
      </c>
      <c r="G611" s="17" t="n">
        <f aca="false">F611*(1+sh_g)</f>
        <v>0.568853406340058</v>
      </c>
    </row>
    <row r="612" customFormat="false" ht="15" hidden="false" customHeight="false" outlineLevel="0" collapsed="false">
      <c r="A612" s="0" t="s">
        <v>334</v>
      </c>
      <c r="B612" s="0" t="s">
        <v>244</v>
      </c>
      <c r="C612" s="14" t="n">
        <f aca="false">C610/C611</f>
        <v>47.13</v>
      </c>
      <c r="D612" s="14" t="n">
        <f aca="false">D610/D611</f>
        <v>85.5706494503455</v>
      </c>
      <c r="E612" s="14" t="n">
        <f aca="false">E610/E611</f>
        <v>137.706879369208</v>
      </c>
      <c r="F612" s="14" t="n">
        <f aca="false">F610/F611</f>
        <v>157.803798338816</v>
      </c>
      <c r="G612" s="14" t="n">
        <f aca="false">G610/G611</f>
        <v>180.159401144827</v>
      </c>
    </row>
    <row r="613" customFormat="false" ht="17.15" hidden="false" customHeight="false" outlineLevel="0" collapsed="false">
      <c r="A613" s="0" t="s">
        <v>429</v>
      </c>
      <c r="B613" s="0" t="s">
        <v>103</v>
      </c>
      <c r="D613" s="18" t="n">
        <f aca="false">D612/C612-1</f>
        <v>0.815630160202535</v>
      </c>
      <c r="E613" s="18" t="n">
        <f aca="false">E612/D612-1</f>
        <v>0.609277015586003</v>
      </c>
      <c r="F613" s="18" t="n">
        <f aca="false">F612/E612-1</f>
        <v>0.145939832938383</v>
      </c>
      <c r="G613" s="18" t="n">
        <f aca="false">G612/F612-1</f>
        <v>0.141667076720242</v>
      </c>
    </row>
    <row r="616" customFormat="false" ht="17.15" hidden="false" customHeight="false" outlineLevel="0" collapsed="false">
      <c r="A616" s="1" t="s">
        <v>737</v>
      </c>
    </row>
    <row r="617" customFormat="false" ht="17.15" hidden="false" customHeight="false" outlineLevel="0" collapsed="false">
      <c r="A617" s="5" t="s">
        <v>21</v>
      </c>
      <c r="B617" s="5" t="s">
        <v>22</v>
      </c>
      <c r="C617" s="12" t="s">
        <v>309</v>
      </c>
      <c r="D617" s="12" t="s">
        <v>371</v>
      </c>
      <c r="E617" s="12" t="s">
        <v>372</v>
      </c>
      <c r="F617" s="12" t="s">
        <v>373</v>
      </c>
      <c r="G617" s="12" t="s">
        <v>374</v>
      </c>
      <c r="H617" s="5" t="s">
        <v>350</v>
      </c>
    </row>
    <row r="618" customFormat="false" ht="17.15" hidden="false" customHeight="false" outlineLevel="0" collapsed="false">
      <c r="A618" s="6" t="s">
        <v>389</v>
      </c>
    </row>
    <row r="619" customFormat="false" ht="17.15" hidden="false" customHeight="false" outlineLevel="0" collapsed="false">
      <c r="A619" s="4" t="s">
        <v>390</v>
      </c>
      <c r="B619" s="0" t="s">
        <v>186</v>
      </c>
      <c r="C619" s="20" t="n">
        <f aca="false">a25_rev*nap25s</f>
        <v>156.4416</v>
      </c>
      <c r="D619" s="20" t="n">
        <f aca="false">a26_rev*ns26</f>
        <v>205.3806</v>
      </c>
    </row>
    <row r="620" customFormat="false" ht="17.15" hidden="false" customHeight="false" outlineLevel="0" collapsed="false">
      <c r="A620" s="4" t="s">
        <v>391</v>
      </c>
      <c r="B620" s="0" t="s">
        <v>186</v>
      </c>
      <c r="C620" s="20" t="n">
        <f aca="false">a25_rev*(1-nap25s-sw25s*af25)</f>
        <v>41.22112</v>
      </c>
      <c r="D620" s="20" t="n">
        <f aca="false">C620*(1+g_nai26)</f>
        <v>45.343232</v>
      </c>
    </row>
    <row r="621" customFormat="false" ht="17.15" hidden="false" customHeight="false" outlineLevel="0" collapsed="false">
      <c r="A621" s="0" t="s">
        <v>392</v>
      </c>
      <c r="B621" s="0" t="s">
        <v>186</v>
      </c>
      <c r="C621" s="20" t="n">
        <f aca="false">a25_rev*sw25s*af25</f>
        <v>50.65728</v>
      </c>
      <c r="D621" s="20" t="n">
        <f aca="false">a26_rev-D619-D620</f>
        <v>160.037368</v>
      </c>
      <c r="H621" s="8" t="s">
        <v>393</v>
      </c>
    </row>
    <row r="622" customFormat="false" ht="17.15" hidden="false" customHeight="false" outlineLevel="0" collapsed="false">
      <c r="A622" s="6" t="s">
        <v>394</v>
      </c>
    </row>
    <row r="623" customFormat="false" ht="17.15" hidden="false" customHeight="false" outlineLevel="0" collapsed="false">
      <c r="A623" s="0" t="s">
        <v>395</v>
      </c>
      <c r="B623" s="0" t="s">
        <v>32</v>
      </c>
      <c r="D623" s="14" t="n">
        <f aca="false">mkt_26*1</f>
        <v>32.0719</v>
      </c>
      <c r="E623" s="14" t="n">
        <f aca="false">mkt_27*1*1</f>
        <v>61.085</v>
      </c>
      <c r="F623" s="14" t="n">
        <f aca="false">mkt_28*um28_A*1</f>
        <v>69.005</v>
      </c>
      <c r="G623" s="14" t="n">
        <f aca="false">mkt_29*um29_A*1</f>
        <v>78.48215</v>
      </c>
    </row>
    <row r="624" customFormat="false" ht="15" hidden="false" customHeight="false" outlineLevel="0" collapsed="false">
      <c r="A624" s="4" t="s">
        <v>396</v>
      </c>
      <c r="B624" s="0" t="s">
        <v>103</v>
      </c>
      <c r="D624" s="18" t="n">
        <f aca="false">eth_26</f>
        <v>0.75</v>
      </c>
      <c r="E624" s="18" t="n">
        <f aca="false">eth_27</f>
        <v>0.8</v>
      </c>
      <c r="F624" s="18" t="n">
        <f aca="false">eth_28</f>
        <v>0.83</v>
      </c>
      <c r="G624" s="18" t="n">
        <f aca="false">eth_29</f>
        <v>0.85</v>
      </c>
    </row>
    <row r="625" customFormat="false" ht="17.15" hidden="false" customHeight="false" outlineLevel="0" collapsed="false">
      <c r="A625" s="4" t="s">
        <v>397</v>
      </c>
      <c r="B625" s="0" t="s">
        <v>32</v>
      </c>
      <c r="D625" s="14" t="n">
        <f aca="false">su_26*1</f>
        <v>3.015</v>
      </c>
      <c r="E625" s="14" t="n">
        <f aca="false">su_27*1*1</f>
        <v>11.3414</v>
      </c>
      <c r="F625" s="14" t="n">
        <f aca="false">su_28*um28_A*1</f>
        <v>13.8952</v>
      </c>
      <c r="G625" s="14" t="n">
        <f aca="false">su_29*um29_A*1</f>
        <v>15.97948</v>
      </c>
    </row>
    <row r="626" customFormat="false" ht="17.15" hidden="false" customHeight="false" outlineLevel="0" collapsed="false">
      <c r="A626" s="0" t="s">
        <v>398</v>
      </c>
      <c r="B626" s="0" t="s">
        <v>32</v>
      </c>
      <c r="D626" s="14" t="n">
        <f aca="false">D623*D624+D625</f>
        <v>27.068925</v>
      </c>
      <c r="E626" s="14" t="n">
        <f aca="false">E623*E624+E625</f>
        <v>60.2094</v>
      </c>
      <c r="F626" s="14" t="n">
        <f aca="false">F623*F624+F625</f>
        <v>71.16935</v>
      </c>
      <c r="G626" s="14" t="n">
        <f aca="false">G623*G624+G625</f>
        <v>82.6893075</v>
      </c>
    </row>
    <row r="627" customFormat="false" ht="15" hidden="false" customHeight="false" outlineLevel="0" collapsed="false">
      <c r="A627" s="4" t="s">
        <v>355</v>
      </c>
      <c r="B627" s="0" t="s">
        <v>103</v>
      </c>
      <c r="D627" s="18" t="n">
        <f aca="false">wb_26</f>
        <v>0.45</v>
      </c>
      <c r="E627" s="18" t="n">
        <f aca="false">wb_27</f>
        <v>0.47</v>
      </c>
      <c r="F627" s="18" t="n">
        <f aca="false">wb_28</f>
        <v>0.48</v>
      </c>
      <c r="G627" s="18" t="n">
        <f aca="false">wb_29</f>
        <v>0.5</v>
      </c>
    </row>
    <row r="628" customFormat="false" ht="17.15" hidden="false" customHeight="false" outlineLevel="0" collapsed="false">
      <c r="A628" s="4" t="s">
        <v>357</v>
      </c>
      <c r="B628" s="0" t="s">
        <v>32</v>
      </c>
      <c r="D628" s="14" t="n">
        <f aca="false">D626*D627</f>
        <v>12.18101625</v>
      </c>
      <c r="E628" s="14" t="n">
        <f aca="false">E626*E627</f>
        <v>28.298418</v>
      </c>
      <c r="F628" s="14" t="n">
        <f aca="false">F626*F627</f>
        <v>34.161288</v>
      </c>
      <c r="G628" s="14" t="n">
        <f aca="false">G626*G627</f>
        <v>41.34465375</v>
      </c>
    </row>
    <row r="629" customFormat="false" ht="17.15" hidden="false" customHeight="false" outlineLevel="0" collapsed="false">
      <c r="A629" s="4" t="s">
        <v>399</v>
      </c>
      <c r="B629" s="0" t="s">
        <v>103</v>
      </c>
      <c r="D629" s="18" t="n">
        <f aca="false">D621/fx/D628</f>
        <v>0.410570649226414</v>
      </c>
      <c r="H629" s="8" t="s">
        <v>400</v>
      </c>
    </row>
    <row r="630" customFormat="false" ht="17.15" hidden="false" customHeight="false" outlineLevel="0" collapsed="false">
      <c r="A630" s="4" t="s">
        <v>401</v>
      </c>
      <c r="B630" s="0" t="s">
        <v>76</v>
      </c>
      <c r="D630" s="19" t="n">
        <f aca="false">1</f>
        <v>1</v>
      </c>
      <c r="E630" s="19" t="n">
        <f aca="false">rel_27</f>
        <v>1</v>
      </c>
      <c r="F630" s="19" t="n">
        <f aca="false">rel_28</f>
        <v>0.95</v>
      </c>
      <c r="G630" s="19" t="n">
        <f aca="false">rel_29</f>
        <v>0.92</v>
      </c>
    </row>
    <row r="631" customFormat="false" ht="15" hidden="false" customHeight="false" outlineLevel="0" collapsed="false">
      <c r="A631" s="4" t="s">
        <v>402</v>
      </c>
      <c r="B631" s="0" t="s">
        <v>103</v>
      </c>
      <c r="D631" s="18" t="n">
        <f aca="false">$D$629*D630</f>
        <v>0.410570649226414</v>
      </c>
      <c r="E631" s="18" t="n">
        <f aca="false">$D$629*E630</f>
        <v>0.410570649226414</v>
      </c>
      <c r="F631" s="18" t="n">
        <f aca="false">$D$629*F630</f>
        <v>0.390042116765093</v>
      </c>
      <c r="G631" s="18" t="n">
        <f aca="false">$D$629*G630</f>
        <v>0.377724997288301</v>
      </c>
    </row>
    <row r="632" customFormat="false" ht="17.15" hidden="false" customHeight="false" outlineLevel="0" collapsed="false">
      <c r="A632" s="0" t="s">
        <v>403</v>
      </c>
      <c r="B632" s="0" t="s">
        <v>186</v>
      </c>
      <c r="C632" s="20" t="n">
        <f aca="false">C621</f>
        <v>50.65728</v>
      </c>
      <c r="D632" s="20" t="n">
        <f aca="false">D628*D631*fx</f>
        <v>160.037368</v>
      </c>
      <c r="E632" s="20" t="n">
        <f aca="false">E628*E631*fx</f>
        <v>371.791995210894</v>
      </c>
      <c r="F632" s="20" t="n">
        <f aca="false">F628*F631*fx</f>
        <v>426.378914654143</v>
      </c>
      <c r="G632" s="20" t="n">
        <f aca="false">G628*G631*fx</f>
        <v>499.741095219344</v>
      </c>
    </row>
    <row r="633" customFormat="false" ht="17.15" hidden="false" customHeight="false" outlineLevel="0" collapsed="false">
      <c r="A633" s="6" t="s">
        <v>404</v>
      </c>
    </row>
    <row r="634" customFormat="false" ht="17.15" hidden="false" customHeight="false" outlineLevel="0" collapsed="false">
      <c r="A634" s="0" t="s">
        <v>405</v>
      </c>
      <c r="B634" s="4" t="s">
        <v>55</v>
      </c>
      <c r="D634" s="19" t="n">
        <f aca="false">trn_26*1</f>
        <v>2</v>
      </c>
      <c r="E634" s="19" t="n">
        <f aca="false">trn_27*1*1</f>
        <v>2.5</v>
      </c>
      <c r="F634" s="19" t="n">
        <f aca="false">trn_28*um28_A*1</f>
        <v>3</v>
      </c>
      <c r="G634" s="19" t="n">
        <f aca="false">trn_29*um29_A*1</f>
        <v>3.45</v>
      </c>
    </row>
    <row r="635" customFormat="false" ht="17.15" hidden="false" customHeight="false" outlineLevel="0" collapsed="false">
      <c r="A635" s="4" t="s">
        <v>406</v>
      </c>
      <c r="B635" s="4" t="s">
        <v>407</v>
      </c>
      <c r="D635" s="20" t="n">
        <f aca="false">D619/D634</f>
        <v>102.6903</v>
      </c>
      <c r="H635" s="8" t="s">
        <v>408</v>
      </c>
    </row>
    <row r="636" customFormat="false" ht="17.15" hidden="false" customHeight="false" outlineLevel="0" collapsed="false">
      <c r="A636" s="4" t="s">
        <v>409</v>
      </c>
      <c r="B636" s="0" t="s">
        <v>76</v>
      </c>
      <c r="D636" s="19" t="n">
        <f aca="false">1</f>
        <v>1</v>
      </c>
      <c r="E636" s="19" t="n">
        <f aca="false">nrel_27</f>
        <v>0.9</v>
      </c>
      <c r="F636" s="19" t="n">
        <f aca="false">nrel_28</f>
        <v>0.85</v>
      </c>
      <c r="G636" s="19" t="n">
        <f aca="false">nrel_29</f>
        <v>0.8</v>
      </c>
    </row>
    <row r="637" customFormat="false" ht="15" hidden="false" customHeight="false" outlineLevel="0" collapsed="false">
      <c r="A637" s="4" t="s">
        <v>410</v>
      </c>
      <c r="B637" s="0" t="s">
        <v>186</v>
      </c>
      <c r="C637" s="20" t="n">
        <f aca="false">C619</f>
        <v>156.4416</v>
      </c>
      <c r="D637" s="20" t="n">
        <f aca="false">D634*$D$635*D636</f>
        <v>205.3806</v>
      </c>
      <c r="E637" s="20" t="n">
        <f aca="false">E634*$D$635*E636</f>
        <v>231.053175</v>
      </c>
      <c r="F637" s="20" t="n">
        <f aca="false">F634*$D$635*F636</f>
        <v>261.860265</v>
      </c>
      <c r="G637" s="20" t="n">
        <f aca="false">G634*$D$635*G636</f>
        <v>283.425228</v>
      </c>
    </row>
    <row r="638" customFormat="false" ht="17.15" hidden="false" customHeight="false" outlineLevel="0" collapsed="false">
      <c r="A638" s="6" t="s">
        <v>411</v>
      </c>
    </row>
    <row r="639" customFormat="false" ht="17.15" hidden="false" customHeight="false" outlineLevel="0" collapsed="false">
      <c r="A639" s="4" t="s">
        <v>412</v>
      </c>
      <c r="B639" s="0" t="s">
        <v>186</v>
      </c>
      <c r="C639" s="20" t="n">
        <f aca="false">C620</f>
        <v>41.22112</v>
      </c>
      <c r="D639" s="20" t="n">
        <f aca="false">D620</f>
        <v>45.343232</v>
      </c>
      <c r="E639" s="20" t="n">
        <f aca="false">D639*(1+g_nai27)</f>
        <v>48.06382592</v>
      </c>
      <c r="F639" s="20" t="n">
        <f aca="false">E639*(1+g_nai28)</f>
        <v>50.467017216</v>
      </c>
      <c r="G639" s="20" t="n">
        <f aca="false">F639*(1+g_nai29)</f>
        <v>52.9903680768</v>
      </c>
    </row>
    <row r="640" customFormat="false" ht="15" hidden="false" customHeight="false" outlineLevel="0" collapsed="false">
      <c r="A640" s="4" t="s">
        <v>316</v>
      </c>
      <c r="B640" s="0" t="s">
        <v>186</v>
      </c>
      <c r="C640" s="20" t="n">
        <f aca="false">C632+C637+C639</f>
        <v>248.32</v>
      </c>
      <c r="D640" s="20" t="n">
        <f aca="false">D632+D637+D639</f>
        <v>410.7612</v>
      </c>
      <c r="E640" s="20" t="n">
        <f aca="false">E632+E637+E639</f>
        <v>650.908996130894</v>
      </c>
      <c r="F640" s="20" t="n">
        <f aca="false">F632+F637+F639</f>
        <v>738.706196870144</v>
      </c>
      <c r="G640" s="20" t="n">
        <f aca="false">G632+G637+G639</f>
        <v>836.156691296144</v>
      </c>
    </row>
    <row r="641" customFormat="false" ht="17.15" hidden="false" customHeight="false" outlineLevel="0" collapsed="false">
      <c r="A641" s="4" t="s">
        <v>413</v>
      </c>
      <c r="B641" s="0" t="s">
        <v>103</v>
      </c>
      <c r="C641" s="18" t="n">
        <f aca="false">sw25s*(1-af25)/(1-nap25s-sw25s*af25)</f>
        <v>0.819277108433735</v>
      </c>
      <c r="H641" s="8" t="s">
        <v>414</v>
      </c>
    </row>
    <row r="642" customFormat="false" ht="17.15" hidden="false" customHeight="false" outlineLevel="0" collapsed="false">
      <c r="A642" s="4" t="s">
        <v>415</v>
      </c>
      <c r="B642" s="0" t="s">
        <v>186</v>
      </c>
      <c r="C642" s="20" t="n">
        <f aca="false">C639*$C$641</f>
        <v>33.77152</v>
      </c>
      <c r="D642" s="20" t="n">
        <f aca="false">D639*$C$641</f>
        <v>37.148672</v>
      </c>
      <c r="E642" s="20" t="n">
        <f aca="false">E639*$C$641</f>
        <v>39.37759232</v>
      </c>
      <c r="F642" s="20" t="n">
        <f aca="false">F639*$C$641</f>
        <v>41.346471936</v>
      </c>
      <c r="G642" s="20" t="n">
        <f aca="false">G639*$C$641</f>
        <v>43.4137955328</v>
      </c>
    </row>
    <row r="643" customFormat="false" ht="17.15" hidden="false" customHeight="false" outlineLevel="0" collapsed="false">
      <c r="A643" s="4" t="s">
        <v>416</v>
      </c>
      <c r="B643" s="0" t="s">
        <v>186</v>
      </c>
      <c r="C643" s="20" t="n">
        <f aca="false">C632+C642</f>
        <v>84.4288</v>
      </c>
      <c r="D643" s="20" t="n">
        <f aca="false">D632+D642</f>
        <v>197.18604</v>
      </c>
      <c r="E643" s="20" t="n">
        <f aca="false">E632+E642</f>
        <v>411.169587530894</v>
      </c>
      <c r="F643" s="20" t="n">
        <f aca="false">F632+F642</f>
        <v>467.725386590143</v>
      </c>
      <c r="G643" s="20" t="n">
        <f aca="false">G632+G642</f>
        <v>543.154890752144</v>
      </c>
      <c r="H643" s="4" t="s">
        <v>417</v>
      </c>
    </row>
    <row r="644" customFormat="false" ht="17.15" hidden="false" customHeight="false" outlineLevel="0" collapsed="false">
      <c r="A644" s="4" t="s">
        <v>418</v>
      </c>
      <c r="B644" s="0" t="s">
        <v>186</v>
      </c>
      <c r="C644" s="20" t="n">
        <f aca="false">C639-C642</f>
        <v>7.44959999999999</v>
      </c>
      <c r="D644" s="20" t="n">
        <f aca="false">D639-D642</f>
        <v>8.19455999999999</v>
      </c>
      <c r="E644" s="20" t="n">
        <f aca="false">E639-E642</f>
        <v>8.68623359999999</v>
      </c>
      <c r="F644" s="20" t="n">
        <f aca="false">F639-F642</f>
        <v>9.12054527999999</v>
      </c>
      <c r="G644" s="20" t="n">
        <f aca="false">G639-G642</f>
        <v>9.57657254399999</v>
      </c>
      <c r="H644" s="4" t="s">
        <v>419</v>
      </c>
    </row>
    <row r="645" customFormat="false" ht="17.15" hidden="false" customHeight="false" outlineLevel="0" collapsed="false">
      <c r="A645" s="4" t="s">
        <v>420</v>
      </c>
      <c r="B645" s="0" t="s">
        <v>186</v>
      </c>
      <c r="C645" s="16" t="n">
        <f aca="false">C643+C637+C644-a25_rev</f>
        <v>0</v>
      </c>
      <c r="D645" s="16" t="n">
        <f aca="false">D643+D637+D644-D640</f>
        <v>0</v>
      </c>
      <c r="E645" s="16" t="n">
        <f aca="false">E643+E637+E644-E640</f>
        <v>0</v>
      </c>
      <c r="F645" s="16" t="n">
        <f aca="false">F643+F637+F644-F640</f>
        <v>0</v>
      </c>
      <c r="G645" s="16" t="n">
        <f aca="false">G643+G637+G644-G640</f>
        <v>0</v>
      </c>
    </row>
    <row r="646" customFormat="false" ht="15" hidden="false" customHeight="false" outlineLevel="0" collapsed="false">
      <c r="A646" s="4" t="s">
        <v>421</v>
      </c>
      <c r="B646" s="0" t="s">
        <v>103</v>
      </c>
      <c r="D646" s="18" t="n">
        <f aca="false">D640/C640-1</f>
        <v>0.654160760309279</v>
      </c>
      <c r="E646" s="18" t="n">
        <f aca="false">E640/D640-1</f>
        <v>0.584640896294232</v>
      </c>
      <c r="F646" s="18" t="n">
        <f aca="false">F640/E640-1</f>
        <v>0.134883987256483</v>
      </c>
      <c r="G646" s="18" t="n">
        <f aca="false">G640/F640-1</f>
        <v>0.131920504848738</v>
      </c>
    </row>
    <row r="647" customFormat="false" ht="17.15" hidden="false" customHeight="false" outlineLevel="0" collapsed="false">
      <c r="A647" s="0" t="s">
        <v>422</v>
      </c>
      <c r="B647" s="0" t="s">
        <v>103</v>
      </c>
      <c r="C647" s="18" t="n">
        <f aca="false">(C632+C637)/C640</f>
        <v>0.834</v>
      </c>
      <c r="D647" s="18" t="n">
        <f aca="false">(D632+D637)/D640</f>
        <v>0.889611696528299</v>
      </c>
      <c r="E647" s="18" t="n">
        <f aca="false">(E632+E637)/E640</f>
        <v>0.926158915907294</v>
      </c>
      <c r="F647" s="18" t="n">
        <f aca="false">(F632+F637)/F640</f>
        <v>0.931681881876955</v>
      </c>
      <c r="G647" s="18" t="n">
        <f aca="false">(G632+G637)/G640</f>
        <v>0.936626270376837</v>
      </c>
    </row>
    <row r="648" customFormat="false" ht="17.15" hidden="false" customHeight="false" outlineLevel="0" collapsed="false">
      <c r="A648" s="4" t="s">
        <v>423</v>
      </c>
      <c r="B648" s="0" t="s">
        <v>103</v>
      </c>
      <c r="C648" s="18" t="n">
        <f aca="false">C637/C640</f>
        <v>0.63</v>
      </c>
      <c r="D648" s="18" t="n">
        <f aca="false">D637/D640</f>
        <v>0.5</v>
      </c>
      <c r="E648" s="18" t="n">
        <f aca="false">E637/E640</f>
        <v>0.354970013278994</v>
      </c>
      <c r="F648" s="18" t="n">
        <f aca="false">F637/F640</f>
        <v>0.354484998378905</v>
      </c>
      <c r="G648" s="18" t="n">
        <f aca="false">G637/G640</f>
        <v>0.338961860797474</v>
      </c>
    </row>
    <row r="649" customFormat="false" ht="17.15" hidden="false" customHeight="false" outlineLevel="0" collapsed="false">
      <c r="A649" s="6" t="s">
        <v>424</v>
      </c>
    </row>
    <row r="650" customFormat="false" ht="17.15" hidden="false" customHeight="false" outlineLevel="0" collapsed="false">
      <c r="A650" s="4" t="s">
        <v>425</v>
      </c>
      <c r="B650" s="0" t="s">
        <v>103</v>
      </c>
      <c r="D650" s="15" t="n">
        <f aca="false">a26_gp/a26_rev+d_nap_lo*D648</f>
        <v>0.204589247962076</v>
      </c>
      <c r="H650" s="8" t="s">
        <v>426</v>
      </c>
    </row>
    <row r="651" customFormat="false" ht="15" hidden="false" customHeight="false" outlineLevel="0" collapsed="false">
      <c r="A651" s="4" t="s">
        <v>320</v>
      </c>
      <c r="B651" s="0" t="s">
        <v>186</v>
      </c>
      <c r="C651" s="20" t="n">
        <f aca="false">a25_gp</f>
        <v>44.921088</v>
      </c>
      <c r="D651" s="20" t="n">
        <f aca="false">a26_gp</f>
        <v>77.875907</v>
      </c>
      <c r="E651" s="20" t="n">
        <f aca="false">$D$650*(E632+E639)+($D$650-d_nap_lo)*E637</f>
        <v>126.23738676017</v>
      </c>
      <c r="F651" s="20" t="n">
        <f aca="false">$D$650*(F632+F639)+($D$650-d_nap_lo)*F637</f>
        <v>143.275537332588</v>
      </c>
      <c r="G651" s="20" t="n">
        <f aca="false">$D$650*(G632+G639)+($D$650-d_nap_lo)*G637</f>
        <v>162.565911810736</v>
      </c>
    </row>
    <row r="652" customFormat="false" ht="15" hidden="false" customHeight="false" outlineLevel="0" collapsed="false">
      <c r="A652" s="4" t="s">
        <v>322</v>
      </c>
      <c r="B652" s="0" t="s">
        <v>103</v>
      </c>
      <c r="C652" s="15" t="n">
        <f aca="false">C651/C640</f>
        <v>0.1809</v>
      </c>
      <c r="D652" s="15" t="n">
        <f aca="false">D651/D640</f>
        <v>0.189589247962076</v>
      </c>
      <c r="E652" s="15" t="n">
        <f aca="false">E651/E640</f>
        <v>0.193940147563706</v>
      </c>
      <c r="F652" s="15" t="n">
        <f aca="false">F651/F640</f>
        <v>0.193954698010709</v>
      </c>
      <c r="G652" s="15" t="n">
        <f aca="false">G651/G640</f>
        <v>0.194420392138152</v>
      </c>
    </row>
    <row r="653" customFormat="false" ht="15" hidden="false" customHeight="false" outlineLevel="0" collapsed="false">
      <c r="A653" s="4" t="s">
        <v>427</v>
      </c>
      <c r="B653" s="0" t="s">
        <v>186</v>
      </c>
      <c r="C653" s="20" t="n">
        <f aca="false">a25_opx</f>
        <v>12.78848</v>
      </c>
      <c r="D653" s="20" t="n">
        <f aca="false">a26_opx</f>
        <v>17.956088</v>
      </c>
      <c r="E653" s="20" t="n">
        <f aca="false">D653*(1+MAX(0,phi*E646))</f>
        <v>24.2548060293549</v>
      </c>
      <c r="F653" s="20" t="n">
        <f aca="false">E653*(1+MAX(0,phi*F646))</f>
        <v>26.217756997778</v>
      </c>
      <c r="G653" s="20" t="n">
        <f aca="false">F653*(1+MAX(0,phi*G646))</f>
        <v>28.2929528412671</v>
      </c>
    </row>
    <row r="654" customFormat="false" ht="15" hidden="false" customHeight="false" outlineLevel="0" collapsed="false">
      <c r="A654" s="4" t="s">
        <v>324</v>
      </c>
      <c r="B654" s="0" t="s">
        <v>186</v>
      </c>
      <c r="C654" s="20" t="n">
        <f aca="false">C653</f>
        <v>12.78848</v>
      </c>
      <c r="D654" s="20" t="n">
        <f aca="false">D653</f>
        <v>17.956088</v>
      </c>
      <c r="E654" s="20" t="n">
        <f aca="false">E653+0*E640</f>
        <v>24.2548060293549</v>
      </c>
      <c r="F654" s="20" t="n">
        <f aca="false">F653+0*F640</f>
        <v>26.217756997778</v>
      </c>
      <c r="G654" s="20" t="n">
        <f aca="false">G653+0*G640</f>
        <v>28.2929528412671</v>
      </c>
    </row>
    <row r="655" customFormat="false" ht="15" hidden="false" customHeight="false" outlineLevel="0" collapsed="false">
      <c r="A655" s="4" t="s">
        <v>326</v>
      </c>
      <c r="B655" s="0" t="s">
        <v>186</v>
      </c>
      <c r="C655" s="20" t="n">
        <f aca="false">C651-C654</f>
        <v>32.132608</v>
      </c>
      <c r="D655" s="20" t="n">
        <f aca="false">D651-D654</f>
        <v>59.919819</v>
      </c>
      <c r="E655" s="20" t="n">
        <f aca="false">E651-E654</f>
        <v>101.982580730815</v>
      </c>
      <c r="F655" s="20" t="n">
        <f aca="false">F651-F654</f>
        <v>117.05778033481</v>
      </c>
      <c r="G655" s="20" t="n">
        <f aca="false">G651-G654</f>
        <v>134.272958969469</v>
      </c>
    </row>
    <row r="656" customFormat="false" ht="15" hidden="false" customHeight="false" outlineLevel="0" collapsed="false">
      <c r="A656" s="4" t="s">
        <v>328</v>
      </c>
      <c r="B656" s="0" t="s">
        <v>103</v>
      </c>
      <c r="C656" s="15" t="n">
        <f aca="false">C655/C640</f>
        <v>0.1294</v>
      </c>
      <c r="D656" s="15" t="n">
        <f aca="false">D655/D640</f>
        <v>0.145875070478906</v>
      </c>
      <c r="E656" s="15" t="n">
        <f aca="false">E655/E640</f>
        <v>0.156677171981053</v>
      </c>
      <c r="F656" s="15" t="n">
        <f aca="false">F655/F640</f>
        <v>0.158463244021476</v>
      </c>
      <c r="G656" s="15" t="n">
        <f aca="false">G655/G640</f>
        <v>0.160583489155997</v>
      </c>
    </row>
    <row r="657" customFormat="false" ht="17.15" hidden="false" customHeight="false" outlineLevel="0" collapsed="false">
      <c r="A657" s="4" t="s">
        <v>224</v>
      </c>
      <c r="B657" s="0" t="s">
        <v>76</v>
      </c>
      <c r="C657" s="16" t="n">
        <f aca="false">a25_ni/a25_oi</f>
        <v>0.819790289042209</v>
      </c>
      <c r="D657" s="16" t="n">
        <f aca="false">a26_ni/a26_oi</f>
        <v>0.798164213413262</v>
      </c>
      <c r="E657" s="16" t="n">
        <f aca="false">nio_f</f>
        <v>0.8</v>
      </c>
      <c r="F657" s="16" t="n">
        <f aca="false">nio_f</f>
        <v>0.8</v>
      </c>
      <c r="G657" s="16" t="n">
        <f aca="false">nio_f</f>
        <v>0.8</v>
      </c>
    </row>
    <row r="658" customFormat="false" ht="15" hidden="false" customHeight="false" outlineLevel="0" collapsed="false">
      <c r="A658" s="4" t="s">
        <v>329</v>
      </c>
      <c r="B658" s="0" t="s">
        <v>186</v>
      </c>
      <c r="C658" s="20" t="n">
        <f aca="false">a25_ni</f>
        <v>26.342</v>
      </c>
      <c r="D658" s="20" t="n">
        <f aca="false">a26_ni</f>
        <v>47.8258552</v>
      </c>
      <c r="E658" s="20" t="n">
        <f aca="false">E655*E657</f>
        <v>81.5860645846518</v>
      </c>
      <c r="F658" s="20" t="n">
        <f aca="false">F655*F657</f>
        <v>93.646224267848</v>
      </c>
      <c r="G658" s="20" t="n">
        <f aca="false">G655*G657</f>
        <v>107.418367175575</v>
      </c>
    </row>
    <row r="659" customFormat="false" ht="15" hidden="false" customHeight="false" outlineLevel="0" collapsed="false">
      <c r="A659" s="4" t="s">
        <v>428</v>
      </c>
      <c r="B659" s="4" t="s">
        <v>211</v>
      </c>
      <c r="C659" s="17" t="n">
        <f aca="false">a25_sh</f>
        <v>0.558922130277955</v>
      </c>
      <c r="D659" s="17" t="n">
        <f aca="false">a26_sh</f>
        <v>0.558904899135447</v>
      </c>
      <c r="E659" s="17" t="n">
        <f aca="false">D659*(1+sh_g27)</f>
        <v>0.568853406340058</v>
      </c>
      <c r="F659" s="17" t="n">
        <f aca="false">E659*(1+sh_g)</f>
        <v>0.568853406340058</v>
      </c>
      <c r="G659" s="17" t="n">
        <f aca="false">F659*(1+sh_g)</f>
        <v>0.568853406340058</v>
      </c>
    </row>
    <row r="660" customFormat="false" ht="15" hidden="false" customHeight="false" outlineLevel="0" collapsed="false">
      <c r="A660" s="0" t="s">
        <v>334</v>
      </c>
      <c r="B660" s="0" t="s">
        <v>244</v>
      </c>
      <c r="C660" s="14" t="n">
        <f aca="false">C658/C659</f>
        <v>47.13</v>
      </c>
      <c r="D660" s="14" t="n">
        <f aca="false">D658/D659</f>
        <v>85.5706494503455</v>
      </c>
      <c r="E660" s="14" t="n">
        <f aca="false">E658/E659</f>
        <v>143.421949618915</v>
      </c>
      <c r="F660" s="14" t="n">
        <f aca="false">F658/F659</f>
        <v>164.622771392647</v>
      </c>
      <c r="G660" s="14" t="n">
        <f aca="false">G658/G659</f>
        <v>188.833126387857</v>
      </c>
    </row>
    <row r="661" customFormat="false" ht="17.15" hidden="false" customHeight="false" outlineLevel="0" collapsed="false">
      <c r="A661" s="0" t="s">
        <v>429</v>
      </c>
      <c r="B661" s="0" t="s">
        <v>103</v>
      </c>
      <c r="D661" s="18" t="n">
        <f aca="false">D660/C660-1</f>
        <v>0.815630160202535</v>
      </c>
      <c r="E661" s="18" t="n">
        <f aca="false">E660/D660-1</f>
        <v>0.676064755148773</v>
      </c>
      <c r="F661" s="18" t="n">
        <f aca="false">F660/E660-1</f>
        <v>0.147821319052384</v>
      </c>
      <c r="G661" s="18" t="n">
        <f aca="false">G660/F660-1</f>
        <v>0.1470656507019</v>
      </c>
    </row>
    <row r="664" customFormat="false" ht="17.15" hidden="false" customHeight="false" outlineLevel="0" collapsed="false">
      <c r="A664" s="1" t="s">
        <v>738</v>
      </c>
    </row>
    <row r="665" customFormat="false" ht="17.15" hidden="false" customHeight="false" outlineLevel="0" collapsed="false">
      <c r="A665" s="5" t="s">
        <v>21</v>
      </c>
      <c r="B665" s="5" t="s">
        <v>22</v>
      </c>
      <c r="C665" s="12" t="s">
        <v>309</v>
      </c>
      <c r="D665" s="12" t="s">
        <v>371</v>
      </c>
      <c r="E665" s="12" t="s">
        <v>372</v>
      </c>
      <c r="F665" s="12" t="s">
        <v>373</v>
      </c>
      <c r="G665" s="12" t="s">
        <v>374</v>
      </c>
      <c r="H665" s="5" t="s">
        <v>350</v>
      </c>
    </row>
    <row r="666" customFormat="false" ht="17.15" hidden="false" customHeight="false" outlineLevel="0" collapsed="false">
      <c r="A666" s="6" t="s">
        <v>389</v>
      </c>
    </row>
    <row r="667" customFormat="false" ht="17.15" hidden="false" customHeight="false" outlineLevel="0" collapsed="false">
      <c r="A667" s="4" t="s">
        <v>390</v>
      </c>
      <c r="B667" s="0" t="s">
        <v>186</v>
      </c>
      <c r="C667" s="20" t="n">
        <f aca="false">a25_rev*nap25s</f>
        <v>156.4416</v>
      </c>
      <c r="D667" s="20" t="n">
        <f aca="false">a26_rev*ns26</f>
        <v>205.3806</v>
      </c>
    </row>
    <row r="668" customFormat="false" ht="17.15" hidden="false" customHeight="false" outlineLevel="0" collapsed="false">
      <c r="A668" s="4" t="s">
        <v>391</v>
      </c>
      <c r="B668" s="0" t="s">
        <v>186</v>
      </c>
      <c r="C668" s="20" t="n">
        <f aca="false">a25_rev*(1-nap25s-sw25s*af25)</f>
        <v>41.22112</v>
      </c>
      <c r="D668" s="20" t="n">
        <f aca="false">C668*(1+g_nai26)</f>
        <v>45.343232</v>
      </c>
    </row>
    <row r="669" customFormat="false" ht="17.15" hidden="false" customHeight="false" outlineLevel="0" collapsed="false">
      <c r="A669" s="0" t="s">
        <v>392</v>
      </c>
      <c r="B669" s="0" t="s">
        <v>186</v>
      </c>
      <c r="C669" s="20" t="n">
        <f aca="false">a25_rev*sw25s*af25</f>
        <v>50.65728</v>
      </c>
      <c r="D669" s="20" t="n">
        <f aca="false">a26_rev-D667-D668</f>
        <v>160.037368</v>
      </c>
      <c r="H669" s="8" t="s">
        <v>393</v>
      </c>
    </row>
    <row r="670" customFormat="false" ht="17.15" hidden="false" customHeight="false" outlineLevel="0" collapsed="false">
      <c r="A670" s="6" t="s">
        <v>394</v>
      </c>
    </row>
    <row r="671" customFormat="false" ht="17.15" hidden="false" customHeight="false" outlineLevel="0" collapsed="false">
      <c r="A671" s="0" t="s">
        <v>395</v>
      </c>
      <c r="B671" s="0" t="s">
        <v>32</v>
      </c>
      <c r="D671" s="14" t="n">
        <f aca="false">mkt_26*1</f>
        <v>32.0719</v>
      </c>
      <c r="E671" s="14" t="n">
        <f aca="false">mkt_27*1*1</f>
        <v>61.085</v>
      </c>
      <c r="F671" s="14" t="n">
        <f aca="false">mkt_28*um28_A*1</f>
        <v>69.005</v>
      </c>
      <c r="G671" s="14" t="n">
        <f aca="false">mkt_29*um29_A*1</f>
        <v>78.48215</v>
      </c>
    </row>
    <row r="672" customFormat="false" ht="15" hidden="false" customHeight="false" outlineLevel="0" collapsed="false">
      <c r="A672" s="4" t="s">
        <v>396</v>
      </c>
      <c r="B672" s="0" t="s">
        <v>103</v>
      </c>
      <c r="D672" s="18" t="n">
        <f aca="false">eth_26</f>
        <v>0.75</v>
      </c>
      <c r="E672" s="18" t="n">
        <f aca="false">eth_27</f>
        <v>0.8</v>
      </c>
      <c r="F672" s="18" t="n">
        <f aca="false">eth_28</f>
        <v>0.83</v>
      </c>
      <c r="G672" s="18" t="n">
        <f aca="false">eth_29</f>
        <v>0.85</v>
      </c>
    </row>
    <row r="673" customFormat="false" ht="17.15" hidden="false" customHeight="false" outlineLevel="0" collapsed="false">
      <c r="A673" s="4" t="s">
        <v>397</v>
      </c>
      <c r="B673" s="0" t="s">
        <v>32</v>
      </c>
      <c r="D673" s="14" t="n">
        <f aca="false">su_26*1</f>
        <v>3.015</v>
      </c>
      <c r="E673" s="14" t="n">
        <f aca="false">su_27*1*1</f>
        <v>11.3414</v>
      </c>
      <c r="F673" s="14" t="n">
        <f aca="false">su_28*um28_A*1</f>
        <v>13.8952</v>
      </c>
      <c r="G673" s="14" t="n">
        <f aca="false">su_29*um29_A*1</f>
        <v>15.97948</v>
      </c>
    </row>
    <row r="674" customFormat="false" ht="17.15" hidden="false" customHeight="false" outlineLevel="0" collapsed="false">
      <c r="A674" s="0" t="s">
        <v>398</v>
      </c>
      <c r="B674" s="0" t="s">
        <v>32</v>
      </c>
      <c r="D674" s="14" t="n">
        <f aca="false">D671*D672+D673</f>
        <v>27.068925</v>
      </c>
      <c r="E674" s="14" t="n">
        <f aca="false">E671*E672+E673</f>
        <v>60.2094</v>
      </c>
      <c r="F674" s="14" t="n">
        <f aca="false">F671*F672+F673</f>
        <v>71.16935</v>
      </c>
      <c r="G674" s="14" t="n">
        <f aca="false">G671*G672+G673</f>
        <v>82.6893075</v>
      </c>
    </row>
    <row r="675" customFormat="false" ht="15" hidden="false" customHeight="false" outlineLevel="0" collapsed="false">
      <c r="A675" s="4" t="s">
        <v>355</v>
      </c>
      <c r="B675" s="0" t="s">
        <v>103</v>
      </c>
      <c r="D675" s="18" t="n">
        <f aca="false">wb_26</f>
        <v>0.45</v>
      </c>
      <c r="E675" s="18" t="n">
        <f aca="false">wb_27</f>
        <v>0.47</v>
      </c>
      <c r="F675" s="18" t="n">
        <f aca="false">wb_28</f>
        <v>0.48</v>
      </c>
      <c r="G675" s="18" t="n">
        <f aca="false">wb_29</f>
        <v>0.5</v>
      </c>
    </row>
    <row r="676" customFormat="false" ht="17.15" hidden="false" customHeight="false" outlineLevel="0" collapsed="false">
      <c r="A676" s="4" t="s">
        <v>357</v>
      </c>
      <c r="B676" s="0" t="s">
        <v>32</v>
      </c>
      <c r="D676" s="14" t="n">
        <f aca="false">D674*D675</f>
        <v>12.18101625</v>
      </c>
      <c r="E676" s="14" t="n">
        <f aca="false">E674*E675</f>
        <v>28.298418</v>
      </c>
      <c r="F676" s="14" t="n">
        <f aca="false">F674*F675</f>
        <v>34.161288</v>
      </c>
      <c r="G676" s="14" t="n">
        <f aca="false">G674*G675</f>
        <v>41.34465375</v>
      </c>
    </row>
    <row r="677" customFormat="false" ht="17.15" hidden="false" customHeight="false" outlineLevel="0" collapsed="false">
      <c r="A677" s="4" t="s">
        <v>399</v>
      </c>
      <c r="B677" s="0" t="s">
        <v>103</v>
      </c>
      <c r="D677" s="18" t="n">
        <f aca="false">D669/fx/D676</f>
        <v>0.410570649226414</v>
      </c>
      <c r="H677" s="8" t="s">
        <v>400</v>
      </c>
    </row>
    <row r="678" customFormat="false" ht="17.15" hidden="false" customHeight="false" outlineLevel="0" collapsed="false">
      <c r="A678" s="4" t="s">
        <v>401</v>
      </c>
      <c r="B678" s="0" t="s">
        <v>76</v>
      </c>
      <c r="D678" s="19" t="n">
        <f aca="false">1</f>
        <v>1</v>
      </c>
      <c r="E678" s="19" t="n">
        <f aca="false">rel_27</f>
        <v>1</v>
      </c>
      <c r="F678" s="19" t="n">
        <f aca="false">rel_28</f>
        <v>0.95</v>
      </c>
      <c r="G678" s="19" t="n">
        <f aca="false">rel_29</f>
        <v>0.92</v>
      </c>
    </row>
    <row r="679" customFormat="false" ht="15" hidden="false" customHeight="false" outlineLevel="0" collapsed="false">
      <c r="A679" s="4" t="s">
        <v>402</v>
      </c>
      <c r="B679" s="0" t="s">
        <v>103</v>
      </c>
      <c r="D679" s="18" t="n">
        <f aca="false">$D$677*D678</f>
        <v>0.410570649226414</v>
      </c>
      <c r="E679" s="18" t="n">
        <f aca="false">$D$677*E678</f>
        <v>0.410570649226414</v>
      </c>
      <c r="F679" s="18" t="n">
        <f aca="false">$D$677*F678</f>
        <v>0.390042116765093</v>
      </c>
      <c r="G679" s="18" t="n">
        <f aca="false">$D$677*G678</f>
        <v>0.377724997288301</v>
      </c>
    </row>
    <row r="680" customFormat="false" ht="17.15" hidden="false" customHeight="false" outlineLevel="0" collapsed="false">
      <c r="A680" s="0" t="s">
        <v>403</v>
      </c>
      <c r="B680" s="0" t="s">
        <v>186</v>
      </c>
      <c r="C680" s="20" t="n">
        <f aca="false">C669</f>
        <v>50.65728</v>
      </c>
      <c r="D680" s="20" t="n">
        <f aca="false">D676*D679*fx</f>
        <v>160.037368</v>
      </c>
      <c r="E680" s="20" t="n">
        <f aca="false">E676*E679*fx</f>
        <v>371.791995210894</v>
      </c>
      <c r="F680" s="20" t="n">
        <f aca="false">F676*F679*fx</f>
        <v>426.378914654143</v>
      </c>
      <c r="G680" s="20" t="n">
        <f aca="false">G676*G679*fx</f>
        <v>499.741095219344</v>
      </c>
    </row>
    <row r="681" customFormat="false" ht="17.15" hidden="false" customHeight="false" outlineLevel="0" collapsed="false">
      <c r="A681" s="6" t="s">
        <v>404</v>
      </c>
    </row>
    <row r="682" customFormat="false" ht="17.15" hidden="false" customHeight="false" outlineLevel="0" collapsed="false">
      <c r="A682" s="0" t="s">
        <v>405</v>
      </c>
      <c r="B682" s="4" t="s">
        <v>55</v>
      </c>
      <c r="D682" s="19" t="n">
        <f aca="false">trn_26*1</f>
        <v>2</v>
      </c>
      <c r="E682" s="19" t="n">
        <f aca="false">trn_27*1*1</f>
        <v>2.5</v>
      </c>
      <c r="F682" s="19" t="n">
        <f aca="false">trn_28*um28_A*1</f>
        <v>3</v>
      </c>
      <c r="G682" s="19" t="n">
        <f aca="false">trn_29*um29_A*1</f>
        <v>3.45</v>
      </c>
    </row>
    <row r="683" customFormat="false" ht="17.15" hidden="false" customHeight="false" outlineLevel="0" collapsed="false">
      <c r="A683" s="4" t="s">
        <v>406</v>
      </c>
      <c r="B683" s="4" t="s">
        <v>407</v>
      </c>
      <c r="D683" s="20" t="n">
        <f aca="false">D667/D682</f>
        <v>102.6903</v>
      </c>
      <c r="H683" s="8" t="s">
        <v>408</v>
      </c>
    </row>
    <row r="684" customFormat="false" ht="17.15" hidden="false" customHeight="false" outlineLevel="0" collapsed="false">
      <c r="A684" s="4" t="s">
        <v>409</v>
      </c>
      <c r="B684" s="0" t="s">
        <v>76</v>
      </c>
      <c r="D684" s="19" t="n">
        <f aca="false">1</f>
        <v>1</v>
      </c>
      <c r="E684" s="19" t="n">
        <f aca="false">nrel_27</f>
        <v>0.9</v>
      </c>
      <c r="F684" s="19" t="n">
        <f aca="false">nrel_28</f>
        <v>0.85</v>
      </c>
      <c r="G684" s="19" t="n">
        <f aca="false">nrel_29</f>
        <v>0.8</v>
      </c>
    </row>
    <row r="685" customFormat="false" ht="15" hidden="false" customHeight="false" outlineLevel="0" collapsed="false">
      <c r="A685" s="4" t="s">
        <v>410</v>
      </c>
      <c r="B685" s="0" t="s">
        <v>186</v>
      </c>
      <c r="C685" s="20" t="n">
        <f aca="false">C667</f>
        <v>156.4416</v>
      </c>
      <c r="D685" s="20" t="n">
        <f aca="false">D682*$D$683*D684</f>
        <v>205.3806</v>
      </c>
      <c r="E685" s="20" t="n">
        <f aca="false">E682*$D$683*E684</f>
        <v>231.053175</v>
      </c>
      <c r="F685" s="20" t="n">
        <f aca="false">F682*$D$683*F684</f>
        <v>261.860265</v>
      </c>
      <c r="G685" s="20" t="n">
        <f aca="false">G682*$D$683*G684</f>
        <v>283.425228</v>
      </c>
    </row>
    <row r="686" customFormat="false" ht="17.15" hidden="false" customHeight="false" outlineLevel="0" collapsed="false">
      <c r="A686" s="6" t="s">
        <v>411</v>
      </c>
    </row>
    <row r="687" customFormat="false" ht="17.15" hidden="false" customHeight="false" outlineLevel="0" collapsed="false">
      <c r="A687" s="4" t="s">
        <v>412</v>
      </c>
      <c r="B687" s="0" t="s">
        <v>186</v>
      </c>
      <c r="C687" s="20" t="n">
        <f aca="false">C668</f>
        <v>41.22112</v>
      </c>
      <c r="D687" s="20" t="n">
        <f aca="false">D668</f>
        <v>45.343232</v>
      </c>
      <c r="E687" s="20" t="n">
        <f aca="false">D687*(1+g_nai27)</f>
        <v>48.06382592</v>
      </c>
      <c r="F687" s="20" t="n">
        <f aca="false">E687*(1+g_nai28)</f>
        <v>50.467017216</v>
      </c>
      <c r="G687" s="20" t="n">
        <f aca="false">F687*(1+g_nai29)</f>
        <v>52.9903680768</v>
      </c>
    </row>
    <row r="688" customFormat="false" ht="15" hidden="false" customHeight="false" outlineLevel="0" collapsed="false">
      <c r="A688" s="4" t="s">
        <v>316</v>
      </c>
      <c r="B688" s="0" t="s">
        <v>186</v>
      </c>
      <c r="C688" s="20" t="n">
        <f aca="false">C680+C685+C687</f>
        <v>248.32</v>
      </c>
      <c r="D688" s="20" t="n">
        <f aca="false">D680+D685+D687</f>
        <v>410.7612</v>
      </c>
      <c r="E688" s="20" t="n">
        <f aca="false">E680+E685+E687</f>
        <v>650.908996130894</v>
      </c>
      <c r="F688" s="20" t="n">
        <f aca="false">F680+F685+F687</f>
        <v>738.706196870144</v>
      </c>
      <c r="G688" s="20" t="n">
        <f aca="false">G680+G685+G687</f>
        <v>836.156691296144</v>
      </c>
    </row>
    <row r="689" customFormat="false" ht="17.15" hidden="false" customHeight="false" outlineLevel="0" collapsed="false">
      <c r="A689" s="4" t="s">
        <v>413</v>
      </c>
      <c r="B689" s="0" t="s">
        <v>103</v>
      </c>
      <c r="C689" s="18" t="n">
        <f aca="false">sw25s*(1-af25)/(1-nap25s-sw25s*af25)</f>
        <v>0.819277108433735</v>
      </c>
      <c r="H689" s="8" t="s">
        <v>414</v>
      </c>
    </row>
    <row r="690" customFormat="false" ht="17.15" hidden="false" customHeight="false" outlineLevel="0" collapsed="false">
      <c r="A690" s="4" t="s">
        <v>415</v>
      </c>
      <c r="B690" s="0" t="s">
        <v>186</v>
      </c>
      <c r="C690" s="20" t="n">
        <f aca="false">C687*$C$689</f>
        <v>33.77152</v>
      </c>
      <c r="D690" s="20" t="n">
        <f aca="false">D687*$C$689</f>
        <v>37.148672</v>
      </c>
      <c r="E690" s="20" t="n">
        <f aca="false">E687*$C$689</f>
        <v>39.37759232</v>
      </c>
      <c r="F690" s="20" t="n">
        <f aca="false">F687*$C$689</f>
        <v>41.346471936</v>
      </c>
      <c r="G690" s="20" t="n">
        <f aca="false">G687*$C$689</f>
        <v>43.4137955328</v>
      </c>
    </row>
    <row r="691" customFormat="false" ht="17.15" hidden="false" customHeight="false" outlineLevel="0" collapsed="false">
      <c r="A691" s="4" t="s">
        <v>416</v>
      </c>
      <c r="B691" s="0" t="s">
        <v>186</v>
      </c>
      <c r="C691" s="20" t="n">
        <f aca="false">C680+C690</f>
        <v>84.4288</v>
      </c>
      <c r="D691" s="20" t="n">
        <f aca="false">D680+D690</f>
        <v>197.18604</v>
      </c>
      <c r="E691" s="20" t="n">
        <f aca="false">E680+E690</f>
        <v>411.169587530894</v>
      </c>
      <c r="F691" s="20" t="n">
        <f aca="false">F680+F690</f>
        <v>467.725386590143</v>
      </c>
      <c r="G691" s="20" t="n">
        <f aca="false">G680+G690</f>
        <v>543.154890752144</v>
      </c>
      <c r="H691" s="4" t="s">
        <v>417</v>
      </c>
    </row>
    <row r="692" customFormat="false" ht="17.15" hidden="false" customHeight="false" outlineLevel="0" collapsed="false">
      <c r="A692" s="4" t="s">
        <v>418</v>
      </c>
      <c r="B692" s="0" t="s">
        <v>186</v>
      </c>
      <c r="C692" s="20" t="n">
        <f aca="false">C687-C690</f>
        <v>7.44959999999999</v>
      </c>
      <c r="D692" s="20" t="n">
        <f aca="false">D687-D690</f>
        <v>8.19455999999999</v>
      </c>
      <c r="E692" s="20" t="n">
        <f aca="false">E687-E690</f>
        <v>8.68623359999999</v>
      </c>
      <c r="F692" s="20" t="n">
        <f aca="false">F687-F690</f>
        <v>9.12054527999999</v>
      </c>
      <c r="G692" s="20" t="n">
        <f aca="false">G687-G690</f>
        <v>9.57657254399999</v>
      </c>
      <c r="H692" s="4" t="s">
        <v>419</v>
      </c>
    </row>
    <row r="693" customFormat="false" ht="17.15" hidden="false" customHeight="false" outlineLevel="0" collapsed="false">
      <c r="A693" s="4" t="s">
        <v>420</v>
      </c>
      <c r="B693" s="0" t="s">
        <v>186</v>
      </c>
      <c r="C693" s="16" t="n">
        <f aca="false">C691+C685+C692-a25_rev</f>
        <v>0</v>
      </c>
      <c r="D693" s="16" t="n">
        <f aca="false">D691+D685+D692-D688</f>
        <v>0</v>
      </c>
      <c r="E693" s="16" t="n">
        <f aca="false">E691+E685+E692-E688</f>
        <v>0</v>
      </c>
      <c r="F693" s="16" t="n">
        <f aca="false">F691+F685+F692-F688</f>
        <v>0</v>
      </c>
      <c r="G693" s="16" t="n">
        <f aca="false">G691+G685+G692-G688</f>
        <v>0</v>
      </c>
    </row>
    <row r="694" customFormat="false" ht="15" hidden="false" customHeight="false" outlineLevel="0" collapsed="false">
      <c r="A694" s="4" t="s">
        <v>421</v>
      </c>
      <c r="B694" s="0" t="s">
        <v>103</v>
      </c>
      <c r="D694" s="18" t="n">
        <f aca="false">D688/C688-1</f>
        <v>0.654160760309279</v>
      </c>
      <c r="E694" s="18" t="n">
        <f aca="false">E688/D688-1</f>
        <v>0.584640896294232</v>
      </c>
      <c r="F694" s="18" t="n">
        <f aca="false">F688/E688-1</f>
        <v>0.134883987256483</v>
      </c>
      <c r="G694" s="18" t="n">
        <f aca="false">G688/F688-1</f>
        <v>0.131920504848738</v>
      </c>
    </row>
    <row r="695" customFormat="false" ht="17.15" hidden="false" customHeight="false" outlineLevel="0" collapsed="false">
      <c r="A695" s="0" t="s">
        <v>422</v>
      </c>
      <c r="B695" s="0" t="s">
        <v>103</v>
      </c>
      <c r="C695" s="18" t="n">
        <f aca="false">(C680+C685)/C688</f>
        <v>0.834</v>
      </c>
      <c r="D695" s="18" t="n">
        <f aca="false">(D680+D685)/D688</f>
        <v>0.889611696528299</v>
      </c>
      <c r="E695" s="18" t="n">
        <f aca="false">(E680+E685)/E688</f>
        <v>0.926158915907294</v>
      </c>
      <c r="F695" s="18" t="n">
        <f aca="false">(F680+F685)/F688</f>
        <v>0.931681881876955</v>
      </c>
      <c r="G695" s="18" t="n">
        <f aca="false">(G680+G685)/G688</f>
        <v>0.936626270376837</v>
      </c>
    </row>
    <row r="696" customFormat="false" ht="17.15" hidden="false" customHeight="false" outlineLevel="0" collapsed="false">
      <c r="A696" s="4" t="s">
        <v>423</v>
      </c>
      <c r="B696" s="0" t="s">
        <v>103</v>
      </c>
      <c r="C696" s="18" t="n">
        <f aca="false">C685/C688</f>
        <v>0.63</v>
      </c>
      <c r="D696" s="18" t="n">
        <f aca="false">D685/D688</f>
        <v>0.5</v>
      </c>
      <c r="E696" s="18" t="n">
        <f aca="false">E685/E688</f>
        <v>0.354970013278994</v>
      </c>
      <c r="F696" s="18" t="n">
        <f aca="false">F685/F688</f>
        <v>0.354484998378905</v>
      </c>
      <c r="G696" s="18" t="n">
        <f aca="false">G685/G688</f>
        <v>0.338961860797474</v>
      </c>
    </row>
    <row r="697" customFormat="false" ht="17.15" hidden="false" customHeight="false" outlineLevel="0" collapsed="false">
      <c r="A697" s="6" t="s">
        <v>424</v>
      </c>
    </row>
    <row r="698" customFormat="false" ht="17.15" hidden="false" customHeight="false" outlineLevel="0" collapsed="false">
      <c r="A698" s="4" t="s">
        <v>425</v>
      </c>
      <c r="B698" s="0" t="s">
        <v>103</v>
      </c>
      <c r="D698" s="15" t="n">
        <f aca="false">a26_gp/a26_rev+d_nap_hi*D696</f>
        <v>0.239589247962076</v>
      </c>
      <c r="H698" s="8" t="s">
        <v>426</v>
      </c>
    </row>
    <row r="699" customFormat="false" ht="15" hidden="false" customHeight="false" outlineLevel="0" collapsed="false">
      <c r="A699" s="4" t="s">
        <v>320</v>
      </c>
      <c r="B699" s="0" t="s">
        <v>186</v>
      </c>
      <c r="C699" s="20" t="n">
        <f aca="false">a25_gp</f>
        <v>44.921088</v>
      </c>
      <c r="D699" s="20" t="n">
        <f aca="false">a26_gp</f>
        <v>77.875907</v>
      </c>
      <c r="E699" s="20" t="n">
        <f aca="false">$D$698*(E680+E687)+($D$698-d_nap_hi)*E685</f>
        <v>132.845479374751</v>
      </c>
      <c r="F699" s="20" t="n">
        <f aca="false">$D$698*(F680+F687)+($D$698-d_nap_hi)*F685</f>
        <v>150.800035673043</v>
      </c>
      <c r="G699" s="20" t="n">
        <f aca="false">$D$698*(G680+G687)+($D$698-d_nap_hi)*G685</f>
        <v>171.991630046101</v>
      </c>
    </row>
    <row r="700" customFormat="false" ht="15" hidden="false" customHeight="false" outlineLevel="0" collapsed="false">
      <c r="A700" s="4" t="s">
        <v>322</v>
      </c>
      <c r="B700" s="0" t="s">
        <v>103</v>
      </c>
      <c r="C700" s="15" t="n">
        <f aca="false">C699/C688</f>
        <v>0.1809</v>
      </c>
      <c r="D700" s="15" t="n">
        <f aca="false">D699/D688</f>
        <v>0.189589247962076</v>
      </c>
      <c r="E700" s="15" t="n">
        <f aca="false">E699/E688</f>
        <v>0.204092246634177</v>
      </c>
      <c r="F700" s="15" t="n">
        <f aca="false">F699/F688</f>
        <v>0.204140748124186</v>
      </c>
      <c r="G700" s="15" t="n">
        <f aca="false">G699/G688</f>
        <v>0.205693061882329</v>
      </c>
    </row>
    <row r="701" customFormat="false" ht="15" hidden="false" customHeight="false" outlineLevel="0" collapsed="false">
      <c r="A701" s="4" t="s">
        <v>427</v>
      </c>
      <c r="B701" s="0" t="s">
        <v>186</v>
      </c>
      <c r="C701" s="20" t="n">
        <f aca="false">a25_opx</f>
        <v>12.78848</v>
      </c>
      <c r="D701" s="20" t="n">
        <f aca="false">a26_opx</f>
        <v>17.956088</v>
      </c>
      <c r="E701" s="20" t="n">
        <f aca="false">D701*(1+MAX(0,phi*E694))</f>
        <v>24.2548060293549</v>
      </c>
      <c r="F701" s="20" t="n">
        <f aca="false">E701*(1+MAX(0,phi*F694))</f>
        <v>26.217756997778</v>
      </c>
      <c r="G701" s="20" t="n">
        <f aca="false">F701*(1+MAX(0,phi*G694))</f>
        <v>28.2929528412671</v>
      </c>
    </row>
    <row r="702" customFormat="false" ht="15" hidden="false" customHeight="false" outlineLevel="0" collapsed="false">
      <c r="A702" s="4" t="s">
        <v>324</v>
      </c>
      <c r="B702" s="0" t="s">
        <v>186</v>
      </c>
      <c r="C702" s="20" t="n">
        <f aca="false">C701</f>
        <v>12.78848</v>
      </c>
      <c r="D702" s="20" t="n">
        <f aca="false">D701</f>
        <v>17.956088</v>
      </c>
      <c r="E702" s="20" t="n">
        <f aca="false">E701+0*E688</f>
        <v>24.2548060293549</v>
      </c>
      <c r="F702" s="20" t="n">
        <f aca="false">F701+0*F688</f>
        <v>26.217756997778</v>
      </c>
      <c r="G702" s="20" t="n">
        <f aca="false">G701+0*G688</f>
        <v>28.2929528412671</v>
      </c>
    </row>
    <row r="703" customFormat="false" ht="15" hidden="false" customHeight="false" outlineLevel="0" collapsed="false">
      <c r="A703" s="4" t="s">
        <v>326</v>
      </c>
      <c r="B703" s="0" t="s">
        <v>186</v>
      </c>
      <c r="C703" s="20" t="n">
        <f aca="false">C699-C702</f>
        <v>32.132608</v>
      </c>
      <c r="D703" s="20" t="n">
        <f aca="false">D699-D702</f>
        <v>59.919819</v>
      </c>
      <c r="E703" s="20" t="n">
        <f aca="false">E699-E702</f>
        <v>108.590673345396</v>
      </c>
      <c r="F703" s="20" t="n">
        <f aca="false">F699-F702</f>
        <v>124.582278675265</v>
      </c>
      <c r="G703" s="20" t="n">
        <f aca="false">G699-G702</f>
        <v>143.698677204834</v>
      </c>
    </row>
    <row r="704" customFormat="false" ht="15" hidden="false" customHeight="false" outlineLevel="0" collapsed="false">
      <c r="A704" s="4" t="s">
        <v>328</v>
      </c>
      <c r="B704" s="0" t="s">
        <v>103</v>
      </c>
      <c r="C704" s="15" t="n">
        <f aca="false">C703/C688</f>
        <v>0.1294</v>
      </c>
      <c r="D704" s="15" t="n">
        <f aca="false">D703/D688</f>
        <v>0.145875070478906</v>
      </c>
      <c r="E704" s="15" t="n">
        <f aca="false">E703/E688</f>
        <v>0.166829271051524</v>
      </c>
      <c r="F704" s="15" t="n">
        <f aca="false">F703/F688</f>
        <v>0.168649294134953</v>
      </c>
      <c r="G704" s="15" t="n">
        <f aca="false">G703/G688</f>
        <v>0.171856158900174</v>
      </c>
    </row>
    <row r="705" customFormat="false" ht="17.15" hidden="false" customHeight="false" outlineLevel="0" collapsed="false">
      <c r="A705" s="4" t="s">
        <v>224</v>
      </c>
      <c r="B705" s="0" t="s">
        <v>76</v>
      </c>
      <c r="C705" s="16" t="n">
        <f aca="false">a25_ni/a25_oi</f>
        <v>0.819790289042209</v>
      </c>
      <c r="D705" s="16" t="n">
        <f aca="false">a26_ni/a26_oi</f>
        <v>0.798164213413262</v>
      </c>
      <c r="E705" s="16" t="n">
        <f aca="false">nio_f</f>
        <v>0.8</v>
      </c>
      <c r="F705" s="16" t="n">
        <f aca="false">nio_f</f>
        <v>0.8</v>
      </c>
      <c r="G705" s="16" t="n">
        <f aca="false">nio_f</f>
        <v>0.8</v>
      </c>
    </row>
    <row r="706" customFormat="false" ht="15" hidden="false" customHeight="false" outlineLevel="0" collapsed="false">
      <c r="A706" s="4" t="s">
        <v>329</v>
      </c>
      <c r="B706" s="0" t="s">
        <v>186</v>
      </c>
      <c r="C706" s="20" t="n">
        <f aca="false">a25_ni</f>
        <v>26.342</v>
      </c>
      <c r="D706" s="20" t="n">
        <f aca="false">a26_ni</f>
        <v>47.8258552</v>
      </c>
      <c r="E706" s="20" t="n">
        <f aca="false">E703*E705</f>
        <v>86.8725386763169</v>
      </c>
      <c r="F706" s="20" t="n">
        <f aca="false">F703*F705</f>
        <v>99.6658229402121</v>
      </c>
      <c r="G706" s="20" t="n">
        <f aca="false">G703*G705</f>
        <v>114.958941763867</v>
      </c>
    </row>
    <row r="707" customFormat="false" ht="15" hidden="false" customHeight="false" outlineLevel="0" collapsed="false">
      <c r="A707" s="4" t="s">
        <v>428</v>
      </c>
      <c r="B707" s="4" t="s">
        <v>211</v>
      </c>
      <c r="C707" s="17" t="n">
        <f aca="false">a25_sh</f>
        <v>0.558922130277955</v>
      </c>
      <c r="D707" s="17" t="n">
        <f aca="false">a26_sh</f>
        <v>0.558904899135447</v>
      </c>
      <c r="E707" s="17" t="n">
        <f aca="false">D707*(1+sh_g27)</f>
        <v>0.568853406340058</v>
      </c>
      <c r="F707" s="17" t="n">
        <f aca="false">E707*(1+sh_g)</f>
        <v>0.568853406340058</v>
      </c>
      <c r="G707" s="17" t="n">
        <f aca="false">F707*(1+sh_g)</f>
        <v>0.568853406340058</v>
      </c>
    </row>
    <row r="708" customFormat="false" ht="15" hidden="false" customHeight="false" outlineLevel="0" collapsed="false">
      <c r="A708" s="0" t="s">
        <v>334</v>
      </c>
      <c r="B708" s="0" t="s">
        <v>244</v>
      </c>
      <c r="C708" s="14" t="n">
        <f aca="false">C706/C707</f>
        <v>47.13</v>
      </c>
      <c r="D708" s="14" t="n">
        <f aca="false">D706/D707</f>
        <v>85.5706494503455</v>
      </c>
      <c r="E708" s="14" t="n">
        <f aca="false">E706/E707</f>
        <v>152.715159491169</v>
      </c>
      <c r="F708" s="14" t="n">
        <f aca="false">F706/F707</f>
        <v>175.204757200016</v>
      </c>
      <c r="G708" s="14" t="n">
        <f aca="false">G706/G707</f>
        <v>202.088869439142</v>
      </c>
    </row>
    <row r="709" customFormat="false" ht="17.15" hidden="false" customHeight="false" outlineLevel="0" collapsed="false">
      <c r="A709" s="0" t="s">
        <v>429</v>
      </c>
      <c r="B709" s="0" t="s">
        <v>103</v>
      </c>
      <c r="D709" s="18" t="n">
        <f aca="false">D708/C708-1</f>
        <v>0.815630160202535</v>
      </c>
      <c r="E709" s="18" t="n">
        <f aca="false">E708/D708-1</f>
        <v>0.784667528786096</v>
      </c>
      <c r="F709" s="18" t="n">
        <f aca="false">F708/E708-1</f>
        <v>0.147264998339261</v>
      </c>
      <c r="G709" s="18" t="n">
        <f aca="false">G708/F708-1</f>
        <v>0.153443962759724</v>
      </c>
    </row>
    <row r="712" customFormat="false" ht="17.15" hidden="false" customHeight="false" outlineLevel="0" collapsed="false">
      <c r="A712" s="1" t="s">
        <v>739</v>
      </c>
    </row>
    <row r="713" customFormat="false" ht="17.15" hidden="false" customHeight="false" outlineLevel="0" collapsed="false">
      <c r="A713" s="5" t="s">
        <v>21</v>
      </c>
      <c r="B713" s="5" t="s">
        <v>22</v>
      </c>
      <c r="C713" s="12" t="s">
        <v>309</v>
      </c>
      <c r="D713" s="12" t="s">
        <v>371</v>
      </c>
      <c r="E713" s="12" t="s">
        <v>372</v>
      </c>
      <c r="F713" s="12" t="s">
        <v>373</v>
      </c>
      <c r="G713" s="12" t="s">
        <v>374</v>
      </c>
      <c r="H713" s="5" t="s">
        <v>350</v>
      </c>
    </row>
    <row r="714" customFormat="false" ht="17.15" hidden="false" customHeight="false" outlineLevel="0" collapsed="false">
      <c r="A714" s="6" t="s">
        <v>389</v>
      </c>
    </row>
    <row r="715" customFormat="false" ht="17.15" hidden="false" customHeight="false" outlineLevel="0" collapsed="false">
      <c r="A715" s="4" t="s">
        <v>390</v>
      </c>
      <c r="B715" s="0" t="s">
        <v>186</v>
      </c>
      <c r="C715" s="20" t="n">
        <f aca="false">a25_rev*nap25s</f>
        <v>156.4416</v>
      </c>
      <c r="D715" s="20" t="n">
        <f aca="false">a26_rev*ns26</f>
        <v>205.3806</v>
      </c>
    </row>
    <row r="716" customFormat="false" ht="17.15" hidden="false" customHeight="false" outlineLevel="0" collapsed="false">
      <c r="A716" s="4" t="s">
        <v>391</v>
      </c>
      <c r="B716" s="0" t="s">
        <v>186</v>
      </c>
      <c r="C716" s="20" t="n">
        <f aca="false">a25_rev*(1-nap25s-sw25s*af25)</f>
        <v>41.22112</v>
      </c>
      <c r="D716" s="20" t="n">
        <f aca="false">C716*(1+g_nai26)</f>
        <v>45.343232</v>
      </c>
    </row>
    <row r="717" customFormat="false" ht="17.15" hidden="false" customHeight="false" outlineLevel="0" collapsed="false">
      <c r="A717" s="0" t="s">
        <v>392</v>
      </c>
      <c r="B717" s="0" t="s">
        <v>186</v>
      </c>
      <c r="C717" s="20" t="n">
        <f aca="false">a25_rev*sw25s*af25</f>
        <v>50.65728</v>
      </c>
      <c r="D717" s="20" t="n">
        <f aca="false">a26_rev-D715-D716</f>
        <v>160.037368</v>
      </c>
      <c r="H717" s="8" t="s">
        <v>393</v>
      </c>
    </row>
    <row r="718" customFormat="false" ht="17.15" hidden="false" customHeight="false" outlineLevel="0" collapsed="false">
      <c r="A718" s="6" t="s">
        <v>394</v>
      </c>
    </row>
    <row r="719" customFormat="false" ht="17.15" hidden="false" customHeight="false" outlineLevel="0" collapsed="false">
      <c r="A719" s="0" t="s">
        <v>395</v>
      </c>
      <c r="B719" s="0" t="s">
        <v>32</v>
      </c>
      <c r="D719" s="14" t="n">
        <f aca="false">mkt_26*1</f>
        <v>32.0719</v>
      </c>
      <c r="E719" s="14" t="n">
        <f aca="false">mkt_27*1*1</f>
        <v>61.085</v>
      </c>
      <c r="F719" s="14" t="n">
        <f aca="false">mkt_28*um28_A*1</f>
        <v>69.005</v>
      </c>
      <c r="G719" s="14" t="n">
        <f aca="false">mkt_29*um29_A*1</f>
        <v>78.48215</v>
      </c>
    </row>
    <row r="720" customFormat="false" ht="15" hidden="false" customHeight="false" outlineLevel="0" collapsed="false">
      <c r="A720" s="4" t="s">
        <v>396</v>
      </c>
      <c r="B720" s="0" t="s">
        <v>103</v>
      </c>
      <c r="D720" s="18" t="n">
        <f aca="false">eth_26</f>
        <v>0.75</v>
      </c>
      <c r="E720" s="18" t="n">
        <f aca="false">eth_27</f>
        <v>0.8</v>
      </c>
      <c r="F720" s="18" t="n">
        <f aca="false">eth_28</f>
        <v>0.83</v>
      </c>
      <c r="G720" s="18" t="n">
        <f aca="false">eth_29</f>
        <v>0.85</v>
      </c>
    </row>
    <row r="721" customFormat="false" ht="17.15" hidden="false" customHeight="false" outlineLevel="0" collapsed="false">
      <c r="A721" s="4" t="s">
        <v>397</v>
      </c>
      <c r="B721" s="0" t="s">
        <v>32</v>
      </c>
      <c r="D721" s="14" t="n">
        <f aca="false">su_26*1</f>
        <v>3.015</v>
      </c>
      <c r="E721" s="14" t="n">
        <f aca="false">su_27*1*1</f>
        <v>11.3414</v>
      </c>
      <c r="F721" s="14" t="n">
        <f aca="false">su_28*um28_A*1</f>
        <v>13.8952</v>
      </c>
      <c r="G721" s="14" t="n">
        <f aca="false">su_29*um29_A*1</f>
        <v>15.97948</v>
      </c>
    </row>
    <row r="722" customFormat="false" ht="17.15" hidden="false" customHeight="false" outlineLevel="0" collapsed="false">
      <c r="A722" s="0" t="s">
        <v>398</v>
      </c>
      <c r="B722" s="0" t="s">
        <v>32</v>
      </c>
      <c r="D722" s="14" t="n">
        <f aca="false">D719*D720+D721</f>
        <v>27.068925</v>
      </c>
      <c r="E722" s="14" t="n">
        <f aca="false">E719*E720+E721</f>
        <v>60.2094</v>
      </c>
      <c r="F722" s="14" t="n">
        <f aca="false">F719*F720+F721</f>
        <v>71.16935</v>
      </c>
      <c r="G722" s="14" t="n">
        <f aca="false">G719*G720+G721</f>
        <v>82.6893075</v>
      </c>
    </row>
    <row r="723" customFormat="false" ht="15" hidden="false" customHeight="false" outlineLevel="0" collapsed="false">
      <c r="A723" s="4" t="s">
        <v>355</v>
      </c>
      <c r="B723" s="0" t="s">
        <v>103</v>
      </c>
      <c r="D723" s="18" t="n">
        <f aca="false">wb_26</f>
        <v>0.45</v>
      </c>
      <c r="E723" s="18" t="n">
        <f aca="false">wb_27</f>
        <v>0.47</v>
      </c>
      <c r="F723" s="18" t="n">
        <f aca="false">wb_28</f>
        <v>0.48</v>
      </c>
      <c r="G723" s="18" t="n">
        <f aca="false">wb_29</f>
        <v>0.5</v>
      </c>
    </row>
    <row r="724" customFormat="false" ht="17.15" hidden="false" customHeight="false" outlineLevel="0" collapsed="false">
      <c r="A724" s="4" t="s">
        <v>357</v>
      </c>
      <c r="B724" s="0" t="s">
        <v>32</v>
      </c>
      <c r="D724" s="14" t="n">
        <f aca="false">D722*D723</f>
        <v>12.18101625</v>
      </c>
      <c r="E724" s="14" t="n">
        <f aca="false">E722*E723</f>
        <v>28.298418</v>
      </c>
      <c r="F724" s="14" t="n">
        <f aca="false">F722*F723</f>
        <v>34.161288</v>
      </c>
      <c r="G724" s="14" t="n">
        <f aca="false">G722*G723</f>
        <v>41.34465375</v>
      </c>
    </row>
    <row r="725" customFormat="false" ht="17.15" hidden="false" customHeight="false" outlineLevel="0" collapsed="false">
      <c r="A725" s="4" t="s">
        <v>399</v>
      </c>
      <c r="B725" s="0" t="s">
        <v>103</v>
      </c>
      <c r="D725" s="18" t="n">
        <f aca="false">D717/fx/D724</f>
        <v>0.410570649226414</v>
      </c>
      <c r="H725" s="8" t="s">
        <v>400</v>
      </c>
    </row>
    <row r="726" customFormat="false" ht="17.15" hidden="false" customHeight="false" outlineLevel="0" collapsed="false">
      <c r="A726" s="4" t="s">
        <v>401</v>
      </c>
      <c r="B726" s="0" t="s">
        <v>76</v>
      </c>
      <c r="D726" s="19" t="n">
        <f aca="false">1</f>
        <v>1</v>
      </c>
      <c r="E726" s="19" t="n">
        <f aca="false">rel_27</f>
        <v>1</v>
      </c>
      <c r="F726" s="19" t="n">
        <f aca="false">rel_28</f>
        <v>0.95</v>
      </c>
      <c r="G726" s="19" t="n">
        <f aca="false">rel_29</f>
        <v>0.92</v>
      </c>
    </row>
    <row r="727" customFormat="false" ht="15" hidden="false" customHeight="false" outlineLevel="0" collapsed="false">
      <c r="A727" s="4" t="s">
        <v>402</v>
      </c>
      <c r="B727" s="0" t="s">
        <v>103</v>
      </c>
      <c r="D727" s="18" t="n">
        <f aca="false">$D$725*D726</f>
        <v>0.410570649226414</v>
      </c>
      <c r="E727" s="18" t="n">
        <f aca="false">$D$725*E726</f>
        <v>0.410570649226414</v>
      </c>
      <c r="F727" s="18" t="n">
        <f aca="false">$D$725*F726</f>
        <v>0.390042116765093</v>
      </c>
      <c r="G727" s="18" t="n">
        <f aca="false">$D$725*G726</f>
        <v>0.377724997288301</v>
      </c>
    </row>
    <row r="728" customFormat="false" ht="17.15" hidden="false" customHeight="false" outlineLevel="0" collapsed="false">
      <c r="A728" s="0" t="s">
        <v>403</v>
      </c>
      <c r="B728" s="0" t="s">
        <v>186</v>
      </c>
      <c r="C728" s="20" t="n">
        <f aca="false">C717</f>
        <v>50.65728</v>
      </c>
      <c r="D728" s="20" t="n">
        <f aca="false">D724*D727*fx</f>
        <v>160.037368</v>
      </c>
      <c r="E728" s="20" t="n">
        <f aca="false">E724*E727*fx</f>
        <v>371.791995210894</v>
      </c>
      <c r="F728" s="20" t="n">
        <f aca="false">F724*F727*fx</f>
        <v>426.378914654143</v>
      </c>
      <c r="G728" s="20" t="n">
        <f aca="false">G724*G727*fx</f>
        <v>499.741095219344</v>
      </c>
    </row>
    <row r="729" customFormat="false" ht="17.15" hidden="false" customHeight="false" outlineLevel="0" collapsed="false">
      <c r="A729" s="6" t="s">
        <v>404</v>
      </c>
    </row>
    <row r="730" customFormat="false" ht="17.15" hidden="false" customHeight="false" outlineLevel="0" collapsed="false">
      <c r="A730" s="0" t="s">
        <v>405</v>
      </c>
      <c r="B730" s="4" t="s">
        <v>55</v>
      </c>
      <c r="D730" s="19" t="n">
        <f aca="false">trn_26*1</f>
        <v>2</v>
      </c>
      <c r="E730" s="19" t="n">
        <f aca="false">trn_27*1*1</f>
        <v>2.5</v>
      </c>
      <c r="F730" s="19" t="n">
        <f aca="false">trn_28*um28_A*1</f>
        <v>3</v>
      </c>
      <c r="G730" s="19" t="n">
        <f aca="false">trn_29*um29_A*1</f>
        <v>3.45</v>
      </c>
    </row>
    <row r="731" customFormat="false" ht="17.15" hidden="false" customHeight="false" outlineLevel="0" collapsed="false">
      <c r="A731" s="4" t="s">
        <v>406</v>
      </c>
      <c r="B731" s="4" t="s">
        <v>407</v>
      </c>
      <c r="D731" s="20" t="n">
        <f aca="false">D715/D730</f>
        <v>102.6903</v>
      </c>
      <c r="H731" s="8" t="s">
        <v>408</v>
      </c>
    </row>
    <row r="732" customFormat="false" ht="17.15" hidden="false" customHeight="false" outlineLevel="0" collapsed="false">
      <c r="A732" s="4" t="s">
        <v>409</v>
      </c>
      <c r="B732" s="0" t="s">
        <v>76</v>
      </c>
      <c r="D732" s="19" t="n">
        <f aca="false">1</f>
        <v>1</v>
      </c>
      <c r="E732" s="19" t="n">
        <f aca="false">nrel_27</f>
        <v>0.9</v>
      </c>
      <c r="F732" s="19" t="n">
        <f aca="false">nrel_28</f>
        <v>0.85</v>
      </c>
      <c r="G732" s="19" t="n">
        <f aca="false">nrel_29</f>
        <v>0.8</v>
      </c>
    </row>
    <row r="733" customFormat="false" ht="15" hidden="false" customHeight="false" outlineLevel="0" collapsed="false">
      <c r="A733" s="4" t="s">
        <v>410</v>
      </c>
      <c r="B733" s="0" t="s">
        <v>186</v>
      </c>
      <c r="C733" s="20" t="n">
        <f aca="false">C715</f>
        <v>156.4416</v>
      </c>
      <c r="D733" s="20" t="n">
        <f aca="false">D730*$D$731*D732</f>
        <v>205.3806</v>
      </c>
      <c r="E733" s="20" t="n">
        <f aca="false">E730*$D$731*E732</f>
        <v>231.053175</v>
      </c>
      <c r="F733" s="20" t="n">
        <f aca="false">F730*$D$731*F732</f>
        <v>261.860265</v>
      </c>
      <c r="G733" s="20" t="n">
        <f aca="false">G730*$D$731*G732</f>
        <v>283.425228</v>
      </c>
    </row>
    <row r="734" customFormat="false" ht="17.15" hidden="false" customHeight="false" outlineLevel="0" collapsed="false">
      <c r="A734" s="6" t="s">
        <v>411</v>
      </c>
    </row>
    <row r="735" customFormat="false" ht="17.15" hidden="false" customHeight="false" outlineLevel="0" collapsed="false">
      <c r="A735" s="4" t="s">
        <v>412</v>
      </c>
      <c r="B735" s="0" t="s">
        <v>186</v>
      </c>
      <c r="C735" s="20" t="n">
        <f aca="false">C716</f>
        <v>41.22112</v>
      </c>
      <c r="D735" s="20" t="n">
        <f aca="false">D716</f>
        <v>45.343232</v>
      </c>
      <c r="E735" s="20" t="n">
        <f aca="false">D735*(1+g_nai27)</f>
        <v>48.06382592</v>
      </c>
      <c r="F735" s="20" t="n">
        <f aca="false">E735*(1+g_nai28)</f>
        <v>50.467017216</v>
      </c>
      <c r="G735" s="20" t="n">
        <f aca="false">F735*(1+g_nai29)</f>
        <v>52.9903680768</v>
      </c>
    </row>
    <row r="736" customFormat="false" ht="15" hidden="false" customHeight="false" outlineLevel="0" collapsed="false">
      <c r="A736" s="4" t="s">
        <v>316</v>
      </c>
      <c r="B736" s="0" t="s">
        <v>186</v>
      </c>
      <c r="C736" s="20" t="n">
        <f aca="false">C728+C733+C735</f>
        <v>248.32</v>
      </c>
      <c r="D736" s="20" t="n">
        <f aca="false">D728+D733+D735</f>
        <v>410.7612</v>
      </c>
      <c r="E736" s="20" t="n">
        <f aca="false">E728+E733+E735</f>
        <v>650.908996130894</v>
      </c>
      <c r="F736" s="20" t="n">
        <f aca="false">F728+F733+F735</f>
        <v>738.706196870144</v>
      </c>
      <c r="G736" s="20" t="n">
        <f aca="false">G728+G733+G735</f>
        <v>836.156691296144</v>
      </c>
    </row>
    <row r="737" customFormat="false" ht="17.15" hidden="false" customHeight="false" outlineLevel="0" collapsed="false">
      <c r="A737" s="4" t="s">
        <v>413</v>
      </c>
      <c r="B737" s="0" t="s">
        <v>103</v>
      </c>
      <c r="C737" s="18" t="n">
        <f aca="false">sw25s*(1-af25)/(1-nap25s-sw25s*af25)</f>
        <v>0.819277108433735</v>
      </c>
      <c r="H737" s="8" t="s">
        <v>414</v>
      </c>
    </row>
    <row r="738" customFormat="false" ht="17.15" hidden="false" customHeight="false" outlineLevel="0" collapsed="false">
      <c r="A738" s="4" t="s">
        <v>415</v>
      </c>
      <c r="B738" s="0" t="s">
        <v>186</v>
      </c>
      <c r="C738" s="20" t="n">
        <f aca="false">C735*$C$737</f>
        <v>33.77152</v>
      </c>
      <c r="D738" s="20" t="n">
        <f aca="false">D735*$C$737</f>
        <v>37.148672</v>
      </c>
      <c r="E738" s="20" t="n">
        <f aca="false">E735*$C$737</f>
        <v>39.37759232</v>
      </c>
      <c r="F738" s="20" t="n">
        <f aca="false">F735*$C$737</f>
        <v>41.346471936</v>
      </c>
      <c r="G738" s="20" t="n">
        <f aca="false">G735*$C$737</f>
        <v>43.4137955328</v>
      </c>
    </row>
    <row r="739" customFormat="false" ht="17.15" hidden="false" customHeight="false" outlineLevel="0" collapsed="false">
      <c r="A739" s="4" t="s">
        <v>416</v>
      </c>
      <c r="B739" s="0" t="s">
        <v>186</v>
      </c>
      <c r="C739" s="20" t="n">
        <f aca="false">C728+C738</f>
        <v>84.4288</v>
      </c>
      <c r="D739" s="20" t="n">
        <f aca="false">D728+D738</f>
        <v>197.18604</v>
      </c>
      <c r="E739" s="20" t="n">
        <f aca="false">E728+E738</f>
        <v>411.169587530894</v>
      </c>
      <c r="F739" s="20" t="n">
        <f aca="false">F728+F738</f>
        <v>467.725386590143</v>
      </c>
      <c r="G739" s="20" t="n">
        <f aca="false">G728+G738</f>
        <v>543.154890752144</v>
      </c>
      <c r="H739" s="4" t="s">
        <v>417</v>
      </c>
    </row>
    <row r="740" customFormat="false" ht="17.15" hidden="false" customHeight="false" outlineLevel="0" collapsed="false">
      <c r="A740" s="4" t="s">
        <v>418</v>
      </c>
      <c r="B740" s="0" t="s">
        <v>186</v>
      </c>
      <c r="C740" s="20" t="n">
        <f aca="false">C735-C738</f>
        <v>7.44959999999999</v>
      </c>
      <c r="D740" s="20" t="n">
        <f aca="false">D735-D738</f>
        <v>8.19455999999999</v>
      </c>
      <c r="E740" s="20" t="n">
        <f aca="false">E735-E738</f>
        <v>8.68623359999999</v>
      </c>
      <c r="F740" s="20" t="n">
        <f aca="false">F735-F738</f>
        <v>9.12054527999999</v>
      </c>
      <c r="G740" s="20" t="n">
        <f aca="false">G735-G738</f>
        <v>9.57657254399999</v>
      </c>
      <c r="H740" s="4" t="s">
        <v>419</v>
      </c>
    </row>
    <row r="741" customFormat="false" ht="17.15" hidden="false" customHeight="false" outlineLevel="0" collapsed="false">
      <c r="A741" s="4" t="s">
        <v>420</v>
      </c>
      <c r="B741" s="0" t="s">
        <v>186</v>
      </c>
      <c r="C741" s="16" t="n">
        <f aca="false">C739+C733+C740-a25_rev</f>
        <v>0</v>
      </c>
      <c r="D741" s="16" t="n">
        <f aca="false">D739+D733+D740-D736</f>
        <v>0</v>
      </c>
      <c r="E741" s="16" t="n">
        <f aca="false">E739+E733+E740-E736</f>
        <v>0</v>
      </c>
      <c r="F741" s="16" t="n">
        <f aca="false">F739+F733+F740-F736</f>
        <v>0</v>
      </c>
      <c r="G741" s="16" t="n">
        <f aca="false">G739+G733+G740-G736</f>
        <v>0</v>
      </c>
    </row>
    <row r="742" customFormat="false" ht="15" hidden="false" customHeight="false" outlineLevel="0" collapsed="false">
      <c r="A742" s="4" t="s">
        <v>421</v>
      </c>
      <c r="B742" s="0" t="s">
        <v>103</v>
      </c>
      <c r="D742" s="18" t="n">
        <f aca="false">D736/C736-1</f>
        <v>0.654160760309279</v>
      </c>
      <c r="E742" s="18" t="n">
        <f aca="false">E736/D736-1</f>
        <v>0.584640896294232</v>
      </c>
      <c r="F742" s="18" t="n">
        <f aca="false">F736/E736-1</f>
        <v>0.134883987256483</v>
      </c>
      <c r="G742" s="18" t="n">
        <f aca="false">G736/F736-1</f>
        <v>0.131920504848738</v>
      </c>
    </row>
    <row r="743" customFormat="false" ht="17.15" hidden="false" customHeight="false" outlineLevel="0" collapsed="false">
      <c r="A743" s="0" t="s">
        <v>422</v>
      </c>
      <c r="B743" s="0" t="s">
        <v>103</v>
      </c>
      <c r="C743" s="18" t="n">
        <f aca="false">(C728+C733)/C736</f>
        <v>0.834</v>
      </c>
      <c r="D743" s="18" t="n">
        <f aca="false">(D728+D733)/D736</f>
        <v>0.889611696528299</v>
      </c>
      <c r="E743" s="18" t="n">
        <f aca="false">(E728+E733)/E736</f>
        <v>0.926158915907294</v>
      </c>
      <c r="F743" s="18" t="n">
        <f aca="false">(F728+F733)/F736</f>
        <v>0.931681881876955</v>
      </c>
      <c r="G743" s="18" t="n">
        <f aca="false">(G728+G733)/G736</f>
        <v>0.936626270376837</v>
      </c>
    </row>
    <row r="744" customFormat="false" ht="17.15" hidden="false" customHeight="false" outlineLevel="0" collapsed="false">
      <c r="A744" s="4" t="s">
        <v>423</v>
      </c>
      <c r="B744" s="0" t="s">
        <v>103</v>
      </c>
      <c r="C744" s="18" t="n">
        <f aca="false">C733/C736</f>
        <v>0.63</v>
      </c>
      <c r="D744" s="18" t="n">
        <f aca="false">D733/D736</f>
        <v>0.5</v>
      </c>
      <c r="E744" s="18" t="n">
        <f aca="false">E733/E736</f>
        <v>0.354970013278994</v>
      </c>
      <c r="F744" s="18" t="n">
        <f aca="false">F733/F736</f>
        <v>0.354484998378905</v>
      </c>
      <c r="G744" s="18" t="n">
        <f aca="false">G733/G736</f>
        <v>0.338961860797474</v>
      </c>
    </row>
    <row r="745" customFormat="false" ht="17.15" hidden="false" customHeight="false" outlineLevel="0" collapsed="false">
      <c r="A745" s="6" t="s">
        <v>424</v>
      </c>
    </row>
    <row r="746" customFormat="false" ht="17.15" hidden="false" customHeight="false" outlineLevel="0" collapsed="false">
      <c r="A746" s="4" t="s">
        <v>425</v>
      </c>
      <c r="B746" s="0" t="s">
        <v>103</v>
      </c>
      <c r="D746" s="15" t="n">
        <f aca="false">a26_gp/a26_rev+d_nap*D744</f>
        <v>0.219589247962076</v>
      </c>
      <c r="H746" s="8" t="s">
        <v>426</v>
      </c>
    </row>
    <row r="747" customFormat="false" ht="15" hidden="false" customHeight="false" outlineLevel="0" collapsed="false">
      <c r="A747" s="4" t="s">
        <v>320</v>
      </c>
      <c r="B747" s="0" t="s">
        <v>186</v>
      </c>
      <c r="C747" s="20" t="n">
        <f aca="false">a25_gp</f>
        <v>44.921088</v>
      </c>
      <c r="D747" s="20" t="n">
        <f aca="false">a26_gp</f>
        <v>77.875907</v>
      </c>
      <c r="E747" s="20" t="n">
        <f aca="false">$D$746*(E728+E735)+($D$746-d_nap)*E733</f>
        <v>129.069426452133</v>
      </c>
      <c r="F747" s="20" t="n">
        <f aca="false">$D$746*(F728+F735)+($D$746-d_nap)*F733</f>
        <v>146.50032233564</v>
      </c>
      <c r="G747" s="20" t="n">
        <f aca="false">$D$746*(G728+G735)+($D$746-d_nap)*G733</f>
        <v>166.605505340178</v>
      </c>
    </row>
    <row r="748" customFormat="false" ht="15" hidden="false" customHeight="false" outlineLevel="0" collapsed="false">
      <c r="A748" s="4" t="s">
        <v>322</v>
      </c>
      <c r="B748" s="0" t="s">
        <v>103</v>
      </c>
      <c r="C748" s="15" t="n">
        <f aca="false">C747/C736</f>
        <v>0.1809</v>
      </c>
      <c r="D748" s="15" t="n">
        <f aca="false">D747/D736</f>
        <v>0.189589247962076</v>
      </c>
      <c r="E748" s="15" t="n">
        <f aca="false">E747/E736</f>
        <v>0.198291047165337</v>
      </c>
      <c r="F748" s="15" t="n">
        <f aca="false">F747/F736</f>
        <v>0.198320148059342</v>
      </c>
      <c r="G748" s="15" t="n">
        <f aca="false">G747/G736</f>
        <v>0.199251536314228</v>
      </c>
    </row>
    <row r="749" customFormat="false" ht="15" hidden="false" customHeight="false" outlineLevel="0" collapsed="false">
      <c r="A749" s="4" t="s">
        <v>427</v>
      </c>
      <c r="B749" s="0" t="s">
        <v>186</v>
      </c>
      <c r="C749" s="20" t="n">
        <f aca="false">a25_opx</f>
        <v>12.78848</v>
      </c>
      <c r="D749" s="20" t="n">
        <f aca="false">a26_opx</f>
        <v>17.956088</v>
      </c>
      <c r="E749" s="20" t="n">
        <f aca="false">D749*(1+MAX(0,phi*E742))</f>
        <v>24.2548060293549</v>
      </c>
      <c r="F749" s="20" t="n">
        <f aca="false">E749*(1+MAX(0,phi*F742))</f>
        <v>26.217756997778</v>
      </c>
      <c r="G749" s="20" t="n">
        <f aca="false">F749*(1+MAX(0,phi*G742))</f>
        <v>28.2929528412671</v>
      </c>
    </row>
    <row r="750" customFormat="false" ht="15" hidden="false" customHeight="false" outlineLevel="0" collapsed="false">
      <c r="A750" s="4" t="s">
        <v>324</v>
      </c>
      <c r="B750" s="0" t="s">
        <v>186</v>
      </c>
      <c r="C750" s="20" t="n">
        <f aca="false">C749</f>
        <v>12.78848</v>
      </c>
      <c r="D750" s="20" t="n">
        <f aca="false">D749</f>
        <v>17.956088</v>
      </c>
      <c r="E750" s="20" t="n">
        <f aca="false">E749+0*E736</f>
        <v>24.2548060293549</v>
      </c>
      <c r="F750" s="20" t="n">
        <f aca="false">F749+0*F736</f>
        <v>26.217756997778</v>
      </c>
      <c r="G750" s="20" t="n">
        <f aca="false">G749+0*G736</f>
        <v>28.2929528412671</v>
      </c>
    </row>
    <row r="751" customFormat="false" ht="15" hidden="false" customHeight="false" outlineLevel="0" collapsed="false">
      <c r="A751" s="4" t="s">
        <v>326</v>
      </c>
      <c r="B751" s="0" t="s">
        <v>186</v>
      </c>
      <c r="C751" s="20" t="n">
        <f aca="false">C747-C750</f>
        <v>32.132608</v>
      </c>
      <c r="D751" s="20" t="n">
        <f aca="false">D747-D750</f>
        <v>59.919819</v>
      </c>
      <c r="E751" s="20" t="n">
        <f aca="false">E747-E750</f>
        <v>104.814620422778</v>
      </c>
      <c r="F751" s="20" t="n">
        <f aca="false">F747-F750</f>
        <v>120.282565337862</v>
      </c>
      <c r="G751" s="20" t="n">
        <f aca="false">G747-G750</f>
        <v>138.312552498911</v>
      </c>
    </row>
    <row r="752" customFormat="false" ht="15" hidden="false" customHeight="false" outlineLevel="0" collapsed="false">
      <c r="A752" s="4" t="s">
        <v>328</v>
      </c>
      <c r="B752" s="0" t="s">
        <v>103</v>
      </c>
      <c r="C752" s="15" t="n">
        <f aca="false">C751/C736</f>
        <v>0.1294</v>
      </c>
      <c r="D752" s="15" t="n">
        <f aca="false">D751/D736</f>
        <v>0.145875070478906</v>
      </c>
      <c r="E752" s="15" t="n">
        <f aca="false">E751/E736</f>
        <v>0.161028071582683</v>
      </c>
      <c r="F752" s="15" t="n">
        <f aca="false">F751/F736</f>
        <v>0.162828694070109</v>
      </c>
      <c r="G752" s="15" t="n">
        <f aca="false">G751/G736</f>
        <v>0.165414633332073</v>
      </c>
    </row>
    <row r="753" customFormat="false" ht="17.15" hidden="false" customHeight="false" outlineLevel="0" collapsed="false">
      <c r="A753" s="4" t="s">
        <v>224</v>
      </c>
      <c r="B753" s="0" t="s">
        <v>76</v>
      </c>
      <c r="C753" s="16" t="n">
        <f aca="false">a25_ni/a25_oi</f>
        <v>0.819790289042209</v>
      </c>
      <c r="D753" s="16" t="n">
        <f aca="false">a26_ni/a26_oi</f>
        <v>0.798164213413262</v>
      </c>
      <c r="E753" s="16" t="n">
        <f aca="false">nio_f_lo</f>
        <v>0.75</v>
      </c>
      <c r="F753" s="16" t="n">
        <f aca="false">nio_f_lo</f>
        <v>0.75</v>
      </c>
      <c r="G753" s="16" t="n">
        <f aca="false">nio_f_lo</f>
        <v>0.75</v>
      </c>
    </row>
    <row r="754" customFormat="false" ht="15" hidden="false" customHeight="false" outlineLevel="0" collapsed="false">
      <c r="A754" s="4" t="s">
        <v>329</v>
      </c>
      <c r="B754" s="0" t="s">
        <v>186</v>
      </c>
      <c r="C754" s="20" t="n">
        <f aca="false">a25_ni</f>
        <v>26.342</v>
      </c>
      <c r="D754" s="20" t="n">
        <f aca="false">a26_ni</f>
        <v>47.8258552</v>
      </c>
      <c r="E754" s="20" t="n">
        <f aca="false">E751*E753</f>
        <v>78.6109653170836</v>
      </c>
      <c r="F754" s="20" t="n">
        <f aca="false">F751*F753</f>
        <v>90.2119240033967</v>
      </c>
      <c r="G754" s="20" t="n">
        <f aca="false">G751*G753</f>
        <v>103.734414374183</v>
      </c>
    </row>
    <row r="755" customFormat="false" ht="15" hidden="false" customHeight="false" outlineLevel="0" collapsed="false">
      <c r="A755" s="4" t="s">
        <v>428</v>
      </c>
      <c r="B755" s="4" t="s">
        <v>211</v>
      </c>
      <c r="C755" s="17" t="n">
        <f aca="false">a25_sh</f>
        <v>0.558922130277955</v>
      </c>
      <c r="D755" s="17" t="n">
        <f aca="false">a26_sh</f>
        <v>0.558904899135447</v>
      </c>
      <c r="E755" s="17" t="n">
        <f aca="false">D755*(1+sh_g27)</f>
        <v>0.568853406340058</v>
      </c>
      <c r="F755" s="17" t="n">
        <f aca="false">E755*(1+sh_g)</f>
        <v>0.568853406340058</v>
      </c>
      <c r="G755" s="17" t="n">
        <f aca="false">F755*(1+sh_g)</f>
        <v>0.568853406340058</v>
      </c>
    </row>
    <row r="756" customFormat="false" ht="15" hidden="false" customHeight="false" outlineLevel="0" collapsed="false">
      <c r="A756" s="0" t="s">
        <v>334</v>
      </c>
      <c r="B756" s="0" t="s">
        <v>244</v>
      </c>
      <c r="C756" s="14" t="n">
        <f aca="false">C754/C755</f>
        <v>47.13</v>
      </c>
      <c r="D756" s="14" t="n">
        <f aca="false">D754/D755</f>
        <v>85.5706494503455</v>
      </c>
      <c r="E756" s="14" t="n">
        <f aca="false">E754/E755</f>
        <v>138.191956734264</v>
      </c>
      <c r="F756" s="14" t="n">
        <f aca="false">F754/F755</f>
        <v>158.585538906782</v>
      </c>
      <c r="G756" s="14" t="n">
        <f aca="false">G754/G755</f>
        <v>182.357024178865</v>
      </c>
    </row>
    <row r="757" customFormat="false" ht="17.15" hidden="false" customHeight="false" outlineLevel="0" collapsed="false">
      <c r="A757" s="0" t="s">
        <v>429</v>
      </c>
      <c r="B757" s="0" t="s">
        <v>103</v>
      </c>
      <c r="D757" s="18" t="n">
        <f aca="false">D756/C756-1</f>
        <v>0.815630160202535</v>
      </c>
      <c r="E757" s="18" t="n">
        <f aca="false">E756/D756-1</f>
        <v>0.614945750931257</v>
      </c>
      <c r="F757" s="18" t="n">
        <f aca="false">F756/E756-1</f>
        <v>0.147574306453554</v>
      </c>
      <c r="G757" s="18" t="n">
        <f aca="false">G756/F756-1</f>
        <v>0.149896929038755</v>
      </c>
    </row>
    <row r="760" customFormat="false" ht="17.15" hidden="false" customHeight="false" outlineLevel="0" collapsed="false">
      <c r="A760" s="1" t="s">
        <v>740</v>
      </c>
    </row>
    <row r="761" customFormat="false" ht="17.15" hidden="false" customHeight="false" outlineLevel="0" collapsed="false">
      <c r="A761" s="5" t="s">
        <v>21</v>
      </c>
      <c r="B761" s="5" t="s">
        <v>22</v>
      </c>
      <c r="C761" s="12" t="s">
        <v>309</v>
      </c>
      <c r="D761" s="12" t="s">
        <v>371</v>
      </c>
      <c r="E761" s="12" t="s">
        <v>372</v>
      </c>
      <c r="F761" s="12" t="s">
        <v>373</v>
      </c>
      <c r="G761" s="12" t="s">
        <v>374</v>
      </c>
      <c r="H761" s="5" t="s">
        <v>350</v>
      </c>
    </row>
    <row r="762" customFormat="false" ht="17.15" hidden="false" customHeight="false" outlineLevel="0" collapsed="false">
      <c r="A762" s="6" t="s">
        <v>389</v>
      </c>
    </row>
    <row r="763" customFormat="false" ht="17.15" hidden="false" customHeight="false" outlineLevel="0" collapsed="false">
      <c r="A763" s="4" t="s">
        <v>390</v>
      </c>
      <c r="B763" s="0" t="s">
        <v>186</v>
      </c>
      <c r="C763" s="20" t="n">
        <f aca="false">a25_rev*nap25s</f>
        <v>156.4416</v>
      </c>
      <c r="D763" s="20" t="n">
        <f aca="false">a26_rev*ns26</f>
        <v>205.3806</v>
      </c>
    </row>
    <row r="764" customFormat="false" ht="17.15" hidden="false" customHeight="false" outlineLevel="0" collapsed="false">
      <c r="A764" s="4" t="s">
        <v>391</v>
      </c>
      <c r="B764" s="0" t="s">
        <v>186</v>
      </c>
      <c r="C764" s="20" t="n">
        <f aca="false">a25_rev*(1-nap25s-sw25s*af25)</f>
        <v>41.22112</v>
      </c>
      <c r="D764" s="20" t="n">
        <f aca="false">C764*(1+g_nai26)</f>
        <v>45.343232</v>
      </c>
    </row>
    <row r="765" customFormat="false" ht="17.15" hidden="false" customHeight="false" outlineLevel="0" collapsed="false">
      <c r="A765" s="0" t="s">
        <v>392</v>
      </c>
      <c r="B765" s="0" t="s">
        <v>186</v>
      </c>
      <c r="C765" s="20" t="n">
        <f aca="false">a25_rev*sw25s*af25</f>
        <v>50.65728</v>
      </c>
      <c r="D765" s="20" t="n">
        <f aca="false">a26_rev-D763-D764</f>
        <v>160.037368</v>
      </c>
      <c r="H765" s="8" t="s">
        <v>393</v>
      </c>
    </row>
    <row r="766" customFormat="false" ht="17.15" hidden="false" customHeight="false" outlineLevel="0" collapsed="false">
      <c r="A766" s="6" t="s">
        <v>394</v>
      </c>
    </row>
    <row r="767" customFormat="false" ht="17.15" hidden="false" customHeight="false" outlineLevel="0" collapsed="false">
      <c r="A767" s="0" t="s">
        <v>395</v>
      </c>
      <c r="B767" s="0" t="s">
        <v>32</v>
      </c>
      <c r="D767" s="14" t="n">
        <f aca="false">mkt_26*1</f>
        <v>32.0719</v>
      </c>
      <c r="E767" s="14" t="n">
        <f aca="false">mkt_27*1*1</f>
        <v>61.085</v>
      </c>
      <c r="F767" s="14" t="n">
        <f aca="false">mkt_28*um28_A*1</f>
        <v>69.005</v>
      </c>
      <c r="G767" s="14" t="n">
        <f aca="false">mkt_29*um29_A*1</f>
        <v>78.48215</v>
      </c>
    </row>
    <row r="768" customFormat="false" ht="15" hidden="false" customHeight="false" outlineLevel="0" collapsed="false">
      <c r="A768" s="4" t="s">
        <v>396</v>
      </c>
      <c r="B768" s="0" t="s">
        <v>103</v>
      </c>
      <c r="D768" s="18" t="n">
        <f aca="false">eth_26</f>
        <v>0.75</v>
      </c>
      <c r="E768" s="18" t="n">
        <f aca="false">eth_27</f>
        <v>0.8</v>
      </c>
      <c r="F768" s="18" t="n">
        <f aca="false">eth_28</f>
        <v>0.83</v>
      </c>
      <c r="G768" s="18" t="n">
        <f aca="false">eth_29</f>
        <v>0.85</v>
      </c>
    </row>
    <row r="769" customFormat="false" ht="17.15" hidden="false" customHeight="false" outlineLevel="0" collapsed="false">
      <c r="A769" s="4" t="s">
        <v>397</v>
      </c>
      <c r="B769" s="0" t="s">
        <v>32</v>
      </c>
      <c r="D769" s="14" t="n">
        <f aca="false">su_26*1</f>
        <v>3.015</v>
      </c>
      <c r="E769" s="14" t="n">
        <f aca="false">su_27*1*1</f>
        <v>11.3414</v>
      </c>
      <c r="F769" s="14" t="n">
        <f aca="false">su_28*um28_A*1</f>
        <v>13.8952</v>
      </c>
      <c r="G769" s="14" t="n">
        <f aca="false">su_29*um29_A*1</f>
        <v>15.97948</v>
      </c>
    </row>
    <row r="770" customFormat="false" ht="17.15" hidden="false" customHeight="false" outlineLevel="0" collapsed="false">
      <c r="A770" s="0" t="s">
        <v>398</v>
      </c>
      <c r="B770" s="0" t="s">
        <v>32</v>
      </c>
      <c r="D770" s="14" t="n">
        <f aca="false">D767*D768+D769</f>
        <v>27.068925</v>
      </c>
      <c r="E770" s="14" t="n">
        <f aca="false">E767*E768+E769</f>
        <v>60.2094</v>
      </c>
      <c r="F770" s="14" t="n">
        <f aca="false">F767*F768+F769</f>
        <v>71.16935</v>
      </c>
      <c r="G770" s="14" t="n">
        <f aca="false">G767*G768+G769</f>
        <v>82.6893075</v>
      </c>
    </row>
    <row r="771" customFormat="false" ht="15" hidden="false" customHeight="false" outlineLevel="0" collapsed="false">
      <c r="A771" s="4" t="s">
        <v>355</v>
      </c>
      <c r="B771" s="0" t="s">
        <v>103</v>
      </c>
      <c r="D771" s="18" t="n">
        <f aca="false">wb_26</f>
        <v>0.45</v>
      </c>
      <c r="E771" s="18" t="n">
        <f aca="false">wb_27</f>
        <v>0.47</v>
      </c>
      <c r="F771" s="18" t="n">
        <f aca="false">wb_28</f>
        <v>0.48</v>
      </c>
      <c r="G771" s="18" t="n">
        <f aca="false">wb_29</f>
        <v>0.5</v>
      </c>
    </row>
    <row r="772" customFormat="false" ht="17.15" hidden="false" customHeight="false" outlineLevel="0" collapsed="false">
      <c r="A772" s="4" t="s">
        <v>357</v>
      </c>
      <c r="B772" s="0" t="s">
        <v>32</v>
      </c>
      <c r="D772" s="14" t="n">
        <f aca="false">D770*D771</f>
        <v>12.18101625</v>
      </c>
      <c r="E772" s="14" t="n">
        <f aca="false">E770*E771</f>
        <v>28.298418</v>
      </c>
      <c r="F772" s="14" t="n">
        <f aca="false">F770*F771</f>
        <v>34.161288</v>
      </c>
      <c r="G772" s="14" t="n">
        <f aca="false">G770*G771</f>
        <v>41.34465375</v>
      </c>
    </row>
    <row r="773" customFormat="false" ht="17.15" hidden="false" customHeight="false" outlineLevel="0" collapsed="false">
      <c r="A773" s="4" t="s">
        <v>399</v>
      </c>
      <c r="B773" s="0" t="s">
        <v>103</v>
      </c>
      <c r="D773" s="18" t="n">
        <f aca="false">D765/fx/D772</f>
        <v>0.410570649226414</v>
      </c>
      <c r="H773" s="8" t="s">
        <v>400</v>
      </c>
    </row>
    <row r="774" customFormat="false" ht="17.15" hidden="false" customHeight="false" outlineLevel="0" collapsed="false">
      <c r="A774" s="4" t="s">
        <v>401</v>
      </c>
      <c r="B774" s="0" t="s">
        <v>76</v>
      </c>
      <c r="D774" s="19" t="n">
        <f aca="false">1</f>
        <v>1</v>
      </c>
      <c r="E774" s="19" t="n">
        <f aca="false">rel_27</f>
        <v>1</v>
      </c>
      <c r="F774" s="19" t="n">
        <f aca="false">rel_28</f>
        <v>0.95</v>
      </c>
      <c r="G774" s="19" t="n">
        <f aca="false">rel_29</f>
        <v>0.92</v>
      </c>
    </row>
    <row r="775" customFormat="false" ht="15" hidden="false" customHeight="false" outlineLevel="0" collapsed="false">
      <c r="A775" s="4" t="s">
        <v>402</v>
      </c>
      <c r="B775" s="0" t="s">
        <v>103</v>
      </c>
      <c r="D775" s="18" t="n">
        <f aca="false">$D$773*D774</f>
        <v>0.410570649226414</v>
      </c>
      <c r="E775" s="18" t="n">
        <f aca="false">$D$773*E774</f>
        <v>0.410570649226414</v>
      </c>
      <c r="F775" s="18" t="n">
        <f aca="false">$D$773*F774</f>
        <v>0.390042116765093</v>
      </c>
      <c r="G775" s="18" t="n">
        <f aca="false">$D$773*G774</f>
        <v>0.377724997288301</v>
      </c>
    </row>
    <row r="776" customFormat="false" ht="17.15" hidden="false" customHeight="false" outlineLevel="0" collapsed="false">
      <c r="A776" s="0" t="s">
        <v>403</v>
      </c>
      <c r="B776" s="0" t="s">
        <v>186</v>
      </c>
      <c r="C776" s="20" t="n">
        <f aca="false">C765</f>
        <v>50.65728</v>
      </c>
      <c r="D776" s="20" t="n">
        <f aca="false">D772*D775*fx</f>
        <v>160.037368</v>
      </c>
      <c r="E776" s="20" t="n">
        <f aca="false">E772*E775*fx</f>
        <v>371.791995210894</v>
      </c>
      <c r="F776" s="20" t="n">
        <f aca="false">F772*F775*fx</f>
        <v>426.378914654143</v>
      </c>
      <c r="G776" s="20" t="n">
        <f aca="false">G772*G775*fx</f>
        <v>499.741095219344</v>
      </c>
    </row>
    <row r="777" customFormat="false" ht="17.15" hidden="false" customHeight="false" outlineLevel="0" collapsed="false">
      <c r="A777" s="6" t="s">
        <v>404</v>
      </c>
    </row>
    <row r="778" customFormat="false" ht="17.15" hidden="false" customHeight="false" outlineLevel="0" collapsed="false">
      <c r="A778" s="0" t="s">
        <v>405</v>
      </c>
      <c r="B778" s="4" t="s">
        <v>55</v>
      </c>
      <c r="D778" s="19" t="n">
        <f aca="false">trn_26*1</f>
        <v>2</v>
      </c>
      <c r="E778" s="19" t="n">
        <f aca="false">trn_27*1*1</f>
        <v>2.5</v>
      </c>
      <c r="F778" s="19" t="n">
        <f aca="false">trn_28*um28_A*1</f>
        <v>3</v>
      </c>
      <c r="G778" s="19" t="n">
        <f aca="false">trn_29*um29_A*1</f>
        <v>3.45</v>
      </c>
    </row>
    <row r="779" customFormat="false" ht="17.15" hidden="false" customHeight="false" outlineLevel="0" collapsed="false">
      <c r="A779" s="4" t="s">
        <v>406</v>
      </c>
      <c r="B779" s="4" t="s">
        <v>407</v>
      </c>
      <c r="D779" s="20" t="n">
        <f aca="false">D763/D778</f>
        <v>102.6903</v>
      </c>
      <c r="H779" s="8" t="s">
        <v>408</v>
      </c>
    </row>
    <row r="780" customFormat="false" ht="17.15" hidden="false" customHeight="false" outlineLevel="0" collapsed="false">
      <c r="A780" s="4" t="s">
        <v>409</v>
      </c>
      <c r="B780" s="0" t="s">
        <v>76</v>
      </c>
      <c r="D780" s="19" t="n">
        <f aca="false">1</f>
        <v>1</v>
      </c>
      <c r="E780" s="19" t="n">
        <f aca="false">nrel_27</f>
        <v>0.9</v>
      </c>
      <c r="F780" s="19" t="n">
        <f aca="false">nrel_28</f>
        <v>0.85</v>
      </c>
      <c r="G780" s="19" t="n">
        <f aca="false">nrel_29</f>
        <v>0.8</v>
      </c>
    </row>
    <row r="781" customFormat="false" ht="15" hidden="false" customHeight="false" outlineLevel="0" collapsed="false">
      <c r="A781" s="4" t="s">
        <v>410</v>
      </c>
      <c r="B781" s="0" t="s">
        <v>186</v>
      </c>
      <c r="C781" s="20" t="n">
        <f aca="false">C763</f>
        <v>156.4416</v>
      </c>
      <c r="D781" s="20" t="n">
        <f aca="false">D778*$D$779*D780</f>
        <v>205.3806</v>
      </c>
      <c r="E781" s="20" t="n">
        <f aca="false">E778*$D$779*E780</f>
        <v>231.053175</v>
      </c>
      <c r="F781" s="20" t="n">
        <f aca="false">F778*$D$779*F780</f>
        <v>261.860265</v>
      </c>
      <c r="G781" s="20" t="n">
        <f aca="false">G778*$D$779*G780</f>
        <v>283.425228</v>
      </c>
    </row>
    <row r="782" customFormat="false" ht="17.15" hidden="false" customHeight="false" outlineLevel="0" collapsed="false">
      <c r="A782" s="6" t="s">
        <v>411</v>
      </c>
    </row>
    <row r="783" customFormat="false" ht="17.15" hidden="false" customHeight="false" outlineLevel="0" collapsed="false">
      <c r="A783" s="4" t="s">
        <v>412</v>
      </c>
      <c r="B783" s="0" t="s">
        <v>186</v>
      </c>
      <c r="C783" s="20" t="n">
        <f aca="false">C764</f>
        <v>41.22112</v>
      </c>
      <c r="D783" s="20" t="n">
        <f aca="false">D764</f>
        <v>45.343232</v>
      </c>
      <c r="E783" s="20" t="n">
        <f aca="false">D783*(1+g_nai27)</f>
        <v>48.06382592</v>
      </c>
      <c r="F783" s="20" t="n">
        <f aca="false">E783*(1+g_nai28)</f>
        <v>50.467017216</v>
      </c>
      <c r="G783" s="20" t="n">
        <f aca="false">F783*(1+g_nai29)</f>
        <v>52.9903680768</v>
      </c>
    </row>
    <row r="784" customFormat="false" ht="15" hidden="false" customHeight="false" outlineLevel="0" collapsed="false">
      <c r="A784" s="4" t="s">
        <v>316</v>
      </c>
      <c r="B784" s="0" t="s">
        <v>186</v>
      </c>
      <c r="C784" s="20" t="n">
        <f aca="false">C776+C781+C783</f>
        <v>248.32</v>
      </c>
      <c r="D784" s="20" t="n">
        <f aca="false">D776+D781+D783</f>
        <v>410.7612</v>
      </c>
      <c r="E784" s="20" t="n">
        <f aca="false">E776+E781+E783</f>
        <v>650.908996130894</v>
      </c>
      <c r="F784" s="20" t="n">
        <f aca="false">F776+F781+F783</f>
        <v>738.706196870144</v>
      </c>
      <c r="G784" s="20" t="n">
        <f aca="false">G776+G781+G783</f>
        <v>836.156691296144</v>
      </c>
    </row>
    <row r="785" customFormat="false" ht="17.15" hidden="false" customHeight="false" outlineLevel="0" collapsed="false">
      <c r="A785" s="4" t="s">
        <v>413</v>
      </c>
      <c r="B785" s="0" t="s">
        <v>103</v>
      </c>
      <c r="C785" s="18" t="n">
        <f aca="false">sw25s*(1-af25)/(1-nap25s-sw25s*af25)</f>
        <v>0.819277108433735</v>
      </c>
      <c r="H785" s="8" t="s">
        <v>414</v>
      </c>
    </row>
    <row r="786" customFormat="false" ht="17.15" hidden="false" customHeight="false" outlineLevel="0" collapsed="false">
      <c r="A786" s="4" t="s">
        <v>415</v>
      </c>
      <c r="B786" s="0" t="s">
        <v>186</v>
      </c>
      <c r="C786" s="20" t="n">
        <f aca="false">C783*$C$785</f>
        <v>33.77152</v>
      </c>
      <c r="D786" s="20" t="n">
        <f aca="false">D783*$C$785</f>
        <v>37.148672</v>
      </c>
      <c r="E786" s="20" t="n">
        <f aca="false">E783*$C$785</f>
        <v>39.37759232</v>
      </c>
      <c r="F786" s="20" t="n">
        <f aca="false">F783*$C$785</f>
        <v>41.346471936</v>
      </c>
      <c r="G786" s="20" t="n">
        <f aca="false">G783*$C$785</f>
        <v>43.4137955328</v>
      </c>
    </row>
    <row r="787" customFormat="false" ht="17.15" hidden="false" customHeight="false" outlineLevel="0" collapsed="false">
      <c r="A787" s="4" t="s">
        <v>416</v>
      </c>
      <c r="B787" s="0" t="s">
        <v>186</v>
      </c>
      <c r="C787" s="20" t="n">
        <f aca="false">C776+C786</f>
        <v>84.4288</v>
      </c>
      <c r="D787" s="20" t="n">
        <f aca="false">D776+D786</f>
        <v>197.18604</v>
      </c>
      <c r="E787" s="20" t="n">
        <f aca="false">E776+E786</f>
        <v>411.169587530894</v>
      </c>
      <c r="F787" s="20" t="n">
        <f aca="false">F776+F786</f>
        <v>467.725386590143</v>
      </c>
      <c r="G787" s="20" t="n">
        <f aca="false">G776+G786</f>
        <v>543.154890752144</v>
      </c>
      <c r="H787" s="4" t="s">
        <v>417</v>
      </c>
    </row>
    <row r="788" customFormat="false" ht="17.15" hidden="false" customHeight="false" outlineLevel="0" collapsed="false">
      <c r="A788" s="4" t="s">
        <v>418</v>
      </c>
      <c r="B788" s="0" t="s">
        <v>186</v>
      </c>
      <c r="C788" s="20" t="n">
        <f aca="false">C783-C786</f>
        <v>7.44959999999999</v>
      </c>
      <c r="D788" s="20" t="n">
        <f aca="false">D783-D786</f>
        <v>8.19455999999999</v>
      </c>
      <c r="E788" s="20" t="n">
        <f aca="false">E783-E786</f>
        <v>8.68623359999999</v>
      </c>
      <c r="F788" s="20" t="n">
        <f aca="false">F783-F786</f>
        <v>9.12054527999999</v>
      </c>
      <c r="G788" s="20" t="n">
        <f aca="false">G783-G786</f>
        <v>9.57657254399999</v>
      </c>
      <c r="H788" s="4" t="s">
        <v>419</v>
      </c>
    </row>
    <row r="789" customFormat="false" ht="17.15" hidden="false" customHeight="false" outlineLevel="0" collapsed="false">
      <c r="A789" s="4" t="s">
        <v>420</v>
      </c>
      <c r="B789" s="0" t="s">
        <v>186</v>
      </c>
      <c r="C789" s="16" t="n">
        <f aca="false">C787+C781+C788-a25_rev</f>
        <v>0</v>
      </c>
      <c r="D789" s="16" t="n">
        <f aca="false">D787+D781+D788-D784</f>
        <v>0</v>
      </c>
      <c r="E789" s="16" t="n">
        <f aca="false">E787+E781+E788-E784</f>
        <v>0</v>
      </c>
      <c r="F789" s="16" t="n">
        <f aca="false">F787+F781+F788-F784</f>
        <v>0</v>
      </c>
      <c r="G789" s="16" t="n">
        <f aca="false">G787+G781+G788-G784</f>
        <v>0</v>
      </c>
    </row>
    <row r="790" customFormat="false" ht="15" hidden="false" customHeight="false" outlineLevel="0" collapsed="false">
      <c r="A790" s="4" t="s">
        <v>421</v>
      </c>
      <c r="B790" s="0" t="s">
        <v>103</v>
      </c>
      <c r="D790" s="18" t="n">
        <f aca="false">D784/C784-1</f>
        <v>0.654160760309279</v>
      </c>
      <c r="E790" s="18" t="n">
        <f aca="false">E784/D784-1</f>
        <v>0.584640896294232</v>
      </c>
      <c r="F790" s="18" t="n">
        <f aca="false">F784/E784-1</f>
        <v>0.134883987256483</v>
      </c>
      <c r="G790" s="18" t="n">
        <f aca="false">G784/F784-1</f>
        <v>0.131920504848738</v>
      </c>
    </row>
    <row r="791" customFormat="false" ht="17.15" hidden="false" customHeight="false" outlineLevel="0" collapsed="false">
      <c r="A791" s="0" t="s">
        <v>422</v>
      </c>
      <c r="B791" s="0" t="s">
        <v>103</v>
      </c>
      <c r="C791" s="18" t="n">
        <f aca="false">(C776+C781)/C784</f>
        <v>0.834</v>
      </c>
      <c r="D791" s="18" t="n">
        <f aca="false">(D776+D781)/D784</f>
        <v>0.889611696528299</v>
      </c>
      <c r="E791" s="18" t="n">
        <f aca="false">(E776+E781)/E784</f>
        <v>0.926158915907294</v>
      </c>
      <c r="F791" s="18" t="n">
        <f aca="false">(F776+F781)/F784</f>
        <v>0.931681881876955</v>
      </c>
      <c r="G791" s="18" t="n">
        <f aca="false">(G776+G781)/G784</f>
        <v>0.936626270376837</v>
      </c>
    </row>
    <row r="792" customFormat="false" ht="17.15" hidden="false" customHeight="false" outlineLevel="0" collapsed="false">
      <c r="A792" s="4" t="s">
        <v>423</v>
      </c>
      <c r="B792" s="0" t="s">
        <v>103</v>
      </c>
      <c r="C792" s="18" t="n">
        <f aca="false">C781/C784</f>
        <v>0.63</v>
      </c>
      <c r="D792" s="18" t="n">
        <f aca="false">D781/D784</f>
        <v>0.5</v>
      </c>
      <c r="E792" s="18" t="n">
        <f aca="false">E781/E784</f>
        <v>0.354970013278994</v>
      </c>
      <c r="F792" s="18" t="n">
        <f aca="false">F781/F784</f>
        <v>0.354484998378905</v>
      </c>
      <c r="G792" s="18" t="n">
        <f aca="false">G781/G784</f>
        <v>0.338961860797474</v>
      </c>
    </row>
    <row r="793" customFormat="false" ht="17.15" hidden="false" customHeight="false" outlineLevel="0" collapsed="false">
      <c r="A793" s="6" t="s">
        <v>424</v>
      </c>
    </row>
    <row r="794" customFormat="false" ht="17.15" hidden="false" customHeight="false" outlineLevel="0" collapsed="false">
      <c r="A794" s="4" t="s">
        <v>425</v>
      </c>
      <c r="B794" s="0" t="s">
        <v>103</v>
      </c>
      <c r="D794" s="15" t="n">
        <f aca="false">a26_gp/a26_rev+d_nap*D792</f>
        <v>0.219589247962076</v>
      </c>
      <c r="H794" s="8" t="s">
        <v>426</v>
      </c>
    </row>
    <row r="795" customFormat="false" ht="15" hidden="false" customHeight="false" outlineLevel="0" collapsed="false">
      <c r="A795" s="4" t="s">
        <v>320</v>
      </c>
      <c r="B795" s="0" t="s">
        <v>186</v>
      </c>
      <c r="C795" s="20" t="n">
        <f aca="false">a25_gp</f>
        <v>44.921088</v>
      </c>
      <c r="D795" s="20" t="n">
        <f aca="false">a26_gp</f>
        <v>77.875907</v>
      </c>
      <c r="E795" s="20" t="n">
        <f aca="false">$D$794*(E776+E783)+($D$794-d_nap)*E781</f>
        <v>129.069426452133</v>
      </c>
      <c r="F795" s="20" t="n">
        <f aca="false">$D$794*(F776+F783)+($D$794-d_nap)*F781</f>
        <v>146.50032233564</v>
      </c>
      <c r="G795" s="20" t="n">
        <f aca="false">$D$794*(G776+G783)+($D$794-d_nap)*G781</f>
        <v>166.605505340178</v>
      </c>
    </row>
    <row r="796" customFormat="false" ht="15" hidden="false" customHeight="false" outlineLevel="0" collapsed="false">
      <c r="A796" s="4" t="s">
        <v>322</v>
      </c>
      <c r="B796" s="0" t="s">
        <v>103</v>
      </c>
      <c r="C796" s="15" t="n">
        <f aca="false">C795/C784</f>
        <v>0.1809</v>
      </c>
      <c r="D796" s="15" t="n">
        <f aca="false">D795/D784</f>
        <v>0.189589247962076</v>
      </c>
      <c r="E796" s="15" t="n">
        <f aca="false">E795/E784</f>
        <v>0.198291047165337</v>
      </c>
      <c r="F796" s="15" t="n">
        <f aca="false">F795/F784</f>
        <v>0.198320148059342</v>
      </c>
      <c r="G796" s="15" t="n">
        <f aca="false">G795/G784</f>
        <v>0.199251536314228</v>
      </c>
    </row>
    <row r="797" customFormat="false" ht="15" hidden="false" customHeight="false" outlineLevel="0" collapsed="false">
      <c r="A797" s="4" t="s">
        <v>427</v>
      </c>
      <c r="B797" s="0" t="s">
        <v>186</v>
      </c>
      <c r="C797" s="20" t="n">
        <f aca="false">a25_opx</f>
        <v>12.78848</v>
      </c>
      <c r="D797" s="20" t="n">
        <f aca="false">a26_opx</f>
        <v>17.956088</v>
      </c>
      <c r="E797" s="20" t="n">
        <f aca="false">D797*(1+MAX(0,phi*E790))</f>
        <v>24.2548060293549</v>
      </c>
      <c r="F797" s="20" t="n">
        <f aca="false">E797*(1+MAX(0,phi*F790))</f>
        <v>26.217756997778</v>
      </c>
      <c r="G797" s="20" t="n">
        <f aca="false">F797*(1+MAX(0,phi*G790))</f>
        <v>28.2929528412671</v>
      </c>
    </row>
    <row r="798" customFormat="false" ht="15" hidden="false" customHeight="false" outlineLevel="0" collapsed="false">
      <c r="A798" s="4" t="s">
        <v>324</v>
      </c>
      <c r="B798" s="0" t="s">
        <v>186</v>
      </c>
      <c r="C798" s="20" t="n">
        <f aca="false">C797</f>
        <v>12.78848</v>
      </c>
      <c r="D798" s="20" t="n">
        <f aca="false">D797</f>
        <v>17.956088</v>
      </c>
      <c r="E798" s="20" t="n">
        <f aca="false">E797+opx_adj_hi*E784</f>
        <v>27.5093510100093</v>
      </c>
      <c r="F798" s="20" t="n">
        <f aca="false">F797+opx_adj_hi*F784</f>
        <v>29.9112879821288</v>
      </c>
      <c r="G798" s="20" t="n">
        <f aca="false">G797+opx_adj_hi*G784</f>
        <v>32.4737362977478</v>
      </c>
    </row>
    <row r="799" customFormat="false" ht="15" hidden="false" customHeight="false" outlineLevel="0" collapsed="false">
      <c r="A799" s="4" t="s">
        <v>326</v>
      </c>
      <c r="B799" s="0" t="s">
        <v>186</v>
      </c>
      <c r="C799" s="20" t="n">
        <f aca="false">C795-C798</f>
        <v>32.132608</v>
      </c>
      <c r="D799" s="20" t="n">
        <f aca="false">D795-D798</f>
        <v>59.919819</v>
      </c>
      <c r="E799" s="20" t="n">
        <f aca="false">E795-E798</f>
        <v>101.560075442124</v>
      </c>
      <c r="F799" s="20" t="n">
        <f aca="false">F795-F798</f>
        <v>116.589034353512</v>
      </c>
      <c r="G799" s="20" t="n">
        <f aca="false">G795-G798</f>
        <v>134.13176904243</v>
      </c>
    </row>
    <row r="800" customFormat="false" ht="15" hidden="false" customHeight="false" outlineLevel="0" collapsed="false">
      <c r="A800" s="4" t="s">
        <v>328</v>
      </c>
      <c r="B800" s="0" t="s">
        <v>103</v>
      </c>
      <c r="C800" s="15" t="n">
        <f aca="false">C799/C784</f>
        <v>0.1294</v>
      </c>
      <c r="D800" s="15" t="n">
        <f aca="false">D799/D784</f>
        <v>0.145875070478906</v>
      </c>
      <c r="E800" s="15" t="n">
        <f aca="false">E799/E784</f>
        <v>0.156028071582683</v>
      </c>
      <c r="F800" s="15" t="n">
        <f aca="false">F799/F784</f>
        <v>0.157828694070109</v>
      </c>
      <c r="G800" s="15" t="n">
        <f aca="false">G799/G784</f>
        <v>0.160414633332073</v>
      </c>
    </row>
    <row r="801" customFormat="false" ht="17.15" hidden="false" customHeight="false" outlineLevel="0" collapsed="false">
      <c r="A801" s="4" t="s">
        <v>224</v>
      </c>
      <c r="B801" s="0" t="s">
        <v>76</v>
      </c>
      <c r="C801" s="16" t="n">
        <f aca="false">a25_ni/a25_oi</f>
        <v>0.819790289042209</v>
      </c>
      <c r="D801" s="16" t="n">
        <f aca="false">a26_ni/a26_oi</f>
        <v>0.798164213413262</v>
      </c>
      <c r="E801" s="16" t="n">
        <f aca="false">nio_f</f>
        <v>0.8</v>
      </c>
      <c r="F801" s="16" t="n">
        <f aca="false">nio_f</f>
        <v>0.8</v>
      </c>
      <c r="G801" s="16" t="n">
        <f aca="false">nio_f</f>
        <v>0.8</v>
      </c>
    </row>
    <row r="802" customFormat="false" ht="15" hidden="false" customHeight="false" outlineLevel="0" collapsed="false">
      <c r="A802" s="4" t="s">
        <v>329</v>
      </c>
      <c r="B802" s="0" t="s">
        <v>186</v>
      </c>
      <c r="C802" s="20" t="n">
        <f aca="false">a25_ni</f>
        <v>26.342</v>
      </c>
      <c r="D802" s="20" t="n">
        <f aca="false">a26_ni</f>
        <v>47.8258552</v>
      </c>
      <c r="E802" s="20" t="n">
        <f aca="false">E799*E801</f>
        <v>81.248060353699</v>
      </c>
      <c r="F802" s="20" t="n">
        <f aca="false">F799*F801</f>
        <v>93.2712274828092</v>
      </c>
      <c r="G802" s="20" t="n">
        <f aca="false">G799*G801</f>
        <v>107.305415233944</v>
      </c>
    </row>
    <row r="803" customFormat="false" ht="15" hidden="false" customHeight="false" outlineLevel="0" collapsed="false">
      <c r="A803" s="4" t="s">
        <v>428</v>
      </c>
      <c r="B803" s="4" t="s">
        <v>211</v>
      </c>
      <c r="C803" s="17" t="n">
        <f aca="false">a25_sh</f>
        <v>0.558922130277955</v>
      </c>
      <c r="D803" s="17" t="n">
        <f aca="false">a26_sh</f>
        <v>0.558904899135447</v>
      </c>
      <c r="E803" s="17" t="n">
        <f aca="false">D803*(1+sh_g27)</f>
        <v>0.568853406340058</v>
      </c>
      <c r="F803" s="17" t="n">
        <f aca="false">E803*(1+sh_g)</f>
        <v>0.568853406340058</v>
      </c>
      <c r="G803" s="17" t="n">
        <f aca="false">F803*(1+sh_g)</f>
        <v>0.568853406340058</v>
      </c>
    </row>
    <row r="804" customFormat="false" ht="15" hidden="false" customHeight="false" outlineLevel="0" collapsed="false">
      <c r="A804" s="0" t="s">
        <v>334</v>
      </c>
      <c r="B804" s="0" t="s">
        <v>244</v>
      </c>
      <c r="C804" s="14" t="n">
        <f aca="false">C802/C803</f>
        <v>47.13</v>
      </c>
      <c r="D804" s="14" t="n">
        <f aca="false">D802/D803</f>
        <v>85.5706494503455</v>
      </c>
      <c r="E804" s="14" t="n">
        <f aca="false">E802/E803</f>
        <v>142.827764496376</v>
      </c>
      <c r="F804" s="14" t="n">
        <f aca="false">F802/F803</f>
        <v>163.963556240098</v>
      </c>
      <c r="G804" s="14" t="n">
        <f aca="false">G802/G803</f>
        <v>188.634565668396</v>
      </c>
    </row>
    <row r="805" customFormat="false" ht="17.15" hidden="false" customHeight="false" outlineLevel="0" collapsed="false">
      <c r="A805" s="0" t="s">
        <v>429</v>
      </c>
      <c r="B805" s="0" t="s">
        <v>103</v>
      </c>
      <c r="D805" s="18" t="n">
        <f aca="false">D804/C804-1</f>
        <v>0.815630160202535</v>
      </c>
      <c r="E805" s="18" t="n">
        <f aca="false">E804/D804-1</f>
        <v>0.669120959275357</v>
      </c>
      <c r="F805" s="18" t="n">
        <f aca="false">F804/E804-1</f>
        <v>0.147980974275195</v>
      </c>
      <c r="G805" s="18" t="n">
        <f aca="false">G804/F804-1</f>
        <v>0.150466420673211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5" hidden="false" customHeight="false" outlineLevel="0" collapsed="false">
      <c r="A1" s="1" t="s">
        <v>741</v>
      </c>
    </row>
    <row r="2" customFormat="false" ht="17.15" hidden="false" customHeight="false" outlineLevel="0" collapsed="false">
      <c r="A2" s="4" t="s">
        <v>742</v>
      </c>
      <c r="B2" s="0" t="s">
        <v>743</v>
      </c>
    </row>
    <row r="3" customFormat="false" ht="17.15" hidden="false" customHeight="false" outlineLevel="0" collapsed="false">
      <c r="A3" s="4" t="s">
        <v>744</v>
      </c>
      <c r="B3" s="0" t="s">
        <v>745</v>
      </c>
    </row>
    <row r="4" customFormat="false" ht="17.15" hidden="false" customHeight="false" outlineLevel="0" collapsed="false">
      <c r="A4" s="4" t="s">
        <v>746</v>
      </c>
      <c r="B4" s="0" t="s">
        <v>747</v>
      </c>
    </row>
    <row r="5" customFormat="false" ht="17.15" hidden="false" customHeight="false" outlineLevel="0" collapsed="false">
      <c r="A5" s="4" t="s">
        <v>748</v>
      </c>
      <c r="B5" s="0" t="s">
        <v>749</v>
      </c>
    </row>
    <row r="6" customFormat="false" ht="17.15" hidden="false" customHeight="false" outlineLevel="0" collapsed="false">
      <c r="A6" s="4" t="s">
        <v>750</v>
      </c>
      <c r="B6" s="0" t="s">
        <v>751</v>
      </c>
    </row>
    <row r="7" customFormat="false" ht="17.15" hidden="false" customHeight="false" outlineLevel="0" collapsed="false">
      <c r="A7" s="4" t="s">
        <v>752</v>
      </c>
      <c r="B7" s="0" t="s">
        <v>753</v>
      </c>
    </row>
    <row r="8" customFormat="false" ht="17.15" hidden="false" customHeight="false" outlineLevel="0" collapsed="false">
      <c r="A8" s="4" t="s">
        <v>754</v>
      </c>
      <c r="B8" s="0" t="s">
        <v>755</v>
      </c>
    </row>
    <row r="9" customFormat="false" ht="17.15" hidden="false" customHeight="false" outlineLevel="0" collapsed="false">
      <c r="A9" s="4" t="s">
        <v>756</v>
      </c>
      <c r="B9" s="0" t="s">
        <v>757</v>
      </c>
    </row>
    <row r="10" customFormat="false" ht="17.15" hidden="false" customHeight="false" outlineLevel="0" collapsed="false">
      <c r="A10" s="4" t="s">
        <v>758</v>
      </c>
      <c r="B10" s="0" t="s">
        <v>759</v>
      </c>
    </row>
    <row r="11" customFormat="false" ht="17.15" hidden="false" customHeight="false" outlineLevel="0" collapsed="false">
      <c r="A11" s="4" t="s">
        <v>760</v>
      </c>
      <c r="B11" s="0" t="s">
        <v>761</v>
      </c>
    </row>
    <row r="12" customFormat="false" ht="17.15" hidden="false" customHeight="false" outlineLevel="0" collapsed="false">
      <c r="A12" s="4" t="s">
        <v>762</v>
      </c>
      <c r="B12" s="0" t="s">
        <v>763</v>
      </c>
    </row>
    <row r="13" customFormat="false" ht="17.15" hidden="false" customHeight="false" outlineLevel="0" collapsed="false">
      <c r="A13" s="4" t="s">
        <v>764</v>
      </c>
      <c r="B13" s="0" t="s">
        <v>765</v>
      </c>
    </row>
    <row r="14" customFormat="false" ht="17.15" hidden="false" customHeight="false" outlineLevel="0" collapsed="false">
      <c r="A14" s="4" t="s">
        <v>766</v>
      </c>
      <c r="B14" s="0" t="s">
        <v>767</v>
      </c>
    </row>
    <row r="15" customFormat="false" ht="17.15" hidden="false" customHeight="false" outlineLevel="0" collapsed="false">
      <c r="A15" s="4" t="s">
        <v>768</v>
      </c>
      <c r="B15" s="0" t="s">
        <v>769</v>
      </c>
    </row>
    <row r="16" customFormat="false" ht="17.15" hidden="false" customHeight="false" outlineLevel="0" collapsed="false">
      <c r="A16" s="4" t="s">
        <v>770</v>
      </c>
      <c r="B16" s="0" t="s">
        <v>771</v>
      </c>
    </row>
    <row r="17" customFormat="false" ht="17.15" hidden="false" customHeight="false" outlineLevel="0" collapsed="false">
      <c r="A17" s="4" t="s">
        <v>772</v>
      </c>
      <c r="B17" s="0" t="s">
        <v>773</v>
      </c>
    </row>
    <row r="18" customFormat="false" ht="17.15" hidden="false" customHeight="false" outlineLevel="0" collapsed="false">
      <c r="A18" s="4" t="s">
        <v>774</v>
      </c>
      <c r="B18" s="0" t="s">
        <v>775</v>
      </c>
    </row>
    <row r="19" customFormat="false" ht="17.15" hidden="false" customHeight="false" outlineLevel="0" collapsed="false">
      <c r="A19" s="4" t="s">
        <v>776</v>
      </c>
      <c r="B19" s="0" t="s">
        <v>777</v>
      </c>
    </row>
    <row r="20" customFormat="false" ht="17.15" hidden="false" customHeight="false" outlineLevel="0" collapsed="false">
      <c r="A20" s="4" t="s">
        <v>778</v>
      </c>
    </row>
    <row r="21" customFormat="false" ht="17.15" hidden="false" customHeight="false" outlineLevel="0" collapsed="false">
      <c r="A21" s="4" t="s">
        <v>779</v>
      </c>
      <c r="B21" s="4" t="s">
        <v>780</v>
      </c>
    </row>
    <row r="22" customFormat="false" ht="15" hidden="false" customHeight="false" outlineLevel="0" collapsed="false">
      <c r="A22" s="0" t="s">
        <v>781</v>
      </c>
      <c r="B22" s="4" t="s">
        <v>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2026-10-28T07:47:37Z</dcterms:created>
  <dc:creator>openpyxl</dc:creator>
  <dc:description/>
  <dc:language>en-US</dc:language>
  <cp:lastModifiedBy/>
  <dcterms:modified xsi:type="dcterms:W3CDTF">2026-10-28T07:47:37Z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