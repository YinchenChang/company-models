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Q!$B$13</definedName>
    <definedName function="false" hidden="false" name="a25_gp" vbProcedure="false">Q!$B$5</definedName>
    <definedName function="false" hidden="false" name="a25_ni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Q!$B$12</definedName>
    <definedName function="false" hidden="false" name="a26_eps" vbProcedure="false">Q!$G$13</definedName>
    <definedName function="false" hidden="false" name="a26_gp" vbProcedure="false">Q!$G$5</definedName>
    <definedName function="false" hidden="false" name="a26_ni" vbProcedure="false">Q!$G$10</definedName>
    <definedName function="false" hidden="false" name="a26_oi" vbProcedure="false">Q!$G$8</definedName>
    <definedName function="false" hidden="false" name="a26_opx" vbProcedure="false">Q!$G$7</definedName>
    <definedName function="false" hidden="false" name="a26_rev" vbProcedure="false">Q!$G$4</definedName>
    <definedName function="false" hidden="false" name="a26_sh" vbProcedure="false">Q!$G$12</definedName>
    <definedName function="false" hidden="false" name="af25" vbProcedure="false">In!$E$48</definedName>
    <definedName function="false" hidden="false" name="af25_hi" vbProcedure="false">In!$F$48</definedName>
    <definedName function="false" hidden="false" name="af25_lo" vbProcedure="false">In!$D$48</definedName>
    <definedName function="false" hidden="false" name="br_sw26" vbProcedure="false">In!$E$77</definedName>
    <definedName function="false" hidden="false" name="cons_eps26" vbProcedure="false">In!$E$73</definedName>
    <definedName function="false" hidden="false" name="cons_eps27" vbProcedure="false">In!$E$75</definedName>
    <definedName function="false" hidden="false" name="cons_eps28" vbProcedure="false">In!$E$76</definedName>
    <definedName function="false" hidden="false" name="cons_rev26" vbProcedure="false">In!$E$72</definedName>
    <definedName function="false" hidden="false" name="cons_rev27" vbProcedure="false">In!$E$74</definedName>
    <definedName function="false" hidden="false" name="cons_tp" vbProcedure="false">In!$E$92</definedName>
    <definedName function="false" hidden="false" name="dell_top2" vbProcedure="false">In!$E$78</definedName>
    <definedName function="false" hidden="false" name="d_nap" vbProcedure="false">In!$E$55</definedName>
    <definedName function="false" hidden="false" name="d_nap_hi" vbProcedure="false">In!$F$55</definedName>
    <definedName function="false" hidden="false" name="d_nap_lo" vbProcedure="false">In!$D$55</definedName>
    <definedName function="false" hidden="false" name="ETHI_26" vbProcedure="false">In!$F$29</definedName>
    <definedName function="false" hidden="false" name="ETHI_27" vbProcedure="false">In!$F$30</definedName>
    <definedName function="false" hidden="false" name="ETHI_28" vbProcedure="false">In!$F$31</definedName>
    <definedName function="false" hidden="false" name="ETHI_29" vbProcedure="false">In!$F$32</definedName>
    <definedName function="false" hidden="false" name="eth_26" vbProcedure="false">In!$E$29</definedName>
    <definedName function="false" hidden="false" name="eth_26_hi" vbProcedure="false">In!$F$29</definedName>
    <definedName function="false" hidden="false" name="eth_26_lo" vbProcedure="false">In!$D$29</definedName>
    <definedName function="false" hidden="false" name="eth_27" vbProcedure="false">In!$E$30</definedName>
    <definedName function="false" hidden="false" name="eth_27_hi" vbProcedure="false">In!$F$30</definedName>
    <definedName function="false" hidden="false" name="eth_27_lo" vbProcedure="false">In!$D$30</definedName>
    <definedName function="false" hidden="false" name="eth_28" vbProcedure="false">In!$E$31</definedName>
    <definedName function="false" hidden="false" name="eth_28_hi" vbProcedure="false">In!$F$31</definedName>
    <definedName function="false" hidden="false" name="eth_28_lo" vbProcedure="false">In!$D$31</definedName>
    <definedName function="false" hidden="false" name="eth_29" vbProcedure="false">In!$E$32</definedName>
    <definedName function="false" hidden="false" name="eth_29_hi" vbProcedure="false">In!$F$32</definedName>
    <definedName function="false" hidden="false" name="eth_29_lo" vbProcedure="false">In!$D$32</definedName>
    <definedName function="false" hidden="false" name="ETLO_26" vbProcedure="false">In!$D$29</definedName>
    <definedName function="false" hidden="false" name="ETLO_27" vbProcedure="false">In!$D$30</definedName>
    <definedName function="false" hidden="false" name="ETLO_28" vbProcedure="false">In!$D$31</definedName>
    <definedName function="false" hidden="false" name="ETLO_29" vbProcedure="false">In!$D$32</definedName>
    <definedName function="false" hidden="false" name="fx" vbProcedure="false">In!$E$27</definedName>
    <definedName function="false" hidden="false" name="fx_hi" vbProcedure="false">In!$F$27</definedName>
    <definedName function="false" hidden="false" name="fx_lo" vbProcedure="false">In!$D$27</definedName>
    <definedName function="false" hidden="false" name="g_nai26" vbProcedure="false">In!$E$50</definedName>
    <definedName function="false" hidden="false" name="g_nai26_hi" vbProcedure="false">In!$F$50</definedName>
    <definedName function="false" hidden="false" name="g_nai26_lo" vbProcedure="false">In!$D$50</definedName>
    <definedName function="false" hidden="false" name="g_nai27" vbProcedure="false">In!$E$51</definedName>
    <definedName function="false" hidden="false" name="g_nai27_hi" vbProcedure="false">In!$F$51</definedName>
    <definedName function="false" hidden="false" name="g_nai27_lo" vbProcedure="false">In!$D$51</definedName>
    <definedName function="false" hidden="false" name="g_nai28" vbProcedure="false">In!$E$52</definedName>
    <definedName function="false" hidden="false" name="g_nai28_hi" vbProcedure="false">In!$F$52</definedName>
    <definedName function="false" hidden="false" name="g_nai28_lo" vbProcedure="false">In!$D$52</definedName>
    <definedName function="false" hidden="false" name="g_nai29" vbProcedure="false">In!$E$53</definedName>
    <definedName function="false" hidden="false" name="g_nai29_hi" vbProcedure="false">In!$F$53</definedName>
    <definedName function="false" hidden="false" name="g_nai29_lo" vbProcedure="false">In!$D$53</definedName>
    <definedName function="false" hidden="false" name="itc_26" vbProcedure="false">In!$E$17</definedName>
    <definedName function="false" hidden="false" name="itc_27" vbProcedure="false">In!$E$18</definedName>
    <definedName function="false" hidden="false" name="itc_28" vbProcedure="false">In!$E$19</definedName>
    <definedName function="false" hidden="false" name="itc_29" vbProcedure="false">In!$E$20</definedName>
    <definedName function="false" hidden="false" name="mf" vbProcedure="false">In!$E$70</definedName>
    <definedName function="false" hidden="false" name="mf_hi" vbProcedure="false">In!$F$70</definedName>
    <definedName function="false" hidden="false" name="mf_lo" vbProcedure="false">In!$D$70</definedName>
    <definedName function="false" hidden="false" name="mkt_26" vbProcedure="false">In!$E$5</definedName>
    <definedName function="false" hidden="false" name="mkt_27" vbProcedure="false">In!$E$6</definedName>
    <definedName function="false" hidden="false" name="mkt_28" vbProcedure="false">In!$E$7</definedName>
    <definedName function="false" hidden="false" name="mkt_29" vbProcedure="false">In!$E$8</definedName>
    <definedName function="false" hidden="false" name="nap25s" vbProcedure="false">In!$E$47</definedName>
    <definedName function="false" hidden="false" name="nap25s_hi" vbProcedure="false">In!$F$47</definedName>
    <definedName function="false" hidden="false" name="nap25s_lo" vbProcedure="false">In!$D$47</definedName>
    <definedName function="false" hidden="false" name="nio_f" vbProcedure="false">In!$E$67</definedName>
    <definedName function="false" hidden="false" name="nio_f_hi" vbProcedure="false">In!$F$67</definedName>
    <definedName function="false" hidden="false" name="nio_f_lo" vbProcedure="false">In!$D$67</definedName>
    <definedName function="false" hidden="false" name="nm10_k" vbProcedure="false">In!$E$91</definedName>
    <definedName function="false" hidden="false" name="nrel_27" vbProcedure="false">In!$E$41</definedName>
    <definedName function="false" hidden="false" name="nrel_27_hi" vbProcedure="false">In!$F$41</definedName>
    <definedName function="false" hidden="false" name="nrel_27_lo" vbProcedure="false">In!$D$41</definedName>
    <definedName function="false" hidden="false" name="nrel_28" vbProcedure="false">In!$E$42</definedName>
    <definedName function="false" hidden="false" name="nrel_28_hi" vbProcedure="false">In!$F$42</definedName>
    <definedName function="false" hidden="false" name="nrel_28_lo" vbProcedure="false">In!$D$42</definedName>
    <definedName function="false" hidden="false" name="nrel_29" vbProcedure="false">In!$E$43</definedName>
    <definedName function="false" hidden="false" name="nrel_29_hi" vbProcedure="false">In!$F$43</definedName>
    <definedName function="false" hidden="false" name="nrel_29_lo" vbProcedure="false">In!$D$43</definedName>
    <definedName function="false" hidden="false" name="NRLO_27" vbProcedure="false">In!$D$41</definedName>
    <definedName function="false" hidden="false" name="NRLO_28" vbProcedure="false">In!$D$42</definedName>
    <definedName function="false" hidden="false" name="NRLO_29" vbProcedure="false">In!$D$43</definedName>
    <definedName function="false" hidden="false" name="ns26" vbProcedure="false">In!$E$49</definedName>
    <definedName function="false" hidden="false" name="ns26_hi" vbProcedure="false">In!$F$49</definedName>
    <definedName function="false" hidden="false" name="ns26_lo" vbProcedure="false">In!$D$49</definedName>
    <definedName function="false" hidden="false" name="opx_adj" vbProcedure="false">In!$E$66</definedName>
    <definedName function="false" hidden="false" name="opx_adj_hi" vbProcedure="false">In!$F$66</definedName>
    <definedName function="false" hidden="false" name="opx_adj_lo" vbProcedure="false">In!$D$66</definedName>
    <definedName function="false" hidden="false" name="pe_mid" vbProcedure="false">Val!$C$139</definedName>
    <definedName function="false" hidden="false" name="pe_peak" vbProcedure="false">Val!$C$138</definedName>
    <definedName function="false" hidden="false" name="pe_trough" vbProcedure="false">Val!$C$140</definedName>
    <definedName function="false" hidden="false" name="pe_ttm" vbProcedure="false">In!$E$81</definedName>
    <definedName function="false" hidden="false" name="phi" vbProcedure="false">In!$E$65</definedName>
    <definedName function="false" hidden="false" name="phi_hi" vbProcedure="false">In!$F$65</definedName>
    <definedName function="false" hidden="false" name="phi_lo" vbProcedure="false">In!$D$65</definedName>
    <definedName function="false" hidden="false" name="px" vbProcedure="false">In!$E$80</definedName>
    <definedName function="false" hidden="false" name="q3_gm" vbProcedure="false">In!$E$58</definedName>
    <definedName function="false" hidden="false" name="q3_gm_hi" vbProcedure="false">In!$F$58</definedName>
    <definedName function="false" hidden="false" name="q3_gm_lo" vbProcedure="false">In!$D$58</definedName>
    <definedName function="false" hidden="false" name="q3_rev" vbProcedure="false">In!$E$57</definedName>
    <definedName function="false" hidden="false" name="q4_g" vbProcedure="false">In!$E$59</definedName>
    <definedName function="false" hidden="false" name="q4_gm" vbProcedure="false">In!$E$60</definedName>
    <definedName function="false" hidden="false" name="q4_gm_hi" vbProcedure="false">In!$F$60</definedName>
    <definedName function="false" hidden="false" name="q4_gm_lo" vbProcedure="false">In!$D$60</definedName>
    <definedName function="false" hidden="false" name="q4_g_hi" vbProcedure="false">In!$F$59</definedName>
    <definedName function="false" hidden="false" name="q4_g_lo" vbProcedure="false">In!$D$59</definedName>
    <definedName function="false" hidden="false" name="q_nio" vbProcedure="false">In!$E$62</definedName>
    <definedName function="false" hidden="false" name="q_nio_hi" vbProcedure="false">In!$F$62</definedName>
    <definedName function="false" hidden="false" name="q_nio_lo" vbProcedure="false">In!$D$62</definedName>
    <definedName function="false" hidden="false" name="q_opx" vbProcedure="false">In!$E$61</definedName>
    <definedName function="false" hidden="false" name="q_opx_hi" vbProcedure="false">In!$F$61</definedName>
    <definedName function="false" hidden="false" name="q_opx_lo" vbProcedure="false">In!$D$61</definedName>
    <definedName function="false" hidden="false" name="q_sh" vbProcedure="false">In!$E$63</definedName>
    <definedName function="false" hidden="false" name="rel_27" vbProcedure="false">In!$E$37</definedName>
    <definedName function="false" hidden="false" name="rel_27_hi" vbProcedure="false">In!$F$37</definedName>
    <definedName function="false" hidden="false" name="rel_27_lo" vbProcedure="false">In!$D$37</definedName>
    <definedName function="false" hidden="false" name="rel_28" vbProcedure="false">In!$E$38</definedName>
    <definedName function="false" hidden="false" name="rel_28_hi" vbProcedure="false">In!$F$38</definedName>
    <definedName function="false" hidden="false" name="rel_28_lo" vbProcedure="false">In!$D$38</definedName>
    <definedName function="false" hidden="false" name="rel_29" vbProcedure="false">In!$E$39</definedName>
    <definedName function="false" hidden="false" name="rel_29_hi" vbProcedure="false">In!$F$39</definedName>
    <definedName function="false" hidden="false" name="rel_29_lo" vbProcedure="false">In!$D$39</definedName>
    <definedName function="false" hidden="false" name="RHI_27" vbProcedure="false">In!$F$37</definedName>
    <definedName function="false" hidden="false" name="RHI_28" vbProcedure="false">In!$F$38</definedName>
    <definedName function="false" hidden="false" name="RHI_29" vbProcedure="false">In!$F$39</definedName>
    <definedName function="false" hidden="false" name="RLO_27" vbProcedure="false">In!$D$37</definedName>
    <definedName function="false" hidden="false" name="RLO_28" vbProcedure="false">In!$D$38</definedName>
    <definedName function="false" hidden="false" name="RLO_29" vbProcedure="false">In!$D$39</definedName>
    <definedName function="false" hidden="false" name="sh_g" vbProcedure="false">In!$E$69</definedName>
    <definedName function="false" hidden="false" name="sh_g27" vbProcedure="false">In!$E$68</definedName>
    <definedName function="false" hidden="false" name="sh_g27_hi" vbProcedure="false">In!$F$68</definedName>
    <definedName function="false" hidden="false" name="sh_g27_lo" vbProcedure="false">In!$D$68</definedName>
    <definedName function="false" hidden="false" name="sh_g_hi" vbProcedure="false">In!$F$69</definedName>
    <definedName function="false" hidden="false" name="sh_g_lo" vbProcedure="false">In!$D$69</definedName>
    <definedName function="false" hidden="false" name="su_26" vbProcedure="false">In!$E$9</definedName>
    <definedName function="false" hidden="false" name="su_27" vbProcedure="false">In!$E$10</definedName>
    <definedName function="false" hidden="false" name="su_28" vbProcedure="false">In!$E$11</definedName>
    <definedName function="false" hidden="false" name="su_29" vbProcedure="false">In!$E$12</definedName>
    <definedName function="false" hidden="false" name="sw25s" vbProcedure="false">In!$E$46</definedName>
    <definedName function="false" hidden="false" name="sw25s_hi" vbProcedure="false">In!$F$46</definedName>
    <definedName function="false" hidden="false" name="sw25s_lo" vbProcedure="false">In!$D$46</definedName>
    <definedName function="false" hidden="false" name="tf" vbProcedure="false">In!$E$44</definedName>
    <definedName function="false" hidden="false" name="tf_hi" vbProcedure="false">In!$F$44</definedName>
    <definedName function="false" hidden="false" name="tf_lo" vbProcedure="false">In!$D$44</definedName>
    <definedName function="false" hidden="false" name="tp_g" vbProcedure="false">In!$E$87</definedName>
    <definedName function="false" hidden="false" name="tp_gd" vbProcedure="false">In!$E$88</definedName>
    <definedName function="false" hidden="false" name="tp_r" vbProcedure="false">In!$E$86</definedName>
    <definedName function="false" hidden="false" name="tp_roe" vbProcedure="false">In!$E$89</definedName>
    <definedName function="false" hidden="false" name="tp_wA" vbProcedure="false">In!$E$82</definedName>
    <definedName function="false" hidden="false" name="tp_wB" vbProcedure="false">In!$E$83</definedName>
    <definedName function="false" hidden="false" name="tp_wC" vbProcedure="false">In!$E$84</definedName>
    <definedName function="false" hidden="false" name="tp_w_dcf" vbProcedure="false">In!$E$90</definedName>
    <definedName function="false" hidden="false" name="trn_26" vbProcedure="false">In!$E$13</definedName>
    <definedName function="false" hidden="false" name="trn_27" vbProcedure="false">In!$E$14</definedName>
    <definedName function="false" hidden="false" name="trn_28" vbProcedure="false">In!$E$15</definedName>
    <definedName function="false" hidden="false" name="trn_29" vbProcedure="false">In!$E$16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  <definedName function="false" hidden="false" name="WBHI_26" vbProcedure="false">In!$F$33</definedName>
    <definedName function="false" hidden="false" name="WBHI_27" vbProcedure="false">In!$F$34</definedName>
    <definedName function="false" hidden="false" name="WBHI_28" vbProcedure="false">In!$F$35</definedName>
    <definedName function="false" hidden="false" name="WBHI_29" vbProcedure="false">In!$F$36</definedName>
    <definedName function="false" hidden="false" name="WBLO_26" vbProcedure="false">In!$D$33</definedName>
    <definedName function="false" hidden="false" name="WBLO_27" vbProcedure="false">In!$D$34</definedName>
    <definedName function="false" hidden="false" name="WBLO_28" vbProcedure="false">In!$D$35</definedName>
    <definedName function="false" hidden="false" name="WBLO_29" vbProcedure="false">In!$D$36</definedName>
    <definedName function="false" hidden="false" name="wb_26" vbProcedure="false">In!$E$33</definedName>
    <definedName function="false" hidden="false" name="wb_26_hi" vbProcedure="false">In!$F$33</definedName>
    <definedName function="false" hidden="false" name="wb_26_lo" vbProcedure="false">In!$D$33</definedName>
    <definedName function="false" hidden="false" name="wb_27" vbProcedure="false">In!$E$34</definedName>
    <definedName function="false" hidden="false" name="wb_27_hi" vbProcedure="false">In!$F$34</definedName>
    <definedName function="false" hidden="false" name="wb_27_lo" vbProcedure="false">In!$D$34</definedName>
    <definedName function="false" hidden="false" name="wb_28" vbProcedure="false">In!$E$35</definedName>
    <definedName function="false" hidden="false" name="wb_28_hi" vbProcedure="false">In!$F$35</definedName>
    <definedName function="false" hidden="false" name="wb_28_lo" vbProcedure="false">In!$D$35</definedName>
    <definedName function="false" hidden="false" name="wb_29" vbProcedure="false">In!$E$36</definedName>
    <definedName function="false" hidden="false" name="wb_29_hi" vbProcedure="false">In!$F$36</definedName>
    <definedName function="false" hidden="false" name="wb_29_lo" vbProcedure="false">In!$D$36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<sst xmlns="http://schemas.openxmlformats.org/spreadsheetml/2006/main" count="2756" uniqueCount="775">
  <si>
    <r>
      <rPr>
        <b val="true"/>
        <sz val="11"/>
        <rFont val="Noto Sans CJK SC"/>
        <family val="2"/>
      </rPr>
      <t xml:space="preserve">智邦科技（</t>
    </r>
    <r>
      <rPr>
        <b val="true"/>
        <sz val="11"/>
        <rFont val="Cambria"/>
        <family val="0"/>
        <charset val="1"/>
      </rPr>
      <t xml:space="preserve">2345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：網通系統端，白牌交換器 </t>
    </r>
    <r>
      <rPr>
        <b val="true"/>
        <sz val="11"/>
        <rFont val="Cambria"/>
        <family val="0"/>
        <charset val="1"/>
      </rPr>
      <t xml:space="preserve">ODM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</si>
  <si>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（初版）。智邦在白牌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乙太網路交換器的份額在本模型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</si>
  <si>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模型命題：智邦的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交換器營收＝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資料中心乙太網路交換器市場（</t>
    </r>
    <r>
      <rPr>
        <sz val="11"/>
        <rFont val="Cambria"/>
        <family val="0"/>
        <charset val="1"/>
      </rPr>
      <t xml:space="preserve">scale-out × </t>
    </r>
    <r>
      <rPr>
        <sz val="11"/>
        <rFont val="Noto Sans CJK SC"/>
        <family val="2"/>
      </rPr>
      <t xml:space="preserve">乙太網路占比＋非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交換匣；本專案網通模型）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白牌占比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智邦在白牌中的份額；另一半營收是 </t>
    </r>
    <r>
      <rPr>
        <sz val="11"/>
        <rFont val="Cambria"/>
        <family val="0"/>
        <charset val="1"/>
      </rPr>
      <t xml:space="preserve">AWS Trainium </t>
    </r>
    <r>
      <rPr>
        <sz val="11"/>
        <rFont val="Noto Sans CJK SC"/>
        <family val="2"/>
      </rPr>
      <t xml:space="preserve">加速卡等網路應用產品（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每顆營收）；非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另依成長率推。股價約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倍模型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（共識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倍）：</t>
    </r>
    <r>
      <rPr>
        <sz val="11"/>
        <rFont val="Cambria"/>
        <family val="0"/>
        <charset val="1"/>
      </rPr>
      <t xml:space="preserve">800G → 1.6T </t>
    </r>
    <r>
      <rPr>
        <sz val="11"/>
        <rFont val="Noto Sans CJK SC"/>
        <family val="2"/>
      </rPr>
      <t xml:space="preserve">換代與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第二供應商之下，份額撐得住嗎？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</si>
  <si>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年智邦在白牌交換器與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加速卡的份額各掉一截，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少多少；現價隱含的路徑合不合理。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</si>
  <si>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（三年）。金額：十億新台幣；市場以美元、匯率 </t>
    </r>
    <r>
      <rPr>
        <sz val="11"/>
        <rFont val="Cambria"/>
        <family val="0"/>
        <charset val="1"/>
      </rPr>
      <t xml:space="preserve">32.0 </t>
    </r>
    <r>
      <rPr>
        <sz val="11"/>
        <rFont val="Noto Sans CJK SC"/>
        <family val="2"/>
      </rPr>
      <t xml:space="preserve">換算。口徑：稅後淨利（公司公告）。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</si>
  <si>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</si>
  <si>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交換器：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交換器市場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乙太網路占比（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）＋非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交換匣（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）→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白牌占比（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智邦白牌有效份額（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800G → 1.6T </t>
    </r>
    <r>
      <rPr>
        <sz val="11"/>
        <rFont val="Noto Sans CJK SC"/>
        <family val="2"/>
      </rPr>
      <t xml:space="preserve">的單價上升含在網通模型每顆內容；換代的份額風險放在相對值與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</si>
  <si>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網路應用產品：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每顆智邦營收（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依公司揭露比例推得，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起依成長率（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）。毛利率：網路應用產品比交換器與其他低 </t>
    </r>
    <r>
      <rPr>
        <sz val="11"/>
        <rFont val="Cambria"/>
        <family val="0"/>
        <charset val="1"/>
      </rPr>
      <t xml:space="preserve">d_nap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</si>
  <si>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1Q–2Q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營收實績（月營收）＋毛利率、費用與 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假設；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網路應用產品占比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對帳）。主要客戶 </t>
    </r>
    <r>
      <rPr>
        <sz val="11"/>
        <rFont val="Cambria"/>
        <family val="0"/>
        <charset val="1"/>
      </rPr>
      <t xml:space="preserve">Amazon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800G </t>
    </r>
    <r>
      <rPr>
        <sz val="11"/>
        <rFont val="Noto Sans CJK SC"/>
        <family val="2"/>
      </rPr>
      <t xml:space="preserve">交換器）與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年新增的另一家美系超大規模業者（法人稱可能為 </t>
    </r>
    <r>
      <rPr>
        <sz val="11"/>
        <rFont val="Cambria"/>
        <family val="0"/>
        <charset val="1"/>
      </rPr>
      <t xml:space="preserve">Meta </t>
    </r>
    <r>
      <rPr>
        <sz val="11"/>
        <rFont val="Noto Sans CJK SC"/>
        <family val="2"/>
      </rPr>
      <t xml:space="preserve">等）皆為 </t>
    </r>
    <r>
      <rPr>
        <sz val="11"/>
        <rFont val="Cambria"/>
        <family val="0"/>
        <charset val="1"/>
      </rPr>
      <t xml:space="preserve">Interested-party </t>
    </r>
    <r>
      <rPr>
        <sz val="11"/>
        <rFont val="Noto Sans CJK SC"/>
        <family val="2"/>
      </rPr>
      <t xml:space="preserve">說法；客戶占比未找到。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</si>
  <si>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規則值（兩個資料商來源）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；目標價＝三情境規則值隱含價加權（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）。循環位置以本模型營收最高年判定。本版未做先驗，無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</si>
  <si>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未使用。公司原文只經媒體轉述（季報、月營收、法說摘要）。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</si>
  <si>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FY2026 </t>
    </r>
    <r>
      <rPr>
        <sz val="11"/>
        <rFont val="Noto Sans CJK SC"/>
        <family val="2"/>
      </rPr>
      <t xml:space="preserve">產品別拆分（網路應用產品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）與交換器的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比例為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，決定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交換器與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兩條線的起點；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白牌占比與份額相對值皆為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（年出貨未找到）；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記憶體與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改客供（代購）會壓低營收、墊高毛利率，本版未拆；</t>
    </r>
    <r>
      <rPr>
        <sz val="11"/>
        <rFont val="Cambria"/>
        <family val="0"/>
        <charset val="1"/>
      </rPr>
      <t xml:space="preserve">(5) 3Q26 </t>
    </r>
    <r>
      <rPr>
        <sz val="11"/>
        <rFont val="Noto Sans CJK SC"/>
        <family val="2"/>
      </rPr>
      <t xml:space="preserve">財報未出，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毛利率與費用為假設；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兩來源 </t>
    </r>
    <r>
      <rPr>
        <sz val="11"/>
        <rFont val="Cambria"/>
        <family val="0"/>
        <charset val="1"/>
      </rPr>
      <t xml:space="preserve">2016–2017 </t>
    </r>
    <r>
      <rPr>
        <sz val="11"/>
        <rFont val="Noto Sans CJK SC"/>
        <family val="2"/>
      </rPr>
      <t xml:space="preserve">年只有一個；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</si>
  <si>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目標價改為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頁最前面「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目標價」：</t>
    </r>
    <r>
      <rPr>
        <sz val="11"/>
        <color theme="1"/>
        <rFont val="Calibri"/>
        <family val="2"/>
        <charset val="1"/>
      </rPr>
      <t xml:space="preserve">0.1 DCF </t>
    </r>
    <r>
      <rPr>
        <sz val="11"/>
        <color theme="1"/>
        <rFont val="Noto Sans CJK SC"/>
        <family val="2"/>
      </rPr>
      <t xml:space="preserve">股東權益現金流、</t>
    </r>
    <r>
      <rPr>
        <sz val="11"/>
        <color theme="1"/>
        <rFont val="Calibri"/>
        <family val="2"/>
        <charset val="1"/>
      </rPr>
      <t xml:space="preserve">0.2 Comparable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既有內容整體下移，公式一併改寫）；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目標價與上檔空間」改名「舊法：規則值情境加權（參考）」保留。</t>
    </r>
    <r>
      <rPr>
        <sz val="11"/>
        <color theme="1"/>
        <rFont val="Calibri"/>
        <family val="2"/>
        <charset val="1"/>
      </rPr>
      <t xml:space="preserve">(2) PL </t>
    </r>
    <r>
      <rPr>
        <sz val="11"/>
        <color theme="1"/>
        <rFont val="Noto Sans CJK SC"/>
        <family val="2"/>
      </rPr>
      <t xml:space="preserve">頁末新增三情境延伸到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現價維持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1,775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收盤未取得；補證交所為第二來源）。</t>
    </r>
    <r>
      <rPr>
        <sz val="11"/>
        <color theme="1"/>
        <rFont val="Calibri"/>
        <family val="2"/>
        <charset val="1"/>
      </rPr>
      <t xml:space="preserve">(4)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節新增目標價參數（黃底，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對加權目標價的影響。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既有數字不變。</t>
    </r>
  </si>
  <si>
    <r>
      <rPr>
        <sz val="11"/>
        <color theme="1"/>
        <rFont val="Noto Sans CJK SC"/>
        <family val="2"/>
      </rPr>
      <t xml:space="preserve">情境對應（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延伸期）：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＝順利（基準顆數）、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三情境相同，情境差從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</si>
  <si>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</si>
  <si>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NT$2,275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2,584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1,966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1,775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28.2%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25%–50%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+10.8%</t>
    </r>
    <r>
      <rPr>
        <sz val="11"/>
        <color theme="1"/>
        <rFont val="Noto Sans CJK SC"/>
        <family val="2"/>
      </rPr>
      <t xml:space="preserve">。主因是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138.6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162.3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14.6%</t>
    </r>
    <r>
      <rPr>
        <sz val="11"/>
        <color theme="1"/>
        <rFont val="Noto Sans CJK SC"/>
        <family val="2"/>
      </rPr>
      <t xml:space="preserve">，在同業前瞻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14.2 </t>
    </r>
    <r>
      <rPr>
        <sz val="11"/>
        <color theme="1"/>
        <rFont val="Noto Sans CJK SC"/>
        <family val="2"/>
      </rPr>
      <t xml:space="preserve">倍下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只高一成；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單獨 </t>
    </r>
    <r>
      <rPr>
        <sz val="11"/>
        <color theme="1"/>
        <rFont val="Calibri"/>
        <family val="2"/>
        <charset val="1"/>
      </rPr>
      <t xml:space="preserve">+45.6%</t>
    </r>
    <r>
      <rPr>
        <sz val="11"/>
        <color theme="1"/>
        <rFont val="Noto Sans CJK SC"/>
        <family val="2"/>
      </rPr>
      <t xml:space="preserve">，因 </t>
    </r>
    <r>
      <rPr>
        <sz val="11"/>
        <color theme="1"/>
        <rFont val="Calibri"/>
        <family val="2"/>
        <charset val="1"/>
      </rPr>
      <t xml:space="preserve">ROE 44.8% </t>
    </r>
    <r>
      <rPr>
        <sz val="11"/>
        <color theme="1"/>
        <rFont val="Noto Sans CJK SC"/>
        <family val="2"/>
      </rPr>
      <t xml:space="preserve">遠高於折現率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（可發放比例 </t>
    </r>
    <r>
      <rPr>
        <sz val="11"/>
        <color theme="1"/>
        <rFont val="Calibri"/>
        <family val="2"/>
        <charset val="1"/>
      </rPr>
      <t xml:space="preserve">91%</t>
    </r>
    <r>
      <rPr>
        <sz val="11"/>
        <color theme="1"/>
        <rFont val="Noto Sans CJK SC"/>
        <family val="2"/>
      </rPr>
      <t xml:space="preserve">），而現價只有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12.0 </t>
    </r>
    <r>
      <rPr>
        <sz val="11"/>
        <color theme="1"/>
        <rFont val="Noto Sans CJK SC"/>
        <family val="2"/>
      </rPr>
      <t xml:space="preserve">倍。共識目標價 </t>
    </r>
    <r>
      <rPr>
        <sz val="11"/>
        <color theme="1"/>
        <rFont val="Calibri"/>
        <family val="2"/>
        <charset val="1"/>
      </rPr>
      <t xml:space="preserve">3,500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21.6 </t>
    </r>
    <r>
      <rPr>
        <sz val="11"/>
        <color theme="1"/>
        <rFont val="Noto Sans CJK SC"/>
        <family val="2"/>
      </rPr>
      <t xml:space="preserve">倍，比同業高 </t>
    </r>
    <r>
      <rPr>
        <sz val="11"/>
        <color theme="1"/>
        <rFont val="Calibri"/>
        <family val="2"/>
        <charset val="1"/>
      </rPr>
      <t xml:space="preserve">52.0%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</si>
  <si>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三情境分歧大：</t>
    </r>
    <r>
      <rPr>
        <sz val="11"/>
        <color theme="1"/>
        <rFont val="Calibri"/>
        <family val="2"/>
        <charset val="1"/>
      </rPr>
      <t xml:space="preserve">A 169.2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170.57 </t>
    </r>
    <r>
      <rPr>
        <sz val="11"/>
        <color theme="1"/>
        <rFont val="Noto Sans CJK SC"/>
        <family val="2"/>
      </rPr>
      <t xml:space="preserve">相近）、</t>
    </r>
    <r>
      <rPr>
        <sz val="11"/>
        <color theme="1"/>
        <rFont val="Calibri"/>
        <family val="2"/>
        <charset val="1"/>
      </rPr>
      <t xml:space="preserve">B 133.8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20.9%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 95.7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43.4%</t>
    </r>
    <r>
      <rPr>
        <sz val="11"/>
        <color theme="1"/>
        <rFont val="Noto Sans CJK SC"/>
        <family val="2"/>
      </rPr>
      <t xml:space="preserve">），差距來自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起的顆數情境；單一變數中白牌份額流失（相對值 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FY2028 EPS −18.2%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×0.8 −13.8%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份額流失 −</t>
    </r>
    <r>
      <rPr>
        <sz val="11"/>
        <color theme="1"/>
        <rFont val="Calibri"/>
        <family val="2"/>
        <charset val="1"/>
      </rPr>
      <t xml:space="preserve">10.4%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</si>
  <si>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財報與法說（去年在 </t>
    </r>
    <r>
      <rPr>
        <sz val="11"/>
        <color theme="1"/>
        <rFont val="Calibri"/>
        <family val="2"/>
        <charset val="1"/>
      </rPr>
      <t xml:space="preserve">11-07</t>
    </r>
    <r>
      <rPr>
        <sz val="11"/>
        <color theme="1"/>
        <rFont val="Noto Sans CJK SC"/>
        <family val="2"/>
      </rPr>
      <t xml:space="preserve">，約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上旬）與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前）：本版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毛利率與費用為假設，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網路應用產品占比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58%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+6.3%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6.7%</t>
    </r>
    <r>
      <rPr>
        <sz val="11"/>
        <color theme="1"/>
        <rFont val="Noto Sans CJK SC"/>
        <family val="2"/>
      </rPr>
      <t xml:space="preserve">）。網通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目前只有一條路徑、三情境相同，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換代的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份額風險待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改版。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</si>
  <si>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），市場為美元；比例：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</si>
  <si>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未使用。公司原文＝智邦季報與月營收公告（經經濟日報、工商時報、富果摘要轉述）；法人估計與券商目標價皆為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</si>
  <si>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</si>
  <si>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</si>
  <si>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</si>
  <si>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</si>
  <si>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</si>
  <si>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</si>
  <si>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</si>
  <si>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</si>
  <si>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</si>
  <si>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交換器市場（讀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</si>
  <si>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mkt_26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</si>
  <si>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</si>
  <si>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</si>
  <si>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</si>
  <si>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Mkt!C7:F7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</si>
  <si>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交換器內容（不分乙太網路與 </t>
    </r>
    <r>
      <rPr>
        <sz val="11"/>
        <color theme="1"/>
        <rFont val="Calibri"/>
        <family val="2"/>
        <charset val="1"/>
      </rPr>
      <t xml:space="preserve">InfiniBand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800G → 1.6T </t>
    </r>
    <r>
      <rPr>
        <sz val="11"/>
        <color theme="1"/>
        <rFont val="Noto Sans CJK SC"/>
        <family val="2"/>
      </rPr>
      <t xml:space="preserve">的單價上升已含在每顆內容（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</t>
    </r>
  </si>
  <si>
    <t xml:space="preserve">mkt_27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</si>
  <si>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</si>
  <si>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</si>
  <si>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mkt_28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</si>
  <si>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</si>
  <si>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mkt_29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</si>
  <si>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2029</t>
    </r>
  </si>
  <si>
    <t xml:space="preserve">su_26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</si>
  <si>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乙太網路交換匣市場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</si>
  <si>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Units!B10:E10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Units!B11:E11</t>
    </r>
    <r>
      <rPr>
        <sz val="11"/>
        <color theme="1"/>
        <rFont val="Noto Sans CJK SC"/>
        <family val="2"/>
      </rPr>
      <t xml:space="preserve">（其他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Units!B8:E8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c_TRN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c_ASIC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c_AMD8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c_AMDR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  <r>
      <rPr>
        <sz val="11"/>
        <color theme="1"/>
        <rFont val="Calibri"/>
        <family val="2"/>
        <charset val="1"/>
      </rPr>
      <t xml:space="preserve">_su_sw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_su_ic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su_cu</t>
    </r>
  </si>
  <si>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交換晶片＋交換匣其他（扣銅纜）；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ICI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不計</t>
    </r>
  </si>
  <si>
    <t xml:space="preserve">su_27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</si>
  <si>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乙太網路交換匣市場 </t>
    </r>
    <r>
      <rPr>
        <sz val="11"/>
        <color theme="1"/>
        <rFont val="Calibri"/>
        <family val="2"/>
        <charset val="1"/>
      </rPr>
      <t xml:space="preserve">2027</t>
    </r>
  </si>
  <si>
    <t xml:space="preserve">su_28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</si>
  <si>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乙太網路交換匣市場 </t>
    </r>
    <r>
      <rPr>
        <sz val="11"/>
        <color theme="1"/>
        <rFont val="Calibri"/>
        <family val="2"/>
        <charset val="1"/>
      </rPr>
      <t xml:space="preserve">2028</t>
    </r>
  </si>
  <si>
    <t xml:space="preserve">su_29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</si>
  <si>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乙太網路交換匣市場 </t>
    </r>
    <r>
      <rPr>
        <sz val="11"/>
        <color theme="1"/>
        <rFont val="Calibri"/>
        <family val="2"/>
        <charset val="1"/>
      </rPr>
      <t xml:space="preserve">2029</t>
    </r>
  </si>
  <si>
    <t xml:space="preserve">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</si>
  <si>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</si>
  <si>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</si>
  <si>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Units!B10:E10</t>
    </r>
  </si>
  <si>
    <r>
      <rPr>
        <sz val="11"/>
        <color theme="1"/>
        <rFont val="Noto Sans CJK SC"/>
        <family val="2"/>
      </rPr>
      <t xml:space="preserve">網通模型沿用記憶體模型顆數（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：年出貨未找到）</t>
    </r>
  </si>
  <si>
    <t xml:space="preserve">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</si>
  <si>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</si>
  <si>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</si>
  <si>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</si>
  <si>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trn_29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</si>
  <si>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</si>
  <si>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</si>
  <si>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</si>
  <si>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</si>
  <si>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</si>
  <si>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</si>
  <si>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</si>
  <si>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</si>
  <si>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</si>
  <si>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</si>
  <si>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</si>
  <si>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</si>
  <si>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</si>
  <si>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</si>
  <si>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</si>
  <si>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</si>
  <si>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、廣達模型相同）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</si>
  <si>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</si>
  <si>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</si>
  <si>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</si>
  <si>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</si>
  <si>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</si>
  <si>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</si>
  <si>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</si>
  <si>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</si>
  <si>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</si>
  <si>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</si>
  <si>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</si>
  <si>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</si>
  <si>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</si>
  <si>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</si>
  <si>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</si>
  <si>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</si>
  <si>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</si>
  <si>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</si>
  <si>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quanta/ </t>
    </r>
    <r>
      <rPr>
        <sz val="11"/>
        <color theme="1"/>
        <rFont val="Noto Sans CJK SC"/>
        <family val="2"/>
      </rPr>
      <t xml:space="preserve">模型相同 </t>
    </r>
    <r>
      <rPr>
        <sz val="11"/>
        <color theme="1"/>
        <rFont val="Calibri"/>
        <family val="2"/>
        <charset val="1"/>
      </rPr>
      <t xml:space="preserve">32.0</t>
    </r>
  </si>
  <si>
    <r>
      <rPr>
        <sz val="11"/>
        <color theme="1"/>
        <rFont val="Noto Sans CJK SC"/>
        <family val="2"/>
      </rPr>
      <t xml:space="preserve">份額在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以同一匯率校準，匯率只在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起變動時才影響結果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</si>
  <si>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乙太網路占比、白牌占比與智邦份額（本專案為權威：白牌交換器廠份額，規則第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</si>
  <si>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eth_26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</si>
  <si>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後端交換器（金額）</t>
    </r>
    <r>
      <rPr>
        <sz val="11"/>
        <color theme="1"/>
        <rFont val="Calibri"/>
        <family val="2"/>
        <charset val="1"/>
      </rPr>
      <t xml:space="preserve">2026</t>
    </r>
  </si>
  <si>
    <t xml:space="preserve">%</t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</si>
  <si>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arista/ </t>
    </r>
    <r>
      <rPr>
        <sz val="11"/>
        <color theme="1"/>
        <rFont val="Noto Sans CJK SC"/>
        <family val="2"/>
      </rPr>
      <t xml:space="preserve">模型同值；</t>
    </r>
    <r>
      <rPr>
        <sz val="11"/>
        <color theme="1"/>
        <rFont val="Calibri"/>
        <family val="2"/>
        <charset val="1"/>
      </rPr>
      <t xml:space="preserve">Dell'Oro 2026-03-10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年乙太網路占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叢集交換器三分之二以上（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</si>
  <si>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IDC 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800GbE </t>
    </r>
    <r>
      <rPr>
        <sz val="11"/>
        <color theme="1"/>
        <rFont val="Noto Sans CJK SC"/>
        <family val="2"/>
      </rPr>
      <t xml:space="preserve">占資料中心交換器營收 </t>
    </r>
    <r>
      <rPr>
        <sz val="11"/>
        <color theme="1"/>
        <rFont val="Calibri"/>
        <family val="2"/>
        <charset val="1"/>
      </rPr>
      <t xml:space="preserve">41.2%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</si>
  <si>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eth_27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</si>
  <si>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</si>
  <si>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年無公開預測：未找到</t>
    </r>
  </si>
  <si>
    <r>
      <rPr>
        <sz val="11"/>
        <color theme="1"/>
        <rFont val="Noto Sans CJK SC"/>
        <family val="2"/>
      </rPr>
      <t xml:space="preserve">外推（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</si>
  <si>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eth_28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</si>
  <si>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2028</t>
    </r>
  </si>
  <si>
    <t xml:space="preserve">—</t>
  </si>
  <si>
    <t xml:space="preserve">eth_29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</si>
  <si>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2029</t>
    </r>
  </si>
  <si>
    <t xml:space="preserve">wb_26</t>
  </si>
  <si>
    <r>
      <rPr>
        <sz val="11"/>
        <color theme="1"/>
        <rFont val="Noto Sans CJK SC"/>
        <family val="2"/>
      </rPr>
      <t xml:space="preserve">白牌（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直供）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</si>
  <si>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Dell'Oro 2025 AI </t>
    </r>
    <r>
      <rPr>
        <sz val="11"/>
        <color theme="1"/>
        <rFont val="Noto Sans CJK SC"/>
        <family val="2"/>
      </rPr>
      <t xml:space="preserve">後端乙太網路：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（白牌）與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並列第一、合計約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</si>
  <si>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IEEE ComSoc 2026-01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占資料中心乙太網路交換器約 </t>
    </r>
    <r>
      <rPr>
        <sz val="11"/>
        <color theme="1"/>
        <rFont val="Calibri"/>
        <family val="2"/>
        <charset val="1"/>
      </rPr>
      <t xml:space="preserve">20–25%</t>
    </r>
    <r>
      <rPr>
        <sz val="11"/>
        <color theme="1"/>
        <rFont val="Noto Sans CJK SC"/>
        <family val="2"/>
      </rPr>
      <t xml:space="preserve">（金額）、超大規模資料中心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（數量；來源未具名）</t>
    </r>
  </si>
  <si>
    <t xml:space="preserve">wb_27</t>
  </si>
  <si>
    <r>
      <rPr>
        <sz val="11"/>
        <color theme="1"/>
        <rFont val="Noto Sans CJK SC"/>
        <family val="2"/>
      </rPr>
      <t xml:space="preserve">白牌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</si>
  <si>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超大規模業者自研網路作業系統、擴大白牌（方向）；</t>
    </r>
    <r>
      <rPr>
        <sz val="11"/>
        <color theme="1"/>
        <rFont val="Calibri"/>
        <family val="2"/>
        <charset val="1"/>
      </rPr>
      <t xml:space="preserve">NVIDIA Spectrum-X </t>
    </r>
    <r>
      <rPr>
        <sz val="11"/>
        <color theme="1"/>
        <rFont val="Noto Sans CJK SC"/>
        <family val="2"/>
      </rPr>
      <t xml:space="preserve">搶占（反方向）</t>
    </r>
  </si>
  <si>
    <t xml:space="preserve">量化預測：未找到</t>
  </si>
  <si>
    <t xml:space="preserve">wb_28</t>
  </si>
  <si>
    <r>
      <rPr>
        <sz val="11"/>
        <color theme="1"/>
        <rFont val="Noto Sans CJK SC"/>
        <family val="2"/>
      </rPr>
      <t xml:space="preserve">白牌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 </t>
    </r>
    <r>
      <rPr>
        <sz val="11"/>
        <color theme="1"/>
        <rFont val="Calibri"/>
        <family val="2"/>
        <charset val="1"/>
      </rPr>
      <t xml:space="preserve">2028</t>
    </r>
  </si>
  <si>
    <t xml:space="preserve">wb_29</t>
  </si>
  <si>
    <r>
      <rPr>
        <sz val="11"/>
        <color theme="1"/>
        <rFont val="Noto Sans CJK SC"/>
        <family val="2"/>
      </rPr>
      <t xml:space="preserve">白牌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 </t>
    </r>
    <r>
      <rPr>
        <sz val="11"/>
        <color theme="1"/>
        <rFont val="Calibri"/>
        <family val="2"/>
        <charset val="1"/>
      </rPr>
      <t xml:space="preserve">2029</t>
    </r>
  </si>
  <si>
    <t xml:space="preserve">rel_27</t>
  </si>
  <si>
    <r>
      <rPr>
        <sz val="11"/>
        <color theme="1"/>
        <rFont val="Noto Sans CJK SC"/>
        <family val="2"/>
      </rPr>
      <t xml:space="preserve">智邦白牌份額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</si>
  <si>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年新增一家超大規模客戶（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；法人稱約貢獻營收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</si>
  <si>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2026-07-09</t>
    </r>
    <r>
      <rPr>
        <sz val="11"/>
        <color theme="1"/>
        <rFont val="Noto Sans CJK SC"/>
        <family val="2"/>
      </rPr>
      <t xml:space="preserve">：更多組裝廠加入可能稀釋份額（法人，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</si>
  <si>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</si>
  <si>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智邦白牌份額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</si>
  <si>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世代每代重新競標（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、天弘以外的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加入）</t>
    </r>
  </si>
  <si>
    <t xml:space="preserve">rel_29</t>
  </si>
  <si>
    <r>
      <rPr>
        <sz val="11"/>
        <color theme="1"/>
        <rFont val="Noto Sans CJK SC"/>
        <family val="2"/>
      </rPr>
      <t xml:space="preserve">智邦白牌份額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</si>
  <si>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加速卡等網路應用產品（</t>
    </r>
    <r>
      <rPr>
        <b val="true"/>
        <sz val="11"/>
        <rFont val="Cambria"/>
        <family val="0"/>
        <charset val="1"/>
      </rPr>
      <t xml:space="preserve">AWS Trainium </t>
    </r>
    <r>
      <rPr>
        <b val="true"/>
        <sz val="11"/>
        <rFont val="Noto Sans CJK SC"/>
        <family val="2"/>
      </rPr>
      <t xml:space="preserve">加速卡模組、</t>
    </r>
    <r>
      <rPr>
        <b val="true"/>
        <sz val="11"/>
        <rFont val="Cambria"/>
        <family val="0"/>
        <charset val="1"/>
      </rPr>
      <t xml:space="preserve">L10 </t>
    </r>
    <r>
      <rPr>
        <b val="true"/>
        <sz val="11"/>
        <rFont val="Noto Sans CJK SC"/>
        <family val="2"/>
      </rPr>
      <t xml:space="preserve">等）</t>
    </r>
  </si>
  <si>
    <t xml:space="preserve">nrel_27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</si>
  <si>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的智邦營收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單價，相對值）</t>
    </r>
  </si>
  <si>
    <r>
      <rPr>
        <sz val="11"/>
        <color theme="1"/>
        <rFont val="Noto Sans CJK SC"/>
        <family val="2"/>
      </rPr>
      <t xml:space="preserve">鏡週刊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：智邦自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大量出貨 </t>
    </r>
    <r>
      <rPr>
        <sz val="11"/>
        <color theme="1"/>
        <rFont val="Calibri"/>
        <family val="2"/>
        <charset val="1"/>
      </rPr>
      <t xml:space="preserve">Trainium 3 OAM </t>
    </r>
    <r>
      <rPr>
        <sz val="11"/>
        <color theme="1"/>
        <rFont val="Noto Sans CJK SC"/>
        <family val="2"/>
      </rPr>
      <t xml:space="preserve">模組（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</si>
  <si>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2026-07-09</t>
    </r>
    <r>
      <rPr>
        <sz val="11"/>
        <color theme="1"/>
        <rFont val="Noto Sans CJK SC"/>
        <family val="2"/>
      </rPr>
      <t xml:space="preserve">：更多組裝廠可能稀釋份額；</t>
    </r>
    <r>
      <rPr>
        <sz val="11"/>
        <color theme="1"/>
        <rFont val="Calibri"/>
        <family val="2"/>
        <charset val="1"/>
      </rPr>
      <t xml:space="preserve">Trainium 4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2H27</t>
    </r>
    <r>
      <rPr>
        <sz val="11"/>
        <color theme="1"/>
        <rFont val="Noto Sans CJK SC"/>
        <family val="2"/>
      </rPr>
      <t xml:space="preserve">（法人引述亞馬遜股東信，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</si>
  <si>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nrel_28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</si>
  <si>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的智邦營收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</si>
  <si>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nrel_29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</si>
  <si>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的智邦營收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</si>
  <si>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tf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</si>
  <si>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</si>
  <si>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（年出貨未找到）</t>
    </r>
  </si>
  <si>
    <t xml:space="preserve">±20%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</si>
  <si>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依公司揭露；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，用於校準）</t>
    </r>
  </si>
  <si>
    <t xml:space="preserve">sw25s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</si>
  <si>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網路交換器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</si>
  <si>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</si>
  <si>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https://blog.fugle.tw/post/earnings-call-2345-2025-11-7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年前三季網路交換器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、網路應用產品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、接取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（公司法說）</t>
    </r>
  </si>
  <si>
    <r>
      <rPr>
        <sz val="11"/>
        <color theme="1"/>
        <rFont val="Calibri"/>
        <family val="2"/>
        <charset val="1"/>
      </rPr>
      <t xml:space="preserve">brodoginvestment 2026-07-11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年資料中心交換器約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（作者估計）</t>
    </r>
  </si>
  <si>
    <t xml:space="preserve">nap25s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</si>
  <si>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網路應用產品（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加速卡等）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</si>
  <si>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（前三季年增 </t>
    </r>
    <r>
      <rPr>
        <sz val="11"/>
        <color theme="1"/>
        <rFont val="Calibri"/>
        <family val="2"/>
        <charset val="1"/>
      </rPr>
      <t xml:space="preserve">361%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</si>
  <si>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brodoginvestment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加速卡與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交換器約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（作者估計）</t>
    </r>
  </si>
  <si>
    <t xml:space="preserve">af25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</si>
  <si>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交換器中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資料中心的比例</t>
    </r>
  </si>
  <si>
    <r>
      <rPr>
        <sz val="11"/>
        <color theme="1"/>
        <rFont val="Noto Sans CJK SC"/>
        <family val="2"/>
      </rPr>
      <t xml:space="preserve">公司未揭露交換器的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拆分：未找到</t>
    </r>
  </si>
  <si>
    <r>
      <rPr>
        <sz val="11"/>
        <color theme="1"/>
        <rFont val="Noto Sans CJK SC"/>
        <family val="2"/>
      </rPr>
      <t xml:space="preserve">美洲占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年前三季營收 </t>
    </r>
    <r>
      <rPr>
        <sz val="11"/>
        <color theme="1"/>
        <rFont val="Calibri"/>
        <family val="2"/>
        <charset val="1"/>
      </rPr>
      <t xml:space="preserve">81%</t>
    </r>
    <r>
      <rPr>
        <sz val="11"/>
        <color theme="1"/>
        <rFont val="Noto Sans CJK SC"/>
        <family val="2"/>
      </rPr>
      <t xml:space="preserve">（公司）；其餘為企業、電信與前端</t>
    </r>
  </si>
  <si>
    <t xml:space="preserve">ns26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</si>
  <si>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網路應用產品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</si>
  <si>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美系外資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（工商時報轉述）：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年交換器占營收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）→ 網路應用產品約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</si>
  <si>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起高階交換器比重明顯上升、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加速卡比重快速上升（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</si>
  <si>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g_nai26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</si>
  <si>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</si>
  <si>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IDC 2Q26</t>
    </r>
    <r>
      <rPr>
        <sz val="11"/>
        <color theme="1"/>
        <rFont val="Noto Sans CJK SC"/>
        <family val="2"/>
      </rPr>
      <t xml:space="preserve">：非資料中心乙太網路交換器年增 </t>
    </r>
    <r>
      <rPr>
        <sz val="11"/>
        <color theme="1"/>
        <rFont val="Calibri"/>
        <family val="2"/>
        <charset val="1"/>
      </rPr>
      <t xml:space="preserve">15.7%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</si>
  <si>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企業、電信、前端交換器與接取；公司未揭露</t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</si>
  <si>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</si>
  <si>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</si>
  <si>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</si>
  <si>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</si>
  <si>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</si>
  <si>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</si>
  <si>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</si>
  <si>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d_nap</t>
  </si>
  <si>
    <t xml:space="preserve">網路應用產品毛利率低於交換器與其他的幅度</t>
  </si>
  <si>
    <t xml:space="preserve">pt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</si>
  <si>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毛利率下滑主因產品組合（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加速卡占比上升；富果法說摘要）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</si>
  <si>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加速卡比重上升使毛利率略低於上半年（法人）；產品別毛利率未揭露：未找到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</si>
  <si>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1Q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2Q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</si>
  <si>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</si>
  <si>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</si>
  <si>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</si>
  <si>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</si>
  <si>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https://www.chinatimes.com/realtimenews/20261006003734-260410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1,207.4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403.99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</si>
  <si>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2,864.02 </t>
    </r>
    <r>
      <rPr>
        <sz val="11"/>
        <color theme="1"/>
        <rFont val="Noto Sans CJK SC"/>
        <family val="2"/>
      </rPr>
      <t xml:space="preserve">億 − 上半年 </t>
    </r>
    <r>
      <rPr>
        <sz val="11"/>
        <color theme="1"/>
        <rFont val="Calibri"/>
        <family val="2"/>
        <charset val="1"/>
      </rPr>
      <t xml:space="preserve">1,656.58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1,207.44 </t>
    </r>
    <r>
      <rPr>
        <sz val="11"/>
        <color theme="1"/>
        <rFont val="Noto Sans CJK SC"/>
        <family val="2"/>
      </rPr>
      <t xml:space="preserve">億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</si>
  <si>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</si>
  <si>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</si>
  <si>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1Q26 19.55%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19.7%</t>
    </r>
    <r>
      <rPr>
        <sz val="11"/>
        <color theme="1"/>
        <rFont val="Noto Sans CJK SC"/>
        <family val="2"/>
      </rPr>
      <t xml:space="preserve">（公司）；法人估 </t>
    </r>
    <r>
      <rPr>
        <sz val="11"/>
        <color theme="1"/>
        <rFont val="Calibri"/>
        <family val="2"/>
        <charset val="1"/>
      </rPr>
      <t xml:space="preserve">3Q26 18.1%</t>
    </r>
    <r>
      <rPr>
        <sz val="11"/>
        <color theme="1"/>
        <rFont val="Noto Sans CJK SC"/>
        <family val="2"/>
      </rPr>
      <t xml:space="preserve">（工商時報 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</si>
  <si>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時報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：記憶體與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改代購（客供）使營收認列減少；零組件漲價（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</si>
  <si>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</si>
  <si>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</si>
  <si>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時報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：法人稱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仍有機會較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成長（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</si>
  <si>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指引：未找到（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法說約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</si>
  <si>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</si>
  <si>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</si>
  <si>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假設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</si>
  <si>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</si>
  <si>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</si>
  <si>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4.70%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5.22%</t>
    </r>
    <r>
      <rPr>
        <sz val="11"/>
        <color theme="1"/>
        <rFont val="Noto Sans CJK SC"/>
        <family val="2"/>
      </rPr>
      <t xml:space="preserve">（公司）；法人估 </t>
    </r>
    <r>
      <rPr>
        <sz val="11"/>
        <color theme="1"/>
        <rFont val="Calibri"/>
        <family val="2"/>
        <charset val="1"/>
      </rPr>
      <t xml:space="preserve">3Q26 3.9%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</si>
  <si>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營收跳增、費用落後</t>
  </si>
  <si>
    <t xml:space="preserve">q_nio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</si>
  <si>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</si>
  <si>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1Q26 8.341 ÷ 10.049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11.053 ÷ 14.331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0.771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</si>
  <si>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0.82</t>
    </r>
    <r>
      <rPr>
        <sz val="11"/>
        <color theme="1"/>
        <rFont val="Noto Sans CJK SC"/>
        <family val="2"/>
      </rPr>
      <t xml:space="preserve">（推導）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</si>
  <si>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</si>
  <si>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</si>
  <si>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</si>
  <si>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https://money.udn.com/money/story/5710/9675501</t>
    </r>
    <r>
      <rPr>
        <sz val="11"/>
        <color theme="1"/>
        <rFont val="Noto Sans CJK SC"/>
        <family val="2"/>
      </rPr>
      <t xml:space="preserve">：上半年淨利 </t>
    </r>
    <r>
      <rPr>
        <sz val="11"/>
        <color theme="1"/>
        <rFont val="Calibri"/>
        <family val="2"/>
        <charset val="1"/>
      </rPr>
      <t xml:space="preserve">193.94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34.7</t>
    </r>
  </si>
  <si>
    <r>
      <rPr>
        <sz val="11"/>
        <color theme="1"/>
        <rFont val="Noto Sans CJK SC"/>
        <family val="2"/>
      </rPr>
      <t xml:space="preserve">資本額 </t>
    </r>
    <r>
      <rPr>
        <sz val="11"/>
        <color theme="1"/>
        <rFont val="Calibri"/>
        <family val="2"/>
        <charset val="1"/>
      </rPr>
      <t xml:space="preserve">56.11 </t>
    </r>
    <r>
      <rPr>
        <sz val="11"/>
        <color theme="1"/>
        <rFont val="Noto Sans CJK SC"/>
        <family val="2"/>
      </rPr>
      <t xml:space="preserve">億（面額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元，鉅亨）＝</t>
    </r>
    <r>
      <rPr>
        <sz val="11"/>
        <color theme="1"/>
        <rFont val="Calibri"/>
        <family val="2"/>
        <charset val="1"/>
      </rPr>
      <t xml:space="preserve">5.611 </t>
    </r>
    <r>
      <rPr>
        <sz val="11"/>
        <color theme="1"/>
        <rFont val="Noto Sans CJK SC"/>
        <family val="2"/>
      </rPr>
      <t xml:space="preserve">億股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</si>
  <si>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營業費用、業外與稅、股數（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</si>
  <si>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</si>
  <si>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</si>
  <si>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</si>
  <si>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</si>
  <si>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</si>
  <si>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</si>
  <si>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</si>
  <si>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營益率約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±0.5 </t>
    </r>
    <r>
      <rPr>
        <sz val="11"/>
        <color theme="1"/>
        <rFont val="Noto Sans CJK SC"/>
        <family val="2"/>
      </rPr>
      <t xml:space="preserve">個百分點約 </t>
    </r>
    <r>
      <rPr>
        <sz val="11"/>
        <color theme="1"/>
        <rFont val="Calibri"/>
        <family val="2"/>
        <charset val="1"/>
      </rPr>
      <t xml:space="preserve">±3% </t>
    </r>
    <r>
      <rPr>
        <sz val="11"/>
        <color theme="1"/>
        <rFont val="Noto Sans CJK SC"/>
        <family val="2"/>
      </rPr>
      <t xml:space="preserve">營業利益</t>
    </r>
  </si>
  <si>
    <t xml:space="preserve">nio_f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</si>
  <si>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</si>
  <si>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FY2025 0.82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0.795</t>
    </r>
    <r>
      <rPr>
        <sz val="11"/>
        <color theme="1"/>
        <rFont val="Noto Sans CJK SC"/>
        <family val="2"/>
      </rPr>
      <t xml:space="preserve">（公司數字推導）</t>
    </r>
  </si>
  <si>
    <t xml:space="preserve">匯兌損益與稅率變動</t>
  </si>
  <si>
    <t xml:space="preserve">sh_g27</t>
  </si>
  <si>
    <r>
      <rPr>
        <sz val="11"/>
        <color theme="1"/>
        <rFont val="Noto Sans CJK SC"/>
        <family val="2"/>
      </rPr>
      <t xml:space="preserve">股數年變動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（現金增資）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</si>
  <si>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）：董事會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通過現增至多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萬股、稀釋約 </t>
    </r>
    <r>
      <rPr>
        <sz val="11"/>
        <color theme="1"/>
        <rFont val="Calibri"/>
        <family val="2"/>
        <charset val="1"/>
      </rPr>
      <t xml:space="preserve">1.78%</t>
    </r>
    <r>
      <rPr>
        <sz val="11"/>
        <color theme="1"/>
        <rFont val="Noto Sans CJK SC"/>
        <family val="2"/>
      </rPr>
      <t xml:space="preserve">（公司公告轉述）</t>
    </r>
  </si>
  <si>
    <t xml:space="preserve">發行時程與價格未定：未找到</t>
  </si>
  <si>
    <t xml:space="preserve">sh_g</t>
  </si>
  <si>
    <r>
      <rPr>
        <sz val="11"/>
        <color theme="1"/>
        <rFont val="Noto Sans CJK SC"/>
        <family val="2"/>
      </rPr>
      <t xml:space="preserve">股數年變動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</si>
  <si>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股本二十多年大致不變（經濟日報 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</si>
  <si>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</si>
  <si>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</si>
  <si>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+90%</t>
    </r>
    <r>
      <rPr>
        <sz val="11"/>
        <color theme="1"/>
        <rFont val="Noto Sans CJK SC"/>
        <family val="2"/>
      </rPr>
      <t xml:space="preserve">；智邦訂單能見度到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年（法人轉述）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</si>
  <si>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</si>
  <si>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</si>
  <si>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</si>
  <si>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https://news.cnyes.com/news/id/6629903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FactSet 10 </t>
    </r>
    <r>
      <rPr>
        <sz val="11"/>
        <color theme="1"/>
        <rFont val="Noto Sans CJK SC"/>
        <family val="2"/>
      </rPr>
      <t xml:space="preserve">位分析師中位數（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</si>
  <si>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408.66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</si>
  <si>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</si>
  <si>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</si>
  <si>
    <t xml:space="preserve">NT$</t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</si>
  <si>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78.59–89.99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</si>
  <si>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85.18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</si>
  <si>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</si>
  <si>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</si>
  <si>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</si>
  <si>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</si>
  <si>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86.97–139.61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</si>
  <si>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107.53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</si>
  <si>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</si>
  <si>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</si>
  <si>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145.77–205.86</t>
    </r>
    <r>
      <rPr>
        <sz val="11"/>
        <color theme="1"/>
        <rFont val="Noto Sans CJK SC"/>
        <family val="2"/>
      </rPr>
      <t xml:space="preserve">）</t>
    </r>
  </si>
  <si>
    <t xml:space="preserve">br_sw26</t>
  </si>
  <si>
    <r>
      <rPr>
        <sz val="11"/>
        <color theme="1"/>
        <rFont val="Noto Sans CJK SC"/>
        <family val="2"/>
      </rPr>
      <t xml:space="preserve">法人：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</si>
  <si>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美系外資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）</t>
    </r>
  </si>
  <si>
    <t xml:space="preserve">dell_top2</t>
  </si>
  <si>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後端乙太網路：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合計份額</t>
    </r>
  </si>
  <si>
    <t xml:space="preserve">Dell'Oro 2026-03-10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</si>
  <si>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</si>
  <si>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</si>
  <si>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</si>
  <si>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鉅亨網 </t>
    </r>
    <r>
      <rPr>
        <sz val="11"/>
        <color theme="1"/>
        <rFont val="Calibri"/>
        <family val="2"/>
        <charset val="1"/>
      </rPr>
      <t xml:space="preserve">2345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1,775</t>
    </r>
    <r>
      <rPr>
        <sz val="11"/>
        <color theme="1"/>
        <rFont val="Noto Sans CJK SC"/>
        <family val="2"/>
      </rPr>
      <t xml:space="preserve">、前收 </t>
    </r>
    <r>
      <rPr>
        <sz val="11"/>
        <color theme="1"/>
        <rFont val="Calibri"/>
        <family val="2"/>
        <charset val="1"/>
      </rPr>
      <t xml:space="preserve">1,815</t>
    </r>
    <r>
      <rPr>
        <sz val="11"/>
        <color theme="1"/>
        <rFont val="Noto Sans CJK SC"/>
        <family val="2"/>
      </rPr>
      <t xml:space="preserve">）；臺灣證券交易所 </t>
    </r>
    <r>
      <rPr>
        <sz val="11"/>
        <color theme="1"/>
        <rFont val="Calibri"/>
        <family val="2"/>
        <charset val="1"/>
      </rPr>
      <t xml:space="preserve">STOCK_DAY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115/10/22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1,775.00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查詢）</t>
    </r>
  </si>
  <si>
    <r>
      <rPr>
        <sz val="11"/>
        <color theme="1"/>
        <rFont val="Noto Sans CJK SC"/>
        <family val="2"/>
      </rPr>
      <t xml:space="preserve">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投資、財報狗同值；工作單：台股無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收盤時用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（證交所當月資料只到 </t>
    </r>
    <r>
      <rPr>
        <sz val="11"/>
        <color theme="1"/>
        <rFont val="Calibri"/>
        <family val="2"/>
        <charset val="1"/>
      </rPr>
      <t xml:space="preserve">10/22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</si>
  <si>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</si>
  <si>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（鉅亨，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</si>
  <si>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鉅亨網</t>
  </si>
  <si>
    <r>
      <rPr>
        <sz val="11"/>
        <color theme="1"/>
        <rFont val="Noto Sans CJK SC"/>
        <family val="2"/>
      </rPr>
      <t xml:space="preserve">財報狗 </t>
    </r>
    <r>
      <rPr>
        <sz val="11"/>
        <color theme="1"/>
        <rFont val="Calibri"/>
        <family val="2"/>
        <charset val="1"/>
      </rPr>
      <t xml:space="preserve">27.89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</si>
  <si>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</si>
  <si>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（樂觀）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</si>
  <si>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</si>
  <si>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</si>
  <si>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</si>
  <si>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（基準）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</si>
  <si>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</si>
  <si>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（下檔）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</si>
  <si>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新增：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加權、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後收斂法；黃底＝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</si>
  <si>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</si>
  <si>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折現率（股東權益成本）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</si>
  <si>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</si>
  <si>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</si>
  <si>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</si>
  <si>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</si>
  <si>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</si>
  <si>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再投資率與永續成長，不改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收斂路徑）</t>
    </r>
  </si>
  <si>
    <t xml:space="preserve">tp_gd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</si>
  <si>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情境長期成長相對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的差（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＋、</t>
    </r>
    <r>
      <rPr>
        <sz val="11"/>
        <color theme="1"/>
        <rFont val="Calibri"/>
        <family val="2"/>
        <charset val="1"/>
      </rPr>
      <t xml:space="preserve">C−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</si>
  <si>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</si>
  <si>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t xml:space="preserve">tp_roe</t>
  </si>
  <si>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</si>
  <si>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2345 </t>
    </r>
    <r>
      <rPr>
        <sz val="11"/>
        <color theme="1"/>
        <rFont val="Noto Sans CJK SC"/>
        <family val="2"/>
      </rPr>
      <t xml:space="preserve">頁（年度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2023 39.11%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2024 39.01%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2025 56.13%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44.75%</t>
    </r>
    <r>
      <rPr>
        <sz val="11"/>
        <color theme="1"/>
        <rFont val="Noto Sans CJK SC"/>
        <family val="2"/>
      </rPr>
      <t xml:space="preserve">（資料商，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</si>
  <si>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65.58%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</si>
  <si>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</si>
  <si>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</si>
  <si>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</si>
  <si>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</si>
  <si>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nm10_k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</si>
  <si>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情境淨利率目標＝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本係數（十年平均未找到）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</si>
  <si>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2016–2021 </t>
    </r>
    <r>
      <rPr>
        <sz val="11"/>
        <color theme="1"/>
        <rFont val="Noto Sans CJK SC"/>
        <family val="2"/>
      </rPr>
      <t xml:space="preserve">年淨利率：未找到</t>
    </r>
  </si>
  <si>
    <r>
      <rPr>
        <sz val="11"/>
        <color theme="1"/>
        <rFont val="Noto Sans CJK SC"/>
        <family val="2"/>
      </rPr>
      <t xml:space="preserve">參考：永豐金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投資稅後淨利率 </t>
    </r>
    <r>
      <rPr>
        <sz val="11"/>
        <color theme="1"/>
        <rFont val="Calibri"/>
        <family val="2"/>
        <charset val="1"/>
      </rPr>
      <t xml:space="preserve">2022 10.58%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2023 10.60%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2024 10.87%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2025 10.59%</t>
    </r>
    <r>
      <rPr>
        <sz val="11"/>
        <color theme="1"/>
        <rFont val="Noto Sans CJK SC"/>
        <family val="2"/>
      </rPr>
      <t xml:space="preserve">（四年平均 </t>
    </r>
    <r>
      <rPr>
        <sz val="11"/>
        <color theme="1"/>
        <rFont val="Calibri"/>
        <family val="2"/>
        <charset val="1"/>
      </rPr>
      <t xml:space="preserve">10.66%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</si>
  <si>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</si>
  <si>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r>
      <rPr>
        <sz val="11"/>
        <color theme="1"/>
        <rFont val="Noto Sans CJK SC"/>
        <family val="2"/>
      </rPr>
      <t xml:space="preserve">市場共識目標價（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</si>
  <si>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https://news.cnyes.com/news/id/6629903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FactSet 10 </t>
    </r>
    <r>
      <rPr>
        <sz val="11"/>
        <color theme="1"/>
        <rFont val="Noto Sans CJK SC"/>
        <family val="2"/>
      </rPr>
      <t xml:space="preserve">位分析師目標價 </t>
    </r>
    <r>
      <rPr>
        <sz val="11"/>
        <color theme="1"/>
        <rFont val="Calibri"/>
        <family val="2"/>
        <charset val="1"/>
      </rPr>
      <t xml:space="preserve">3,500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，鉅亨網）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</si>
  <si>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位）平均 </t>
    </r>
    <r>
      <rPr>
        <sz val="11"/>
        <color theme="1"/>
        <rFont val="Calibri"/>
        <family val="2"/>
        <charset val="1"/>
      </rPr>
      <t xml:space="preserve">3,234.92</t>
    </r>
    <r>
      <rPr>
        <sz val="11"/>
        <color theme="1"/>
        <rFont val="Noto Sans CJK SC"/>
        <family val="2"/>
      </rPr>
      <t xml:space="preserve">（頁面現價日期不一致，不採）；賣方有目標價誘因，只作對照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</si>
  <si>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為新台幣；股數為十億股）。口徑：合併營收、稅後淨利（公司公告）。藍字＝輸入；黑字＝公式。實績取自公司季報與月營收公告的媒體轉述（經濟日報、工商時報）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</si>
  <si>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營收實績（月營收）與毛利率、費用假設＋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月上旬（去年 </t>
    </r>
    <r>
      <rPr>
        <sz val="11"/>
        <color theme="1"/>
        <rFont val="Calibri"/>
        <family val="2"/>
        <charset val="1"/>
      </rPr>
      <t xml:space="preserve">11-07</t>
    </r>
    <r>
      <rPr>
        <sz val="11"/>
        <color theme="1"/>
        <rFont val="Noto Sans CJK SC"/>
        <family val="2"/>
      </rPr>
      <t xml:space="preserve">；確切日期未找到），公布後更新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毛利與營業利益由毛利率 </t>
    </r>
    <r>
      <rPr>
        <sz val="11"/>
        <color theme="1"/>
        <rFont val="Calibri"/>
        <family val="2"/>
        <charset val="1"/>
      </rPr>
      <t xml:space="preserve">18.09%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12.94%</t>
    </r>
    <r>
      <rPr>
        <sz val="11"/>
        <color theme="1"/>
        <rFont val="Noto Sans CJK SC"/>
        <family val="2"/>
      </rPr>
      <t xml:space="preserve">（永豐、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）推導</t>
    </r>
  </si>
  <si>
    <t xml:space="preserve">FY2025A</t>
  </si>
  <si>
    <t xml:space="preserve">1Q26</t>
  </si>
  <si>
    <t xml:space="preserve">2Q26</t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</si>
  <si>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（營收實績＋假設）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</si>
  <si>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</si>
  <si>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</si>
  <si>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</si>
  <si>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</si>
  <si>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</si>
  <si>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https://goodinfo.tw/tw/StockBzPerformance.asp?STOCK_ID=2345&amp;RPT_CAT=M_YEAR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2,483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18.1%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12.9%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47.13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https://money.udn.com/money/story/5710/9488861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https://money.udn.com/money/story/5710/9675501</t>
    </r>
  </si>
  <si>
    <r>
      <rPr>
        <sz val="11"/>
        <color theme="1"/>
        <rFont val="Noto Sans CJK SC"/>
        <family val="2"/>
      </rPr>
      <t xml:space="preserve">交叉：永豐金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18.09%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12.94%</t>
    </r>
    <r>
      <rPr>
        <sz val="11"/>
        <color theme="1"/>
        <rFont val="Noto Sans CJK SC"/>
        <family val="2"/>
      </rPr>
      <t xml:space="preserve">）；理財周刊 </t>
    </r>
    <r>
      <rPr>
        <sz val="11"/>
        <color theme="1"/>
        <rFont val="Calibri"/>
        <family val="2"/>
        <charset val="1"/>
      </rPr>
      <t xml:space="preserve">2026-04-21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263.42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47.13</t>
    </r>
    <r>
      <rPr>
        <sz val="11"/>
        <color theme="1"/>
        <rFont val="Noto Sans CJK SC"/>
        <family val="2"/>
      </rPr>
      <t xml:space="preserve">）；工商時報 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44.91 </t>
    </r>
    <r>
      <rPr>
        <sz val="11"/>
        <color theme="1"/>
        <rFont val="Noto Sans CJK SC"/>
        <family val="2"/>
      </rPr>
      <t xml:space="preserve">億）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</si>
  <si>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</si>
  <si>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</si>
  <si>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</si>
  <si>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1Q26 19.55%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19.7%</t>
    </r>
    <r>
      <rPr>
        <sz val="11"/>
        <color theme="1"/>
        <rFont val="Noto Sans CJK SC"/>
        <family val="2"/>
      </rPr>
      <t xml:space="preserve">（公司）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</si>
  <si>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</si>
  <si>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</si>
  <si>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</si>
  <si>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</si>
  <si>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營業利益率</t>
  </si>
  <si>
    <t xml:space="preserve">稅後淨利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</si>
  <si>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</si>
  <si>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103.62 </t>
    </r>
    <r>
      <rPr>
        <sz val="11"/>
        <color theme="1"/>
        <rFont val="Noto Sans CJK SC"/>
        <family val="2"/>
      </rPr>
      <t xml:space="preserve">億（業外 </t>
    </r>
    <r>
      <rPr>
        <sz val="11"/>
        <color theme="1"/>
        <rFont val="Calibri"/>
        <family val="2"/>
        <charset val="1"/>
      </rPr>
      <t xml:space="preserve">+3.1 </t>
    </r>
    <r>
      <rPr>
        <sz val="11"/>
        <color theme="1"/>
        <rFont val="Noto Sans CJK SC"/>
        <family val="2"/>
      </rPr>
      <t xml:space="preserve">億；公司）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</si>
  <si>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</si>
  <si>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</si>
  <si>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</si>
  <si>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</si>
  <si>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</si>
  <si>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投資列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46.95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14.87</t>
    </r>
    <r>
      <rPr>
        <sz val="11"/>
        <color theme="1"/>
        <rFont val="Noto Sans CJK SC"/>
        <family val="2"/>
      </rPr>
      <t xml:space="preserve">（口徑不同：疑為追溯調整）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</si>
  <si>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</si>
  <si>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</si>
  <si>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</si>
  <si>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</si>
  <si>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</si>
  <si>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</si>
  <si>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法人估計 </t>
    </r>
    <r>
      <rPr>
        <sz val="11"/>
        <color theme="1"/>
        <rFont val="Calibri"/>
        <family val="2"/>
        <charset val="1"/>
      </rPr>
      <t xml:space="preserve">23.91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</si>
  <si>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智邦在白牌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乙太網路交換器的份額（本專案權威，規則第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交換器＋非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交換匣）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</si>
  <si>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</si>
  <si>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</si>
  <si>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</si>
  <si>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</si>
  <si>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</si>
  <si>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乙太網路交換器市場（情境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</si>
  <si>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scale-out × </t>
    </r>
    <r>
      <rPr>
        <sz val="11"/>
        <color theme="1"/>
        <rFont val="Noto Sans CJK SC"/>
        <family val="2"/>
      </rPr>
      <t xml:space="preserve">乙太網路占比＋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交換匣</t>
    </r>
  </si>
  <si>
    <r>
      <rPr>
        <sz val="11"/>
        <color theme="1"/>
        <rFont val="Noto Sans CJK SC"/>
        <family val="2"/>
      </rPr>
      <t xml:space="preserve">  其中非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交換匣</t>
    </r>
  </si>
  <si>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</si>
  <si>
    <t xml:space="preserve">白牌占比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</si>
  <si>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</si>
  <si>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白牌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乙太網路交換器市場</t>
    </r>
  </si>
  <si>
    <t xml:space="preserve">智邦白牌有效份額（含前端資料中心）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</si>
  <si>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以營收拆分校準</t>
    </r>
  </si>
  <si>
    <r>
      <rPr>
        <sz val="11"/>
        <color theme="1"/>
        <rFont val="Noto Sans CJK SC"/>
        <family val="2"/>
      </rPr>
      <t xml:space="preserve">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</si>
  <si>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其他白牌（</t>
    </r>
    <r>
      <rPr>
        <sz val="11"/>
        <color theme="1"/>
        <rFont val="Calibri"/>
        <family val="2"/>
        <charset val="1"/>
      </rPr>
      <t xml:space="preserve">Celestica </t>
    </r>
    <r>
      <rPr>
        <sz val="11"/>
        <color theme="1"/>
        <rFont val="Noto Sans CJK SC"/>
        <family val="2"/>
      </rPr>
      <t xml:space="preserve">等）＝ 白牌市場 − 智邦</t>
    </r>
  </si>
  <si>
    <r>
      <rPr>
        <sz val="11"/>
        <color theme="1"/>
        <rFont val="Noto Sans CJK SC"/>
        <family val="2"/>
      </rPr>
      <t xml:space="preserve">下限：智邦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交換器含前端，所以此列偏低</t>
    </r>
  </si>
  <si>
    <r>
      <rPr>
        <sz val="11"/>
        <color theme="1"/>
        <rFont val="Noto Sans CJK SC"/>
        <family val="2"/>
      </rPr>
      <t xml:space="preserve">智邦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乙太網路交換器市場</t>
    </r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</si>
  <si>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</si>
  <si>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markets/network 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</si>
  <si>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</si>
  <si>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</si>
  <si>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智邦約占白牌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乙太網路交換器四成上下，與 </t>
    </r>
    <r>
      <rPr>
        <b val="true"/>
        <sz val="11"/>
        <rFont val="Cambria"/>
        <family val="0"/>
        <charset val="1"/>
      </rPr>
      <t xml:space="preserve">Dell'Oro</t>
    </r>
    <r>
      <rPr>
        <b val="true"/>
        <sz val="11"/>
        <rFont val="Noto Sans CJK SC"/>
        <family val="2"/>
      </rPr>
      <t xml:space="preserve">「</t>
    </r>
    <r>
      <rPr>
        <b val="true"/>
        <sz val="11"/>
        <rFont val="Cambria"/>
        <family val="0"/>
        <charset val="1"/>
      </rPr>
      <t xml:space="preserve">Celestica </t>
    </r>
    <r>
      <rPr>
        <b val="true"/>
        <sz val="11"/>
        <rFont val="Noto Sans CJK SC"/>
        <family val="2"/>
      </rPr>
      <t xml:space="preserve">為白牌第一」相容的前提是智邦的分子含前端；份額相對值與白牌占比都是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</si>
  <si>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智邦損益（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1Q–2Q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</si>
  <si>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</si>
  <si>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</si>
  <si>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</si>
  <si>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</si>
  <si>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</si>
  <si>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</si>
  <si>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</si>
  <si>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交換器營收</t>
    </r>
  </si>
  <si>
    <t xml:space="preserve">  網路應用產品營收</t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</si>
  <si>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</si>
  <si>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</si>
  <si>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</si>
  <si>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</si>
  <si>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</si>
  <si>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模型毛利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</si>
  <si>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</si>
  <si>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</si>
  <si>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</si>
  <si>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：基準顆數（顆數係數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；目標價權重視為樂觀）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</si>
  <si>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營收拆分（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依公司揭露比例；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校準：網路應用產品比例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依成長率，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交換器為殘差）</t>
    </r>
  </si>
  <si>
    <r>
      <rPr>
        <sz val="11"/>
        <color theme="1"/>
        <rFont val="Noto Sans CJK SC"/>
        <family val="2"/>
      </rPr>
      <t xml:space="preserve">網路應用產品（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加速卡等）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</si>
  <si>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（企業、電信、前端交換器、接取）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</si>
  <si>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資料中心交換器（殘差）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</si>
  <si>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交換器合計＝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</si>
  <si>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交換器（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</si>
  <si>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</si>
  <si>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t xml:space="preserve">乙太網路占比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</si>
  <si>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乙太網路交換匣市場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係數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</si>
  <si>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乙太網路交換器市場（</t>
    </r>
    <r>
      <rPr>
        <sz val="11"/>
        <color theme="1"/>
        <rFont val="Calibri"/>
        <family val="2"/>
        <charset val="1"/>
      </rPr>
      <t xml:space="preserve">scale-out × </t>
    </r>
    <r>
      <rPr>
        <sz val="11"/>
        <color theme="1"/>
        <rFont val="Noto Sans CJK SC"/>
        <family val="2"/>
      </rPr>
      <t xml:space="preserve">乙太網路＋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</si>
  <si>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智邦白牌有效份額（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白牌市場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</si>
  <si>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：分子含前端資料中心交換器，所以高於純後端份額；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起乘相對值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</si>
  <si>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</si>
  <si>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智邦白牌有效份額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</si>
  <si>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交換器營收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</si>
  <si>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加速卡等網路應用產品</t>
    </r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</si>
  <si>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</si>
  <si>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的智邦營收（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</si>
  <si>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t xml:space="preserve">千新台幣／顆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</si>
  <si>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：含加速卡模組、</t>
    </r>
    <r>
      <rPr>
        <sz val="11"/>
        <color theme="1"/>
        <rFont val="Calibri"/>
        <family val="2"/>
        <charset val="1"/>
      </rPr>
      <t xml:space="preserve">L10 </t>
    </r>
    <r>
      <rPr>
        <sz val="11"/>
        <color theme="1"/>
        <rFont val="Noto Sans CJK SC"/>
        <family val="2"/>
      </rPr>
      <t xml:space="preserve">等網路應用產品；晶片疑為客供（每顆約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千美元）</t>
    </r>
  </si>
  <si>
    <r>
      <rPr>
        <sz val="11"/>
        <color theme="1"/>
        <rFont val="Noto Sans CJK SC"/>
        <family val="2"/>
      </rPr>
      <t xml:space="preserve">相對值（份額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單價，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</si>
  <si>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網路應用產品營收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</si>
  <si>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</si>
  <si>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</si>
  <si>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</si>
  <si>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（交換器＋網路應用產品）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</si>
  <si>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網路應用產品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</si>
  <si>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</si>
  <si>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交換器與其他毛利率 ＝ 錨點毛利率 ＋ 差距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網路應用產品占比（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</si>
  <si>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毛利率等於錨點；網路應用產品毛利率＝此值 − 差距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</si>
  <si>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</si>
  <si>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</si>
  <si>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</si>
  <si>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</si>
  <si>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</si>
  <si>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三情境延伸到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FY2025A–FY2029 </t>
    </r>
    <r>
      <rPr>
        <b val="true"/>
        <sz val="11"/>
        <rFont val="Noto Sans CJK SC"/>
        <family val="2"/>
      </rPr>
      <t xml:space="preserve">引用上方推導區塊，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起為收斂法，非驅動因子推導；收斂年度為橘底）</t>
    </r>
  </si>
  <si>
    <r>
      <rPr>
        <sz val="11"/>
        <color theme="1"/>
        <rFont val="Noto Sans CJK SC"/>
        <family val="2"/>
      </rPr>
      <t xml:space="preserve">上游市場層（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、台積電顆數）只到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tp_g−tp_gd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目標的中點、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× nm10_k</t>
    </r>
    <r>
      <rPr>
        <sz val="11"/>
        <color theme="1"/>
        <rFont val="Noto Sans CJK SC"/>
        <family val="2"/>
      </rPr>
      <t xml:space="preserve">；十年平均未找到），股數沿用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年變動</t>
    </r>
  </si>
  <si>
    <t xml:space="preserve">情境／延伸項目</t>
  </si>
  <si>
    <t xml:space="preserve">FY2026</t>
  </si>
  <si>
    <t xml:space="preserve">FY2030</t>
  </si>
  <si>
    <t xml:space="preserve">FY2031</t>
  </si>
  <si>
    <t xml:space="preserve">FY2032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</si>
  <si>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</si>
  <si>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</si>
  <si>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淨利率線性收斂到中段利潤率（維持最後一年；十年平均見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</si>
  <si>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t xml:space="preserve">淨利（延伸表）</t>
  </si>
  <si>
    <t xml:space="preserve">稀釋股數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</si>
  <si>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的股數年變動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</si>
  <si>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（延伸表）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</si>
  <si>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</si>
  <si>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淨利率線性收斂到中段利潤率（最後一年與十年平均的中點；十年平均見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</si>
  <si>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</si>
  <si>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淨利率線性收斂到中段利潤率（十年平均；十年平均見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</si>
  <si>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）；目標價為三情境規則值隱含價的加權</t>
    </r>
  </si>
  <si>
    <r>
      <rPr>
        <sz val="11"/>
        <color theme="1"/>
        <rFont val="Noto Sans CJK SC"/>
        <family val="2"/>
      </rPr>
      <t xml:space="preserve">循環位置：智邦不是設備股，不套設備市場見頂年；以本模型營收最高的會計年度為見頂年（比照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、廣達；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，不平移）。營收到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</si>
  <si>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</si>
  <si>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</si>
  <si>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t xml:space="preserve">A</t>
  </si>
  <si>
    <t xml:space="preserve">B</t>
  </si>
  <si>
    <t xml:space="preserve">C</t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</si>
  <si>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</si>
  <si>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</si>
  <si>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</si>
  <si>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頁延伸表（上游結束後為收斂法）；三情境欄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</si>
  <si>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</si>
  <si>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</si>
  <si>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</si>
  <si>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</si>
  <si>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</si>
  <si>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</si>
  <si>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</si>
  <si>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欄＝可發放比例（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再投資率；再投資率＝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）；下列六列＝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可發放比例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期內占比</t>
    </r>
  </si>
  <si>
    <r>
      <rPr>
        <sz val="11"/>
        <color theme="1"/>
        <rFont val="Calibri"/>
        <family val="2"/>
        <charset val="1"/>
      </rPr>
      <t xml:space="preserve">  FY2027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</si>
  <si>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FY2028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</si>
  <si>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FY2029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</si>
  <si>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FY2030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</si>
  <si>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FY2031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</si>
  <si>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FY2032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</si>
  <si>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tp_g) ÷ (tp_r − tp_g)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</si>
  <si>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</si>
  <si>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年底；明確期現金流與永續價值依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欄年數折現；小於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2026-10-25 12:22</t>
    </r>
    <r>
      <rPr>
        <sz val="11"/>
        <color theme="1"/>
        <rFont val="Noto Sans CJK SC"/>
        <family val="2"/>
      </rPr>
      <t xml:space="preserve">）</t>
    </r>
  </si>
  <si>
    <t xml:space="preserve">  其中：永續價值現值占比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</si>
  <si>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</si>
  <si>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：推到約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</si>
  <si>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</si>
  <si>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</si>
  <si>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</si>
  <si>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</si>
  <si>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</si>
  <si>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</si>
  <si>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Arista Networks</t>
  </si>
  <si>
    <t xml:space="preserve">ANET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</si>
  <si>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</si>
  <si>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</si>
  <si>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（資料商彙整賣方預估）</t>
    </r>
  </si>
  <si>
    <t xml:space="preserve">Celestica</t>
  </si>
  <si>
    <t xml:space="preserve">CLS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</si>
  <si>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（同上）</t>
    </r>
  </si>
  <si>
    <t xml:space="preserve">緯穎</t>
  </si>
  <si>
    <t xml:space="preserve">6669.TW</t>
  </si>
  <si>
    <t xml:space="preserve">2026-10-21</t>
  </si>
  <si>
    <t xml:space="preserve">同上（台股頁，價格延遲）</t>
  </si>
  <si>
    <t xml:space="preserve">廣達</t>
  </si>
  <si>
    <t xml:space="preserve">2382.TW</t>
  </si>
  <si>
    <t xml:space="preserve">  同業選擇</t>
  </si>
  <si>
    <r>
      <rPr>
        <sz val="11"/>
        <color theme="1"/>
        <rFont val="Noto Sans CJK SC"/>
        <family val="2"/>
      </rPr>
      <t xml:space="preserve">法人常用的資料中心網通與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同業（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為品牌交換器、</t>
    </r>
    <r>
      <rPr>
        <sz val="11"/>
        <color theme="1"/>
        <rFont val="Calibri"/>
        <family val="2"/>
        <charset val="1"/>
      </rPr>
      <t xml:space="preserve">Celestica </t>
    </r>
    <r>
      <rPr>
        <sz val="11"/>
        <color theme="1"/>
        <rFont val="Noto Sans CJK SC"/>
        <family val="2"/>
      </rPr>
      <t xml:space="preserve">為白牌交換器直接競爭者、緯穎與廣達為台灣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為資料商的未來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</si>
  <si>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</si>
  <si>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  各情境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</si>
  <si>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會計年度＝日曆年：約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底）的未來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個月＝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</si>
  <si>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</si>
  <si>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</si>
  <si>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</si>
  <si>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</si>
  <si>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</si>
  <si>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</si>
  <si>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</si>
  <si>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</si>
  <si>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</si>
  <si>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位分析師目標價（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，鉅亨網轉述）；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</si>
  <si>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</si>
  <si>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</si>
  <si>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</si>
  <si>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＝我們的前瞻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（同權重的共識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2/12 × FactSet FY2027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120.82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170.57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</si>
  <si>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</si>
  <si>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＝市場共識目標價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</si>
  <si>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</si>
  <si>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</si>
  <si>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  檢查用：現價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</si>
  <si>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</si>
  <si>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上一列在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</t>
    </r>
    <r>
      <rPr>
        <sz val="11"/>
        <color theme="1"/>
        <rFont val="Calibri"/>
        <family val="2"/>
        <charset val="1"/>
      </rPr>
      <t xml:space="preserve">Val!B115:B124</t>
    </r>
    <r>
      <rPr>
        <sz val="11"/>
        <color theme="1"/>
        <rFont val="Noto Sans CJK SC"/>
        <family val="2"/>
      </rPr>
      <t xml:space="preserve">）的分位（</t>
    </r>
    <r>
      <rPr>
        <sz val="11"/>
        <color theme="1"/>
        <rFont val="Calibri"/>
        <family val="2"/>
        <charset val="1"/>
      </rPr>
      <t xml:space="preserve">PERCENTRANK</t>
    </r>
    <r>
      <rPr>
        <sz val="11"/>
        <color theme="1"/>
        <rFont val="Noto Sans CJK SC"/>
        <family val="2"/>
      </rPr>
      <t xml:space="preserve">；低於最小＝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、高於最大＝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</si>
  <si>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</si>
  <si>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44.75%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）；基準日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起逐年折現，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、緯穎、廣達前瞻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。偏誤方向：伺服器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（緯穎、廣達）毛利率與成長低於智邦，中位數偏低（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偏保守）；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起淨利率收斂到 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）；歷史分位用十年年底落後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價值過半（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</si>
  <si>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  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</si>
  <si>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</si>
  <si>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</si>
  <si>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</si>
  <si>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</si>
  <si>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舊法：規則值情境加權（參考）</t>
  </si>
  <si>
    <t xml:space="preserve">值</t>
  </si>
  <si>
    <r>
      <rPr>
        <b val="true"/>
        <sz val="11"/>
        <rFont val="Noto Sans CJK SC"/>
        <family val="2"/>
      </rPr>
      <t xml:space="preserve">相對現價或權重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</si>
  <si>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權重 </t>
    </r>
    <r>
      <rPr>
        <b val="true"/>
        <sz val="11"/>
        <rFont val="Cambria"/>
        <family val="0"/>
        <charset val="1"/>
      </rPr>
      <t xml:space="preserve">C</t>
    </r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</si>
  <si>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</si>
  <si>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年底價格、未折現；權重見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</si>
  <si>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t xml:space="preserve">相對現價（參考）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</si>
  <si>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</si>
  <si>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欄＝相對現價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</si>
  <si>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</si>
  <si>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</si>
  <si>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</si>
  <si>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</si>
  <si>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分位；兩個資料商來源分別取分位再平均）；權重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可改）。偏誤：十年倍數含 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年企業網通期的低倍數（約 </t>
    </r>
    <r>
      <rPr>
        <sz val="11"/>
        <color theme="1"/>
        <rFont val="Calibri"/>
        <family val="2"/>
        <charset val="1"/>
      </rPr>
      <t xml:space="preserve">11–19x</t>
    </r>
    <r>
      <rPr>
        <sz val="11"/>
        <color theme="1"/>
        <rFont val="Noto Sans CJK SC"/>
        <family val="2"/>
      </rPr>
      <t xml:space="preserve">），也含 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2023–24 </t>
    </r>
    <r>
      <rPr>
        <sz val="11"/>
        <color theme="1"/>
        <rFont val="Noto Sans CJK SC"/>
        <family val="2"/>
      </rPr>
      <t xml:space="preserve">年的高倍數期，方向不明；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相同，情境差異只來自循環位置判定</t>
    </r>
  </si>
  <si>
    <r>
      <rPr>
        <sz val="11"/>
        <color theme="1"/>
        <rFont val="Noto Sans CJK SC"/>
        <family val="2"/>
      </rPr>
      <t xml:space="preserve">  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</si>
  <si>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</si>
  <si>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</si>
  <si>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</si>
  <si>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</si>
  <si>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</si>
  <si>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</si>
  <si>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</si>
  <si>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</si>
  <si>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</si>
  <si>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</si>
  <si>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</si>
  <si>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</si>
  <si>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</si>
  <si>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</si>
  <si>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</si>
  <si>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</si>
  <si>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</si>
  <si>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</si>
  <si>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r>
      <rPr>
        <b val="true"/>
        <sz val="11"/>
        <rFont val="Noto Sans CJK SC"/>
        <family val="2"/>
      </rPr>
      <t xml:space="preserve">規則基準 </t>
    </r>
    <r>
      <rPr>
        <b val="true"/>
        <sz val="11"/>
        <rFont val="Cambria"/>
        <family val="0"/>
        <charset val="1"/>
      </rPr>
      <t xml:space="preserve">EPS</t>
    </r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</si>
  <si>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</si>
  <si>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</si>
  <si>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</si>
  <si>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</si>
  <si>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</si>
  <si>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</si>
  <si>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</si>
  <si>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</si>
  <si>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</si>
  <si>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</si>
  <si>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</si>
  <si>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年為企業網通期（約 </t>
    </r>
    <r>
      <rPr>
        <sz val="11"/>
        <color theme="1"/>
        <rFont val="Calibri"/>
        <family val="2"/>
        <charset val="1"/>
      </rPr>
      <t xml:space="preserve">11–19x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2023–2024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期重新定價（</t>
    </r>
    <r>
      <rPr>
        <sz val="11"/>
        <color theme="1"/>
        <rFont val="Calibri"/>
        <family val="2"/>
        <charset val="1"/>
      </rPr>
      <t xml:space="preserve">30–36x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倍增使年底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回落到約 </t>
    </r>
    <r>
      <rPr>
        <sz val="11"/>
        <color theme="1"/>
        <rFont val="Calibri"/>
        <family val="2"/>
        <charset val="1"/>
      </rPr>
      <t xml:space="preserve">25x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</si>
  <si>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</si>
  <si>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</si>
  <si>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</si>
  <si>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</si>
  <si>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</si>
  <si>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</si>
  <si>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（資料商收盤價與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2018–2025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年底收盤：未找到）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</si>
  <si>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</si>
  <si>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</si>
  <si>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</si>
  <si>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</si>
  <si>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</si>
  <si>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</si>
  <si>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</si>
  <si>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</si>
  <si>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</si>
  <si>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</si>
  <si>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</si>
  <si>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</si>
  <si>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</si>
  <si>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</si>
  <si>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</si>
  <si>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</si>
  <si>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</si>
  <si>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</si>
  <si>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</si>
  <si>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</si>
  <si>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</si>
  <si>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</si>
  <si>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</si>
  <si>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</si>
  <si>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</si>
  <si>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</si>
  <si>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</si>
  <si>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</si>
  <si>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</si>
  <si>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</si>
  <si>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</si>
  <si>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</si>
  <si>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</si>
  <si>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FactSet 2026-10-14</t>
    </r>
    <r>
      <rPr>
        <sz val="11"/>
        <color theme="1"/>
        <rFont val="Noto Sans CJK SC"/>
        <family val="2"/>
      </rPr>
      <t xml:space="preserve">）、法人拆分與研調份額。只作事後對照，不為對上數字而調參數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</si>
  <si>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</si>
  <si>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</si>
  <si>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</si>
  <si>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</si>
  <si>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</si>
  <si>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</si>
  <si>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</si>
  <si>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</si>
  <si>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</si>
  <si>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</si>
  <si>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</si>
  <si>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錨點＝實績＋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營收實績＋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</si>
  <si>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</si>
  <si>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</si>
  <si>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</si>
  <si>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分析師區間 </t>
    </r>
    <r>
      <rPr>
        <sz val="11"/>
        <color theme="1"/>
        <rFont val="Calibri"/>
        <family val="2"/>
        <charset val="1"/>
      </rPr>
      <t xml:space="preserve">86.97–139.61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</si>
  <si>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</si>
  <si>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拆分與份額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</si>
  <si>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交換器，推導）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</t>
    </r>
  </si>
  <si>
    <r>
      <rPr>
        <sz val="11"/>
        <color theme="1"/>
        <rFont val="Noto Sans CJK SC"/>
        <family val="2"/>
      </rPr>
      <t xml:space="preserve">美系外資 </t>
    </r>
    <r>
      <rPr>
        <sz val="11"/>
        <color theme="1"/>
        <rFont val="Calibri"/>
        <family val="2"/>
        <charset val="1"/>
      </rPr>
      <t xml:space="preserve">2026-03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</si>
  <si>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交換器假設與非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營收同成長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</si>
  <si>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智邦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乙太網路交換器市場 </t>
    </r>
    <r>
      <rPr>
        <sz val="11"/>
        <color theme="1"/>
        <rFont val="Calibri"/>
        <family val="2"/>
        <charset val="1"/>
      </rPr>
      <t xml:space="preserve">vs 1 − 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合計（上限）</t>
    </r>
  </si>
  <si>
    <t xml:space="preserve">Dell'Oro 2025</t>
  </si>
  <si>
    <t xml:space="preserve">智邦未進前三，應低於上限</t>
  </si>
  <si>
    <r>
      <rPr>
        <sz val="11"/>
        <color theme="1"/>
        <rFont val="Calibri"/>
        <family val="2"/>
        <charset val="1"/>
      </rPr>
      <t xml:space="preserve">FY2027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</si>
  <si>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</si>
  <si>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</si>
  <si>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的智邦營收（千美元）</t>
    </r>
  </si>
  <si>
    <r>
      <rPr>
        <sz val="11"/>
        <color theme="1"/>
        <rFont val="Noto Sans CJK SC"/>
        <family val="2"/>
      </rPr>
      <t xml:space="preserve">晶片若為客供，約為加速卡＋</t>
    </r>
    <r>
      <rPr>
        <sz val="11"/>
        <color theme="1"/>
        <rFont val="Calibri"/>
        <family val="2"/>
        <charset val="1"/>
      </rPr>
      <t xml:space="preserve">L10 </t>
    </r>
    <r>
      <rPr>
        <sz val="11"/>
        <color theme="1"/>
        <rFont val="Noto Sans CJK SC"/>
        <family val="2"/>
      </rPr>
      <t xml:space="preserve">加工價值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</si>
  <si>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</si>
  <si>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交換器與其他毛利率（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</si>
  <si>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</si>
  <si>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網路應用產品毛利率＝此值 − </t>
    </r>
    <r>
      <rPr>
        <sz val="11"/>
        <color theme="1"/>
        <rFont val="Calibri"/>
        <family val="2"/>
        <charset val="1"/>
      </rPr>
      <t xml:space="preserve">d_nap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</si>
  <si>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</si>
  <si>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</si>
  <si>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2026-09-29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</si>
  <si>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</si>
  <si>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</si>
  <si>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</si>
  <si>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營收、交換器與其他毛利率在每個案例內依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營收與毛利恆等於錨點）：對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</si>
  <si>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</si>
  <si>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</si>
  <si>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</si>
  <si>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交換器營收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</si>
  <si>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</si>
  <si>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</si>
  <si>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</si>
  <si>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交換器營收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</si>
  <si>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</si>
  <si>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</si>
  <si>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</si>
  <si>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</si>
  <si>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</si>
  <si>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白牌份額流失（低）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</si>
  <si>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、新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搶占）</t>
    </r>
  </si>
  <si>
    <t xml:space="preserve">白牌份額提升（高）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</si>
  <si>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1.10</t>
    </r>
  </si>
  <si>
    <t xml:space="preserve">白牌占比 低</t>
  </si>
  <si>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（持平）</t>
    </r>
  </si>
  <si>
    <t xml:space="preserve">白牌占比 高</t>
  </si>
  <si>
    <t xml:space="preserve">2026 55% → 2029 60%</t>
  </si>
  <si>
    <t xml:space="preserve">乙太網路占比 低</t>
  </si>
  <si>
    <t xml:space="preserve">2026 70% → 2029 75%</t>
  </si>
  <si>
    <t xml:space="preserve">乙太網路占比 高</t>
  </si>
  <si>
    <t xml:space="preserve">2026 80% → 2029 92%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</si>
  <si>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</si>
  <si>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起交換器市場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（供給受限或內容不如預期）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</si>
  <si>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</si>
  <si>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</si>
  <si>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份額流失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</si>
  <si>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2027 0.65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2029 0.50</t>
    </r>
    <r>
      <rPr>
        <sz val="11"/>
        <color theme="1"/>
        <rFont val="Noto Sans CJK SC"/>
        <family val="2"/>
      </rPr>
      <t xml:space="preserve">（第二供應商、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</si>
  <si>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</si>
  <si>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</si>
  <si>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網路應用產品占比 </t>
    </r>
    <r>
      <rPr>
        <sz val="11"/>
        <color theme="1"/>
        <rFont val="Calibri"/>
        <family val="2"/>
        <charset val="1"/>
      </rPr>
      <t xml:space="preserve">42%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</si>
  <si>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拆分：網路應用產品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（交換器較大）</t>
    </r>
  </si>
  <si>
    <r>
      <rPr>
        <sz val="11"/>
        <color theme="1"/>
        <rFont val="Noto Sans CJK SC"/>
        <family val="2"/>
      </rPr>
      <t xml:space="preserve">網路應用產品占比 </t>
    </r>
    <r>
      <rPr>
        <sz val="11"/>
        <color theme="1"/>
        <rFont val="Calibri"/>
        <family val="2"/>
        <charset val="1"/>
      </rPr>
      <t xml:space="preserve">58%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</si>
  <si>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拆分：</t>
    </r>
    <r>
      <rPr>
        <sz val="11"/>
        <color theme="1"/>
        <rFont val="Calibri"/>
        <family val="2"/>
        <charset val="1"/>
      </rPr>
      <t xml:space="preserve">58%</t>
    </r>
  </si>
  <si>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</si>
  <si>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Noto Sans CJK SC"/>
        <family val="2"/>
      </rPr>
      <t xml:space="preserve">網路應用產品毛利率只低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</si>
  <si>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</si>
  <si>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</si>
  <si>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0.75</t>
    </r>
  </si>
  <si>
    <t xml:space="preserve">匯損或稅率上升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</si>
  <si>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+0.5pt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</si>
  <si>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+0.5%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</si>
  <si>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</si>
  <si>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</si>
  <si>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</si>
  <si>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</si>
  <si>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起（交換器與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同時縮放）。拆分案例（網路應用產品占比）改變的是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校準的起點，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合計恆等於錨點。</t>
    </r>
  </si>
  <si>
    <r>
      <rPr>
        <b val="true"/>
        <sz val="11"/>
        <rFont val="Noto Sans CJK SC"/>
        <family val="2"/>
      </rPr>
      <t xml:space="preserve">目標價參數敏感度（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）：加權目標價（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節）一次動一個參數；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延伸期的收斂路徑不隨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變動，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只改再投資率與永續成長</t>
    </r>
  </si>
  <si>
    <t xml:space="preserve">參數</t>
  </si>
  <si>
    <t xml:space="preserve">設定（低／高）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</si>
  <si>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</si>
  <si>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</si>
  <si>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</si>
  <si>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</si>
  <si>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基準加權目標價</t>
  </si>
  <si>
    <t xml:space="preserve">tp_r ±1pt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</si>
  <si>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</si>
  <si>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t xml:space="preserve">tp_g ±1pt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</si>
  <si>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</si>
  <si>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tp_w_dcf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</si>
  <si>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</si>
  <si>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案例區塊：白牌份額流失（低）（情境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</si>
  <si>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案例區塊：白牌份額提升（高）（情境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</si>
  <si>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案例區塊：白牌占比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</si>
  <si>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案例區塊：白牌占比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</si>
  <si>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案例區塊：乙太網路占比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</si>
  <si>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案例區塊：乙太網路占比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</si>
  <si>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交換器市場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</si>
  <si>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交換器市場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</si>
  <si>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</si>
  <si>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</si>
  <si>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案例區塊：網路應用產品占比 </t>
    </r>
    <r>
      <rPr>
        <b val="true"/>
        <sz val="11"/>
        <rFont val="Cambria"/>
        <family val="0"/>
        <charset val="1"/>
      </rPr>
      <t xml:space="preserve">42%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</si>
  <si>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案例區塊：網路應用產品占比 </t>
    </r>
    <r>
      <rPr>
        <b val="true"/>
        <sz val="11"/>
        <rFont val="Cambria"/>
        <family val="0"/>
        <charset val="1"/>
      </rPr>
      <t xml:space="preserve">58%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</si>
  <si>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案例區塊：毛利率差距 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</si>
  <si>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案例區塊：毛利率差距 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</si>
  <si>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</si>
  <si>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</si>
  <si>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來源（公司原文＝季報與月營收公告，本版只經媒體轉述；法說內容經富果摘要）</t>
  </si>
  <si>
    <r>
      <rPr>
        <sz val="11"/>
        <color theme="1"/>
        <rFont val="Noto Sans CJK SC"/>
        <family val="2"/>
      </rPr>
      <t xml:space="preserve">公司（轉述）：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財報（營收、毛利、營業利益、淨利、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、上半年）</t>
    </r>
  </si>
  <si>
    <t xml:space="preserve">https://money.udn.com/money/story/5710/9675501</t>
  </si>
  <si>
    <r>
      <rPr>
        <sz val="11"/>
        <color theme="1"/>
        <rFont val="Noto Sans CJK SC"/>
        <family val="2"/>
      </rPr>
      <t xml:space="preserve">公司（轉述）：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財報</t>
    </r>
  </si>
  <si>
    <t xml:space="preserve">https://money.udn.com/money/story/5710/9488861</t>
  </si>
  <si>
    <r>
      <rPr>
        <sz val="11"/>
        <color theme="1"/>
        <rFont val="Noto Sans CJK SC"/>
        <family val="2"/>
      </rPr>
      <t xml:space="preserve">公司（轉述）：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月）</t>
    </r>
  </si>
  <si>
    <t xml:space="preserve">https://www.chinatimes.com/realtimenews/20261006003734-260410</t>
  </si>
  <si>
    <r>
      <rPr>
        <sz val="11"/>
        <color theme="1"/>
        <rFont val="Noto Sans CJK SC"/>
        <family val="2"/>
      </rPr>
      <t xml:space="preserve">公司（轉述）：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法說摘要（產品別營收比例、美洲占比）</t>
    </r>
  </si>
  <si>
    <t xml:space="preserve">https://blog.fugle.tw/post/earnings-call-2345-2025-11-7</t>
  </si>
  <si>
    <r>
      <rPr>
        <sz val="11"/>
        <color theme="1"/>
        <rFont val="Noto Sans CJK SC"/>
        <family val="2"/>
      </rPr>
      <t xml:space="preserve">公司（轉述）：現金增資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董事會）</t>
    </r>
  </si>
  <si>
    <t xml:space="preserve">https://udn.com/news/story/7252/9832440</t>
  </si>
  <si>
    <r>
      <rPr>
        <sz val="11"/>
        <color theme="1"/>
        <rFont val="Noto Sans CJK SC"/>
        <family val="2"/>
      </rPr>
      <t xml:space="preserve">二手：工商時報 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（法人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估計、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）</t>
    </r>
  </si>
  <si>
    <t xml:space="preserve">https://www.ctee.com.tw/news/20260929700959-430201</t>
  </si>
  <si>
    <r>
      <rPr>
        <sz val="11"/>
        <color theme="1"/>
        <rFont val="Noto Sans CJK SC"/>
        <family val="2"/>
      </rPr>
      <t xml:space="preserve">二手：旺得富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（美系外資：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交換器占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、新客戶約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</t>
    </r>
  </si>
  <si>
    <t xml:space="preserve">https://wantrich.chinatimes.com/news/20260306900323-420101</t>
  </si>
  <si>
    <r>
      <rPr>
        <sz val="11"/>
        <color theme="1"/>
        <rFont val="Noto Sans CJK SC"/>
        <family val="2"/>
      </rPr>
      <t xml:space="preserve">二手：經濟日報 </t>
    </r>
    <r>
      <rPr>
        <sz val="11"/>
        <color theme="1"/>
        <rFont val="Calibri"/>
        <family val="2"/>
        <charset val="1"/>
      </rPr>
      <t xml:space="preserve">2026-07-09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交換匣、組裝廠稀釋份額）</t>
    </r>
  </si>
  <si>
    <t xml:space="preserve">https://udn.com/news/story/7253/9617541</t>
  </si>
  <si>
    <r>
      <rPr>
        <sz val="11"/>
        <color theme="1"/>
        <rFont val="Noto Sans CJK SC"/>
        <family val="2"/>
      </rPr>
      <t xml:space="preserve">二手：鏡週刊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 3 OAM </t>
    </r>
    <r>
      <rPr>
        <sz val="11"/>
        <color theme="1"/>
        <rFont val="Noto Sans CJK SC"/>
        <family val="2"/>
      </rPr>
      <t xml:space="preserve">模組大量出貨）</t>
    </r>
  </si>
  <si>
    <t xml:space="preserve">https://www.mirrormedia.mg/external/mirrordaily_77953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</si>
  <si>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brodoginvestment 2026-07-11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年資料中心交換器約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）</t>
    </r>
  </si>
  <si>
    <t xml:space="preserve">https://brodoginvestment.substack.com/p/2345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</si>
  <si>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（鉅亨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</si>
  <si>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t xml:space="preserve">https://news.cnyes.com/news/id/6629903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</si>
  <si>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Dell'Oro 2025 AI </t>
    </r>
    <r>
      <rPr>
        <sz val="11"/>
        <color theme="1"/>
        <rFont val="Noto Sans CJK SC"/>
        <family val="2"/>
      </rPr>
      <t xml:space="preserve">後端（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並列第一，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第三）</t>
    </r>
  </si>
  <si>
    <t xml:space="preserve">https://www.delloro.com/news/ethernet-more-than-doubles-size-of-infiniband-as-the-leading-fabric-for-ai-scale-out-networks-in-2025/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</si>
  <si>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IDC 2Q26 </t>
    </r>
    <r>
      <rPr>
        <sz val="11"/>
        <color theme="1"/>
        <rFont val="Noto Sans CJK SC"/>
        <family val="2"/>
      </rPr>
      <t xml:space="preserve">乙太網路交換器</t>
    </r>
  </si>
  <si>
    <t xml:space="preserve">https://www.idc.com/resource-center/blog/ethernet-switch-market-surges-43-4-to-18-9b-in-2q26-as-ai-infrastructure-demand-drives-record-datacenter-spending/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</si>
  <si>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IEEE ComSoc 2026-01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占資料中心交換器比例）</t>
    </r>
  </si>
  <si>
    <t xml:space="preserve">https://techblog.comsoc.org/2026/01/31/analysis-ethernet-gains-on-infiniband-in-data-center-connectivity-market-white-box-odm-vendors-top-choice-for-ai-hyperscalers/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</si>
  <si>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歷年經營績效（年底收盤、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、毛利率、營益率）</t>
    </r>
  </si>
  <si>
    <t xml:space="preserve">https://goodinfo.tw/tw/StockBzPerformance.asp?STOCK_ID=2345&amp;RPT_CAT=M_YEAR</t>
  </si>
  <si>
    <r>
      <rPr>
        <sz val="11"/>
        <color theme="1"/>
        <rFont val="Noto Sans CJK SC"/>
        <family val="2"/>
      </rPr>
      <t xml:space="preserve">資料商：永豐金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投資（年度毛利率、營益率、淨利；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收盤）</t>
    </r>
  </si>
  <si>
    <t xml:space="preserve">https://aiinvest.sinotrade.com.tw/Stock/Content/TW/2345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</si>
  <si>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</si>
  <si>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https://companiesmarketcap.com/accton-technology/pe-ratio/</t>
  </si>
  <si>
    <r>
      <rPr>
        <sz val="11"/>
        <color theme="1"/>
        <rFont val="Noto Sans CJK SC"/>
        <family val="2"/>
      </rPr>
      <t xml:space="preserve">市價：鉅亨網 </t>
    </r>
    <r>
      <rPr>
        <sz val="11"/>
        <color theme="1"/>
        <rFont val="Calibri"/>
        <family val="2"/>
        <charset val="1"/>
      </rPr>
      <t xml:space="preserve">2345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1,775</t>
    </r>
    <r>
      <rPr>
        <sz val="11"/>
        <color theme="1"/>
        <rFont val="Noto Sans CJK SC"/>
        <family val="2"/>
      </rPr>
      <t xml:space="preserve">、股本 </t>
    </r>
    <r>
      <rPr>
        <sz val="11"/>
        <color theme="1"/>
        <rFont val="Calibri"/>
        <family val="2"/>
        <charset val="1"/>
      </rPr>
      <t xml:space="preserve">56.11 </t>
    </r>
    <r>
      <rPr>
        <sz val="11"/>
        <color theme="1"/>
        <rFont val="Noto Sans CJK SC"/>
        <family val="2"/>
      </rPr>
      <t xml:space="preserve">億）</t>
    </r>
  </si>
  <si>
    <t xml:space="preserve">https://www.cnyes.com/twstock/2345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</si>
  <si>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</si>
  <si>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待補（人工）：公司原始季報與法說簡報；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產品別營收比例；交換器的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拆分；產品別毛利率；客戶占比（年報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以上客戶）；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法說日期；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</si>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</sst>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"/>
    <numFmt numFmtId="166" formatCode="0.00%"/>
    <numFmt numFmtId="167" formatCode="0.000"/>
    <numFmt numFmtId="168" formatCode="0.0000"/>
    <numFmt numFmtId="169" formatCode="0.0%"/>
    <numFmt numFmtId="170" formatCode="0.00"/>
    <numFmt numFmtId="171" formatCode="#,##0.0"/>
    <numFmt numFmtId="172" formatCode="#,##0"/>
    <numFmt numFmtId="173" formatCode="0.0"/>
    <numFmt numFmtId="174" formatCode="0%"/>
    <numFmt numFmtId="17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7.15" hidden="false" customHeight="false" outlineLevel="0" collapsed="false">
      <c r="A17" s="4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1" t="str">
        <f aca="false">"投資建議："&amp;Val!B52&amp;"（依上檔空間固定規則）"</f>
        <v>投資建議：買進（依上檔空間固定規則）</v>
      </c>
    </row>
    <row r="20" customFormat="false" ht="17.15" hidden="false" customHeight="false" outlineLevel="0" collapsed="false">
      <c r="A20" s="4" t="s">
        <v>15</v>
      </c>
    </row>
    <row r="21" customFormat="false" ht="17.15" hidden="false" customHeight="false" outlineLevel="0" collapsed="false">
      <c r="A21" s="4" t="s">
        <v>16</v>
      </c>
    </row>
    <row r="22" customFormat="false" ht="17.15" hidden="false" customHeight="false" outlineLevel="0" collapsed="false">
      <c r="A2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4" t="s">
        <v>19</v>
      </c>
    </row>
    <row r="3" customFormat="false" ht="17.15" hidden="false" customHeight="false" outlineLevel="0" collapsed="false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customFormat="false" ht="17.15" hidden="false" customHeight="false" outlineLevel="0" collapsed="false">
      <c r="A4" s="6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0" t="s">
        <v>32</v>
      </c>
      <c r="E5" s="7" t="n">
        <v>32.0719</v>
      </c>
      <c r="G5" s="8" t="s">
        <v>33</v>
      </c>
      <c r="H5" s="8" t="s">
        <v>34</v>
      </c>
      <c r="I5" s="4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0" t="s">
        <v>32</v>
      </c>
      <c r="E6" s="7" t="n">
        <v>61.085</v>
      </c>
      <c r="G6" s="8" t="s">
        <v>33</v>
      </c>
      <c r="H6" s="8" t="s">
        <v>34</v>
      </c>
      <c r="I6" s="4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0" t="s">
        <v>32</v>
      </c>
      <c r="E7" s="7" t="n">
        <v>69.005</v>
      </c>
      <c r="G7" s="8" t="s">
        <v>33</v>
      </c>
      <c r="H7" s="8" t="s">
        <v>34</v>
      </c>
      <c r="I7" s="4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0" t="s">
        <v>32</v>
      </c>
      <c r="E8" s="7" t="n">
        <v>78.48215</v>
      </c>
      <c r="G8" s="8" t="s">
        <v>33</v>
      </c>
      <c r="H8" s="8" t="s">
        <v>34</v>
      </c>
      <c r="I8" s="4" t="s">
        <v>38</v>
      </c>
    </row>
    <row r="9" customFormat="false" ht="17.15" hidden="false" customHeight="false" outlineLevel="0" collapsed="false">
      <c r="A9" s="0" t="s">
        <v>43</v>
      </c>
      <c r="B9" s="4" t="s">
        <v>44</v>
      </c>
      <c r="C9" s="0" t="s">
        <v>32</v>
      </c>
      <c r="E9" s="0" t="n">
        <f aca="false">(2*(600+800*(1-0.6))+1*(600+800*(1-0.6))+0.75*(300+100*(1-0.6)))/1000</f>
        <v>3.015</v>
      </c>
      <c r="G9" s="0" t="s">
        <v>33</v>
      </c>
      <c r="H9" s="0" t="s">
        <v>45</v>
      </c>
      <c r="I9" s="0" t="s">
        <v>46</v>
      </c>
    </row>
    <row r="10" customFormat="false" ht="17.15" hidden="false" customHeight="false" outlineLevel="0" collapsed="false">
      <c r="A10" s="0" t="s">
        <v>47</v>
      </c>
      <c r="B10" s="4" t="s">
        <v>48</v>
      </c>
      <c r="C10" s="0" t="s">
        <v>32</v>
      </c>
      <c r="E10" s="0" t="n">
        <f aca="false">(2.5*(600+800*(1-0.6))+4.5*(600+800*(1-0.6))+1.5*(2334+2334*(1-0.6)))/1000</f>
        <v>11.3414</v>
      </c>
      <c r="G10" s="0" t="s">
        <v>33</v>
      </c>
      <c r="H10" s="4" t="s">
        <v>38</v>
      </c>
      <c r="I10" s="4" t="s">
        <v>38</v>
      </c>
    </row>
    <row r="11" customFormat="false" ht="17.15" hidden="false" customHeight="false" outlineLevel="0" collapsed="false">
      <c r="A11" s="0" t="s">
        <v>49</v>
      </c>
      <c r="B11" s="4" t="s">
        <v>50</v>
      </c>
      <c r="C11" s="0" t="s">
        <v>32</v>
      </c>
      <c r="E11" s="0" t="n">
        <f aca="false">(3*(600+800*(1-0.6))+5*(600+800*(1-0.6))+2*(2334+2334*(1-0.6)))/1000</f>
        <v>13.8952</v>
      </c>
      <c r="G11" s="0" t="s">
        <v>33</v>
      </c>
      <c r="H11" s="4" t="s">
        <v>38</v>
      </c>
      <c r="I11" s="4" t="s">
        <v>38</v>
      </c>
    </row>
    <row r="12" customFormat="false" ht="17.15" hidden="false" customHeight="false" outlineLevel="0" collapsed="false">
      <c r="A12" s="0" t="s">
        <v>51</v>
      </c>
      <c r="B12" s="4" t="s">
        <v>52</v>
      </c>
      <c r="C12" s="0" t="s">
        <v>32</v>
      </c>
      <c r="E12" s="0" t="n">
        <f aca="false">(3.45*(600+800*(1-0.6))+5.75*(600+800*(1-0.6))+2.3*(2334+2334*(1-0.6)))/1000</f>
        <v>15.97948</v>
      </c>
      <c r="G12" s="0" t="s">
        <v>33</v>
      </c>
      <c r="H12" s="4" t="s">
        <v>38</v>
      </c>
      <c r="I12" s="4" t="s">
        <v>38</v>
      </c>
    </row>
    <row r="13" customFormat="false" ht="17.15" hidden="false" customHeight="false" outlineLevel="0" collapsed="false">
      <c r="A13" s="0" t="s">
        <v>53</v>
      </c>
      <c r="B13" s="0" t="s">
        <v>54</v>
      </c>
      <c r="C13" s="4" t="s">
        <v>55</v>
      </c>
      <c r="E13" s="7" t="n">
        <v>2</v>
      </c>
      <c r="G13" s="8" t="s">
        <v>33</v>
      </c>
      <c r="H13" s="8" t="s">
        <v>56</v>
      </c>
      <c r="I13" s="4" t="s">
        <v>57</v>
      </c>
    </row>
    <row r="14" customFormat="false" ht="17.15" hidden="false" customHeight="false" outlineLevel="0" collapsed="false">
      <c r="A14" s="0" t="s">
        <v>58</v>
      </c>
      <c r="B14" s="0" t="s">
        <v>59</v>
      </c>
      <c r="C14" s="4" t="s">
        <v>55</v>
      </c>
      <c r="E14" s="7" t="n">
        <v>2.5</v>
      </c>
      <c r="G14" s="8" t="s">
        <v>33</v>
      </c>
      <c r="H14" s="8" t="s">
        <v>56</v>
      </c>
      <c r="I14" s="4" t="s">
        <v>38</v>
      </c>
    </row>
    <row r="15" customFormat="false" ht="17.15" hidden="false" customHeight="false" outlineLevel="0" collapsed="false">
      <c r="A15" s="0" t="s">
        <v>60</v>
      </c>
      <c r="B15" s="0" t="s">
        <v>61</v>
      </c>
      <c r="C15" s="4" t="s">
        <v>55</v>
      </c>
      <c r="E15" s="7" t="n">
        <v>3</v>
      </c>
      <c r="G15" s="8" t="s">
        <v>33</v>
      </c>
      <c r="H15" s="8" t="s">
        <v>56</v>
      </c>
      <c r="I15" s="4" t="s">
        <v>38</v>
      </c>
    </row>
    <row r="16" customFormat="false" ht="17.15" hidden="false" customHeight="false" outlineLevel="0" collapsed="false">
      <c r="A16" s="0" t="s">
        <v>62</v>
      </c>
      <c r="B16" s="0" t="s">
        <v>63</v>
      </c>
      <c r="C16" s="4" t="s">
        <v>55</v>
      </c>
      <c r="E16" s="7" t="n">
        <v>3.45</v>
      </c>
      <c r="G16" s="8" t="s">
        <v>33</v>
      </c>
      <c r="H16" s="8" t="s">
        <v>56</v>
      </c>
      <c r="I16" s="4" t="s">
        <v>38</v>
      </c>
    </row>
    <row r="17" customFormat="false" ht="17.15" hidden="false" customHeight="false" outlineLevel="0" collapsed="false">
      <c r="A17" s="0" t="s">
        <v>64</v>
      </c>
      <c r="B17" s="0" t="s">
        <v>65</v>
      </c>
      <c r="C17" s="0" t="s">
        <v>32</v>
      </c>
      <c r="E17" s="7" t="n">
        <v>781.872916666667</v>
      </c>
      <c r="G17" s="8" t="s">
        <v>33</v>
      </c>
      <c r="H17" s="8" t="s">
        <v>66</v>
      </c>
      <c r="I17" s="8" t="s">
        <v>67</v>
      </c>
    </row>
    <row r="18" customFormat="false" ht="17.15" hidden="false" customHeight="false" outlineLevel="0" collapsed="false">
      <c r="A18" s="0" t="s">
        <v>68</v>
      </c>
      <c r="B18" s="0" t="s">
        <v>69</v>
      </c>
      <c r="C18" s="0" t="s">
        <v>32</v>
      </c>
      <c r="E18" s="7" t="n">
        <v>1565.35</v>
      </c>
      <c r="G18" s="8" t="s">
        <v>33</v>
      </c>
      <c r="H18" s="8" t="s">
        <v>66</v>
      </c>
      <c r="I18" s="4" t="s">
        <v>38</v>
      </c>
    </row>
    <row r="19" customFormat="false" ht="17.15" hidden="false" customHeight="false" outlineLevel="0" collapsed="false">
      <c r="A19" s="0" t="s">
        <v>70</v>
      </c>
      <c r="B19" s="0" t="s">
        <v>71</v>
      </c>
      <c r="C19" s="0" t="s">
        <v>32</v>
      </c>
      <c r="E19" s="7" t="n">
        <v>1984.26388888889</v>
      </c>
      <c r="G19" s="8" t="s">
        <v>33</v>
      </c>
      <c r="H19" s="8" t="s">
        <v>66</v>
      </c>
      <c r="I19" s="4" t="s">
        <v>38</v>
      </c>
    </row>
    <row r="20" customFormat="false" ht="17.15" hidden="false" customHeight="false" outlineLevel="0" collapsed="false">
      <c r="A20" s="0" t="s">
        <v>72</v>
      </c>
      <c r="B20" s="0" t="s">
        <v>73</v>
      </c>
      <c r="C20" s="0" t="s">
        <v>32</v>
      </c>
      <c r="E20" s="7" t="n">
        <v>2260.39027777778</v>
      </c>
      <c r="G20" s="8" t="s">
        <v>33</v>
      </c>
      <c r="H20" s="8" t="s">
        <v>66</v>
      </c>
      <c r="I20" s="4" t="s">
        <v>38</v>
      </c>
    </row>
    <row r="21" customFormat="false" ht="17.15" hidden="false" customHeight="false" outlineLevel="0" collapsed="false">
      <c r="A21" s="0" t="s">
        <v>74</v>
      </c>
      <c r="B21" s="4" t="s">
        <v>75</v>
      </c>
      <c r="C21" s="0" t="s">
        <v>76</v>
      </c>
      <c r="E21" s="7" t="n">
        <v>1</v>
      </c>
      <c r="G21" s="8" t="s">
        <v>77</v>
      </c>
      <c r="H21" s="8" t="s">
        <v>78</v>
      </c>
      <c r="I21" s="8" t="s">
        <v>79</v>
      </c>
    </row>
    <row r="22" customFormat="false" ht="17.15" hidden="false" customHeight="false" outlineLevel="0" collapsed="false">
      <c r="A22" s="0" t="s">
        <v>80</v>
      </c>
      <c r="B22" s="4" t="s">
        <v>81</v>
      </c>
      <c r="C22" s="0" t="s">
        <v>76</v>
      </c>
      <c r="E22" s="7" t="n">
        <v>1</v>
      </c>
      <c r="G22" s="8" t="s">
        <v>77</v>
      </c>
      <c r="H22" s="8" t="s">
        <v>82</v>
      </c>
      <c r="I22" s="4" t="s">
        <v>38</v>
      </c>
    </row>
    <row r="23" customFormat="false" ht="17.15" hidden="false" customHeight="false" outlineLevel="0" collapsed="false">
      <c r="A23" s="0" t="s">
        <v>83</v>
      </c>
      <c r="B23" s="4" t="s">
        <v>84</v>
      </c>
      <c r="C23" s="0" t="s">
        <v>76</v>
      </c>
      <c r="E23" s="7" t="n">
        <v>0.8</v>
      </c>
      <c r="G23" s="8" t="s">
        <v>77</v>
      </c>
      <c r="H23" s="8" t="s">
        <v>85</v>
      </c>
      <c r="I23" s="8" t="s">
        <v>79</v>
      </c>
    </row>
    <row r="24" customFormat="false" ht="17.15" hidden="false" customHeight="false" outlineLevel="0" collapsed="false">
      <c r="A24" s="0" t="s">
        <v>86</v>
      </c>
      <c r="B24" s="4" t="s">
        <v>87</v>
      </c>
      <c r="C24" s="0" t="s">
        <v>76</v>
      </c>
      <c r="E24" s="7" t="n">
        <v>0.85</v>
      </c>
      <c r="G24" s="8" t="s">
        <v>77</v>
      </c>
      <c r="H24" s="8" t="s">
        <v>88</v>
      </c>
      <c r="I24" s="4" t="s">
        <v>38</v>
      </c>
    </row>
    <row r="25" customFormat="false" ht="17.15" hidden="false" customHeight="false" outlineLevel="0" collapsed="false">
      <c r="A25" s="0" t="s">
        <v>89</v>
      </c>
      <c r="B25" s="4" t="s">
        <v>90</v>
      </c>
      <c r="C25" s="0" t="s">
        <v>76</v>
      </c>
      <c r="E25" s="7" t="n">
        <v>0.6</v>
      </c>
      <c r="G25" s="8" t="s">
        <v>77</v>
      </c>
      <c r="H25" s="8" t="s">
        <v>91</v>
      </c>
      <c r="I25" s="8" t="s">
        <v>79</v>
      </c>
    </row>
    <row r="26" customFormat="false" ht="17.15" hidden="false" customHeight="false" outlineLevel="0" collapsed="false">
      <c r="A26" s="0" t="s">
        <v>92</v>
      </c>
      <c r="B26" s="4" t="s">
        <v>93</v>
      </c>
      <c r="C26" s="0" t="s">
        <v>76</v>
      </c>
      <c r="E26" s="7" t="n">
        <v>0.6</v>
      </c>
      <c r="G26" s="8" t="s">
        <v>77</v>
      </c>
      <c r="H26" s="8" t="s">
        <v>94</v>
      </c>
      <c r="I26" s="4" t="s">
        <v>38</v>
      </c>
    </row>
    <row r="27" customFormat="false" ht="17.15" hidden="false" customHeight="false" outlineLevel="0" collapsed="false">
      <c r="A27" s="0" t="s">
        <v>95</v>
      </c>
      <c r="B27" s="4" t="s">
        <v>96</v>
      </c>
      <c r="C27" s="0" t="s">
        <v>97</v>
      </c>
      <c r="D27" s="7" t="n">
        <v>29</v>
      </c>
      <c r="E27" s="7" t="n">
        <v>32</v>
      </c>
      <c r="F27" s="7" t="n">
        <v>33</v>
      </c>
      <c r="G27" s="8" t="s">
        <v>77</v>
      </c>
      <c r="H27" s="4" t="s">
        <v>98</v>
      </c>
      <c r="I27" s="4" t="s">
        <v>99</v>
      </c>
    </row>
    <row r="28" customFormat="false" ht="17.15" hidden="false" customHeight="false" outlineLevel="0" collapsed="false">
      <c r="A28" s="6" t="s">
        <v>100</v>
      </c>
    </row>
    <row r="29" customFormat="false" ht="17.15" hidden="false" customHeight="false" outlineLevel="0" collapsed="false">
      <c r="A29" s="0" t="s">
        <v>101</v>
      </c>
      <c r="B29" s="4" t="s">
        <v>102</v>
      </c>
      <c r="C29" s="0" t="s">
        <v>103</v>
      </c>
      <c r="D29" s="7" t="n">
        <v>0.7</v>
      </c>
      <c r="E29" s="7" t="n">
        <v>0.75</v>
      </c>
      <c r="F29" s="7" t="n">
        <v>0.8</v>
      </c>
      <c r="G29" s="8" t="s">
        <v>77</v>
      </c>
      <c r="H29" s="4" t="s">
        <v>104</v>
      </c>
      <c r="I29" s="8" t="s">
        <v>105</v>
      </c>
    </row>
    <row r="30" customFormat="false" ht="17.15" hidden="false" customHeight="false" outlineLevel="0" collapsed="false">
      <c r="A30" s="0" t="s">
        <v>106</v>
      </c>
      <c r="B30" s="4" t="s">
        <v>107</v>
      </c>
      <c r="C30" s="0" t="s">
        <v>103</v>
      </c>
      <c r="D30" s="7" t="n">
        <v>0.72</v>
      </c>
      <c r="E30" s="7" t="n">
        <v>0.8</v>
      </c>
      <c r="F30" s="7" t="n">
        <v>0.88</v>
      </c>
      <c r="G30" s="8" t="s">
        <v>77</v>
      </c>
      <c r="H30" s="4" t="s">
        <v>108</v>
      </c>
      <c r="I30" s="4" t="s">
        <v>109</v>
      </c>
    </row>
    <row r="31" customFormat="false" ht="17.15" hidden="false" customHeight="false" outlineLevel="0" collapsed="false">
      <c r="A31" s="0" t="s">
        <v>110</v>
      </c>
      <c r="B31" s="4" t="s">
        <v>111</v>
      </c>
      <c r="C31" s="0" t="s">
        <v>103</v>
      </c>
      <c r="D31" s="7" t="n">
        <v>0.74</v>
      </c>
      <c r="E31" s="7" t="n">
        <v>0.83</v>
      </c>
      <c r="F31" s="7" t="n">
        <v>0.9</v>
      </c>
      <c r="G31" s="8" t="s">
        <v>77</v>
      </c>
      <c r="H31" s="4" t="s">
        <v>38</v>
      </c>
      <c r="I31" s="8" t="s">
        <v>112</v>
      </c>
    </row>
    <row r="32" customFormat="false" ht="17.15" hidden="false" customHeight="false" outlineLevel="0" collapsed="false">
      <c r="A32" s="0" t="s">
        <v>113</v>
      </c>
      <c r="B32" s="4" t="s">
        <v>114</v>
      </c>
      <c r="C32" s="0" t="s">
        <v>103</v>
      </c>
      <c r="D32" s="7" t="n">
        <v>0.75</v>
      </c>
      <c r="E32" s="7" t="n">
        <v>0.85</v>
      </c>
      <c r="F32" s="7" t="n">
        <v>0.92</v>
      </c>
      <c r="G32" s="8" t="s">
        <v>77</v>
      </c>
      <c r="H32" s="4" t="s">
        <v>38</v>
      </c>
      <c r="I32" s="8" t="s">
        <v>112</v>
      </c>
    </row>
    <row r="33" customFormat="false" ht="17.15" hidden="false" customHeight="false" outlineLevel="0" collapsed="false">
      <c r="A33" s="0" t="s">
        <v>115</v>
      </c>
      <c r="B33" s="4" t="s">
        <v>116</v>
      </c>
      <c r="C33" s="0" t="s">
        <v>103</v>
      </c>
      <c r="D33" s="7" t="n">
        <v>0.35</v>
      </c>
      <c r="E33" s="7" t="n">
        <v>0.45</v>
      </c>
      <c r="F33" s="7" t="n">
        <v>0.55</v>
      </c>
      <c r="G33" s="8" t="s">
        <v>77</v>
      </c>
      <c r="H33" s="8" t="s">
        <v>117</v>
      </c>
      <c r="I33" s="8" t="s">
        <v>118</v>
      </c>
    </row>
    <row r="34" customFormat="false" ht="17.15" hidden="false" customHeight="false" outlineLevel="0" collapsed="false">
      <c r="A34" s="0" t="s">
        <v>119</v>
      </c>
      <c r="B34" s="4" t="s">
        <v>120</v>
      </c>
      <c r="C34" s="0" t="s">
        <v>103</v>
      </c>
      <c r="D34" s="7" t="n">
        <v>0.35</v>
      </c>
      <c r="E34" s="7" t="n">
        <v>0.47</v>
      </c>
      <c r="F34" s="7" t="n">
        <v>0.57</v>
      </c>
      <c r="G34" s="8" t="s">
        <v>77</v>
      </c>
      <c r="H34" s="4" t="s">
        <v>121</v>
      </c>
      <c r="I34" s="4" t="s">
        <v>122</v>
      </c>
    </row>
    <row r="35" customFormat="false" ht="17.15" hidden="false" customHeight="false" outlineLevel="0" collapsed="false">
      <c r="A35" s="0" t="s">
        <v>123</v>
      </c>
      <c r="B35" s="4" t="s">
        <v>124</v>
      </c>
      <c r="C35" s="0" t="s">
        <v>103</v>
      </c>
      <c r="D35" s="7" t="n">
        <v>0.35</v>
      </c>
      <c r="E35" s="7" t="n">
        <v>0.48</v>
      </c>
      <c r="F35" s="7" t="n">
        <v>0.58</v>
      </c>
      <c r="G35" s="8" t="s">
        <v>77</v>
      </c>
      <c r="H35" s="4" t="s">
        <v>38</v>
      </c>
      <c r="I35" s="8" t="s">
        <v>112</v>
      </c>
    </row>
    <row r="36" customFormat="false" ht="17.15" hidden="false" customHeight="false" outlineLevel="0" collapsed="false">
      <c r="A36" s="0" t="s">
        <v>125</v>
      </c>
      <c r="B36" s="4" t="s">
        <v>126</v>
      </c>
      <c r="C36" s="0" t="s">
        <v>103</v>
      </c>
      <c r="D36" s="7" t="n">
        <v>0.35</v>
      </c>
      <c r="E36" s="7" t="n">
        <v>0.5</v>
      </c>
      <c r="F36" s="7" t="n">
        <v>0.6</v>
      </c>
      <c r="G36" s="8" t="s">
        <v>77</v>
      </c>
      <c r="H36" s="4" t="s">
        <v>38</v>
      </c>
      <c r="I36" s="8" t="s">
        <v>112</v>
      </c>
    </row>
    <row r="37" customFormat="false" ht="17.15" hidden="false" customHeight="false" outlineLevel="0" collapsed="false">
      <c r="A37" s="0" t="s">
        <v>127</v>
      </c>
      <c r="B37" s="4" t="s">
        <v>128</v>
      </c>
      <c r="C37" s="0" t="s">
        <v>76</v>
      </c>
      <c r="D37" s="7" t="n">
        <v>0.8</v>
      </c>
      <c r="E37" s="7" t="n">
        <v>1</v>
      </c>
      <c r="F37" s="7" t="n">
        <v>1.1</v>
      </c>
      <c r="G37" s="8" t="s">
        <v>77</v>
      </c>
      <c r="H37" s="8" t="s">
        <v>129</v>
      </c>
      <c r="I37" s="4" t="s">
        <v>130</v>
      </c>
    </row>
    <row r="38" customFormat="false" ht="17.15" hidden="false" customHeight="false" outlineLevel="0" collapsed="false">
      <c r="A38" s="0" t="s">
        <v>131</v>
      </c>
      <c r="B38" s="4" t="s">
        <v>132</v>
      </c>
      <c r="C38" s="0" t="s">
        <v>76</v>
      </c>
      <c r="D38" s="7" t="n">
        <v>0.7</v>
      </c>
      <c r="E38" s="7" t="n">
        <v>0.95</v>
      </c>
      <c r="F38" s="7" t="n">
        <v>1.1</v>
      </c>
      <c r="G38" s="8" t="s">
        <v>77</v>
      </c>
      <c r="H38" s="8" t="s">
        <v>133</v>
      </c>
      <c r="I38" s="8" t="s">
        <v>112</v>
      </c>
    </row>
    <row r="39" customFormat="false" ht="17.15" hidden="false" customHeight="false" outlineLevel="0" collapsed="false">
      <c r="A39" s="0" t="s">
        <v>134</v>
      </c>
      <c r="B39" s="4" t="s">
        <v>135</v>
      </c>
      <c r="C39" s="0" t="s">
        <v>76</v>
      </c>
      <c r="D39" s="7" t="n">
        <v>0.65</v>
      </c>
      <c r="E39" s="7" t="n">
        <v>0.92</v>
      </c>
      <c r="F39" s="7" t="n">
        <v>1.1</v>
      </c>
      <c r="G39" s="8" t="s">
        <v>77</v>
      </c>
      <c r="H39" s="4" t="s">
        <v>38</v>
      </c>
      <c r="I39" s="8" t="s">
        <v>112</v>
      </c>
    </row>
    <row r="40" customFormat="false" ht="17.15" hidden="false" customHeight="false" outlineLevel="0" collapsed="false">
      <c r="A40" s="6" t="s">
        <v>136</v>
      </c>
    </row>
    <row r="41" customFormat="false" ht="17.15" hidden="false" customHeight="false" outlineLevel="0" collapsed="false">
      <c r="A41" s="0" t="s">
        <v>137</v>
      </c>
      <c r="B41" s="4" t="s">
        <v>138</v>
      </c>
      <c r="C41" s="0" t="s">
        <v>76</v>
      </c>
      <c r="D41" s="7" t="n">
        <v>0.65</v>
      </c>
      <c r="E41" s="7" t="n">
        <v>0.9</v>
      </c>
      <c r="F41" s="7" t="n">
        <v>1.1</v>
      </c>
      <c r="G41" s="8" t="s">
        <v>77</v>
      </c>
      <c r="H41" s="4" t="s">
        <v>139</v>
      </c>
      <c r="I41" s="4" t="s">
        <v>140</v>
      </c>
    </row>
    <row r="42" customFormat="false" ht="17.15" hidden="false" customHeight="false" outlineLevel="0" collapsed="false">
      <c r="A42" s="0" t="s">
        <v>141</v>
      </c>
      <c r="B42" s="4" t="s">
        <v>142</v>
      </c>
      <c r="C42" s="0" t="s">
        <v>76</v>
      </c>
      <c r="D42" s="7" t="n">
        <v>0.55</v>
      </c>
      <c r="E42" s="7" t="n">
        <v>0.85</v>
      </c>
      <c r="F42" s="7" t="n">
        <v>1.1</v>
      </c>
      <c r="G42" s="8" t="s">
        <v>77</v>
      </c>
      <c r="H42" s="4" t="s">
        <v>38</v>
      </c>
      <c r="I42" s="8" t="s">
        <v>112</v>
      </c>
    </row>
    <row r="43" customFormat="false" ht="17.15" hidden="false" customHeight="false" outlineLevel="0" collapsed="false">
      <c r="A43" s="0" t="s">
        <v>143</v>
      </c>
      <c r="B43" s="4" t="s">
        <v>144</v>
      </c>
      <c r="C43" s="0" t="s">
        <v>76</v>
      </c>
      <c r="D43" s="7" t="n">
        <v>0.5</v>
      </c>
      <c r="E43" s="7" t="n">
        <v>0.8</v>
      </c>
      <c r="F43" s="7" t="n">
        <v>1.1</v>
      </c>
      <c r="G43" s="8" t="s">
        <v>77</v>
      </c>
      <c r="H43" s="4" t="s">
        <v>38</v>
      </c>
      <c r="I43" s="8" t="s">
        <v>112</v>
      </c>
    </row>
    <row r="44" customFormat="false" ht="17.15" hidden="false" customHeight="false" outlineLevel="0" collapsed="false">
      <c r="A44" s="0" t="s">
        <v>145</v>
      </c>
      <c r="B44" s="0" t="s">
        <v>146</v>
      </c>
      <c r="C44" s="0" t="s">
        <v>76</v>
      </c>
      <c r="D44" s="7" t="n">
        <v>0.8</v>
      </c>
      <c r="E44" s="7" t="n">
        <v>1</v>
      </c>
      <c r="F44" s="7" t="n">
        <v>1.2</v>
      </c>
      <c r="G44" s="8" t="s">
        <v>77</v>
      </c>
      <c r="H44" s="4" t="s">
        <v>147</v>
      </c>
      <c r="I44" s="8" t="s">
        <v>148</v>
      </c>
    </row>
    <row r="45" customFormat="false" ht="17.15" hidden="false" customHeight="false" outlineLevel="0" collapsed="false">
      <c r="A45" s="6" t="s">
        <v>149</v>
      </c>
    </row>
    <row r="46" customFormat="false" ht="17.15" hidden="false" customHeight="false" outlineLevel="0" collapsed="false">
      <c r="A46" s="0" t="s">
        <v>150</v>
      </c>
      <c r="B46" s="0" t="s">
        <v>151</v>
      </c>
      <c r="C46" s="0" t="s">
        <v>103</v>
      </c>
      <c r="D46" s="7" t="n">
        <v>0.31</v>
      </c>
      <c r="E46" s="7" t="n">
        <v>0.34</v>
      </c>
      <c r="F46" s="7" t="n">
        <v>0.36</v>
      </c>
      <c r="G46" s="8" t="s">
        <v>152</v>
      </c>
      <c r="H46" s="8" t="s">
        <v>153</v>
      </c>
      <c r="I46" s="8" t="s">
        <v>154</v>
      </c>
    </row>
    <row r="47" customFormat="false" ht="17.15" hidden="false" customHeight="false" outlineLevel="0" collapsed="false">
      <c r="A47" s="0" t="s">
        <v>155</v>
      </c>
      <c r="B47" s="0" t="s">
        <v>156</v>
      </c>
      <c r="C47" s="0" t="s">
        <v>103</v>
      </c>
      <c r="D47" s="7" t="n">
        <v>0.6</v>
      </c>
      <c r="E47" s="7" t="n">
        <v>0.63</v>
      </c>
      <c r="F47" s="7" t="n">
        <v>0.65</v>
      </c>
      <c r="G47" s="8" t="s">
        <v>152</v>
      </c>
      <c r="H47" s="4" t="s">
        <v>157</v>
      </c>
      <c r="I47" s="8" t="s">
        <v>158</v>
      </c>
    </row>
    <row r="48" customFormat="false" ht="17.15" hidden="false" customHeight="false" outlineLevel="0" collapsed="false">
      <c r="A48" s="0" t="s">
        <v>159</v>
      </c>
      <c r="B48" s="0" t="s">
        <v>160</v>
      </c>
      <c r="C48" s="0" t="s">
        <v>103</v>
      </c>
      <c r="D48" s="7" t="n">
        <v>0.45</v>
      </c>
      <c r="E48" s="7" t="n">
        <v>0.6</v>
      </c>
      <c r="F48" s="7" t="n">
        <v>0.75</v>
      </c>
      <c r="G48" s="8" t="s">
        <v>77</v>
      </c>
      <c r="H48" s="4" t="s">
        <v>161</v>
      </c>
      <c r="I48" s="4" t="s">
        <v>162</v>
      </c>
    </row>
    <row r="49" customFormat="false" ht="17.15" hidden="false" customHeight="false" outlineLevel="0" collapsed="false">
      <c r="A49" s="0" t="s">
        <v>163</v>
      </c>
      <c r="B49" s="0" t="s">
        <v>164</v>
      </c>
      <c r="C49" s="0" t="s">
        <v>103</v>
      </c>
      <c r="D49" s="7" t="n">
        <v>0.42</v>
      </c>
      <c r="E49" s="7" t="n">
        <v>0.5</v>
      </c>
      <c r="F49" s="7" t="n">
        <v>0.58</v>
      </c>
      <c r="G49" s="8" t="s">
        <v>77</v>
      </c>
      <c r="H49" s="4" t="s">
        <v>165</v>
      </c>
      <c r="I49" s="4" t="s">
        <v>166</v>
      </c>
    </row>
    <row r="50" customFormat="false" ht="17.15" hidden="false" customHeight="false" outlineLevel="0" collapsed="false">
      <c r="A50" s="0" t="s">
        <v>167</v>
      </c>
      <c r="B50" s="4" t="s">
        <v>168</v>
      </c>
      <c r="C50" s="0" t="s">
        <v>103</v>
      </c>
      <c r="D50" s="7" t="n">
        <v>0</v>
      </c>
      <c r="E50" s="7" t="n">
        <v>0.1</v>
      </c>
      <c r="F50" s="7" t="n">
        <v>0.2</v>
      </c>
      <c r="G50" s="8" t="s">
        <v>77</v>
      </c>
      <c r="H50" s="8" t="s">
        <v>169</v>
      </c>
      <c r="I50" s="4" t="s">
        <v>170</v>
      </c>
    </row>
    <row r="51" customFormat="false" ht="17.15" hidden="false" customHeight="false" outlineLevel="0" collapsed="false">
      <c r="A51" s="0" t="s">
        <v>171</v>
      </c>
      <c r="B51" s="4" t="s">
        <v>172</v>
      </c>
      <c r="C51" s="0" t="s">
        <v>103</v>
      </c>
      <c r="D51" s="7" t="n">
        <v>0</v>
      </c>
      <c r="E51" s="7" t="n">
        <v>0.06</v>
      </c>
      <c r="F51" s="7" t="n">
        <v>0.12</v>
      </c>
      <c r="G51" s="8" t="s">
        <v>77</v>
      </c>
      <c r="H51" s="4" t="s">
        <v>38</v>
      </c>
      <c r="I51" s="8" t="s">
        <v>112</v>
      </c>
    </row>
    <row r="52" customFormat="false" ht="17.15" hidden="false" customHeight="false" outlineLevel="0" collapsed="false">
      <c r="A52" s="0" t="s">
        <v>173</v>
      </c>
      <c r="B52" s="4" t="s">
        <v>174</v>
      </c>
      <c r="C52" s="0" t="s">
        <v>103</v>
      </c>
      <c r="D52" s="7" t="n">
        <v>0</v>
      </c>
      <c r="E52" s="7" t="n">
        <v>0.05</v>
      </c>
      <c r="F52" s="7" t="n">
        <v>0.1</v>
      </c>
      <c r="G52" s="8" t="s">
        <v>77</v>
      </c>
      <c r="H52" s="4" t="s">
        <v>38</v>
      </c>
      <c r="I52" s="8" t="s">
        <v>112</v>
      </c>
    </row>
    <row r="53" customFormat="false" ht="17.15" hidden="false" customHeight="false" outlineLevel="0" collapsed="false">
      <c r="A53" s="0" t="s">
        <v>175</v>
      </c>
      <c r="B53" s="4" t="s">
        <v>176</v>
      </c>
      <c r="C53" s="0" t="s">
        <v>103</v>
      </c>
      <c r="D53" s="7" t="n">
        <v>0</v>
      </c>
      <c r="E53" s="7" t="n">
        <v>0.05</v>
      </c>
      <c r="F53" s="7" t="n">
        <v>0.1</v>
      </c>
      <c r="G53" s="8" t="s">
        <v>77</v>
      </c>
      <c r="H53" s="4" t="s">
        <v>38</v>
      </c>
      <c r="I53" s="8" t="s">
        <v>112</v>
      </c>
    </row>
    <row r="54" customFormat="false" ht="17.15" hidden="false" customHeight="false" outlineLevel="0" collapsed="false">
      <c r="A54" s="6" t="s">
        <v>177</v>
      </c>
    </row>
    <row r="55" customFormat="false" ht="17.15" hidden="false" customHeight="false" outlineLevel="0" collapsed="false">
      <c r="A55" s="0" t="s">
        <v>178</v>
      </c>
      <c r="B55" s="4" t="s">
        <v>179</v>
      </c>
      <c r="C55" s="0" t="s">
        <v>180</v>
      </c>
      <c r="D55" s="7" t="n">
        <v>0.03</v>
      </c>
      <c r="E55" s="7" t="n">
        <v>0.06</v>
      </c>
      <c r="F55" s="7" t="n">
        <v>0.1</v>
      </c>
      <c r="G55" s="8" t="s">
        <v>77</v>
      </c>
      <c r="H55" s="4" t="s">
        <v>181</v>
      </c>
      <c r="I55" s="4" t="s">
        <v>182</v>
      </c>
    </row>
    <row r="56" customFormat="false" ht="17.15" hidden="false" customHeight="false" outlineLevel="0" collapsed="false">
      <c r="A56" s="6" t="s">
        <v>183</v>
      </c>
    </row>
    <row r="57" customFormat="false" ht="17.15" hidden="false" customHeight="false" outlineLevel="0" collapsed="false">
      <c r="A57" s="0" t="s">
        <v>184</v>
      </c>
      <c r="B57" s="0" t="s">
        <v>185</v>
      </c>
      <c r="C57" s="0" t="s">
        <v>186</v>
      </c>
      <c r="E57" s="7" t="n">
        <v>120.74</v>
      </c>
      <c r="G57" s="8" t="s">
        <v>187</v>
      </c>
      <c r="H57" s="8" t="s">
        <v>188</v>
      </c>
      <c r="I57" s="8" t="s">
        <v>189</v>
      </c>
    </row>
    <row r="58" customFormat="false" ht="17.15" hidden="false" customHeight="false" outlineLevel="0" collapsed="false">
      <c r="A58" s="0" t="s">
        <v>190</v>
      </c>
      <c r="B58" s="0" t="s">
        <v>191</v>
      </c>
      <c r="C58" s="0" t="s">
        <v>103</v>
      </c>
      <c r="D58" s="7" t="n">
        <v>0.175</v>
      </c>
      <c r="E58" s="7" t="n">
        <v>0.185</v>
      </c>
      <c r="F58" s="7" t="n">
        <v>0.195</v>
      </c>
      <c r="G58" s="8" t="s">
        <v>77</v>
      </c>
      <c r="H58" s="8" t="s">
        <v>192</v>
      </c>
      <c r="I58" s="4" t="s">
        <v>193</v>
      </c>
    </row>
    <row r="59" customFormat="false" ht="17.15" hidden="false" customHeight="false" outlineLevel="0" collapsed="false">
      <c r="A59" s="0" t="s">
        <v>194</v>
      </c>
      <c r="B59" s="0" t="s">
        <v>195</v>
      </c>
      <c r="C59" s="0" t="s">
        <v>103</v>
      </c>
      <c r="D59" s="7" t="n">
        <v>-0.05</v>
      </c>
      <c r="E59" s="7" t="n">
        <v>0.03</v>
      </c>
      <c r="F59" s="7" t="n">
        <v>0.08</v>
      </c>
      <c r="G59" s="8" t="s">
        <v>77</v>
      </c>
      <c r="H59" s="4" t="s">
        <v>196</v>
      </c>
      <c r="I59" s="4" t="s">
        <v>197</v>
      </c>
    </row>
    <row r="60" customFormat="false" ht="17.15" hidden="false" customHeight="false" outlineLevel="0" collapsed="false">
      <c r="A60" s="0" t="s">
        <v>198</v>
      </c>
      <c r="B60" s="0" t="s">
        <v>199</v>
      </c>
      <c r="C60" s="0" t="s">
        <v>103</v>
      </c>
      <c r="D60" s="7" t="n">
        <v>0.17</v>
      </c>
      <c r="E60" s="7" t="n">
        <v>0.185</v>
      </c>
      <c r="F60" s="7" t="n">
        <v>0.2</v>
      </c>
      <c r="G60" s="8" t="s">
        <v>77</v>
      </c>
      <c r="H60" s="4" t="s">
        <v>200</v>
      </c>
      <c r="I60" s="8" t="s">
        <v>112</v>
      </c>
    </row>
    <row r="61" customFormat="false" ht="17.15" hidden="false" customHeight="false" outlineLevel="0" collapsed="false">
      <c r="A61" s="0" t="s">
        <v>201</v>
      </c>
      <c r="B61" s="0" t="s">
        <v>202</v>
      </c>
      <c r="C61" s="0" t="s">
        <v>103</v>
      </c>
      <c r="D61" s="7" t="n">
        <v>0.037</v>
      </c>
      <c r="E61" s="7" t="n">
        <v>0.04</v>
      </c>
      <c r="F61" s="7" t="n">
        <v>0.045</v>
      </c>
      <c r="G61" s="8" t="s">
        <v>77</v>
      </c>
      <c r="H61" s="8" t="s">
        <v>203</v>
      </c>
      <c r="I61" s="4" t="s">
        <v>204</v>
      </c>
    </row>
    <row r="62" customFormat="false" ht="17.15" hidden="false" customHeight="false" outlineLevel="0" collapsed="false">
      <c r="A62" s="0" t="s">
        <v>205</v>
      </c>
      <c r="B62" s="0" t="s">
        <v>206</v>
      </c>
      <c r="C62" s="0" t="s">
        <v>76</v>
      </c>
      <c r="D62" s="7" t="n">
        <v>0.75</v>
      </c>
      <c r="E62" s="7" t="n">
        <v>0.8</v>
      </c>
      <c r="F62" s="7" t="n">
        <v>0.84</v>
      </c>
      <c r="G62" s="8" t="s">
        <v>33</v>
      </c>
      <c r="H62" s="8" t="s">
        <v>207</v>
      </c>
      <c r="I62" s="8" t="s">
        <v>208</v>
      </c>
    </row>
    <row r="63" customFormat="false" ht="17.15" hidden="false" customHeight="false" outlineLevel="0" collapsed="false">
      <c r="A63" s="0" t="s">
        <v>209</v>
      </c>
      <c r="B63" s="4" t="s">
        <v>210</v>
      </c>
      <c r="C63" s="4" t="s">
        <v>211</v>
      </c>
      <c r="E63" s="0" t="n">
        <f aca="false">19.394/34.7</f>
        <v>0.558904899135447</v>
      </c>
      <c r="G63" s="0" t="s">
        <v>33</v>
      </c>
      <c r="H63" s="0" t="s">
        <v>212</v>
      </c>
      <c r="I63" s="4" t="s">
        <v>213</v>
      </c>
    </row>
    <row r="64" customFormat="false" ht="17.15" hidden="false" customHeight="false" outlineLevel="0" collapsed="false">
      <c r="A64" s="6" t="s">
        <v>214</v>
      </c>
    </row>
    <row r="65" customFormat="false" ht="17.15" hidden="false" customHeight="false" outlineLevel="0" collapsed="false">
      <c r="A65" s="0" t="s">
        <v>215</v>
      </c>
      <c r="B65" s="4" t="s">
        <v>216</v>
      </c>
      <c r="C65" s="0" t="s">
        <v>76</v>
      </c>
      <c r="D65" s="7" t="n">
        <v>0.4</v>
      </c>
      <c r="E65" s="7" t="n">
        <v>0.6</v>
      </c>
      <c r="F65" s="7" t="n">
        <v>0.8</v>
      </c>
      <c r="G65" s="8" t="s">
        <v>33</v>
      </c>
      <c r="H65" s="8" t="s">
        <v>217</v>
      </c>
      <c r="I65" s="4" t="s">
        <v>218</v>
      </c>
    </row>
    <row r="66" customFormat="false" ht="17.15" hidden="false" customHeight="false" outlineLevel="0" collapsed="false">
      <c r="A66" s="0" t="s">
        <v>219</v>
      </c>
      <c r="B66" s="4" t="s">
        <v>220</v>
      </c>
      <c r="C66" s="0" t="s">
        <v>180</v>
      </c>
      <c r="D66" s="7" t="n">
        <v>-0.005</v>
      </c>
      <c r="E66" s="7" t="n">
        <v>0</v>
      </c>
      <c r="F66" s="7" t="n">
        <v>0.005</v>
      </c>
      <c r="G66" s="8" t="s">
        <v>77</v>
      </c>
      <c r="H66" s="4" t="s">
        <v>221</v>
      </c>
      <c r="I66" s="4" t="s">
        <v>222</v>
      </c>
    </row>
    <row r="67" customFormat="false" ht="17.15" hidden="false" customHeight="false" outlineLevel="0" collapsed="false">
      <c r="A67" s="0" t="s">
        <v>223</v>
      </c>
      <c r="B67" s="4" t="s">
        <v>224</v>
      </c>
      <c r="C67" s="0" t="s">
        <v>76</v>
      </c>
      <c r="D67" s="7" t="n">
        <v>0.75</v>
      </c>
      <c r="E67" s="7" t="n">
        <v>0.8</v>
      </c>
      <c r="F67" s="7" t="n">
        <v>0.84</v>
      </c>
      <c r="G67" s="8" t="s">
        <v>33</v>
      </c>
      <c r="H67" s="8" t="s">
        <v>225</v>
      </c>
      <c r="I67" s="4" t="s">
        <v>226</v>
      </c>
    </row>
    <row r="68" customFormat="false" ht="17.15" hidden="false" customHeight="false" outlineLevel="0" collapsed="false">
      <c r="A68" s="0" t="s">
        <v>227</v>
      </c>
      <c r="B68" s="4" t="s">
        <v>228</v>
      </c>
      <c r="C68" s="0" t="s">
        <v>103</v>
      </c>
      <c r="D68" s="7" t="n">
        <v>0</v>
      </c>
      <c r="E68" s="7" t="n">
        <v>0.0178</v>
      </c>
      <c r="F68" s="7" t="n">
        <v>0.02</v>
      </c>
      <c r="G68" s="8" t="s">
        <v>152</v>
      </c>
      <c r="H68" s="4" t="s">
        <v>229</v>
      </c>
      <c r="I68" s="4" t="s">
        <v>230</v>
      </c>
    </row>
    <row r="69" customFormat="false" ht="17.15" hidden="false" customHeight="false" outlineLevel="0" collapsed="false">
      <c r="A69" s="0" t="s">
        <v>231</v>
      </c>
      <c r="B69" s="4" t="s">
        <v>232</v>
      </c>
      <c r="C69" s="0" t="s">
        <v>103</v>
      </c>
      <c r="D69" s="7" t="n">
        <v>-0.005</v>
      </c>
      <c r="E69" s="7" t="n">
        <v>0</v>
      </c>
      <c r="F69" s="7" t="n">
        <v>0.01</v>
      </c>
      <c r="G69" s="8" t="s">
        <v>77</v>
      </c>
      <c r="H69" s="4" t="s">
        <v>233</v>
      </c>
      <c r="I69" s="8" t="s">
        <v>112</v>
      </c>
    </row>
    <row r="70" customFormat="false" ht="17.15" hidden="false" customHeight="false" outlineLevel="0" collapsed="false">
      <c r="A70" s="0" t="s">
        <v>234</v>
      </c>
      <c r="B70" s="0" t="s">
        <v>235</v>
      </c>
      <c r="C70" s="0" t="s">
        <v>76</v>
      </c>
      <c r="D70" s="7" t="n">
        <v>0.8</v>
      </c>
      <c r="E70" s="7" t="n">
        <v>1</v>
      </c>
      <c r="F70" s="7" t="n">
        <v>1.2</v>
      </c>
      <c r="G70" s="8" t="s">
        <v>77</v>
      </c>
      <c r="H70" s="4" t="s">
        <v>236</v>
      </c>
      <c r="I70" s="8" t="s">
        <v>148</v>
      </c>
    </row>
    <row r="71" customFormat="false" ht="17.15" hidden="false" customHeight="false" outlineLevel="0" collapsed="false">
      <c r="A71" s="6" t="s">
        <v>237</v>
      </c>
    </row>
    <row r="72" customFormat="false" ht="17.15" hidden="false" customHeight="false" outlineLevel="0" collapsed="false">
      <c r="A72" s="0" t="s">
        <v>238</v>
      </c>
      <c r="B72" s="4" t="s">
        <v>239</v>
      </c>
      <c r="C72" s="0" t="s">
        <v>186</v>
      </c>
      <c r="E72" s="7" t="n">
        <v>412.45</v>
      </c>
      <c r="G72" s="8" t="s">
        <v>152</v>
      </c>
      <c r="H72" s="8" t="s">
        <v>240</v>
      </c>
      <c r="I72" s="4" t="s">
        <v>241</v>
      </c>
    </row>
    <row r="73" customFormat="false" ht="17.15" hidden="false" customHeight="false" outlineLevel="0" collapsed="false">
      <c r="A73" s="0" t="s">
        <v>242</v>
      </c>
      <c r="B73" s="4" t="s">
        <v>243</v>
      </c>
      <c r="C73" s="0" t="s">
        <v>244</v>
      </c>
      <c r="E73" s="7" t="n">
        <v>85.85</v>
      </c>
      <c r="G73" s="8" t="s">
        <v>152</v>
      </c>
      <c r="H73" s="4" t="s">
        <v>245</v>
      </c>
      <c r="I73" s="4" t="s">
        <v>246</v>
      </c>
    </row>
    <row r="74" customFormat="false" ht="17.15" hidden="false" customHeight="false" outlineLevel="0" collapsed="false">
      <c r="A74" s="0" t="s">
        <v>247</v>
      </c>
      <c r="B74" s="4" t="s">
        <v>248</v>
      </c>
      <c r="C74" s="0" t="s">
        <v>186</v>
      </c>
      <c r="E74" s="7" t="n">
        <v>551.5</v>
      </c>
      <c r="G74" s="8" t="s">
        <v>152</v>
      </c>
      <c r="H74" s="4" t="s">
        <v>38</v>
      </c>
      <c r="I74" s="8" t="s">
        <v>112</v>
      </c>
    </row>
    <row r="75" customFormat="false" ht="17.15" hidden="false" customHeight="false" outlineLevel="0" collapsed="false">
      <c r="A75" s="0" t="s">
        <v>249</v>
      </c>
      <c r="B75" s="4" t="s">
        <v>250</v>
      </c>
      <c r="C75" s="0" t="s">
        <v>244</v>
      </c>
      <c r="E75" s="7" t="n">
        <v>120.82</v>
      </c>
      <c r="G75" s="8" t="s">
        <v>152</v>
      </c>
      <c r="H75" s="4" t="s">
        <v>251</v>
      </c>
      <c r="I75" s="4" t="s">
        <v>252</v>
      </c>
    </row>
    <row r="76" customFormat="false" ht="17.15" hidden="false" customHeight="false" outlineLevel="0" collapsed="false">
      <c r="A76" s="0" t="s">
        <v>253</v>
      </c>
      <c r="B76" s="4" t="s">
        <v>254</v>
      </c>
      <c r="C76" s="0" t="s">
        <v>244</v>
      </c>
      <c r="E76" s="7" t="n">
        <v>170.57</v>
      </c>
      <c r="G76" s="8" t="s">
        <v>152</v>
      </c>
      <c r="H76" s="4" t="s">
        <v>255</v>
      </c>
      <c r="I76" s="8" t="s">
        <v>112</v>
      </c>
    </row>
    <row r="77" customFormat="false" ht="17.15" hidden="false" customHeight="false" outlineLevel="0" collapsed="false">
      <c r="A77" s="0" t="s">
        <v>256</v>
      </c>
      <c r="B77" s="4" t="s">
        <v>257</v>
      </c>
      <c r="C77" s="0" t="s">
        <v>103</v>
      </c>
      <c r="E77" s="7" t="n">
        <v>0.48</v>
      </c>
      <c r="G77" s="8" t="s">
        <v>152</v>
      </c>
      <c r="H77" s="4" t="s">
        <v>258</v>
      </c>
      <c r="I77" s="8" t="s">
        <v>112</v>
      </c>
    </row>
    <row r="78" customFormat="false" ht="17.15" hidden="false" customHeight="false" outlineLevel="0" collapsed="false">
      <c r="A78" s="0" t="s">
        <v>259</v>
      </c>
      <c r="B78" s="0" t="s">
        <v>260</v>
      </c>
      <c r="C78" s="0" t="s">
        <v>103</v>
      </c>
      <c r="E78" s="7" t="n">
        <v>0.5</v>
      </c>
      <c r="G78" s="8" t="s">
        <v>152</v>
      </c>
      <c r="H78" s="8" t="s">
        <v>261</v>
      </c>
      <c r="I78" s="8" t="s">
        <v>112</v>
      </c>
    </row>
    <row r="79" customFormat="false" ht="17.15" hidden="false" customHeight="false" outlineLevel="0" collapsed="false">
      <c r="A79" s="6" t="s">
        <v>262</v>
      </c>
    </row>
    <row r="80" customFormat="false" ht="17.15" hidden="false" customHeight="false" outlineLevel="0" collapsed="false">
      <c r="A80" s="0" t="s">
        <v>263</v>
      </c>
      <c r="B80" s="4" t="s">
        <v>264</v>
      </c>
      <c r="C80" s="0" t="s">
        <v>244</v>
      </c>
      <c r="E80" s="7" t="n">
        <v>1775</v>
      </c>
      <c r="G80" s="8" t="s">
        <v>152</v>
      </c>
      <c r="H80" s="4" t="s">
        <v>265</v>
      </c>
      <c r="I80" s="4" t="s">
        <v>266</v>
      </c>
    </row>
    <row r="81" customFormat="false" ht="17.15" hidden="false" customHeight="false" outlineLevel="0" collapsed="false">
      <c r="A81" s="0" t="s">
        <v>267</v>
      </c>
      <c r="B81" s="4" t="s">
        <v>268</v>
      </c>
      <c r="C81" s="0" t="s">
        <v>76</v>
      </c>
      <c r="E81" s="7" t="n">
        <v>27.88</v>
      </c>
      <c r="G81" s="8" t="s">
        <v>152</v>
      </c>
      <c r="H81" s="4" t="s">
        <v>269</v>
      </c>
      <c r="I81" s="4" t="s">
        <v>270</v>
      </c>
    </row>
    <row r="82" customFormat="false" ht="17.15" hidden="false" customHeight="false" outlineLevel="0" collapsed="false">
      <c r="A82" s="9" t="s">
        <v>271</v>
      </c>
      <c r="B82" s="10" t="s">
        <v>272</v>
      </c>
      <c r="C82" s="9" t="s">
        <v>103</v>
      </c>
      <c r="D82" s="9"/>
      <c r="E82" s="11" t="n">
        <v>0.3</v>
      </c>
      <c r="F82" s="9"/>
      <c r="G82" s="9" t="s">
        <v>77</v>
      </c>
      <c r="H82" s="9" t="s">
        <v>273</v>
      </c>
      <c r="I82" s="10" t="s">
        <v>274</v>
      </c>
    </row>
    <row r="83" customFormat="false" ht="17.15" hidden="false" customHeight="false" outlineLevel="0" collapsed="false">
      <c r="A83" s="9" t="s">
        <v>275</v>
      </c>
      <c r="B83" s="10" t="s">
        <v>276</v>
      </c>
      <c r="C83" s="9" t="s">
        <v>103</v>
      </c>
      <c r="D83" s="9"/>
      <c r="E83" s="11" t="n">
        <v>0.5</v>
      </c>
      <c r="F83" s="9"/>
      <c r="G83" s="9" t="s">
        <v>77</v>
      </c>
      <c r="H83" s="9" t="s">
        <v>273</v>
      </c>
      <c r="I83" s="9" t="s">
        <v>112</v>
      </c>
    </row>
    <row r="84" customFormat="false" ht="17.15" hidden="false" customHeight="false" outlineLevel="0" collapsed="false">
      <c r="A84" s="9" t="s">
        <v>277</v>
      </c>
      <c r="B84" s="10" t="s">
        <v>278</v>
      </c>
      <c r="C84" s="9" t="s">
        <v>103</v>
      </c>
      <c r="D84" s="9"/>
      <c r="E84" s="11" t="n">
        <v>0.2</v>
      </c>
      <c r="F84" s="9"/>
      <c r="G84" s="9" t="s">
        <v>77</v>
      </c>
      <c r="H84" s="9" t="s">
        <v>273</v>
      </c>
      <c r="I84" s="9" t="s">
        <v>112</v>
      </c>
    </row>
    <row r="85" customFormat="false" ht="17.15" hidden="false" customHeight="false" outlineLevel="0" collapsed="false">
      <c r="A85" s="6" t="s">
        <v>279</v>
      </c>
    </row>
    <row r="86" customFormat="false" ht="17.15" hidden="false" customHeight="false" outlineLevel="0" collapsed="false">
      <c r="A86" s="9" t="s">
        <v>280</v>
      </c>
      <c r="B86" s="9" t="s">
        <v>281</v>
      </c>
      <c r="C86" s="9" t="s">
        <v>103</v>
      </c>
      <c r="D86" s="9"/>
      <c r="E86" s="11" t="n">
        <v>0.1</v>
      </c>
      <c r="F86" s="9"/>
      <c r="G86" s="9" t="s">
        <v>77</v>
      </c>
      <c r="H86" s="9" t="s">
        <v>282</v>
      </c>
      <c r="I86" s="9" t="s">
        <v>283</v>
      </c>
    </row>
    <row r="87" customFormat="false" ht="17.15" hidden="false" customHeight="false" outlineLevel="0" collapsed="false">
      <c r="A87" s="9" t="s">
        <v>284</v>
      </c>
      <c r="B87" s="10" t="s">
        <v>285</v>
      </c>
      <c r="C87" s="9" t="s">
        <v>103</v>
      </c>
      <c r="D87" s="9"/>
      <c r="E87" s="11" t="n">
        <v>0.04</v>
      </c>
      <c r="F87" s="9"/>
      <c r="G87" s="9" t="s">
        <v>77</v>
      </c>
      <c r="H87" s="9" t="s">
        <v>286</v>
      </c>
      <c r="I87" s="9" t="s">
        <v>287</v>
      </c>
    </row>
    <row r="88" customFormat="false" ht="17.15" hidden="false" customHeight="false" outlineLevel="0" collapsed="false">
      <c r="A88" s="9" t="s">
        <v>288</v>
      </c>
      <c r="B88" s="10" t="s">
        <v>289</v>
      </c>
      <c r="C88" s="9" t="s">
        <v>180</v>
      </c>
      <c r="D88" s="9"/>
      <c r="E88" s="11" t="n">
        <v>0.02</v>
      </c>
      <c r="F88" s="9"/>
      <c r="G88" s="9" t="s">
        <v>77</v>
      </c>
      <c r="H88" s="10" t="s">
        <v>290</v>
      </c>
      <c r="I88" s="9" t="s">
        <v>112</v>
      </c>
    </row>
    <row r="89" customFormat="false" ht="17.15" hidden="false" customHeight="false" outlineLevel="0" collapsed="false">
      <c r="A89" s="9" t="s">
        <v>291</v>
      </c>
      <c r="B89" s="10" t="s">
        <v>292</v>
      </c>
      <c r="C89" s="9" t="s">
        <v>103</v>
      </c>
      <c r="D89" s="9"/>
      <c r="E89" s="11" t="n">
        <v>0.4475</v>
      </c>
      <c r="F89" s="9"/>
      <c r="G89" s="9" t="s">
        <v>33</v>
      </c>
      <c r="H89" s="10" t="s">
        <v>293</v>
      </c>
      <c r="I89" s="9" t="s">
        <v>294</v>
      </c>
    </row>
    <row r="90" customFormat="false" ht="17.15" hidden="false" customHeight="false" outlineLevel="0" collapsed="false">
      <c r="A90" s="9" t="s">
        <v>295</v>
      </c>
      <c r="B90" s="10" t="s">
        <v>296</v>
      </c>
      <c r="C90" s="9" t="s">
        <v>103</v>
      </c>
      <c r="D90" s="9"/>
      <c r="E90" s="11" t="n">
        <v>0.5</v>
      </c>
      <c r="F90" s="9"/>
      <c r="G90" s="9" t="s">
        <v>77</v>
      </c>
      <c r="H90" s="9" t="s">
        <v>297</v>
      </c>
      <c r="I90" s="9" t="s">
        <v>298</v>
      </c>
    </row>
    <row r="91" customFormat="false" ht="17.15" hidden="false" customHeight="false" outlineLevel="0" collapsed="false">
      <c r="A91" s="9" t="s">
        <v>299</v>
      </c>
      <c r="B91" s="10" t="s">
        <v>300</v>
      </c>
      <c r="C91" s="9" t="s">
        <v>76</v>
      </c>
      <c r="D91" s="9"/>
      <c r="E91" s="11" t="n">
        <v>0.8</v>
      </c>
      <c r="F91" s="9"/>
      <c r="G91" s="9" t="s">
        <v>77</v>
      </c>
      <c r="H91" s="10" t="s">
        <v>301</v>
      </c>
      <c r="I91" s="10" t="s">
        <v>302</v>
      </c>
    </row>
    <row r="92" customFormat="false" ht="17.15" hidden="false" customHeight="false" outlineLevel="0" collapsed="false">
      <c r="A92" s="0" t="s">
        <v>303</v>
      </c>
      <c r="B92" s="4" t="s">
        <v>304</v>
      </c>
      <c r="C92" s="0" t="s">
        <v>244</v>
      </c>
      <c r="E92" s="7" t="n">
        <v>3500</v>
      </c>
      <c r="G92" s="8" t="s">
        <v>152</v>
      </c>
      <c r="H92" s="8" t="s">
        <v>305</v>
      </c>
      <c r="I92" s="8" t="s">
        <v>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307</v>
      </c>
    </row>
    <row r="2" customFormat="false" ht="17.15" hidden="false" customHeight="false" outlineLevel="0" collapsed="false">
      <c r="A2" s="0" t="s">
        <v>308</v>
      </c>
    </row>
    <row r="3" customFormat="false" ht="17.15" hidden="false" customHeight="false" outlineLevel="0" collapsed="false">
      <c r="A3" s="5" t="s">
        <v>21</v>
      </c>
      <c r="B3" s="12" t="s">
        <v>309</v>
      </c>
      <c r="C3" s="12" t="s">
        <v>310</v>
      </c>
      <c r="D3" s="12" t="s">
        <v>311</v>
      </c>
      <c r="E3" s="12" t="s">
        <v>312</v>
      </c>
      <c r="F3" s="12" t="s">
        <v>313</v>
      </c>
      <c r="G3" s="12" t="s">
        <v>314</v>
      </c>
      <c r="H3" s="5" t="s">
        <v>26</v>
      </c>
      <c r="I3" s="5" t="s">
        <v>315</v>
      </c>
      <c r="J3" s="5" t="s">
        <v>28</v>
      </c>
    </row>
    <row r="4" customFormat="false" ht="17.15" hidden="false" customHeight="false" outlineLevel="0" collapsed="false">
      <c r="A4" s="4" t="s">
        <v>316</v>
      </c>
      <c r="B4" s="13" t="n">
        <v>248.32</v>
      </c>
      <c r="C4" s="13" t="n">
        <v>70.121</v>
      </c>
      <c r="D4" s="13" t="n">
        <v>95.538</v>
      </c>
      <c r="E4" s="14" t="n">
        <f aca="false">q3_rev</f>
        <v>120.74</v>
      </c>
      <c r="F4" s="14" t="n">
        <f aca="false">E4*(1+q4_g)</f>
        <v>124.3622</v>
      </c>
      <c r="G4" s="14" t="n">
        <f aca="false">SUM(C4:F4)</f>
        <v>410.7612</v>
      </c>
      <c r="H4" s="8" t="s">
        <v>317</v>
      </c>
      <c r="I4" s="8" t="s">
        <v>318</v>
      </c>
      <c r="J4" s="4" t="s">
        <v>319</v>
      </c>
    </row>
    <row r="5" customFormat="false" ht="17.15" hidden="false" customHeight="false" outlineLevel="0" collapsed="false">
      <c r="A5" s="4" t="s">
        <v>320</v>
      </c>
      <c r="B5" s="14" t="n">
        <f aca="false">B4*0.1809</f>
        <v>44.921088</v>
      </c>
      <c r="C5" s="13" t="n">
        <v>13.709</v>
      </c>
      <c r="D5" s="13" t="n">
        <v>18.823</v>
      </c>
      <c r="E5" s="14" t="n">
        <f aca="false">E4*q3_gm</f>
        <v>22.3369</v>
      </c>
      <c r="F5" s="14" t="n">
        <f aca="false">F4*q4_gm</f>
        <v>23.007007</v>
      </c>
      <c r="G5" s="14" t="n">
        <f aca="false">SUM(C5:F5)</f>
        <v>77.875907</v>
      </c>
      <c r="H5" s="8" t="s">
        <v>321</v>
      </c>
      <c r="I5" s="8" t="s">
        <v>318</v>
      </c>
      <c r="J5" s="4" t="s">
        <v>319</v>
      </c>
    </row>
    <row r="6" customFormat="false" ht="17.15" hidden="false" customHeight="false" outlineLevel="0" collapsed="false">
      <c r="A6" s="4" t="s">
        <v>322</v>
      </c>
      <c r="B6" s="15" t="n">
        <f aca="false">B5/B4</f>
        <v>0.1809</v>
      </c>
      <c r="C6" s="15" t="n">
        <f aca="false">C5/C4</f>
        <v>0.19550491293621</v>
      </c>
      <c r="D6" s="15" t="n">
        <f aca="false">D5/D4</f>
        <v>0.197021080617137</v>
      </c>
      <c r="E6" s="15" t="n">
        <f aca="false">E5/E4</f>
        <v>0.185</v>
      </c>
      <c r="F6" s="15" t="n">
        <f aca="false">F5/F4</f>
        <v>0.185</v>
      </c>
      <c r="G6" s="15" t="n">
        <f aca="false">G5/G4</f>
        <v>0.189589247962076</v>
      </c>
      <c r="H6" s="8" t="s">
        <v>33</v>
      </c>
      <c r="I6" s="8" t="s">
        <v>112</v>
      </c>
      <c r="J6" s="8" t="s">
        <v>323</v>
      </c>
    </row>
    <row r="7" customFormat="false" ht="17.15" hidden="false" customHeight="false" outlineLevel="0" collapsed="false">
      <c r="A7" s="4" t="s">
        <v>324</v>
      </c>
      <c r="B7" s="14" t="n">
        <f aca="false">B5-B8</f>
        <v>12.78848</v>
      </c>
      <c r="C7" s="14" t="n">
        <f aca="false">C5-C8</f>
        <v>3.66</v>
      </c>
      <c r="D7" s="14" t="n">
        <f aca="false">D5-D8</f>
        <v>4.492</v>
      </c>
      <c r="E7" s="14" t="n">
        <f aca="false">E4*q_opx</f>
        <v>4.8296</v>
      </c>
      <c r="F7" s="14" t="n">
        <f aca="false">F4*q_opx</f>
        <v>4.974488</v>
      </c>
      <c r="G7" s="14" t="n">
        <f aca="false">SUM(C7:F7)</f>
        <v>17.956088</v>
      </c>
      <c r="H7" s="8" t="s">
        <v>325</v>
      </c>
      <c r="I7" s="8" t="s">
        <v>318</v>
      </c>
      <c r="J7" s="4" t="s">
        <v>319</v>
      </c>
    </row>
    <row r="8" customFormat="false" ht="17.15" hidden="false" customHeight="false" outlineLevel="0" collapsed="false">
      <c r="A8" s="4" t="s">
        <v>326</v>
      </c>
      <c r="B8" s="14" t="n">
        <f aca="false">B4*0.1294</f>
        <v>32.132608</v>
      </c>
      <c r="C8" s="13" t="n">
        <v>10.049</v>
      </c>
      <c r="D8" s="13" t="n">
        <v>14.331</v>
      </c>
      <c r="E8" s="14" t="n">
        <f aca="false">E5-E7</f>
        <v>17.5073</v>
      </c>
      <c r="F8" s="14" t="n">
        <f aca="false">F5-F7</f>
        <v>18.032519</v>
      </c>
      <c r="G8" s="14" t="n">
        <f aca="false">SUM(C8:F8)</f>
        <v>59.919819</v>
      </c>
      <c r="H8" s="8" t="s">
        <v>327</v>
      </c>
      <c r="I8" s="8" t="s">
        <v>318</v>
      </c>
      <c r="J8" s="4" t="s">
        <v>319</v>
      </c>
    </row>
    <row r="9" customFormat="false" ht="15" hidden="false" customHeight="false" outlineLevel="0" collapsed="false">
      <c r="A9" s="4" t="s">
        <v>328</v>
      </c>
      <c r="B9" s="15" t="n">
        <f aca="false">B8/B4</f>
        <v>0.1294</v>
      </c>
      <c r="C9" s="15" t="n">
        <f aca="false">C8/C4</f>
        <v>0.143309422284337</v>
      </c>
      <c r="D9" s="15" t="n">
        <f aca="false">D8/D4</f>
        <v>0.150003140111788</v>
      </c>
      <c r="E9" s="15" t="n">
        <f aca="false">E8/E4</f>
        <v>0.145</v>
      </c>
      <c r="F9" s="15" t="n">
        <f aca="false">F8/F4</f>
        <v>0.145</v>
      </c>
      <c r="G9" s="15" t="n">
        <f aca="false">G8/G4</f>
        <v>0.145875070478906</v>
      </c>
      <c r="H9" s="8" t="s">
        <v>33</v>
      </c>
      <c r="I9" s="8" t="s">
        <v>112</v>
      </c>
      <c r="J9" s="8" t="s">
        <v>112</v>
      </c>
    </row>
    <row r="10" customFormat="false" ht="17.15" hidden="false" customHeight="false" outlineLevel="0" collapsed="false">
      <c r="A10" s="4" t="s">
        <v>329</v>
      </c>
      <c r="B10" s="13" t="n">
        <v>26.342</v>
      </c>
      <c r="C10" s="13" t="n">
        <v>8.341</v>
      </c>
      <c r="D10" s="13" t="n">
        <v>11.053</v>
      </c>
      <c r="E10" s="14" t="n">
        <f aca="false">E8*q_nio</f>
        <v>14.00584</v>
      </c>
      <c r="F10" s="14" t="n">
        <f aca="false">F8*q_nio</f>
        <v>14.4260152</v>
      </c>
      <c r="G10" s="14" t="n">
        <f aca="false">SUM(C10:F10)</f>
        <v>47.8258552</v>
      </c>
      <c r="H10" s="8" t="s">
        <v>330</v>
      </c>
      <c r="I10" s="8" t="s">
        <v>318</v>
      </c>
      <c r="J10" s="4" t="s">
        <v>319</v>
      </c>
    </row>
    <row r="11" customFormat="false" ht="17.15" hidden="false" customHeight="false" outlineLevel="0" collapsed="false">
      <c r="A11" s="4" t="s">
        <v>224</v>
      </c>
      <c r="B11" s="16" t="n">
        <f aca="false">B10/B8</f>
        <v>0.819790289042209</v>
      </c>
      <c r="C11" s="16" t="n">
        <f aca="false">C10/C8</f>
        <v>0.830032839088467</v>
      </c>
      <c r="D11" s="16" t="n">
        <f aca="false">D10/D8</f>
        <v>0.77126508966576</v>
      </c>
      <c r="E11" s="16" t="n">
        <f aca="false">E10/E8</f>
        <v>0.8</v>
      </c>
      <c r="F11" s="16" t="n">
        <f aca="false">F10/F8</f>
        <v>0.8</v>
      </c>
      <c r="G11" s="16" t="n">
        <f aca="false">G10/G8</f>
        <v>0.798164213413262</v>
      </c>
      <c r="H11" s="8" t="s">
        <v>33</v>
      </c>
      <c r="I11" s="8" t="s">
        <v>112</v>
      </c>
      <c r="J11" s="8" t="s">
        <v>331</v>
      </c>
    </row>
    <row r="12" customFormat="false" ht="17.15" hidden="false" customHeight="false" outlineLevel="0" collapsed="false">
      <c r="A12" s="4" t="s">
        <v>332</v>
      </c>
      <c r="B12" s="17" t="n">
        <f aca="false">26.342/47.13</f>
        <v>0.558922130277955</v>
      </c>
      <c r="C12" s="17" t="n">
        <f aca="false">8.341/14.92</f>
        <v>0.559048257372654</v>
      </c>
      <c r="D12" s="17" t="n">
        <f aca="false">11.053/19.78</f>
        <v>0.558796764408494</v>
      </c>
      <c r="E12" s="17" t="n">
        <f aca="false">q_sh</f>
        <v>0.558904899135447</v>
      </c>
      <c r="F12" s="17" t="n">
        <f aca="false">q_sh</f>
        <v>0.558904899135447</v>
      </c>
      <c r="G12" s="17" t="n">
        <f aca="false">q_sh</f>
        <v>0.558904899135447</v>
      </c>
      <c r="H12" s="8" t="s">
        <v>33</v>
      </c>
      <c r="I12" s="8" t="s">
        <v>318</v>
      </c>
      <c r="J12" s="4" t="s">
        <v>333</v>
      </c>
    </row>
    <row r="13" customFormat="false" ht="17.15" hidden="false" customHeight="false" outlineLevel="0" collapsed="false">
      <c r="A13" s="0" t="s">
        <v>334</v>
      </c>
      <c r="B13" s="14" t="n">
        <f aca="false">B10/B12</f>
        <v>47.13</v>
      </c>
      <c r="C13" s="14" t="n">
        <f aca="false">C10/C12</f>
        <v>14.92</v>
      </c>
      <c r="D13" s="14" t="n">
        <f aca="false">D10/D12</f>
        <v>19.78</v>
      </c>
      <c r="E13" s="14" t="n">
        <f aca="false">E10/E12</f>
        <v>25.0594332267712</v>
      </c>
      <c r="F13" s="14" t="n">
        <f aca="false">F10/F12</f>
        <v>25.8112162235743</v>
      </c>
      <c r="G13" s="14" t="n">
        <f aca="false">G10/G12</f>
        <v>85.5706494503455</v>
      </c>
      <c r="H13" s="8" t="s">
        <v>33</v>
      </c>
      <c r="I13" s="4" t="s">
        <v>335</v>
      </c>
      <c r="J13" s="8" t="s">
        <v>112</v>
      </c>
    </row>
    <row r="14" customFormat="false" ht="17.15" hidden="false" customHeight="false" outlineLevel="0" collapsed="false">
      <c r="A14" s="4" t="s">
        <v>336</v>
      </c>
      <c r="B14" s="13" t="n">
        <v>47.13</v>
      </c>
      <c r="C14" s="13" t="n">
        <v>14.92</v>
      </c>
      <c r="D14" s="13" t="n">
        <v>19.78</v>
      </c>
      <c r="H14" s="8" t="s">
        <v>187</v>
      </c>
      <c r="I14" s="8" t="s">
        <v>318</v>
      </c>
      <c r="J14" s="4" t="s">
        <v>337</v>
      </c>
    </row>
    <row r="16" customFormat="false" ht="17.15" hidden="false" customHeight="false" outlineLevel="0" collapsed="false">
      <c r="A16" s="6" t="s">
        <v>338</v>
      </c>
    </row>
    <row r="17" customFormat="false" ht="17.15" hidden="false" customHeight="false" outlineLevel="0" collapsed="false">
      <c r="A17" s="0" t="s">
        <v>339</v>
      </c>
      <c r="B17" s="18" t="n">
        <f aca="false">G4/cons_rev26-1</f>
        <v>-0.0040945569159897</v>
      </c>
    </row>
    <row r="18" customFormat="false" ht="17.15" hidden="false" customHeight="false" outlineLevel="0" collapsed="false">
      <c r="A18" s="0" t="s">
        <v>340</v>
      </c>
      <c r="B18" s="18" t="n">
        <f aca="false">G13/cons_eps26-1</f>
        <v>-0.0032539376779791</v>
      </c>
    </row>
    <row r="19" customFormat="false" ht="17.15" hidden="false" customHeight="false" outlineLevel="0" collapsed="false">
      <c r="A19" s="0" t="s">
        <v>341</v>
      </c>
      <c r="B19" s="18" t="n">
        <f aca="false">G4/B4-1</f>
        <v>0.654160760309279</v>
      </c>
    </row>
    <row r="20" customFormat="false" ht="17.15" hidden="false" customHeight="false" outlineLevel="0" collapsed="false">
      <c r="A20" s="0" t="s">
        <v>342</v>
      </c>
      <c r="B20" s="18" t="n">
        <f aca="false">G7/B7-1</f>
        <v>0.404083049744771</v>
      </c>
    </row>
    <row r="21" customFormat="false" ht="17.15" hidden="false" customHeight="false" outlineLevel="0" collapsed="false">
      <c r="A21" s="4" t="s">
        <v>343</v>
      </c>
      <c r="B21" s="19" t="n">
        <f aca="false">B20/B19</f>
        <v>0.617712150074128</v>
      </c>
    </row>
    <row r="22" customFormat="false" ht="17.15" hidden="false" customHeight="false" outlineLevel="0" collapsed="false">
      <c r="A22" s="0" t="s">
        <v>344</v>
      </c>
      <c r="B22" s="18" t="n">
        <f aca="false">E13/23.91-1</f>
        <v>0.0480733260882966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345</v>
      </c>
    </row>
    <row r="3" customFormat="false" ht="15" hidden="false" customHeight="false" outlineLevel="0" collapsed="false">
      <c r="A3" s="5" t="s">
        <v>21</v>
      </c>
      <c r="B3" s="5" t="s">
        <v>22</v>
      </c>
      <c r="C3" s="12" t="s">
        <v>346</v>
      </c>
      <c r="D3" s="12" t="s">
        <v>347</v>
      </c>
      <c r="E3" s="12" t="s">
        <v>348</v>
      </c>
      <c r="F3" s="12" t="s">
        <v>349</v>
      </c>
      <c r="G3" s="5" t="s">
        <v>350</v>
      </c>
    </row>
    <row r="4" customFormat="false" ht="17.15" hidden="false" customHeight="false" outlineLevel="0" collapsed="false">
      <c r="A4" s="0" t="s">
        <v>351</v>
      </c>
      <c r="B4" s="0" t="s">
        <v>32</v>
      </c>
      <c r="C4" s="20" t="n">
        <f aca="false">PL!D70</f>
        <v>27.068925</v>
      </c>
      <c r="D4" s="20" t="n">
        <f aca="false">PL!E70</f>
        <v>60.2094</v>
      </c>
      <c r="E4" s="20" t="n">
        <f aca="false">PL!F70</f>
        <v>71.16935</v>
      </c>
      <c r="F4" s="20" t="n">
        <f aca="false">PL!G70</f>
        <v>82.6893075</v>
      </c>
      <c r="G4" s="8" t="s">
        <v>352</v>
      </c>
    </row>
    <row r="5" customFormat="false" ht="17.15" hidden="false" customHeight="false" outlineLevel="0" collapsed="false">
      <c r="A5" s="4" t="s">
        <v>353</v>
      </c>
      <c r="B5" s="0" t="s">
        <v>32</v>
      </c>
      <c r="C5" s="20" t="n">
        <f aca="false">PL!D69</f>
        <v>3.015</v>
      </c>
      <c r="D5" s="20" t="n">
        <f aca="false">PL!E69</f>
        <v>11.3414</v>
      </c>
      <c r="E5" s="20" t="n">
        <f aca="false">PL!F69</f>
        <v>13.8952</v>
      </c>
      <c r="F5" s="20" t="n">
        <f aca="false">PL!G69</f>
        <v>15.97948</v>
      </c>
      <c r="G5" s="8" t="s">
        <v>354</v>
      </c>
    </row>
    <row r="6" customFormat="false" ht="17.15" hidden="false" customHeight="false" outlineLevel="0" collapsed="false">
      <c r="A6" s="4" t="s">
        <v>355</v>
      </c>
      <c r="B6" s="0" t="s">
        <v>103</v>
      </c>
      <c r="C6" s="18" t="n">
        <f aca="false">PL!D71</f>
        <v>0.45</v>
      </c>
      <c r="D6" s="18" t="n">
        <f aca="false">PL!E71</f>
        <v>0.47</v>
      </c>
      <c r="E6" s="18" t="n">
        <f aca="false">PL!F71</f>
        <v>0.48</v>
      </c>
      <c r="F6" s="18" t="n">
        <f aca="false">PL!G71</f>
        <v>0.5</v>
      </c>
      <c r="G6" s="8" t="s">
        <v>356</v>
      </c>
    </row>
    <row r="7" customFormat="false" ht="17.15" hidden="false" customHeight="false" outlineLevel="0" collapsed="false">
      <c r="A7" s="4" t="s">
        <v>357</v>
      </c>
      <c r="B7" s="0" t="s">
        <v>32</v>
      </c>
      <c r="C7" s="20" t="n">
        <f aca="false">PL!D72</f>
        <v>12.18101625</v>
      </c>
      <c r="D7" s="20" t="n">
        <f aca="false">PL!E72</f>
        <v>28.298418</v>
      </c>
      <c r="E7" s="20" t="n">
        <f aca="false">PL!F72</f>
        <v>34.161288</v>
      </c>
      <c r="F7" s="20" t="n">
        <f aca="false">PL!G72</f>
        <v>41.34465375</v>
      </c>
    </row>
    <row r="8" customFormat="false" ht="17.15" hidden="false" customHeight="false" outlineLevel="0" collapsed="false">
      <c r="A8" s="4" t="s">
        <v>358</v>
      </c>
      <c r="B8" s="0" t="s">
        <v>103</v>
      </c>
      <c r="C8" s="18" t="n">
        <f aca="false">PL!D75</f>
        <v>0.410570649226414</v>
      </c>
      <c r="D8" s="18" t="n">
        <f aca="false">PL!E75</f>
        <v>0.410570649226414</v>
      </c>
      <c r="E8" s="18" t="n">
        <f aca="false">PL!F75</f>
        <v>0.390042116765093</v>
      </c>
      <c r="F8" s="18" t="n">
        <f aca="false">PL!G75</f>
        <v>0.377724997288301</v>
      </c>
      <c r="G8" s="8" t="s">
        <v>359</v>
      </c>
    </row>
    <row r="9" customFormat="false" ht="17.15" hidden="false" customHeight="false" outlineLevel="0" collapsed="false">
      <c r="A9" s="4" t="s">
        <v>360</v>
      </c>
      <c r="B9" s="0" t="s">
        <v>32</v>
      </c>
      <c r="C9" s="14" t="n">
        <f aca="false">PL!D76/fx</f>
        <v>5.00116775</v>
      </c>
      <c r="D9" s="14" t="n">
        <f aca="false">PL!E76/fx</f>
        <v>11.6184998503404</v>
      </c>
      <c r="E9" s="14" t="n">
        <f aca="false">PL!F76/fx</f>
        <v>13.324341082942</v>
      </c>
      <c r="F9" s="14" t="n">
        <f aca="false">PL!G76/fx</f>
        <v>15.6169092256045</v>
      </c>
    </row>
    <row r="10" customFormat="false" ht="17.15" hidden="false" customHeight="false" outlineLevel="0" collapsed="false">
      <c r="A10" s="4" t="s">
        <v>361</v>
      </c>
      <c r="B10" s="0" t="s">
        <v>32</v>
      </c>
      <c r="C10" s="20" t="n">
        <f aca="false">PL!D72-PL!D76/fx</f>
        <v>7.1798485</v>
      </c>
      <c r="D10" s="20" t="n">
        <f aca="false">PL!E72-PL!E76/fx</f>
        <v>16.6799181496596</v>
      </c>
      <c r="E10" s="20" t="n">
        <f aca="false">PL!F72-PL!F76/fx</f>
        <v>20.836946917058</v>
      </c>
      <c r="F10" s="20" t="n">
        <f aca="false">PL!G72-PL!G76/fx</f>
        <v>25.7277445243955</v>
      </c>
      <c r="G10" s="4" t="s">
        <v>362</v>
      </c>
    </row>
    <row r="11" customFormat="false" ht="17.15" hidden="false" customHeight="false" outlineLevel="0" collapsed="false">
      <c r="A11" s="4" t="s">
        <v>363</v>
      </c>
      <c r="B11" s="0" t="s">
        <v>103</v>
      </c>
      <c r="C11" s="18" t="n">
        <f aca="false">PL!D76/fx/PL!D70</f>
        <v>0.184756792151886</v>
      </c>
      <c r="D11" s="18" t="n">
        <f aca="false">PL!E76/fx/PL!E70</f>
        <v>0.192968205136415</v>
      </c>
      <c r="E11" s="18" t="n">
        <f aca="false">PL!F76/fx/PL!F70</f>
        <v>0.187220216047245</v>
      </c>
      <c r="F11" s="18" t="n">
        <f aca="false">PL!G76/fx/PL!G70</f>
        <v>0.188862498644151</v>
      </c>
    </row>
    <row r="12" customFormat="false" ht="17.15" hidden="false" customHeight="false" outlineLevel="0" collapsed="false">
      <c r="A12" s="0" t="s">
        <v>364</v>
      </c>
      <c r="B12" s="4" t="s">
        <v>55</v>
      </c>
      <c r="C12" s="19" t="n">
        <f aca="false">PL!D78</f>
        <v>2</v>
      </c>
      <c r="D12" s="19" t="n">
        <f aca="false">PL!E78</f>
        <v>2.5</v>
      </c>
      <c r="E12" s="19" t="n">
        <f aca="false">PL!F78</f>
        <v>3</v>
      </c>
      <c r="F12" s="19" t="n">
        <f aca="false">PL!G78</f>
        <v>3.45</v>
      </c>
      <c r="G12" s="8" t="s">
        <v>365</v>
      </c>
    </row>
    <row r="13" customFormat="false" ht="17.15" hidden="false" customHeight="false" outlineLevel="0" collapsed="false">
      <c r="A13" s="4" t="s">
        <v>366</v>
      </c>
      <c r="B13" s="0" t="s">
        <v>103</v>
      </c>
      <c r="C13" s="15" t="n">
        <f aca="false">(PL!D76+PL!D81)/fx/itc_26</f>
        <v>0.0146050736079766</v>
      </c>
      <c r="D13" s="15" t="n">
        <f aca="false">(PL!E76+PL!E81)/fx/itc_27</f>
        <v>0.0120349516524039</v>
      </c>
      <c r="E13" s="15" t="n">
        <f aca="false">(PL!F76+PL!F81)/fx/itc_28</f>
        <v>0.0108390191872288</v>
      </c>
      <c r="F13" s="15" t="n">
        <f aca="false">(PL!G76+PL!G81)/fx/itc_29</f>
        <v>0.0108273105937551</v>
      </c>
      <c r="G13" s="8" t="s">
        <v>367</v>
      </c>
    </row>
    <row r="15" customFormat="false" ht="17.15" hidden="false" customHeight="false" outlineLevel="0" collapsed="false">
      <c r="A15" s="1" t="s">
        <v>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369</v>
      </c>
    </row>
    <row r="3" customFormat="false" ht="17.15" hidden="false" customHeight="false" outlineLevel="0" collapsed="false">
      <c r="A3" s="5" t="s">
        <v>370</v>
      </c>
      <c r="B3" s="5" t="s">
        <v>22</v>
      </c>
      <c r="C3" s="12" t="s">
        <v>309</v>
      </c>
      <c r="D3" s="12" t="s">
        <v>371</v>
      </c>
      <c r="E3" s="12" t="s">
        <v>372</v>
      </c>
      <c r="F3" s="12" t="s">
        <v>373</v>
      </c>
      <c r="G3" s="12" t="s">
        <v>374</v>
      </c>
      <c r="H3" s="5" t="s">
        <v>350</v>
      </c>
    </row>
    <row r="4" customFormat="false" ht="17.15" hidden="false" customHeight="false" outlineLevel="0" collapsed="false">
      <c r="A4" s="1" t="s">
        <v>375</v>
      </c>
    </row>
    <row r="5" customFormat="false" ht="15" hidden="false" customHeight="false" outlineLevel="0" collapsed="false">
      <c r="A5" s="4" t="s">
        <v>316</v>
      </c>
      <c r="B5" s="0" t="s">
        <v>186</v>
      </c>
      <c r="C5" s="20" t="n">
        <f aca="false">C84</f>
        <v>248.32</v>
      </c>
      <c r="D5" s="20" t="n">
        <f aca="false">D84</f>
        <v>410.7612</v>
      </c>
      <c r="E5" s="20" t="n">
        <f aca="false">E84</f>
        <v>650.908996130894</v>
      </c>
      <c r="F5" s="20" t="n">
        <f aca="false">F84</f>
        <v>738.706196870144</v>
      </c>
      <c r="G5" s="20" t="n">
        <f aca="false">G84</f>
        <v>836.156691296144</v>
      </c>
    </row>
    <row r="6" customFormat="false" ht="15" hidden="false" customHeight="false" outlineLevel="0" collapsed="false">
      <c r="A6" s="4" t="s">
        <v>376</v>
      </c>
      <c r="B6" s="0" t="s">
        <v>103</v>
      </c>
      <c r="D6" s="18" t="n">
        <f aca="false">D85</f>
        <v>0.654160760309279</v>
      </c>
      <c r="E6" s="18" t="n">
        <f aca="false">E85</f>
        <v>0.584640896294232</v>
      </c>
      <c r="F6" s="18" t="n">
        <f aca="false">F85</f>
        <v>0.134883987256483</v>
      </c>
      <c r="G6" s="18" t="n">
        <f aca="false">G85</f>
        <v>0.131920504848738</v>
      </c>
    </row>
    <row r="7" customFormat="false" ht="17.15" hidden="false" customHeight="false" outlineLevel="0" collapsed="false">
      <c r="A7" s="0" t="s">
        <v>377</v>
      </c>
      <c r="B7" s="0" t="s">
        <v>186</v>
      </c>
      <c r="C7" s="20" t="n">
        <f aca="false">C76</f>
        <v>50.65728</v>
      </c>
      <c r="D7" s="20" t="n">
        <f aca="false">D76</f>
        <v>160.037368</v>
      </c>
      <c r="E7" s="20" t="n">
        <f aca="false">E76</f>
        <v>371.791995210894</v>
      </c>
      <c r="F7" s="20" t="n">
        <f aca="false">F76</f>
        <v>426.378914654143</v>
      </c>
      <c r="G7" s="20" t="n">
        <f aca="false">G76</f>
        <v>499.741095219344</v>
      </c>
    </row>
    <row r="8" customFormat="false" ht="15" hidden="false" customHeight="false" outlineLevel="0" collapsed="false">
      <c r="A8" s="4" t="s">
        <v>378</v>
      </c>
      <c r="B8" s="0" t="s">
        <v>186</v>
      </c>
      <c r="C8" s="20" t="n">
        <f aca="false">C81</f>
        <v>156.4416</v>
      </c>
      <c r="D8" s="20" t="n">
        <f aca="false">D81</f>
        <v>205.3806</v>
      </c>
      <c r="E8" s="20" t="n">
        <f aca="false">E81</f>
        <v>231.053175</v>
      </c>
      <c r="F8" s="20" t="n">
        <f aca="false">F81</f>
        <v>261.860265</v>
      </c>
      <c r="G8" s="20" t="n">
        <f aca="false">G81</f>
        <v>283.425228</v>
      </c>
    </row>
    <row r="9" customFormat="false" ht="17.15" hidden="false" customHeight="false" outlineLevel="0" collapsed="false">
      <c r="A9" s="4" t="s">
        <v>379</v>
      </c>
      <c r="B9" s="0" t="s">
        <v>186</v>
      </c>
      <c r="C9" s="20" t="n">
        <f aca="false">C83</f>
        <v>41.22112</v>
      </c>
      <c r="D9" s="20" t="n">
        <f aca="false">D83</f>
        <v>45.343232</v>
      </c>
      <c r="E9" s="20" t="n">
        <f aca="false">E83</f>
        <v>48.06382592</v>
      </c>
      <c r="F9" s="20" t="n">
        <f aca="false">F83</f>
        <v>50.467017216</v>
      </c>
      <c r="G9" s="20" t="n">
        <f aca="false">G83</f>
        <v>52.9903680768</v>
      </c>
    </row>
    <row r="10" customFormat="false" ht="17.15" hidden="false" customHeight="false" outlineLevel="0" collapsed="false">
      <c r="A10" s="0" t="s">
        <v>380</v>
      </c>
      <c r="B10" s="0" t="s">
        <v>103</v>
      </c>
      <c r="C10" s="18" t="n">
        <f aca="false">C86</f>
        <v>0.834</v>
      </c>
      <c r="D10" s="18" t="n">
        <f aca="false">D86</f>
        <v>0.889611696528299</v>
      </c>
      <c r="E10" s="18" t="n">
        <f aca="false">E86</f>
        <v>0.926158915907294</v>
      </c>
      <c r="F10" s="18" t="n">
        <f aca="false">F86</f>
        <v>0.931681881876955</v>
      </c>
      <c r="G10" s="18" t="n">
        <f aca="false">G86</f>
        <v>0.936626270376837</v>
      </c>
    </row>
    <row r="11" customFormat="false" ht="15" hidden="false" customHeight="false" outlineLevel="0" collapsed="false">
      <c r="A11" s="4" t="s">
        <v>322</v>
      </c>
      <c r="B11" s="0" t="s">
        <v>103</v>
      </c>
      <c r="C11" s="15" t="n">
        <f aca="false">C91</f>
        <v>0.1809</v>
      </c>
      <c r="D11" s="15" t="n">
        <f aca="false">D91</f>
        <v>0.189589247962076</v>
      </c>
      <c r="E11" s="15" t="n">
        <f aca="false">E91</f>
        <v>0.198291047165337</v>
      </c>
      <c r="F11" s="15" t="n">
        <f aca="false">F91</f>
        <v>0.198320148059342</v>
      </c>
      <c r="G11" s="15" t="n">
        <f aca="false">G91</f>
        <v>0.199251536314228</v>
      </c>
    </row>
    <row r="12" customFormat="false" ht="15" hidden="false" customHeight="false" outlineLevel="0" collapsed="false">
      <c r="A12" s="4" t="s">
        <v>328</v>
      </c>
      <c r="B12" s="0" t="s">
        <v>103</v>
      </c>
      <c r="C12" s="15" t="n">
        <f aca="false">C95</f>
        <v>0.1294</v>
      </c>
      <c r="D12" s="15" t="n">
        <f aca="false">D95</f>
        <v>0.145875070478906</v>
      </c>
      <c r="E12" s="15" t="n">
        <f aca="false">E95</f>
        <v>0.161028071582683</v>
      </c>
      <c r="F12" s="15" t="n">
        <f aca="false">F95</f>
        <v>0.162828694070109</v>
      </c>
      <c r="G12" s="15" t="n">
        <f aca="false">G95</f>
        <v>0.165414633332073</v>
      </c>
    </row>
    <row r="13" customFormat="false" ht="15" hidden="false" customHeight="false" outlineLevel="0" collapsed="false">
      <c r="A13" s="4" t="s">
        <v>329</v>
      </c>
      <c r="B13" s="0" t="s">
        <v>186</v>
      </c>
      <c r="C13" s="20" t="n">
        <f aca="false">C97</f>
        <v>26.342</v>
      </c>
      <c r="D13" s="20" t="n">
        <f aca="false">D97</f>
        <v>47.8258552</v>
      </c>
      <c r="E13" s="20" t="n">
        <f aca="false">E97</f>
        <v>83.8516963382226</v>
      </c>
      <c r="F13" s="20" t="n">
        <f aca="false">F97</f>
        <v>96.2260522702898</v>
      </c>
      <c r="G13" s="20" t="n">
        <f aca="false">G97</f>
        <v>110.650041999129</v>
      </c>
    </row>
    <row r="14" customFormat="false" ht="15" hidden="false" customHeight="false" outlineLevel="0" collapsed="false">
      <c r="A14" s="0" t="s">
        <v>334</v>
      </c>
      <c r="B14" s="0" t="s">
        <v>244</v>
      </c>
      <c r="C14" s="14" t="n">
        <f aca="false">C99</f>
        <v>47.13</v>
      </c>
      <c r="D14" s="14" t="n">
        <f aca="false">D99</f>
        <v>85.5706494503455</v>
      </c>
      <c r="E14" s="14" t="n">
        <f aca="false">E99</f>
        <v>147.404753849881</v>
      </c>
      <c r="F14" s="14" t="n">
        <f aca="false">F99</f>
        <v>169.157908167234</v>
      </c>
      <c r="G14" s="14" t="n">
        <f aca="false">G99</f>
        <v>194.514159124122</v>
      </c>
    </row>
    <row r="15" customFormat="false" ht="17.15" hidden="false" customHeight="false" outlineLevel="0" collapsed="false">
      <c r="A15" s="0" t="s">
        <v>381</v>
      </c>
      <c r="B15" s="0" t="s">
        <v>103</v>
      </c>
      <c r="D15" s="18" t="n">
        <f aca="false">D100</f>
        <v>0.815630160202535</v>
      </c>
      <c r="E15" s="18" t="n">
        <f aca="false">E100</f>
        <v>0.72260880099334</v>
      </c>
      <c r="F15" s="18" t="n">
        <f aca="false">F100</f>
        <v>0.147574306453554</v>
      </c>
      <c r="G15" s="18" t="n">
        <f aca="false">G100</f>
        <v>0.149896929038754</v>
      </c>
    </row>
    <row r="17" customFormat="false" ht="17.15" hidden="false" customHeight="false" outlineLevel="0" collapsed="false">
      <c r="A17" s="1" t="s">
        <v>382</v>
      </c>
    </row>
    <row r="18" customFormat="false" ht="15" hidden="false" customHeight="false" outlineLevel="0" collapsed="false">
      <c r="A18" s="4" t="s">
        <v>316</v>
      </c>
      <c r="B18" s="0" t="s">
        <v>186</v>
      </c>
      <c r="C18" s="20" t="n">
        <f aca="false">C127</f>
        <v>248.32</v>
      </c>
      <c r="D18" s="20" t="n">
        <f aca="false">D127</f>
        <v>410.7612</v>
      </c>
      <c r="E18" s="20" t="n">
        <f aca="false">E127</f>
        <v>650.908996130894</v>
      </c>
      <c r="F18" s="20" t="n">
        <f aca="false">F127</f>
        <v>601.058360939315</v>
      </c>
      <c r="G18" s="20" t="n">
        <f aca="false">G127</f>
        <v>718.681742813242</v>
      </c>
    </row>
    <row r="19" customFormat="false" ht="15" hidden="false" customHeight="false" outlineLevel="0" collapsed="false">
      <c r="A19" s="4" t="s">
        <v>376</v>
      </c>
      <c r="B19" s="0" t="s">
        <v>103</v>
      </c>
      <c r="D19" s="18" t="n">
        <f aca="false">D128</f>
        <v>0.654160760309279</v>
      </c>
      <c r="E19" s="18" t="n">
        <f aca="false">E128</f>
        <v>0.584640896294232</v>
      </c>
      <c r="F19" s="18" t="n">
        <f aca="false">F128</f>
        <v>-0.0765861825353457</v>
      </c>
      <c r="G19" s="18" t="n">
        <f aca="false">G128</f>
        <v>0.195693778704133</v>
      </c>
    </row>
    <row r="20" customFormat="false" ht="17.15" hidden="false" customHeight="false" outlineLevel="0" collapsed="false">
      <c r="A20" s="0" t="s">
        <v>377</v>
      </c>
      <c r="B20" s="0" t="s">
        <v>186</v>
      </c>
      <c r="C20" s="20" t="n">
        <f aca="false">C119</f>
        <v>50.65728</v>
      </c>
      <c r="D20" s="20" t="n">
        <f aca="false">D119</f>
        <v>160.037368</v>
      </c>
      <c r="E20" s="20" t="n">
        <f aca="false">E119</f>
        <v>371.791995210894</v>
      </c>
      <c r="F20" s="20" t="n">
        <f aca="false">F119</f>
        <v>341.103131723315</v>
      </c>
      <c r="G20" s="20" t="n">
        <f aca="false">G119</f>
        <v>424.779930936442</v>
      </c>
    </row>
    <row r="21" customFormat="false" ht="15" hidden="false" customHeight="false" outlineLevel="0" collapsed="false">
      <c r="A21" s="4" t="s">
        <v>378</v>
      </c>
      <c r="B21" s="0" t="s">
        <v>186</v>
      </c>
      <c r="C21" s="20" t="n">
        <f aca="false">C124</f>
        <v>156.4416</v>
      </c>
      <c r="D21" s="20" t="n">
        <f aca="false">D124</f>
        <v>205.3806</v>
      </c>
      <c r="E21" s="20" t="n">
        <f aca="false">E124</f>
        <v>231.053175</v>
      </c>
      <c r="F21" s="20" t="n">
        <f aca="false">F124</f>
        <v>209.488212</v>
      </c>
      <c r="G21" s="20" t="n">
        <f aca="false">G124</f>
        <v>240.9114438</v>
      </c>
    </row>
    <row r="22" customFormat="false" ht="17.15" hidden="false" customHeight="false" outlineLevel="0" collapsed="false">
      <c r="A22" s="4" t="s">
        <v>379</v>
      </c>
      <c r="B22" s="0" t="s">
        <v>186</v>
      </c>
      <c r="C22" s="20" t="n">
        <f aca="false">C126</f>
        <v>41.22112</v>
      </c>
      <c r="D22" s="20" t="n">
        <f aca="false">D126</f>
        <v>45.343232</v>
      </c>
      <c r="E22" s="20" t="n">
        <f aca="false">E126</f>
        <v>48.06382592</v>
      </c>
      <c r="F22" s="20" t="n">
        <f aca="false">F126</f>
        <v>50.467017216</v>
      </c>
      <c r="G22" s="20" t="n">
        <f aca="false">G126</f>
        <v>52.9903680768</v>
      </c>
    </row>
    <row r="23" customFormat="false" ht="17.15" hidden="false" customHeight="false" outlineLevel="0" collapsed="false">
      <c r="A23" s="0" t="s">
        <v>380</v>
      </c>
      <c r="B23" s="0" t="s">
        <v>103</v>
      </c>
      <c r="C23" s="18" t="n">
        <f aca="false">C129</f>
        <v>0.834</v>
      </c>
      <c r="D23" s="18" t="n">
        <f aca="false">D129</f>
        <v>0.889611696528299</v>
      </c>
      <c r="E23" s="18" t="n">
        <f aca="false">E129</f>
        <v>0.926158915907294</v>
      </c>
      <c r="F23" s="18" t="n">
        <f aca="false">F129</f>
        <v>0.916036410944968</v>
      </c>
      <c r="G23" s="18" t="n">
        <f aca="false">G129</f>
        <v>0.926267268360858</v>
      </c>
    </row>
    <row r="24" customFormat="false" ht="15" hidden="false" customHeight="false" outlineLevel="0" collapsed="false">
      <c r="A24" s="4" t="s">
        <v>322</v>
      </c>
      <c r="B24" s="0" t="s">
        <v>103</v>
      </c>
      <c r="C24" s="15" t="n">
        <f aca="false">C134</f>
        <v>0.1809</v>
      </c>
      <c r="D24" s="15" t="n">
        <f aca="false">D134</f>
        <v>0.189589247962076</v>
      </c>
      <c r="E24" s="15" t="n">
        <f aca="false">E134</f>
        <v>0.198291047165337</v>
      </c>
      <c r="F24" s="15" t="n">
        <f aca="false">F134</f>
        <v>0.198677314052103</v>
      </c>
      <c r="G24" s="15" t="n">
        <f aca="false">G134</f>
        <v>0.199476469569491</v>
      </c>
    </row>
    <row r="25" customFormat="false" ht="15" hidden="false" customHeight="false" outlineLevel="0" collapsed="false">
      <c r="A25" s="4" t="s">
        <v>328</v>
      </c>
      <c r="B25" s="0" t="s">
        <v>103</v>
      </c>
      <c r="C25" s="15" t="n">
        <f aca="false">C138</f>
        <v>0.1294</v>
      </c>
      <c r="D25" s="15" t="n">
        <f aca="false">D138</f>
        <v>0.145875070478906</v>
      </c>
      <c r="E25" s="15" t="n">
        <f aca="false">E138</f>
        <v>0.161028071582683</v>
      </c>
      <c r="F25" s="15" t="n">
        <f aca="false">F138</f>
        <v>0.158323818276002</v>
      </c>
      <c r="G25" s="15" t="n">
        <f aca="false">G138</f>
        <v>0.161764763259219</v>
      </c>
    </row>
    <row r="26" customFormat="false" ht="15" hidden="false" customHeight="false" outlineLevel="0" collapsed="false">
      <c r="A26" s="4" t="s">
        <v>329</v>
      </c>
      <c r="B26" s="0" t="s">
        <v>186</v>
      </c>
      <c r="C26" s="20" t="n">
        <f aca="false">C140</f>
        <v>26.342</v>
      </c>
      <c r="D26" s="20" t="n">
        <f aca="false">D140</f>
        <v>47.8258552</v>
      </c>
      <c r="E26" s="20" t="n">
        <f aca="false">E140</f>
        <v>83.8516963382226</v>
      </c>
      <c r="F26" s="20" t="n">
        <f aca="false">F140</f>
        <v>76.129483768502</v>
      </c>
      <c r="G26" s="20" t="n">
        <f aca="false">G140</f>
        <v>93.0059055879257</v>
      </c>
    </row>
    <row r="27" customFormat="false" ht="15" hidden="false" customHeight="false" outlineLevel="0" collapsed="false">
      <c r="A27" s="0" t="s">
        <v>334</v>
      </c>
      <c r="B27" s="0" t="s">
        <v>244</v>
      </c>
      <c r="C27" s="14" t="n">
        <f aca="false">C142</f>
        <v>47.13</v>
      </c>
      <c r="D27" s="14" t="n">
        <f aca="false">D142</f>
        <v>85.5706494503455</v>
      </c>
      <c r="E27" s="14" t="n">
        <f aca="false">E142</f>
        <v>147.404753849881</v>
      </c>
      <c r="F27" s="14" t="n">
        <f aca="false">F142</f>
        <v>133.829705368754</v>
      </c>
      <c r="G27" s="14" t="n">
        <f aca="false">G142</f>
        <v>163.497141005652</v>
      </c>
    </row>
    <row r="28" customFormat="false" ht="17.15" hidden="false" customHeight="false" outlineLevel="0" collapsed="false">
      <c r="A28" s="0" t="s">
        <v>381</v>
      </c>
      <c r="B28" s="0" t="s">
        <v>103</v>
      </c>
      <c r="D28" s="18" t="n">
        <f aca="false">D143</f>
        <v>0.815630160202535</v>
      </c>
      <c r="E28" s="18" t="n">
        <f aca="false">E143</f>
        <v>0.72260880099334</v>
      </c>
      <c r="F28" s="18" t="n">
        <f aca="false">F143</f>
        <v>-0.0920936952613626</v>
      </c>
      <c r="G28" s="18" t="n">
        <f aca="false">G143</f>
        <v>0.221680497279377</v>
      </c>
    </row>
    <row r="30" customFormat="false" ht="17.15" hidden="false" customHeight="false" outlineLevel="0" collapsed="false">
      <c r="A30" s="1" t="s">
        <v>383</v>
      </c>
    </row>
    <row r="31" customFormat="false" ht="15" hidden="false" customHeight="false" outlineLevel="0" collapsed="false">
      <c r="A31" s="4" t="s">
        <v>316</v>
      </c>
      <c r="B31" s="0" t="s">
        <v>186</v>
      </c>
      <c r="C31" s="20" t="n">
        <f aca="false">C170</f>
        <v>248.32</v>
      </c>
      <c r="D31" s="20" t="n">
        <f aca="false">D170</f>
        <v>410.7612</v>
      </c>
      <c r="E31" s="20" t="n">
        <f aca="false">E170</f>
        <v>650.908996130894</v>
      </c>
      <c r="F31" s="20" t="n">
        <f aca="false">F170</f>
        <v>463.410525008486</v>
      </c>
      <c r="G31" s="20" t="n">
        <f aca="false">G170</f>
        <v>522.890162008406</v>
      </c>
    </row>
    <row r="32" customFormat="false" ht="15" hidden="false" customHeight="false" outlineLevel="0" collapsed="false">
      <c r="A32" s="4" t="s">
        <v>376</v>
      </c>
      <c r="B32" s="0" t="s">
        <v>103</v>
      </c>
      <c r="D32" s="18" t="n">
        <f aca="false">D171</f>
        <v>0.654160760309279</v>
      </c>
      <c r="E32" s="18" t="n">
        <f aca="false">E171</f>
        <v>0.584640896294232</v>
      </c>
      <c r="F32" s="18" t="n">
        <f aca="false">F171</f>
        <v>-0.288056352327174</v>
      </c>
      <c r="G32" s="18" t="n">
        <f aca="false">G171</f>
        <v>0.128351933739164</v>
      </c>
    </row>
    <row r="33" customFormat="false" ht="17.15" hidden="false" customHeight="false" outlineLevel="0" collapsed="false">
      <c r="A33" s="0" t="s">
        <v>377</v>
      </c>
      <c r="B33" s="0" t="s">
        <v>186</v>
      </c>
      <c r="C33" s="20" t="n">
        <f aca="false">C162</f>
        <v>50.65728</v>
      </c>
      <c r="D33" s="20" t="n">
        <f aca="false">D162</f>
        <v>160.037368</v>
      </c>
      <c r="E33" s="20" t="n">
        <f aca="false">E162</f>
        <v>371.791995210894</v>
      </c>
      <c r="F33" s="20" t="n">
        <f aca="false">F162</f>
        <v>255.827348792486</v>
      </c>
      <c r="G33" s="20" t="n">
        <f aca="false">G162</f>
        <v>299.844657131606</v>
      </c>
    </row>
    <row r="34" customFormat="false" ht="15" hidden="false" customHeight="false" outlineLevel="0" collapsed="false">
      <c r="A34" s="4" t="s">
        <v>378</v>
      </c>
      <c r="B34" s="0" t="s">
        <v>186</v>
      </c>
      <c r="C34" s="20" t="n">
        <f aca="false">C167</f>
        <v>156.4416</v>
      </c>
      <c r="D34" s="20" t="n">
        <f aca="false">D167</f>
        <v>205.3806</v>
      </c>
      <c r="E34" s="20" t="n">
        <f aca="false">E167</f>
        <v>231.053175</v>
      </c>
      <c r="F34" s="20" t="n">
        <f aca="false">F167</f>
        <v>157.116159</v>
      </c>
      <c r="G34" s="20" t="n">
        <f aca="false">G167</f>
        <v>170.0551368</v>
      </c>
    </row>
    <row r="35" customFormat="false" ht="17.15" hidden="false" customHeight="false" outlineLevel="0" collapsed="false">
      <c r="A35" s="4" t="s">
        <v>379</v>
      </c>
      <c r="B35" s="0" t="s">
        <v>186</v>
      </c>
      <c r="C35" s="20" t="n">
        <f aca="false">C169</f>
        <v>41.22112</v>
      </c>
      <c r="D35" s="20" t="n">
        <f aca="false">D169</f>
        <v>45.343232</v>
      </c>
      <c r="E35" s="20" t="n">
        <f aca="false">E169</f>
        <v>48.06382592</v>
      </c>
      <c r="F35" s="20" t="n">
        <f aca="false">F169</f>
        <v>50.467017216</v>
      </c>
      <c r="G35" s="20" t="n">
        <f aca="false">G169</f>
        <v>52.9903680768</v>
      </c>
    </row>
    <row r="36" customFormat="false" ht="17.15" hidden="false" customHeight="false" outlineLevel="0" collapsed="false">
      <c r="A36" s="0" t="s">
        <v>380</v>
      </c>
      <c r="B36" s="0" t="s">
        <v>103</v>
      </c>
      <c r="C36" s="18" t="n">
        <f aca="false">C172</f>
        <v>0.834</v>
      </c>
      <c r="D36" s="18" t="n">
        <f aca="false">D172</f>
        <v>0.889611696528299</v>
      </c>
      <c r="E36" s="18" t="n">
        <f aca="false">E172</f>
        <v>0.926158915907294</v>
      </c>
      <c r="F36" s="18" t="n">
        <f aca="false">F172</f>
        <v>0.891096523508878</v>
      </c>
      <c r="G36" s="18" t="n">
        <f aca="false">G172</f>
        <v>0.898658701335543</v>
      </c>
    </row>
    <row r="37" customFormat="false" ht="15" hidden="false" customHeight="false" outlineLevel="0" collapsed="false">
      <c r="A37" s="4" t="s">
        <v>322</v>
      </c>
      <c r="B37" s="0" t="s">
        <v>103</v>
      </c>
      <c r="C37" s="15" t="n">
        <f aca="false">C177</f>
        <v>0.1809</v>
      </c>
      <c r="D37" s="15" t="n">
        <f aca="false">D177</f>
        <v>0.189589247962076</v>
      </c>
      <c r="E37" s="15" t="n">
        <f aca="false">E177</f>
        <v>0.198291047165337</v>
      </c>
      <c r="F37" s="15" t="n">
        <f aca="false">F177</f>
        <v>0.19924665962784</v>
      </c>
      <c r="G37" s="15" t="n">
        <f aca="false">G177</f>
        <v>0.20007595635833</v>
      </c>
    </row>
    <row r="38" customFormat="false" ht="15" hidden="false" customHeight="false" outlineLevel="0" collapsed="false">
      <c r="A38" s="4" t="s">
        <v>328</v>
      </c>
      <c r="B38" s="0" t="s">
        <v>103</v>
      </c>
      <c r="C38" s="15" t="n">
        <f aca="false">C181</f>
        <v>0.1294</v>
      </c>
      <c r="D38" s="15" t="n">
        <f aca="false">D181</f>
        <v>0.145875070478906</v>
      </c>
      <c r="E38" s="15" t="n">
        <f aca="false">E181</f>
        <v>0.161028071582683</v>
      </c>
      <c r="F38" s="15" t="n">
        <f aca="false">F181</f>
        <v>0.146906877252568</v>
      </c>
      <c r="G38" s="15" t="n">
        <f aca="false">G181</f>
        <v>0.150117669358208</v>
      </c>
    </row>
    <row r="39" customFormat="false" ht="15" hidden="false" customHeight="false" outlineLevel="0" collapsed="false">
      <c r="A39" s="4" t="s">
        <v>329</v>
      </c>
      <c r="B39" s="0" t="s">
        <v>186</v>
      </c>
      <c r="C39" s="20" t="n">
        <f aca="false">C183</f>
        <v>26.342</v>
      </c>
      <c r="D39" s="20" t="n">
        <f aca="false">D183</f>
        <v>47.8258552</v>
      </c>
      <c r="E39" s="20" t="n">
        <f aca="false">E183</f>
        <v>83.8516963382226</v>
      </c>
      <c r="F39" s="20" t="n">
        <f aca="false">F183</f>
        <v>54.4625544919756</v>
      </c>
      <c r="G39" s="20" t="n">
        <f aca="false">G183</f>
        <v>62.7960419608301</v>
      </c>
    </row>
    <row r="40" customFormat="false" ht="15" hidden="false" customHeight="false" outlineLevel="0" collapsed="false">
      <c r="A40" s="0" t="s">
        <v>334</v>
      </c>
      <c r="B40" s="0" t="s">
        <v>244</v>
      </c>
      <c r="C40" s="14" t="n">
        <f aca="false">C185</f>
        <v>47.13</v>
      </c>
      <c r="D40" s="14" t="n">
        <f aca="false">D185</f>
        <v>85.5706494503455</v>
      </c>
      <c r="E40" s="14" t="n">
        <f aca="false">E185</f>
        <v>147.404753849881</v>
      </c>
      <c r="F40" s="14" t="n">
        <f aca="false">F185</f>
        <v>95.74093058945</v>
      </c>
      <c r="G40" s="14" t="n">
        <f aca="false">G185</f>
        <v>110.390552752164</v>
      </c>
    </row>
    <row r="41" customFormat="false" ht="17.15" hidden="false" customHeight="false" outlineLevel="0" collapsed="false">
      <c r="A41" s="0" t="s">
        <v>381</v>
      </c>
      <c r="B41" s="0" t="s">
        <v>103</v>
      </c>
      <c r="D41" s="18" t="n">
        <f aca="false">D186</f>
        <v>0.815630160202535</v>
      </c>
      <c r="E41" s="18" t="n">
        <f aca="false">E186</f>
        <v>0.72260880099334</v>
      </c>
      <c r="F41" s="18" t="n">
        <f aca="false">F186</f>
        <v>-0.350489532468174</v>
      </c>
      <c r="G41" s="18" t="n">
        <f aca="false">G186</f>
        <v>0.153013158244025</v>
      </c>
    </row>
    <row r="43" customFormat="false" ht="17.15" hidden="false" customHeight="false" outlineLevel="0" collapsed="false">
      <c r="A43" s="1" t="s">
        <v>384</v>
      </c>
    </row>
    <row r="44" customFormat="false" ht="17.15" hidden="false" customHeight="false" outlineLevel="0" collapsed="false">
      <c r="A44" s="4" t="s">
        <v>385</v>
      </c>
      <c r="D44" s="17" t="n">
        <f aca="false">D84-a26_rev</f>
        <v>0</v>
      </c>
    </row>
    <row r="45" customFormat="false" ht="17.15" hidden="false" customHeight="false" outlineLevel="0" collapsed="false">
      <c r="A45" s="4" t="s">
        <v>386</v>
      </c>
      <c r="D45" s="17" t="n">
        <f aca="false">C84-a25_rev</f>
        <v>0</v>
      </c>
    </row>
    <row r="46" customFormat="false" ht="17.15" hidden="false" customHeight="false" outlineLevel="0" collapsed="false">
      <c r="A46" s="4" t="s">
        <v>387</v>
      </c>
      <c r="D46" s="17" t="n">
        <f aca="false">D89*(D76+D83)+(D89-d_nap)*D81-a26_gp</f>
        <v>0</v>
      </c>
    </row>
    <row r="60" customFormat="false" ht="17.15" hidden="false" customHeight="false" outlineLevel="0" collapsed="false">
      <c r="A60" s="1" t="s">
        <v>388</v>
      </c>
    </row>
    <row r="61" customFormat="false" ht="17.15" hidden="false" customHeight="false" outlineLevel="0" collapsed="false">
      <c r="A61" s="5" t="s">
        <v>21</v>
      </c>
      <c r="B61" s="5" t="s">
        <v>22</v>
      </c>
      <c r="C61" s="12" t="s">
        <v>309</v>
      </c>
      <c r="D61" s="12" t="s">
        <v>371</v>
      </c>
      <c r="E61" s="12" t="s">
        <v>372</v>
      </c>
      <c r="F61" s="12" t="s">
        <v>373</v>
      </c>
      <c r="G61" s="12" t="s">
        <v>374</v>
      </c>
      <c r="H61" s="5" t="s">
        <v>350</v>
      </c>
    </row>
    <row r="62" customFormat="false" ht="17.15" hidden="false" customHeight="false" outlineLevel="0" collapsed="false">
      <c r="A62" s="6" t="s">
        <v>389</v>
      </c>
    </row>
    <row r="63" customFormat="false" ht="17.15" hidden="false" customHeight="false" outlineLevel="0" collapsed="false">
      <c r="A63" s="4" t="s">
        <v>390</v>
      </c>
      <c r="B63" s="0" t="s">
        <v>186</v>
      </c>
      <c r="C63" s="20" t="n">
        <f aca="false">a25_rev*nap25s</f>
        <v>156.4416</v>
      </c>
      <c r="D63" s="20" t="n">
        <f aca="false">a26_rev*ns26</f>
        <v>205.3806</v>
      </c>
    </row>
    <row r="64" customFormat="false" ht="17.15" hidden="false" customHeight="false" outlineLevel="0" collapsed="false">
      <c r="A64" s="4" t="s">
        <v>391</v>
      </c>
      <c r="B64" s="0" t="s">
        <v>186</v>
      </c>
      <c r="C64" s="20" t="n">
        <f aca="false">a25_rev*(1-nap25s-sw25s*af25)</f>
        <v>41.22112</v>
      </c>
      <c r="D64" s="20" t="n">
        <f aca="false">C64*(1+g_nai26)</f>
        <v>45.343232</v>
      </c>
    </row>
    <row r="65" customFormat="false" ht="17.15" hidden="false" customHeight="false" outlineLevel="0" collapsed="false">
      <c r="A65" s="0" t="s">
        <v>392</v>
      </c>
      <c r="B65" s="0" t="s">
        <v>186</v>
      </c>
      <c r="C65" s="20" t="n">
        <f aca="false">a25_rev*sw25s*af25</f>
        <v>50.65728</v>
      </c>
      <c r="D65" s="20" t="n">
        <f aca="false">a26_rev-D63-D64</f>
        <v>160.037368</v>
      </c>
      <c r="H65" s="8" t="s">
        <v>393</v>
      </c>
    </row>
    <row r="66" customFormat="false" ht="17.15" hidden="false" customHeight="false" outlineLevel="0" collapsed="false">
      <c r="A66" s="6" t="s">
        <v>394</v>
      </c>
    </row>
    <row r="67" customFormat="false" ht="17.15" hidden="false" customHeight="false" outlineLevel="0" collapsed="false">
      <c r="A67" s="0" t="s">
        <v>395</v>
      </c>
      <c r="B67" s="0" t="s">
        <v>32</v>
      </c>
      <c r="D67" s="14" t="n">
        <f aca="false">mkt_26*1</f>
        <v>32.0719</v>
      </c>
      <c r="E67" s="14" t="n">
        <f aca="false">mkt_27*1*1</f>
        <v>61.085</v>
      </c>
      <c r="F67" s="14" t="n">
        <f aca="false">mkt_28*um28_A*1</f>
        <v>69.005</v>
      </c>
      <c r="G67" s="14" t="n">
        <f aca="false">mkt_29*um29_A*1</f>
        <v>78.48215</v>
      </c>
    </row>
    <row r="68" customFormat="false" ht="15" hidden="false" customHeight="false" outlineLevel="0" collapsed="false">
      <c r="A68" s="4" t="s">
        <v>396</v>
      </c>
      <c r="B68" s="0" t="s">
        <v>103</v>
      </c>
      <c r="D68" s="18" t="n">
        <f aca="false">eth_26</f>
        <v>0.75</v>
      </c>
      <c r="E68" s="18" t="n">
        <f aca="false">eth_27</f>
        <v>0.8</v>
      </c>
      <c r="F68" s="18" t="n">
        <f aca="false">eth_28</f>
        <v>0.83</v>
      </c>
      <c r="G68" s="18" t="n">
        <f aca="false">eth_29</f>
        <v>0.85</v>
      </c>
    </row>
    <row r="69" customFormat="false" ht="17.15" hidden="false" customHeight="false" outlineLevel="0" collapsed="false">
      <c r="A69" s="4" t="s">
        <v>397</v>
      </c>
      <c r="B69" s="0" t="s">
        <v>32</v>
      </c>
      <c r="D69" s="14" t="n">
        <f aca="false">su_26*1</f>
        <v>3.015</v>
      </c>
      <c r="E69" s="14" t="n">
        <f aca="false">su_27*1*1</f>
        <v>11.3414</v>
      </c>
      <c r="F69" s="14" t="n">
        <f aca="false">su_28*um28_A*1</f>
        <v>13.8952</v>
      </c>
      <c r="G69" s="14" t="n">
        <f aca="false">su_29*um29_A*1</f>
        <v>15.97948</v>
      </c>
    </row>
    <row r="70" customFormat="false" ht="17.15" hidden="false" customHeight="false" outlineLevel="0" collapsed="false">
      <c r="A70" s="0" t="s">
        <v>398</v>
      </c>
      <c r="B70" s="0" t="s">
        <v>32</v>
      </c>
      <c r="D70" s="14" t="n">
        <f aca="false">D67*D68+D69</f>
        <v>27.068925</v>
      </c>
      <c r="E70" s="14" t="n">
        <f aca="false">E67*E68+E69</f>
        <v>60.2094</v>
      </c>
      <c r="F70" s="14" t="n">
        <f aca="false">F67*F68+F69</f>
        <v>71.16935</v>
      </c>
      <c r="G70" s="14" t="n">
        <f aca="false">G67*G68+G69</f>
        <v>82.6893075</v>
      </c>
    </row>
    <row r="71" customFormat="false" ht="15" hidden="false" customHeight="false" outlineLevel="0" collapsed="false">
      <c r="A71" s="4" t="s">
        <v>355</v>
      </c>
      <c r="B71" s="0" t="s">
        <v>103</v>
      </c>
      <c r="D71" s="18" t="n">
        <f aca="false">wb_26</f>
        <v>0.45</v>
      </c>
      <c r="E71" s="18" t="n">
        <f aca="false">wb_27</f>
        <v>0.47</v>
      </c>
      <c r="F71" s="18" t="n">
        <f aca="false">wb_28</f>
        <v>0.48</v>
      </c>
      <c r="G71" s="18" t="n">
        <f aca="false">wb_29</f>
        <v>0.5</v>
      </c>
    </row>
    <row r="72" customFormat="false" ht="17.15" hidden="false" customHeight="false" outlineLevel="0" collapsed="false">
      <c r="A72" s="4" t="s">
        <v>357</v>
      </c>
      <c r="B72" s="0" t="s">
        <v>32</v>
      </c>
      <c r="D72" s="14" t="n">
        <f aca="false">D70*D71</f>
        <v>12.18101625</v>
      </c>
      <c r="E72" s="14" t="n">
        <f aca="false">E70*E71</f>
        <v>28.298418</v>
      </c>
      <c r="F72" s="14" t="n">
        <f aca="false">F70*F71</f>
        <v>34.161288</v>
      </c>
      <c r="G72" s="14" t="n">
        <f aca="false">G70*G71</f>
        <v>41.34465375</v>
      </c>
    </row>
    <row r="73" customFormat="false" ht="17.15" hidden="false" customHeight="false" outlineLevel="0" collapsed="false">
      <c r="A73" s="4" t="s">
        <v>399</v>
      </c>
      <c r="B73" s="0" t="s">
        <v>103</v>
      </c>
      <c r="D73" s="18" t="n">
        <f aca="false">D65/fx/D72</f>
        <v>0.410570649226414</v>
      </c>
      <c r="H73" s="8" t="s">
        <v>400</v>
      </c>
    </row>
    <row r="74" customFormat="false" ht="17.15" hidden="false" customHeight="false" outlineLevel="0" collapsed="false">
      <c r="A74" s="4" t="s">
        <v>401</v>
      </c>
      <c r="B74" s="0" t="s">
        <v>76</v>
      </c>
      <c r="D74" s="19" t="n">
        <f aca="false">1</f>
        <v>1</v>
      </c>
      <c r="E74" s="19" t="n">
        <f aca="false">rel_27</f>
        <v>1</v>
      </c>
      <c r="F74" s="19" t="n">
        <f aca="false">rel_28</f>
        <v>0.95</v>
      </c>
      <c r="G74" s="19" t="n">
        <f aca="false">rel_29</f>
        <v>0.92</v>
      </c>
    </row>
    <row r="75" customFormat="false" ht="15" hidden="false" customHeight="false" outlineLevel="0" collapsed="false">
      <c r="A75" s="4" t="s">
        <v>402</v>
      </c>
      <c r="B75" s="0" t="s">
        <v>103</v>
      </c>
      <c r="D75" s="18" t="n">
        <f aca="false">$D$73*D74</f>
        <v>0.410570649226414</v>
      </c>
      <c r="E75" s="18" t="n">
        <f aca="false">$D$73*E74</f>
        <v>0.410570649226414</v>
      </c>
      <c r="F75" s="18" t="n">
        <f aca="false">$D$73*F74</f>
        <v>0.390042116765093</v>
      </c>
      <c r="G75" s="18" t="n">
        <f aca="false">$D$73*G74</f>
        <v>0.377724997288301</v>
      </c>
    </row>
    <row r="76" customFormat="false" ht="17.15" hidden="false" customHeight="false" outlineLevel="0" collapsed="false">
      <c r="A76" s="0" t="s">
        <v>403</v>
      </c>
      <c r="B76" s="0" t="s">
        <v>186</v>
      </c>
      <c r="C76" s="20" t="n">
        <f aca="false">C65</f>
        <v>50.65728</v>
      </c>
      <c r="D76" s="20" t="n">
        <f aca="false">D72*D75*fx</f>
        <v>160.037368</v>
      </c>
      <c r="E76" s="20" t="n">
        <f aca="false">E72*E75*fx</f>
        <v>371.791995210894</v>
      </c>
      <c r="F76" s="20" t="n">
        <f aca="false">F72*F75*fx</f>
        <v>426.378914654143</v>
      </c>
      <c r="G76" s="20" t="n">
        <f aca="false">G72*G75*fx</f>
        <v>499.741095219344</v>
      </c>
    </row>
    <row r="77" customFormat="false" ht="17.15" hidden="false" customHeight="false" outlineLevel="0" collapsed="false">
      <c r="A77" s="6" t="s">
        <v>404</v>
      </c>
    </row>
    <row r="78" customFormat="false" ht="17.15" hidden="false" customHeight="false" outlineLevel="0" collapsed="false">
      <c r="A78" s="0" t="s">
        <v>405</v>
      </c>
      <c r="B78" s="4" t="s">
        <v>55</v>
      </c>
      <c r="D78" s="19" t="n">
        <f aca="false">trn_26*1</f>
        <v>2</v>
      </c>
      <c r="E78" s="19" t="n">
        <f aca="false">trn_27*1*1</f>
        <v>2.5</v>
      </c>
      <c r="F78" s="19" t="n">
        <f aca="false">trn_28*um28_A*1</f>
        <v>3</v>
      </c>
      <c r="G78" s="19" t="n">
        <f aca="false">trn_29*um29_A*1</f>
        <v>3.45</v>
      </c>
    </row>
    <row r="79" customFormat="false" ht="17.15" hidden="false" customHeight="false" outlineLevel="0" collapsed="false">
      <c r="A79" s="4" t="s">
        <v>406</v>
      </c>
      <c r="B79" s="4" t="s">
        <v>407</v>
      </c>
      <c r="D79" s="20" t="n">
        <f aca="false">D63/D78</f>
        <v>102.6903</v>
      </c>
      <c r="H79" s="8" t="s">
        <v>408</v>
      </c>
    </row>
    <row r="80" customFormat="false" ht="17.15" hidden="false" customHeight="false" outlineLevel="0" collapsed="false">
      <c r="A80" s="4" t="s">
        <v>409</v>
      </c>
      <c r="B80" s="0" t="s">
        <v>76</v>
      </c>
      <c r="D80" s="19" t="n">
        <f aca="false">1</f>
        <v>1</v>
      </c>
      <c r="E80" s="19" t="n">
        <f aca="false">nrel_27</f>
        <v>0.9</v>
      </c>
      <c r="F80" s="19" t="n">
        <f aca="false">nrel_28</f>
        <v>0.85</v>
      </c>
      <c r="G80" s="19" t="n">
        <f aca="false">nrel_29</f>
        <v>0.8</v>
      </c>
    </row>
    <row r="81" customFormat="false" ht="15" hidden="false" customHeight="false" outlineLevel="0" collapsed="false">
      <c r="A81" s="4" t="s">
        <v>410</v>
      </c>
      <c r="B81" s="0" t="s">
        <v>186</v>
      </c>
      <c r="C81" s="20" t="n">
        <f aca="false">C63</f>
        <v>156.4416</v>
      </c>
      <c r="D81" s="20" t="n">
        <f aca="false">D78*$D$79*D80</f>
        <v>205.3806</v>
      </c>
      <c r="E81" s="20" t="n">
        <f aca="false">E78*$D$79*E80</f>
        <v>231.053175</v>
      </c>
      <c r="F81" s="20" t="n">
        <f aca="false">F78*$D$79*F80</f>
        <v>261.860265</v>
      </c>
      <c r="G81" s="20" t="n">
        <f aca="false">G78*$D$79*G80</f>
        <v>283.425228</v>
      </c>
    </row>
    <row r="82" customFormat="false" ht="17.15" hidden="false" customHeight="false" outlineLevel="0" collapsed="false">
      <c r="A82" s="6" t="s">
        <v>411</v>
      </c>
    </row>
    <row r="83" customFormat="false" ht="17.15" hidden="false" customHeight="false" outlineLevel="0" collapsed="false">
      <c r="A83" s="4" t="s">
        <v>412</v>
      </c>
      <c r="B83" s="0" t="s">
        <v>186</v>
      </c>
      <c r="C83" s="20" t="n">
        <f aca="false">C64</f>
        <v>41.22112</v>
      </c>
      <c r="D83" s="20" t="n">
        <f aca="false">D64</f>
        <v>45.343232</v>
      </c>
      <c r="E83" s="20" t="n">
        <f aca="false">D83*(1+g_nai27)</f>
        <v>48.06382592</v>
      </c>
      <c r="F83" s="20" t="n">
        <f aca="false">E83*(1+g_nai28)</f>
        <v>50.467017216</v>
      </c>
      <c r="G83" s="20" t="n">
        <f aca="false">F83*(1+g_nai29)</f>
        <v>52.9903680768</v>
      </c>
    </row>
    <row r="84" customFormat="false" ht="15" hidden="false" customHeight="false" outlineLevel="0" collapsed="false">
      <c r="A84" s="4" t="s">
        <v>316</v>
      </c>
      <c r="B84" s="0" t="s">
        <v>186</v>
      </c>
      <c r="C84" s="20" t="n">
        <f aca="false">C76+C81+C83</f>
        <v>248.32</v>
      </c>
      <c r="D84" s="20" t="n">
        <f aca="false">D76+D81+D83</f>
        <v>410.7612</v>
      </c>
      <c r="E84" s="20" t="n">
        <f aca="false">E76+E81+E83</f>
        <v>650.908996130894</v>
      </c>
      <c r="F84" s="20" t="n">
        <f aca="false">F76+F81+F83</f>
        <v>738.706196870144</v>
      </c>
      <c r="G84" s="20" t="n">
        <f aca="false">G76+G81+G83</f>
        <v>836.156691296144</v>
      </c>
    </row>
    <row r="85" customFormat="false" ht="15" hidden="false" customHeight="false" outlineLevel="0" collapsed="false">
      <c r="A85" s="4" t="s">
        <v>413</v>
      </c>
      <c r="B85" s="0" t="s">
        <v>103</v>
      </c>
      <c r="D85" s="18" t="n">
        <f aca="false">D84/C84-1</f>
        <v>0.654160760309279</v>
      </c>
      <c r="E85" s="18" t="n">
        <f aca="false">E84/D84-1</f>
        <v>0.584640896294232</v>
      </c>
      <c r="F85" s="18" t="n">
        <f aca="false">F84/E84-1</f>
        <v>0.134883987256483</v>
      </c>
      <c r="G85" s="18" t="n">
        <f aca="false">G84/F84-1</f>
        <v>0.131920504848738</v>
      </c>
    </row>
    <row r="86" customFormat="false" ht="17.15" hidden="false" customHeight="false" outlineLevel="0" collapsed="false">
      <c r="A86" s="0" t="s">
        <v>414</v>
      </c>
      <c r="B86" s="0" t="s">
        <v>103</v>
      </c>
      <c r="C86" s="18" t="n">
        <f aca="false">(C76+C81)/C84</f>
        <v>0.834</v>
      </c>
      <c r="D86" s="18" t="n">
        <f aca="false">(D76+D81)/D84</f>
        <v>0.889611696528299</v>
      </c>
      <c r="E86" s="18" t="n">
        <f aca="false">(E76+E81)/E84</f>
        <v>0.926158915907294</v>
      </c>
      <c r="F86" s="18" t="n">
        <f aca="false">(F76+F81)/F84</f>
        <v>0.931681881876955</v>
      </c>
      <c r="G86" s="18" t="n">
        <f aca="false">(G76+G81)/G84</f>
        <v>0.936626270376837</v>
      </c>
    </row>
    <row r="87" customFormat="false" ht="17.15" hidden="false" customHeight="false" outlineLevel="0" collapsed="false">
      <c r="A87" s="4" t="s">
        <v>415</v>
      </c>
      <c r="B87" s="0" t="s">
        <v>103</v>
      </c>
      <c r="C87" s="18" t="n">
        <f aca="false">C81/C84</f>
        <v>0.63</v>
      </c>
      <c r="D87" s="18" t="n">
        <f aca="false">D81/D84</f>
        <v>0.5</v>
      </c>
      <c r="E87" s="18" t="n">
        <f aca="false">E81/E84</f>
        <v>0.354970013278994</v>
      </c>
      <c r="F87" s="18" t="n">
        <f aca="false">F81/F84</f>
        <v>0.354484998378905</v>
      </c>
      <c r="G87" s="18" t="n">
        <f aca="false">G81/G84</f>
        <v>0.338961860797474</v>
      </c>
    </row>
    <row r="88" customFormat="false" ht="17.15" hidden="false" customHeight="false" outlineLevel="0" collapsed="false">
      <c r="A88" s="6" t="s">
        <v>416</v>
      </c>
    </row>
    <row r="89" customFormat="false" ht="17.15" hidden="false" customHeight="false" outlineLevel="0" collapsed="false">
      <c r="A89" s="4" t="s">
        <v>417</v>
      </c>
      <c r="B89" s="0" t="s">
        <v>103</v>
      </c>
      <c r="D89" s="15" t="n">
        <f aca="false">a26_gp/a26_rev+d_nap*D87</f>
        <v>0.219589247962076</v>
      </c>
      <c r="H89" s="8" t="s">
        <v>418</v>
      </c>
    </row>
    <row r="90" customFormat="false" ht="15" hidden="false" customHeight="false" outlineLevel="0" collapsed="false">
      <c r="A90" s="4" t="s">
        <v>320</v>
      </c>
      <c r="B90" s="0" t="s">
        <v>186</v>
      </c>
      <c r="C90" s="20" t="n">
        <f aca="false">a25_gp</f>
        <v>44.921088</v>
      </c>
      <c r="D90" s="20" t="n">
        <f aca="false">a26_gp</f>
        <v>77.875907</v>
      </c>
      <c r="E90" s="20" t="n">
        <f aca="false">$D$89*(E76+E83)+($D$89-d_nap)*E81</f>
        <v>129.069426452133</v>
      </c>
      <c r="F90" s="20" t="n">
        <f aca="false">$D$89*(F76+F83)+($D$89-d_nap)*F81</f>
        <v>146.50032233564</v>
      </c>
      <c r="G90" s="20" t="n">
        <f aca="false">$D$89*(G76+G83)+($D$89-d_nap)*G81</f>
        <v>166.605505340178</v>
      </c>
    </row>
    <row r="91" customFormat="false" ht="15" hidden="false" customHeight="false" outlineLevel="0" collapsed="false">
      <c r="A91" s="4" t="s">
        <v>322</v>
      </c>
      <c r="B91" s="0" t="s">
        <v>103</v>
      </c>
      <c r="C91" s="15" t="n">
        <f aca="false">C90/C84</f>
        <v>0.1809</v>
      </c>
      <c r="D91" s="15" t="n">
        <f aca="false">D90/D84</f>
        <v>0.189589247962076</v>
      </c>
      <c r="E91" s="15" t="n">
        <f aca="false">E90/E84</f>
        <v>0.198291047165337</v>
      </c>
      <c r="F91" s="15" t="n">
        <f aca="false">F90/F84</f>
        <v>0.198320148059342</v>
      </c>
      <c r="G91" s="15" t="n">
        <f aca="false">G90/G84</f>
        <v>0.199251536314228</v>
      </c>
    </row>
    <row r="92" customFormat="false" ht="15" hidden="false" customHeight="false" outlineLevel="0" collapsed="false">
      <c r="A92" s="4" t="s">
        <v>419</v>
      </c>
      <c r="B92" s="0" t="s">
        <v>186</v>
      </c>
      <c r="C92" s="20" t="n">
        <f aca="false">a25_opx</f>
        <v>12.78848</v>
      </c>
      <c r="D92" s="20" t="n">
        <f aca="false">a26_opx</f>
        <v>17.956088</v>
      </c>
      <c r="E92" s="20" t="n">
        <f aca="false">D92*(1+MAX(0,phi*E85))</f>
        <v>24.2548060293549</v>
      </c>
      <c r="F92" s="20" t="n">
        <f aca="false">E92*(1+MAX(0,phi*F85))</f>
        <v>26.217756997778</v>
      </c>
      <c r="G92" s="20" t="n">
        <f aca="false">F92*(1+MAX(0,phi*G85))</f>
        <v>28.2929528412671</v>
      </c>
    </row>
    <row r="93" customFormat="false" ht="15" hidden="false" customHeight="false" outlineLevel="0" collapsed="false">
      <c r="A93" s="4" t="s">
        <v>324</v>
      </c>
      <c r="B93" s="0" t="s">
        <v>186</v>
      </c>
      <c r="C93" s="20" t="n">
        <f aca="false">C92</f>
        <v>12.78848</v>
      </c>
      <c r="D93" s="20" t="n">
        <f aca="false">D92</f>
        <v>17.956088</v>
      </c>
      <c r="E93" s="20" t="n">
        <f aca="false">E92+0*E84</f>
        <v>24.2548060293549</v>
      </c>
      <c r="F93" s="20" t="n">
        <f aca="false">F92+0*F84</f>
        <v>26.217756997778</v>
      </c>
      <c r="G93" s="20" t="n">
        <f aca="false">G92+0*G84</f>
        <v>28.2929528412671</v>
      </c>
    </row>
    <row r="94" customFormat="false" ht="15" hidden="false" customHeight="false" outlineLevel="0" collapsed="false">
      <c r="A94" s="4" t="s">
        <v>326</v>
      </c>
      <c r="B94" s="0" t="s">
        <v>186</v>
      </c>
      <c r="C94" s="20" t="n">
        <f aca="false">C90-C93</f>
        <v>32.132608</v>
      </c>
      <c r="D94" s="20" t="n">
        <f aca="false">D90-D93</f>
        <v>59.919819</v>
      </c>
      <c r="E94" s="20" t="n">
        <f aca="false">E90-E93</f>
        <v>104.814620422778</v>
      </c>
      <c r="F94" s="20" t="n">
        <f aca="false">F90-F93</f>
        <v>120.282565337862</v>
      </c>
      <c r="G94" s="20" t="n">
        <f aca="false">G90-G93</f>
        <v>138.312552498911</v>
      </c>
    </row>
    <row r="95" customFormat="false" ht="15" hidden="false" customHeight="false" outlineLevel="0" collapsed="false">
      <c r="A95" s="4" t="s">
        <v>328</v>
      </c>
      <c r="B95" s="0" t="s">
        <v>103</v>
      </c>
      <c r="C95" s="15" t="n">
        <f aca="false">C94/C84</f>
        <v>0.1294</v>
      </c>
      <c r="D95" s="15" t="n">
        <f aca="false">D94/D84</f>
        <v>0.145875070478906</v>
      </c>
      <c r="E95" s="15" t="n">
        <f aca="false">E94/E84</f>
        <v>0.161028071582683</v>
      </c>
      <c r="F95" s="15" t="n">
        <f aca="false">F94/F84</f>
        <v>0.162828694070109</v>
      </c>
      <c r="G95" s="15" t="n">
        <f aca="false">G94/G84</f>
        <v>0.165414633332073</v>
      </c>
    </row>
    <row r="96" customFormat="false" ht="17.15" hidden="false" customHeight="false" outlineLevel="0" collapsed="false">
      <c r="A96" s="4" t="s">
        <v>224</v>
      </c>
      <c r="B96" s="0" t="s">
        <v>76</v>
      </c>
      <c r="C96" s="16" t="n">
        <f aca="false">a25_ni/a25_oi</f>
        <v>0.819790289042209</v>
      </c>
      <c r="D96" s="16" t="n">
        <f aca="false">a26_ni/a26_oi</f>
        <v>0.798164213413262</v>
      </c>
      <c r="E96" s="16" t="n">
        <f aca="false">nio_f</f>
        <v>0.8</v>
      </c>
      <c r="F96" s="16" t="n">
        <f aca="false">nio_f</f>
        <v>0.8</v>
      </c>
      <c r="G96" s="16" t="n">
        <f aca="false">nio_f</f>
        <v>0.8</v>
      </c>
    </row>
    <row r="97" customFormat="false" ht="15" hidden="false" customHeight="false" outlineLevel="0" collapsed="false">
      <c r="A97" s="4" t="s">
        <v>329</v>
      </c>
      <c r="B97" s="0" t="s">
        <v>186</v>
      </c>
      <c r="C97" s="20" t="n">
        <f aca="false">a25_ni</f>
        <v>26.342</v>
      </c>
      <c r="D97" s="20" t="n">
        <f aca="false">a26_ni</f>
        <v>47.8258552</v>
      </c>
      <c r="E97" s="20" t="n">
        <f aca="false">E94*E96</f>
        <v>83.8516963382226</v>
      </c>
      <c r="F97" s="20" t="n">
        <f aca="false">F94*F96</f>
        <v>96.2260522702898</v>
      </c>
      <c r="G97" s="20" t="n">
        <f aca="false">G94*G96</f>
        <v>110.650041999129</v>
      </c>
    </row>
    <row r="98" customFormat="false" ht="15" hidden="false" customHeight="false" outlineLevel="0" collapsed="false">
      <c r="A98" s="4" t="s">
        <v>420</v>
      </c>
      <c r="B98" s="4" t="s">
        <v>211</v>
      </c>
      <c r="C98" s="17" t="n">
        <f aca="false">a25_sh</f>
        <v>0.558922130277955</v>
      </c>
      <c r="D98" s="17" t="n">
        <f aca="false">a26_sh</f>
        <v>0.558904899135447</v>
      </c>
      <c r="E98" s="17" t="n">
        <f aca="false">D98*(1+sh_g27)</f>
        <v>0.568853406340058</v>
      </c>
      <c r="F98" s="17" t="n">
        <f aca="false">E98*(1+sh_g)</f>
        <v>0.568853406340058</v>
      </c>
      <c r="G98" s="17" t="n">
        <f aca="false">F98*(1+sh_g)</f>
        <v>0.568853406340058</v>
      </c>
    </row>
    <row r="99" customFormat="false" ht="15" hidden="false" customHeight="false" outlineLevel="0" collapsed="false">
      <c r="A99" s="0" t="s">
        <v>334</v>
      </c>
      <c r="B99" s="0" t="s">
        <v>244</v>
      </c>
      <c r="C99" s="14" t="n">
        <f aca="false">C97/C98</f>
        <v>47.13</v>
      </c>
      <c r="D99" s="14" t="n">
        <f aca="false">D97/D98</f>
        <v>85.5706494503455</v>
      </c>
      <c r="E99" s="14" t="n">
        <f aca="false">E97/E98</f>
        <v>147.404753849881</v>
      </c>
      <c r="F99" s="14" t="n">
        <f aca="false">F97/F98</f>
        <v>169.157908167234</v>
      </c>
      <c r="G99" s="14" t="n">
        <f aca="false">G97/G98</f>
        <v>194.514159124122</v>
      </c>
    </row>
    <row r="100" customFormat="false" ht="17.15" hidden="false" customHeight="false" outlineLevel="0" collapsed="false">
      <c r="A100" s="0" t="s">
        <v>421</v>
      </c>
      <c r="B100" s="0" t="s">
        <v>103</v>
      </c>
      <c r="D100" s="18" t="n">
        <f aca="false">D99/C99-1</f>
        <v>0.815630160202535</v>
      </c>
      <c r="E100" s="18" t="n">
        <f aca="false">E99/D99-1</f>
        <v>0.72260880099334</v>
      </c>
      <c r="F100" s="18" t="n">
        <f aca="false">F99/E99-1</f>
        <v>0.147574306453554</v>
      </c>
      <c r="G100" s="18" t="n">
        <f aca="false">G99/F99-1</f>
        <v>0.149896929038754</v>
      </c>
    </row>
    <row r="103" customFormat="false" ht="17.15" hidden="false" customHeight="false" outlineLevel="0" collapsed="false">
      <c r="A103" s="1" t="s">
        <v>422</v>
      </c>
    </row>
    <row r="104" customFormat="false" ht="17.15" hidden="false" customHeight="false" outlineLevel="0" collapsed="false">
      <c r="A104" s="5" t="s">
        <v>21</v>
      </c>
      <c r="B104" s="5" t="s">
        <v>22</v>
      </c>
      <c r="C104" s="12" t="s">
        <v>309</v>
      </c>
      <c r="D104" s="12" t="s">
        <v>371</v>
      </c>
      <c r="E104" s="12" t="s">
        <v>372</v>
      </c>
      <c r="F104" s="12" t="s">
        <v>373</v>
      </c>
      <c r="G104" s="12" t="s">
        <v>374</v>
      </c>
      <c r="H104" s="5" t="s">
        <v>350</v>
      </c>
    </row>
    <row r="105" customFormat="false" ht="17.15" hidden="false" customHeight="false" outlineLevel="0" collapsed="false">
      <c r="A105" s="6" t="s">
        <v>389</v>
      </c>
    </row>
    <row r="106" customFormat="false" ht="17.15" hidden="false" customHeight="false" outlineLevel="0" collapsed="false">
      <c r="A106" s="4" t="s">
        <v>390</v>
      </c>
      <c r="B106" s="0" t="s">
        <v>186</v>
      </c>
      <c r="C106" s="20" t="n">
        <f aca="false">a25_rev*nap25s</f>
        <v>156.4416</v>
      </c>
      <c r="D106" s="20" t="n">
        <f aca="false">a26_rev*ns26</f>
        <v>205.3806</v>
      </c>
    </row>
    <row r="107" customFormat="false" ht="17.15" hidden="false" customHeight="false" outlineLevel="0" collapsed="false">
      <c r="A107" s="4" t="s">
        <v>391</v>
      </c>
      <c r="B107" s="0" t="s">
        <v>186</v>
      </c>
      <c r="C107" s="20" t="n">
        <f aca="false">a25_rev*(1-nap25s-sw25s*af25)</f>
        <v>41.22112</v>
      </c>
      <c r="D107" s="20" t="n">
        <f aca="false">C107*(1+g_nai26)</f>
        <v>45.343232</v>
      </c>
    </row>
    <row r="108" customFormat="false" ht="17.15" hidden="false" customHeight="false" outlineLevel="0" collapsed="false">
      <c r="A108" s="0" t="s">
        <v>392</v>
      </c>
      <c r="B108" s="0" t="s">
        <v>186</v>
      </c>
      <c r="C108" s="20" t="n">
        <f aca="false">a25_rev*sw25s*af25</f>
        <v>50.65728</v>
      </c>
      <c r="D108" s="20" t="n">
        <f aca="false">a26_rev-D106-D107</f>
        <v>160.037368</v>
      </c>
      <c r="H108" s="8" t="s">
        <v>393</v>
      </c>
    </row>
    <row r="109" customFormat="false" ht="17.15" hidden="false" customHeight="false" outlineLevel="0" collapsed="false">
      <c r="A109" s="6" t="s">
        <v>394</v>
      </c>
    </row>
    <row r="110" customFormat="false" ht="17.15" hidden="false" customHeight="false" outlineLevel="0" collapsed="false">
      <c r="A110" s="0" t="s">
        <v>395</v>
      </c>
      <c r="B110" s="0" t="s">
        <v>32</v>
      </c>
      <c r="D110" s="14" t="n">
        <f aca="false">mkt_26*1</f>
        <v>32.0719</v>
      </c>
      <c r="E110" s="14" t="n">
        <f aca="false">mkt_27*1*1</f>
        <v>61.085</v>
      </c>
      <c r="F110" s="14" t="n">
        <f aca="false">mkt_28*um28_B*1</f>
        <v>55.204</v>
      </c>
      <c r="G110" s="14" t="n">
        <f aca="false">mkt_29*um29_B*1</f>
        <v>66.7098275</v>
      </c>
    </row>
    <row r="111" customFormat="false" ht="15" hidden="false" customHeight="false" outlineLevel="0" collapsed="false">
      <c r="A111" s="4" t="s">
        <v>396</v>
      </c>
      <c r="B111" s="0" t="s">
        <v>103</v>
      </c>
      <c r="D111" s="18" t="n">
        <f aca="false">eth_26</f>
        <v>0.75</v>
      </c>
      <c r="E111" s="18" t="n">
        <f aca="false">eth_27</f>
        <v>0.8</v>
      </c>
      <c r="F111" s="18" t="n">
        <f aca="false">eth_28</f>
        <v>0.83</v>
      </c>
      <c r="G111" s="18" t="n">
        <f aca="false">eth_29</f>
        <v>0.85</v>
      </c>
    </row>
    <row r="112" customFormat="false" ht="17.15" hidden="false" customHeight="false" outlineLevel="0" collapsed="false">
      <c r="A112" s="4" t="s">
        <v>397</v>
      </c>
      <c r="B112" s="0" t="s">
        <v>32</v>
      </c>
      <c r="D112" s="14" t="n">
        <f aca="false">su_26*1</f>
        <v>3.015</v>
      </c>
      <c r="E112" s="14" t="n">
        <f aca="false">su_27*1*1</f>
        <v>11.3414</v>
      </c>
      <c r="F112" s="14" t="n">
        <f aca="false">su_28*um28_B*1</f>
        <v>11.11616</v>
      </c>
      <c r="G112" s="14" t="n">
        <f aca="false">su_29*um29_B*1</f>
        <v>13.582558</v>
      </c>
    </row>
    <row r="113" customFormat="false" ht="17.15" hidden="false" customHeight="false" outlineLevel="0" collapsed="false">
      <c r="A113" s="0" t="s">
        <v>398</v>
      </c>
      <c r="B113" s="0" t="s">
        <v>32</v>
      </c>
      <c r="D113" s="14" t="n">
        <f aca="false">D110*D111+D112</f>
        <v>27.068925</v>
      </c>
      <c r="E113" s="14" t="n">
        <f aca="false">E110*E111+E112</f>
        <v>60.2094</v>
      </c>
      <c r="F113" s="14" t="n">
        <f aca="false">F110*F111+F112</f>
        <v>56.93548</v>
      </c>
      <c r="G113" s="14" t="n">
        <f aca="false">G110*G111+G112</f>
        <v>70.285911375</v>
      </c>
    </row>
    <row r="114" customFormat="false" ht="15" hidden="false" customHeight="false" outlineLevel="0" collapsed="false">
      <c r="A114" s="4" t="s">
        <v>355</v>
      </c>
      <c r="B114" s="0" t="s">
        <v>103</v>
      </c>
      <c r="D114" s="18" t="n">
        <f aca="false">wb_26</f>
        <v>0.45</v>
      </c>
      <c r="E114" s="18" t="n">
        <f aca="false">wb_27</f>
        <v>0.47</v>
      </c>
      <c r="F114" s="18" t="n">
        <f aca="false">wb_28</f>
        <v>0.48</v>
      </c>
      <c r="G114" s="18" t="n">
        <f aca="false">wb_29</f>
        <v>0.5</v>
      </c>
    </row>
    <row r="115" customFormat="false" ht="17.15" hidden="false" customHeight="false" outlineLevel="0" collapsed="false">
      <c r="A115" s="4" t="s">
        <v>357</v>
      </c>
      <c r="B115" s="0" t="s">
        <v>32</v>
      </c>
      <c r="D115" s="14" t="n">
        <f aca="false">D113*D114</f>
        <v>12.18101625</v>
      </c>
      <c r="E115" s="14" t="n">
        <f aca="false">E113*E114</f>
        <v>28.298418</v>
      </c>
      <c r="F115" s="14" t="n">
        <f aca="false">F113*F114</f>
        <v>27.3290304</v>
      </c>
      <c r="G115" s="14" t="n">
        <f aca="false">G113*G114</f>
        <v>35.1429556875</v>
      </c>
    </row>
    <row r="116" customFormat="false" ht="17.15" hidden="false" customHeight="false" outlineLevel="0" collapsed="false">
      <c r="A116" s="4" t="s">
        <v>399</v>
      </c>
      <c r="B116" s="0" t="s">
        <v>103</v>
      </c>
      <c r="D116" s="18" t="n">
        <f aca="false">D108/fx/D115</f>
        <v>0.410570649226414</v>
      </c>
      <c r="H116" s="8" t="s">
        <v>400</v>
      </c>
    </row>
    <row r="117" customFormat="false" ht="17.15" hidden="false" customHeight="false" outlineLevel="0" collapsed="false">
      <c r="A117" s="4" t="s">
        <v>401</v>
      </c>
      <c r="B117" s="0" t="s">
        <v>76</v>
      </c>
      <c r="D117" s="19" t="n">
        <f aca="false">1</f>
        <v>1</v>
      </c>
      <c r="E117" s="19" t="n">
        <f aca="false">rel_27</f>
        <v>1</v>
      </c>
      <c r="F117" s="19" t="n">
        <f aca="false">rel_28</f>
        <v>0.95</v>
      </c>
      <c r="G117" s="19" t="n">
        <f aca="false">rel_29</f>
        <v>0.92</v>
      </c>
    </row>
    <row r="118" customFormat="false" ht="15" hidden="false" customHeight="false" outlineLevel="0" collapsed="false">
      <c r="A118" s="4" t="s">
        <v>402</v>
      </c>
      <c r="B118" s="0" t="s">
        <v>103</v>
      </c>
      <c r="D118" s="18" t="n">
        <f aca="false">$D$116*D117</f>
        <v>0.410570649226414</v>
      </c>
      <c r="E118" s="18" t="n">
        <f aca="false">$D$116*E117</f>
        <v>0.410570649226414</v>
      </c>
      <c r="F118" s="18" t="n">
        <f aca="false">$D$116*F117</f>
        <v>0.390042116765093</v>
      </c>
      <c r="G118" s="18" t="n">
        <f aca="false">$D$116*G117</f>
        <v>0.377724997288301</v>
      </c>
    </row>
    <row r="119" customFormat="false" ht="17.15" hidden="false" customHeight="false" outlineLevel="0" collapsed="false">
      <c r="A119" s="0" t="s">
        <v>403</v>
      </c>
      <c r="B119" s="0" t="s">
        <v>186</v>
      </c>
      <c r="C119" s="20" t="n">
        <f aca="false">C108</f>
        <v>50.65728</v>
      </c>
      <c r="D119" s="20" t="n">
        <f aca="false">D115*D118*fx</f>
        <v>160.037368</v>
      </c>
      <c r="E119" s="20" t="n">
        <f aca="false">E115*E118*fx</f>
        <v>371.791995210894</v>
      </c>
      <c r="F119" s="20" t="n">
        <f aca="false">F115*F118*fx</f>
        <v>341.103131723315</v>
      </c>
      <c r="G119" s="20" t="n">
        <f aca="false">G115*G118*fx</f>
        <v>424.779930936442</v>
      </c>
    </row>
    <row r="120" customFormat="false" ht="17.15" hidden="false" customHeight="false" outlineLevel="0" collapsed="false">
      <c r="A120" s="6" t="s">
        <v>404</v>
      </c>
    </row>
    <row r="121" customFormat="false" ht="17.15" hidden="false" customHeight="false" outlineLevel="0" collapsed="false">
      <c r="A121" s="0" t="s">
        <v>405</v>
      </c>
      <c r="B121" s="4" t="s">
        <v>55</v>
      </c>
      <c r="D121" s="19" t="n">
        <f aca="false">trn_26*1</f>
        <v>2</v>
      </c>
      <c r="E121" s="19" t="n">
        <f aca="false">trn_27*1*1</f>
        <v>2.5</v>
      </c>
      <c r="F121" s="19" t="n">
        <f aca="false">trn_28*um28_B*1</f>
        <v>2.4</v>
      </c>
      <c r="G121" s="19" t="n">
        <f aca="false">trn_29*um29_B*1</f>
        <v>2.9325</v>
      </c>
    </row>
    <row r="122" customFormat="false" ht="17.15" hidden="false" customHeight="false" outlineLevel="0" collapsed="false">
      <c r="A122" s="4" t="s">
        <v>406</v>
      </c>
      <c r="B122" s="4" t="s">
        <v>407</v>
      </c>
      <c r="D122" s="20" t="n">
        <f aca="false">D106/D121</f>
        <v>102.6903</v>
      </c>
      <c r="H122" s="8" t="s">
        <v>408</v>
      </c>
    </row>
    <row r="123" customFormat="false" ht="17.15" hidden="false" customHeight="false" outlineLevel="0" collapsed="false">
      <c r="A123" s="4" t="s">
        <v>409</v>
      </c>
      <c r="B123" s="0" t="s">
        <v>76</v>
      </c>
      <c r="D123" s="19" t="n">
        <f aca="false">1</f>
        <v>1</v>
      </c>
      <c r="E123" s="19" t="n">
        <f aca="false">nrel_27</f>
        <v>0.9</v>
      </c>
      <c r="F123" s="19" t="n">
        <f aca="false">nrel_28</f>
        <v>0.85</v>
      </c>
      <c r="G123" s="19" t="n">
        <f aca="false">nrel_29</f>
        <v>0.8</v>
      </c>
    </row>
    <row r="124" customFormat="false" ht="15" hidden="false" customHeight="false" outlineLevel="0" collapsed="false">
      <c r="A124" s="4" t="s">
        <v>410</v>
      </c>
      <c r="B124" s="0" t="s">
        <v>186</v>
      </c>
      <c r="C124" s="20" t="n">
        <f aca="false">C106</f>
        <v>156.4416</v>
      </c>
      <c r="D124" s="20" t="n">
        <f aca="false">D121*$D$122*D123</f>
        <v>205.3806</v>
      </c>
      <c r="E124" s="20" t="n">
        <f aca="false">E121*$D$122*E123</f>
        <v>231.053175</v>
      </c>
      <c r="F124" s="20" t="n">
        <f aca="false">F121*$D$122*F123</f>
        <v>209.488212</v>
      </c>
      <c r="G124" s="20" t="n">
        <f aca="false">G121*$D$122*G123</f>
        <v>240.9114438</v>
      </c>
    </row>
    <row r="125" customFormat="false" ht="17.15" hidden="false" customHeight="false" outlineLevel="0" collapsed="false">
      <c r="A125" s="6" t="s">
        <v>411</v>
      </c>
    </row>
    <row r="126" customFormat="false" ht="17.15" hidden="false" customHeight="false" outlineLevel="0" collapsed="false">
      <c r="A126" s="4" t="s">
        <v>412</v>
      </c>
      <c r="B126" s="0" t="s">
        <v>186</v>
      </c>
      <c r="C126" s="20" t="n">
        <f aca="false">C107</f>
        <v>41.22112</v>
      </c>
      <c r="D126" s="20" t="n">
        <f aca="false">D107</f>
        <v>45.343232</v>
      </c>
      <c r="E126" s="20" t="n">
        <f aca="false">D126*(1+g_nai27)</f>
        <v>48.06382592</v>
      </c>
      <c r="F126" s="20" t="n">
        <f aca="false">E126*(1+g_nai28)</f>
        <v>50.467017216</v>
      </c>
      <c r="G126" s="20" t="n">
        <f aca="false">F126*(1+g_nai29)</f>
        <v>52.9903680768</v>
      </c>
    </row>
    <row r="127" customFormat="false" ht="15" hidden="false" customHeight="false" outlineLevel="0" collapsed="false">
      <c r="A127" s="4" t="s">
        <v>316</v>
      </c>
      <c r="B127" s="0" t="s">
        <v>186</v>
      </c>
      <c r="C127" s="20" t="n">
        <f aca="false">C119+C124+C126</f>
        <v>248.32</v>
      </c>
      <c r="D127" s="20" t="n">
        <f aca="false">D119+D124+D126</f>
        <v>410.7612</v>
      </c>
      <c r="E127" s="20" t="n">
        <f aca="false">E119+E124+E126</f>
        <v>650.908996130894</v>
      </c>
      <c r="F127" s="20" t="n">
        <f aca="false">F119+F124+F126</f>
        <v>601.058360939315</v>
      </c>
      <c r="G127" s="20" t="n">
        <f aca="false">G119+G124+G126</f>
        <v>718.681742813242</v>
      </c>
    </row>
    <row r="128" customFormat="false" ht="15" hidden="false" customHeight="false" outlineLevel="0" collapsed="false">
      <c r="A128" s="4" t="s">
        <v>413</v>
      </c>
      <c r="B128" s="0" t="s">
        <v>103</v>
      </c>
      <c r="D128" s="18" t="n">
        <f aca="false">D127/C127-1</f>
        <v>0.654160760309279</v>
      </c>
      <c r="E128" s="18" t="n">
        <f aca="false">E127/D127-1</f>
        <v>0.584640896294232</v>
      </c>
      <c r="F128" s="18" t="n">
        <f aca="false">F127/E127-1</f>
        <v>-0.0765861825353457</v>
      </c>
      <c r="G128" s="18" t="n">
        <f aca="false">G127/F127-1</f>
        <v>0.195693778704133</v>
      </c>
    </row>
    <row r="129" customFormat="false" ht="17.15" hidden="false" customHeight="false" outlineLevel="0" collapsed="false">
      <c r="A129" s="0" t="s">
        <v>414</v>
      </c>
      <c r="B129" s="0" t="s">
        <v>103</v>
      </c>
      <c r="C129" s="18" t="n">
        <f aca="false">(C119+C124)/C127</f>
        <v>0.834</v>
      </c>
      <c r="D129" s="18" t="n">
        <f aca="false">(D119+D124)/D127</f>
        <v>0.889611696528299</v>
      </c>
      <c r="E129" s="18" t="n">
        <f aca="false">(E119+E124)/E127</f>
        <v>0.926158915907294</v>
      </c>
      <c r="F129" s="18" t="n">
        <f aca="false">(F119+F124)/F127</f>
        <v>0.916036410944968</v>
      </c>
      <c r="G129" s="18" t="n">
        <f aca="false">(G119+G124)/G127</f>
        <v>0.926267268360858</v>
      </c>
    </row>
    <row r="130" customFormat="false" ht="17.15" hidden="false" customHeight="false" outlineLevel="0" collapsed="false">
      <c r="A130" s="4" t="s">
        <v>415</v>
      </c>
      <c r="B130" s="0" t="s">
        <v>103</v>
      </c>
      <c r="C130" s="18" t="n">
        <f aca="false">C124/C127</f>
        <v>0.63</v>
      </c>
      <c r="D130" s="18" t="n">
        <f aca="false">D124/D127</f>
        <v>0.5</v>
      </c>
      <c r="E130" s="18" t="n">
        <f aca="false">E124/E127</f>
        <v>0.354970013278994</v>
      </c>
      <c r="F130" s="18" t="n">
        <f aca="false">F124/F127</f>
        <v>0.348532231832893</v>
      </c>
      <c r="G130" s="18" t="n">
        <f aca="false">G124/G127</f>
        <v>0.335212973209761</v>
      </c>
    </row>
    <row r="131" customFormat="false" ht="17.15" hidden="false" customHeight="false" outlineLevel="0" collapsed="false">
      <c r="A131" s="6" t="s">
        <v>416</v>
      </c>
    </row>
    <row r="132" customFormat="false" ht="17.15" hidden="false" customHeight="false" outlineLevel="0" collapsed="false">
      <c r="A132" s="4" t="s">
        <v>417</v>
      </c>
      <c r="B132" s="0" t="s">
        <v>103</v>
      </c>
      <c r="D132" s="15" t="n">
        <f aca="false">a26_gp/a26_rev+d_nap*D130</f>
        <v>0.219589247962076</v>
      </c>
      <c r="H132" s="8" t="s">
        <v>418</v>
      </c>
    </row>
    <row r="133" customFormat="false" ht="15" hidden="false" customHeight="false" outlineLevel="0" collapsed="false">
      <c r="A133" s="4" t="s">
        <v>320</v>
      </c>
      <c r="B133" s="0" t="s">
        <v>186</v>
      </c>
      <c r="C133" s="20" t="n">
        <f aca="false">a25_gp</f>
        <v>44.921088</v>
      </c>
      <c r="D133" s="20" t="n">
        <f aca="false">a26_gp</f>
        <v>77.875907</v>
      </c>
      <c r="E133" s="20" t="n">
        <f aca="false">$D$132*(E119+E126)+($D$132-d_nap)*E124</f>
        <v>129.069426452133</v>
      </c>
      <c r="F133" s="20" t="n">
        <f aca="false">$D$132*(F119+F126)+($D$132-d_nap)*F124</f>
        <v>119.416660739982</v>
      </c>
      <c r="G133" s="20" t="n">
        <f aca="false">$D$132*(G119+G126)+($D$132-d_nap)*G124</f>
        <v>143.360096800434</v>
      </c>
    </row>
    <row r="134" customFormat="false" ht="15" hidden="false" customHeight="false" outlineLevel="0" collapsed="false">
      <c r="A134" s="4" t="s">
        <v>322</v>
      </c>
      <c r="B134" s="0" t="s">
        <v>103</v>
      </c>
      <c r="C134" s="15" t="n">
        <f aca="false">C133/C127</f>
        <v>0.1809</v>
      </c>
      <c r="D134" s="15" t="n">
        <f aca="false">D133/D127</f>
        <v>0.189589247962076</v>
      </c>
      <c r="E134" s="15" t="n">
        <f aca="false">E133/E127</f>
        <v>0.198291047165337</v>
      </c>
      <c r="F134" s="15" t="n">
        <f aca="false">F133/F127</f>
        <v>0.198677314052103</v>
      </c>
      <c r="G134" s="15" t="n">
        <f aca="false">G133/G127</f>
        <v>0.199476469569491</v>
      </c>
    </row>
    <row r="135" customFormat="false" ht="15" hidden="false" customHeight="false" outlineLevel="0" collapsed="false">
      <c r="A135" s="4" t="s">
        <v>419</v>
      </c>
      <c r="B135" s="0" t="s">
        <v>186</v>
      </c>
      <c r="C135" s="20" t="n">
        <f aca="false">a25_opx</f>
        <v>12.78848</v>
      </c>
      <c r="D135" s="20" t="n">
        <f aca="false">a26_opx</f>
        <v>17.956088</v>
      </c>
      <c r="E135" s="20" t="n">
        <f aca="false">D135*(1+MAX(0,phi*E128))</f>
        <v>24.2548060293549</v>
      </c>
      <c r="F135" s="20" t="n">
        <f aca="false">E135*(1+MAX(0,phi*F128))</f>
        <v>24.2548060293549</v>
      </c>
      <c r="G135" s="20" t="n">
        <f aca="false">F135*(1+MAX(0,phi*G128))</f>
        <v>27.102714815527</v>
      </c>
    </row>
    <row r="136" customFormat="false" ht="15" hidden="false" customHeight="false" outlineLevel="0" collapsed="false">
      <c r="A136" s="4" t="s">
        <v>324</v>
      </c>
      <c r="B136" s="0" t="s">
        <v>186</v>
      </c>
      <c r="C136" s="20" t="n">
        <f aca="false">C135</f>
        <v>12.78848</v>
      </c>
      <c r="D136" s="20" t="n">
        <f aca="false">D135</f>
        <v>17.956088</v>
      </c>
      <c r="E136" s="20" t="n">
        <f aca="false">E135+0*E127</f>
        <v>24.2548060293549</v>
      </c>
      <c r="F136" s="20" t="n">
        <f aca="false">F135+0*F127</f>
        <v>24.2548060293549</v>
      </c>
      <c r="G136" s="20" t="n">
        <f aca="false">G135+0*G127</f>
        <v>27.102714815527</v>
      </c>
    </row>
    <row r="137" customFormat="false" ht="15" hidden="false" customHeight="false" outlineLevel="0" collapsed="false">
      <c r="A137" s="4" t="s">
        <v>326</v>
      </c>
      <c r="B137" s="0" t="s">
        <v>186</v>
      </c>
      <c r="C137" s="20" t="n">
        <f aca="false">C133-C136</f>
        <v>32.132608</v>
      </c>
      <c r="D137" s="20" t="n">
        <f aca="false">D133-D136</f>
        <v>59.919819</v>
      </c>
      <c r="E137" s="20" t="n">
        <f aca="false">E133-E136</f>
        <v>104.814620422778</v>
      </c>
      <c r="F137" s="20" t="n">
        <f aca="false">F133-F136</f>
        <v>95.1618547106275</v>
      </c>
      <c r="G137" s="20" t="n">
        <f aca="false">G133-G136</f>
        <v>116.257381984907</v>
      </c>
    </row>
    <row r="138" customFormat="false" ht="15" hidden="false" customHeight="false" outlineLevel="0" collapsed="false">
      <c r="A138" s="4" t="s">
        <v>328</v>
      </c>
      <c r="B138" s="0" t="s">
        <v>103</v>
      </c>
      <c r="C138" s="15" t="n">
        <f aca="false">C137/C127</f>
        <v>0.1294</v>
      </c>
      <c r="D138" s="15" t="n">
        <f aca="false">D137/D127</f>
        <v>0.145875070478906</v>
      </c>
      <c r="E138" s="15" t="n">
        <f aca="false">E137/E127</f>
        <v>0.161028071582683</v>
      </c>
      <c r="F138" s="15" t="n">
        <f aca="false">F137/F127</f>
        <v>0.158323818276002</v>
      </c>
      <c r="G138" s="15" t="n">
        <f aca="false">G137/G127</f>
        <v>0.161764763259219</v>
      </c>
    </row>
    <row r="139" customFormat="false" ht="17.15" hidden="false" customHeight="false" outlineLevel="0" collapsed="false">
      <c r="A139" s="4" t="s">
        <v>224</v>
      </c>
      <c r="B139" s="0" t="s">
        <v>76</v>
      </c>
      <c r="C139" s="16" t="n">
        <f aca="false">a25_ni/a25_oi</f>
        <v>0.819790289042209</v>
      </c>
      <c r="D139" s="16" t="n">
        <f aca="false">a26_ni/a26_oi</f>
        <v>0.798164213413262</v>
      </c>
      <c r="E139" s="16" t="n">
        <f aca="false">nio_f</f>
        <v>0.8</v>
      </c>
      <c r="F139" s="16" t="n">
        <f aca="false">nio_f</f>
        <v>0.8</v>
      </c>
      <c r="G139" s="16" t="n">
        <f aca="false">nio_f</f>
        <v>0.8</v>
      </c>
    </row>
    <row r="140" customFormat="false" ht="15" hidden="false" customHeight="false" outlineLevel="0" collapsed="false">
      <c r="A140" s="4" t="s">
        <v>329</v>
      </c>
      <c r="B140" s="0" t="s">
        <v>186</v>
      </c>
      <c r="C140" s="20" t="n">
        <f aca="false">a25_ni</f>
        <v>26.342</v>
      </c>
      <c r="D140" s="20" t="n">
        <f aca="false">a26_ni</f>
        <v>47.8258552</v>
      </c>
      <c r="E140" s="20" t="n">
        <f aca="false">E137*E139</f>
        <v>83.8516963382226</v>
      </c>
      <c r="F140" s="20" t="n">
        <f aca="false">F137*F139</f>
        <v>76.129483768502</v>
      </c>
      <c r="G140" s="20" t="n">
        <f aca="false">G137*G139</f>
        <v>93.0059055879257</v>
      </c>
    </row>
    <row r="141" customFormat="false" ht="15" hidden="false" customHeight="false" outlineLevel="0" collapsed="false">
      <c r="A141" s="4" t="s">
        <v>420</v>
      </c>
      <c r="B141" s="4" t="s">
        <v>211</v>
      </c>
      <c r="C141" s="17" t="n">
        <f aca="false">a25_sh</f>
        <v>0.558922130277955</v>
      </c>
      <c r="D141" s="17" t="n">
        <f aca="false">a26_sh</f>
        <v>0.558904899135447</v>
      </c>
      <c r="E141" s="17" t="n">
        <f aca="false">D141*(1+sh_g27)</f>
        <v>0.568853406340058</v>
      </c>
      <c r="F141" s="17" t="n">
        <f aca="false">E141*(1+sh_g)</f>
        <v>0.568853406340058</v>
      </c>
      <c r="G141" s="17" t="n">
        <f aca="false">F141*(1+sh_g)</f>
        <v>0.568853406340058</v>
      </c>
    </row>
    <row r="142" customFormat="false" ht="15" hidden="false" customHeight="false" outlineLevel="0" collapsed="false">
      <c r="A142" s="0" t="s">
        <v>334</v>
      </c>
      <c r="B142" s="0" t="s">
        <v>244</v>
      </c>
      <c r="C142" s="14" t="n">
        <f aca="false">C140/C141</f>
        <v>47.13</v>
      </c>
      <c r="D142" s="14" t="n">
        <f aca="false">D140/D141</f>
        <v>85.5706494503455</v>
      </c>
      <c r="E142" s="14" t="n">
        <f aca="false">E140/E141</f>
        <v>147.404753849881</v>
      </c>
      <c r="F142" s="14" t="n">
        <f aca="false">F140/F141</f>
        <v>133.829705368754</v>
      </c>
      <c r="G142" s="14" t="n">
        <f aca="false">G140/G141</f>
        <v>163.497141005652</v>
      </c>
    </row>
    <row r="143" customFormat="false" ht="17.15" hidden="false" customHeight="false" outlineLevel="0" collapsed="false">
      <c r="A143" s="0" t="s">
        <v>421</v>
      </c>
      <c r="B143" s="0" t="s">
        <v>103</v>
      </c>
      <c r="D143" s="18" t="n">
        <f aca="false">D142/C142-1</f>
        <v>0.815630160202535</v>
      </c>
      <c r="E143" s="18" t="n">
        <f aca="false">E142/D142-1</f>
        <v>0.72260880099334</v>
      </c>
      <c r="F143" s="18" t="n">
        <f aca="false">F142/E142-1</f>
        <v>-0.0920936952613626</v>
      </c>
      <c r="G143" s="18" t="n">
        <f aca="false">G142/F142-1</f>
        <v>0.221680497279377</v>
      </c>
    </row>
    <row r="146" customFormat="false" ht="17.15" hidden="false" customHeight="false" outlineLevel="0" collapsed="false">
      <c r="A146" s="1" t="s">
        <v>423</v>
      </c>
    </row>
    <row r="147" customFormat="false" ht="17.15" hidden="false" customHeight="false" outlineLevel="0" collapsed="false">
      <c r="A147" s="5" t="s">
        <v>21</v>
      </c>
      <c r="B147" s="5" t="s">
        <v>22</v>
      </c>
      <c r="C147" s="12" t="s">
        <v>309</v>
      </c>
      <c r="D147" s="12" t="s">
        <v>371</v>
      </c>
      <c r="E147" s="12" t="s">
        <v>372</v>
      </c>
      <c r="F147" s="12" t="s">
        <v>373</v>
      </c>
      <c r="G147" s="12" t="s">
        <v>374</v>
      </c>
      <c r="H147" s="5" t="s">
        <v>350</v>
      </c>
    </row>
    <row r="148" customFormat="false" ht="17.15" hidden="false" customHeight="false" outlineLevel="0" collapsed="false">
      <c r="A148" s="6" t="s">
        <v>389</v>
      </c>
    </row>
    <row r="149" customFormat="false" ht="17.15" hidden="false" customHeight="false" outlineLevel="0" collapsed="false">
      <c r="A149" s="4" t="s">
        <v>390</v>
      </c>
      <c r="B149" s="0" t="s">
        <v>186</v>
      </c>
      <c r="C149" s="20" t="n">
        <f aca="false">a25_rev*nap25s</f>
        <v>156.4416</v>
      </c>
      <c r="D149" s="20" t="n">
        <f aca="false">a26_rev*ns26</f>
        <v>205.3806</v>
      </c>
    </row>
    <row r="150" customFormat="false" ht="17.15" hidden="false" customHeight="false" outlineLevel="0" collapsed="false">
      <c r="A150" s="4" t="s">
        <v>391</v>
      </c>
      <c r="B150" s="0" t="s">
        <v>186</v>
      </c>
      <c r="C150" s="20" t="n">
        <f aca="false">a25_rev*(1-nap25s-sw25s*af25)</f>
        <v>41.22112</v>
      </c>
      <c r="D150" s="20" t="n">
        <f aca="false">C150*(1+g_nai26)</f>
        <v>45.343232</v>
      </c>
    </row>
    <row r="151" customFormat="false" ht="17.15" hidden="false" customHeight="false" outlineLevel="0" collapsed="false">
      <c r="A151" s="0" t="s">
        <v>392</v>
      </c>
      <c r="B151" s="0" t="s">
        <v>186</v>
      </c>
      <c r="C151" s="20" t="n">
        <f aca="false">a25_rev*sw25s*af25</f>
        <v>50.65728</v>
      </c>
      <c r="D151" s="20" t="n">
        <f aca="false">a26_rev-D149-D150</f>
        <v>160.037368</v>
      </c>
      <c r="H151" s="8" t="s">
        <v>393</v>
      </c>
    </row>
    <row r="152" customFormat="false" ht="17.15" hidden="false" customHeight="false" outlineLevel="0" collapsed="false">
      <c r="A152" s="6" t="s">
        <v>394</v>
      </c>
    </row>
    <row r="153" customFormat="false" ht="17.15" hidden="false" customHeight="false" outlineLevel="0" collapsed="false">
      <c r="A153" s="0" t="s">
        <v>395</v>
      </c>
      <c r="B153" s="0" t="s">
        <v>32</v>
      </c>
      <c r="D153" s="14" t="n">
        <f aca="false">mkt_26*1</f>
        <v>32.0719</v>
      </c>
      <c r="E153" s="14" t="n">
        <f aca="false">mkt_27*1*1</f>
        <v>61.085</v>
      </c>
      <c r="F153" s="14" t="n">
        <f aca="false">mkt_28*um28_C*1</f>
        <v>41.403</v>
      </c>
      <c r="G153" s="14" t="n">
        <f aca="false">mkt_29*um29_C*1</f>
        <v>47.08929</v>
      </c>
    </row>
    <row r="154" customFormat="false" ht="15" hidden="false" customHeight="false" outlineLevel="0" collapsed="false">
      <c r="A154" s="4" t="s">
        <v>396</v>
      </c>
      <c r="B154" s="0" t="s">
        <v>103</v>
      </c>
      <c r="D154" s="18" t="n">
        <f aca="false">eth_26</f>
        <v>0.75</v>
      </c>
      <c r="E154" s="18" t="n">
        <f aca="false">eth_27</f>
        <v>0.8</v>
      </c>
      <c r="F154" s="18" t="n">
        <f aca="false">eth_28</f>
        <v>0.83</v>
      </c>
      <c r="G154" s="18" t="n">
        <f aca="false">eth_29</f>
        <v>0.85</v>
      </c>
    </row>
    <row r="155" customFormat="false" ht="17.15" hidden="false" customHeight="false" outlineLevel="0" collapsed="false">
      <c r="A155" s="4" t="s">
        <v>397</v>
      </c>
      <c r="B155" s="0" t="s">
        <v>32</v>
      </c>
      <c r="D155" s="14" t="n">
        <f aca="false">su_26*1</f>
        <v>3.015</v>
      </c>
      <c r="E155" s="14" t="n">
        <f aca="false">su_27*1*1</f>
        <v>11.3414</v>
      </c>
      <c r="F155" s="14" t="n">
        <f aca="false">su_28*um28_C*1</f>
        <v>8.33712</v>
      </c>
      <c r="G155" s="14" t="n">
        <f aca="false">su_29*um29_C*1</f>
        <v>9.587688</v>
      </c>
    </row>
    <row r="156" customFormat="false" ht="17.15" hidden="false" customHeight="false" outlineLevel="0" collapsed="false">
      <c r="A156" s="0" t="s">
        <v>398</v>
      </c>
      <c r="B156" s="0" t="s">
        <v>32</v>
      </c>
      <c r="D156" s="14" t="n">
        <f aca="false">D153*D154+D155</f>
        <v>27.068925</v>
      </c>
      <c r="E156" s="14" t="n">
        <f aca="false">E153*E154+E155</f>
        <v>60.2094</v>
      </c>
      <c r="F156" s="14" t="n">
        <f aca="false">F153*F154+F155</f>
        <v>42.70161</v>
      </c>
      <c r="G156" s="14" t="n">
        <f aca="false">G153*G154+G155</f>
        <v>49.6135845</v>
      </c>
    </row>
    <row r="157" customFormat="false" ht="15" hidden="false" customHeight="false" outlineLevel="0" collapsed="false">
      <c r="A157" s="4" t="s">
        <v>355</v>
      </c>
      <c r="B157" s="0" t="s">
        <v>103</v>
      </c>
      <c r="D157" s="18" t="n">
        <f aca="false">wb_26</f>
        <v>0.45</v>
      </c>
      <c r="E157" s="18" t="n">
        <f aca="false">wb_27</f>
        <v>0.47</v>
      </c>
      <c r="F157" s="18" t="n">
        <f aca="false">wb_28</f>
        <v>0.48</v>
      </c>
      <c r="G157" s="18" t="n">
        <f aca="false">wb_29</f>
        <v>0.5</v>
      </c>
    </row>
    <row r="158" customFormat="false" ht="17.15" hidden="false" customHeight="false" outlineLevel="0" collapsed="false">
      <c r="A158" s="4" t="s">
        <v>357</v>
      </c>
      <c r="B158" s="0" t="s">
        <v>32</v>
      </c>
      <c r="D158" s="14" t="n">
        <f aca="false">D156*D157</f>
        <v>12.18101625</v>
      </c>
      <c r="E158" s="14" t="n">
        <f aca="false">E156*E157</f>
        <v>28.298418</v>
      </c>
      <c r="F158" s="14" t="n">
        <f aca="false">F156*F157</f>
        <v>20.4967728</v>
      </c>
      <c r="G158" s="14" t="n">
        <f aca="false">G156*G157</f>
        <v>24.80679225</v>
      </c>
    </row>
    <row r="159" customFormat="false" ht="17.15" hidden="false" customHeight="false" outlineLevel="0" collapsed="false">
      <c r="A159" s="4" t="s">
        <v>399</v>
      </c>
      <c r="B159" s="0" t="s">
        <v>103</v>
      </c>
      <c r="D159" s="18" t="n">
        <f aca="false">D151/fx/D158</f>
        <v>0.410570649226414</v>
      </c>
      <c r="H159" s="8" t="s">
        <v>400</v>
      </c>
    </row>
    <row r="160" customFormat="false" ht="17.15" hidden="false" customHeight="false" outlineLevel="0" collapsed="false">
      <c r="A160" s="4" t="s">
        <v>401</v>
      </c>
      <c r="B160" s="0" t="s">
        <v>76</v>
      </c>
      <c r="D160" s="19" t="n">
        <f aca="false">1</f>
        <v>1</v>
      </c>
      <c r="E160" s="19" t="n">
        <f aca="false">rel_27</f>
        <v>1</v>
      </c>
      <c r="F160" s="19" t="n">
        <f aca="false">rel_28</f>
        <v>0.95</v>
      </c>
      <c r="G160" s="19" t="n">
        <f aca="false">rel_29</f>
        <v>0.92</v>
      </c>
    </row>
    <row r="161" customFormat="false" ht="15" hidden="false" customHeight="false" outlineLevel="0" collapsed="false">
      <c r="A161" s="4" t="s">
        <v>402</v>
      </c>
      <c r="B161" s="0" t="s">
        <v>103</v>
      </c>
      <c r="D161" s="18" t="n">
        <f aca="false">$D$159*D160</f>
        <v>0.410570649226414</v>
      </c>
      <c r="E161" s="18" t="n">
        <f aca="false">$D$159*E160</f>
        <v>0.410570649226414</v>
      </c>
      <c r="F161" s="18" t="n">
        <f aca="false">$D$159*F160</f>
        <v>0.390042116765093</v>
      </c>
      <c r="G161" s="18" t="n">
        <f aca="false">$D$159*G160</f>
        <v>0.377724997288301</v>
      </c>
    </row>
    <row r="162" customFormat="false" ht="17.15" hidden="false" customHeight="false" outlineLevel="0" collapsed="false">
      <c r="A162" s="0" t="s">
        <v>403</v>
      </c>
      <c r="B162" s="0" t="s">
        <v>186</v>
      </c>
      <c r="C162" s="20" t="n">
        <f aca="false">C151</f>
        <v>50.65728</v>
      </c>
      <c r="D162" s="20" t="n">
        <f aca="false">D158*D161*fx</f>
        <v>160.037368</v>
      </c>
      <c r="E162" s="20" t="n">
        <f aca="false">E158*E161*fx</f>
        <v>371.791995210894</v>
      </c>
      <c r="F162" s="20" t="n">
        <f aca="false">F158*F161*fx</f>
        <v>255.827348792486</v>
      </c>
      <c r="G162" s="20" t="n">
        <f aca="false">G158*G161*fx</f>
        <v>299.844657131606</v>
      </c>
    </row>
    <row r="163" customFormat="false" ht="17.15" hidden="false" customHeight="false" outlineLevel="0" collapsed="false">
      <c r="A163" s="6" t="s">
        <v>404</v>
      </c>
    </row>
    <row r="164" customFormat="false" ht="17.15" hidden="false" customHeight="false" outlineLevel="0" collapsed="false">
      <c r="A164" s="0" t="s">
        <v>405</v>
      </c>
      <c r="B164" s="4" t="s">
        <v>55</v>
      </c>
      <c r="D164" s="19" t="n">
        <f aca="false">trn_26*1</f>
        <v>2</v>
      </c>
      <c r="E164" s="19" t="n">
        <f aca="false">trn_27*1*1</f>
        <v>2.5</v>
      </c>
      <c r="F164" s="19" t="n">
        <f aca="false">trn_28*um28_C*1</f>
        <v>1.8</v>
      </c>
      <c r="G164" s="19" t="n">
        <f aca="false">trn_29*um29_C*1</f>
        <v>2.07</v>
      </c>
    </row>
    <row r="165" customFormat="false" ht="17.15" hidden="false" customHeight="false" outlineLevel="0" collapsed="false">
      <c r="A165" s="4" t="s">
        <v>406</v>
      </c>
      <c r="B165" s="4" t="s">
        <v>407</v>
      </c>
      <c r="D165" s="20" t="n">
        <f aca="false">D149/D164</f>
        <v>102.6903</v>
      </c>
      <c r="H165" s="8" t="s">
        <v>408</v>
      </c>
    </row>
    <row r="166" customFormat="false" ht="17.15" hidden="false" customHeight="false" outlineLevel="0" collapsed="false">
      <c r="A166" s="4" t="s">
        <v>409</v>
      </c>
      <c r="B166" s="0" t="s">
        <v>76</v>
      </c>
      <c r="D166" s="19" t="n">
        <f aca="false">1</f>
        <v>1</v>
      </c>
      <c r="E166" s="19" t="n">
        <f aca="false">nrel_27</f>
        <v>0.9</v>
      </c>
      <c r="F166" s="19" t="n">
        <f aca="false">nrel_28</f>
        <v>0.85</v>
      </c>
      <c r="G166" s="19" t="n">
        <f aca="false">nrel_29</f>
        <v>0.8</v>
      </c>
    </row>
    <row r="167" customFormat="false" ht="15" hidden="false" customHeight="false" outlineLevel="0" collapsed="false">
      <c r="A167" s="4" t="s">
        <v>410</v>
      </c>
      <c r="B167" s="0" t="s">
        <v>186</v>
      </c>
      <c r="C167" s="20" t="n">
        <f aca="false">C149</f>
        <v>156.4416</v>
      </c>
      <c r="D167" s="20" t="n">
        <f aca="false">D164*$D$165*D166</f>
        <v>205.3806</v>
      </c>
      <c r="E167" s="20" t="n">
        <f aca="false">E164*$D$165*E166</f>
        <v>231.053175</v>
      </c>
      <c r="F167" s="20" t="n">
        <f aca="false">F164*$D$165*F166</f>
        <v>157.116159</v>
      </c>
      <c r="G167" s="20" t="n">
        <f aca="false">G164*$D$165*G166</f>
        <v>170.0551368</v>
      </c>
    </row>
    <row r="168" customFormat="false" ht="17.15" hidden="false" customHeight="false" outlineLevel="0" collapsed="false">
      <c r="A168" s="6" t="s">
        <v>411</v>
      </c>
    </row>
    <row r="169" customFormat="false" ht="17.15" hidden="false" customHeight="false" outlineLevel="0" collapsed="false">
      <c r="A169" s="4" t="s">
        <v>412</v>
      </c>
      <c r="B169" s="0" t="s">
        <v>186</v>
      </c>
      <c r="C169" s="20" t="n">
        <f aca="false">C150</f>
        <v>41.22112</v>
      </c>
      <c r="D169" s="20" t="n">
        <f aca="false">D150</f>
        <v>45.343232</v>
      </c>
      <c r="E169" s="20" t="n">
        <f aca="false">D169*(1+g_nai27)</f>
        <v>48.06382592</v>
      </c>
      <c r="F169" s="20" t="n">
        <f aca="false">E169*(1+g_nai28)</f>
        <v>50.467017216</v>
      </c>
      <c r="G169" s="20" t="n">
        <f aca="false">F169*(1+g_nai29)</f>
        <v>52.9903680768</v>
      </c>
    </row>
    <row r="170" customFormat="false" ht="15" hidden="false" customHeight="false" outlineLevel="0" collapsed="false">
      <c r="A170" s="4" t="s">
        <v>316</v>
      </c>
      <c r="B170" s="0" t="s">
        <v>186</v>
      </c>
      <c r="C170" s="20" t="n">
        <f aca="false">C162+C167+C169</f>
        <v>248.32</v>
      </c>
      <c r="D170" s="20" t="n">
        <f aca="false">D162+D167+D169</f>
        <v>410.7612</v>
      </c>
      <c r="E170" s="20" t="n">
        <f aca="false">E162+E167+E169</f>
        <v>650.908996130894</v>
      </c>
      <c r="F170" s="20" t="n">
        <f aca="false">F162+F167+F169</f>
        <v>463.410525008486</v>
      </c>
      <c r="G170" s="20" t="n">
        <f aca="false">G162+G167+G169</f>
        <v>522.890162008406</v>
      </c>
    </row>
    <row r="171" customFormat="false" ht="15" hidden="false" customHeight="false" outlineLevel="0" collapsed="false">
      <c r="A171" s="4" t="s">
        <v>413</v>
      </c>
      <c r="B171" s="0" t="s">
        <v>103</v>
      </c>
      <c r="D171" s="18" t="n">
        <f aca="false">D170/C170-1</f>
        <v>0.654160760309279</v>
      </c>
      <c r="E171" s="18" t="n">
        <f aca="false">E170/D170-1</f>
        <v>0.584640896294232</v>
      </c>
      <c r="F171" s="18" t="n">
        <f aca="false">F170/E170-1</f>
        <v>-0.288056352327174</v>
      </c>
      <c r="G171" s="18" t="n">
        <f aca="false">G170/F170-1</f>
        <v>0.128351933739164</v>
      </c>
    </row>
    <row r="172" customFormat="false" ht="17.15" hidden="false" customHeight="false" outlineLevel="0" collapsed="false">
      <c r="A172" s="0" t="s">
        <v>414</v>
      </c>
      <c r="B172" s="0" t="s">
        <v>103</v>
      </c>
      <c r="C172" s="18" t="n">
        <f aca="false">(C162+C167)/C170</f>
        <v>0.834</v>
      </c>
      <c r="D172" s="18" t="n">
        <f aca="false">(D162+D167)/D170</f>
        <v>0.889611696528299</v>
      </c>
      <c r="E172" s="18" t="n">
        <f aca="false">(E162+E167)/E170</f>
        <v>0.926158915907294</v>
      </c>
      <c r="F172" s="18" t="n">
        <f aca="false">(F162+F167)/F170</f>
        <v>0.891096523508878</v>
      </c>
      <c r="G172" s="18" t="n">
        <f aca="false">(G162+G167)/G170</f>
        <v>0.898658701335543</v>
      </c>
    </row>
    <row r="173" customFormat="false" ht="17.15" hidden="false" customHeight="false" outlineLevel="0" collapsed="false">
      <c r="A173" s="4" t="s">
        <v>415</v>
      </c>
      <c r="B173" s="0" t="s">
        <v>103</v>
      </c>
      <c r="C173" s="18" t="n">
        <f aca="false">C167/C170</f>
        <v>0.63</v>
      </c>
      <c r="D173" s="18" t="n">
        <f aca="false">D167/D170</f>
        <v>0.5</v>
      </c>
      <c r="E173" s="18" t="n">
        <f aca="false">E167/E170</f>
        <v>0.354970013278994</v>
      </c>
      <c r="F173" s="18" t="n">
        <f aca="false">F167/F170</f>
        <v>0.33904313890394</v>
      </c>
      <c r="G173" s="18" t="n">
        <f aca="false">G167/G170</f>
        <v>0.325221526729099</v>
      </c>
    </row>
    <row r="174" customFormat="false" ht="17.15" hidden="false" customHeight="false" outlineLevel="0" collapsed="false">
      <c r="A174" s="6" t="s">
        <v>416</v>
      </c>
    </row>
    <row r="175" customFormat="false" ht="17.15" hidden="false" customHeight="false" outlineLevel="0" collapsed="false">
      <c r="A175" s="4" t="s">
        <v>417</v>
      </c>
      <c r="B175" s="0" t="s">
        <v>103</v>
      </c>
      <c r="D175" s="15" t="n">
        <f aca="false">a26_gp/a26_rev+d_nap*D173</f>
        <v>0.219589247962076</v>
      </c>
      <c r="H175" s="8" t="s">
        <v>418</v>
      </c>
    </row>
    <row r="176" customFormat="false" ht="15" hidden="false" customHeight="false" outlineLevel="0" collapsed="false">
      <c r="A176" s="4" t="s">
        <v>320</v>
      </c>
      <c r="B176" s="0" t="s">
        <v>186</v>
      </c>
      <c r="C176" s="20" t="n">
        <f aca="false">a25_gp</f>
        <v>44.921088</v>
      </c>
      <c r="D176" s="20" t="n">
        <f aca="false">a26_gp</f>
        <v>77.875907</v>
      </c>
      <c r="E176" s="20" t="n">
        <f aca="false">$D$175*(E162+E169)+($D$175-d_nap)*E167</f>
        <v>129.069426452133</v>
      </c>
      <c r="F176" s="20" t="n">
        <f aca="false">$D$175*(F162+F169)+($D$175-d_nap)*F167</f>
        <v>92.3329991443244</v>
      </c>
      <c r="G176" s="20" t="n">
        <f aca="false">$D$175*(G162+G169)+($D$175-d_nap)*G167</f>
        <v>104.617749234194</v>
      </c>
    </row>
    <row r="177" customFormat="false" ht="15" hidden="false" customHeight="false" outlineLevel="0" collapsed="false">
      <c r="A177" s="4" t="s">
        <v>322</v>
      </c>
      <c r="B177" s="0" t="s">
        <v>103</v>
      </c>
      <c r="C177" s="15" t="n">
        <f aca="false">C176/C170</f>
        <v>0.1809</v>
      </c>
      <c r="D177" s="15" t="n">
        <f aca="false">D176/D170</f>
        <v>0.189589247962076</v>
      </c>
      <c r="E177" s="15" t="n">
        <f aca="false">E176/E170</f>
        <v>0.198291047165337</v>
      </c>
      <c r="F177" s="15" t="n">
        <f aca="false">F176/F170</f>
        <v>0.19924665962784</v>
      </c>
      <c r="G177" s="15" t="n">
        <f aca="false">G176/G170</f>
        <v>0.20007595635833</v>
      </c>
    </row>
    <row r="178" customFormat="false" ht="15" hidden="false" customHeight="false" outlineLevel="0" collapsed="false">
      <c r="A178" s="4" t="s">
        <v>419</v>
      </c>
      <c r="B178" s="0" t="s">
        <v>186</v>
      </c>
      <c r="C178" s="20" t="n">
        <f aca="false">a25_opx</f>
        <v>12.78848</v>
      </c>
      <c r="D178" s="20" t="n">
        <f aca="false">a26_opx</f>
        <v>17.956088</v>
      </c>
      <c r="E178" s="20" t="n">
        <f aca="false">D178*(1+MAX(0,phi*E171))</f>
        <v>24.2548060293549</v>
      </c>
      <c r="F178" s="20" t="n">
        <f aca="false">E178*(1+MAX(0,phi*F171))</f>
        <v>24.2548060293549</v>
      </c>
      <c r="G178" s="20" t="n">
        <f aca="false">F178*(1+MAX(0,phi*G171))</f>
        <v>26.1226967831565</v>
      </c>
    </row>
    <row r="179" customFormat="false" ht="15" hidden="false" customHeight="false" outlineLevel="0" collapsed="false">
      <c r="A179" s="4" t="s">
        <v>324</v>
      </c>
      <c r="B179" s="0" t="s">
        <v>186</v>
      </c>
      <c r="C179" s="20" t="n">
        <f aca="false">C178</f>
        <v>12.78848</v>
      </c>
      <c r="D179" s="20" t="n">
        <f aca="false">D178</f>
        <v>17.956088</v>
      </c>
      <c r="E179" s="20" t="n">
        <f aca="false">E178+0*E170</f>
        <v>24.2548060293549</v>
      </c>
      <c r="F179" s="20" t="n">
        <f aca="false">F178+0*F170</f>
        <v>24.2548060293549</v>
      </c>
      <c r="G179" s="20" t="n">
        <f aca="false">G178+0*G170</f>
        <v>26.1226967831565</v>
      </c>
    </row>
    <row r="180" customFormat="false" ht="15" hidden="false" customHeight="false" outlineLevel="0" collapsed="false">
      <c r="A180" s="4" t="s">
        <v>326</v>
      </c>
      <c r="B180" s="0" t="s">
        <v>186</v>
      </c>
      <c r="C180" s="20" t="n">
        <f aca="false">C176-C179</f>
        <v>32.132608</v>
      </c>
      <c r="D180" s="20" t="n">
        <f aca="false">D176-D179</f>
        <v>59.919819</v>
      </c>
      <c r="E180" s="20" t="n">
        <f aca="false">E176-E179</f>
        <v>104.814620422778</v>
      </c>
      <c r="F180" s="20" t="n">
        <f aca="false">F176-F179</f>
        <v>68.0781931149695</v>
      </c>
      <c r="G180" s="20" t="n">
        <f aca="false">G176-G179</f>
        <v>78.4950524510377</v>
      </c>
    </row>
    <row r="181" customFormat="false" ht="15" hidden="false" customHeight="false" outlineLevel="0" collapsed="false">
      <c r="A181" s="4" t="s">
        <v>328</v>
      </c>
      <c r="B181" s="0" t="s">
        <v>103</v>
      </c>
      <c r="C181" s="15" t="n">
        <f aca="false">C180/C170</f>
        <v>0.1294</v>
      </c>
      <c r="D181" s="15" t="n">
        <f aca="false">D180/D170</f>
        <v>0.145875070478906</v>
      </c>
      <c r="E181" s="15" t="n">
        <f aca="false">E180/E170</f>
        <v>0.161028071582683</v>
      </c>
      <c r="F181" s="15" t="n">
        <f aca="false">F180/F170</f>
        <v>0.146906877252568</v>
      </c>
      <c r="G181" s="15" t="n">
        <f aca="false">G180/G170</f>
        <v>0.150117669358208</v>
      </c>
    </row>
    <row r="182" customFormat="false" ht="17.15" hidden="false" customHeight="false" outlineLevel="0" collapsed="false">
      <c r="A182" s="4" t="s">
        <v>224</v>
      </c>
      <c r="B182" s="0" t="s">
        <v>76</v>
      </c>
      <c r="C182" s="16" t="n">
        <f aca="false">a25_ni/a25_oi</f>
        <v>0.819790289042209</v>
      </c>
      <c r="D182" s="16" t="n">
        <f aca="false">a26_ni/a26_oi</f>
        <v>0.798164213413262</v>
      </c>
      <c r="E182" s="16" t="n">
        <f aca="false">nio_f</f>
        <v>0.8</v>
      </c>
      <c r="F182" s="16" t="n">
        <f aca="false">nio_f</f>
        <v>0.8</v>
      </c>
      <c r="G182" s="16" t="n">
        <f aca="false">nio_f</f>
        <v>0.8</v>
      </c>
    </row>
    <row r="183" customFormat="false" ht="15" hidden="false" customHeight="false" outlineLevel="0" collapsed="false">
      <c r="A183" s="4" t="s">
        <v>329</v>
      </c>
      <c r="B183" s="0" t="s">
        <v>186</v>
      </c>
      <c r="C183" s="20" t="n">
        <f aca="false">a25_ni</f>
        <v>26.342</v>
      </c>
      <c r="D183" s="20" t="n">
        <f aca="false">a26_ni</f>
        <v>47.8258552</v>
      </c>
      <c r="E183" s="20" t="n">
        <f aca="false">E180*E182</f>
        <v>83.8516963382226</v>
      </c>
      <c r="F183" s="20" t="n">
        <f aca="false">F180*F182</f>
        <v>54.4625544919756</v>
      </c>
      <c r="G183" s="20" t="n">
        <f aca="false">G180*G182</f>
        <v>62.7960419608301</v>
      </c>
    </row>
    <row r="184" customFormat="false" ht="15" hidden="false" customHeight="false" outlineLevel="0" collapsed="false">
      <c r="A184" s="4" t="s">
        <v>420</v>
      </c>
      <c r="B184" s="4" t="s">
        <v>211</v>
      </c>
      <c r="C184" s="17" t="n">
        <f aca="false">a25_sh</f>
        <v>0.558922130277955</v>
      </c>
      <c r="D184" s="17" t="n">
        <f aca="false">a26_sh</f>
        <v>0.558904899135447</v>
      </c>
      <c r="E184" s="17" t="n">
        <f aca="false">D184*(1+sh_g27)</f>
        <v>0.568853406340058</v>
      </c>
      <c r="F184" s="17" t="n">
        <f aca="false">E184*(1+sh_g)</f>
        <v>0.568853406340058</v>
      </c>
      <c r="G184" s="17" t="n">
        <f aca="false">F184*(1+sh_g)</f>
        <v>0.568853406340058</v>
      </c>
    </row>
    <row r="185" customFormat="false" ht="15" hidden="false" customHeight="false" outlineLevel="0" collapsed="false">
      <c r="A185" s="0" t="s">
        <v>334</v>
      </c>
      <c r="B185" s="0" t="s">
        <v>244</v>
      </c>
      <c r="C185" s="14" t="n">
        <f aca="false">C183/C184</f>
        <v>47.13</v>
      </c>
      <c r="D185" s="14" t="n">
        <f aca="false">D183/D184</f>
        <v>85.5706494503455</v>
      </c>
      <c r="E185" s="14" t="n">
        <f aca="false">E183/E184</f>
        <v>147.404753849881</v>
      </c>
      <c r="F185" s="14" t="n">
        <f aca="false">F183/F184</f>
        <v>95.74093058945</v>
      </c>
      <c r="G185" s="14" t="n">
        <f aca="false">G183/G184</f>
        <v>110.390552752164</v>
      </c>
    </row>
    <row r="186" customFormat="false" ht="17.15" hidden="false" customHeight="false" outlineLevel="0" collapsed="false">
      <c r="A186" s="0" t="s">
        <v>421</v>
      </c>
      <c r="B186" s="0" t="s">
        <v>103</v>
      </c>
      <c r="D186" s="18" t="n">
        <f aca="false">D185/C185-1</f>
        <v>0.815630160202535</v>
      </c>
      <c r="E186" s="18" t="n">
        <f aca="false">E185/D185-1</f>
        <v>0.72260880099334</v>
      </c>
      <c r="F186" s="18" t="n">
        <f aca="false">F185/E185-1</f>
        <v>-0.350489532468174</v>
      </c>
      <c r="G186" s="18" t="n">
        <f aca="false">G185/F185-1</f>
        <v>0.153013158244025</v>
      </c>
    </row>
    <row r="189" customFormat="false" ht="17.15" hidden="false" customHeight="false" outlineLevel="0" collapsed="false">
      <c r="A189" s="1" t="s">
        <v>424</v>
      </c>
    </row>
    <row r="190" customFormat="false" ht="17.15" hidden="false" customHeight="false" outlineLevel="0" collapsed="false">
      <c r="A190" s="4" t="s">
        <v>425</v>
      </c>
    </row>
    <row r="191" customFormat="false" ht="15" hidden="false" customHeight="false" outlineLevel="0" collapsed="false">
      <c r="A191" s="5" t="s">
        <v>426</v>
      </c>
      <c r="B191" s="5" t="s">
        <v>22</v>
      </c>
      <c r="C191" s="12" t="s">
        <v>309</v>
      </c>
      <c r="D191" s="12" t="s">
        <v>427</v>
      </c>
      <c r="E191" s="12" t="s">
        <v>372</v>
      </c>
      <c r="F191" s="12" t="s">
        <v>373</v>
      </c>
      <c r="G191" s="12" t="s">
        <v>374</v>
      </c>
      <c r="H191" s="12" t="s">
        <v>428</v>
      </c>
      <c r="I191" s="12" t="s">
        <v>429</v>
      </c>
      <c r="J191" s="12" t="s">
        <v>430</v>
      </c>
      <c r="K191" s="5" t="s">
        <v>350</v>
      </c>
    </row>
    <row r="192" customFormat="false" ht="17.15" hidden="false" customHeight="false" outlineLevel="0" collapsed="false">
      <c r="A192" s="1" t="s">
        <v>375</v>
      </c>
    </row>
    <row r="193" customFormat="false" ht="15" hidden="false" customHeight="false" outlineLevel="0" collapsed="false">
      <c r="A193" s="4" t="s">
        <v>316</v>
      </c>
      <c r="B193" s="0" t="s">
        <v>186</v>
      </c>
      <c r="C193" s="20" t="n">
        <f aca="false">C84</f>
        <v>248.32</v>
      </c>
      <c r="D193" s="20" t="n">
        <f aca="false">D84</f>
        <v>410.7612</v>
      </c>
      <c r="E193" s="20" t="n">
        <f aca="false">E84</f>
        <v>650.908996130894</v>
      </c>
      <c r="F193" s="20" t="n">
        <f aca="false">F84</f>
        <v>738.706196870144</v>
      </c>
      <c r="G193" s="20" t="n">
        <f aca="false">G84</f>
        <v>836.156691296144</v>
      </c>
      <c r="H193" s="21" t="n">
        <f aca="false">G193*(1+H194)</f>
        <v>926.417300354358</v>
      </c>
      <c r="I193" s="21" t="n">
        <f aca="false">H193*(1+I194)</f>
        <v>1004.21180502298</v>
      </c>
      <c r="J193" s="21" t="n">
        <f aca="false">I193*(1+J194)</f>
        <v>1064.46451332436</v>
      </c>
    </row>
    <row r="194" customFormat="false" ht="17.15" hidden="false" customHeight="false" outlineLevel="0" collapsed="false">
      <c r="A194" s="4" t="s">
        <v>376</v>
      </c>
      <c r="B194" s="0" t="s">
        <v>103</v>
      </c>
      <c r="C194" s="18"/>
      <c r="D194" s="18" t="n">
        <f aca="false">D193/C193-1</f>
        <v>0.654160760309279</v>
      </c>
      <c r="E194" s="18" t="n">
        <f aca="false">E193/D193-1</f>
        <v>0.584640896294232</v>
      </c>
      <c r="F194" s="18" t="n">
        <f aca="false">F193/E193-1</f>
        <v>0.134883987256483</v>
      </c>
      <c r="G194" s="18" t="n">
        <f aca="false">G193/F193-1</f>
        <v>0.131920504848738</v>
      </c>
      <c r="H194" s="22" t="n">
        <f aca="false">$G$194+((tp_g+tp_gd)-$G$194)*1/3</f>
        <v>0.107947003232492</v>
      </c>
      <c r="I194" s="22" t="n">
        <f aca="false">$G$194+((tp_g+tp_gd)-$G$194)*2/3</f>
        <v>0.0839735016162458</v>
      </c>
      <c r="J194" s="22" t="n">
        <f aca="false">$G$194+((tp_g+tp_gd)-$G$194)*3/3</f>
        <v>0.06</v>
      </c>
      <c r="K194" s="8" t="s">
        <v>431</v>
      </c>
    </row>
    <row r="195" customFormat="false" ht="17.15" hidden="false" customHeight="false" outlineLevel="0" collapsed="false">
      <c r="A195" s="4" t="s">
        <v>432</v>
      </c>
      <c r="B195" s="0" t="s">
        <v>103</v>
      </c>
      <c r="C195" s="18" t="n">
        <f aca="false">C196/C193</f>
        <v>0.106080863402062</v>
      </c>
      <c r="D195" s="18" t="n">
        <f aca="false">D196/D193</f>
        <v>0.1164322608854</v>
      </c>
      <c r="E195" s="18" t="n">
        <f aca="false">E196/E193</f>
        <v>0.128822457266147</v>
      </c>
      <c r="F195" s="18" t="n">
        <f aca="false">F196/F193</f>
        <v>0.130262955256087</v>
      </c>
      <c r="G195" s="18" t="n">
        <f aca="false">G196/G193</f>
        <v>0.132331706665659</v>
      </c>
      <c r="H195" s="22" t="n">
        <f aca="false">$G$195+($G$195-$G$195)*1/3</f>
        <v>0.132331706665659</v>
      </c>
      <c r="I195" s="22" t="n">
        <f aca="false">$G$195+($G$195-$G$195)*2/3</f>
        <v>0.132331706665659</v>
      </c>
      <c r="J195" s="22" t="n">
        <f aca="false">$G$195+($G$195-$G$195)*3/3</f>
        <v>0.132331706665659</v>
      </c>
      <c r="K195" s="8" t="s">
        <v>433</v>
      </c>
    </row>
    <row r="196" customFormat="false" ht="15" hidden="false" customHeight="false" outlineLevel="0" collapsed="false">
      <c r="A196" s="4" t="s">
        <v>434</v>
      </c>
      <c r="B196" s="0" t="s">
        <v>186</v>
      </c>
      <c r="C196" s="20" t="n">
        <f aca="false">C97</f>
        <v>26.342</v>
      </c>
      <c r="D196" s="20" t="n">
        <f aca="false">D97</f>
        <v>47.8258552</v>
      </c>
      <c r="E196" s="20" t="n">
        <f aca="false">E97</f>
        <v>83.8516963382226</v>
      </c>
      <c r="F196" s="20" t="n">
        <f aca="false">F97</f>
        <v>96.2260522702898</v>
      </c>
      <c r="G196" s="20" t="n">
        <f aca="false">G97</f>
        <v>110.650041999129</v>
      </c>
      <c r="H196" s="21" t="n">
        <f aca="false">H193*H195</f>
        <v>122.594382440484</v>
      </c>
      <c r="I196" s="21" t="n">
        <f aca="false">I193*I195</f>
        <v>132.889062012493</v>
      </c>
      <c r="J196" s="21" t="n">
        <f aca="false">J193*J195</f>
        <v>140.862405733242</v>
      </c>
    </row>
    <row r="197" customFormat="false" ht="17.15" hidden="false" customHeight="false" outlineLevel="0" collapsed="false">
      <c r="A197" s="4" t="s">
        <v>435</v>
      </c>
      <c r="B197" s="4" t="s">
        <v>211</v>
      </c>
      <c r="C197" s="16" t="n">
        <f aca="false">C98</f>
        <v>0.558922130277955</v>
      </c>
      <c r="D197" s="16" t="n">
        <f aca="false">D98</f>
        <v>0.558904899135447</v>
      </c>
      <c r="E197" s="16" t="n">
        <f aca="false">E98</f>
        <v>0.568853406340058</v>
      </c>
      <c r="F197" s="16" t="n">
        <f aca="false">F98</f>
        <v>0.568853406340058</v>
      </c>
      <c r="G197" s="16" t="n">
        <f aca="false">G98</f>
        <v>0.568853406340058</v>
      </c>
      <c r="H197" s="23" t="n">
        <f aca="false">G197*(1+$G$197/$F$197-1)</f>
        <v>0.568853406340058</v>
      </c>
      <c r="I197" s="23" t="n">
        <f aca="false">H197*(1+$G$197/$F$197-1)</f>
        <v>0.568853406340058</v>
      </c>
      <c r="J197" s="23" t="n">
        <f aca="false">I197*(1+$G$197/$F$197-1)</f>
        <v>0.568853406340058</v>
      </c>
      <c r="K197" s="8" t="s">
        <v>436</v>
      </c>
    </row>
    <row r="198" customFormat="false" ht="17.15" hidden="false" customHeight="false" outlineLevel="0" collapsed="false">
      <c r="A198" s="0" t="s">
        <v>437</v>
      </c>
      <c r="B198" s="0" t="s">
        <v>244</v>
      </c>
      <c r="C198" s="14" t="n">
        <f aca="false">C99</f>
        <v>47.13</v>
      </c>
      <c r="D198" s="14" t="n">
        <f aca="false">D99</f>
        <v>85.5706494503455</v>
      </c>
      <c r="E198" s="14" t="n">
        <f aca="false">E99</f>
        <v>147.404753849881</v>
      </c>
      <c r="F198" s="14" t="n">
        <f aca="false">F99</f>
        <v>169.157908167234</v>
      </c>
      <c r="G198" s="14" t="n">
        <f aca="false">G99</f>
        <v>194.514159124122</v>
      </c>
      <c r="H198" s="24" t="n">
        <f aca="false">H196/H197</f>
        <v>215.511379687859</v>
      </c>
      <c r="I198" s="24" t="n">
        <f aca="false">I196/I197</f>
        <v>233.608624878397</v>
      </c>
      <c r="J198" s="24" t="n">
        <f aca="false">J196/J197</f>
        <v>247.625142371101</v>
      </c>
    </row>
    <row r="199" customFormat="false" ht="17.15" hidden="false" customHeight="false" outlineLevel="0" collapsed="false">
      <c r="A199" s="0" t="s">
        <v>381</v>
      </c>
      <c r="B199" s="0" t="s">
        <v>103</v>
      </c>
      <c r="C199" s="18"/>
      <c r="D199" s="18" t="n">
        <f aca="false">D198/C198-1</f>
        <v>0.815630160202535</v>
      </c>
      <c r="E199" s="18" t="n">
        <f aca="false">E198/D198-1</f>
        <v>0.72260880099334</v>
      </c>
      <c r="F199" s="18" t="n">
        <f aca="false">F198/E198-1</f>
        <v>0.147574306453554</v>
      </c>
      <c r="G199" s="18" t="n">
        <f aca="false">G198/F198-1</f>
        <v>0.149896929038754</v>
      </c>
      <c r="H199" s="22" t="n">
        <f aca="false">H198/G198-1</f>
        <v>0.107947003232492</v>
      </c>
      <c r="I199" s="22" t="n">
        <f aca="false">I198/H198-1</f>
        <v>0.0839735016162455</v>
      </c>
      <c r="J199" s="22" t="n">
        <f aca="false">J198/I198-1</f>
        <v>0.0600000000000003</v>
      </c>
    </row>
    <row r="201" customFormat="false" ht="17.15" hidden="false" customHeight="false" outlineLevel="0" collapsed="false">
      <c r="A201" s="1" t="s">
        <v>382</v>
      </c>
    </row>
    <row r="202" customFormat="false" ht="15" hidden="false" customHeight="false" outlineLevel="0" collapsed="false">
      <c r="A202" s="4" t="s">
        <v>316</v>
      </c>
      <c r="B202" s="0" t="s">
        <v>186</v>
      </c>
      <c r="C202" s="20" t="n">
        <f aca="false">C127</f>
        <v>248.32</v>
      </c>
      <c r="D202" s="20" t="n">
        <f aca="false">D127</f>
        <v>410.7612</v>
      </c>
      <c r="E202" s="20" t="n">
        <f aca="false">E127</f>
        <v>650.908996130894</v>
      </c>
      <c r="F202" s="20" t="n">
        <f aca="false">F127</f>
        <v>601.058360939315</v>
      </c>
      <c r="G202" s="20" t="n">
        <f aca="false">G127</f>
        <v>718.681742813242</v>
      </c>
      <c r="H202" s="21" t="n">
        <f aca="false">G202*(1+H203)</f>
        <v>822.025196675283</v>
      </c>
      <c r="I202" s="21" t="n">
        <f aca="false">H202*(1+I203)</f>
        <v>897.567607562422</v>
      </c>
      <c r="J202" s="21" t="n">
        <f aca="false">I202*(1+J203)</f>
        <v>933.470311864918</v>
      </c>
    </row>
    <row r="203" customFormat="false" ht="17.15" hidden="false" customHeight="false" outlineLevel="0" collapsed="false">
      <c r="A203" s="4" t="s">
        <v>376</v>
      </c>
      <c r="B203" s="0" t="s">
        <v>103</v>
      </c>
      <c r="C203" s="18"/>
      <c r="D203" s="18" t="n">
        <f aca="false">D202/C202-1</f>
        <v>0.654160760309279</v>
      </c>
      <c r="E203" s="18" t="n">
        <f aca="false">E202/D202-1</f>
        <v>0.584640896294232</v>
      </c>
      <c r="F203" s="18" t="n">
        <f aca="false">F202/E202-1</f>
        <v>-0.0765861825353457</v>
      </c>
      <c r="G203" s="18" t="n">
        <f aca="false">G202/F202-1</f>
        <v>0.195693778704133</v>
      </c>
      <c r="H203" s="22" t="n">
        <f aca="false">$G$203+(tp_g-$G$203)*1/3</f>
        <v>0.143795852469422</v>
      </c>
      <c r="I203" s="22" t="n">
        <f aca="false">$G$203+(tp_g-$G$203)*2/3</f>
        <v>0.0918979262347111</v>
      </c>
      <c r="J203" s="22" t="n">
        <f aca="false">$G$203+(tp_g-$G$203)*3/3</f>
        <v>0.04</v>
      </c>
      <c r="K203" s="8" t="s">
        <v>438</v>
      </c>
    </row>
    <row r="204" customFormat="false" ht="17.15" hidden="false" customHeight="false" outlineLevel="0" collapsed="false">
      <c r="A204" s="4" t="s">
        <v>432</v>
      </c>
      <c r="B204" s="0" t="s">
        <v>103</v>
      </c>
      <c r="C204" s="18" t="n">
        <f aca="false">C205/C202</f>
        <v>0.106080863402062</v>
      </c>
      <c r="D204" s="18" t="n">
        <f aca="false">D205/D202</f>
        <v>0.1164322608854</v>
      </c>
      <c r="E204" s="18" t="n">
        <f aca="false">E205/E202</f>
        <v>0.128822457266147</v>
      </c>
      <c r="F204" s="18" t="n">
        <f aca="false">F205/F202</f>
        <v>0.126659054620801</v>
      </c>
      <c r="G204" s="18" t="n">
        <f aca="false">G205/G202</f>
        <v>0.129411810607375</v>
      </c>
      <c r="H204" s="22" t="n">
        <f aca="false">$G$204+(($G$204+$G$204*nm10_k)/2-$G$204)*1/3</f>
        <v>0.125098083587129</v>
      </c>
      <c r="I204" s="22" t="n">
        <f aca="false">$G$204+(($G$204+$G$204*nm10_k)/2-$G$204)*2/3</f>
        <v>0.120784356566884</v>
      </c>
      <c r="J204" s="22" t="n">
        <f aca="false">$G$204+(($G$204+$G$204*nm10_k)/2-$G$204)*3/3</f>
        <v>0.116470629546638</v>
      </c>
      <c r="K204" s="8" t="s">
        <v>439</v>
      </c>
    </row>
    <row r="205" customFormat="false" ht="15" hidden="false" customHeight="false" outlineLevel="0" collapsed="false">
      <c r="A205" s="4" t="s">
        <v>434</v>
      </c>
      <c r="B205" s="0" t="s">
        <v>186</v>
      </c>
      <c r="C205" s="20" t="n">
        <f aca="false">C140</f>
        <v>26.342</v>
      </c>
      <c r="D205" s="20" t="n">
        <f aca="false">D140</f>
        <v>47.8258552</v>
      </c>
      <c r="E205" s="20" t="n">
        <f aca="false">E140</f>
        <v>83.8516963382226</v>
      </c>
      <c r="F205" s="20" t="n">
        <f aca="false">F140</f>
        <v>76.129483768502</v>
      </c>
      <c r="G205" s="20" t="n">
        <f aca="false">G140</f>
        <v>93.0059055879257</v>
      </c>
      <c r="H205" s="21" t="n">
        <f aca="false">H202*H204</f>
        <v>102.833776764411</v>
      </c>
      <c r="I205" s="21" t="n">
        <f aca="false">I202*I204</f>
        <v>108.412125954704</v>
      </c>
      <c r="J205" s="21" t="n">
        <f aca="false">J202*J204</f>
        <v>108.721874886003</v>
      </c>
    </row>
    <row r="206" customFormat="false" ht="17.15" hidden="false" customHeight="false" outlineLevel="0" collapsed="false">
      <c r="A206" s="4" t="s">
        <v>435</v>
      </c>
      <c r="B206" s="4" t="s">
        <v>211</v>
      </c>
      <c r="C206" s="16" t="n">
        <f aca="false">C141</f>
        <v>0.558922130277955</v>
      </c>
      <c r="D206" s="16" t="n">
        <f aca="false">D141</f>
        <v>0.558904899135447</v>
      </c>
      <c r="E206" s="16" t="n">
        <f aca="false">E141</f>
        <v>0.568853406340058</v>
      </c>
      <c r="F206" s="16" t="n">
        <f aca="false">F141</f>
        <v>0.568853406340058</v>
      </c>
      <c r="G206" s="16" t="n">
        <f aca="false">G141</f>
        <v>0.568853406340058</v>
      </c>
      <c r="H206" s="23" t="n">
        <f aca="false">G206*(1+$G$206/$F$206-1)</f>
        <v>0.568853406340058</v>
      </c>
      <c r="I206" s="23" t="n">
        <f aca="false">H206*(1+$G$206/$F$206-1)</f>
        <v>0.568853406340058</v>
      </c>
      <c r="J206" s="23" t="n">
        <f aca="false">I206*(1+$G$206/$F$206-1)</f>
        <v>0.568853406340058</v>
      </c>
      <c r="K206" s="8" t="s">
        <v>436</v>
      </c>
    </row>
    <row r="207" customFormat="false" ht="17.15" hidden="false" customHeight="false" outlineLevel="0" collapsed="false">
      <c r="A207" s="0" t="s">
        <v>437</v>
      </c>
      <c r="B207" s="0" t="s">
        <v>244</v>
      </c>
      <c r="C207" s="14" t="n">
        <f aca="false">C142</f>
        <v>47.13</v>
      </c>
      <c r="D207" s="14" t="n">
        <f aca="false">D142</f>
        <v>85.5706494503455</v>
      </c>
      <c r="E207" s="14" t="n">
        <f aca="false">E142</f>
        <v>147.404753849881</v>
      </c>
      <c r="F207" s="14" t="n">
        <f aca="false">F142</f>
        <v>133.829705368754</v>
      </c>
      <c r="G207" s="14" t="n">
        <f aca="false">G142</f>
        <v>163.497141005652</v>
      </c>
      <c r="H207" s="24" t="n">
        <f aca="false">H205/H206</f>
        <v>180.773773380444</v>
      </c>
      <c r="I207" s="24" t="n">
        <f aca="false">I205/I206</f>
        <v>190.580076952015</v>
      </c>
      <c r="J207" s="24" t="n">
        <f aca="false">J205/J206</f>
        <v>191.124591457593</v>
      </c>
    </row>
    <row r="208" customFormat="false" ht="17.15" hidden="false" customHeight="false" outlineLevel="0" collapsed="false">
      <c r="A208" s="0" t="s">
        <v>381</v>
      </c>
      <c r="B208" s="0" t="s">
        <v>103</v>
      </c>
      <c r="C208" s="18"/>
      <c r="D208" s="18" t="n">
        <f aca="false">D207/C207-1</f>
        <v>0.815630160202535</v>
      </c>
      <c r="E208" s="18" t="n">
        <f aca="false">E207/D207-1</f>
        <v>0.72260880099334</v>
      </c>
      <c r="F208" s="18" t="n">
        <f aca="false">F207/E207-1</f>
        <v>-0.0920936952613626</v>
      </c>
      <c r="G208" s="18" t="n">
        <f aca="false">G207/F207-1</f>
        <v>0.221680497279377</v>
      </c>
      <c r="H208" s="22" t="n">
        <f aca="false">H207/G207-1</f>
        <v>0.105669324053775</v>
      </c>
      <c r="I208" s="22" t="n">
        <f aca="false">I207/H207-1</f>
        <v>0.0542462736059282</v>
      </c>
      <c r="J208" s="22" t="n">
        <f aca="false">J207/I207-1</f>
        <v>0.00285714285714289</v>
      </c>
    </row>
    <row r="210" customFormat="false" ht="17.15" hidden="false" customHeight="false" outlineLevel="0" collapsed="false">
      <c r="A210" s="1" t="s">
        <v>383</v>
      </c>
    </row>
    <row r="211" customFormat="false" ht="15" hidden="false" customHeight="false" outlineLevel="0" collapsed="false">
      <c r="A211" s="4" t="s">
        <v>316</v>
      </c>
      <c r="B211" s="0" t="s">
        <v>186</v>
      </c>
      <c r="C211" s="20" t="n">
        <f aca="false">C170</f>
        <v>248.32</v>
      </c>
      <c r="D211" s="20" t="n">
        <f aca="false">D170</f>
        <v>410.7612</v>
      </c>
      <c r="E211" s="20" t="n">
        <f aca="false">E170</f>
        <v>650.908996130894</v>
      </c>
      <c r="F211" s="20" t="n">
        <f aca="false">F170</f>
        <v>463.410525008486</v>
      </c>
      <c r="G211" s="20" t="n">
        <f aca="false">G170</f>
        <v>522.890162008406</v>
      </c>
      <c r="H211" s="21" t="n">
        <f aca="false">G211*(1+H212)</f>
        <v>571.118738706438</v>
      </c>
      <c r="I211" s="21" t="n">
        <f aca="false">H211*(1+I212)</f>
        <v>603.168386725072</v>
      </c>
      <c r="J211" s="21" t="n">
        <f aca="false">I211*(1+J212)</f>
        <v>615.231754459573</v>
      </c>
    </row>
    <row r="212" customFormat="false" ht="17.15" hidden="false" customHeight="false" outlineLevel="0" collapsed="false">
      <c r="A212" s="4" t="s">
        <v>376</v>
      </c>
      <c r="B212" s="0" t="s">
        <v>103</v>
      </c>
      <c r="C212" s="18"/>
      <c r="D212" s="18" t="n">
        <f aca="false">D211/C211-1</f>
        <v>0.654160760309279</v>
      </c>
      <c r="E212" s="18" t="n">
        <f aca="false">E211/D211-1</f>
        <v>0.584640896294232</v>
      </c>
      <c r="F212" s="18" t="n">
        <f aca="false">F211/E211-1</f>
        <v>-0.288056352327174</v>
      </c>
      <c r="G212" s="18" t="n">
        <f aca="false">G211/F211-1</f>
        <v>0.128351933739164</v>
      </c>
      <c r="H212" s="22" t="n">
        <f aca="false">$G$212+((tp_g-tp_gd)-$G$212)*1/3</f>
        <v>0.0922346224927758</v>
      </c>
      <c r="I212" s="22" t="n">
        <f aca="false">$G$212+((tp_g-tp_gd)-$G$212)*2/3</f>
        <v>0.0561173112463879</v>
      </c>
      <c r="J212" s="22" t="n">
        <f aca="false">$G$212+((tp_g-tp_gd)-$G$212)*3/3</f>
        <v>0.02</v>
      </c>
      <c r="K212" s="8" t="s">
        <v>440</v>
      </c>
    </row>
    <row r="213" customFormat="false" ht="17.15" hidden="false" customHeight="false" outlineLevel="0" collapsed="false">
      <c r="A213" s="4" t="s">
        <v>432</v>
      </c>
      <c r="B213" s="0" t="s">
        <v>103</v>
      </c>
      <c r="C213" s="18" t="n">
        <f aca="false">C214/C211</f>
        <v>0.106080863402062</v>
      </c>
      <c r="D213" s="18" t="n">
        <f aca="false">D214/D211</f>
        <v>0.1164322608854</v>
      </c>
      <c r="E213" s="18" t="n">
        <f aca="false">E214/E211</f>
        <v>0.128822457266147</v>
      </c>
      <c r="F213" s="18" t="n">
        <f aca="false">F214/F211</f>
        <v>0.117525501802054</v>
      </c>
      <c r="G213" s="18" t="n">
        <f aca="false">G214/G211</f>
        <v>0.120094135486566</v>
      </c>
      <c r="H213" s="22" t="n">
        <f aca="false">$G$213+($G$213*nm10_k-$G$213)*1/3</f>
        <v>0.112087859787462</v>
      </c>
      <c r="I213" s="22" t="n">
        <f aca="false">$G$213+($G$213*nm10_k-$G$213)*2/3</f>
        <v>0.104081584088357</v>
      </c>
      <c r="J213" s="22" t="n">
        <f aca="false">$G$213+($G$213*nm10_k-$G$213)*3/3</f>
        <v>0.096075308389253</v>
      </c>
      <c r="K213" s="8" t="s">
        <v>441</v>
      </c>
    </row>
    <row r="214" customFormat="false" ht="15" hidden="false" customHeight="false" outlineLevel="0" collapsed="false">
      <c r="A214" s="4" t="s">
        <v>434</v>
      </c>
      <c r="B214" s="0" t="s">
        <v>186</v>
      </c>
      <c r="C214" s="20" t="n">
        <f aca="false">C183</f>
        <v>26.342</v>
      </c>
      <c r="D214" s="20" t="n">
        <f aca="false">D183</f>
        <v>47.8258552</v>
      </c>
      <c r="E214" s="20" t="n">
        <f aca="false">E183</f>
        <v>83.8516963382226</v>
      </c>
      <c r="F214" s="20" t="n">
        <f aca="false">F183</f>
        <v>54.4625544919756</v>
      </c>
      <c r="G214" s="20" t="n">
        <f aca="false">G183</f>
        <v>62.7960419608301</v>
      </c>
      <c r="H214" s="21" t="n">
        <f aca="false">H211*H213</f>
        <v>64.0154771061193</v>
      </c>
      <c r="I214" s="21" t="n">
        <f aca="false">I211*I213</f>
        <v>62.7787211623645</v>
      </c>
      <c r="J214" s="21" t="n">
        <f aca="false">J211*J213</f>
        <v>59.1085805405647</v>
      </c>
    </row>
    <row r="215" customFormat="false" ht="17.15" hidden="false" customHeight="false" outlineLevel="0" collapsed="false">
      <c r="A215" s="4" t="s">
        <v>435</v>
      </c>
      <c r="B215" s="4" t="s">
        <v>211</v>
      </c>
      <c r="C215" s="16" t="n">
        <f aca="false">C184</f>
        <v>0.558922130277955</v>
      </c>
      <c r="D215" s="16" t="n">
        <f aca="false">D184</f>
        <v>0.558904899135447</v>
      </c>
      <c r="E215" s="16" t="n">
        <f aca="false">E184</f>
        <v>0.568853406340058</v>
      </c>
      <c r="F215" s="16" t="n">
        <f aca="false">F184</f>
        <v>0.568853406340058</v>
      </c>
      <c r="G215" s="16" t="n">
        <f aca="false">G184</f>
        <v>0.568853406340058</v>
      </c>
      <c r="H215" s="23" t="n">
        <f aca="false">G215*(1+$G$215/$F$215-1)</f>
        <v>0.568853406340058</v>
      </c>
      <c r="I215" s="23" t="n">
        <f aca="false">H215*(1+$G$215/$F$215-1)</f>
        <v>0.568853406340058</v>
      </c>
      <c r="J215" s="23" t="n">
        <f aca="false">I215*(1+$G$215/$F$215-1)</f>
        <v>0.568853406340058</v>
      </c>
      <c r="K215" s="8" t="s">
        <v>436</v>
      </c>
    </row>
    <row r="216" customFormat="false" ht="17.15" hidden="false" customHeight="false" outlineLevel="0" collapsed="false">
      <c r="A216" s="0" t="s">
        <v>437</v>
      </c>
      <c r="B216" s="0" t="s">
        <v>244</v>
      </c>
      <c r="C216" s="14" t="n">
        <f aca="false">C185</f>
        <v>47.13</v>
      </c>
      <c r="D216" s="14" t="n">
        <f aca="false">D185</f>
        <v>85.5706494503455</v>
      </c>
      <c r="E216" s="14" t="n">
        <f aca="false">E185</f>
        <v>147.404753849881</v>
      </c>
      <c r="F216" s="14" t="n">
        <f aca="false">F185</f>
        <v>95.74093058945</v>
      </c>
      <c r="G216" s="14" t="n">
        <f aca="false">G185</f>
        <v>110.390552752164</v>
      </c>
      <c r="H216" s="24" t="n">
        <f aca="false">H214/H215</f>
        <v>112.534224797893</v>
      </c>
      <c r="I216" s="24" t="n">
        <f aca="false">I214/I215</f>
        <v>110.36010413698</v>
      </c>
      <c r="J216" s="24" t="n">
        <f aca="false">J214/J215</f>
        <v>103.908282664356</v>
      </c>
    </row>
    <row r="217" customFormat="false" ht="17.15" hidden="false" customHeight="false" outlineLevel="0" collapsed="false">
      <c r="A217" s="0" t="s">
        <v>381</v>
      </c>
      <c r="B217" s="0" t="s">
        <v>103</v>
      </c>
      <c r="C217" s="18"/>
      <c r="D217" s="18" t="n">
        <f aca="false">D216/C216-1</f>
        <v>0.815630160202535</v>
      </c>
      <c r="E217" s="18" t="n">
        <f aca="false">E216/D216-1</f>
        <v>0.72260880099334</v>
      </c>
      <c r="F217" s="18" t="n">
        <f aca="false">F216/E216-1</f>
        <v>-0.350489532468174</v>
      </c>
      <c r="G217" s="18" t="n">
        <f aca="false">G216/F216-1</f>
        <v>0.153013158244025</v>
      </c>
      <c r="H217" s="22" t="n">
        <f aca="false">H216/G216-1</f>
        <v>0.0194189809932575</v>
      </c>
      <c r="I217" s="22" t="n">
        <f aca="false">I216/H216-1</f>
        <v>-0.0193196395569254</v>
      </c>
      <c r="J217" s="22" t="n">
        <f aca="false">J216/I216-1</f>
        <v>-0.0584615384615383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442</v>
      </c>
    </row>
    <row r="2" customFormat="false" ht="17.15" hidden="false" customHeight="false" outlineLevel="0" collapsed="false">
      <c r="A2" s="4" t="s">
        <v>443</v>
      </c>
    </row>
    <row r="3" customFormat="false" ht="17.15" hidden="false" customHeight="false" outlineLevel="0" collapsed="false">
      <c r="A3" s="6" t="s">
        <v>444</v>
      </c>
    </row>
    <row r="4" customFormat="false" ht="17.15" hidden="false" customHeight="false" outlineLevel="0" collapsed="false">
      <c r="A4" s="6" t="s">
        <v>445</v>
      </c>
    </row>
    <row r="5" customFormat="false" ht="17.15" hidden="false" customHeight="false" outlineLevel="0" collapsed="false">
      <c r="A5" s="5" t="s">
        <v>21</v>
      </c>
      <c r="B5" s="12" t="s">
        <v>446</v>
      </c>
      <c r="C5" s="12" t="s">
        <v>447</v>
      </c>
      <c r="D5" s="12" t="s">
        <v>448</v>
      </c>
      <c r="E5" s="5" t="s">
        <v>350</v>
      </c>
      <c r="F5" s="5" t="s">
        <v>449</v>
      </c>
      <c r="G5" s="5" t="s">
        <v>450</v>
      </c>
    </row>
    <row r="6" customFormat="false" ht="17.15" hidden="false" customHeight="false" outlineLevel="0" collapsed="false">
      <c r="A6" s="4" t="s">
        <v>451</v>
      </c>
      <c r="E6" s="4" t="s">
        <v>452</v>
      </c>
    </row>
    <row r="7" customFormat="false" ht="15" hidden="false" customHeight="false" outlineLevel="0" collapsed="false">
      <c r="A7" s="0" t="s">
        <v>453</v>
      </c>
      <c r="B7" s="14" t="n">
        <f aca="false">PL!E198</f>
        <v>147.404753849881</v>
      </c>
      <c r="C7" s="14" t="n">
        <f aca="false">PL!E207</f>
        <v>147.404753849881</v>
      </c>
      <c r="D7" s="14" t="n">
        <f aca="false">PL!E216</f>
        <v>147.404753849881</v>
      </c>
      <c r="F7" s="16" t="n">
        <v>1</v>
      </c>
      <c r="G7" s="16" t="n">
        <v>1</v>
      </c>
    </row>
    <row r="8" customFormat="false" ht="15" hidden="false" customHeight="false" outlineLevel="0" collapsed="false">
      <c r="A8" s="0" t="s">
        <v>454</v>
      </c>
      <c r="B8" s="14" t="n">
        <f aca="false">PL!F198</f>
        <v>169.157908167234</v>
      </c>
      <c r="C8" s="14" t="n">
        <f aca="false">PL!F207</f>
        <v>133.829705368754</v>
      </c>
      <c r="D8" s="14" t="n">
        <f aca="false">PL!F216</f>
        <v>95.74093058945</v>
      </c>
      <c r="F8" s="16" t="n">
        <v>2</v>
      </c>
      <c r="G8" s="16" t="n">
        <v>1</v>
      </c>
    </row>
    <row r="9" customFormat="false" ht="15" hidden="false" customHeight="false" outlineLevel="0" collapsed="false">
      <c r="A9" s="0" t="s">
        <v>455</v>
      </c>
      <c r="B9" s="14" t="n">
        <f aca="false">PL!G198</f>
        <v>194.514159124122</v>
      </c>
      <c r="C9" s="14" t="n">
        <f aca="false">PL!G207</f>
        <v>163.497141005652</v>
      </c>
      <c r="D9" s="14" t="n">
        <f aca="false">PL!G216</f>
        <v>110.390552752164</v>
      </c>
      <c r="F9" s="16" t="n">
        <v>3</v>
      </c>
      <c r="G9" s="16" t="n">
        <v>1</v>
      </c>
    </row>
    <row r="10" customFormat="false" ht="15" hidden="false" customHeight="false" outlineLevel="0" collapsed="false">
      <c r="A10" s="0" t="s">
        <v>456</v>
      </c>
      <c r="B10" s="14" t="n">
        <f aca="false">PL!H198</f>
        <v>215.511379687859</v>
      </c>
      <c r="C10" s="14" t="n">
        <f aca="false">PL!H207</f>
        <v>180.773773380444</v>
      </c>
      <c r="D10" s="14" t="n">
        <f aca="false">PL!H216</f>
        <v>112.534224797893</v>
      </c>
      <c r="F10" s="16" t="n">
        <v>4</v>
      </c>
      <c r="G10" s="16" t="n">
        <v>1</v>
      </c>
    </row>
    <row r="11" customFormat="false" ht="15" hidden="false" customHeight="false" outlineLevel="0" collapsed="false">
      <c r="A11" s="0" t="s">
        <v>457</v>
      </c>
      <c r="B11" s="14" t="n">
        <f aca="false">PL!I198</f>
        <v>233.608624878397</v>
      </c>
      <c r="C11" s="14" t="n">
        <f aca="false">PL!I207</f>
        <v>190.580076952015</v>
      </c>
      <c r="D11" s="14" t="n">
        <f aca="false">PL!I216</f>
        <v>110.36010413698</v>
      </c>
      <c r="F11" s="16" t="n">
        <v>5</v>
      </c>
      <c r="G11" s="16" t="n">
        <v>1</v>
      </c>
    </row>
    <row r="12" customFormat="false" ht="15" hidden="false" customHeight="false" outlineLevel="0" collapsed="false">
      <c r="A12" s="0" t="s">
        <v>458</v>
      </c>
      <c r="B12" s="14" t="n">
        <f aca="false">PL!J198</f>
        <v>247.625142371101</v>
      </c>
      <c r="C12" s="14" t="n">
        <f aca="false">PL!J207</f>
        <v>191.124591457593</v>
      </c>
      <c r="D12" s="14" t="n">
        <f aca="false">PL!J216</f>
        <v>103.908282664356</v>
      </c>
      <c r="F12" s="16" t="n">
        <v>6</v>
      </c>
      <c r="G12" s="16" t="n">
        <v>1</v>
      </c>
    </row>
    <row r="13" customFormat="false" ht="17.15" hidden="false" customHeight="false" outlineLevel="0" collapsed="false">
      <c r="A13" s="4" t="s">
        <v>459</v>
      </c>
      <c r="B13" s="18" t="n">
        <f aca="false">1-MIN(0.8,tp_g/tp_roe)</f>
        <v>0.910614525139665</v>
      </c>
      <c r="E13" s="8" t="s">
        <v>460</v>
      </c>
    </row>
    <row r="14" customFormat="false" ht="17.15" hidden="false" customHeight="false" outlineLevel="0" collapsed="false">
      <c r="A14" s="0" t="s">
        <v>461</v>
      </c>
      <c r="B14" s="14" t="n">
        <f aca="false">B7*$B$13*$G$7</f>
        <v>134.228909930339</v>
      </c>
      <c r="C14" s="14" t="n">
        <f aca="false">C7*$B$13*$G$7</f>
        <v>134.228909930339</v>
      </c>
      <c r="D14" s="14" t="n">
        <f aca="false">D7*$B$13*$G$7</f>
        <v>134.228909930339</v>
      </c>
    </row>
    <row r="15" customFormat="false" ht="17.15" hidden="false" customHeight="false" outlineLevel="0" collapsed="false">
      <c r="A15" s="0" t="s">
        <v>462</v>
      </c>
      <c r="B15" s="14" t="n">
        <f aca="false">B8*$B$13*$G$8</f>
        <v>154.037648219325</v>
      </c>
      <c r="C15" s="14" t="n">
        <f aca="false">C8*$B$13*$G$8</f>
        <v>121.867273603949</v>
      </c>
      <c r="D15" s="14" t="n">
        <f aca="false">D8*$B$13*$G$8</f>
        <v>87.1830820451416</v>
      </c>
    </row>
    <row r="16" customFormat="false" ht="17.15" hidden="false" customHeight="false" outlineLevel="0" collapsed="false">
      <c r="A16" s="0" t="s">
        <v>463</v>
      </c>
      <c r="B16" s="14" t="n">
        <f aca="false">B9*$B$13*$G$9</f>
        <v>177.127418643754</v>
      </c>
      <c r="C16" s="14" t="n">
        <f aca="false">C9*$B$13*$G$9</f>
        <v>148.882871418554</v>
      </c>
      <c r="D16" s="14" t="n">
        <f aca="false">D9*$B$13*$G$9</f>
        <v>100.523240774317</v>
      </c>
    </row>
    <row r="17" customFormat="false" ht="17.15" hidden="false" customHeight="false" outlineLevel="0" collapsed="false">
      <c r="A17" s="0" t="s">
        <v>464</v>
      </c>
      <c r="B17" s="14" t="n">
        <f aca="false">B10*$B$13*$G$10</f>
        <v>196.247792676654</v>
      </c>
      <c r="C17" s="14" t="n">
        <f aca="false">C10*$B$13*$G$10</f>
        <v>164.615223804538</v>
      </c>
      <c r="D17" s="14" t="n">
        <f aca="false">D10*$B$13*$G$10</f>
        <v>102.475299676294</v>
      </c>
    </row>
    <row r="18" customFormat="false" ht="17.15" hidden="false" customHeight="false" outlineLevel="0" collapsed="false">
      <c r="A18" s="0" t="s">
        <v>465</v>
      </c>
      <c r="B18" s="14" t="n">
        <f aca="false">B11*$B$13*$G$11</f>
        <v>212.727407012172</v>
      </c>
      <c r="C18" s="14" t="n">
        <f aca="false">C11*$B$13*$G$11</f>
        <v>173.54498627474</v>
      </c>
      <c r="D18" s="14" t="n">
        <f aca="false">D11*$B$13*$G$11</f>
        <v>100.49551382306</v>
      </c>
    </row>
    <row r="19" customFormat="false" ht="17.15" hidden="false" customHeight="false" outlineLevel="0" collapsed="false">
      <c r="A19" s="0" t="s">
        <v>466</v>
      </c>
      <c r="B19" s="14" t="n">
        <f aca="false">B12*$B$13*$G$12</f>
        <v>225.491051432902</v>
      </c>
      <c r="C19" s="14" t="n">
        <f aca="false">C12*$B$13*$G$12</f>
        <v>174.040829092668</v>
      </c>
      <c r="D19" s="14" t="n">
        <f aca="false">D12*$B$13*$G$12</f>
        <v>94.620391476481</v>
      </c>
    </row>
    <row r="20" customFormat="false" ht="17.15" hidden="false" customHeight="false" outlineLevel="0" collapsed="false">
      <c r="A20" s="4" t="s">
        <v>467</v>
      </c>
      <c r="B20" s="14" t="n">
        <f aca="false">B19*(1+tp_g)/(tp_r-tp_g)</f>
        <v>3908.5115581703</v>
      </c>
      <c r="C20" s="14" t="n">
        <f aca="false">C19*(1+tp_g)/(tp_r-tp_g)</f>
        <v>3016.70770427291</v>
      </c>
      <c r="D20" s="14" t="n">
        <f aca="false">D19*(1+tp_g)/(tp_r-tp_g)</f>
        <v>1640.08678559234</v>
      </c>
    </row>
    <row r="21" customFormat="false" ht="17.15" hidden="false" customHeight="false" outlineLevel="0" collapsed="false">
      <c r="A21" s="9" t="s">
        <v>468</v>
      </c>
      <c r="B21" s="25" t="n">
        <f aca="false">MAX(0,B14/(1+tp_r)^$F$7+B15/(1+tp_r)^$F$8+B16/(1+tp_r)^$F$9+B17/(1+tp_r)^$F$10+B18/(1+tp_r)^$F$11+B19/(1+tp_r)^$F$12+B20/(1+tp_r)^$F$12)</f>
        <v>2982.07214042305</v>
      </c>
      <c r="C21" s="25" t="n">
        <f aca="false">MAX(0,C14/(1+tp_r)^$F$7+C15/(1+tp_r)^$F$8+C16/(1+tp_r)^$F$9+C17/(1+tp_r)^$F$10+C18/(1+tp_r)^$F$11+C19/(1+tp_r)^$F$12+C20/(1+tp_r)^$F$12)</f>
        <v>2355.88750144355</v>
      </c>
      <c r="D21" s="25" t="n">
        <f aca="false">MAX(0,D14/(1+tp_r)^$F$7+D15/(1+tp_r)^$F$8+D16/(1+tp_r)^$F$9+D17/(1+tp_r)^$F$10+D18/(1+tp_r)^$F$11+D19/(1+tp_r)^$F$12+D20/(1+tp_r)^$F$12)</f>
        <v>1381.19180796332</v>
      </c>
      <c r="E21" s="10" t="s">
        <v>469</v>
      </c>
    </row>
    <row r="22" customFormat="false" ht="15" hidden="false" customHeight="false" outlineLevel="0" collapsed="false">
      <c r="A22" s="4" t="s">
        <v>470</v>
      </c>
      <c r="B22" s="18" t="n">
        <f aca="false">B20/(1+tp_r)^$F$12/B21</f>
        <v>0.739838869085177</v>
      </c>
      <c r="C22" s="18" t="n">
        <f aca="false">C20/(1+tp_r)^$F$12/C21</f>
        <v>0.722807372003558</v>
      </c>
      <c r="D22" s="18" t="n">
        <f aca="false">D20/(1+tp_r)^$F$12/D21</f>
        <v>0.670280715650723</v>
      </c>
    </row>
    <row r="23" customFormat="false" ht="17.15" hidden="false" customHeight="false" outlineLevel="0" collapsed="false">
      <c r="A23" s="9" t="s">
        <v>471</v>
      </c>
      <c r="B23" s="25" t="n">
        <f aca="false">(tp_wA*B21+tp_wB*C21+tp_wC*D21)*(1+tp_r)</f>
        <v>2583.68412988549</v>
      </c>
      <c r="C23" s="9"/>
      <c r="D23" s="9"/>
      <c r="E23" s="9" t="s">
        <v>472</v>
      </c>
    </row>
    <row r="25" customFormat="false" ht="17.15" hidden="false" customHeight="false" outlineLevel="0" collapsed="false">
      <c r="A25" s="6" t="s">
        <v>473</v>
      </c>
    </row>
    <row r="26" customFormat="false" ht="17.15" hidden="false" customHeight="false" outlineLevel="0" collapsed="false">
      <c r="A26" s="5" t="s">
        <v>474</v>
      </c>
      <c r="B26" s="5" t="s">
        <v>475</v>
      </c>
      <c r="C26" s="5" t="s">
        <v>476</v>
      </c>
      <c r="D26" s="5" t="s">
        <v>477</v>
      </c>
      <c r="E26" s="5" t="s">
        <v>478</v>
      </c>
      <c r="F26" s="5" t="s">
        <v>26</v>
      </c>
    </row>
    <row r="27" customFormat="false" ht="17.15" hidden="false" customHeight="false" outlineLevel="0" collapsed="false">
      <c r="A27" s="0" t="s">
        <v>479</v>
      </c>
      <c r="B27" s="0" t="s">
        <v>480</v>
      </c>
      <c r="C27" s="26" t="n">
        <v>37.06</v>
      </c>
      <c r="D27" s="8" t="s">
        <v>481</v>
      </c>
      <c r="E27" s="8" t="s">
        <v>482</v>
      </c>
      <c r="F27" s="8" t="s">
        <v>483</v>
      </c>
    </row>
    <row r="28" customFormat="false" ht="17.15" hidden="false" customHeight="false" outlineLevel="0" collapsed="false">
      <c r="A28" s="0" t="s">
        <v>484</v>
      </c>
      <c r="B28" s="0" t="s">
        <v>485</v>
      </c>
      <c r="C28" s="26" t="n">
        <v>16.65</v>
      </c>
      <c r="D28" s="8" t="s">
        <v>481</v>
      </c>
      <c r="E28" s="4" t="s">
        <v>38</v>
      </c>
      <c r="F28" s="8" t="s">
        <v>486</v>
      </c>
    </row>
    <row r="29" customFormat="false" ht="17.15" hidden="false" customHeight="false" outlineLevel="0" collapsed="false">
      <c r="A29" s="4" t="s">
        <v>487</v>
      </c>
      <c r="B29" s="0" t="s">
        <v>488</v>
      </c>
      <c r="C29" s="26" t="n">
        <v>11.73</v>
      </c>
      <c r="D29" s="8" t="s">
        <v>489</v>
      </c>
      <c r="E29" s="4" t="s">
        <v>490</v>
      </c>
      <c r="F29" s="8" t="s">
        <v>486</v>
      </c>
    </row>
    <row r="30" customFormat="false" ht="17.15" hidden="false" customHeight="false" outlineLevel="0" collapsed="false">
      <c r="A30" s="4" t="s">
        <v>491</v>
      </c>
      <c r="B30" s="0" t="s">
        <v>492</v>
      </c>
      <c r="C30" s="26" t="n">
        <v>11.52</v>
      </c>
      <c r="D30" s="8" t="s">
        <v>489</v>
      </c>
      <c r="E30" s="4" t="s">
        <v>490</v>
      </c>
      <c r="F30" s="8" t="s">
        <v>486</v>
      </c>
    </row>
    <row r="31" customFormat="false" ht="17.15" hidden="false" customHeight="false" outlineLevel="0" collapsed="false">
      <c r="A31" s="4" t="s">
        <v>493</v>
      </c>
      <c r="E31" s="4" t="s">
        <v>494</v>
      </c>
    </row>
    <row r="32" customFormat="false" ht="17.15" hidden="false" customHeight="false" outlineLevel="0" collapsed="false">
      <c r="A32" s="10" t="s">
        <v>495</v>
      </c>
      <c r="B32" s="27" t="n">
        <f aca="false">MEDIAN(C27:C30)</f>
        <v>14.19</v>
      </c>
      <c r="C32" s="9"/>
      <c r="D32" s="9"/>
      <c r="E32" s="9"/>
    </row>
    <row r="33" customFormat="false" ht="17.15" hidden="false" customHeight="false" outlineLevel="0" collapsed="false">
      <c r="A33" s="4" t="s">
        <v>496</v>
      </c>
      <c r="B33" s="14" t="n">
        <f aca="false">2/12*PL!E198+10/12*PL!F198</f>
        <v>165.532382447675</v>
      </c>
      <c r="C33" s="14" t="n">
        <f aca="false">2/12*PL!E207+10/12*PL!F207</f>
        <v>136.092213448942</v>
      </c>
      <c r="D33" s="14" t="n">
        <f aca="false">2/12*PL!E216+10/12*PL!F216</f>
        <v>104.351567799522</v>
      </c>
      <c r="E33" s="4" t="s">
        <v>497</v>
      </c>
    </row>
    <row r="34" customFormat="false" ht="17.15" hidden="false" customHeight="false" outlineLevel="0" collapsed="false">
      <c r="A34" s="0" t="s">
        <v>498</v>
      </c>
      <c r="B34" s="14" t="n">
        <f aca="false">tp_wA*B33+tp_wB*C33+tp_wC*D33</f>
        <v>138.576135018678</v>
      </c>
    </row>
    <row r="35" customFormat="false" ht="17.15" hidden="false" customHeight="false" outlineLevel="0" collapsed="false">
      <c r="A35" s="9" t="s">
        <v>499</v>
      </c>
      <c r="B35" s="25" t="n">
        <f aca="false">B32*B34</f>
        <v>1966.39535591504</v>
      </c>
      <c r="C35" s="9"/>
      <c r="D35" s="9"/>
      <c r="E35" s="10" t="s">
        <v>500</v>
      </c>
    </row>
    <row r="37" customFormat="false" ht="17.15" hidden="false" customHeight="false" outlineLevel="0" collapsed="false">
      <c r="A37" s="6" t="s">
        <v>501</v>
      </c>
    </row>
    <row r="38" customFormat="false" ht="15" hidden="false" customHeight="false" outlineLevel="0" collapsed="false">
      <c r="A38" s="5" t="s">
        <v>21</v>
      </c>
      <c r="B38" s="5" t="s">
        <v>502</v>
      </c>
      <c r="C38" s="5" t="s">
        <v>503</v>
      </c>
      <c r="D38" s="5" t="s">
        <v>503</v>
      </c>
      <c r="E38" s="5" t="s">
        <v>350</v>
      </c>
    </row>
    <row r="39" customFormat="false" ht="17.15" hidden="false" customHeight="false" outlineLevel="0" collapsed="false">
      <c r="A39" s="10" t="s">
        <v>504</v>
      </c>
      <c r="B39" s="25" t="n">
        <f aca="false">tp_w_dcf*B23+(1-tp_w_dcf)*B35</f>
        <v>2275.03974290026</v>
      </c>
      <c r="C39" s="9"/>
      <c r="D39" s="9"/>
      <c r="E39" s="9" t="str">
        <f aca="false">"DCF 權重 "&amp;TEXT(tp_w_dcf,"0%")&amp;"、Comparable 權重 "&amp;TEXT(1-tp_w_dcf,"0%")&amp;"（In 頁 tp_w_dcf，Andy 可改）"</f>
        <v>DCF 權重 50%、Comparable 權重 50%（In 頁 tp_w_dcf，Andy 可改）</v>
      </c>
    </row>
    <row r="40" customFormat="false" ht="17.15" hidden="false" customHeight="false" outlineLevel="0" collapsed="false">
      <c r="A40" s="0" t="s">
        <v>505</v>
      </c>
      <c r="B40" s="28" t="n">
        <f aca="false">B35</f>
        <v>1966.39535591504</v>
      </c>
    </row>
    <row r="41" customFormat="false" ht="17.15" hidden="false" customHeight="false" outlineLevel="0" collapsed="false">
      <c r="A41" s="4" t="s">
        <v>506</v>
      </c>
      <c r="B41" s="28" t="n">
        <f aca="false">cons_tp</f>
        <v>3500</v>
      </c>
      <c r="E41" s="8" t="s">
        <v>507</v>
      </c>
    </row>
    <row r="42" customFormat="false" ht="15" hidden="false" customHeight="false" outlineLevel="0" collapsed="false">
      <c r="A42" s="4" t="s">
        <v>508</v>
      </c>
      <c r="B42" s="18" t="n">
        <f aca="false">B39/px-1</f>
        <v>0.281712531211416</v>
      </c>
    </row>
    <row r="43" customFormat="false" ht="17.15" hidden="false" customHeight="false" outlineLevel="0" collapsed="false">
      <c r="A43" s="4" t="s">
        <v>509</v>
      </c>
      <c r="B43" s="18" t="n">
        <f aca="false">B40/px-1</f>
        <v>0.107828369529599</v>
      </c>
    </row>
    <row r="44" customFormat="false" ht="17.15" hidden="false" customHeight="false" outlineLevel="0" collapsed="false">
      <c r="A44" s="4" t="s">
        <v>510</v>
      </c>
      <c r="B44" s="18" t="n">
        <f aca="false">B34/C44-1</f>
        <v>-0.146058921285377</v>
      </c>
      <c r="C44" s="14" t="n">
        <f aca="false">2/12*cons_eps27+10/12*cons_eps28</f>
        <v>162.278333333333</v>
      </c>
      <c r="E44" s="8" t="s">
        <v>511</v>
      </c>
    </row>
    <row r="45" customFormat="false" ht="17.15" hidden="false" customHeight="false" outlineLevel="0" collapsed="false">
      <c r="A45" s="4" t="s">
        <v>512</v>
      </c>
      <c r="B45" s="18" t="n">
        <f aca="false">C45/B32-1</f>
        <v>0.519935330660086</v>
      </c>
      <c r="C45" s="29" t="n">
        <f aca="false">B41/C44</f>
        <v>21.5678823420666</v>
      </c>
      <c r="D45" s="29" t="n">
        <f aca="false">B32</f>
        <v>14.19</v>
      </c>
      <c r="E45" s="8" t="s">
        <v>513</v>
      </c>
    </row>
    <row r="46" customFormat="false" ht="17.15" hidden="false" customHeight="false" outlineLevel="0" collapsed="false">
      <c r="A46" s="4" t="s">
        <v>514</v>
      </c>
      <c r="B46" s="28" t="n">
        <f aca="false">D21*(1+tp_r)</f>
        <v>1519.31098875966</v>
      </c>
      <c r="C46" s="28" t="n">
        <f aca="false">B21*(1+tp_r)</f>
        <v>3280.27935446535</v>
      </c>
      <c r="E46" s="8" t="s">
        <v>515</v>
      </c>
    </row>
    <row r="47" customFormat="false" ht="17.15" hidden="false" customHeight="false" outlineLevel="0" collapsed="false">
      <c r="A47" s="4" t="s">
        <v>516</v>
      </c>
      <c r="B47" s="29" t="n">
        <f aca="false">px/PL!F198</f>
        <v>10.4931541139962</v>
      </c>
      <c r="C47" s="29" t="n">
        <f aca="false">px/PL!F207</f>
        <v>13.2631241704461</v>
      </c>
      <c r="D47" s="29" t="n">
        <f aca="false">px/PL!F216</f>
        <v>18.5396150744705</v>
      </c>
    </row>
    <row r="48" customFormat="false" ht="17.15" hidden="false" customHeight="false" outlineLevel="0" collapsed="false">
      <c r="A48" s="4" t="s">
        <v>517</v>
      </c>
      <c r="B48" s="30" t="n">
        <f aca="false">IF(B47&lt;MIN(B115:B124),0,IF(B47&gt;MAX(B115:B124),1,PERCENTRANK(B115:B124,B47)))</f>
        <v>0</v>
      </c>
      <c r="C48" s="30" t="n">
        <f aca="false">IF(C47&lt;MIN(B115:B124),0,IF(C47&gt;MAX(B115:B124),1,PERCENTRANK(B115:B124,C47)))</f>
        <v>0.0545</v>
      </c>
      <c r="D48" s="30" t="n">
        <f aca="false">IF(D47&lt;MIN(B115:B124),0,IF(D47&gt;MAX(B115:B124),1,PERCENTRANK(B115:B124,D47)))</f>
        <v>0.442</v>
      </c>
      <c r="E48" s="4" t="s">
        <v>518</v>
      </c>
    </row>
    <row r="49" customFormat="false" ht="17.15" hidden="false" customHeight="false" outlineLevel="0" collapsed="false">
      <c r="A49" s="4" t="s">
        <v>519</v>
      </c>
      <c r="B49" s="0" t="s">
        <v>520</v>
      </c>
    </row>
    <row r="50" customFormat="false" ht="17.15" hidden="false" customHeight="false" outlineLevel="0" collapsed="false">
      <c r="A50" s="4" t="s">
        <v>521</v>
      </c>
      <c r="B50" s="16" t="n">
        <f aca="false">ROUND(tp_wA+tp_wB+tp_wC,6)</f>
        <v>1</v>
      </c>
    </row>
    <row r="51" customFormat="false" ht="17.15" hidden="false" customHeight="false" outlineLevel="0" collapsed="false">
      <c r="A51" s="4" t="s">
        <v>522</v>
      </c>
      <c r="B51" s="31" t="str">
        <f aca="false">IF(B42&gt;0.5,"大於 50%",IF(B42&gt;0.25,"25%–50%",IF(B42&gt;=0,"0%–25%",IF(B42&gt;=-0.25,"0%～−25%",IF(B42&gt;=-0.5,"−25%～−50%","小於 −50%")))))</f>
        <v>25%–50%</v>
      </c>
      <c r="E51" s="4" t="s">
        <v>523</v>
      </c>
    </row>
    <row r="52" customFormat="false" ht="17.15" hidden="false" customHeight="false" outlineLevel="0" collapsed="false">
      <c r="A52" s="4" t="s">
        <v>524</v>
      </c>
      <c r="B52" s="31" t="str">
        <f aca="false">IF(B42&gt;0.5,"強力買進",IF(B42&gt;0.25,"買進",IF(B42&gt;=-0.25,"中立",IF(B42&gt;=-0.5,"放空","強力放空"))))</f>
        <v>買進</v>
      </c>
      <c r="E52" s="4" t="s">
        <v>525</v>
      </c>
    </row>
    <row r="54" customFormat="false" ht="15" hidden="false" customHeight="false" outlineLevel="0" collapsed="false">
      <c r="A54" s="1" t="s">
        <v>526</v>
      </c>
    </row>
    <row r="55" customFormat="false" ht="17.15" hidden="false" customHeight="false" outlineLevel="0" collapsed="false">
      <c r="A55" s="5" t="s">
        <v>21</v>
      </c>
      <c r="B55" s="5" t="s">
        <v>527</v>
      </c>
      <c r="C55" s="5" t="s">
        <v>528</v>
      </c>
      <c r="D55" s="5" t="s">
        <v>529</v>
      </c>
      <c r="E55" s="5" t="s">
        <v>350</v>
      </c>
    </row>
    <row r="56" customFormat="false" ht="17.15" hidden="false" customHeight="false" outlineLevel="0" collapsed="false">
      <c r="A56" s="10" t="s">
        <v>530</v>
      </c>
      <c r="B56" s="25" t="n">
        <f aca="false">tp_wA*E83+tp_wB*E84+tp_wC*E85</f>
        <v>3452.51414467191</v>
      </c>
      <c r="C56" s="9"/>
      <c r="D56" s="9"/>
      <c r="E56" s="10" t="s">
        <v>531</v>
      </c>
    </row>
    <row r="57" customFormat="false" ht="15" hidden="false" customHeight="false" outlineLevel="0" collapsed="false">
      <c r="A57" s="4" t="s">
        <v>532</v>
      </c>
      <c r="B57" s="30" t="n">
        <f aca="false">B56/px-1</f>
        <v>0.945078391364459</v>
      </c>
    </row>
    <row r="58" customFormat="false" ht="17.15" hidden="false" customHeight="false" outlineLevel="0" collapsed="false">
      <c r="A58" s="4" t="s">
        <v>533</v>
      </c>
      <c r="B58" s="28" t="n">
        <f aca="false">E83</f>
        <v>3676.27456101603</v>
      </c>
      <c r="C58" s="30" t="n">
        <f aca="false">E83/px-1</f>
        <v>1.07114059775551</v>
      </c>
      <c r="E58" s="8" t="s">
        <v>534</v>
      </c>
    </row>
    <row r="59" customFormat="false" ht="17.15" hidden="false" customHeight="false" outlineLevel="0" collapsed="false">
      <c r="A59" s="4" t="s">
        <v>535</v>
      </c>
      <c r="B59" s="28" t="n">
        <f aca="false">E84</f>
        <v>3676.27456101603</v>
      </c>
      <c r="C59" s="30" t="n">
        <f aca="false">E84/px-1</f>
        <v>1.07114059775551</v>
      </c>
    </row>
    <row r="60" customFormat="false" ht="17.15" hidden="false" customHeight="false" outlineLevel="0" collapsed="false">
      <c r="A60" s="4" t="s">
        <v>536</v>
      </c>
      <c r="B60" s="28" t="n">
        <f aca="false">E85</f>
        <v>2557.47247929544</v>
      </c>
      <c r="C60" s="30" t="n">
        <f aca="false">E85/px-1</f>
        <v>0.440829565800246</v>
      </c>
    </row>
    <row r="61" customFormat="false" ht="17.15" hidden="false" customHeight="false" outlineLevel="0" collapsed="false">
      <c r="A61" s="4" t="s">
        <v>537</v>
      </c>
      <c r="B61" s="30" t="n">
        <f aca="false">tp_wA</f>
        <v>0.3</v>
      </c>
      <c r="C61" s="30" t="n">
        <f aca="false">tp_wB</f>
        <v>0.5</v>
      </c>
      <c r="D61" s="30" t="n">
        <f aca="false">tp_wC</f>
        <v>0.2</v>
      </c>
    </row>
    <row r="62" customFormat="false" ht="17.15" hidden="false" customHeight="false" outlineLevel="0" collapsed="false">
      <c r="A62" s="4" t="s">
        <v>538</v>
      </c>
      <c r="B62" s="0" t="s">
        <v>539</v>
      </c>
    </row>
    <row r="63" customFormat="false" ht="17.15" hidden="false" customHeight="false" outlineLevel="0" collapsed="false">
      <c r="A63" s="4" t="s">
        <v>540</v>
      </c>
      <c r="B63" s="19" t="n">
        <f aca="false">tp_wA+tp_wB+tp_wC</f>
        <v>1</v>
      </c>
    </row>
    <row r="64" customFormat="false" ht="17.15" hidden="false" customHeight="false" outlineLevel="0" collapsed="false">
      <c r="A64" s="6" t="s">
        <v>541</v>
      </c>
    </row>
    <row r="65" customFormat="false" ht="15" hidden="false" customHeight="false" outlineLevel="0" collapsed="false">
      <c r="A65" s="5" t="s">
        <v>21</v>
      </c>
      <c r="B65" s="12" t="s">
        <v>446</v>
      </c>
      <c r="C65" s="12" t="s">
        <v>447</v>
      </c>
      <c r="D65" s="12" t="s">
        <v>448</v>
      </c>
      <c r="E65" s="5" t="s">
        <v>350</v>
      </c>
    </row>
    <row r="66" customFormat="false" ht="17.15" hidden="false" customHeight="false" outlineLevel="0" collapsed="false">
      <c r="A66" s="4" t="s">
        <v>542</v>
      </c>
      <c r="B66" s="28" t="n">
        <f aca="false">px</f>
        <v>1775</v>
      </c>
    </row>
    <row r="67" customFormat="false" ht="17.15" hidden="false" customHeight="false" outlineLevel="0" collapsed="false">
      <c r="A67" s="4" t="s">
        <v>543</v>
      </c>
      <c r="B67" s="29" t="n">
        <f aca="false">px/PL!D14</f>
        <v>20.7430937056285</v>
      </c>
      <c r="C67" s="29" t="n">
        <f aca="false">px/PL!D27</f>
        <v>20.7430937056285</v>
      </c>
      <c r="D67" s="29" t="n">
        <f aca="false">px/PL!D40</f>
        <v>20.7430937056285</v>
      </c>
    </row>
    <row r="68" customFormat="false" ht="17.15" hidden="false" customHeight="false" outlineLevel="0" collapsed="false">
      <c r="A68" s="4" t="s">
        <v>544</v>
      </c>
      <c r="B68" s="29" t="n">
        <f aca="false">px/PL!E14</f>
        <v>12.0416740548794</v>
      </c>
      <c r="C68" s="29" t="n">
        <f aca="false">px/PL!E27</f>
        <v>12.0416740548794</v>
      </c>
      <c r="D68" s="29" t="n">
        <f aca="false">px/PL!E40</f>
        <v>12.0416740548794</v>
      </c>
      <c r="E68" s="8" t="s">
        <v>545</v>
      </c>
    </row>
    <row r="69" customFormat="false" ht="17.15" hidden="false" customHeight="false" outlineLevel="0" collapsed="false">
      <c r="A69" s="4" t="s">
        <v>546</v>
      </c>
      <c r="B69" s="29" t="n">
        <f aca="false">px/PL!F14</f>
        <v>10.4931541139962</v>
      </c>
      <c r="C69" s="29" t="n">
        <f aca="false">px/PL!F27</f>
        <v>13.2631241704461</v>
      </c>
      <c r="D69" s="29" t="n">
        <f aca="false">px/PL!F40</f>
        <v>18.5396150744705</v>
      </c>
    </row>
    <row r="70" customFormat="false" ht="17.15" hidden="false" customHeight="false" outlineLevel="0" collapsed="false">
      <c r="A70" s="4" t="s">
        <v>547</v>
      </c>
      <c r="B70" s="29" t="n">
        <f aca="false">px/PL!G14</f>
        <v>9.12529971079045</v>
      </c>
      <c r="C70" s="29" t="n">
        <f aca="false">px/PL!G27</f>
        <v>10.8564589514054</v>
      </c>
      <c r="D70" s="29" t="n">
        <f aca="false">px/PL!G40</f>
        <v>16.0792745008264</v>
      </c>
    </row>
    <row r="71" customFormat="false" ht="17.15" hidden="false" customHeight="false" outlineLevel="0" collapsed="false">
      <c r="A71" s="4" t="s">
        <v>548</v>
      </c>
      <c r="B71" s="19" t="n">
        <f aca="false">0.2*PL!D14+0.8*PL!E14</f>
        <v>135.037932969974</v>
      </c>
    </row>
    <row r="72" customFormat="false" ht="17.15" hidden="false" customHeight="false" outlineLevel="0" collapsed="false">
      <c r="A72" s="4" t="s">
        <v>549</v>
      </c>
      <c r="B72" s="29" t="n">
        <f aca="false">px/B71</f>
        <v>13.1444547540185</v>
      </c>
    </row>
    <row r="73" customFormat="false" ht="17.15" hidden="false" customHeight="false" outlineLevel="0" collapsed="false">
      <c r="A73" s="4" t="s">
        <v>268</v>
      </c>
      <c r="B73" s="29" t="n">
        <f aca="false">pe_ttm</f>
        <v>27.88</v>
      </c>
    </row>
    <row r="75" customFormat="false" ht="17.15" hidden="false" customHeight="false" outlineLevel="0" collapsed="false">
      <c r="A75" s="6" t="s">
        <v>550</v>
      </c>
    </row>
    <row r="76" customFormat="false" ht="17.15" hidden="false" customHeight="false" outlineLevel="0" collapsed="false">
      <c r="A76" s="5" t="s">
        <v>551</v>
      </c>
      <c r="B76" s="5" t="s">
        <v>552</v>
      </c>
      <c r="C76" s="12" t="s">
        <v>553</v>
      </c>
      <c r="D76" s="5" t="s">
        <v>554</v>
      </c>
      <c r="E76" s="5" t="s">
        <v>555</v>
      </c>
      <c r="F76" s="5" t="s">
        <v>350</v>
      </c>
    </row>
    <row r="77" customFormat="false" ht="17.15" hidden="false" customHeight="false" outlineLevel="0" collapsed="false">
      <c r="A77" s="0" t="s">
        <v>446</v>
      </c>
      <c r="B77" s="0" t="n">
        <f aca="false">INDEX({2026,2027,2028,2029},MATCH(MAX(PL!D84:G84),PL!D84:G84,0))</f>
        <v>2029</v>
      </c>
      <c r="C77" s="0" t="str">
        <f aca="false">IF(B77=2029,"中段",IF(2027&lt;B77,"中段",IF(2027=B77,"見頂","谷底")))</f>
        <v>中段</v>
      </c>
      <c r="D77" s="29" t="n">
        <f aca="false">IF(C77="見頂",pe_peak,IF(C77="谷底",pe_trough,pe_mid))</f>
        <v>24.94</v>
      </c>
      <c r="E77" s="0" t="str">
        <f aca="false">IF(B77=2029,"是：營收到觀測期末仍在增加","否")</f>
        <v>是：營收到觀測期末仍在增加</v>
      </c>
      <c r="F77" s="8" t="s">
        <v>556</v>
      </c>
    </row>
    <row r="78" customFormat="false" ht="15" hidden="false" customHeight="false" outlineLevel="0" collapsed="false">
      <c r="A78" s="0" t="s">
        <v>447</v>
      </c>
      <c r="B78" s="0" t="n">
        <f aca="false">INDEX({2026,2027,2028,2029},MATCH(MAX(PL!D127:G127),PL!D127:G127,0))</f>
        <v>2029</v>
      </c>
      <c r="C78" s="0" t="str">
        <f aca="false">IF(B78=2029,"中段",IF(2027&lt;B78,"中段",IF(2027=B78,"見頂","谷底")))</f>
        <v>中段</v>
      </c>
      <c r="D78" s="29" t="n">
        <f aca="false">IF(C78="見頂",pe_peak,IF(C78="谷底",pe_trough,pe_mid))</f>
        <v>24.94</v>
      </c>
      <c r="E78" s="0" t="str">
        <f aca="false">IF(B78=2029,"是：營收到觀測期末仍在增加","否")</f>
        <v>是：營收到觀測期末仍在增加</v>
      </c>
      <c r="F78" s="4" t="s">
        <v>38</v>
      </c>
    </row>
    <row r="79" customFormat="false" ht="15" hidden="false" customHeight="false" outlineLevel="0" collapsed="false">
      <c r="A79" s="0" t="s">
        <v>448</v>
      </c>
      <c r="B79" s="0" t="n">
        <f aca="false">INDEX({2026,2027,2028,2029},MATCH(MAX(PL!D170:G170),PL!D170:G170,0))</f>
        <v>2027</v>
      </c>
      <c r="C79" s="0" t="str">
        <f aca="false">IF(B79=2029,"中段",IF(2027&lt;B79,"中段",IF(2027=B79,"見頂","谷底")))</f>
        <v>見頂</v>
      </c>
      <c r="D79" s="29" t="n">
        <f aca="false">IF(C79="見頂",pe_peak,IF(C79="谷底",pe_trough,pe_mid))</f>
        <v>17.35</v>
      </c>
      <c r="E79" s="0" t="str">
        <f aca="false">IF(B79=2029,"是：營收到觀測期末仍在增加","否")</f>
        <v>否</v>
      </c>
      <c r="F79" s="4" t="s">
        <v>38</v>
      </c>
    </row>
    <row r="81" customFormat="false" ht="17.15" hidden="false" customHeight="false" outlineLevel="0" collapsed="false">
      <c r="A81" s="6" t="s">
        <v>557</v>
      </c>
    </row>
    <row r="82" customFormat="false" ht="17.15" hidden="false" customHeight="false" outlineLevel="0" collapsed="false">
      <c r="A82" s="5" t="s">
        <v>551</v>
      </c>
      <c r="B82" s="12" t="s">
        <v>558</v>
      </c>
      <c r="C82" s="5" t="s">
        <v>559</v>
      </c>
      <c r="D82" s="5" t="s">
        <v>560</v>
      </c>
      <c r="E82" s="5" t="s">
        <v>561</v>
      </c>
      <c r="F82" s="5" t="s">
        <v>562</v>
      </c>
      <c r="G82" s="5" t="s">
        <v>563</v>
      </c>
    </row>
    <row r="83" customFormat="false" ht="15" hidden="false" customHeight="false" outlineLevel="0" collapsed="false">
      <c r="A83" s="9" t="s">
        <v>446</v>
      </c>
      <c r="B83" s="32" t="n">
        <f aca="false">PL!E14</f>
        <v>147.404753849881</v>
      </c>
      <c r="C83" s="32" t="n">
        <f aca="false">B83</f>
        <v>147.404753849881</v>
      </c>
      <c r="D83" s="27" t="n">
        <f aca="false">D77</f>
        <v>24.94</v>
      </c>
      <c r="E83" s="25" t="n">
        <f aca="false">C83*D83</f>
        <v>3676.27456101603</v>
      </c>
      <c r="F83" s="33" t="n">
        <f aca="false">E83/px-1</f>
        <v>1.07114059775551</v>
      </c>
      <c r="G83" s="27" t="n">
        <f aca="false">px/C83</f>
        <v>12.0416740548794</v>
      </c>
    </row>
    <row r="84" customFormat="false" ht="15" hidden="false" customHeight="false" outlineLevel="0" collapsed="false">
      <c r="A84" s="9" t="s">
        <v>447</v>
      </c>
      <c r="B84" s="32" t="n">
        <f aca="false">PL!E27</f>
        <v>147.404753849881</v>
      </c>
      <c r="C84" s="32" t="n">
        <f aca="false">B84</f>
        <v>147.404753849881</v>
      </c>
      <c r="D84" s="27" t="n">
        <f aca="false">D78</f>
        <v>24.94</v>
      </c>
      <c r="E84" s="25" t="n">
        <f aca="false">C84*D84</f>
        <v>3676.27456101603</v>
      </c>
      <c r="F84" s="33" t="n">
        <f aca="false">E84/px-1</f>
        <v>1.07114059775551</v>
      </c>
      <c r="G84" s="27" t="n">
        <f aca="false">px/C84</f>
        <v>12.0416740548794</v>
      </c>
    </row>
    <row r="85" customFormat="false" ht="15" hidden="false" customHeight="false" outlineLevel="0" collapsed="false">
      <c r="A85" s="9" t="s">
        <v>448</v>
      </c>
      <c r="B85" s="32" t="n">
        <f aca="false">PL!E40</f>
        <v>147.404753849881</v>
      </c>
      <c r="C85" s="32" t="n">
        <f aca="false">B85</f>
        <v>147.404753849881</v>
      </c>
      <c r="D85" s="27" t="n">
        <f aca="false">D79</f>
        <v>17.35</v>
      </c>
      <c r="E85" s="25" t="n">
        <f aca="false">C85*D85</f>
        <v>2557.47247929544</v>
      </c>
      <c r="F85" s="33" t="n">
        <f aca="false">E85/px-1</f>
        <v>0.440829565800246</v>
      </c>
      <c r="G85" s="27" t="n">
        <f aca="false">px/C85</f>
        <v>12.0416740548794</v>
      </c>
    </row>
    <row r="86" customFormat="false" ht="17.15" hidden="false" customHeight="false" outlineLevel="0" collapsed="false">
      <c r="A86" s="6" t="s">
        <v>564</v>
      </c>
    </row>
    <row r="87" customFormat="false" ht="17.15" hidden="false" customHeight="false" outlineLevel="0" collapsed="false">
      <c r="A87" s="12" t="s">
        <v>565</v>
      </c>
      <c r="B87" s="5" t="s">
        <v>566</v>
      </c>
      <c r="C87" s="5" t="s">
        <v>567</v>
      </c>
      <c r="D87" s="5" t="s">
        <v>568</v>
      </c>
    </row>
    <row r="88" customFormat="false" ht="15" hidden="false" customHeight="false" outlineLevel="0" collapsed="false">
      <c r="A88" s="34" t="n">
        <v>1</v>
      </c>
      <c r="B88" s="29" t="n">
        <f aca="false">px*A88/PL!F14</f>
        <v>10.4931541139962</v>
      </c>
      <c r="C88" s="29" t="n">
        <f aca="false">px*A88/PL!F40</f>
        <v>18.5396150744705</v>
      </c>
      <c r="D88" s="29" t="n">
        <f aca="false">pe_mid</f>
        <v>24.94</v>
      </c>
    </row>
    <row r="89" customFormat="false" ht="15" hidden="false" customHeight="false" outlineLevel="0" collapsed="false">
      <c r="A89" s="34" t="n">
        <v>1.1</v>
      </c>
      <c r="B89" s="29" t="n">
        <f aca="false">px*A89/PL!F14</f>
        <v>11.5424695253958</v>
      </c>
      <c r="C89" s="29" t="n">
        <f aca="false">px*A89/PL!F40</f>
        <v>20.3935765819176</v>
      </c>
      <c r="D89" s="29" t="n">
        <f aca="false">pe_mid</f>
        <v>24.94</v>
      </c>
    </row>
    <row r="90" customFormat="false" ht="15" hidden="false" customHeight="false" outlineLevel="0" collapsed="false">
      <c r="A90" s="34" t="n">
        <v>1.21</v>
      </c>
      <c r="B90" s="29" t="n">
        <f aca="false">px*A90/PL!F14</f>
        <v>12.6967164779354</v>
      </c>
      <c r="C90" s="29" t="n">
        <f aca="false">px*A90/PL!F40</f>
        <v>22.4329342401093</v>
      </c>
      <c r="D90" s="29" t="n">
        <f aca="false">pe_mid</f>
        <v>24.94</v>
      </c>
    </row>
    <row r="91" customFormat="false" ht="15" hidden="false" customHeight="false" outlineLevel="0" collapsed="false">
      <c r="A91" s="34" t="n">
        <v>1.5</v>
      </c>
      <c r="B91" s="29" t="n">
        <f aca="false">px*A91/PL!F14</f>
        <v>15.7397311709943</v>
      </c>
      <c r="C91" s="29" t="n">
        <f aca="false">px*A91/PL!F40</f>
        <v>27.8094226117057</v>
      </c>
      <c r="D91" s="29" t="n">
        <f aca="false">pe_mid</f>
        <v>24.94</v>
      </c>
    </row>
    <row r="92" customFormat="false" ht="15" hidden="false" customHeight="false" outlineLevel="0" collapsed="false">
      <c r="A92" s="34" t="n">
        <v>2</v>
      </c>
      <c r="B92" s="29" t="n">
        <f aca="false">px*A92/PL!F14</f>
        <v>20.9863082279923</v>
      </c>
      <c r="C92" s="29" t="n">
        <f aca="false">px*A92/PL!F40</f>
        <v>37.079230148941</v>
      </c>
      <c r="D92" s="29" t="n">
        <f aca="false">pe_mid</f>
        <v>24.94</v>
      </c>
    </row>
    <row r="93" customFormat="false" ht="17.15" hidden="false" customHeight="false" outlineLevel="0" collapsed="false">
      <c r="A93" s="4" t="s">
        <v>569</v>
      </c>
    </row>
    <row r="110" customFormat="false" ht="17.15" hidden="false" customHeight="false" outlineLevel="0" collapsed="false">
      <c r="A110" s="6" t="s">
        <v>570</v>
      </c>
    </row>
    <row r="111" customFormat="false" ht="17.15" hidden="false" customHeight="false" outlineLevel="0" collapsed="false">
      <c r="A111" s="4" t="s">
        <v>571</v>
      </c>
    </row>
    <row r="113" customFormat="false" ht="17.15" hidden="false" customHeight="false" outlineLevel="0" collapsed="false">
      <c r="A113" s="6" t="s">
        <v>572</v>
      </c>
    </row>
    <row r="114" customFormat="false" ht="17.15" hidden="false" customHeight="false" outlineLevel="0" collapsed="false">
      <c r="A114" s="5" t="s">
        <v>573</v>
      </c>
      <c r="B114" s="12" t="s">
        <v>574</v>
      </c>
      <c r="C114" s="12" t="s">
        <v>575</v>
      </c>
      <c r="D114" s="5" t="s">
        <v>576</v>
      </c>
    </row>
    <row r="115" customFormat="false" ht="17.15" hidden="false" customHeight="false" outlineLevel="0" collapsed="false">
      <c r="A115" s="0" t="s">
        <v>577</v>
      </c>
      <c r="B115" s="34" t="n">
        <v>11.4</v>
      </c>
      <c r="D115" s="8" t="s">
        <v>578</v>
      </c>
    </row>
    <row r="116" customFormat="false" ht="15" hidden="false" customHeight="false" outlineLevel="0" collapsed="false">
      <c r="A116" s="0" t="s">
        <v>579</v>
      </c>
      <c r="B116" s="34" t="n">
        <v>18.6</v>
      </c>
    </row>
    <row r="117" customFormat="false" ht="15" hidden="false" customHeight="false" outlineLevel="0" collapsed="false">
      <c r="A117" s="0" t="s">
        <v>580</v>
      </c>
      <c r="B117" s="34" t="n">
        <v>15.8</v>
      </c>
      <c r="C117" s="19" t="n">
        <f aca="false">98.6/5.33</f>
        <v>18.4990619136961</v>
      </c>
    </row>
    <row r="118" customFormat="false" ht="15" hidden="false" customHeight="false" outlineLevel="0" collapsed="false">
      <c r="A118" s="0" t="s">
        <v>581</v>
      </c>
      <c r="B118" s="34" t="n">
        <v>16.3</v>
      </c>
      <c r="C118" s="19" t="n">
        <f aca="false">168/8.91</f>
        <v>18.8552188552189</v>
      </c>
    </row>
    <row r="119" customFormat="false" ht="15" hidden="false" customHeight="false" outlineLevel="0" collapsed="false">
      <c r="A119" s="0" t="s">
        <v>582</v>
      </c>
      <c r="B119" s="34" t="n">
        <v>31.7</v>
      </c>
      <c r="C119" s="19" t="n">
        <f aca="false">316/9.07</f>
        <v>34.8401323042999</v>
      </c>
    </row>
    <row r="120" customFormat="false" ht="15" hidden="false" customHeight="false" outlineLevel="0" collapsed="false">
      <c r="A120" s="0" t="s">
        <v>583</v>
      </c>
      <c r="B120" s="34" t="n">
        <v>28.6</v>
      </c>
      <c r="C120" s="19" t="n">
        <f aca="false">260/8.44</f>
        <v>30.8056872037915</v>
      </c>
    </row>
    <row r="121" customFormat="false" ht="15" hidden="false" customHeight="false" outlineLevel="0" collapsed="false">
      <c r="A121" s="0" t="s">
        <v>584</v>
      </c>
      <c r="B121" s="34" t="n">
        <v>15.2</v>
      </c>
      <c r="C121" s="19" t="n">
        <f aca="false">234.5/14.64</f>
        <v>16.0177595628415</v>
      </c>
    </row>
    <row r="122" customFormat="false" ht="15" hidden="false" customHeight="false" outlineLevel="0" collapsed="false">
      <c r="A122" s="0" t="s">
        <v>585</v>
      </c>
      <c r="B122" s="34" t="n">
        <v>31.7</v>
      </c>
      <c r="C122" s="19" t="n">
        <f aca="false">523/15.99</f>
        <v>32.70794246404</v>
      </c>
    </row>
    <row r="123" customFormat="false" ht="15" hidden="false" customHeight="false" outlineLevel="0" collapsed="false">
      <c r="A123" s="0" t="s">
        <v>586</v>
      </c>
      <c r="B123" s="34" t="n">
        <v>35</v>
      </c>
      <c r="C123" s="19" t="n">
        <f aca="false">773/21.49</f>
        <v>35.9702187063751</v>
      </c>
    </row>
    <row r="124" customFormat="false" ht="15" hidden="false" customHeight="false" outlineLevel="0" collapsed="false">
      <c r="A124" s="0" t="s">
        <v>587</v>
      </c>
      <c r="B124" s="34" t="n">
        <v>25.2</v>
      </c>
      <c r="C124" s="19" t="n">
        <f aca="false">1185/47.13</f>
        <v>25.1432208784214</v>
      </c>
    </row>
    <row r="125" customFormat="false" ht="17.15" hidden="false" customHeight="false" outlineLevel="0" collapsed="false">
      <c r="A125" s="0" t="s">
        <v>588</v>
      </c>
      <c r="B125" s="19" t="n">
        <f aca="false">PERCENTILE(B115:B124,0.25)</f>
        <v>15.925</v>
      </c>
      <c r="C125" s="19" t="n">
        <f aca="false">PERCENTILE(C115:C124,0.25)</f>
        <v>18.7661796198382</v>
      </c>
    </row>
    <row r="126" customFormat="false" ht="15" hidden="false" customHeight="false" outlineLevel="0" collapsed="false">
      <c r="A126" s="4" t="s">
        <v>589</v>
      </c>
      <c r="B126" s="19" t="n">
        <f aca="false">MEDIAN(B115:B124)</f>
        <v>21.9</v>
      </c>
      <c r="C126" s="19" t="n">
        <f aca="false">MEDIAN(C115:C124)</f>
        <v>27.9744540411064</v>
      </c>
    </row>
    <row r="127" customFormat="false" ht="17.15" hidden="false" customHeight="false" outlineLevel="0" collapsed="false">
      <c r="A127" s="0" t="s">
        <v>590</v>
      </c>
      <c r="B127" s="19" t="n">
        <f aca="false">PERCENTILE(B115:B124,0.75)</f>
        <v>30.925</v>
      </c>
      <c r="C127" s="19" t="n">
        <f aca="false">PERCENTILE(C115:C124,0.75)</f>
        <v>33.240989924105</v>
      </c>
    </row>
    <row r="128" customFormat="false" ht="15" hidden="false" customHeight="false" outlineLevel="0" collapsed="false">
      <c r="A128" s="4" t="s">
        <v>591</v>
      </c>
      <c r="B128" s="19" t="n">
        <f aca="false">MIN(B115:B124)</f>
        <v>11.4</v>
      </c>
      <c r="C128" s="19" t="n">
        <f aca="false">MIN(C115:C124)</f>
        <v>16.0177595628415</v>
      </c>
    </row>
    <row r="129" customFormat="false" ht="15" hidden="false" customHeight="false" outlineLevel="0" collapsed="false">
      <c r="A129" s="4" t="s">
        <v>592</v>
      </c>
      <c r="B129" s="19" t="n">
        <f aca="false">MAX(B115:B124)</f>
        <v>35</v>
      </c>
      <c r="C129" s="19" t="n">
        <f aca="false">MAX(C115:C124)</f>
        <v>35.9702187063751</v>
      </c>
    </row>
    <row r="130" customFormat="false" ht="17.15" hidden="false" customHeight="false" outlineLevel="0" collapsed="false">
      <c r="A130" s="1" t="s">
        <v>593</v>
      </c>
      <c r="B130" s="19" t="n">
        <f aca="false">ROUND(AVERAGE(B125,C125),2)</f>
        <v>17.35</v>
      </c>
    </row>
    <row r="131" customFormat="false" ht="17.15" hidden="false" customHeight="false" outlineLevel="0" collapsed="false">
      <c r="A131" s="1" t="s">
        <v>594</v>
      </c>
      <c r="B131" s="19" t="n">
        <f aca="false">ROUND(AVERAGE(B126,C126),2)</f>
        <v>24.94</v>
      </c>
    </row>
    <row r="132" customFormat="false" ht="17.15" hidden="false" customHeight="false" outlineLevel="0" collapsed="false">
      <c r="A132" s="1" t="s">
        <v>595</v>
      </c>
      <c r="B132" s="19" t="n">
        <f aca="false">ROUND(AVERAGE(B127,C127),2)</f>
        <v>32.08</v>
      </c>
    </row>
    <row r="133" customFormat="false" ht="17.15" hidden="false" customHeight="false" outlineLevel="0" collapsed="false">
      <c r="A133" s="1" t="s">
        <v>596</v>
      </c>
      <c r="B133" s="19" t="n">
        <f aca="false">ROUND(MIN(B128,C128),2)</f>
        <v>11.4</v>
      </c>
    </row>
    <row r="134" customFormat="false" ht="17.15" hidden="false" customHeight="false" outlineLevel="0" collapsed="false">
      <c r="A134" s="1" t="s">
        <v>597</v>
      </c>
      <c r="B134" s="19" t="n">
        <f aca="false">ROUND(MAX(B129,C129),2)</f>
        <v>35.97</v>
      </c>
    </row>
    <row r="136" customFormat="false" ht="17.15" hidden="false" customHeight="false" outlineLevel="0" collapsed="false">
      <c r="A136" s="6" t="s">
        <v>598</v>
      </c>
    </row>
    <row r="137" customFormat="false" ht="17.15" hidden="false" customHeight="false" outlineLevel="0" collapsed="false">
      <c r="A137" s="5" t="s">
        <v>599</v>
      </c>
      <c r="B137" s="5" t="s">
        <v>600</v>
      </c>
      <c r="C137" s="5" t="s">
        <v>601</v>
      </c>
      <c r="D137" s="5" t="s">
        <v>24</v>
      </c>
      <c r="E137" s="5" t="s">
        <v>602</v>
      </c>
      <c r="F137" s="5" t="s">
        <v>561</v>
      </c>
      <c r="G137" s="5" t="s">
        <v>603</v>
      </c>
      <c r="H137" s="5" t="s">
        <v>604</v>
      </c>
    </row>
    <row r="138" customFormat="false" ht="17.15" hidden="false" customHeight="false" outlineLevel="0" collapsed="false">
      <c r="A138" s="4" t="s">
        <v>605</v>
      </c>
      <c r="B138" s="0" t="s">
        <v>606</v>
      </c>
      <c r="C138" s="19" t="n">
        <f aca="false">B130</f>
        <v>17.35</v>
      </c>
      <c r="D138" s="8" t="s">
        <v>607</v>
      </c>
      <c r="E138" s="14" t="n">
        <f aca="false">C83</f>
        <v>147.404753849881</v>
      </c>
      <c r="F138" s="20" t="n">
        <f aca="false">C138*E138</f>
        <v>2557.47247929544</v>
      </c>
      <c r="G138" s="18" t="n">
        <f aca="false">F138/px-1</f>
        <v>0.440829565800246</v>
      </c>
      <c r="H138" s="19" t="n">
        <f aca="false">px/E138</f>
        <v>12.0416740548794</v>
      </c>
    </row>
    <row r="139" customFormat="false" ht="17.15" hidden="false" customHeight="false" outlineLevel="0" collapsed="false">
      <c r="A139" s="4" t="s">
        <v>608</v>
      </c>
      <c r="B139" s="4" t="s">
        <v>609</v>
      </c>
      <c r="C139" s="19" t="n">
        <f aca="false">B131</f>
        <v>24.94</v>
      </c>
      <c r="D139" s="8" t="s">
        <v>607</v>
      </c>
      <c r="E139" s="14" t="n">
        <f aca="false">C83</f>
        <v>147.404753849881</v>
      </c>
      <c r="F139" s="20" t="n">
        <f aca="false">C139*E139</f>
        <v>3676.27456101603</v>
      </c>
      <c r="G139" s="18" t="n">
        <f aca="false">F139/px-1</f>
        <v>1.07114059775551</v>
      </c>
      <c r="H139" s="19" t="n">
        <f aca="false">px/E139</f>
        <v>12.0416740548794</v>
      </c>
    </row>
    <row r="140" customFormat="false" ht="17.15" hidden="false" customHeight="false" outlineLevel="0" collapsed="false">
      <c r="A140" s="4" t="s">
        <v>610</v>
      </c>
      <c r="B140" s="0" t="s">
        <v>611</v>
      </c>
      <c r="C140" s="19" t="n">
        <f aca="false">B132</f>
        <v>32.08</v>
      </c>
      <c r="D140" s="8" t="s">
        <v>607</v>
      </c>
      <c r="E140" s="14" t="n">
        <f aca="false">C83</f>
        <v>147.404753849881</v>
      </c>
      <c r="F140" s="20" t="n">
        <f aca="false">C140*E140</f>
        <v>4728.74450350418</v>
      </c>
      <c r="G140" s="18" t="n">
        <f aca="false">F140/px-1</f>
        <v>1.66408141042489</v>
      </c>
      <c r="H140" s="19" t="n">
        <f aca="false">px/E140</f>
        <v>12.0416740548794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612</v>
      </c>
    </row>
    <row r="3" customFormat="false" ht="17.15" hidden="false" customHeight="false" outlineLevel="0" collapsed="false">
      <c r="A3" s="5" t="s">
        <v>21</v>
      </c>
      <c r="B3" s="5" t="s">
        <v>613</v>
      </c>
      <c r="C3" s="5" t="s">
        <v>614</v>
      </c>
      <c r="D3" s="5" t="s">
        <v>615</v>
      </c>
      <c r="E3" s="5" t="s">
        <v>616</v>
      </c>
      <c r="F3" s="5" t="s">
        <v>617</v>
      </c>
      <c r="G3" s="5" t="s">
        <v>618</v>
      </c>
      <c r="H3" s="5" t="s">
        <v>619</v>
      </c>
      <c r="I3" s="5" t="s">
        <v>620</v>
      </c>
      <c r="J3" s="5" t="s">
        <v>350</v>
      </c>
    </row>
    <row r="4" customFormat="false" ht="17.15" hidden="false" customHeight="false" outlineLevel="0" collapsed="false">
      <c r="A4" s="6" t="s">
        <v>621</v>
      </c>
    </row>
    <row r="5" customFormat="false" ht="17.15" hidden="false" customHeight="false" outlineLevel="0" collapsed="false">
      <c r="A5" s="0" t="s">
        <v>622</v>
      </c>
      <c r="B5" s="14" t="n">
        <f aca="false">cons_rev26</f>
        <v>412.45</v>
      </c>
      <c r="C5" s="14" t="n">
        <f aca="false">PL!D84</f>
        <v>410.7612</v>
      </c>
      <c r="D5" s="18" t="n">
        <f aca="false">C5/B5-1</f>
        <v>-0.0040945569159897</v>
      </c>
      <c r="E5" s="14" t="n">
        <f aca="false">PL!D127</f>
        <v>410.7612</v>
      </c>
      <c r="F5" s="18" t="n">
        <f aca="false">E5/B5-1</f>
        <v>-0.0040945569159897</v>
      </c>
      <c r="G5" s="14" t="n">
        <f aca="false">PL!D170</f>
        <v>410.7612</v>
      </c>
      <c r="H5" s="18" t="n">
        <f aca="false">G5/B5-1</f>
        <v>-0.0040945569159897</v>
      </c>
      <c r="I5" s="8" t="s">
        <v>623</v>
      </c>
      <c r="J5" s="4" t="s">
        <v>624</v>
      </c>
    </row>
    <row r="6" customFormat="false" ht="17.15" hidden="false" customHeight="false" outlineLevel="0" collapsed="false">
      <c r="A6" s="0" t="s">
        <v>625</v>
      </c>
      <c r="B6" s="14" t="n">
        <f aca="false">cons_eps26</f>
        <v>85.85</v>
      </c>
      <c r="C6" s="14" t="n">
        <f aca="false">PL!D99</f>
        <v>85.5706494503455</v>
      </c>
      <c r="D6" s="18" t="n">
        <f aca="false">C6/B6-1</f>
        <v>-0.0032539376779791</v>
      </c>
      <c r="E6" s="14" t="n">
        <f aca="false">PL!D142</f>
        <v>85.5706494503455</v>
      </c>
      <c r="F6" s="18" t="n">
        <f aca="false">E6/B6-1</f>
        <v>-0.0032539376779791</v>
      </c>
      <c r="G6" s="14" t="n">
        <f aca="false">PL!D185</f>
        <v>85.5706494503455</v>
      </c>
      <c r="H6" s="18" t="n">
        <f aca="false">G6/B6-1</f>
        <v>-0.0032539376779791</v>
      </c>
      <c r="I6" s="8" t="s">
        <v>623</v>
      </c>
    </row>
    <row r="7" customFormat="false" ht="17.15" hidden="false" customHeight="false" outlineLevel="0" collapsed="false">
      <c r="A7" s="0" t="s">
        <v>626</v>
      </c>
      <c r="B7" s="14" t="n">
        <f aca="false">cons_rev27</f>
        <v>551.5</v>
      </c>
      <c r="C7" s="14" t="n">
        <f aca="false">PL!E84</f>
        <v>650.908996130894</v>
      </c>
      <c r="D7" s="18" t="n">
        <f aca="false">C7/B7-1</f>
        <v>0.180252032875601</v>
      </c>
      <c r="E7" s="14" t="n">
        <f aca="false">PL!E127</f>
        <v>650.908996130894</v>
      </c>
      <c r="F7" s="18" t="n">
        <f aca="false">E7/B7-1</f>
        <v>0.180252032875601</v>
      </c>
      <c r="G7" s="14" t="n">
        <f aca="false">PL!E170</f>
        <v>650.908996130894</v>
      </c>
      <c r="H7" s="18" t="n">
        <f aca="false">G7/B7-1</f>
        <v>0.180252032875601</v>
      </c>
      <c r="I7" s="8" t="s">
        <v>623</v>
      </c>
    </row>
    <row r="8" customFormat="false" ht="17.15" hidden="false" customHeight="false" outlineLevel="0" collapsed="false">
      <c r="A8" s="0" t="s">
        <v>627</v>
      </c>
      <c r="B8" s="14" t="n">
        <f aca="false">cons_eps27</f>
        <v>120.82</v>
      </c>
      <c r="C8" s="14" t="n">
        <f aca="false">PL!E99</f>
        <v>147.404753849881</v>
      </c>
      <c r="D8" s="18" t="n">
        <f aca="false">C8/B8-1</f>
        <v>0.220036035837453</v>
      </c>
      <c r="E8" s="14" t="n">
        <f aca="false">PL!E142</f>
        <v>147.404753849881</v>
      </c>
      <c r="F8" s="18" t="n">
        <f aca="false">E8/B8-1</f>
        <v>0.220036035837453</v>
      </c>
      <c r="G8" s="14" t="n">
        <f aca="false">PL!E185</f>
        <v>147.404753849881</v>
      </c>
      <c r="H8" s="18" t="n">
        <f aca="false">G8/B8-1</f>
        <v>0.220036035837453</v>
      </c>
      <c r="I8" s="8" t="s">
        <v>623</v>
      </c>
      <c r="J8" s="4" t="s">
        <v>628</v>
      </c>
    </row>
    <row r="9" customFormat="false" ht="17.15" hidden="false" customHeight="false" outlineLevel="0" collapsed="false">
      <c r="A9" s="0" t="s">
        <v>629</v>
      </c>
      <c r="B9" s="14" t="n">
        <f aca="false">cons_eps28</f>
        <v>170.57</v>
      </c>
      <c r="C9" s="14" t="n">
        <f aca="false">PL!F99</f>
        <v>169.157908167234</v>
      </c>
      <c r="D9" s="18" t="n">
        <f aca="false">C9/B9-1</f>
        <v>-0.00827866467002314</v>
      </c>
      <c r="E9" s="14" t="n">
        <f aca="false">PL!F142</f>
        <v>133.829705368754</v>
      </c>
      <c r="F9" s="18" t="n">
        <f aca="false">E9/B9-1</f>
        <v>-0.215397166156101</v>
      </c>
      <c r="G9" s="14" t="n">
        <f aca="false">PL!F185</f>
        <v>95.74093058945</v>
      </c>
      <c r="H9" s="18" t="n">
        <f aca="false">G9/B9-1</f>
        <v>-0.438700061033887</v>
      </c>
      <c r="I9" s="8" t="s">
        <v>623</v>
      </c>
    </row>
    <row r="10" customFormat="false" ht="17.15" hidden="false" customHeight="false" outlineLevel="0" collapsed="false">
      <c r="A10" s="6" t="s">
        <v>630</v>
      </c>
    </row>
    <row r="11" customFormat="false" ht="17.15" hidden="false" customHeight="false" outlineLevel="0" collapsed="false">
      <c r="A11" s="0" t="s">
        <v>631</v>
      </c>
      <c r="B11" s="18" t="n">
        <f aca="false">br_sw26</f>
        <v>0.48</v>
      </c>
      <c r="C11" s="18" t="n">
        <f aca="false">(PL!D76+a25_rev*sw25s*(1-af25)*(1+g_nai26))/PL!D84</f>
        <v>0.4800503066015</v>
      </c>
      <c r="D11" s="18" t="n">
        <f aca="false">C11-B11</f>
        <v>5.03066014999054E-005</v>
      </c>
      <c r="E11" s="18" t="n">
        <f aca="false">(PL!D119+a25_rev*sw25s*(1-af25)*(1+g_nai26))/PL!D127</f>
        <v>0.4800503066015</v>
      </c>
      <c r="F11" s="18" t="n">
        <f aca="false">E11-B11</f>
        <v>5.03066014999054E-005</v>
      </c>
      <c r="G11" s="18" t="n">
        <f aca="false">(PL!D162+a25_rev*sw25s*(1-af25)*(1+g_nai26))/PL!D170</f>
        <v>0.4800503066015</v>
      </c>
      <c r="H11" s="18" t="n">
        <f aca="false">G11-B11</f>
        <v>5.03066014999054E-005</v>
      </c>
      <c r="I11" s="4" t="s">
        <v>632</v>
      </c>
      <c r="J11" s="4" t="s">
        <v>633</v>
      </c>
    </row>
    <row r="12" customFormat="false" ht="17.15" hidden="false" customHeight="false" outlineLevel="0" collapsed="false">
      <c r="A12" s="0" t="s">
        <v>634</v>
      </c>
      <c r="B12" s="18" t="n">
        <f aca="false">1-dell_top2</f>
        <v>0.5</v>
      </c>
      <c r="C12" s="18" t="n">
        <f aca="false">PL!D76/fx/PL!D70</f>
        <v>0.184756792151886</v>
      </c>
      <c r="D12" s="18" t="n">
        <f aca="false">C12-B12</f>
        <v>-0.315243207848114</v>
      </c>
      <c r="E12" s="18" t="n">
        <f aca="false">PL!D119/fx/PL!D113</f>
        <v>0.184756792151886</v>
      </c>
      <c r="F12" s="18" t="n">
        <f aca="false">E12-B12</f>
        <v>-0.315243207848114</v>
      </c>
      <c r="G12" s="18" t="n">
        <f aca="false">PL!D162/fx/PL!D156</f>
        <v>0.184756792151886</v>
      </c>
      <c r="H12" s="18" t="n">
        <f aca="false">G12-B12</f>
        <v>-0.315243207848114</v>
      </c>
      <c r="I12" s="8" t="s">
        <v>635</v>
      </c>
      <c r="J12" s="4" t="s">
        <v>636</v>
      </c>
    </row>
    <row r="13" customFormat="false" ht="17.15" hidden="false" customHeight="false" outlineLevel="0" collapsed="false">
      <c r="A13" s="0" t="s">
        <v>637</v>
      </c>
      <c r="C13" s="18" t="n">
        <f aca="false">PL!E86</f>
        <v>0.926158915907294</v>
      </c>
      <c r="E13" s="18" t="n">
        <f aca="false">PL!E129</f>
        <v>0.926158915907294</v>
      </c>
      <c r="G13" s="18" t="n">
        <f aca="false">PL!E172</f>
        <v>0.926158915907294</v>
      </c>
      <c r="I13" s="8" t="s">
        <v>112</v>
      </c>
    </row>
    <row r="14" customFormat="false" ht="17.15" hidden="false" customHeight="false" outlineLevel="0" collapsed="false">
      <c r="A14" s="0" t="s">
        <v>638</v>
      </c>
      <c r="C14" s="15" t="n">
        <f aca="false">(PL!E76+PL!E81)/fx/itc_27</f>
        <v>0.0120349516524039</v>
      </c>
      <c r="E14" s="15" t="n">
        <f aca="false">(PL!E119+PL!E124)/fx/itc_27</f>
        <v>0.0120349516524039</v>
      </c>
      <c r="G14" s="15" t="n">
        <f aca="false">(PL!E162+PL!E167)/fx/itc_27</f>
        <v>0.0120349516524039</v>
      </c>
      <c r="I14" s="8" t="s">
        <v>639</v>
      </c>
    </row>
    <row r="15" customFormat="false" ht="17.15" hidden="false" customHeight="false" outlineLevel="0" collapsed="false">
      <c r="A15" s="0" t="s">
        <v>640</v>
      </c>
      <c r="C15" s="19" t="n">
        <f aca="false">PL!D79/fx</f>
        <v>3.209071875</v>
      </c>
      <c r="E15" s="19" t="n">
        <f aca="false">PL!D122/fx</f>
        <v>3.209071875</v>
      </c>
      <c r="G15" s="19" t="n">
        <f aca="false">PL!D165/fx</f>
        <v>3.209071875</v>
      </c>
      <c r="I15" s="8" t="s">
        <v>112</v>
      </c>
      <c r="J15" s="4" t="s">
        <v>641</v>
      </c>
    </row>
    <row r="16" customFormat="false" ht="17.15" hidden="false" customHeight="false" outlineLevel="0" collapsed="false">
      <c r="A16" s="6" t="s">
        <v>642</v>
      </c>
    </row>
    <row r="17" customFormat="false" ht="17.15" hidden="false" customHeight="false" outlineLevel="0" collapsed="false">
      <c r="A17" s="4" t="s">
        <v>643</v>
      </c>
      <c r="C17" s="18" t="n">
        <f aca="false">PL!D89</f>
        <v>0.219589247962076</v>
      </c>
      <c r="E17" s="18" t="n">
        <f aca="false">PL!D132</f>
        <v>0.219589247962076</v>
      </c>
      <c r="G17" s="18" t="n">
        <f aca="false">PL!D175</f>
        <v>0.219589247962076</v>
      </c>
      <c r="I17" s="8" t="s">
        <v>644</v>
      </c>
      <c r="J17" s="4" t="s">
        <v>645</v>
      </c>
    </row>
    <row r="18" customFormat="false" ht="17.15" hidden="false" customHeight="false" outlineLevel="0" collapsed="false">
      <c r="A18" s="0" t="s">
        <v>646</v>
      </c>
      <c r="B18" s="18" t="n">
        <f aca="false">a26_gp/a26_rev</f>
        <v>0.189589247962076</v>
      </c>
      <c r="C18" s="18" t="n">
        <f aca="false">PL!E91</f>
        <v>0.198291047165337</v>
      </c>
      <c r="D18" s="18" t="n">
        <f aca="false">C18-B18</f>
        <v>0.00870179920326036</v>
      </c>
      <c r="E18" s="18" t="n">
        <f aca="false">PL!E134</f>
        <v>0.198291047165337</v>
      </c>
      <c r="F18" s="18" t="n">
        <f aca="false">E18-B18</f>
        <v>0.00870179920326036</v>
      </c>
      <c r="G18" s="18" t="n">
        <f aca="false">PL!E177</f>
        <v>0.198291047165337</v>
      </c>
      <c r="H18" s="18" t="n">
        <f aca="false">G18-B18</f>
        <v>0.00870179920326036</v>
      </c>
      <c r="I18" s="4" t="s">
        <v>647</v>
      </c>
    </row>
    <row r="19" customFormat="false" ht="17.15" hidden="false" customHeight="false" outlineLevel="0" collapsed="false">
      <c r="A19" s="0" t="s">
        <v>344</v>
      </c>
      <c r="B19" s="19" t="n">
        <v>23.91</v>
      </c>
      <c r="C19" s="19" t="n">
        <f aca="false">Q!E13</f>
        <v>25.0594332267712</v>
      </c>
      <c r="D19" s="18" t="n">
        <f aca="false">C19/B19-1</f>
        <v>0.0480733260882966</v>
      </c>
      <c r="E19" s="19" t="n">
        <f aca="false">Q!E13</f>
        <v>25.0594332267712</v>
      </c>
      <c r="F19" s="18" t="n">
        <f aca="false">E19/B19-1</f>
        <v>0.0480733260882966</v>
      </c>
      <c r="G19" s="19" t="n">
        <f aca="false">Q!E13</f>
        <v>25.0594332267712</v>
      </c>
      <c r="H19" s="18" t="n">
        <f aca="false">G19/B19-1</f>
        <v>0.0480733260882966</v>
      </c>
      <c r="I19" s="4" t="s">
        <v>648</v>
      </c>
    </row>
    <row r="20" customFormat="false" ht="17.15" hidden="false" customHeight="false" outlineLevel="0" collapsed="false">
      <c r="A20" s="6" t="s">
        <v>649</v>
      </c>
    </row>
    <row r="21" customFormat="false" ht="17.15" hidden="false" customHeight="false" outlineLevel="0" collapsed="false">
      <c r="A21" s="0" t="s">
        <v>650</v>
      </c>
      <c r="J21" s="4" t="s">
        <v>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652</v>
      </c>
    </row>
    <row r="3" customFormat="false" ht="17.15" hidden="false" customHeight="false" outlineLevel="0" collapsed="false">
      <c r="A3" s="5" t="s">
        <v>653</v>
      </c>
      <c r="B3" s="5" t="s">
        <v>654</v>
      </c>
      <c r="C3" s="12" t="s">
        <v>655</v>
      </c>
      <c r="D3" s="12" t="s">
        <v>656</v>
      </c>
      <c r="E3" s="12" t="s">
        <v>657</v>
      </c>
      <c r="F3" s="12" t="s">
        <v>558</v>
      </c>
      <c r="G3" s="12" t="s">
        <v>658</v>
      </c>
      <c r="H3" s="12" t="s">
        <v>659</v>
      </c>
      <c r="I3" s="12" t="s">
        <v>660</v>
      </c>
      <c r="J3" s="12" t="s">
        <v>661</v>
      </c>
      <c r="K3" s="12" t="s">
        <v>662</v>
      </c>
      <c r="L3" s="12" t="s">
        <v>663</v>
      </c>
    </row>
    <row r="4" customFormat="false" ht="17.15" hidden="false" customHeight="false" outlineLevel="0" collapsed="false">
      <c r="A4" s="4" t="s">
        <v>664</v>
      </c>
      <c r="B4" s="0" t="s">
        <v>665</v>
      </c>
      <c r="C4" s="20" t="n">
        <f aca="false">PL!E84</f>
        <v>650.908996130894</v>
      </c>
      <c r="D4" s="20" t="n">
        <f aca="false">PL!E76</f>
        <v>371.791995210894</v>
      </c>
      <c r="E4" s="18" t="n">
        <f aca="false">PL!E91</f>
        <v>0.198291047165337</v>
      </c>
      <c r="F4" s="19" t="n">
        <f aca="false">PL!E99</f>
        <v>147.404753849881</v>
      </c>
      <c r="G4" s="18" t="n">
        <f aca="false">F4/F$4-1</f>
        <v>0</v>
      </c>
      <c r="H4" s="20" t="n">
        <f aca="false">PL!F84</f>
        <v>738.706196870144</v>
      </c>
      <c r="I4" s="20" t="n">
        <f aca="false">PL!F76</f>
        <v>426.378914654143</v>
      </c>
      <c r="J4" s="18" t="n">
        <f aca="false">PL!F91</f>
        <v>0.198320148059342</v>
      </c>
      <c r="K4" s="19" t="n">
        <f aca="false">PL!F99</f>
        <v>169.157908167234</v>
      </c>
      <c r="L4" s="18" t="n">
        <f aca="false">K4/K$4-1</f>
        <v>0</v>
      </c>
    </row>
    <row r="5" customFormat="false" ht="17.15" hidden="false" customHeight="false" outlineLevel="0" collapsed="false">
      <c r="A5" s="4" t="s">
        <v>666</v>
      </c>
      <c r="B5" s="4" t="s">
        <v>667</v>
      </c>
      <c r="C5" s="20" t="n">
        <f aca="false">E64</f>
        <v>576.550597088715</v>
      </c>
      <c r="D5" s="20" t="n">
        <f aca="false">E56</f>
        <v>297.433596168715</v>
      </c>
      <c r="E5" s="18" t="n">
        <f aca="false">E71</f>
        <v>0.195544193512385</v>
      </c>
      <c r="F5" s="19" t="n">
        <f aca="false">E79</f>
        <v>127.184436962286</v>
      </c>
      <c r="G5" s="18" t="n">
        <f aca="false">F5/F$4-1</f>
        <v>-0.137175473378472</v>
      </c>
      <c r="H5" s="20" t="n">
        <f aca="false">F64</f>
        <v>626.501219329579</v>
      </c>
      <c r="I5" s="20" t="n">
        <f aca="false">F56</f>
        <v>314.173937113579</v>
      </c>
      <c r="J5" s="18" t="n">
        <f aca="false">F71</f>
        <v>0.194510899484458</v>
      </c>
      <c r="K5" s="19" t="n">
        <f aca="false">F79</f>
        <v>138.379950053793</v>
      </c>
      <c r="L5" s="18" t="n">
        <f aca="false">K5/K$4-1</f>
        <v>-0.18194808890054</v>
      </c>
    </row>
    <row r="6" customFormat="false" ht="17.15" hidden="false" customHeight="false" outlineLevel="0" collapsed="false">
      <c r="A6" s="4" t="s">
        <v>668</v>
      </c>
      <c r="B6" s="4" t="s">
        <v>669</v>
      </c>
      <c r="C6" s="20" t="n">
        <f aca="false">E107</f>
        <v>688.088195651984</v>
      </c>
      <c r="D6" s="20" t="n">
        <f aca="false">E99</f>
        <v>408.971194731984</v>
      </c>
      <c r="E6" s="18" t="n">
        <f aca="false">E114</f>
        <v>0.199441844493159</v>
      </c>
      <c r="F6" s="19" t="n">
        <f aca="false">E122</f>
        <v>157.514912293678</v>
      </c>
      <c r="G6" s="18" t="n">
        <f aca="false">F6/F$4-1</f>
        <v>0.0685877366892362</v>
      </c>
      <c r="H6" s="20" t="n">
        <f aca="false">F107</f>
        <v>806.029183394482</v>
      </c>
      <c r="I6" s="20" t="n">
        <f aca="false">F99</f>
        <v>493.701901178482</v>
      </c>
      <c r="J6" s="18" t="n">
        <f aca="false">F114</f>
        <v>0.200096633769334</v>
      </c>
      <c r="K6" s="19" t="n">
        <f aca="false">F122</f>
        <v>187.688506012329</v>
      </c>
      <c r="L6" s="18" t="n">
        <f aca="false">K6/K$4-1</f>
        <v>0.109546151556657</v>
      </c>
    </row>
    <row r="7" customFormat="false" ht="17.15" hidden="false" customHeight="false" outlineLevel="0" collapsed="false">
      <c r="A7" s="4" t="s">
        <v>670</v>
      </c>
      <c r="B7" s="0" t="s">
        <v>671</v>
      </c>
      <c r="C7" s="20" t="n">
        <f aca="false">E150</f>
        <v>635.088060164473</v>
      </c>
      <c r="D7" s="20" t="n">
        <f aca="false">E142</f>
        <v>355.971059244473</v>
      </c>
      <c r="E7" s="18" t="n">
        <f aca="false">E157</f>
        <v>0.197760479056533</v>
      </c>
      <c r="F7" s="19" t="n">
        <f aca="false">E165</f>
        <v>143.102558767414</v>
      </c>
      <c r="G7" s="18" t="n">
        <f aca="false">F7/F$4-1</f>
        <v>-0.0291862709315897</v>
      </c>
      <c r="H7" s="20" t="n">
        <f aca="false">F150</f>
        <v>712.05751470426</v>
      </c>
      <c r="I7" s="20" t="n">
        <f aca="false">F142</f>
        <v>399.73023248826</v>
      </c>
      <c r="J7" s="18" t="n">
        <f aca="false">F157</f>
        <v>0.197524154095992</v>
      </c>
      <c r="K7" s="19" t="n">
        <f aca="false">F165</f>
        <v>161.834524420404</v>
      </c>
      <c r="L7" s="18" t="n">
        <f aca="false">K7/K$4-1</f>
        <v>-0.0432931798824942</v>
      </c>
    </row>
    <row r="8" customFormat="false" ht="15" hidden="false" customHeight="false" outlineLevel="0" collapsed="false">
      <c r="A8" s="4" t="s">
        <v>672</v>
      </c>
      <c r="B8" s="0" t="s">
        <v>673</v>
      </c>
      <c r="C8" s="20" t="n">
        <f aca="false">E193</f>
        <v>648.032462318818</v>
      </c>
      <c r="D8" s="20" t="n">
        <f aca="false">E185</f>
        <v>368.915461398818</v>
      </c>
      <c r="E8" s="18" t="n">
        <f aca="false">E200</f>
        <v>0.198196507156478</v>
      </c>
      <c r="F8" s="19" t="n">
        <f aca="false">E208</f>
        <v>146.62253656216</v>
      </c>
      <c r="G8" s="18" t="n">
        <f aca="false">F8/F$4-1</f>
        <v>-0.00530659471483441</v>
      </c>
      <c r="H8" s="20" t="n">
        <f aca="false">F193</f>
        <v>733.860981930892</v>
      </c>
      <c r="I8" s="20" t="n">
        <f aca="false">F185</f>
        <v>421.533699714892</v>
      </c>
      <c r="J8" s="18" t="n">
        <f aca="false">F200</f>
        <v>0.198179721789067</v>
      </c>
      <c r="K8" s="19" t="n">
        <f aca="false">F208</f>
        <v>167.82608254306</v>
      </c>
      <c r="L8" s="18" t="n">
        <f aca="false">K8/K$4-1</f>
        <v>-0.00787326846615633</v>
      </c>
    </row>
    <row r="9" customFormat="false" ht="15" hidden="false" customHeight="false" outlineLevel="0" collapsed="false">
      <c r="A9" s="4" t="s">
        <v>674</v>
      </c>
      <c r="B9" s="0" t="s">
        <v>675</v>
      </c>
      <c r="C9" s="20" t="n">
        <f aca="false">E236</f>
        <v>642.245235670794</v>
      </c>
      <c r="D9" s="20" t="n">
        <f aca="false">E228</f>
        <v>363.128234750794</v>
      </c>
      <c r="E9" s="18" t="n">
        <f aca="false">E243</f>
        <v>0.19800373867368</v>
      </c>
      <c r="F9" s="19" t="n">
        <f aca="false">E251</f>
        <v>145.048813106159</v>
      </c>
      <c r="G9" s="18" t="n">
        <f aca="false">F9/F$4-1</f>
        <v>-0.015982800297755</v>
      </c>
      <c r="H9" s="20" t="n">
        <f aca="false">F236</f>
        <v>726.005908645118</v>
      </c>
      <c r="I9" s="20" t="n">
        <f aca="false">F228</f>
        <v>413.678626429118</v>
      </c>
      <c r="J9" s="18" t="n">
        <f aca="false">F243</f>
        <v>0.197948079876652</v>
      </c>
      <c r="K9" s="19" t="n">
        <f aca="false">F251</f>
        <v>165.671818851584</v>
      </c>
      <c r="L9" s="18" t="n">
        <f aca="false">K9/K$4-1</f>
        <v>-0.0206084915178986</v>
      </c>
    </row>
    <row r="10" customFormat="false" ht="15" hidden="false" customHeight="false" outlineLevel="0" collapsed="false">
      <c r="A10" s="4" t="s">
        <v>676</v>
      </c>
      <c r="B10" s="0" t="s">
        <v>677</v>
      </c>
      <c r="C10" s="20" t="n">
        <f aca="false">E279</f>
        <v>658.603664027452</v>
      </c>
      <c r="D10" s="20" t="n">
        <f aca="false">E271</f>
        <v>379.486663107452</v>
      </c>
      <c r="E10" s="18" t="n">
        <f aca="false">E286</f>
        <v>0.198539880554636</v>
      </c>
      <c r="F10" s="19" t="n">
        <f aca="false">E294</f>
        <v>149.497168764906</v>
      </c>
      <c r="G10" s="18" t="n">
        <f aca="false">F10/F$4-1</f>
        <v>0.0141950300812916</v>
      </c>
      <c r="H10" s="20" t="n">
        <f aca="false">F279</f>
        <v>742.180065166834</v>
      </c>
      <c r="I10" s="20" t="n">
        <f aca="false">F271</f>
        <v>429.852782950834</v>
      </c>
      <c r="J10" s="18" t="n">
        <f aca="false">F286</f>
        <v>0.198419700789628</v>
      </c>
      <c r="K10" s="19" t="n">
        <f aca="false">F294</f>
        <v>170.088674455207</v>
      </c>
      <c r="L10" s="18" t="n">
        <f aca="false">K10/K$4-1</f>
        <v>0.00550235160778234</v>
      </c>
    </row>
    <row r="11" customFormat="false" ht="17.15" hidden="false" customHeight="false" outlineLevel="0" collapsed="false">
      <c r="A11" s="0" t="s">
        <v>678</v>
      </c>
      <c r="B11" s="0" t="s">
        <v>679</v>
      </c>
      <c r="C11" s="20" t="n">
        <f aca="false">E322</f>
        <v>576.550597088715</v>
      </c>
      <c r="D11" s="20" t="n">
        <f aca="false">E314</f>
        <v>297.433596168715</v>
      </c>
      <c r="E11" s="18" t="n">
        <f aca="false">E329</f>
        <v>0.195544193512385</v>
      </c>
      <c r="F11" s="19" t="n">
        <f aca="false">E337</f>
        <v>127.184436962286</v>
      </c>
      <c r="G11" s="18" t="n">
        <f aca="false">F11/F$4-1</f>
        <v>-0.137175473378472</v>
      </c>
      <c r="H11" s="20" t="n">
        <f aca="false">F322</f>
        <v>653.430413939315</v>
      </c>
      <c r="I11" s="20" t="n">
        <f aca="false">F314</f>
        <v>341.103131723315</v>
      </c>
      <c r="J11" s="18" t="n">
        <f aca="false">F329</f>
        <v>0.195544429164494</v>
      </c>
      <c r="K11" s="19" t="n">
        <f aca="false">F337</f>
        <v>145.81707204265</v>
      </c>
      <c r="L11" s="18" t="n">
        <f aca="false">K11/K$4-1</f>
        <v>-0.137982529918194</v>
      </c>
    </row>
    <row r="12" customFormat="false" ht="17.15" hidden="false" customHeight="false" outlineLevel="0" collapsed="false">
      <c r="A12" s="0" t="s">
        <v>680</v>
      </c>
      <c r="B12" s="0" t="s">
        <v>681</v>
      </c>
      <c r="C12" s="20" t="n">
        <f aca="false">E365</f>
        <v>725.267395173073</v>
      </c>
      <c r="D12" s="20" t="n">
        <f aca="false">E357</f>
        <v>446.150394253073</v>
      </c>
      <c r="E12" s="18" t="n">
        <f aca="false">E372</f>
        <v>0.200474655754754</v>
      </c>
      <c r="F12" s="19" t="n">
        <f aca="false">E380</f>
        <v>167.625070737476</v>
      </c>
      <c r="G12" s="18" t="n">
        <f aca="false">F12/F$4-1</f>
        <v>0.137175473378472</v>
      </c>
      <c r="H12" s="20" t="n">
        <f aca="false">F365</f>
        <v>823.981979800972</v>
      </c>
      <c r="I12" s="20" t="n">
        <f aca="false">F357</f>
        <v>511.654697584972</v>
      </c>
      <c r="J12" s="18" t="n">
        <f aca="false">F372</f>
        <v>0.200521335938327</v>
      </c>
      <c r="K12" s="19" t="n">
        <f aca="false">F380</f>
        <v>192.500657522409</v>
      </c>
      <c r="L12" s="18" t="n">
        <f aca="false">K12/K$4-1</f>
        <v>0.137993840241257</v>
      </c>
    </row>
    <row r="13" customFormat="false" ht="17.15" hidden="false" customHeight="false" outlineLevel="0" collapsed="false">
      <c r="A13" s="0" t="s">
        <v>682</v>
      </c>
      <c r="B13" s="4" t="s">
        <v>683</v>
      </c>
      <c r="C13" s="20" t="n">
        <f aca="false">E408</f>
        <v>586.727558630894</v>
      </c>
      <c r="D13" s="20" t="n">
        <f aca="false">E400</f>
        <v>371.791995210894</v>
      </c>
      <c r="E13" s="18" t="n">
        <f aca="false">E415</f>
        <v>0.202524591457167</v>
      </c>
      <c r="F13" s="19" t="n">
        <f aca="false">E423</f>
        <v>135.367509810058</v>
      </c>
      <c r="G13" s="18" t="n">
        <f aca="false">F13/F$4-1</f>
        <v>-0.0816611657727273</v>
      </c>
      <c r="H13" s="20" t="n">
        <f aca="false">F408</f>
        <v>646.284926870144</v>
      </c>
      <c r="I13" s="20" t="n">
        <f aca="false">F400</f>
        <v>426.378914654143</v>
      </c>
      <c r="J13" s="18" t="n">
        <f aca="false">F415</f>
        <v>0.203858818120189</v>
      </c>
      <c r="K13" s="19" t="n">
        <f aca="false">F423</f>
        <v>151.609892289066</v>
      </c>
      <c r="L13" s="18" t="n">
        <f aca="false">K13/K$4-1</f>
        <v>-0.103737484509559</v>
      </c>
    </row>
    <row r="14" customFormat="false" ht="17.15" hidden="false" customHeight="false" outlineLevel="0" collapsed="false">
      <c r="A14" s="0" t="s">
        <v>684</v>
      </c>
      <c r="B14" s="0" t="s">
        <v>685</v>
      </c>
      <c r="C14" s="20" t="n">
        <f aca="false">E451</f>
        <v>604.698361130894</v>
      </c>
      <c r="D14" s="20" t="n">
        <f aca="false">E443</f>
        <v>371.791995210894</v>
      </c>
      <c r="E14" s="18" t="n">
        <f aca="false">E458</f>
        <v>0.201248612179206</v>
      </c>
      <c r="F14" s="19" t="n">
        <f aca="false">E466</f>
        <v>138.737938141208</v>
      </c>
      <c r="G14" s="18" t="n">
        <f aca="false">F14/F$4-1</f>
        <v>-0.0587960393563637</v>
      </c>
      <c r="H14" s="20" t="n">
        <f aca="false">F451</f>
        <v>686.334143870144</v>
      </c>
      <c r="I14" s="20" t="n">
        <f aca="false">F443</f>
        <v>426.378914654143</v>
      </c>
      <c r="J14" s="18" t="n">
        <f aca="false">F458</f>
        <v>0.201275584228077</v>
      </c>
      <c r="K14" s="19" t="n">
        <f aca="false">F466</f>
        <v>159.243890489578</v>
      </c>
      <c r="L14" s="18" t="n">
        <f aca="false">K14/K$4-1</f>
        <v>-0.0586080650031129</v>
      </c>
    </row>
    <row r="15" customFormat="false" ht="17.15" hidden="false" customHeight="false" outlineLevel="0" collapsed="false">
      <c r="A15" s="4" t="s">
        <v>686</v>
      </c>
      <c r="B15" s="0" t="s">
        <v>687</v>
      </c>
      <c r="C15" s="20" t="n">
        <f aca="false">E494</f>
        <v>690.281521734107</v>
      </c>
      <c r="D15" s="20" t="n">
        <f aca="false">E486</f>
        <v>448.133028814107</v>
      </c>
      <c r="E15" s="18" t="n">
        <f aca="false">E501</f>
        <v>0.197919203417431</v>
      </c>
      <c r="F15" s="19" t="n">
        <f aca="false">E509</f>
        <v>156.571066080487</v>
      </c>
      <c r="G15" s="18" t="n">
        <f aca="false">F15/F$4-1</f>
        <v>0.0621846446006797</v>
      </c>
      <c r="H15" s="20" t="n">
        <f aca="false">F494</f>
        <v>784.358064601069</v>
      </c>
      <c r="I15" s="20" t="n">
        <f aca="false">F486</f>
        <v>513.928424785069</v>
      </c>
      <c r="J15" s="18" t="n">
        <f aca="false">F501</f>
        <v>0.19796305855748</v>
      </c>
      <c r="K15" s="19" t="n">
        <f aca="false">F509</f>
        <v>179.896774404932</v>
      </c>
      <c r="L15" s="18" t="n">
        <f aca="false">K15/K$4-1</f>
        <v>0.0634842695446487</v>
      </c>
    </row>
    <row r="16" customFormat="false" ht="17.15" hidden="false" customHeight="false" outlineLevel="0" collapsed="false">
      <c r="A16" s="4" t="s">
        <v>688</v>
      </c>
      <c r="B16" s="0" t="s">
        <v>689</v>
      </c>
      <c r="C16" s="20" t="n">
        <f aca="false">E537</f>
        <v>611.536470527682</v>
      </c>
      <c r="D16" s="20" t="n">
        <f aca="false">E529</f>
        <v>295.450961607682</v>
      </c>
      <c r="E16" s="18" t="n">
        <f aca="false">E544</f>
        <v>0.198092695335994</v>
      </c>
      <c r="F16" s="19" t="n">
        <f aca="false">E552</f>
        <v>137.706879369208</v>
      </c>
      <c r="G16" s="18" t="n">
        <f aca="false">F16/F$4-1</f>
        <v>-0.0657907850824773</v>
      </c>
      <c r="H16" s="20" t="n">
        <f aca="false">F537</f>
        <v>693.054329139218</v>
      </c>
      <c r="I16" s="20" t="n">
        <f aca="false">F529</f>
        <v>338.829404523218</v>
      </c>
      <c r="J16" s="18" t="n">
        <f aca="false">F544</f>
        <v>0.198091923672022</v>
      </c>
      <c r="K16" s="19" t="n">
        <f aca="false">F552</f>
        <v>157.803798338816</v>
      </c>
      <c r="L16" s="18" t="n">
        <f aca="false">K16/K$4-1</f>
        <v>-0.0671213657784938</v>
      </c>
    </row>
    <row r="17" customFormat="false" ht="17.15" hidden="false" customHeight="false" outlineLevel="0" collapsed="false">
      <c r="A17" s="4" t="s">
        <v>690</v>
      </c>
      <c r="B17" s="4" t="s">
        <v>691</v>
      </c>
      <c r="C17" s="20" t="n">
        <f aca="false">E580</f>
        <v>650.908996130894</v>
      </c>
      <c r="D17" s="20" t="n">
        <f aca="false">E572</f>
        <v>371.791995210894</v>
      </c>
      <c r="E17" s="18" t="n">
        <f aca="false">E587</f>
        <v>0.193940147563706</v>
      </c>
      <c r="F17" s="19" t="n">
        <f aca="false">E595</f>
        <v>143.421949618915</v>
      </c>
      <c r="G17" s="18" t="n">
        <f aca="false">F17/F$4-1</f>
        <v>-0.0270195100696845</v>
      </c>
      <c r="H17" s="20" t="n">
        <f aca="false">F580</f>
        <v>738.706196870144</v>
      </c>
      <c r="I17" s="20" t="n">
        <f aca="false">F572</f>
        <v>426.378914654143</v>
      </c>
      <c r="J17" s="18" t="n">
        <f aca="false">F587</f>
        <v>0.193954698010709</v>
      </c>
      <c r="K17" s="19" t="n">
        <f aca="false">F595</f>
        <v>164.622771392647</v>
      </c>
      <c r="L17" s="18" t="n">
        <f aca="false">K17/K$4-1</f>
        <v>-0.0268100783683326</v>
      </c>
    </row>
    <row r="18" customFormat="false" ht="17.15" hidden="false" customHeight="false" outlineLevel="0" collapsed="false">
      <c r="A18" s="4" t="s">
        <v>692</v>
      </c>
      <c r="B18" s="4" t="s">
        <v>693</v>
      </c>
      <c r="C18" s="20" t="n">
        <f aca="false">E623</f>
        <v>650.908996130894</v>
      </c>
      <c r="D18" s="20" t="n">
        <f aca="false">E615</f>
        <v>371.791995210894</v>
      </c>
      <c r="E18" s="18" t="n">
        <f aca="false">E630</f>
        <v>0.204092246634177</v>
      </c>
      <c r="F18" s="19" t="n">
        <f aca="false">E638</f>
        <v>152.715159491169</v>
      </c>
      <c r="G18" s="18" t="n">
        <f aca="false">F18/F$4-1</f>
        <v>0.0360260134262465</v>
      </c>
      <c r="H18" s="20" t="n">
        <f aca="false">F623</f>
        <v>738.706196870144</v>
      </c>
      <c r="I18" s="20" t="n">
        <f aca="false">F615</f>
        <v>426.378914654143</v>
      </c>
      <c r="J18" s="18" t="n">
        <f aca="false">F630</f>
        <v>0.204140748124186</v>
      </c>
      <c r="K18" s="19" t="n">
        <f aca="false">F638</f>
        <v>175.204757200016</v>
      </c>
      <c r="L18" s="18" t="n">
        <f aca="false">K18/K$4-1</f>
        <v>0.0357467711577766</v>
      </c>
    </row>
    <row r="19" customFormat="false" ht="17.15" hidden="false" customHeight="false" outlineLevel="0" collapsed="false">
      <c r="A19" s="4" t="s">
        <v>694</v>
      </c>
      <c r="B19" s="4" t="s">
        <v>695</v>
      </c>
      <c r="C19" s="20" t="n">
        <f aca="false">E666</f>
        <v>650.908996130894</v>
      </c>
      <c r="D19" s="20" t="n">
        <f aca="false">E658</f>
        <v>371.791995210894</v>
      </c>
      <c r="E19" s="18" t="n">
        <f aca="false">E673</f>
        <v>0.198291047165337</v>
      </c>
      <c r="F19" s="19" t="n">
        <f aca="false">E681</f>
        <v>138.191956734264</v>
      </c>
      <c r="G19" s="18" t="n">
        <f aca="false">F19/F$4-1</f>
        <v>-0.0624999999999999</v>
      </c>
      <c r="H19" s="20" t="n">
        <f aca="false">F666</f>
        <v>738.706196870144</v>
      </c>
      <c r="I19" s="20" t="n">
        <f aca="false">F658</f>
        <v>426.378914654143</v>
      </c>
      <c r="J19" s="18" t="n">
        <f aca="false">F673</f>
        <v>0.198320148059342</v>
      </c>
      <c r="K19" s="19" t="n">
        <f aca="false">F681</f>
        <v>158.585538906782</v>
      </c>
      <c r="L19" s="18" t="n">
        <f aca="false">K19/K$4-1</f>
        <v>-0.0625000000000002</v>
      </c>
    </row>
    <row r="20" customFormat="false" ht="17.15" hidden="false" customHeight="false" outlineLevel="0" collapsed="false">
      <c r="A20" s="4" t="s">
        <v>696</v>
      </c>
      <c r="B20" s="4" t="s">
        <v>697</v>
      </c>
      <c r="C20" s="20" t="n">
        <f aca="false">E709</f>
        <v>650.908996130894</v>
      </c>
      <c r="D20" s="20" t="n">
        <f aca="false">E701</f>
        <v>371.791995210894</v>
      </c>
      <c r="E20" s="18" t="n">
        <f aca="false">E716</f>
        <v>0.198291047165337</v>
      </c>
      <c r="F20" s="19" t="n">
        <f aca="false">E724</f>
        <v>142.827764496376</v>
      </c>
      <c r="G20" s="18" t="n">
        <f aca="false">F20/F$4-1</f>
        <v>-0.0310504867310208</v>
      </c>
      <c r="H20" s="20" t="n">
        <f aca="false">F709</f>
        <v>738.706196870144</v>
      </c>
      <c r="I20" s="20" t="n">
        <f aca="false">F701</f>
        <v>426.378914654143</v>
      </c>
      <c r="J20" s="18" t="n">
        <f aca="false">F716</f>
        <v>0.198320148059342</v>
      </c>
      <c r="K20" s="19" t="n">
        <f aca="false">F724</f>
        <v>163.963556240098</v>
      </c>
      <c r="L20" s="18" t="n">
        <f aca="false">K20/K$4-1</f>
        <v>-0.0307071184753664</v>
      </c>
    </row>
    <row r="21" customFormat="false" ht="17.15" hidden="false" customHeight="false" outlineLevel="0" collapsed="false">
      <c r="A21" s="4" t="s">
        <v>698</v>
      </c>
      <c r="B21" s="0" t="s">
        <v>699</v>
      </c>
      <c r="C21" s="20" t="n">
        <f aca="false">PL!E127</f>
        <v>650.908996130894</v>
      </c>
      <c r="D21" s="20" t="n">
        <f aca="false">PL!E119</f>
        <v>371.791995210894</v>
      </c>
      <c r="E21" s="18" t="n">
        <f aca="false">PL!E134</f>
        <v>0.198291047165337</v>
      </c>
      <c r="F21" s="19" t="n">
        <f aca="false">PL!E142</f>
        <v>147.404753849881</v>
      </c>
      <c r="G21" s="18" t="n">
        <f aca="false">F21/F$4-1</f>
        <v>0</v>
      </c>
      <c r="H21" s="20" t="n">
        <f aca="false">PL!F127</f>
        <v>601.058360939315</v>
      </c>
      <c r="I21" s="20" t="n">
        <f aca="false">PL!F119</f>
        <v>341.103131723315</v>
      </c>
      <c r="J21" s="18" t="n">
        <f aca="false">PL!F134</f>
        <v>0.198677314052103</v>
      </c>
      <c r="K21" s="19" t="n">
        <f aca="false">PL!F142</f>
        <v>133.829705368754</v>
      </c>
      <c r="L21" s="18" t="n">
        <f aca="false">K21/K$4-1</f>
        <v>-0.208847479738008</v>
      </c>
    </row>
    <row r="22" customFormat="false" ht="17.15" hidden="false" customHeight="false" outlineLevel="0" collapsed="false">
      <c r="A22" s="4" t="s">
        <v>700</v>
      </c>
      <c r="B22" s="0" t="s">
        <v>701</v>
      </c>
      <c r="C22" s="20" t="n">
        <f aca="false">PL!E170</f>
        <v>650.908996130894</v>
      </c>
      <c r="D22" s="20" t="n">
        <f aca="false">PL!E162</f>
        <v>371.791995210894</v>
      </c>
      <c r="E22" s="18" t="n">
        <f aca="false">PL!E177</f>
        <v>0.198291047165337</v>
      </c>
      <c r="F22" s="19" t="n">
        <f aca="false">PL!E185</f>
        <v>147.404753849881</v>
      </c>
      <c r="G22" s="18" t="n">
        <f aca="false">F22/F$4-1</f>
        <v>0</v>
      </c>
      <c r="H22" s="20" t="n">
        <f aca="false">PL!F170</f>
        <v>463.410525008486</v>
      </c>
      <c r="I22" s="20" t="n">
        <f aca="false">PL!F162</f>
        <v>255.827348792486</v>
      </c>
      <c r="J22" s="18" t="n">
        <f aca="false">PL!F177</f>
        <v>0.19924665962784</v>
      </c>
      <c r="K22" s="19" t="n">
        <f aca="false">PL!F185</f>
        <v>95.74093058945</v>
      </c>
      <c r="L22" s="18" t="n">
        <f aca="false">K22/K$4-1</f>
        <v>-0.434014456511263</v>
      </c>
    </row>
    <row r="24" customFormat="false" ht="17.15" hidden="false" customHeight="false" outlineLevel="0" collapsed="false">
      <c r="A24" s="4" t="s">
        <v>702</v>
      </c>
    </row>
    <row r="26" customFormat="false" ht="17.15" hidden="false" customHeight="false" outlineLevel="0" collapsed="false">
      <c r="A26" s="1" t="s">
        <v>703</v>
      </c>
    </row>
    <row r="27" customFormat="false" ht="15" hidden="false" customHeight="false" outlineLevel="0" collapsed="false">
      <c r="A27" s="5" t="s">
        <v>704</v>
      </c>
      <c r="B27" s="5" t="s">
        <v>705</v>
      </c>
      <c r="C27" s="5" t="s">
        <v>706</v>
      </c>
      <c r="D27" s="5" t="s">
        <v>707</v>
      </c>
      <c r="E27" s="5" t="s">
        <v>708</v>
      </c>
      <c r="F27" s="5" t="s">
        <v>709</v>
      </c>
      <c r="G27" s="5" t="s">
        <v>710</v>
      </c>
    </row>
    <row r="28" customFormat="false" ht="17.15" hidden="false" customHeight="false" outlineLevel="0" collapsed="false">
      <c r="A28" s="0" t="s">
        <v>711</v>
      </c>
      <c r="B28" s="4" t="s">
        <v>712</v>
      </c>
      <c r="C28" s="28" t="n">
        <f aca="false">tp_w_dcf*(tp_wA*(MAX(0,Val!B7*Val!$G$7*(1-MIN(0.8,tp_g/tp_roe))/(1+(tp_r-0.01))^Val!$F$7+Val!B8*Val!$G$8*(1-MIN(0.8,tp_g/tp_roe))/(1+(tp_r-0.01))^Val!$F$8+Val!B9*Val!$G$9*(1-MIN(0.8,tp_g/tp_roe))/(1+(tp_r-0.01))^Val!$F$9+Val!B10*Val!$G$10*(1-MIN(0.8,tp_g/tp_roe))/(1+(tp_r-0.01))^Val!$F$10+Val!B11*Val!$G$11*(1-MIN(0.8,tp_g/tp_roe))/(1+(tp_r-0.01))^Val!$F$11+Val!B12*Val!$G$12*(1-MIN(0.8,tp_g/tp_roe))/(1+(tp_r-0.01))^Val!$F$12+Val!B12*(1-MIN(0.8,tp_g/tp_roe))*(1+tp_g)/((tp_r-0.01)-tp_g)/(1+(tp_r-0.01))^Val!$F$12))+tp_wB*(MAX(0,Val!C7*Val!$G$7*(1-MIN(0.8,tp_g/tp_roe))/(1+(tp_r-0.01))^Val!$F$7+Val!C8*Val!$G$8*(1-MIN(0.8,tp_g/tp_roe))/(1+(tp_r-0.01))^Val!$F$8+Val!C9*Val!$G$9*(1-MIN(0.8,tp_g/tp_roe))/(1+(tp_r-0.01))^Val!$F$9+Val!C10*Val!$G$10*(1-MIN(0.8,tp_g/tp_roe))/(1+(tp_r-0.01))^Val!$F$10+Val!C11*Val!$G$11*(1-MIN(0.8,tp_g/tp_roe))/(1+(tp_r-0.01))^Val!$F$11+Val!C12*Val!$G$12*(1-MIN(0.8,tp_g/tp_roe))/(1+(tp_r-0.01))^Val!$F$12+Val!C12*(1-MIN(0.8,tp_g/tp_roe))*(1+tp_g)/((tp_r-0.01)-tp_g)/(1+(tp_r-0.01))^Val!$F$12))+tp_wC*(MAX(0,Val!D7*Val!$G$7*(1-MIN(0.8,tp_g/tp_roe))/(1+(tp_r-0.01))^Val!$F$7+Val!D8*Val!$G$8*(1-MIN(0.8,tp_g/tp_roe))/(1+(tp_r-0.01))^Val!$F$8+Val!D9*Val!$G$9*(1-MIN(0.8,tp_g/tp_roe))/(1+(tp_r-0.01))^Val!$F$9+Val!D10*Val!$G$10*(1-MIN(0.8,tp_g/tp_roe))/(1+(tp_r-0.01))^Val!$F$10+Val!D11*Val!$G$11*(1-MIN(0.8,tp_g/tp_roe))/(1+(tp_r-0.01))^Val!$F$11+Val!D12*Val!$G$12*(1-MIN(0.8,tp_g/tp_roe))/(1+(tp_r-0.01))^Val!$F$12+Val!D12*(1-MIN(0.8,tp_g/tp_roe))*(1+tp_g)/((tp_r-0.01)-tp_g)/(1+(tp_r-0.01))^Val!$F$12)))*(1+(tp_r-0.01))+(1-tp_w_dcf)*Val!$B$35</f>
        <v>2522.26187343976</v>
      </c>
      <c r="D28" s="18" t="n">
        <f aca="false">C28/G28-1</f>
        <v>0.10866717001802</v>
      </c>
      <c r="E28" s="28" t="n">
        <f aca="false">tp_w_dcf*(tp_wA*(MAX(0,Val!B7*Val!$G$7*(1-MIN(0.8,tp_g/tp_roe))/(1+(tp_r+0.01))^Val!$F$7+Val!B8*Val!$G$8*(1-MIN(0.8,tp_g/tp_roe))/(1+(tp_r+0.01))^Val!$F$8+Val!B9*Val!$G$9*(1-MIN(0.8,tp_g/tp_roe))/(1+(tp_r+0.01))^Val!$F$9+Val!B10*Val!$G$10*(1-MIN(0.8,tp_g/tp_roe))/(1+(tp_r+0.01))^Val!$F$10+Val!B11*Val!$G$11*(1-MIN(0.8,tp_g/tp_roe))/(1+(tp_r+0.01))^Val!$F$11+Val!B12*Val!$G$12*(1-MIN(0.8,tp_g/tp_roe))/(1+(tp_r+0.01))^Val!$F$12+Val!B12*(1-MIN(0.8,tp_g/tp_roe))*(1+tp_g)/((tp_r+0.01)-tp_g)/(1+(tp_r+0.01))^Val!$F$12))+tp_wB*(MAX(0,Val!C7*Val!$G$7*(1-MIN(0.8,tp_g/tp_roe))/(1+(tp_r+0.01))^Val!$F$7+Val!C8*Val!$G$8*(1-MIN(0.8,tp_g/tp_roe))/(1+(tp_r+0.01))^Val!$F$8+Val!C9*Val!$G$9*(1-MIN(0.8,tp_g/tp_roe))/(1+(tp_r+0.01))^Val!$F$9+Val!C10*Val!$G$10*(1-MIN(0.8,tp_g/tp_roe))/(1+(tp_r+0.01))^Val!$F$10+Val!C11*Val!$G$11*(1-MIN(0.8,tp_g/tp_roe))/(1+(tp_r+0.01))^Val!$F$11+Val!C12*Val!$G$12*(1-MIN(0.8,tp_g/tp_roe))/(1+(tp_r+0.01))^Val!$F$12+Val!C12*(1-MIN(0.8,tp_g/tp_roe))*(1+tp_g)/((tp_r+0.01)-tp_g)/(1+(tp_r+0.01))^Val!$F$12))+tp_wC*(MAX(0,Val!D7*Val!$G$7*(1-MIN(0.8,tp_g/tp_roe))/(1+(tp_r+0.01))^Val!$F$7+Val!D8*Val!$G$8*(1-MIN(0.8,tp_g/tp_roe))/(1+(tp_r+0.01))^Val!$F$8+Val!D9*Val!$G$9*(1-MIN(0.8,tp_g/tp_roe))/(1+(tp_r+0.01))^Val!$F$9+Val!D10*Val!$G$10*(1-MIN(0.8,tp_g/tp_roe))/(1+(tp_r+0.01))^Val!$F$10+Val!D11*Val!$G$11*(1-MIN(0.8,tp_g/tp_roe))/(1+(tp_r+0.01))^Val!$F$11+Val!D12*Val!$G$12*(1-MIN(0.8,tp_g/tp_roe))/(1+(tp_r+0.01))^Val!$F$12+Val!D12*(1-MIN(0.8,tp_g/tp_roe))*(1+tp_g)/((tp_r+0.01)-tp_g)/(1+(tp_r+0.01))^Val!$F$12)))*(1+(tp_r+0.01))+(1-tp_w_dcf)*Val!$B$35</f>
        <v>2098.47751358077</v>
      </c>
      <c r="F28" s="18" t="n">
        <f aca="false">E28/G28-1</f>
        <v>-0.0776084153564763</v>
      </c>
      <c r="G28" s="28" t="n">
        <f aca="false">Val!$B$39</f>
        <v>2275.03974290026</v>
      </c>
    </row>
    <row r="29" customFormat="false" ht="17.15" hidden="false" customHeight="false" outlineLevel="0" collapsed="false">
      <c r="A29" s="0" t="s">
        <v>713</v>
      </c>
      <c r="B29" s="4" t="s">
        <v>714</v>
      </c>
      <c r="C29" s="28" t="n">
        <f aca="false">tp_w_dcf*(tp_wA*(MAX(0,Val!B7*Val!$G$7*(1-MIN(0.8,(tp_g-0.01)/tp_roe))/(1+tp_r)^Val!$F$7+Val!B8*Val!$G$8*(1-MIN(0.8,(tp_g-0.01)/tp_roe))/(1+tp_r)^Val!$F$8+Val!B9*Val!$G$9*(1-MIN(0.8,(tp_g-0.01)/tp_roe))/(1+tp_r)^Val!$F$9+Val!B10*Val!$G$10*(1-MIN(0.8,(tp_g-0.01)/tp_roe))/(1+tp_r)^Val!$F$10+Val!B11*Val!$G$11*(1-MIN(0.8,(tp_g-0.01)/tp_roe))/(1+tp_r)^Val!$F$11+Val!B12*Val!$G$12*(1-MIN(0.8,(tp_g-0.01)/tp_roe))/(1+tp_r)^Val!$F$12+Val!B12*(1-MIN(0.8,(tp_g-0.01)/tp_roe))*(1+(tp_g-0.01))/(tp_r-(tp_g-0.01))/(1+tp_r)^Val!$F$12))+tp_wB*(MAX(0,Val!C7*Val!$G$7*(1-MIN(0.8,(tp_g-0.01)/tp_roe))/(1+tp_r)^Val!$F$7+Val!C8*Val!$G$8*(1-MIN(0.8,(tp_g-0.01)/tp_roe))/(1+tp_r)^Val!$F$8+Val!C9*Val!$G$9*(1-MIN(0.8,(tp_g-0.01)/tp_roe))/(1+tp_r)^Val!$F$9+Val!C10*Val!$G$10*(1-MIN(0.8,(tp_g-0.01)/tp_roe))/(1+tp_r)^Val!$F$10+Val!C11*Val!$G$11*(1-MIN(0.8,(tp_g-0.01)/tp_roe))/(1+tp_r)^Val!$F$11+Val!C12*Val!$G$12*(1-MIN(0.8,(tp_g-0.01)/tp_roe))/(1+tp_r)^Val!$F$12+Val!C12*(1-MIN(0.8,(tp_g-0.01)/tp_roe))*(1+(tp_g-0.01))/(tp_r-(tp_g-0.01))/(1+tp_r)^Val!$F$12))+tp_wC*(MAX(0,Val!D7*Val!$G$7*(1-MIN(0.8,(tp_g-0.01)/tp_roe))/(1+tp_r)^Val!$F$7+Val!D8*Val!$G$8*(1-MIN(0.8,(tp_g-0.01)/tp_roe))/(1+tp_r)^Val!$F$8+Val!D9*Val!$G$9*(1-MIN(0.8,(tp_g-0.01)/tp_roe))/(1+tp_r)^Val!$F$9+Val!D10*Val!$G$10*(1-MIN(0.8,(tp_g-0.01)/tp_roe))/(1+tp_r)^Val!$F$10+Val!D11*Val!$G$11*(1-MIN(0.8,(tp_g-0.01)/tp_roe))/(1+tp_r)^Val!$F$11+Val!D12*Val!$G$12*(1-MIN(0.8,(tp_g-0.01)/tp_roe))/(1+tp_r)^Val!$F$12+Val!D12*(1-MIN(0.8,(tp_g-0.01)/tp_roe))*(1+(tp_g-0.01))/(tp_r-(tp_g-0.01))/(1+tp_r)^Val!$F$12)))*(1+tp_r)+(1-tp_w_dcf)*Val!$B$35</f>
        <v>2162.12814507803</v>
      </c>
      <c r="D29" s="18" t="n">
        <f aca="false">C29/G29-1</f>
        <v>-0.0496306045529977</v>
      </c>
      <c r="E29" s="28" t="n">
        <f aca="false">tp_w_dcf*(tp_wA*(MAX(0,Val!B7*Val!$G$7*(1-MIN(0.8,(tp_g+0.01)/tp_roe))/(1+tp_r)^Val!$F$7+Val!B8*Val!$G$8*(1-MIN(0.8,(tp_g+0.01)/tp_roe))/(1+tp_r)^Val!$F$8+Val!B9*Val!$G$9*(1-MIN(0.8,(tp_g+0.01)/tp_roe))/(1+tp_r)^Val!$F$9+Val!B10*Val!$G$10*(1-MIN(0.8,(tp_g+0.01)/tp_roe))/(1+tp_r)^Val!$F$10+Val!B11*Val!$G$11*(1-MIN(0.8,(tp_g+0.01)/tp_roe))/(1+tp_r)^Val!$F$11+Val!B12*Val!$G$12*(1-MIN(0.8,(tp_g+0.01)/tp_roe))/(1+tp_r)^Val!$F$12+Val!B12*(1-MIN(0.8,(tp_g+0.01)/tp_roe))*(1+(tp_g+0.01))/(tp_r-(tp_g+0.01))/(1+tp_r)^Val!$F$12))+tp_wB*(MAX(0,Val!C7*Val!$G$7*(1-MIN(0.8,(tp_g+0.01)/tp_roe))/(1+tp_r)^Val!$F$7+Val!C8*Val!$G$8*(1-MIN(0.8,(tp_g+0.01)/tp_roe))/(1+tp_r)^Val!$F$8+Val!C9*Val!$G$9*(1-MIN(0.8,(tp_g+0.01)/tp_roe))/(1+tp_r)^Val!$F$9+Val!C10*Val!$G$10*(1-MIN(0.8,(tp_g+0.01)/tp_roe))/(1+tp_r)^Val!$F$10+Val!C11*Val!$G$11*(1-MIN(0.8,(tp_g+0.01)/tp_roe))/(1+tp_r)^Val!$F$11+Val!C12*Val!$G$12*(1-MIN(0.8,(tp_g+0.01)/tp_roe))/(1+tp_r)^Val!$F$12+Val!C12*(1-MIN(0.8,(tp_g+0.01)/tp_roe))*(1+(tp_g+0.01))/(tp_r-(tp_g+0.01))/(1+tp_r)^Val!$F$12))+tp_wC*(MAX(0,Val!D7*Val!$G$7*(1-MIN(0.8,(tp_g+0.01)/tp_roe))/(1+tp_r)^Val!$F$7+Val!D8*Val!$G$8*(1-MIN(0.8,(tp_g+0.01)/tp_roe))/(1+tp_r)^Val!$F$8+Val!D9*Val!$G$9*(1-MIN(0.8,(tp_g+0.01)/tp_roe))/(1+tp_r)^Val!$F$9+Val!D10*Val!$G$10*(1-MIN(0.8,(tp_g+0.01)/tp_roe))/(1+tp_r)^Val!$F$10+Val!D11*Val!$G$11*(1-MIN(0.8,(tp_g+0.01)/tp_roe))/(1+tp_r)^Val!$F$11+Val!D12*Val!$G$12*(1-MIN(0.8,(tp_g+0.01)/tp_roe))/(1+tp_r)^Val!$F$12+Val!D12*(1-MIN(0.8,(tp_g+0.01)/tp_roe))*(1+(tp_g+0.01))/(tp_r-(tp_g+0.01))/(1+tp_r)^Val!$F$12)))*(1+tp_r)+(1-tp_w_dcf)*Val!$B$35</f>
        <v>2436.09802541398</v>
      </c>
      <c r="F29" s="18" t="n">
        <f aca="false">E29/G29-1</f>
        <v>0.0707936127341635</v>
      </c>
      <c r="G29" s="28" t="n">
        <f aca="false">Val!$B$39</f>
        <v>2275.03974290026</v>
      </c>
    </row>
    <row r="30" customFormat="false" ht="17.15" hidden="false" customHeight="false" outlineLevel="0" collapsed="false">
      <c r="A30" s="0" t="s">
        <v>715</v>
      </c>
      <c r="B30" s="0" t="s">
        <v>716</v>
      </c>
      <c r="C30" s="28" t="n">
        <f aca="false">0.3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-0.3)*Val!$B$35</f>
        <v>2151.58198810617</v>
      </c>
      <c r="D30" s="18" t="n">
        <f aca="false">C30/G30-1</f>
        <v>-0.05426619696617</v>
      </c>
      <c r="E30" s="28" t="n">
        <f aca="false">0.7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-0.7)*Val!$B$35</f>
        <v>2398.49749769435</v>
      </c>
      <c r="F30" s="18" t="n">
        <f aca="false">E30/G30-1</f>
        <v>0.0542661969661695</v>
      </c>
      <c r="G30" s="28" t="n">
        <f aca="false">Val!$B$39</f>
        <v>2275.03974290026</v>
      </c>
    </row>
    <row r="40" customFormat="false" ht="17.15" hidden="false" customHeight="false" outlineLevel="0" collapsed="false">
      <c r="A40" s="1" t="s">
        <v>717</v>
      </c>
    </row>
    <row r="41" customFormat="false" ht="17.15" hidden="false" customHeight="false" outlineLevel="0" collapsed="false">
      <c r="A41" s="5" t="s">
        <v>21</v>
      </c>
      <c r="B41" s="5" t="s">
        <v>22</v>
      </c>
      <c r="C41" s="12" t="s">
        <v>309</v>
      </c>
      <c r="D41" s="12" t="s">
        <v>371</v>
      </c>
      <c r="E41" s="12" t="s">
        <v>372</v>
      </c>
      <c r="F41" s="12" t="s">
        <v>373</v>
      </c>
      <c r="G41" s="12" t="s">
        <v>374</v>
      </c>
      <c r="H41" s="5" t="s">
        <v>350</v>
      </c>
    </row>
    <row r="42" customFormat="false" ht="17.15" hidden="false" customHeight="false" outlineLevel="0" collapsed="false">
      <c r="A42" s="6" t="s">
        <v>389</v>
      </c>
    </row>
    <row r="43" customFormat="false" ht="17.15" hidden="false" customHeight="false" outlineLevel="0" collapsed="false">
      <c r="A43" s="4" t="s">
        <v>390</v>
      </c>
      <c r="B43" s="0" t="s">
        <v>186</v>
      </c>
      <c r="C43" s="20" t="n">
        <f aca="false">a25_rev*nap25s</f>
        <v>156.4416</v>
      </c>
      <c r="D43" s="20" t="n">
        <f aca="false">a26_rev*ns26</f>
        <v>205.3806</v>
      </c>
    </row>
    <row r="44" customFormat="false" ht="17.15" hidden="false" customHeight="false" outlineLevel="0" collapsed="false">
      <c r="A44" s="4" t="s">
        <v>391</v>
      </c>
      <c r="B44" s="0" t="s">
        <v>186</v>
      </c>
      <c r="C44" s="20" t="n">
        <f aca="false">a25_rev*(1-nap25s-sw25s*af25)</f>
        <v>41.22112</v>
      </c>
      <c r="D44" s="20" t="n">
        <f aca="false">C44*(1+g_nai26)</f>
        <v>45.343232</v>
      </c>
    </row>
    <row r="45" customFormat="false" ht="17.15" hidden="false" customHeight="false" outlineLevel="0" collapsed="false">
      <c r="A45" s="0" t="s">
        <v>392</v>
      </c>
      <c r="B45" s="0" t="s">
        <v>186</v>
      </c>
      <c r="C45" s="20" t="n">
        <f aca="false">a25_rev*sw25s*af25</f>
        <v>50.65728</v>
      </c>
      <c r="D45" s="20" t="n">
        <f aca="false">a26_rev-D43-D44</f>
        <v>160.037368</v>
      </c>
      <c r="H45" s="8" t="s">
        <v>393</v>
      </c>
    </row>
    <row r="46" customFormat="false" ht="17.15" hidden="false" customHeight="false" outlineLevel="0" collapsed="false">
      <c r="A46" s="6" t="s">
        <v>394</v>
      </c>
    </row>
    <row r="47" customFormat="false" ht="17.15" hidden="false" customHeight="false" outlineLevel="0" collapsed="false">
      <c r="A47" s="0" t="s">
        <v>395</v>
      </c>
      <c r="B47" s="0" t="s">
        <v>32</v>
      </c>
      <c r="D47" s="14" t="n">
        <f aca="false">mkt_26*1</f>
        <v>32.0719</v>
      </c>
      <c r="E47" s="14" t="n">
        <f aca="false">mkt_27*1*1</f>
        <v>61.085</v>
      </c>
      <c r="F47" s="14" t="n">
        <f aca="false">mkt_28*um28_A*1</f>
        <v>69.005</v>
      </c>
      <c r="G47" s="14" t="n">
        <f aca="false">mkt_29*um29_A*1</f>
        <v>78.48215</v>
      </c>
    </row>
    <row r="48" customFormat="false" ht="15" hidden="false" customHeight="false" outlineLevel="0" collapsed="false">
      <c r="A48" s="4" t="s">
        <v>396</v>
      </c>
      <c r="B48" s="0" t="s">
        <v>103</v>
      </c>
      <c r="D48" s="18" t="n">
        <f aca="false">eth_26</f>
        <v>0.75</v>
      </c>
      <c r="E48" s="18" t="n">
        <f aca="false">eth_27</f>
        <v>0.8</v>
      </c>
      <c r="F48" s="18" t="n">
        <f aca="false">eth_28</f>
        <v>0.83</v>
      </c>
      <c r="G48" s="18" t="n">
        <f aca="false">eth_29</f>
        <v>0.85</v>
      </c>
    </row>
    <row r="49" customFormat="false" ht="17.15" hidden="false" customHeight="false" outlineLevel="0" collapsed="false">
      <c r="A49" s="4" t="s">
        <v>397</v>
      </c>
      <c r="B49" s="0" t="s">
        <v>32</v>
      </c>
      <c r="D49" s="14" t="n">
        <f aca="false">su_26*1</f>
        <v>3.015</v>
      </c>
      <c r="E49" s="14" t="n">
        <f aca="false">su_27*1*1</f>
        <v>11.3414</v>
      </c>
      <c r="F49" s="14" t="n">
        <f aca="false">su_28*um28_A*1</f>
        <v>13.8952</v>
      </c>
      <c r="G49" s="14" t="n">
        <f aca="false">su_29*um29_A*1</f>
        <v>15.97948</v>
      </c>
    </row>
    <row r="50" customFormat="false" ht="17.15" hidden="false" customHeight="false" outlineLevel="0" collapsed="false">
      <c r="A50" s="0" t="s">
        <v>398</v>
      </c>
      <c r="B50" s="0" t="s">
        <v>32</v>
      </c>
      <c r="D50" s="14" t="n">
        <f aca="false">D47*D48+D49</f>
        <v>27.068925</v>
      </c>
      <c r="E50" s="14" t="n">
        <f aca="false">E47*E48+E49</f>
        <v>60.2094</v>
      </c>
      <c r="F50" s="14" t="n">
        <f aca="false">F47*F48+F49</f>
        <v>71.16935</v>
      </c>
      <c r="G50" s="14" t="n">
        <f aca="false">G47*G48+G49</f>
        <v>82.6893075</v>
      </c>
    </row>
    <row r="51" customFormat="false" ht="15" hidden="false" customHeight="false" outlineLevel="0" collapsed="false">
      <c r="A51" s="4" t="s">
        <v>355</v>
      </c>
      <c r="B51" s="0" t="s">
        <v>103</v>
      </c>
      <c r="D51" s="18" t="n">
        <f aca="false">wb_26</f>
        <v>0.45</v>
      </c>
      <c r="E51" s="18" t="n">
        <f aca="false">wb_27</f>
        <v>0.47</v>
      </c>
      <c r="F51" s="18" t="n">
        <f aca="false">wb_28</f>
        <v>0.48</v>
      </c>
      <c r="G51" s="18" t="n">
        <f aca="false">wb_29</f>
        <v>0.5</v>
      </c>
    </row>
    <row r="52" customFormat="false" ht="17.15" hidden="false" customHeight="false" outlineLevel="0" collapsed="false">
      <c r="A52" s="4" t="s">
        <v>357</v>
      </c>
      <c r="B52" s="0" t="s">
        <v>32</v>
      </c>
      <c r="D52" s="14" t="n">
        <f aca="false">D50*D51</f>
        <v>12.18101625</v>
      </c>
      <c r="E52" s="14" t="n">
        <f aca="false">E50*E51</f>
        <v>28.298418</v>
      </c>
      <c r="F52" s="14" t="n">
        <f aca="false">F50*F51</f>
        <v>34.161288</v>
      </c>
      <c r="G52" s="14" t="n">
        <f aca="false">G50*G51</f>
        <v>41.34465375</v>
      </c>
    </row>
    <row r="53" customFormat="false" ht="17.15" hidden="false" customHeight="false" outlineLevel="0" collapsed="false">
      <c r="A53" s="4" t="s">
        <v>399</v>
      </c>
      <c r="B53" s="0" t="s">
        <v>103</v>
      </c>
      <c r="D53" s="18" t="n">
        <f aca="false">D45/fx/D52</f>
        <v>0.410570649226414</v>
      </c>
      <c r="H53" s="8" t="s">
        <v>400</v>
      </c>
    </row>
    <row r="54" customFormat="false" ht="17.15" hidden="false" customHeight="false" outlineLevel="0" collapsed="false">
      <c r="A54" s="4" t="s">
        <v>401</v>
      </c>
      <c r="B54" s="0" t="s">
        <v>76</v>
      </c>
      <c r="D54" s="19" t="n">
        <f aca="false">1</f>
        <v>1</v>
      </c>
      <c r="E54" s="19" t="n">
        <f aca="false">RLO_27</f>
        <v>0.8</v>
      </c>
      <c r="F54" s="19" t="n">
        <f aca="false">RLO_28</f>
        <v>0.7</v>
      </c>
      <c r="G54" s="19" t="n">
        <f aca="false">RLO_29</f>
        <v>0.65</v>
      </c>
    </row>
    <row r="55" customFormat="false" ht="15" hidden="false" customHeight="false" outlineLevel="0" collapsed="false">
      <c r="A55" s="4" t="s">
        <v>402</v>
      </c>
      <c r="B55" s="0" t="s">
        <v>103</v>
      </c>
      <c r="D55" s="18" t="n">
        <f aca="false">$D$53*D54</f>
        <v>0.410570649226414</v>
      </c>
      <c r="E55" s="18" t="n">
        <f aca="false">$D$53*E54</f>
        <v>0.328456519381131</v>
      </c>
      <c r="F55" s="18" t="n">
        <f aca="false">$D$53*F54</f>
        <v>0.28739945445849</v>
      </c>
      <c r="G55" s="18" t="n">
        <f aca="false">$D$53*G54</f>
        <v>0.266870921997169</v>
      </c>
    </row>
    <row r="56" customFormat="false" ht="17.15" hidden="false" customHeight="false" outlineLevel="0" collapsed="false">
      <c r="A56" s="0" t="s">
        <v>403</v>
      </c>
      <c r="B56" s="0" t="s">
        <v>186</v>
      </c>
      <c r="C56" s="20" t="n">
        <f aca="false">C45</f>
        <v>50.65728</v>
      </c>
      <c r="D56" s="20" t="n">
        <f aca="false">D52*D55*fx</f>
        <v>160.037368</v>
      </c>
      <c r="E56" s="20" t="n">
        <f aca="false">E52*E55*fx</f>
        <v>297.433596168715</v>
      </c>
      <c r="F56" s="20" t="n">
        <f aca="false">F52*F55*fx</f>
        <v>314.173937113579</v>
      </c>
      <c r="G56" s="20" t="n">
        <f aca="false">G52*G55*fx</f>
        <v>353.077947709319</v>
      </c>
    </row>
    <row r="57" customFormat="false" ht="17.15" hidden="false" customHeight="false" outlineLevel="0" collapsed="false">
      <c r="A57" s="6" t="s">
        <v>404</v>
      </c>
    </row>
    <row r="58" customFormat="false" ht="17.15" hidden="false" customHeight="false" outlineLevel="0" collapsed="false">
      <c r="A58" s="0" t="s">
        <v>405</v>
      </c>
      <c r="B58" s="4" t="s">
        <v>55</v>
      </c>
      <c r="D58" s="19" t="n">
        <f aca="false">trn_26*1</f>
        <v>2</v>
      </c>
      <c r="E58" s="19" t="n">
        <f aca="false">trn_27*1*1</f>
        <v>2.5</v>
      </c>
      <c r="F58" s="19" t="n">
        <f aca="false">trn_28*um28_A*1</f>
        <v>3</v>
      </c>
      <c r="G58" s="19" t="n">
        <f aca="false">trn_29*um29_A*1</f>
        <v>3.45</v>
      </c>
    </row>
    <row r="59" customFormat="false" ht="17.15" hidden="false" customHeight="false" outlineLevel="0" collapsed="false">
      <c r="A59" s="4" t="s">
        <v>406</v>
      </c>
      <c r="B59" s="4" t="s">
        <v>407</v>
      </c>
      <c r="D59" s="20" t="n">
        <f aca="false">D43/D58</f>
        <v>102.6903</v>
      </c>
      <c r="H59" s="8" t="s">
        <v>408</v>
      </c>
    </row>
    <row r="60" customFormat="false" ht="17.15" hidden="false" customHeight="false" outlineLevel="0" collapsed="false">
      <c r="A60" s="4" t="s">
        <v>409</v>
      </c>
      <c r="B60" s="0" t="s">
        <v>76</v>
      </c>
      <c r="D60" s="19" t="n">
        <f aca="false">1</f>
        <v>1</v>
      </c>
      <c r="E60" s="19" t="n">
        <f aca="false">nrel_27</f>
        <v>0.9</v>
      </c>
      <c r="F60" s="19" t="n">
        <f aca="false">nrel_28</f>
        <v>0.85</v>
      </c>
      <c r="G60" s="19" t="n">
        <f aca="false">nrel_29</f>
        <v>0.8</v>
      </c>
    </row>
    <row r="61" customFormat="false" ht="15" hidden="false" customHeight="false" outlineLevel="0" collapsed="false">
      <c r="A61" s="4" t="s">
        <v>410</v>
      </c>
      <c r="B61" s="0" t="s">
        <v>186</v>
      </c>
      <c r="C61" s="20" t="n">
        <f aca="false">C43</f>
        <v>156.4416</v>
      </c>
      <c r="D61" s="20" t="n">
        <f aca="false">D58*$D$59*D60</f>
        <v>205.3806</v>
      </c>
      <c r="E61" s="20" t="n">
        <f aca="false">E58*$D$59*E60</f>
        <v>231.053175</v>
      </c>
      <c r="F61" s="20" t="n">
        <f aca="false">F58*$D$59*F60</f>
        <v>261.860265</v>
      </c>
      <c r="G61" s="20" t="n">
        <f aca="false">G58*$D$59*G60</f>
        <v>283.425228</v>
      </c>
    </row>
    <row r="62" customFormat="false" ht="17.15" hidden="false" customHeight="false" outlineLevel="0" collapsed="false">
      <c r="A62" s="6" t="s">
        <v>411</v>
      </c>
    </row>
    <row r="63" customFormat="false" ht="17.15" hidden="false" customHeight="false" outlineLevel="0" collapsed="false">
      <c r="A63" s="4" t="s">
        <v>412</v>
      </c>
      <c r="B63" s="0" t="s">
        <v>186</v>
      </c>
      <c r="C63" s="20" t="n">
        <f aca="false">C44</f>
        <v>41.22112</v>
      </c>
      <c r="D63" s="20" t="n">
        <f aca="false">D44</f>
        <v>45.343232</v>
      </c>
      <c r="E63" s="20" t="n">
        <f aca="false">D63*(1+g_nai27)</f>
        <v>48.06382592</v>
      </c>
      <c r="F63" s="20" t="n">
        <f aca="false">E63*(1+g_nai28)</f>
        <v>50.467017216</v>
      </c>
      <c r="G63" s="20" t="n">
        <f aca="false">F63*(1+g_nai29)</f>
        <v>52.9903680768</v>
      </c>
    </row>
    <row r="64" customFormat="false" ht="15" hidden="false" customHeight="false" outlineLevel="0" collapsed="false">
      <c r="A64" s="4" t="s">
        <v>316</v>
      </c>
      <c r="B64" s="0" t="s">
        <v>186</v>
      </c>
      <c r="C64" s="20" t="n">
        <f aca="false">C56+C61+C63</f>
        <v>248.32</v>
      </c>
      <c r="D64" s="20" t="n">
        <f aca="false">D56+D61+D63</f>
        <v>410.7612</v>
      </c>
      <c r="E64" s="20" t="n">
        <f aca="false">E56+E61+E63</f>
        <v>576.550597088715</v>
      </c>
      <c r="F64" s="20" t="n">
        <f aca="false">F56+F61+F63</f>
        <v>626.501219329579</v>
      </c>
      <c r="G64" s="20" t="n">
        <f aca="false">G56+G61+G63</f>
        <v>689.493543786119</v>
      </c>
    </row>
    <row r="65" customFormat="false" ht="15" hidden="false" customHeight="false" outlineLevel="0" collapsed="false">
      <c r="A65" s="4" t="s">
        <v>413</v>
      </c>
      <c r="B65" s="0" t="s">
        <v>103</v>
      </c>
      <c r="D65" s="18" t="n">
        <f aca="false">D64/C64-1</f>
        <v>0.654160760309279</v>
      </c>
      <c r="E65" s="18" t="n">
        <f aca="false">E64/D64-1</f>
        <v>0.403615037371386</v>
      </c>
      <c r="F65" s="18" t="n">
        <f aca="false">F64/E64-1</f>
        <v>0.0866370141546797</v>
      </c>
      <c r="G65" s="18" t="n">
        <f aca="false">G64/F64-1</f>
        <v>0.100546212063159</v>
      </c>
    </row>
    <row r="66" customFormat="false" ht="17.15" hidden="false" customHeight="false" outlineLevel="0" collapsed="false">
      <c r="A66" s="0" t="s">
        <v>414</v>
      </c>
      <c r="B66" s="0" t="s">
        <v>103</v>
      </c>
      <c r="C66" s="18" t="n">
        <f aca="false">(C56+C61)/C64</f>
        <v>0.834</v>
      </c>
      <c r="D66" s="18" t="n">
        <f aca="false">(D56+D61)/D64</f>
        <v>0.889611696528299</v>
      </c>
      <c r="E66" s="18" t="n">
        <f aca="false">(E56+E61)/E64</f>
        <v>0.91663554566989</v>
      </c>
      <c r="F66" s="18" t="n">
        <f aca="false">(F56+F61)/F64</f>
        <v>0.919446258588283</v>
      </c>
      <c r="G66" s="18" t="n">
        <f aca="false">(G56+G61)/G64</f>
        <v>0.923145954658514</v>
      </c>
    </row>
    <row r="67" customFormat="false" ht="17.15" hidden="false" customHeight="false" outlineLevel="0" collapsed="false">
      <c r="A67" s="4" t="s">
        <v>415</v>
      </c>
      <c r="B67" s="0" t="s">
        <v>103</v>
      </c>
      <c r="C67" s="18" t="n">
        <f aca="false">C61/C64</f>
        <v>0.63</v>
      </c>
      <c r="D67" s="18" t="n">
        <f aca="false">D61/D64</f>
        <v>0.5</v>
      </c>
      <c r="E67" s="18" t="n">
        <f aca="false">E61/E64</f>
        <v>0.40075090749485</v>
      </c>
      <c r="F67" s="18" t="n">
        <f aca="false">F61/F64</f>
        <v>0.417972474626973</v>
      </c>
      <c r="G67" s="18" t="n">
        <f aca="false">G61/G64</f>
        <v>0.411062917926203</v>
      </c>
    </row>
    <row r="68" customFormat="false" ht="17.15" hidden="false" customHeight="false" outlineLevel="0" collapsed="false">
      <c r="A68" s="6" t="s">
        <v>416</v>
      </c>
    </row>
    <row r="69" customFormat="false" ht="17.15" hidden="false" customHeight="false" outlineLevel="0" collapsed="false">
      <c r="A69" s="4" t="s">
        <v>417</v>
      </c>
      <c r="B69" s="0" t="s">
        <v>103</v>
      </c>
      <c r="D69" s="15" t="n">
        <f aca="false">a26_gp/a26_rev+d_nap*D67</f>
        <v>0.219589247962076</v>
      </c>
      <c r="H69" s="8" t="s">
        <v>418</v>
      </c>
    </row>
    <row r="70" customFormat="false" ht="15" hidden="false" customHeight="false" outlineLevel="0" collapsed="false">
      <c r="A70" s="4" t="s">
        <v>320</v>
      </c>
      <c r="B70" s="0" t="s">
        <v>186</v>
      </c>
      <c r="C70" s="20" t="n">
        <f aca="false">a25_gp</f>
        <v>44.921088</v>
      </c>
      <c r="D70" s="20" t="n">
        <f aca="false">a26_gp</f>
        <v>77.875907</v>
      </c>
      <c r="E70" s="20" t="n">
        <f aca="false">$D$69*(E56+E63)+($D$69-d_nap)*E61</f>
        <v>112.741121526797</v>
      </c>
      <c r="F70" s="20" t="n">
        <f aca="false">$D$69*(F56+F63)+($D$69-d_nap)*F61</f>
        <v>121.861315699906</v>
      </c>
      <c r="G70" s="20" t="n">
        <f aca="false">$D$69*(G56+G63)+($D$69-d_nap)*G61</f>
        <v>134.399855074701</v>
      </c>
    </row>
    <row r="71" customFormat="false" ht="15" hidden="false" customHeight="false" outlineLevel="0" collapsed="false">
      <c r="A71" s="4" t="s">
        <v>322</v>
      </c>
      <c r="B71" s="0" t="s">
        <v>103</v>
      </c>
      <c r="C71" s="15" t="n">
        <f aca="false">C70/C64</f>
        <v>0.1809</v>
      </c>
      <c r="D71" s="15" t="n">
        <f aca="false">D70/D64</f>
        <v>0.189589247962076</v>
      </c>
      <c r="E71" s="15" t="n">
        <f aca="false">E70/E64</f>
        <v>0.195544193512385</v>
      </c>
      <c r="F71" s="15" t="n">
        <f aca="false">F70/F64</f>
        <v>0.194510899484458</v>
      </c>
      <c r="G71" s="15" t="n">
        <f aca="false">G70/G64</f>
        <v>0.194925472886504</v>
      </c>
    </row>
    <row r="72" customFormat="false" ht="15" hidden="false" customHeight="false" outlineLevel="0" collapsed="false">
      <c r="A72" s="4" t="s">
        <v>419</v>
      </c>
      <c r="B72" s="0" t="s">
        <v>186</v>
      </c>
      <c r="C72" s="20" t="n">
        <f aca="false">a25_opx</f>
        <v>12.78848</v>
      </c>
      <c r="D72" s="20" t="n">
        <f aca="false">a26_opx</f>
        <v>17.956088</v>
      </c>
      <c r="E72" s="20" t="n">
        <f aca="false">D72*(1+MAX(0,phi*E65))</f>
        <v>22.3044962774983</v>
      </c>
      <c r="F72" s="20" t="n">
        <f aca="false">E72*(1+MAX(0,phi*F65))</f>
        <v>23.4639332533223</v>
      </c>
      <c r="G72" s="20" t="n">
        <f aca="false">F72*(1+MAX(0,phi*G65))</f>
        <v>24.8794590185569</v>
      </c>
    </row>
    <row r="73" customFormat="false" ht="15" hidden="false" customHeight="false" outlineLevel="0" collapsed="false">
      <c r="A73" s="4" t="s">
        <v>324</v>
      </c>
      <c r="B73" s="0" t="s">
        <v>186</v>
      </c>
      <c r="C73" s="20" t="n">
        <f aca="false">C72</f>
        <v>12.78848</v>
      </c>
      <c r="D73" s="20" t="n">
        <f aca="false">D72</f>
        <v>17.956088</v>
      </c>
      <c r="E73" s="20" t="n">
        <f aca="false">E72+0*E64</f>
        <v>22.3044962774983</v>
      </c>
      <c r="F73" s="20" t="n">
        <f aca="false">F72+0*F64</f>
        <v>23.4639332533223</v>
      </c>
      <c r="G73" s="20" t="n">
        <f aca="false">G72+0*G64</f>
        <v>24.8794590185569</v>
      </c>
    </row>
    <row r="74" customFormat="false" ht="15" hidden="false" customHeight="false" outlineLevel="0" collapsed="false">
      <c r="A74" s="4" t="s">
        <v>326</v>
      </c>
      <c r="B74" s="0" t="s">
        <v>186</v>
      </c>
      <c r="C74" s="20" t="n">
        <f aca="false">C70-C73</f>
        <v>32.132608</v>
      </c>
      <c r="D74" s="20" t="n">
        <f aca="false">D70-D73</f>
        <v>59.919819</v>
      </c>
      <c r="E74" s="20" t="n">
        <f aca="false">E70-E73</f>
        <v>90.4366252492987</v>
      </c>
      <c r="F74" s="20" t="n">
        <f aca="false">F70-F73</f>
        <v>98.3973824465838</v>
      </c>
      <c r="G74" s="20" t="n">
        <f aca="false">G70-G73</f>
        <v>109.520396056144</v>
      </c>
    </row>
    <row r="75" customFormat="false" ht="15" hidden="false" customHeight="false" outlineLevel="0" collapsed="false">
      <c r="A75" s="4" t="s">
        <v>328</v>
      </c>
      <c r="B75" s="0" t="s">
        <v>103</v>
      </c>
      <c r="C75" s="15" t="n">
        <f aca="false">C74/C64</f>
        <v>0.1294</v>
      </c>
      <c r="D75" s="15" t="n">
        <f aca="false">D74/D64</f>
        <v>0.145875070478906</v>
      </c>
      <c r="E75" s="15" t="n">
        <f aca="false">E74/E64</f>
        <v>0.15685808965589</v>
      </c>
      <c r="F75" s="15" t="n">
        <f aca="false">F74/F64</f>
        <v>0.157058564948811</v>
      </c>
      <c r="G75" s="15" t="n">
        <f aca="false">G74/G64</f>
        <v>0.158841800685689</v>
      </c>
    </row>
    <row r="76" customFormat="false" ht="17.15" hidden="false" customHeight="false" outlineLevel="0" collapsed="false">
      <c r="A76" s="4" t="s">
        <v>224</v>
      </c>
      <c r="B76" s="0" t="s">
        <v>76</v>
      </c>
      <c r="C76" s="16" t="n">
        <f aca="false">a25_ni/a25_oi</f>
        <v>0.819790289042209</v>
      </c>
      <c r="D76" s="16" t="n">
        <f aca="false">a26_ni/a26_oi</f>
        <v>0.798164213413262</v>
      </c>
      <c r="E76" s="16" t="n">
        <f aca="false">nio_f</f>
        <v>0.8</v>
      </c>
      <c r="F76" s="16" t="n">
        <f aca="false">nio_f</f>
        <v>0.8</v>
      </c>
      <c r="G76" s="16" t="n">
        <f aca="false">nio_f</f>
        <v>0.8</v>
      </c>
    </row>
    <row r="77" customFormat="false" ht="15" hidden="false" customHeight="false" outlineLevel="0" collapsed="false">
      <c r="A77" s="4" t="s">
        <v>329</v>
      </c>
      <c r="B77" s="0" t="s">
        <v>186</v>
      </c>
      <c r="C77" s="20" t="n">
        <f aca="false">a25_ni</f>
        <v>26.342</v>
      </c>
      <c r="D77" s="20" t="n">
        <f aca="false">a26_ni</f>
        <v>47.8258552</v>
      </c>
      <c r="E77" s="20" t="n">
        <f aca="false">E74*E76</f>
        <v>72.349300199439</v>
      </c>
      <c r="F77" s="20" t="n">
        <f aca="false">F74*F76</f>
        <v>78.7179059572671</v>
      </c>
      <c r="G77" s="20" t="n">
        <f aca="false">G74*G76</f>
        <v>87.6163168449151</v>
      </c>
    </row>
    <row r="78" customFormat="false" ht="15" hidden="false" customHeight="false" outlineLevel="0" collapsed="false">
      <c r="A78" s="4" t="s">
        <v>420</v>
      </c>
      <c r="B78" s="4" t="s">
        <v>211</v>
      </c>
      <c r="C78" s="17" t="n">
        <f aca="false">a25_sh</f>
        <v>0.558922130277955</v>
      </c>
      <c r="D78" s="17" t="n">
        <f aca="false">a26_sh</f>
        <v>0.558904899135447</v>
      </c>
      <c r="E78" s="17" t="n">
        <f aca="false">D78*(1+sh_g27)</f>
        <v>0.568853406340058</v>
      </c>
      <c r="F78" s="17" t="n">
        <f aca="false">E78*(1+sh_g)</f>
        <v>0.568853406340058</v>
      </c>
      <c r="G78" s="17" t="n">
        <f aca="false">F78*(1+sh_g)</f>
        <v>0.568853406340058</v>
      </c>
    </row>
    <row r="79" customFormat="false" ht="15" hidden="false" customHeight="false" outlineLevel="0" collapsed="false">
      <c r="A79" s="0" t="s">
        <v>334</v>
      </c>
      <c r="B79" s="0" t="s">
        <v>244</v>
      </c>
      <c r="C79" s="14" t="n">
        <f aca="false">C77/C78</f>
        <v>47.13</v>
      </c>
      <c r="D79" s="14" t="n">
        <f aca="false">D77/D78</f>
        <v>85.5706494503455</v>
      </c>
      <c r="E79" s="14" t="n">
        <f aca="false">E77/E78</f>
        <v>127.184436962286</v>
      </c>
      <c r="F79" s="14" t="n">
        <f aca="false">F77/F78</f>
        <v>138.379950053793</v>
      </c>
      <c r="G79" s="14" t="n">
        <f aca="false">G77/G78</f>
        <v>154.022663604371</v>
      </c>
    </row>
    <row r="80" customFormat="false" ht="17.15" hidden="false" customHeight="false" outlineLevel="0" collapsed="false">
      <c r="A80" s="0" t="s">
        <v>421</v>
      </c>
      <c r="B80" s="0" t="s">
        <v>103</v>
      </c>
      <c r="D80" s="18" t="n">
        <f aca="false">D79/C79-1</f>
        <v>0.815630160202535</v>
      </c>
      <c r="E80" s="18" t="n">
        <f aca="false">E79/D79-1</f>
        <v>0.486309123271156</v>
      </c>
      <c r="F80" s="18" t="n">
        <f aca="false">F79/E79-1</f>
        <v>0.0880258100668885</v>
      </c>
      <c r="G80" s="18" t="n">
        <f aca="false">G79/F79-1</f>
        <v>0.11304176323591</v>
      </c>
    </row>
    <row r="83" customFormat="false" ht="17.15" hidden="false" customHeight="false" outlineLevel="0" collapsed="false">
      <c r="A83" s="1" t="s">
        <v>718</v>
      </c>
    </row>
    <row r="84" customFormat="false" ht="17.15" hidden="false" customHeight="false" outlineLevel="0" collapsed="false">
      <c r="A84" s="5" t="s">
        <v>21</v>
      </c>
      <c r="B84" s="5" t="s">
        <v>22</v>
      </c>
      <c r="C84" s="12" t="s">
        <v>309</v>
      </c>
      <c r="D84" s="12" t="s">
        <v>371</v>
      </c>
      <c r="E84" s="12" t="s">
        <v>372</v>
      </c>
      <c r="F84" s="12" t="s">
        <v>373</v>
      </c>
      <c r="G84" s="12" t="s">
        <v>374</v>
      </c>
      <c r="H84" s="5" t="s">
        <v>350</v>
      </c>
    </row>
    <row r="85" customFormat="false" ht="17.15" hidden="false" customHeight="false" outlineLevel="0" collapsed="false">
      <c r="A85" s="6" t="s">
        <v>389</v>
      </c>
    </row>
    <row r="86" customFormat="false" ht="17.15" hidden="false" customHeight="false" outlineLevel="0" collapsed="false">
      <c r="A86" s="4" t="s">
        <v>390</v>
      </c>
      <c r="B86" s="0" t="s">
        <v>186</v>
      </c>
      <c r="C86" s="20" t="n">
        <f aca="false">a25_rev*nap25s</f>
        <v>156.4416</v>
      </c>
      <c r="D86" s="20" t="n">
        <f aca="false">a26_rev*ns26</f>
        <v>205.3806</v>
      </c>
    </row>
    <row r="87" customFormat="false" ht="17.15" hidden="false" customHeight="false" outlineLevel="0" collapsed="false">
      <c r="A87" s="4" t="s">
        <v>391</v>
      </c>
      <c r="B87" s="0" t="s">
        <v>186</v>
      </c>
      <c r="C87" s="20" t="n">
        <f aca="false">a25_rev*(1-nap25s-sw25s*af25)</f>
        <v>41.22112</v>
      </c>
      <c r="D87" s="20" t="n">
        <f aca="false">C87*(1+g_nai26)</f>
        <v>45.343232</v>
      </c>
    </row>
    <row r="88" customFormat="false" ht="17.15" hidden="false" customHeight="false" outlineLevel="0" collapsed="false">
      <c r="A88" s="0" t="s">
        <v>392</v>
      </c>
      <c r="B88" s="0" t="s">
        <v>186</v>
      </c>
      <c r="C88" s="20" t="n">
        <f aca="false">a25_rev*sw25s*af25</f>
        <v>50.65728</v>
      </c>
      <c r="D88" s="20" t="n">
        <f aca="false">a26_rev-D86-D87</f>
        <v>160.037368</v>
      </c>
      <c r="H88" s="8" t="s">
        <v>393</v>
      </c>
    </row>
    <row r="89" customFormat="false" ht="17.15" hidden="false" customHeight="false" outlineLevel="0" collapsed="false">
      <c r="A89" s="6" t="s">
        <v>394</v>
      </c>
    </row>
    <row r="90" customFormat="false" ht="17.15" hidden="false" customHeight="false" outlineLevel="0" collapsed="false">
      <c r="A90" s="0" t="s">
        <v>395</v>
      </c>
      <c r="B90" s="0" t="s">
        <v>32</v>
      </c>
      <c r="D90" s="14" t="n">
        <f aca="false">mkt_26*1</f>
        <v>32.0719</v>
      </c>
      <c r="E90" s="14" t="n">
        <f aca="false">mkt_27*1*1</f>
        <v>61.085</v>
      </c>
      <c r="F90" s="14" t="n">
        <f aca="false">mkt_28*um28_A*1</f>
        <v>69.005</v>
      </c>
      <c r="G90" s="14" t="n">
        <f aca="false">mkt_29*um29_A*1</f>
        <v>78.48215</v>
      </c>
    </row>
    <row r="91" customFormat="false" ht="15" hidden="false" customHeight="false" outlineLevel="0" collapsed="false">
      <c r="A91" s="4" t="s">
        <v>396</v>
      </c>
      <c r="B91" s="0" t="s">
        <v>103</v>
      </c>
      <c r="D91" s="18" t="n">
        <f aca="false">eth_26</f>
        <v>0.75</v>
      </c>
      <c r="E91" s="18" t="n">
        <f aca="false">eth_27</f>
        <v>0.8</v>
      </c>
      <c r="F91" s="18" t="n">
        <f aca="false">eth_28</f>
        <v>0.83</v>
      </c>
      <c r="G91" s="18" t="n">
        <f aca="false">eth_29</f>
        <v>0.85</v>
      </c>
    </row>
    <row r="92" customFormat="false" ht="17.15" hidden="false" customHeight="false" outlineLevel="0" collapsed="false">
      <c r="A92" s="4" t="s">
        <v>397</v>
      </c>
      <c r="B92" s="0" t="s">
        <v>32</v>
      </c>
      <c r="D92" s="14" t="n">
        <f aca="false">su_26*1</f>
        <v>3.015</v>
      </c>
      <c r="E92" s="14" t="n">
        <f aca="false">su_27*1*1</f>
        <v>11.3414</v>
      </c>
      <c r="F92" s="14" t="n">
        <f aca="false">su_28*um28_A*1</f>
        <v>13.8952</v>
      </c>
      <c r="G92" s="14" t="n">
        <f aca="false">su_29*um29_A*1</f>
        <v>15.97948</v>
      </c>
    </row>
    <row r="93" customFormat="false" ht="17.15" hidden="false" customHeight="false" outlineLevel="0" collapsed="false">
      <c r="A93" s="0" t="s">
        <v>398</v>
      </c>
      <c r="B93" s="0" t="s">
        <v>32</v>
      </c>
      <c r="D93" s="14" t="n">
        <f aca="false">D90*D91+D92</f>
        <v>27.068925</v>
      </c>
      <c r="E93" s="14" t="n">
        <f aca="false">E90*E91+E92</f>
        <v>60.2094</v>
      </c>
      <c r="F93" s="14" t="n">
        <f aca="false">F90*F91+F92</f>
        <v>71.16935</v>
      </c>
      <c r="G93" s="14" t="n">
        <f aca="false">G90*G91+G92</f>
        <v>82.6893075</v>
      </c>
    </row>
    <row r="94" customFormat="false" ht="15" hidden="false" customHeight="false" outlineLevel="0" collapsed="false">
      <c r="A94" s="4" t="s">
        <v>355</v>
      </c>
      <c r="B94" s="0" t="s">
        <v>103</v>
      </c>
      <c r="D94" s="18" t="n">
        <f aca="false">wb_26</f>
        <v>0.45</v>
      </c>
      <c r="E94" s="18" t="n">
        <f aca="false">wb_27</f>
        <v>0.47</v>
      </c>
      <c r="F94" s="18" t="n">
        <f aca="false">wb_28</f>
        <v>0.48</v>
      </c>
      <c r="G94" s="18" t="n">
        <f aca="false">wb_29</f>
        <v>0.5</v>
      </c>
    </row>
    <row r="95" customFormat="false" ht="17.15" hidden="false" customHeight="false" outlineLevel="0" collapsed="false">
      <c r="A95" s="4" t="s">
        <v>357</v>
      </c>
      <c r="B95" s="0" t="s">
        <v>32</v>
      </c>
      <c r="D95" s="14" t="n">
        <f aca="false">D93*D94</f>
        <v>12.18101625</v>
      </c>
      <c r="E95" s="14" t="n">
        <f aca="false">E93*E94</f>
        <v>28.298418</v>
      </c>
      <c r="F95" s="14" t="n">
        <f aca="false">F93*F94</f>
        <v>34.161288</v>
      </c>
      <c r="G95" s="14" t="n">
        <f aca="false">G93*G94</f>
        <v>41.34465375</v>
      </c>
    </row>
    <row r="96" customFormat="false" ht="17.15" hidden="false" customHeight="false" outlineLevel="0" collapsed="false">
      <c r="A96" s="4" t="s">
        <v>399</v>
      </c>
      <c r="B96" s="0" t="s">
        <v>103</v>
      </c>
      <c r="D96" s="18" t="n">
        <f aca="false">D88/fx/D95</f>
        <v>0.410570649226414</v>
      </c>
      <c r="H96" s="8" t="s">
        <v>400</v>
      </c>
    </row>
    <row r="97" customFormat="false" ht="17.15" hidden="false" customHeight="false" outlineLevel="0" collapsed="false">
      <c r="A97" s="4" t="s">
        <v>401</v>
      </c>
      <c r="B97" s="0" t="s">
        <v>76</v>
      </c>
      <c r="D97" s="19" t="n">
        <f aca="false">1</f>
        <v>1</v>
      </c>
      <c r="E97" s="19" t="n">
        <f aca="false">RHI_27</f>
        <v>1.1</v>
      </c>
      <c r="F97" s="19" t="n">
        <f aca="false">RHI_28</f>
        <v>1.1</v>
      </c>
      <c r="G97" s="19" t="n">
        <f aca="false">RHI_29</f>
        <v>1.1</v>
      </c>
    </row>
    <row r="98" customFormat="false" ht="15" hidden="false" customHeight="false" outlineLevel="0" collapsed="false">
      <c r="A98" s="4" t="s">
        <v>402</v>
      </c>
      <c r="B98" s="0" t="s">
        <v>103</v>
      </c>
      <c r="D98" s="18" t="n">
        <f aca="false">$D$96*D97</f>
        <v>0.410570649226414</v>
      </c>
      <c r="E98" s="18" t="n">
        <f aca="false">$D$96*E97</f>
        <v>0.451627714149056</v>
      </c>
      <c r="F98" s="18" t="n">
        <f aca="false">$D$96*F97</f>
        <v>0.451627714149056</v>
      </c>
      <c r="G98" s="18" t="n">
        <f aca="false">$D$96*G97</f>
        <v>0.451627714149056</v>
      </c>
    </row>
    <row r="99" customFormat="false" ht="17.15" hidden="false" customHeight="false" outlineLevel="0" collapsed="false">
      <c r="A99" s="0" t="s">
        <v>403</v>
      </c>
      <c r="B99" s="0" t="s">
        <v>186</v>
      </c>
      <c r="C99" s="20" t="n">
        <f aca="false">C88</f>
        <v>50.65728</v>
      </c>
      <c r="D99" s="20" t="n">
        <f aca="false">D95*D98*fx</f>
        <v>160.037368</v>
      </c>
      <c r="E99" s="20" t="n">
        <f aca="false">E95*E98*fx</f>
        <v>408.971194731984</v>
      </c>
      <c r="F99" s="20" t="n">
        <f aca="false">F95*F98*fx</f>
        <v>493.701901178482</v>
      </c>
      <c r="G99" s="20" t="n">
        <f aca="false">G95*G98*fx</f>
        <v>597.516526892694</v>
      </c>
    </row>
    <row r="100" customFormat="false" ht="17.15" hidden="false" customHeight="false" outlineLevel="0" collapsed="false">
      <c r="A100" s="6" t="s">
        <v>404</v>
      </c>
    </row>
    <row r="101" customFormat="false" ht="17.15" hidden="false" customHeight="false" outlineLevel="0" collapsed="false">
      <c r="A101" s="0" t="s">
        <v>405</v>
      </c>
      <c r="B101" s="4" t="s">
        <v>55</v>
      </c>
      <c r="D101" s="19" t="n">
        <f aca="false">trn_26*1</f>
        <v>2</v>
      </c>
      <c r="E101" s="19" t="n">
        <f aca="false">trn_27*1*1</f>
        <v>2.5</v>
      </c>
      <c r="F101" s="19" t="n">
        <f aca="false">trn_28*um28_A*1</f>
        <v>3</v>
      </c>
      <c r="G101" s="19" t="n">
        <f aca="false">trn_29*um29_A*1</f>
        <v>3.45</v>
      </c>
    </row>
    <row r="102" customFormat="false" ht="17.15" hidden="false" customHeight="false" outlineLevel="0" collapsed="false">
      <c r="A102" s="4" t="s">
        <v>406</v>
      </c>
      <c r="B102" s="4" t="s">
        <v>407</v>
      </c>
      <c r="D102" s="20" t="n">
        <f aca="false">D86/D101</f>
        <v>102.6903</v>
      </c>
      <c r="H102" s="8" t="s">
        <v>408</v>
      </c>
    </row>
    <row r="103" customFormat="false" ht="17.15" hidden="false" customHeight="false" outlineLevel="0" collapsed="false">
      <c r="A103" s="4" t="s">
        <v>409</v>
      </c>
      <c r="B103" s="0" t="s">
        <v>76</v>
      </c>
      <c r="D103" s="19" t="n">
        <f aca="false">1</f>
        <v>1</v>
      </c>
      <c r="E103" s="19" t="n">
        <f aca="false">nrel_27</f>
        <v>0.9</v>
      </c>
      <c r="F103" s="19" t="n">
        <f aca="false">nrel_28</f>
        <v>0.85</v>
      </c>
      <c r="G103" s="19" t="n">
        <f aca="false">nrel_29</f>
        <v>0.8</v>
      </c>
    </row>
    <row r="104" customFormat="false" ht="15" hidden="false" customHeight="false" outlineLevel="0" collapsed="false">
      <c r="A104" s="4" t="s">
        <v>410</v>
      </c>
      <c r="B104" s="0" t="s">
        <v>186</v>
      </c>
      <c r="C104" s="20" t="n">
        <f aca="false">C86</f>
        <v>156.4416</v>
      </c>
      <c r="D104" s="20" t="n">
        <f aca="false">D101*$D$102*D103</f>
        <v>205.3806</v>
      </c>
      <c r="E104" s="20" t="n">
        <f aca="false">E101*$D$102*E103</f>
        <v>231.053175</v>
      </c>
      <c r="F104" s="20" t="n">
        <f aca="false">F101*$D$102*F103</f>
        <v>261.860265</v>
      </c>
      <c r="G104" s="20" t="n">
        <f aca="false">G101*$D$102*G103</f>
        <v>283.425228</v>
      </c>
    </row>
    <row r="105" customFormat="false" ht="17.15" hidden="false" customHeight="false" outlineLevel="0" collapsed="false">
      <c r="A105" s="6" t="s">
        <v>411</v>
      </c>
    </row>
    <row r="106" customFormat="false" ht="17.15" hidden="false" customHeight="false" outlineLevel="0" collapsed="false">
      <c r="A106" s="4" t="s">
        <v>412</v>
      </c>
      <c r="B106" s="0" t="s">
        <v>186</v>
      </c>
      <c r="C106" s="20" t="n">
        <f aca="false">C87</f>
        <v>41.22112</v>
      </c>
      <c r="D106" s="20" t="n">
        <f aca="false">D87</f>
        <v>45.343232</v>
      </c>
      <c r="E106" s="20" t="n">
        <f aca="false">D106*(1+g_nai27)</f>
        <v>48.06382592</v>
      </c>
      <c r="F106" s="20" t="n">
        <f aca="false">E106*(1+g_nai28)</f>
        <v>50.467017216</v>
      </c>
      <c r="G106" s="20" t="n">
        <f aca="false">F106*(1+g_nai29)</f>
        <v>52.9903680768</v>
      </c>
    </row>
    <row r="107" customFormat="false" ht="15" hidden="false" customHeight="false" outlineLevel="0" collapsed="false">
      <c r="A107" s="4" t="s">
        <v>316</v>
      </c>
      <c r="B107" s="0" t="s">
        <v>186</v>
      </c>
      <c r="C107" s="20" t="n">
        <f aca="false">C99+C104+C106</f>
        <v>248.32</v>
      </c>
      <c r="D107" s="20" t="n">
        <f aca="false">D99+D104+D106</f>
        <v>410.7612</v>
      </c>
      <c r="E107" s="20" t="n">
        <f aca="false">E99+E104+E106</f>
        <v>688.088195651984</v>
      </c>
      <c r="F107" s="20" t="n">
        <f aca="false">F99+F104+F106</f>
        <v>806.029183394482</v>
      </c>
      <c r="G107" s="20" t="n">
        <f aca="false">G99+G104+G106</f>
        <v>933.932122969494</v>
      </c>
    </row>
    <row r="108" customFormat="false" ht="15" hidden="false" customHeight="false" outlineLevel="0" collapsed="false">
      <c r="A108" s="4" t="s">
        <v>413</v>
      </c>
      <c r="B108" s="0" t="s">
        <v>103</v>
      </c>
      <c r="D108" s="18" t="n">
        <f aca="false">D107/C107-1</f>
        <v>0.654160760309279</v>
      </c>
      <c r="E108" s="18" t="n">
        <f aca="false">E107/D107-1</f>
        <v>0.675153825755654</v>
      </c>
      <c r="F108" s="18" t="n">
        <f aca="false">F107/E107-1</f>
        <v>0.171403881781093</v>
      </c>
      <c r="G108" s="18" t="n">
        <f aca="false">G107/F107-1</f>
        <v>0.158682765103325</v>
      </c>
    </row>
    <row r="109" customFormat="false" ht="17.15" hidden="false" customHeight="false" outlineLevel="0" collapsed="false">
      <c r="A109" s="0" t="s">
        <v>414</v>
      </c>
      <c r="B109" s="0" t="s">
        <v>103</v>
      </c>
      <c r="C109" s="18" t="n">
        <f aca="false">(C99+C104)/C107</f>
        <v>0.834</v>
      </c>
      <c r="D109" s="18" t="n">
        <f aca="false">(D99+D104)/D107</f>
        <v>0.889611696528299</v>
      </c>
      <c r="E109" s="18" t="n">
        <f aca="false">(E99+E104)/E107</f>
        <v>0.930148742234332</v>
      </c>
      <c r="F109" s="18" t="n">
        <f aca="false">(F99+F104)/F107</f>
        <v>0.937388101751521</v>
      </c>
      <c r="G109" s="18" t="n">
        <f aca="false">(G99+G104)/G107</f>
        <v>0.943261007118682</v>
      </c>
    </row>
    <row r="110" customFormat="false" ht="17.15" hidden="false" customHeight="false" outlineLevel="0" collapsed="false">
      <c r="A110" s="4" t="s">
        <v>415</v>
      </c>
      <c r="B110" s="0" t="s">
        <v>103</v>
      </c>
      <c r="C110" s="18" t="n">
        <f aca="false">C104/C107</f>
        <v>0.63</v>
      </c>
      <c r="D110" s="18" t="n">
        <f aca="false">D104/D107</f>
        <v>0.5</v>
      </c>
      <c r="E110" s="18" t="n">
        <f aca="false">E104/E107</f>
        <v>0.335790057815293</v>
      </c>
      <c r="F110" s="18" t="n">
        <f aca="false">F104/F107</f>
        <v>0.324876903212377</v>
      </c>
      <c r="G110" s="18" t="n">
        <f aca="false">G104/G107</f>
        <v>0.303475189501816</v>
      </c>
    </row>
    <row r="111" customFormat="false" ht="17.15" hidden="false" customHeight="false" outlineLevel="0" collapsed="false">
      <c r="A111" s="6" t="s">
        <v>416</v>
      </c>
    </row>
    <row r="112" customFormat="false" ht="17.15" hidden="false" customHeight="false" outlineLevel="0" collapsed="false">
      <c r="A112" s="4" t="s">
        <v>417</v>
      </c>
      <c r="B112" s="0" t="s">
        <v>103</v>
      </c>
      <c r="D112" s="15" t="n">
        <f aca="false">a26_gp/a26_rev+d_nap*D110</f>
        <v>0.219589247962076</v>
      </c>
      <c r="H112" s="8" t="s">
        <v>418</v>
      </c>
    </row>
    <row r="113" customFormat="false" ht="15" hidden="false" customHeight="false" outlineLevel="0" collapsed="false">
      <c r="A113" s="4" t="s">
        <v>320</v>
      </c>
      <c r="B113" s="0" t="s">
        <v>186</v>
      </c>
      <c r="C113" s="20" t="n">
        <f aca="false">a25_gp</f>
        <v>44.921088</v>
      </c>
      <c r="D113" s="20" t="n">
        <f aca="false">a26_gp</f>
        <v>77.875907</v>
      </c>
      <c r="E113" s="20" t="n">
        <f aca="false">$D$112*(E99+E106)+($D$112-d_nap)*E104</f>
        <v>137.233578914801</v>
      </c>
      <c r="F113" s="20" t="n">
        <f aca="false">$D$112*(F99+F106)+($D$112-d_nap)*F104</f>
        <v>161.283726317081</v>
      </c>
      <c r="G113" s="20" t="n">
        <f aca="false">$D$112*(G99+G106)+($D$112-d_nap)*G104</f>
        <v>188.075938850496</v>
      </c>
    </row>
    <row r="114" customFormat="false" ht="15" hidden="false" customHeight="false" outlineLevel="0" collapsed="false">
      <c r="A114" s="4" t="s">
        <v>322</v>
      </c>
      <c r="B114" s="0" t="s">
        <v>103</v>
      </c>
      <c r="C114" s="15" t="n">
        <f aca="false">C113/C107</f>
        <v>0.1809</v>
      </c>
      <c r="D114" s="15" t="n">
        <f aca="false">D113/D107</f>
        <v>0.189589247962076</v>
      </c>
      <c r="E114" s="15" t="n">
        <f aca="false">E113/E107</f>
        <v>0.199441844493159</v>
      </c>
      <c r="F114" s="15" t="n">
        <f aca="false">F113/F107</f>
        <v>0.200096633769334</v>
      </c>
      <c r="G114" s="15" t="n">
        <f aca="false">G113/G107</f>
        <v>0.201380736591967</v>
      </c>
    </row>
    <row r="115" customFormat="false" ht="15" hidden="false" customHeight="false" outlineLevel="0" collapsed="false">
      <c r="A115" s="4" t="s">
        <v>419</v>
      </c>
      <c r="B115" s="0" t="s">
        <v>186</v>
      </c>
      <c r="C115" s="20" t="n">
        <f aca="false">a25_opx</f>
        <v>12.78848</v>
      </c>
      <c r="D115" s="20" t="n">
        <f aca="false">a26_opx</f>
        <v>17.956088</v>
      </c>
      <c r="E115" s="20" t="n">
        <f aca="false">D115*(1+MAX(0,phi*E108))</f>
        <v>25.2299609052831</v>
      </c>
      <c r="F115" s="20" t="n">
        <f aca="false">E115*(1+MAX(0,phi*F108))</f>
        <v>27.8246688470936</v>
      </c>
      <c r="G115" s="20" t="n">
        <f aca="false">F115*(1+MAX(0,phi*G108))</f>
        <v>30.4738460815383</v>
      </c>
    </row>
    <row r="116" customFormat="false" ht="15" hidden="false" customHeight="false" outlineLevel="0" collapsed="false">
      <c r="A116" s="4" t="s">
        <v>324</v>
      </c>
      <c r="B116" s="0" t="s">
        <v>186</v>
      </c>
      <c r="C116" s="20" t="n">
        <f aca="false">C115</f>
        <v>12.78848</v>
      </c>
      <c r="D116" s="20" t="n">
        <f aca="false">D115</f>
        <v>17.956088</v>
      </c>
      <c r="E116" s="20" t="n">
        <f aca="false">E115+0*E107</f>
        <v>25.2299609052831</v>
      </c>
      <c r="F116" s="20" t="n">
        <f aca="false">F115+0*F107</f>
        <v>27.8246688470936</v>
      </c>
      <c r="G116" s="20" t="n">
        <f aca="false">G115+0*G107</f>
        <v>30.4738460815383</v>
      </c>
    </row>
    <row r="117" customFormat="false" ht="15" hidden="false" customHeight="false" outlineLevel="0" collapsed="false">
      <c r="A117" s="4" t="s">
        <v>326</v>
      </c>
      <c r="B117" s="0" t="s">
        <v>186</v>
      </c>
      <c r="C117" s="20" t="n">
        <f aca="false">C113-C116</f>
        <v>32.132608</v>
      </c>
      <c r="D117" s="20" t="n">
        <f aca="false">D113-D116</f>
        <v>59.919819</v>
      </c>
      <c r="E117" s="20" t="n">
        <f aca="false">E113-E116</f>
        <v>112.003618009518</v>
      </c>
      <c r="F117" s="20" t="n">
        <f aca="false">F113-F116</f>
        <v>133.459057469987</v>
      </c>
      <c r="G117" s="20" t="n">
        <f aca="false">G113-G116</f>
        <v>157.602092768958</v>
      </c>
    </row>
    <row r="118" customFormat="false" ht="15" hidden="false" customHeight="false" outlineLevel="0" collapsed="false">
      <c r="A118" s="4" t="s">
        <v>328</v>
      </c>
      <c r="B118" s="0" t="s">
        <v>103</v>
      </c>
      <c r="C118" s="15" t="n">
        <f aca="false">C117/C107</f>
        <v>0.1294</v>
      </c>
      <c r="D118" s="15" t="n">
        <f aca="false">D117/D107</f>
        <v>0.145875070478906</v>
      </c>
      <c r="E118" s="15" t="n">
        <f aca="false">E117/E107</f>
        <v>0.16277509004989</v>
      </c>
      <c r="F118" s="15" t="n">
        <f aca="false">F117/F107</f>
        <v>0.16557596203644</v>
      </c>
      <c r="G118" s="15" t="n">
        <f aca="false">G117/G107</f>
        <v>0.168751121085602</v>
      </c>
    </row>
    <row r="119" customFormat="false" ht="17.15" hidden="false" customHeight="false" outlineLevel="0" collapsed="false">
      <c r="A119" s="4" t="s">
        <v>224</v>
      </c>
      <c r="B119" s="0" t="s">
        <v>76</v>
      </c>
      <c r="C119" s="16" t="n">
        <f aca="false">a25_ni/a25_oi</f>
        <v>0.819790289042209</v>
      </c>
      <c r="D119" s="16" t="n">
        <f aca="false">a26_ni/a26_oi</f>
        <v>0.798164213413262</v>
      </c>
      <c r="E119" s="16" t="n">
        <f aca="false">nio_f</f>
        <v>0.8</v>
      </c>
      <c r="F119" s="16" t="n">
        <f aca="false">nio_f</f>
        <v>0.8</v>
      </c>
      <c r="G119" s="16" t="n">
        <f aca="false">nio_f</f>
        <v>0.8</v>
      </c>
    </row>
    <row r="120" customFormat="false" ht="15" hidden="false" customHeight="false" outlineLevel="0" collapsed="false">
      <c r="A120" s="4" t="s">
        <v>329</v>
      </c>
      <c r="B120" s="0" t="s">
        <v>186</v>
      </c>
      <c r="C120" s="20" t="n">
        <f aca="false">a25_ni</f>
        <v>26.342</v>
      </c>
      <c r="D120" s="20" t="n">
        <f aca="false">a26_ni</f>
        <v>47.8258552</v>
      </c>
      <c r="E120" s="20" t="n">
        <f aca="false">E117*E119</f>
        <v>89.6028944076144</v>
      </c>
      <c r="F120" s="20" t="n">
        <f aca="false">F117*F119</f>
        <v>106.76724597599</v>
      </c>
      <c r="G120" s="20" t="n">
        <f aca="false">G117*G119</f>
        <v>126.081674215167</v>
      </c>
    </row>
    <row r="121" customFormat="false" ht="15" hidden="false" customHeight="false" outlineLevel="0" collapsed="false">
      <c r="A121" s="4" t="s">
        <v>420</v>
      </c>
      <c r="B121" s="4" t="s">
        <v>211</v>
      </c>
      <c r="C121" s="17" t="n">
        <f aca="false">a25_sh</f>
        <v>0.558922130277955</v>
      </c>
      <c r="D121" s="17" t="n">
        <f aca="false">a26_sh</f>
        <v>0.558904899135447</v>
      </c>
      <c r="E121" s="17" t="n">
        <f aca="false">D121*(1+sh_g27)</f>
        <v>0.568853406340058</v>
      </c>
      <c r="F121" s="17" t="n">
        <f aca="false">E121*(1+sh_g)</f>
        <v>0.568853406340058</v>
      </c>
      <c r="G121" s="17" t="n">
        <f aca="false">F121*(1+sh_g)</f>
        <v>0.568853406340058</v>
      </c>
    </row>
    <row r="122" customFormat="false" ht="15" hidden="false" customHeight="false" outlineLevel="0" collapsed="false">
      <c r="A122" s="0" t="s">
        <v>334</v>
      </c>
      <c r="B122" s="0" t="s">
        <v>244</v>
      </c>
      <c r="C122" s="14" t="n">
        <f aca="false">C120/C121</f>
        <v>47.13</v>
      </c>
      <c r="D122" s="14" t="n">
        <f aca="false">D120/D121</f>
        <v>85.5706494503455</v>
      </c>
      <c r="E122" s="14" t="n">
        <f aca="false">E120/E121</f>
        <v>157.514912293678</v>
      </c>
      <c r="F122" s="14" t="n">
        <f aca="false">F120/F121</f>
        <v>187.688506012329</v>
      </c>
      <c r="G122" s="14" t="n">
        <f aca="false">G120/G121</f>
        <v>221.641767123032</v>
      </c>
    </row>
    <row r="123" customFormat="false" ht="17.15" hidden="false" customHeight="false" outlineLevel="0" collapsed="false">
      <c r="A123" s="0" t="s">
        <v>421</v>
      </c>
      <c r="B123" s="0" t="s">
        <v>103</v>
      </c>
      <c r="D123" s="18" t="n">
        <f aca="false">D122/C122-1</f>
        <v>0.815630160202535</v>
      </c>
      <c r="E123" s="18" t="n">
        <f aca="false">E122/D122-1</f>
        <v>0.840758639854432</v>
      </c>
      <c r="F123" s="18" t="n">
        <f aca="false">F122/E122-1</f>
        <v>0.191560235658155</v>
      </c>
      <c r="G123" s="18" t="n">
        <f aca="false">G122/F122-1</f>
        <v>0.180902186458198</v>
      </c>
    </row>
    <row r="126" customFormat="false" ht="17.15" hidden="false" customHeight="false" outlineLevel="0" collapsed="false">
      <c r="A126" s="1" t="s">
        <v>719</v>
      </c>
    </row>
    <row r="127" customFormat="false" ht="17.15" hidden="false" customHeight="false" outlineLevel="0" collapsed="false">
      <c r="A127" s="5" t="s">
        <v>21</v>
      </c>
      <c r="B127" s="5" t="s">
        <v>22</v>
      </c>
      <c r="C127" s="12" t="s">
        <v>309</v>
      </c>
      <c r="D127" s="12" t="s">
        <v>371</v>
      </c>
      <c r="E127" s="12" t="s">
        <v>372</v>
      </c>
      <c r="F127" s="12" t="s">
        <v>373</v>
      </c>
      <c r="G127" s="12" t="s">
        <v>374</v>
      </c>
      <c r="H127" s="5" t="s">
        <v>350</v>
      </c>
    </row>
    <row r="128" customFormat="false" ht="17.15" hidden="false" customHeight="false" outlineLevel="0" collapsed="false">
      <c r="A128" s="6" t="s">
        <v>389</v>
      </c>
    </row>
    <row r="129" customFormat="false" ht="17.15" hidden="false" customHeight="false" outlineLevel="0" collapsed="false">
      <c r="A129" s="4" t="s">
        <v>390</v>
      </c>
      <c r="B129" s="0" t="s">
        <v>186</v>
      </c>
      <c r="C129" s="20" t="n">
        <f aca="false">a25_rev*nap25s</f>
        <v>156.4416</v>
      </c>
      <c r="D129" s="20" t="n">
        <f aca="false">a26_rev*ns26</f>
        <v>205.3806</v>
      </c>
    </row>
    <row r="130" customFormat="false" ht="17.15" hidden="false" customHeight="false" outlineLevel="0" collapsed="false">
      <c r="A130" s="4" t="s">
        <v>391</v>
      </c>
      <c r="B130" s="0" t="s">
        <v>186</v>
      </c>
      <c r="C130" s="20" t="n">
        <f aca="false">a25_rev*(1-nap25s-sw25s*af25)</f>
        <v>41.22112</v>
      </c>
      <c r="D130" s="20" t="n">
        <f aca="false">C130*(1+g_nai26)</f>
        <v>45.343232</v>
      </c>
    </row>
    <row r="131" customFormat="false" ht="17.15" hidden="false" customHeight="false" outlineLevel="0" collapsed="false">
      <c r="A131" s="0" t="s">
        <v>392</v>
      </c>
      <c r="B131" s="0" t="s">
        <v>186</v>
      </c>
      <c r="C131" s="20" t="n">
        <f aca="false">a25_rev*sw25s*af25</f>
        <v>50.65728</v>
      </c>
      <c r="D131" s="20" t="n">
        <f aca="false">a26_rev-D129-D130</f>
        <v>160.037368</v>
      </c>
      <c r="H131" s="8" t="s">
        <v>393</v>
      </c>
    </row>
    <row r="132" customFormat="false" ht="17.15" hidden="false" customHeight="false" outlineLevel="0" collapsed="false">
      <c r="A132" s="6" t="s">
        <v>394</v>
      </c>
    </row>
    <row r="133" customFormat="false" ht="17.15" hidden="false" customHeight="false" outlineLevel="0" collapsed="false">
      <c r="A133" s="0" t="s">
        <v>395</v>
      </c>
      <c r="B133" s="0" t="s">
        <v>32</v>
      </c>
      <c r="D133" s="14" t="n">
        <f aca="false">mkt_26*1</f>
        <v>32.0719</v>
      </c>
      <c r="E133" s="14" t="n">
        <f aca="false">mkt_27*1*1</f>
        <v>61.085</v>
      </c>
      <c r="F133" s="14" t="n">
        <f aca="false">mkt_28*um28_A*1</f>
        <v>69.005</v>
      </c>
      <c r="G133" s="14" t="n">
        <f aca="false">mkt_29*um29_A*1</f>
        <v>78.48215</v>
      </c>
    </row>
    <row r="134" customFormat="false" ht="15" hidden="false" customHeight="false" outlineLevel="0" collapsed="false">
      <c r="A134" s="4" t="s">
        <v>396</v>
      </c>
      <c r="B134" s="0" t="s">
        <v>103</v>
      </c>
      <c r="D134" s="18" t="n">
        <f aca="false">eth_26</f>
        <v>0.75</v>
      </c>
      <c r="E134" s="18" t="n">
        <f aca="false">eth_27</f>
        <v>0.8</v>
      </c>
      <c r="F134" s="18" t="n">
        <f aca="false">eth_28</f>
        <v>0.83</v>
      </c>
      <c r="G134" s="18" t="n">
        <f aca="false">eth_29</f>
        <v>0.85</v>
      </c>
    </row>
    <row r="135" customFormat="false" ht="17.15" hidden="false" customHeight="false" outlineLevel="0" collapsed="false">
      <c r="A135" s="4" t="s">
        <v>397</v>
      </c>
      <c r="B135" s="0" t="s">
        <v>32</v>
      </c>
      <c r="D135" s="14" t="n">
        <f aca="false">su_26*1</f>
        <v>3.015</v>
      </c>
      <c r="E135" s="14" t="n">
        <f aca="false">su_27*1*1</f>
        <v>11.3414</v>
      </c>
      <c r="F135" s="14" t="n">
        <f aca="false">su_28*um28_A*1</f>
        <v>13.8952</v>
      </c>
      <c r="G135" s="14" t="n">
        <f aca="false">su_29*um29_A*1</f>
        <v>15.97948</v>
      </c>
    </row>
    <row r="136" customFormat="false" ht="17.15" hidden="false" customHeight="false" outlineLevel="0" collapsed="false">
      <c r="A136" s="0" t="s">
        <v>398</v>
      </c>
      <c r="B136" s="0" t="s">
        <v>32</v>
      </c>
      <c r="D136" s="14" t="n">
        <f aca="false">D133*D134+D135</f>
        <v>27.068925</v>
      </c>
      <c r="E136" s="14" t="n">
        <f aca="false">E133*E134+E135</f>
        <v>60.2094</v>
      </c>
      <c r="F136" s="14" t="n">
        <f aca="false">F133*F134+F135</f>
        <v>71.16935</v>
      </c>
      <c r="G136" s="14" t="n">
        <f aca="false">G133*G134+G135</f>
        <v>82.6893075</v>
      </c>
    </row>
    <row r="137" customFormat="false" ht="15" hidden="false" customHeight="false" outlineLevel="0" collapsed="false">
      <c r="A137" s="4" t="s">
        <v>355</v>
      </c>
      <c r="B137" s="0" t="s">
        <v>103</v>
      </c>
      <c r="D137" s="18" t="n">
        <f aca="false">WBLO_26</f>
        <v>0.35</v>
      </c>
      <c r="E137" s="18" t="n">
        <f aca="false">WBLO_27</f>
        <v>0.35</v>
      </c>
      <c r="F137" s="18" t="n">
        <f aca="false">WBLO_28</f>
        <v>0.35</v>
      </c>
      <c r="G137" s="18" t="n">
        <f aca="false">WBLO_29</f>
        <v>0.35</v>
      </c>
    </row>
    <row r="138" customFormat="false" ht="17.15" hidden="false" customHeight="false" outlineLevel="0" collapsed="false">
      <c r="A138" s="4" t="s">
        <v>357</v>
      </c>
      <c r="B138" s="0" t="s">
        <v>32</v>
      </c>
      <c r="D138" s="14" t="n">
        <f aca="false">D136*D137</f>
        <v>9.47412375</v>
      </c>
      <c r="E138" s="14" t="n">
        <f aca="false">E136*E137</f>
        <v>21.07329</v>
      </c>
      <c r="F138" s="14" t="n">
        <f aca="false">F136*F137</f>
        <v>24.9092725</v>
      </c>
      <c r="G138" s="14" t="n">
        <f aca="false">G136*G137</f>
        <v>28.941257625</v>
      </c>
    </row>
    <row r="139" customFormat="false" ht="17.15" hidden="false" customHeight="false" outlineLevel="0" collapsed="false">
      <c r="A139" s="4" t="s">
        <v>399</v>
      </c>
      <c r="B139" s="0" t="s">
        <v>103</v>
      </c>
      <c r="D139" s="18" t="n">
        <f aca="false">D131/fx/D138</f>
        <v>0.52787654900539</v>
      </c>
      <c r="H139" s="8" t="s">
        <v>400</v>
      </c>
    </row>
    <row r="140" customFormat="false" ht="17.15" hidden="false" customHeight="false" outlineLevel="0" collapsed="false">
      <c r="A140" s="4" t="s">
        <v>401</v>
      </c>
      <c r="B140" s="0" t="s">
        <v>76</v>
      </c>
      <c r="D140" s="19" t="n">
        <f aca="false">1</f>
        <v>1</v>
      </c>
      <c r="E140" s="19" t="n">
        <f aca="false">rel_27</f>
        <v>1</v>
      </c>
      <c r="F140" s="19" t="n">
        <f aca="false">rel_28</f>
        <v>0.95</v>
      </c>
      <c r="G140" s="19" t="n">
        <f aca="false">rel_29</f>
        <v>0.92</v>
      </c>
    </row>
    <row r="141" customFormat="false" ht="15" hidden="false" customHeight="false" outlineLevel="0" collapsed="false">
      <c r="A141" s="4" t="s">
        <v>402</v>
      </c>
      <c r="B141" s="0" t="s">
        <v>103</v>
      </c>
      <c r="D141" s="18" t="n">
        <f aca="false">$D$139*D140</f>
        <v>0.52787654900539</v>
      </c>
      <c r="E141" s="18" t="n">
        <f aca="false">$D$139*E140</f>
        <v>0.52787654900539</v>
      </c>
      <c r="F141" s="18" t="n">
        <f aca="false">$D$139*F140</f>
        <v>0.50148272155512</v>
      </c>
      <c r="G141" s="18" t="n">
        <f aca="false">$D$139*G140</f>
        <v>0.485646425084959</v>
      </c>
    </row>
    <row r="142" customFormat="false" ht="17.15" hidden="false" customHeight="false" outlineLevel="0" collapsed="false">
      <c r="A142" s="0" t="s">
        <v>403</v>
      </c>
      <c r="B142" s="0" t="s">
        <v>186</v>
      </c>
      <c r="C142" s="20" t="n">
        <f aca="false">C131</f>
        <v>50.65728</v>
      </c>
      <c r="D142" s="20" t="n">
        <f aca="false">D138*D141*fx</f>
        <v>160.037368</v>
      </c>
      <c r="E142" s="20" t="n">
        <f aca="false">E138*E141*fx</f>
        <v>355.971059244473</v>
      </c>
      <c r="F142" s="20" t="n">
        <f aca="false">F138*F141*fx</f>
        <v>399.73023248826</v>
      </c>
      <c r="G142" s="20" t="n">
        <f aca="false">G138*G141*fx</f>
        <v>449.76698569741</v>
      </c>
    </row>
    <row r="143" customFormat="false" ht="17.15" hidden="false" customHeight="false" outlineLevel="0" collapsed="false">
      <c r="A143" s="6" t="s">
        <v>404</v>
      </c>
    </row>
    <row r="144" customFormat="false" ht="17.15" hidden="false" customHeight="false" outlineLevel="0" collapsed="false">
      <c r="A144" s="0" t="s">
        <v>405</v>
      </c>
      <c r="B144" s="4" t="s">
        <v>55</v>
      </c>
      <c r="D144" s="19" t="n">
        <f aca="false">trn_26*1</f>
        <v>2</v>
      </c>
      <c r="E144" s="19" t="n">
        <f aca="false">trn_27*1*1</f>
        <v>2.5</v>
      </c>
      <c r="F144" s="19" t="n">
        <f aca="false">trn_28*um28_A*1</f>
        <v>3</v>
      </c>
      <c r="G144" s="19" t="n">
        <f aca="false">trn_29*um29_A*1</f>
        <v>3.45</v>
      </c>
    </row>
    <row r="145" customFormat="false" ht="17.15" hidden="false" customHeight="false" outlineLevel="0" collapsed="false">
      <c r="A145" s="4" t="s">
        <v>406</v>
      </c>
      <c r="B145" s="4" t="s">
        <v>407</v>
      </c>
      <c r="D145" s="20" t="n">
        <f aca="false">D129/D144</f>
        <v>102.6903</v>
      </c>
      <c r="H145" s="8" t="s">
        <v>408</v>
      </c>
    </row>
    <row r="146" customFormat="false" ht="17.15" hidden="false" customHeight="false" outlineLevel="0" collapsed="false">
      <c r="A146" s="4" t="s">
        <v>409</v>
      </c>
      <c r="B146" s="0" t="s">
        <v>76</v>
      </c>
      <c r="D146" s="19" t="n">
        <f aca="false">1</f>
        <v>1</v>
      </c>
      <c r="E146" s="19" t="n">
        <f aca="false">nrel_27</f>
        <v>0.9</v>
      </c>
      <c r="F146" s="19" t="n">
        <f aca="false">nrel_28</f>
        <v>0.85</v>
      </c>
      <c r="G146" s="19" t="n">
        <f aca="false">nrel_29</f>
        <v>0.8</v>
      </c>
    </row>
    <row r="147" customFormat="false" ht="15" hidden="false" customHeight="false" outlineLevel="0" collapsed="false">
      <c r="A147" s="4" t="s">
        <v>410</v>
      </c>
      <c r="B147" s="0" t="s">
        <v>186</v>
      </c>
      <c r="C147" s="20" t="n">
        <f aca="false">C129</f>
        <v>156.4416</v>
      </c>
      <c r="D147" s="20" t="n">
        <f aca="false">D144*$D$145*D146</f>
        <v>205.3806</v>
      </c>
      <c r="E147" s="20" t="n">
        <f aca="false">E144*$D$145*E146</f>
        <v>231.053175</v>
      </c>
      <c r="F147" s="20" t="n">
        <f aca="false">F144*$D$145*F146</f>
        <v>261.860265</v>
      </c>
      <c r="G147" s="20" t="n">
        <f aca="false">G144*$D$145*G146</f>
        <v>283.425228</v>
      </c>
    </row>
    <row r="148" customFormat="false" ht="17.15" hidden="false" customHeight="false" outlineLevel="0" collapsed="false">
      <c r="A148" s="6" t="s">
        <v>411</v>
      </c>
    </row>
    <row r="149" customFormat="false" ht="17.15" hidden="false" customHeight="false" outlineLevel="0" collapsed="false">
      <c r="A149" s="4" t="s">
        <v>412</v>
      </c>
      <c r="B149" s="0" t="s">
        <v>186</v>
      </c>
      <c r="C149" s="20" t="n">
        <f aca="false">C130</f>
        <v>41.22112</v>
      </c>
      <c r="D149" s="20" t="n">
        <f aca="false">D130</f>
        <v>45.343232</v>
      </c>
      <c r="E149" s="20" t="n">
        <f aca="false">D149*(1+g_nai27)</f>
        <v>48.06382592</v>
      </c>
      <c r="F149" s="20" t="n">
        <f aca="false">E149*(1+g_nai28)</f>
        <v>50.467017216</v>
      </c>
      <c r="G149" s="20" t="n">
        <f aca="false">F149*(1+g_nai29)</f>
        <v>52.9903680768</v>
      </c>
    </row>
    <row r="150" customFormat="false" ht="15" hidden="false" customHeight="false" outlineLevel="0" collapsed="false">
      <c r="A150" s="4" t="s">
        <v>316</v>
      </c>
      <c r="B150" s="0" t="s">
        <v>186</v>
      </c>
      <c r="C150" s="20" t="n">
        <f aca="false">C142+C147+C149</f>
        <v>248.32</v>
      </c>
      <c r="D150" s="20" t="n">
        <f aca="false">D142+D147+D149</f>
        <v>410.7612</v>
      </c>
      <c r="E150" s="20" t="n">
        <f aca="false">E142+E147+E149</f>
        <v>635.088060164473</v>
      </c>
      <c r="F150" s="20" t="n">
        <f aca="false">F142+F147+F149</f>
        <v>712.05751470426</v>
      </c>
      <c r="G150" s="20" t="n">
        <f aca="false">G142+G147+G149</f>
        <v>786.18258177421</v>
      </c>
    </row>
    <row r="151" customFormat="false" ht="15" hidden="false" customHeight="false" outlineLevel="0" collapsed="false">
      <c r="A151" s="4" t="s">
        <v>413</v>
      </c>
      <c r="B151" s="0" t="s">
        <v>103</v>
      </c>
      <c r="D151" s="18" t="n">
        <f aca="false">D150/C150-1</f>
        <v>0.654160760309279</v>
      </c>
      <c r="E151" s="18" t="n">
        <f aca="false">E150/D150-1</f>
        <v>0.546124756097882</v>
      </c>
      <c r="F151" s="18" t="n">
        <f aca="false">F150/E150-1</f>
        <v>0.121194932431659</v>
      </c>
      <c r="G151" s="18" t="n">
        <f aca="false">G150/F150-1</f>
        <v>0.104099831178295</v>
      </c>
    </row>
    <row r="152" customFormat="false" ht="17.15" hidden="false" customHeight="false" outlineLevel="0" collapsed="false">
      <c r="A152" s="0" t="s">
        <v>414</v>
      </c>
      <c r="B152" s="0" t="s">
        <v>103</v>
      </c>
      <c r="C152" s="18" t="n">
        <f aca="false">(C142+C147)/C150</f>
        <v>0.834</v>
      </c>
      <c r="D152" s="18" t="n">
        <f aca="false">(D142+D147)/D150</f>
        <v>0.889611696528299</v>
      </c>
      <c r="E152" s="18" t="n">
        <f aca="false">(E142+E147)/E150</f>
        <v>0.924319430745474</v>
      </c>
      <c r="F152" s="18" t="n">
        <f aca="false">(F142+F147)/F150</f>
        <v>0.929125083053213</v>
      </c>
      <c r="G152" s="18" t="n">
        <f aca="false">(G142+G147)/G150</f>
        <v>0.932597885904297</v>
      </c>
    </row>
    <row r="153" customFormat="false" ht="17.15" hidden="false" customHeight="false" outlineLevel="0" collapsed="false">
      <c r="A153" s="4" t="s">
        <v>415</v>
      </c>
      <c r="B153" s="0" t="s">
        <v>103</v>
      </c>
      <c r="C153" s="18" t="n">
        <f aca="false">C147/C150</f>
        <v>0.63</v>
      </c>
      <c r="D153" s="18" t="n">
        <f aca="false">D147/D150</f>
        <v>0.5</v>
      </c>
      <c r="E153" s="18" t="n">
        <f aca="false">E147/E150</f>
        <v>0.363812815092387</v>
      </c>
      <c r="F153" s="18" t="n">
        <f aca="false">F147/F150</f>
        <v>0.367751564434734</v>
      </c>
      <c r="G153" s="18" t="n">
        <f aca="false">G147/G150</f>
        <v>0.36050814985036</v>
      </c>
    </row>
    <row r="154" customFormat="false" ht="17.15" hidden="false" customHeight="false" outlineLevel="0" collapsed="false">
      <c r="A154" s="6" t="s">
        <v>416</v>
      </c>
    </row>
    <row r="155" customFormat="false" ht="17.15" hidden="false" customHeight="false" outlineLevel="0" collapsed="false">
      <c r="A155" s="4" t="s">
        <v>417</v>
      </c>
      <c r="B155" s="0" t="s">
        <v>103</v>
      </c>
      <c r="D155" s="15" t="n">
        <f aca="false">a26_gp/a26_rev+d_nap*D153</f>
        <v>0.219589247962076</v>
      </c>
      <c r="H155" s="8" t="s">
        <v>418</v>
      </c>
    </row>
    <row r="156" customFormat="false" ht="15" hidden="false" customHeight="false" outlineLevel="0" collapsed="false">
      <c r="A156" s="4" t="s">
        <v>320</v>
      </c>
      <c r="B156" s="0" t="s">
        <v>186</v>
      </c>
      <c r="C156" s="20" t="n">
        <f aca="false">a25_gp</f>
        <v>44.921088</v>
      </c>
      <c r="D156" s="20" t="n">
        <f aca="false">a26_gp</f>
        <v>77.875907</v>
      </c>
      <c r="E156" s="20" t="n">
        <f aca="false">$D$155*(E142+E149)+($D$155-d_nap)*E147</f>
        <v>125.595319021211</v>
      </c>
      <c r="F156" s="20" t="n">
        <f aca="false">$D$155*(F142+F149)+($D$155-d_nap)*F147</f>
        <v>140.648558259653</v>
      </c>
      <c r="G156" s="20" t="n">
        <f aca="false">$D$155*(G142+G149)+($D$155-d_nap)*G147</f>
        <v>155.631728212682</v>
      </c>
    </row>
    <row r="157" customFormat="false" ht="15" hidden="false" customHeight="false" outlineLevel="0" collapsed="false">
      <c r="A157" s="4" t="s">
        <v>322</v>
      </c>
      <c r="B157" s="0" t="s">
        <v>103</v>
      </c>
      <c r="C157" s="15" t="n">
        <f aca="false">C156/C150</f>
        <v>0.1809</v>
      </c>
      <c r="D157" s="15" t="n">
        <f aca="false">D156/D150</f>
        <v>0.189589247962076</v>
      </c>
      <c r="E157" s="15" t="n">
        <f aca="false">E156/E150</f>
        <v>0.197760479056533</v>
      </c>
      <c r="F157" s="15" t="n">
        <f aca="false">F156/F150</f>
        <v>0.197524154095992</v>
      </c>
      <c r="G157" s="15" t="n">
        <f aca="false">G156/G150</f>
        <v>0.197958758971055</v>
      </c>
    </row>
    <row r="158" customFormat="false" ht="15" hidden="false" customHeight="false" outlineLevel="0" collapsed="false">
      <c r="A158" s="4" t="s">
        <v>419</v>
      </c>
      <c r="B158" s="0" t="s">
        <v>186</v>
      </c>
      <c r="C158" s="20" t="n">
        <f aca="false">a25_opx</f>
        <v>12.78848</v>
      </c>
      <c r="D158" s="20" t="n">
        <f aca="false">a26_opx</f>
        <v>17.956088</v>
      </c>
      <c r="E158" s="20" t="n">
        <f aca="false">D158*(1+MAX(0,phi*E151))</f>
        <v>23.8398465076833</v>
      </c>
      <c r="F158" s="20" t="n">
        <f aca="false">E158*(1+MAX(0,phi*F151))</f>
        <v>25.5734076596911</v>
      </c>
      <c r="G158" s="20" t="n">
        <f aca="false">F158*(1+MAX(0,phi*G151))</f>
        <v>27.1707201117077</v>
      </c>
    </row>
    <row r="159" customFormat="false" ht="15" hidden="false" customHeight="false" outlineLevel="0" collapsed="false">
      <c r="A159" s="4" t="s">
        <v>324</v>
      </c>
      <c r="B159" s="0" t="s">
        <v>186</v>
      </c>
      <c r="C159" s="20" t="n">
        <f aca="false">C158</f>
        <v>12.78848</v>
      </c>
      <c r="D159" s="20" t="n">
        <f aca="false">D158</f>
        <v>17.956088</v>
      </c>
      <c r="E159" s="20" t="n">
        <f aca="false">E158+0*E150</f>
        <v>23.8398465076833</v>
      </c>
      <c r="F159" s="20" t="n">
        <f aca="false">F158+0*F150</f>
        <v>25.5734076596911</v>
      </c>
      <c r="G159" s="20" t="n">
        <f aca="false">G158+0*G150</f>
        <v>27.1707201117077</v>
      </c>
    </row>
    <row r="160" customFormat="false" ht="15" hidden="false" customHeight="false" outlineLevel="0" collapsed="false">
      <c r="A160" s="4" t="s">
        <v>326</v>
      </c>
      <c r="B160" s="0" t="s">
        <v>186</v>
      </c>
      <c r="C160" s="20" t="n">
        <f aca="false">C156-C159</f>
        <v>32.132608</v>
      </c>
      <c r="D160" s="20" t="n">
        <f aca="false">D156-D159</f>
        <v>59.919819</v>
      </c>
      <c r="E160" s="20" t="n">
        <f aca="false">E156-E159</f>
        <v>101.755472513527</v>
      </c>
      <c r="F160" s="20" t="n">
        <f aca="false">F156-F159</f>
        <v>115.075150599962</v>
      </c>
      <c r="G160" s="20" t="n">
        <f aca="false">G156-G159</f>
        <v>128.461008100975</v>
      </c>
    </row>
    <row r="161" customFormat="false" ht="15" hidden="false" customHeight="false" outlineLevel="0" collapsed="false">
      <c r="A161" s="4" t="s">
        <v>328</v>
      </c>
      <c r="B161" s="0" t="s">
        <v>103</v>
      </c>
      <c r="C161" s="15" t="n">
        <f aca="false">C160/C150</f>
        <v>0.1294</v>
      </c>
      <c r="D161" s="15" t="n">
        <f aca="false">D160/D150</f>
        <v>0.145875070478906</v>
      </c>
      <c r="E161" s="15" t="n">
        <f aca="false">E160/E150</f>
        <v>0.160222619343804</v>
      </c>
      <c r="F161" s="15" t="n">
        <f aca="false">F160/F150</f>
        <v>0.161609347873755</v>
      </c>
      <c r="G161" s="15" t="n">
        <f aca="false">G160/G150</f>
        <v>0.163398440869895</v>
      </c>
    </row>
    <row r="162" customFormat="false" ht="17.15" hidden="false" customHeight="false" outlineLevel="0" collapsed="false">
      <c r="A162" s="4" t="s">
        <v>224</v>
      </c>
      <c r="B162" s="0" t="s">
        <v>76</v>
      </c>
      <c r="C162" s="16" t="n">
        <f aca="false">a25_ni/a25_oi</f>
        <v>0.819790289042209</v>
      </c>
      <c r="D162" s="16" t="n">
        <f aca="false">a26_ni/a26_oi</f>
        <v>0.798164213413262</v>
      </c>
      <c r="E162" s="16" t="n">
        <f aca="false">nio_f</f>
        <v>0.8</v>
      </c>
      <c r="F162" s="16" t="n">
        <f aca="false">nio_f</f>
        <v>0.8</v>
      </c>
      <c r="G162" s="16" t="n">
        <f aca="false">nio_f</f>
        <v>0.8</v>
      </c>
    </row>
    <row r="163" customFormat="false" ht="15" hidden="false" customHeight="false" outlineLevel="0" collapsed="false">
      <c r="A163" s="4" t="s">
        <v>329</v>
      </c>
      <c r="B163" s="0" t="s">
        <v>186</v>
      </c>
      <c r="C163" s="20" t="n">
        <f aca="false">a25_ni</f>
        <v>26.342</v>
      </c>
      <c r="D163" s="20" t="n">
        <f aca="false">a26_ni</f>
        <v>47.8258552</v>
      </c>
      <c r="E163" s="20" t="n">
        <f aca="false">E160*E162</f>
        <v>81.4043780108218</v>
      </c>
      <c r="F163" s="20" t="n">
        <f aca="false">F160*F162</f>
        <v>92.0601204799698</v>
      </c>
      <c r="G163" s="20" t="n">
        <f aca="false">G160*G162</f>
        <v>102.76880648078</v>
      </c>
    </row>
    <row r="164" customFormat="false" ht="15" hidden="false" customHeight="false" outlineLevel="0" collapsed="false">
      <c r="A164" s="4" t="s">
        <v>420</v>
      </c>
      <c r="B164" s="4" t="s">
        <v>211</v>
      </c>
      <c r="C164" s="17" t="n">
        <f aca="false">a25_sh</f>
        <v>0.558922130277955</v>
      </c>
      <c r="D164" s="17" t="n">
        <f aca="false">a26_sh</f>
        <v>0.558904899135447</v>
      </c>
      <c r="E164" s="17" t="n">
        <f aca="false">D164*(1+sh_g27)</f>
        <v>0.568853406340058</v>
      </c>
      <c r="F164" s="17" t="n">
        <f aca="false">E164*(1+sh_g)</f>
        <v>0.568853406340058</v>
      </c>
      <c r="G164" s="17" t="n">
        <f aca="false">F164*(1+sh_g)</f>
        <v>0.568853406340058</v>
      </c>
    </row>
    <row r="165" customFormat="false" ht="15" hidden="false" customHeight="false" outlineLevel="0" collapsed="false">
      <c r="A165" s="0" t="s">
        <v>334</v>
      </c>
      <c r="B165" s="0" t="s">
        <v>244</v>
      </c>
      <c r="C165" s="14" t="n">
        <f aca="false">C163/C164</f>
        <v>47.13</v>
      </c>
      <c r="D165" s="14" t="n">
        <f aca="false">D163/D164</f>
        <v>85.5706494503455</v>
      </c>
      <c r="E165" s="14" t="n">
        <f aca="false">E163/E164</f>
        <v>143.102558767414</v>
      </c>
      <c r="F165" s="14" t="n">
        <f aca="false">F163/F164</f>
        <v>161.834524420404</v>
      </c>
      <c r="G165" s="14" t="n">
        <f aca="false">G163/G164</f>
        <v>180.659560680111</v>
      </c>
    </row>
    <row r="166" customFormat="false" ht="17.15" hidden="false" customHeight="false" outlineLevel="0" collapsed="false">
      <c r="A166" s="0" t="s">
        <v>421</v>
      </c>
      <c r="B166" s="0" t="s">
        <v>103</v>
      </c>
      <c r="D166" s="18" t="n">
        <f aca="false">D165/C165-1</f>
        <v>0.815630160202535</v>
      </c>
      <c r="E166" s="18" t="n">
        <f aca="false">E165/D165-1</f>
        <v>0.672332273818408</v>
      </c>
      <c r="F166" s="18" t="n">
        <f aca="false">F165/E165-1</f>
        <v>0.130898886884579</v>
      </c>
      <c r="G166" s="18" t="n">
        <f aca="false">G165/F165-1</f>
        <v>0.116322745885823</v>
      </c>
    </row>
    <row r="169" customFormat="false" ht="17.15" hidden="false" customHeight="false" outlineLevel="0" collapsed="false">
      <c r="A169" s="1" t="s">
        <v>720</v>
      </c>
    </row>
    <row r="170" customFormat="false" ht="17.15" hidden="false" customHeight="false" outlineLevel="0" collapsed="false">
      <c r="A170" s="5" t="s">
        <v>21</v>
      </c>
      <c r="B170" s="5" t="s">
        <v>22</v>
      </c>
      <c r="C170" s="12" t="s">
        <v>309</v>
      </c>
      <c r="D170" s="12" t="s">
        <v>371</v>
      </c>
      <c r="E170" s="12" t="s">
        <v>372</v>
      </c>
      <c r="F170" s="12" t="s">
        <v>373</v>
      </c>
      <c r="G170" s="12" t="s">
        <v>374</v>
      </c>
      <c r="H170" s="5" t="s">
        <v>350</v>
      </c>
    </row>
    <row r="171" customFormat="false" ht="17.15" hidden="false" customHeight="false" outlineLevel="0" collapsed="false">
      <c r="A171" s="6" t="s">
        <v>389</v>
      </c>
    </row>
    <row r="172" customFormat="false" ht="17.15" hidden="false" customHeight="false" outlineLevel="0" collapsed="false">
      <c r="A172" s="4" t="s">
        <v>390</v>
      </c>
      <c r="B172" s="0" t="s">
        <v>186</v>
      </c>
      <c r="C172" s="20" t="n">
        <f aca="false">a25_rev*nap25s</f>
        <v>156.4416</v>
      </c>
      <c r="D172" s="20" t="n">
        <f aca="false">a26_rev*ns26</f>
        <v>205.3806</v>
      </c>
    </row>
    <row r="173" customFormat="false" ht="17.15" hidden="false" customHeight="false" outlineLevel="0" collapsed="false">
      <c r="A173" s="4" t="s">
        <v>391</v>
      </c>
      <c r="B173" s="0" t="s">
        <v>186</v>
      </c>
      <c r="C173" s="20" t="n">
        <f aca="false">a25_rev*(1-nap25s-sw25s*af25)</f>
        <v>41.22112</v>
      </c>
      <c r="D173" s="20" t="n">
        <f aca="false">C173*(1+g_nai26)</f>
        <v>45.343232</v>
      </c>
    </row>
    <row r="174" customFormat="false" ht="17.15" hidden="false" customHeight="false" outlineLevel="0" collapsed="false">
      <c r="A174" s="0" t="s">
        <v>392</v>
      </c>
      <c r="B174" s="0" t="s">
        <v>186</v>
      </c>
      <c r="C174" s="20" t="n">
        <f aca="false">a25_rev*sw25s*af25</f>
        <v>50.65728</v>
      </c>
      <c r="D174" s="20" t="n">
        <f aca="false">a26_rev-D172-D173</f>
        <v>160.037368</v>
      </c>
      <c r="H174" s="8" t="s">
        <v>393</v>
      </c>
    </row>
    <row r="175" customFormat="false" ht="17.15" hidden="false" customHeight="false" outlineLevel="0" collapsed="false">
      <c r="A175" s="6" t="s">
        <v>394</v>
      </c>
    </row>
    <row r="176" customFormat="false" ht="17.15" hidden="false" customHeight="false" outlineLevel="0" collapsed="false">
      <c r="A176" s="0" t="s">
        <v>395</v>
      </c>
      <c r="B176" s="0" t="s">
        <v>32</v>
      </c>
      <c r="D176" s="14" t="n">
        <f aca="false">mkt_26*1</f>
        <v>32.0719</v>
      </c>
      <c r="E176" s="14" t="n">
        <f aca="false">mkt_27*1*1</f>
        <v>61.085</v>
      </c>
      <c r="F176" s="14" t="n">
        <f aca="false">mkt_28*um28_A*1</f>
        <v>69.005</v>
      </c>
      <c r="G176" s="14" t="n">
        <f aca="false">mkt_29*um29_A*1</f>
        <v>78.48215</v>
      </c>
    </row>
    <row r="177" customFormat="false" ht="15" hidden="false" customHeight="false" outlineLevel="0" collapsed="false">
      <c r="A177" s="4" t="s">
        <v>396</v>
      </c>
      <c r="B177" s="0" t="s">
        <v>103</v>
      </c>
      <c r="D177" s="18" t="n">
        <f aca="false">eth_26</f>
        <v>0.75</v>
      </c>
      <c r="E177" s="18" t="n">
        <f aca="false">eth_27</f>
        <v>0.8</v>
      </c>
      <c r="F177" s="18" t="n">
        <f aca="false">eth_28</f>
        <v>0.83</v>
      </c>
      <c r="G177" s="18" t="n">
        <f aca="false">eth_29</f>
        <v>0.85</v>
      </c>
    </row>
    <row r="178" customFormat="false" ht="17.15" hidden="false" customHeight="false" outlineLevel="0" collapsed="false">
      <c r="A178" s="4" t="s">
        <v>397</v>
      </c>
      <c r="B178" s="0" t="s">
        <v>32</v>
      </c>
      <c r="D178" s="14" t="n">
        <f aca="false">su_26*1</f>
        <v>3.015</v>
      </c>
      <c r="E178" s="14" t="n">
        <f aca="false">su_27*1*1</f>
        <v>11.3414</v>
      </c>
      <c r="F178" s="14" t="n">
        <f aca="false">su_28*um28_A*1</f>
        <v>13.8952</v>
      </c>
      <c r="G178" s="14" t="n">
        <f aca="false">su_29*um29_A*1</f>
        <v>15.97948</v>
      </c>
    </row>
    <row r="179" customFormat="false" ht="17.15" hidden="false" customHeight="false" outlineLevel="0" collapsed="false">
      <c r="A179" s="0" t="s">
        <v>398</v>
      </c>
      <c r="B179" s="0" t="s">
        <v>32</v>
      </c>
      <c r="D179" s="14" t="n">
        <f aca="false">D176*D177+D178</f>
        <v>27.068925</v>
      </c>
      <c r="E179" s="14" t="n">
        <f aca="false">E176*E177+E178</f>
        <v>60.2094</v>
      </c>
      <c r="F179" s="14" t="n">
        <f aca="false">F176*F177+F178</f>
        <v>71.16935</v>
      </c>
      <c r="G179" s="14" t="n">
        <f aca="false">G176*G177+G178</f>
        <v>82.6893075</v>
      </c>
    </row>
    <row r="180" customFormat="false" ht="15" hidden="false" customHeight="false" outlineLevel="0" collapsed="false">
      <c r="A180" s="4" t="s">
        <v>355</v>
      </c>
      <c r="B180" s="0" t="s">
        <v>103</v>
      </c>
      <c r="D180" s="18" t="n">
        <f aca="false">WBHI_26</f>
        <v>0.55</v>
      </c>
      <c r="E180" s="18" t="n">
        <f aca="false">WBHI_27</f>
        <v>0.57</v>
      </c>
      <c r="F180" s="18" t="n">
        <f aca="false">WBHI_28</f>
        <v>0.58</v>
      </c>
      <c r="G180" s="18" t="n">
        <f aca="false">WBHI_29</f>
        <v>0.6</v>
      </c>
    </row>
    <row r="181" customFormat="false" ht="17.15" hidden="false" customHeight="false" outlineLevel="0" collapsed="false">
      <c r="A181" s="4" t="s">
        <v>357</v>
      </c>
      <c r="B181" s="0" t="s">
        <v>32</v>
      </c>
      <c r="D181" s="14" t="n">
        <f aca="false">D179*D180</f>
        <v>14.88790875</v>
      </c>
      <c r="E181" s="14" t="n">
        <f aca="false">E179*E180</f>
        <v>34.319358</v>
      </c>
      <c r="F181" s="14" t="n">
        <f aca="false">F179*F180</f>
        <v>41.278223</v>
      </c>
      <c r="G181" s="14" t="n">
        <f aca="false">G179*G180</f>
        <v>49.6135845</v>
      </c>
    </row>
    <row r="182" customFormat="false" ht="17.15" hidden="false" customHeight="false" outlineLevel="0" collapsed="false">
      <c r="A182" s="4" t="s">
        <v>399</v>
      </c>
      <c r="B182" s="0" t="s">
        <v>103</v>
      </c>
      <c r="D182" s="18" t="n">
        <f aca="false">D174/fx/D181</f>
        <v>0.335921440276157</v>
      </c>
      <c r="H182" s="8" t="s">
        <v>400</v>
      </c>
    </row>
    <row r="183" customFormat="false" ht="17.15" hidden="false" customHeight="false" outlineLevel="0" collapsed="false">
      <c r="A183" s="4" t="s">
        <v>401</v>
      </c>
      <c r="B183" s="0" t="s">
        <v>76</v>
      </c>
      <c r="D183" s="19" t="n">
        <f aca="false">1</f>
        <v>1</v>
      </c>
      <c r="E183" s="19" t="n">
        <f aca="false">rel_27</f>
        <v>1</v>
      </c>
      <c r="F183" s="19" t="n">
        <f aca="false">rel_28</f>
        <v>0.95</v>
      </c>
      <c r="G183" s="19" t="n">
        <f aca="false">rel_29</f>
        <v>0.92</v>
      </c>
    </row>
    <row r="184" customFormat="false" ht="15" hidden="false" customHeight="false" outlineLevel="0" collapsed="false">
      <c r="A184" s="4" t="s">
        <v>402</v>
      </c>
      <c r="B184" s="0" t="s">
        <v>103</v>
      </c>
      <c r="D184" s="18" t="n">
        <f aca="false">$D$182*D183</f>
        <v>0.335921440276157</v>
      </c>
      <c r="E184" s="18" t="n">
        <f aca="false">$D$182*E183</f>
        <v>0.335921440276157</v>
      </c>
      <c r="F184" s="18" t="n">
        <f aca="false">$D$182*F183</f>
        <v>0.319125368262349</v>
      </c>
      <c r="G184" s="18" t="n">
        <f aca="false">$D$182*G183</f>
        <v>0.309047725054064</v>
      </c>
    </row>
    <row r="185" customFormat="false" ht="17.15" hidden="false" customHeight="false" outlineLevel="0" collapsed="false">
      <c r="A185" s="0" t="s">
        <v>403</v>
      </c>
      <c r="B185" s="0" t="s">
        <v>186</v>
      </c>
      <c r="C185" s="20" t="n">
        <f aca="false">C174</f>
        <v>50.65728</v>
      </c>
      <c r="D185" s="20" t="n">
        <f aca="false">D181*D184*fx</f>
        <v>160.037368</v>
      </c>
      <c r="E185" s="20" t="n">
        <f aca="false">E181*E184*fx</f>
        <v>368.915461398818</v>
      </c>
      <c r="F185" s="20" t="n">
        <f aca="false">F181*F184*fx</f>
        <v>421.533699714892</v>
      </c>
      <c r="G185" s="20" t="n">
        <f aca="false">G181*G184*fx</f>
        <v>490.654893488083</v>
      </c>
    </row>
    <row r="186" customFormat="false" ht="17.15" hidden="false" customHeight="false" outlineLevel="0" collapsed="false">
      <c r="A186" s="6" t="s">
        <v>404</v>
      </c>
    </row>
    <row r="187" customFormat="false" ht="17.15" hidden="false" customHeight="false" outlineLevel="0" collapsed="false">
      <c r="A187" s="0" t="s">
        <v>405</v>
      </c>
      <c r="B187" s="4" t="s">
        <v>55</v>
      </c>
      <c r="D187" s="19" t="n">
        <f aca="false">trn_26*1</f>
        <v>2</v>
      </c>
      <c r="E187" s="19" t="n">
        <f aca="false">trn_27*1*1</f>
        <v>2.5</v>
      </c>
      <c r="F187" s="19" t="n">
        <f aca="false">trn_28*um28_A*1</f>
        <v>3</v>
      </c>
      <c r="G187" s="19" t="n">
        <f aca="false">trn_29*um29_A*1</f>
        <v>3.45</v>
      </c>
    </row>
    <row r="188" customFormat="false" ht="17.15" hidden="false" customHeight="false" outlineLevel="0" collapsed="false">
      <c r="A188" s="4" t="s">
        <v>406</v>
      </c>
      <c r="B188" s="4" t="s">
        <v>407</v>
      </c>
      <c r="D188" s="20" t="n">
        <f aca="false">D172/D187</f>
        <v>102.6903</v>
      </c>
      <c r="H188" s="8" t="s">
        <v>408</v>
      </c>
    </row>
    <row r="189" customFormat="false" ht="17.15" hidden="false" customHeight="false" outlineLevel="0" collapsed="false">
      <c r="A189" s="4" t="s">
        <v>409</v>
      </c>
      <c r="B189" s="0" t="s">
        <v>76</v>
      </c>
      <c r="D189" s="19" t="n">
        <f aca="false">1</f>
        <v>1</v>
      </c>
      <c r="E189" s="19" t="n">
        <f aca="false">nrel_27</f>
        <v>0.9</v>
      </c>
      <c r="F189" s="19" t="n">
        <f aca="false">nrel_28</f>
        <v>0.85</v>
      </c>
      <c r="G189" s="19" t="n">
        <f aca="false">nrel_29</f>
        <v>0.8</v>
      </c>
    </row>
    <row r="190" customFormat="false" ht="15" hidden="false" customHeight="false" outlineLevel="0" collapsed="false">
      <c r="A190" s="4" t="s">
        <v>410</v>
      </c>
      <c r="B190" s="0" t="s">
        <v>186</v>
      </c>
      <c r="C190" s="20" t="n">
        <f aca="false">C172</f>
        <v>156.4416</v>
      </c>
      <c r="D190" s="20" t="n">
        <f aca="false">D187*$D$188*D189</f>
        <v>205.3806</v>
      </c>
      <c r="E190" s="20" t="n">
        <f aca="false">E187*$D$188*E189</f>
        <v>231.053175</v>
      </c>
      <c r="F190" s="20" t="n">
        <f aca="false">F187*$D$188*F189</f>
        <v>261.860265</v>
      </c>
      <c r="G190" s="20" t="n">
        <f aca="false">G187*$D$188*G189</f>
        <v>283.425228</v>
      </c>
    </row>
    <row r="191" customFormat="false" ht="17.15" hidden="false" customHeight="false" outlineLevel="0" collapsed="false">
      <c r="A191" s="6" t="s">
        <v>411</v>
      </c>
    </row>
    <row r="192" customFormat="false" ht="17.15" hidden="false" customHeight="false" outlineLevel="0" collapsed="false">
      <c r="A192" s="4" t="s">
        <v>412</v>
      </c>
      <c r="B192" s="0" t="s">
        <v>186</v>
      </c>
      <c r="C192" s="20" t="n">
        <f aca="false">C173</f>
        <v>41.22112</v>
      </c>
      <c r="D192" s="20" t="n">
        <f aca="false">D173</f>
        <v>45.343232</v>
      </c>
      <c r="E192" s="20" t="n">
        <f aca="false">D192*(1+g_nai27)</f>
        <v>48.06382592</v>
      </c>
      <c r="F192" s="20" t="n">
        <f aca="false">E192*(1+g_nai28)</f>
        <v>50.467017216</v>
      </c>
      <c r="G192" s="20" t="n">
        <f aca="false">F192*(1+g_nai29)</f>
        <v>52.9903680768</v>
      </c>
    </row>
    <row r="193" customFormat="false" ht="15" hidden="false" customHeight="false" outlineLevel="0" collapsed="false">
      <c r="A193" s="4" t="s">
        <v>316</v>
      </c>
      <c r="B193" s="0" t="s">
        <v>186</v>
      </c>
      <c r="C193" s="20" t="n">
        <f aca="false">C185+C190+C192</f>
        <v>248.32</v>
      </c>
      <c r="D193" s="20" t="n">
        <f aca="false">D185+D190+D192</f>
        <v>410.7612</v>
      </c>
      <c r="E193" s="20" t="n">
        <f aca="false">E185+E190+E192</f>
        <v>648.032462318818</v>
      </c>
      <c r="F193" s="20" t="n">
        <f aca="false">F185+F190+F192</f>
        <v>733.860981930892</v>
      </c>
      <c r="G193" s="20" t="n">
        <f aca="false">G185+G190+G192</f>
        <v>827.070489564883</v>
      </c>
    </row>
    <row r="194" customFormat="false" ht="15" hidden="false" customHeight="false" outlineLevel="0" collapsed="false">
      <c r="A194" s="4" t="s">
        <v>413</v>
      </c>
      <c r="B194" s="0" t="s">
        <v>103</v>
      </c>
      <c r="D194" s="18" t="n">
        <f aca="false">D193/C193-1</f>
        <v>0.654160760309279</v>
      </c>
      <c r="E194" s="18" t="n">
        <f aca="false">E193/D193-1</f>
        <v>0.577637961713077</v>
      </c>
      <c r="F194" s="18" t="n">
        <f aca="false">F193/E193-1</f>
        <v>0.132444784177877</v>
      </c>
      <c r="G194" s="18" t="n">
        <f aca="false">G193/F193-1</f>
        <v>0.127012485918987</v>
      </c>
    </row>
    <row r="195" customFormat="false" ht="17.15" hidden="false" customHeight="false" outlineLevel="0" collapsed="false">
      <c r="A195" s="0" t="s">
        <v>414</v>
      </c>
      <c r="B195" s="0" t="s">
        <v>103</v>
      </c>
      <c r="C195" s="18" t="n">
        <f aca="false">(C185+C190)/C193</f>
        <v>0.834</v>
      </c>
      <c r="D195" s="18" t="n">
        <f aca="false">(D185+D190)/D193</f>
        <v>0.889611696528299</v>
      </c>
      <c r="E195" s="18" t="n">
        <f aca="false">(E185+E190)/E193</f>
        <v>0.925831144711461</v>
      </c>
      <c r="F195" s="18" t="n">
        <f aca="false">(F185+F190)/F193</f>
        <v>0.931230821015699</v>
      </c>
      <c r="G195" s="18" t="n">
        <f aca="false">(G185+G190)/G193</f>
        <v>0.935930046174567</v>
      </c>
    </row>
    <row r="196" customFormat="false" ht="17.15" hidden="false" customHeight="false" outlineLevel="0" collapsed="false">
      <c r="A196" s="4" t="s">
        <v>415</v>
      </c>
      <c r="B196" s="0" t="s">
        <v>103</v>
      </c>
      <c r="C196" s="18" t="n">
        <f aca="false">C190/C193</f>
        <v>0.63</v>
      </c>
      <c r="D196" s="18" t="n">
        <f aca="false">D190/D193</f>
        <v>0.5</v>
      </c>
      <c r="E196" s="18" t="n">
        <f aca="false">E190/E193</f>
        <v>0.356545680093302</v>
      </c>
      <c r="F196" s="18" t="n">
        <f aca="false">F190/F193</f>
        <v>0.356825436216828</v>
      </c>
      <c r="G196" s="18" t="n">
        <f aca="false">G190/G193</f>
        <v>0.342685697985801</v>
      </c>
    </row>
    <row r="197" customFormat="false" ht="17.15" hidden="false" customHeight="false" outlineLevel="0" collapsed="false">
      <c r="A197" s="6" t="s">
        <v>416</v>
      </c>
    </row>
    <row r="198" customFormat="false" ht="17.15" hidden="false" customHeight="false" outlineLevel="0" collapsed="false">
      <c r="A198" s="4" t="s">
        <v>417</v>
      </c>
      <c r="B198" s="0" t="s">
        <v>103</v>
      </c>
      <c r="D198" s="15" t="n">
        <f aca="false">a26_gp/a26_rev+d_nap*D196</f>
        <v>0.219589247962076</v>
      </c>
      <c r="H198" s="8" t="s">
        <v>418</v>
      </c>
    </row>
    <row r="199" customFormat="false" ht="15" hidden="false" customHeight="false" outlineLevel="0" collapsed="false">
      <c r="A199" s="4" t="s">
        <v>320</v>
      </c>
      <c r="B199" s="0" t="s">
        <v>186</v>
      </c>
      <c r="C199" s="20" t="n">
        <f aca="false">a25_gp</f>
        <v>44.921088</v>
      </c>
      <c r="D199" s="20" t="n">
        <f aca="false">a26_gp</f>
        <v>77.875907</v>
      </c>
      <c r="E199" s="20" t="n">
        <f aca="false">$D$198*(E185+E192)+($D$198-d_nap)*E190</f>
        <v>128.437770555602</v>
      </c>
      <c r="F199" s="20" t="n">
        <f aca="false">$D$198*(F185+F192)+($D$198-d_nap)*F190</f>
        <v>145.436365230915</v>
      </c>
      <c r="G199" s="20" t="n">
        <f aca="false">$D$198*(G185+G192)+($D$198-d_nap)*G190</f>
        <v>164.610273135179</v>
      </c>
    </row>
    <row r="200" customFormat="false" ht="15" hidden="false" customHeight="false" outlineLevel="0" collapsed="false">
      <c r="A200" s="4" t="s">
        <v>322</v>
      </c>
      <c r="B200" s="0" t="s">
        <v>103</v>
      </c>
      <c r="C200" s="15" t="n">
        <f aca="false">C199/C193</f>
        <v>0.1809</v>
      </c>
      <c r="D200" s="15" t="n">
        <f aca="false">D199/D193</f>
        <v>0.189589247962076</v>
      </c>
      <c r="E200" s="15" t="n">
        <f aca="false">E199/E193</f>
        <v>0.198196507156478</v>
      </c>
      <c r="F200" s="15" t="n">
        <f aca="false">F199/F193</f>
        <v>0.198179721789067</v>
      </c>
      <c r="G200" s="15" t="n">
        <f aca="false">G199/G193</f>
        <v>0.199028106082928</v>
      </c>
    </row>
    <row r="201" customFormat="false" ht="15" hidden="false" customHeight="false" outlineLevel="0" collapsed="false">
      <c r="A201" s="4" t="s">
        <v>419</v>
      </c>
      <c r="B201" s="0" t="s">
        <v>186</v>
      </c>
      <c r="C201" s="20" t="n">
        <f aca="false">a25_opx</f>
        <v>12.78848</v>
      </c>
      <c r="D201" s="20" t="n">
        <f aca="false">a26_opx</f>
        <v>17.956088</v>
      </c>
      <c r="E201" s="20" t="n">
        <f aca="false">D201*(1+MAX(0,phi*E194))</f>
        <v>24.1793588435964</v>
      </c>
      <c r="F201" s="20" t="n">
        <f aca="false">E201*(1+MAX(0,phi*F194))</f>
        <v>26.1008168217561</v>
      </c>
      <c r="G201" s="20" t="n">
        <f aca="false">F201*(1+MAX(0,phi*G194))</f>
        <v>28.0898945991845</v>
      </c>
    </row>
    <row r="202" customFormat="false" ht="15" hidden="false" customHeight="false" outlineLevel="0" collapsed="false">
      <c r="A202" s="4" t="s">
        <v>324</v>
      </c>
      <c r="B202" s="0" t="s">
        <v>186</v>
      </c>
      <c r="C202" s="20" t="n">
        <f aca="false">C201</f>
        <v>12.78848</v>
      </c>
      <c r="D202" s="20" t="n">
        <f aca="false">D201</f>
        <v>17.956088</v>
      </c>
      <c r="E202" s="20" t="n">
        <f aca="false">E201+0*E193</f>
        <v>24.1793588435964</v>
      </c>
      <c r="F202" s="20" t="n">
        <f aca="false">F201+0*F193</f>
        <v>26.1008168217561</v>
      </c>
      <c r="G202" s="20" t="n">
        <f aca="false">G201+0*G193</f>
        <v>28.0898945991845</v>
      </c>
    </row>
    <row r="203" customFormat="false" ht="15" hidden="false" customHeight="false" outlineLevel="0" collapsed="false">
      <c r="A203" s="4" t="s">
        <v>326</v>
      </c>
      <c r="B203" s="0" t="s">
        <v>186</v>
      </c>
      <c r="C203" s="20" t="n">
        <f aca="false">C199-C202</f>
        <v>32.132608</v>
      </c>
      <c r="D203" s="20" t="n">
        <f aca="false">D199-D202</f>
        <v>59.919819</v>
      </c>
      <c r="E203" s="20" t="n">
        <f aca="false">E199-E202</f>
        <v>104.258411712005</v>
      </c>
      <c r="F203" s="20" t="n">
        <f aca="false">F199-F202</f>
        <v>119.335548409159</v>
      </c>
      <c r="G203" s="20" t="n">
        <f aca="false">G199-G202</f>
        <v>136.520378535994</v>
      </c>
    </row>
    <row r="204" customFormat="false" ht="15" hidden="false" customHeight="false" outlineLevel="0" collapsed="false">
      <c r="A204" s="4" t="s">
        <v>328</v>
      </c>
      <c r="B204" s="0" t="s">
        <v>103</v>
      </c>
      <c r="C204" s="15" t="n">
        <f aca="false">C203/C193</f>
        <v>0.1294</v>
      </c>
      <c r="D204" s="15" t="n">
        <f aca="false">D203/D193</f>
        <v>0.145875070478906</v>
      </c>
      <c r="E204" s="15" t="n">
        <f aca="false">E203/E193</f>
        <v>0.160884550966696</v>
      </c>
      <c r="F204" s="15" t="n">
        <f aca="false">F203/F193</f>
        <v>0.162613289638551</v>
      </c>
      <c r="G204" s="15" t="n">
        <f aca="false">G203/G193</f>
        <v>0.165064985703718</v>
      </c>
    </row>
    <row r="205" customFormat="false" ht="17.15" hidden="false" customHeight="false" outlineLevel="0" collapsed="false">
      <c r="A205" s="4" t="s">
        <v>224</v>
      </c>
      <c r="B205" s="0" t="s">
        <v>76</v>
      </c>
      <c r="C205" s="16" t="n">
        <f aca="false">a25_ni/a25_oi</f>
        <v>0.819790289042209</v>
      </c>
      <c r="D205" s="16" t="n">
        <f aca="false">a26_ni/a26_oi</f>
        <v>0.798164213413262</v>
      </c>
      <c r="E205" s="16" t="n">
        <f aca="false">nio_f</f>
        <v>0.8</v>
      </c>
      <c r="F205" s="16" t="n">
        <f aca="false">nio_f</f>
        <v>0.8</v>
      </c>
      <c r="G205" s="16" t="n">
        <f aca="false">nio_f</f>
        <v>0.8</v>
      </c>
    </row>
    <row r="206" customFormat="false" ht="15" hidden="false" customHeight="false" outlineLevel="0" collapsed="false">
      <c r="A206" s="4" t="s">
        <v>329</v>
      </c>
      <c r="B206" s="0" t="s">
        <v>186</v>
      </c>
      <c r="C206" s="20" t="n">
        <f aca="false">a25_ni</f>
        <v>26.342</v>
      </c>
      <c r="D206" s="20" t="n">
        <f aca="false">a26_ni</f>
        <v>47.8258552</v>
      </c>
      <c r="E206" s="20" t="n">
        <f aca="false">E203*E205</f>
        <v>83.4067293696042</v>
      </c>
      <c r="F206" s="20" t="n">
        <f aca="false">F203*F205</f>
        <v>95.4684387273274</v>
      </c>
      <c r="G206" s="20" t="n">
        <f aca="false">G203*G205</f>
        <v>109.216302828795</v>
      </c>
    </row>
    <row r="207" customFormat="false" ht="15" hidden="false" customHeight="false" outlineLevel="0" collapsed="false">
      <c r="A207" s="4" t="s">
        <v>420</v>
      </c>
      <c r="B207" s="4" t="s">
        <v>211</v>
      </c>
      <c r="C207" s="17" t="n">
        <f aca="false">a25_sh</f>
        <v>0.558922130277955</v>
      </c>
      <c r="D207" s="17" t="n">
        <f aca="false">a26_sh</f>
        <v>0.558904899135447</v>
      </c>
      <c r="E207" s="17" t="n">
        <f aca="false">D207*(1+sh_g27)</f>
        <v>0.568853406340058</v>
      </c>
      <c r="F207" s="17" t="n">
        <f aca="false">E207*(1+sh_g)</f>
        <v>0.568853406340058</v>
      </c>
      <c r="G207" s="17" t="n">
        <f aca="false">F207*(1+sh_g)</f>
        <v>0.568853406340058</v>
      </c>
    </row>
    <row r="208" customFormat="false" ht="15" hidden="false" customHeight="false" outlineLevel="0" collapsed="false">
      <c r="A208" s="0" t="s">
        <v>334</v>
      </c>
      <c r="B208" s="0" t="s">
        <v>244</v>
      </c>
      <c r="C208" s="14" t="n">
        <f aca="false">C206/C207</f>
        <v>47.13</v>
      </c>
      <c r="D208" s="14" t="n">
        <f aca="false">D206/D207</f>
        <v>85.5706494503455</v>
      </c>
      <c r="E208" s="14" t="n">
        <f aca="false">E206/E207</f>
        <v>146.62253656216</v>
      </c>
      <c r="F208" s="14" t="n">
        <f aca="false">F206/F207</f>
        <v>167.82608254306</v>
      </c>
      <c r="G208" s="14" t="n">
        <f aca="false">G206/G207</f>
        <v>191.993757287104</v>
      </c>
    </row>
    <row r="209" customFormat="false" ht="17.15" hidden="false" customHeight="false" outlineLevel="0" collapsed="false">
      <c r="A209" s="0" t="s">
        <v>421</v>
      </c>
      <c r="B209" s="0" t="s">
        <v>103</v>
      </c>
      <c r="D209" s="18" t="n">
        <f aca="false">D208/C208-1</f>
        <v>0.815630160202535</v>
      </c>
      <c r="E209" s="18" t="n">
        <f aca="false">E208/D208-1</f>
        <v>0.713467614234262</v>
      </c>
      <c r="F209" s="18" t="n">
        <f aca="false">F208/E208-1</f>
        <v>0.144613143914006</v>
      </c>
      <c r="G209" s="18" t="n">
        <f aca="false">G208/F208-1</f>
        <v>0.144004283349957</v>
      </c>
    </row>
    <row r="212" customFormat="false" ht="17.15" hidden="false" customHeight="false" outlineLevel="0" collapsed="false">
      <c r="A212" s="1" t="s">
        <v>721</v>
      </c>
    </row>
    <row r="213" customFormat="false" ht="17.15" hidden="false" customHeight="false" outlineLevel="0" collapsed="false">
      <c r="A213" s="5" t="s">
        <v>21</v>
      </c>
      <c r="B213" s="5" t="s">
        <v>22</v>
      </c>
      <c r="C213" s="12" t="s">
        <v>309</v>
      </c>
      <c r="D213" s="12" t="s">
        <v>371</v>
      </c>
      <c r="E213" s="12" t="s">
        <v>372</v>
      </c>
      <c r="F213" s="12" t="s">
        <v>373</v>
      </c>
      <c r="G213" s="12" t="s">
        <v>374</v>
      </c>
      <c r="H213" s="5" t="s">
        <v>350</v>
      </c>
    </row>
    <row r="214" customFormat="false" ht="17.15" hidden="false" customHeight="false" outlineLevel="0" collapsed="false">
      <c r="A214" s="6" t="s">
        <v>389</v>
      </c>
    </row>
    <row r="215" customFormat="false" ht="17.15" hidden="false" customHeight="false" outlineLevel="0" collapsed="false">
      <c r="A215" s="4" t="s">
        <v>390</v>
      </c>
      <c r="B215" s="0" t="s">
        <v>186</v>
      </c>
      <c r="C215" s="20" t="n">
        <f aca="false">a25_rev*nap25s</f>
        <v>156.4416</v>
      </c>
      <c r="D215" s="20" t="n">
        <f aca="false">a26_rev*ns26</f>
        <v>205.3806</v>
      </c>
    </row>
    <row r="216" customFormat="false" ht="17.15" hidden="false" customHeight="false" outlineLevel="0" collapsed="false">
      <c r="A216" s="4" t="s">
        <v>391</v>
      </c>
      <c r="B216" s="0" t="s">
        <v>186</v>
      </c>
      <c r="C216" s="20" t="n">
        <f aca="false">a25_rev*(1-nap25s-sw25s*af25)</f>
        <v>41.22112</v>
      </c>
      <c r="D216" s="20" t="n">
        <f aca="false">C216*(1+g_nai26)</f>
        <v>45.343232</v>
      </c>
    </row>
    <row r="217" customFormat="false" ht="17.15" hidden="false" customHeight="false" outlineLevel="0" collapsed="false">
      <c r="A217" s="0" t="s">
        <v>392</v>
      </c>
      <c r="B217" s="0" t="s">
        <v>186</v>
      </c>
      <c r="C217" s="20" t="n">
        <f aca="false">a25_rev*sw25s*af25</f>
        <v>50.65728</v>
      </c>
      <c r="D217" s="20" t="n">
        <f aca="false">a26_rev-D215-D216</f>
        <v>160.037368</v>
      </c>
      <c r="H217" s="8" t="s">
        <v>393</v>
      </c>
    </row>
    <row r="218" customFormat="false" ht="17.15" hidden="false" customHeight="false" outlineLevel="0" collapsed="false">
      <c r="A218" s="6" t="s">
        <v>394</v>
      </c>
    </row>
    <row r="219" customFormat="false" ht="17.15" hidden="false" customHeight="false" outlineLevel="0" collapsed="false">
      <c r="A219" s="0" t="s">
        <v>395</v>
      </c>
      <c r="B219" s="0" t="s">
        <v>32</v>
      </c>
      <c r="D219" s="14" t="n">
        <f aca="false">mkt_26*1</f>
        <v>32.0719</v>
      </c>
      <c r="E219" s="14" t="n">
        <f aca="false">mkt_27*1*1</f>
        <v>61.085</v>
      </c>
      <c r="F219" s="14" t="n">
        <f aca="false">mkt_28*um28_A*1</f>
        <v>69.005</v>
      </c>
      <c r="G219" s="14" t="n">
        <f aca="false">mkt_29*um29_A*1</f>
        <v>78.48215</v>
      </c>
    </row>
    <row r="220" customFormat="false" ht="15" hidden="false" customHeight="false" outlineLevel="0" collapsed="false">
      <c r="A220" s="4" t="s">
        <v>396</v>
      </c>
      <c r="B220" s="0" t="s">
        <v>103</v>
      </c>
      <c r="D220" s="18" t="n">
        <f aca="false">ETLO_26</f>
        <v>0.7</v>
      </c>
      <c r="E220" s="18" t="n">
        <f aca="false">ETLO_27</f>
        <v>0.72</v>
      </c>
      <c r="F220" s="18" t="n">
        <f aca="false">ETLO_28</f>
        <v>0.74</v>
      </c>
      <c r="G220" s="18" t="n">
        <f aca="false">ETLO_29</f>
        <v>0.75</v>
      </c>
    </row>
    <row r="221" customFormat="false" ht="17.15" hidden="false" customHeight="false" outlineLevel="0" collapsed="false">
      <c r="A221" s="4" t="s">
        <v>397</v>
      </c>
      <c r="B221" s="0" t="s">
        <v>32</v>
      </c>
      <c r="D221" s="14" t="n">
        <f aca="false">su_26*1</f>
        <v>3.015</v>
      </c>
      <c r="E221" s="14" t="n">
        <f aca="false">su_27*1*1</f>
        <v>11.3414</v>
      </c>
      <c r="F221" s="14" t="n">
        <f aca="false">su_28*um28_A*1</f>
        <v>13.8952</v>
      </c>
      <c r="G221" s="14" t="n">
        <f aca="false">su_29*um29_A*1</f>
        <v>15.97948</v>
      </c>
    </row>
    <row r="222" customFormat="false" ht="17.15" hidden="false" customHeight="false" outlineLevel="0" collapsed="false">
      <c r="A222" s="0" t="s">
        <v>398</v>
      </c>
      <c r="B222" s="0" t="s">
        <v>32</v>
      </c>
      <c r="D222" s="14" t="n">
        <f aca="false">D219*D220+D221</f>
        <v>25.46533</v>
      </c>
      <c r="E222" s="14" t="n">
        <f aca="false">E219*E220+E221</f>
        <v>55.3226</v>
      </c>
      <c r="F222" s="14" t="n">
        <f aca="false">F219*F220+F221</f>
        <v>64.9589</v>
      </c>
      <c r="G222" s="14" t="n">
        <f aca="false">G219*G220+G221</f>
        <v>74.8410925</v>
      </c>
    </row>
    <row r="223" customFormat="false" ht="15" hidden="false" customHeight="false" outlineLevel="0" collapsed="false">
      <c r="A223" s="4" t="s">
        <v>355</v>
      </c>
      <c r="B223" s="0" t="s">
        <v>103</v>
      </c>
      <c r="D223" s="18" t="n">
        <f aca="false">wb_26</f>
        <v>0.45</v>
      </c>
      <c r="E223" s="18" t="n">
        <f aca="false">wb_27</f>
        <v>0.47</v>
      </c>
      <c r="F223" s="18" t="n">
        <f aca="false">wb_28</f>
        <v>0.48</v>
      </c>
      <c r="G223" s="18" t="n">
        <f aca="false">wb_29</f>
        <v>0.5</v>
      </c>
    </row>
    <row r="224" customFormat="false" ht="17.15" hidden="false" customHeight="false" outlineLevel="0" collapsed="false">
      <c r="A224" s="4" t="s">
        <v>357</v>
      </c>
      <c r="B224" s="0" t="s">
        <v>32</v>
      </c>
      <c r="D224" s="14" t="n">
        <f aca="false">D222*D223</f>
        <v>11.4593985</v>
      </c>
      <c r="E224" s="14" t="n">
        <f aca="false">E222*E223</f>
        <v>26.001622</v>
      </c>
      <c r="F224" s="14" t="n">
        <f aca="false">F222*F223</f>
        <v>31.180272</v>
      </c>
      <c r="G224" s="14" t="n">
        <f aca="false">G222*G223</f>
        <v>37.42054625</v>
      </c>
    </row>
    <row r="225" customFormat="false" ht="17.15" hidden="false" customHeight="false" outlineLevel="0" collapsed="false">
      <c r="A225" s="4" t="s">
        <v>399</v>
      </c>
      <c r="B225" s="0" t="s">
        <v>103</v>
      </c>
      <c r="D225" s="18" t="n">
        <f aca="false">D217/fx/D224</f>
        <v>0.436424979024859</v>
      </c>
      <c r="H225" s="8" t="s">
        <v>400</v>
      </c>
    </row>
    <row r="226" customFormat="false" ht="17.15" hidden="false" customHeight="false" outlineLevel="0" collapsed="false">
      <c r="A226" s="4" t="s">
        <v>401</v>
      </c>
      <c r="B226" s="0" t="s">
        <v>76</v>
      </c>
      <c r="D226" s="19" t="n">
        <f aca="false">1</f>
        <v>1</v>
      </c>
      <c r="E226" s="19" t="n">
        <f aca="false">rel_27</f>
        <v>1</v>
      </c>
      <c r="F226" s="19" t="n">
        <f aca="false">rel_28</f>
        <v>0.95</v>
      </c>
      <c r="G226" s="19" t="n">
        <f aca="false">rel_29</f>
        <v>0.92</v>
      </c>
    </row>
    <row r="227" customFormat="false" ht="15" hidden="false" customHeight="false" outlineLevel="0" collapsed="false">
      <c r="A227" s="4" t="s">
        <v>402</v>
      </c>
      <c r="B227" s="0" t="s">
        <v>103</v>
      </c>
      <c r="D227" s="18" t="n">
        <f aca="false">$D$225*D226</f>
        <v>0.436424979024859</v>
      </c>
      <c r="E227" s="18" t="n">
        <f aca="false">$D$225*E226</f>
        <v>0.436424979024859</v>
      </c>
      <c r="F227" s="18" t="n">
        <f aca="false">$D$225*F226</f>
        <v>0.414603730073616</v>
      </c>
      <c r="G227" s="18" t="n">
        <f aca="false">$D$225*G226</f>
        <v>0.40151098070287</v>
      </c>
    </row>
    <row r="228" customFormat="false" ht="17.15" hidden="false" customHeight="false" outlineLevel="0" collapsed="false">
      <c r="A228" s="0" t="s">
        <v>403</v>
      </c>
      <c r="B228" s="0" t="s">
        <v>186</v>
      </c>
      <c r="C228" s="20" t="n">
        <f aca="false">C217</f>
        <v>50.65728</v>
      </c>
      <c r="D228" s="20" t="n">
        <f aca="false">D224*D227*fx</f>
        <v>160.037368</v>
      </c>
      <c r="E228" s="20" t="n">
        <f aca="false">E224*E227*fx</f>
        <v>363.128234750794</v>
      </c>
      <c r="F228" s="20" t="n">
        <f aca="false">F224*F227*fx</f>
        <v>413.678626429118</v>
      </c>
      <c r="G228" s="20" t="n">
        <f aca="false">G224*G227*fx</f>
        <v>480.792327144788</v>
      </c>
    </row>
    <row r="229" customFormat="false" ht="17.15" hidden="false" customHeight="false" outlineLevel="0" collapsed="false">
      <c r="A229" s="6" t="s">
        <v>404</v>
      </c>
    </row>
    <row r="230" customFormat="false" ht="17.15" hidden="false" customHeight="false" outlineLevel="0" collapsed="false">
      <c r="A230" s="0" t="s">
        <v>405</v>
      </c>
      <c r="B230" s="4" t="s">
        <v>55</v>
      </c>
      <c r="D230" s="19" t="n">
        <f aca="false">trn_26*1</f>
        <v>2</v>
      </c>
      <c r="E230" s="19" t="n">
        <f aca="false">trn_27*1*1</f>
        <v>2.5</v>
      </c>
      <c r="F230" s="19" t="n">
        <f aca="false">trn_28*um28_A*1</f>
        <v>3</v>
      </c>
      <c r="G230" s="19" t="n">
        <f aca="false">trn_29*um29_A*1</f>
        <v>3.45</v>
      </c>
    </row>
    <row r="231" customFormat="false" ht="17.15" hidden="false" customHeight="false" outlineLevel="0" collapsed="false">
      <c r="A231" s="4" t="s">
        <v>406</v>
      </c>
      <c r="B231" s="4" t="s">
        <v>407</v>
      </c>
      <c r="D231" s="20" t="n">
        <f aca="false">D215/D230</f>
        <v>102.6903</v>
      </c>
      <c r="H231" s="8" t="s">
        <v>408</v>
      </c>
    </row>
    <row r="232" customFormat="false" ht="17.15" hidden="false" customHeight="false" outlineLevel="0" collapsed="false">
      <c r="A232" s="4" t="s">
        <v>409</v>
      </c>
      <c r="B232" s="0" t="s">
        <v>76</v>
      </c>
      <c r="D232" s="19" t="n">
        <f aca="false">1</f>
        <v>1</v>
      </c>
      <c r="E232" s="19" t="n">
        <f aca="false">nrel_27</f>
        <v>0.9</v>
      </c>
      <c r="F232" s="19" t="n">
        <f aca="false">nrel_28</f>
        <v>0.85</v>
      </c>
      <c r="G232" s="19" t="n">
        <f aca="false">nrel_29</f>
        <v>0.8</v>
      </c>
    </row>
    <row r="233" customFormat="false" ht="15" hidden="false" customHeight="false" outlineLevel="0" collapsed="false">
      <c r="A233" s="4" t="s">
        <v>410</v>
      </c>
      <c r="B233" s="0" t="s">
        <v>186</v>
      </c>
      <c r="C233" s="20" t="n">
        <f aca="false">C215</f>
        <v>156.4416</v>
      </c>
      <c r="D233" s="20" t="n">
        <f aca="false">D230*$D$231*D232</f>
        <v>205.3806</v>
      </c>
      <c r="E233" s="20" t="n">
        <f aca="false">E230*$D$231*E232</f>
        <v>231.053175</v>
      </c>
      <c r="F233" s="20" t="n">
        <f aca="false">F230*$D$231*F232</f>
        <v>261.860265</v>
      </c>
      <c r="G233" s="20" t="n">
        <f aca="false">G230*$D$231*G232</f>
        <v>283.425228</v>
      </c>
    </row>
    <row r="234" customFormat="false" ht="17.15" hidden="false" customHeight="false" outlineLevel="0" collapsed="false">
      <c r="A234" s="6" t="s">
        <v>411</v>
      </c>
    </row>
    <row r="235" customFormat="false" ht="17.15" hidden="false" customHeight="false" outlineLevel="0" collapsed="false">
      <c r="A235" s="4" t="s">
        <v>412</v>
      </c>
      <c r="B235" s="0" t="s">
        <v>186</v>
      </c>
      <c r="C235" s="20" t="n">
        <f aca="false">C216</f>
        <v>41.22112</v>
      </c>
      <c r="D235" s="20" t="n">
        <f aca="false">D216</f>
        <v>45.343232</v>
      </c>
      <c r="E235" s="20" t="n">
        <f aca="false">D235*(1+g_nai27)</f>
        <v>48.06382592</v>
      </c>
      <c r="F235" s="20" t="n">
        <f aca="false">E235*(1+g_nai28)</f>
        <v>50.467017216</v>
      </c>
      <c r="G235" s="20" t="n">
        <f aca="false">F235*(1+g_nai29)</f>
        <v>52.9903680768</v>
      </c>
    </row>
    <row r="236" customFormat="false" ht="15" hidden="false" customHeight="false" outlineLevel="0" collapsed="false">
      <c r="A236" s="4" t="s">
        <v>316</v>
      </c>
      <c r="B236" s="0" t="s">
        <v>186</v>
      </c>
      <c r="C236" s="20" t="n">
        <f aca="false">C228+C233+C235</f>
        <v>248.32</v>
      </c>
      <c r="D236" s="20" t="n">
        <f aca="false">D228+D233+D235</f>
        <v>410.7612</v>
      </c>
      <c r="E236" s="20" t="n">
        <f aca="false">E228+E233+E235</f>
        <v>642.245235670794</v>
      </c>
      <c r="F236" s="20" t="n">
        <f aca="false">F228+F233+F235</f>
        <v>726.005908645118</v>
      </c>
      <c r="G236" s="20" t="n">
        <f aca="false">G228+G233+G235</f>
        <v>817.207923221588</v>
      </c>
    </row>
    <row r="237" customFormat="false" ht="15" hidden="false" customHeight="false" outlineLevel="0" collapsed="false">
      <c r="A237" s="4" t="s">
        <v>413</v>
      </c>
      <c r="B237" s="0" t="s">
        <v>103</v>
      </c>
      <c r="D237" s="18" t="n">
        <f aca="false">D236/C236-1</f>
        <v>0.654160760309279</v>
      </c>
      <c r="E237" s="18" t="n">
        <f aca="false">E236/D236-1</f>
        <v>0.563548932252594</v>
      </c>
      <c r="F237" s="18" t="n">
        <f aca="false">F236/E236-1</f>
        <v>0.130418519783708</v>
      </c>
      <c r="G237" s="18" t="n">
        <f aca="false">G236/F236-1</f>
        <v>0.12562158722189</v>
      </c>
    </row>
    <row r="238" customFormat="false" ht="17.15" hidden="false" customHeight="false" outlineLevel="0" collapsed="false">
      <c r="A238" s="0" t="s">
        <v>414</v>
      </c>
      <c r="B238" s="0" t="s">
        <v>103</v>
      </c>
      <c r="C238" s="18" t="n">
        <f aca="false">(C228+C233)/C236</f>
        <v>0.834</v>
      </c>
      <c r="D238" s="18" t="n">
        <f aca="false">(D228+D233)/D236</f>
        <v>0.889611696528299</v>
      </c>
      <c r="E238" s="18" t="n">
        <f aca="false">(E228+E233)/E236</f>
        <v>0.925162814372925</v>
      </c>
      <c r="F238" s="18" t="n">
        <f aca="false">(F228+F233)/F236</f>
        <v>0.930486767924269</v>
      </c>
      <c r="G238" s="18" t="n">
        <f aca="false">(G228+G233)/G236</f>
        <v>0.935156810683012</v>
      </c>
    </row>
    <row r="239" customFormat="false" ht="17.15" hidden="false" customHeight="false" outlineLevel="0" collapsed="false">
      <c r="A239" s="4" t="s">
        <v>415</v>
      </c>
      <c r="B239" s="0" t="s">
        <v>103</v>
      </c>
      <c r="C239" s="18" t="n">
        <f aca="false">C233/C236</f>
        <v>0.63</v>
      </c>
      <c r="D239" s="18" t="n">
        <f aca="false">D233/D236</f>
        <v>0.5</v>
      </c>
      <c r="E239" s="18" t="n">
        <f aca="false">E233/E236</f>
        <v>0.359758488139933</v>
      </c>
      <c r="F239" s="18" t="n">
        <f aca="false">F233/F236</f>
        <v>0.360686134757067</v>
      </c>
      <c r="G239" s="18" t="n">
        <f aca="false">G233/G236</f>
        <v>0.346821439129817</v>
      </c>
    </row>
    <row r="240" customFormat="false" ht="17.15" hidden="false" customHeight="false" outlineLevel="0" collapsed="false">
      <c r="A240" s="6" t="s">
        <v>416</v>
      </c>
    </row>
    <row r="241" customFormat="false" ht="17.15" hidden="false" customHeight="false" outlineLevel="0" collapsed="false">
      <c r="A241" s="4" t="s">
        <v>417</v>
      </c>
      <c r="B241" s="0" t="s">
        <v>103</v>
      </c>
      <c r="D241" s="15" t="n">
        <f aca="false">a26_gp/a26_rev+d_nap*D239</f>
        <v>0.219589247962076</v>
      </c>
      <c r="H241" s="8" t="s">
        <v>418</v>
      </c>
    </row>
    <row r="242" customFormat="false" ht="15" hidden="false" customHeight="false" outlineLevel="0" collapsed="false">
      <c r="A242" s="4" t="s">
        <v>320</v>
      </c>
      <c r="B242" s="0" t="s">
        <v>186</v>
      </c>
      <c r="C242" s="20" t="n">
        <f aca="false">a25_gp</f>
        <v>44.921088</v>
      </c>
      <c r="D242" s="20" t="n">
        <f aca="false">a26_gp</f>
        <v>77.875907</v>
      </c>
      <c r="E242" s="20" t="n">
        <f aca="false">$D$241*(E228+E235)+($D$241-d_nap)*E233</f>
        <v>127.166957808176</v>
      </c>
      <c r="F242" s="20" t="n">
        <f aca="false">$D$241*(F228+F235)+($D$241-d_nap)*F233</f>
        <v>143.711475595405</v>
      </c>
      <c r="G242" s="20" t="n">
        <f aca="false">$D$241*(G228+G235)+($D$241-d_nap)*G233</f>
        <v>162.444559608879</v>
      </c>
    </row>
    <row r="243" customFormat="false" ht="15" hidden="false" customHeight="false" outlineLevel="0" collapsed="false">
      <c r="A243" s="4" t="s">
        <v>322</v>
      </c>
      <c r="B243" s="0" t="s">
        <v>103</v>
      </c>
      <c r="C243" s="15" t="n">
        <f aca="false">C242/C236</f>
        <v>0.1809</v>
      </c>
      <c r="D243" s="15" t="n">
        <f aca="false">D242/D236</f>
        <v>0.189589247962076</v>
      </c>
      <c r="E243" s="15" t="n">
        <f aca="false">E242/E236</f>
        <v>0.19800373867368</v>
      </c>
      <c r="F243" s="15" t="n">
        <f aca="false">F242/F236</f>
        <v>0.197948079876652</v>
      </c>
      <c r="G243" s="15" t="n">
        <f aca="false">G242/G236</f>
        <v>0.198779961614287</v>
      </c>
    </row>
    <row r="244" customFormat="false" ht="15" hidden="false" customHeight="false" outlineLevel="0" collapsed="false">
      <c r="A244" s="4" t="s">
        <v>419</v>
      </c>
      <c r="B244" s="0" t="s">
        <v>186</v>
      </c>
      <c r="C244" s="20" t="n">
        <f aca="false">a25_opx</f>
        <v>12.78848</v>
      </c>
      <c r="D244" s="20" t="n">
        <f aca="false">a26_opx</f>
        <v>17.956088</v>
      </c>
      <c r="E244" s="20" t="n">
        <f aca="false">D244*(1+MAX(0,phi*E237))</f>
        <v>24.0275685319002</v>
      </c>
      <c r="F244" s="20" t="n">
        <f aca="false">E244*(1+MAX(0,phi*F237))</f>
        <v>25.9077524850594</v>
      </c>
      <c r="G244" s="20" t="n">
        <f aca="false">F244*(1+MAX(0,phi*G237))</f>
        <v>27.8604962781744</v>
      </c>
    </row>
    <row r="245" customFormat="false" ht="15" hidden="false" customHeight="false" outlineLevel="0" collapsed="false">
      <c r="A245" s="4" t="s">
        <v>324</v>
      </c>
      <c r="B245" s="0" t="s">
        <v>186</v>
      </c>
      <c r="C245" s="20" t="n">
        <f aca="false">C244</f>
        <v>12.78848</v>
      </c>
      <c r="D245" s="20" t="n">
        <f aca="false">D244</f>
        <v>17.956088</v>
      </c>
      <c r="E245" s="20" t="n">
        <f aca="false">E244+0*E236</f>
        <v>24.0275685319002</v>
      </c>
      <c r="F245" s="20" t="n">
        <f aca="false">F244+0*F236</f>
        <v>25.9077524850594</v>
      </c>
      <c r="G245" s="20" t="n">
        <f aca="false">G244+0*G236</f>
        <v>27.8604962781744</v>
      </c>
    </row>
    <row r="246" customFormat="false" ht="15" hidden="false" customHeight="false" outlineLevel="0" collapsed="false">
      <c r="A246" s="4" t="s">
        <v>326</v>
      </c>
      <c r="B246" s="0" t="s">
        <v>186</v>
      </c>
      <c r="C246" s="20" t="n">
        <f aca="false">C242-C245</f>
        <v>32.132608</v>
      </c>
      <c r="D246" s="20" t="n">
        <f aca="false">D242-D245</f>
        <v>59.919819</v>
      </c>
      <c r="E246" s="20" t="n">
        <f aca="false">E242-E245</f>
        <v>103.139389276276</v>
      </c>
      <c r="F246" s="20" t="n">
        <f aca="false">F242-F245</f>
        <v>117.803723110346</v>
      </c>
      <c r="G246" s="20" t="n">
        <f aca="false">G242-G245</f>
        <v>134.584063330704</v>
      </c>
    </row>
    <row r="247" customFormat="false" ht="15" hidden="false" customHeight="false" outlineLevel="0" collapsed="false">
      <c r="A247" s="4" t="s">
        <v>328</v>
      </c>
      <c r="B247" s="0" t="s">
        <v>103</v>
      </c>
      <c r="C247" s="15" t="n">
        <f aca="false">C246/C236</f>
        <v>0.1294</v>
      </c>
      <c r="D247" s="15" t="n">
        <f aca="false">D246/D236</f>
        <v>0.145875070478906</v>
      </c>
      <c r="E247" s="15" t="n">
        <f aca="false">E246/E236</f>
        <v>0.160591910298177</v>
      </c>
      <c r="F247" s="15" t="n">
        <f aca="false">F246/F236</f>
        <v>0.162262760822695</v>
      </c>
      <c r="G247" s="15" t="n">
        <f aca="false">G246/G236</f>
        <v>0.164687663330708</v>
      </c>
    </row>
    <row r="248" customFormat="false" ht="17.15" hidden="false" customHeight="false" outlineLevel="0" collapsed="false">
      <c r="A248" s="4" t="s">
        <v>224</v>
      </c>
      <c r="B248" s="0" t="s">
        <v>76</v>
      </c>
      <c r="C248" s="16" t="n">
        <f aca="false">a25_ni/a25_oi</f>
        <v>0.819790289042209</v>
      </c>
      <c r="D248" s="16" t="n">
        <f aca="false">a26_ni/a26_oi</f>
        <v>0.798164213413262</v>
      </c>
      <c r="E248" s="16" t="n">
        <f aca="false">nio_f</f>
        <v>0.8</v>
      </c>
      <c r="F248" s="16" t="n">
        <f aca="false">nio_f</f>
        <v>0.8</v>
      </c>
      <c r="G248" s="16" t="n">
        <f aca="false">nio_f</f>
        <v>0.8</v>
      </c>
    </row>
    <row r="249" customFormat="false" ht="15" hidden="false" customHeight="false" outlineLevel="0" collapsed="false">
      <c r="A249" s="4" t="s">
        <v>329</v>
      </c>
      <c r="B249" s="0" t="s">
        <v>186</v>
      </c>
      <c r="C249" s="20" t="n">
        <f aca="false">a25_ni</f>
        <v>26.342</v>
      </c>
      <c r="D249" s="20" t="n">
        <f aca="false">a26_ni</f>
        <v>47.8258552</v>
      </c>
      <c r="E249" s="20" t="n">
        <f aca="false">E246*E248</f>
        <v>82.5115114210207</v>
      </c>
      <c r="F249" s="20" t="n">
        <f aca="false">F246*F248</f>
        <v>94.2429784882767</v>
      </c>
      <c r="G249" s="20" t="n">
        <f aca="false">G246*G248</f>
        <v>107.667250664563</v>
      </c>
    </row>
    <row r="250" customFormat="false" ht="15" hidden="false" customHeight="false" outlineLevel="0" collapsed="false">
      <c r="A250" s="4" t="s">
        <v>420</v>
      </c>
      <c r="B250" s="4" t="s">
        <v>211</v>
      </c>
      <c r="C250" s="17" t="n">
        <f aca="false">a25_sh</f>
        <v>0.558922130277955</v>
      </c>
      <c r="D250" s="17" t="n">
        <f aca="false">a26_sh</f>
        <v>0.558904899135447</v>
      </c>
      <c r="E250" s="17" t="n">
        <f aca="false">D250*(1+sh_g27)</f>
        <v>0.568853406340058</v>
      </c>
      <c r="F250" s="17" t="n">
        <f aca="false">E250*(1+sh_g)</f>
        <v>0.568853406340058</v>
      </c>
      <c r="G250" s="17" t="n">
        <f aca="false">F250*(1+sh_g)</f>
        <v>0.568853406340058</v>
      </c>
    </row>
    <row r="251" customFormat="false" ht="15" hidden="false" customHeight="false" outlineLevel="0" collapsed="false">
      <c r="A251" s="0" t="s">
        <v>334</v>
      </c>
      <c r="B251" s="0" t="s">
        <v>244</v>
      </c>
      <c r="C251" s="14" t="n">
        <f aca="false">C249/C250</f>
        <v>47.13</v>
      </c>
      <c r="D251" s="14" t="n">
        <f aca="false">D249/D250</f>
        <v>85.5706494503455</v>
      </c>
      <c r="E251" s="14" t="n">
        <f aca="false">E249/E250</f>
        <v>145.048813106159</v>
      </c>
      <c r="F251" s="14" t="n">
        <f aca="false">F249/F250</f>
        <v>165.671818851584</v>
      </c>
      <c r="G251" s="14" t="n">
        <f aca="false">G249/G250</f>
        <v>189.270644184559</v>
      </c>
    </row>
    <row r="252" customFormat="false" ht="17.15" hidden="false" customHeight="false" outlineLevel="0" collapsed="false">
      <c r="A252" s="0" t="s">
        <v>421</v>
      </c>
      <c r="B252" s="0" t="s">
        <v>103</v>
      </c>
      <c r="D252" s="18" t="n">
        <f aca="false">D251/C251-1</f>
        <v>0.815630160202535</v>
      </c>
      <c r="E252" s="18" t="n">
        <f aca="false">E251/D251-1</f>
        <v>0.695076688535908</v>
      </c>
      <c r="F252" s="18" t="n">
        <f aca="false">F251/E251-1</f>
        <v>0.142179762135192</v>
      </c>
      <c r="G252" s="18" t="n">
        <f aca="false">G251/F251-1</f>
        <v>0.142443207882661</v>
      </c>
    </row>
    <row r="255" customFormat="false" ht="17.15" hidden="false" customHeight="false" outlineLevel="0" collapsed="false">
      <c r="A255" s="1" t="s">
        <v>722</v>
      </c>
    </row>
    <row r="256" customFormat="false" ht="17.15" hidden="false" customHeight="false" outlineLevel="0" collapsed="false">
      <c r="A256" s="5" t="s">
        <v>21</v>
      </c>
      <c r="B256" s="5" t="s">
        <v>22</v>
      </c>
      <c r="C256" s="12" t="s">
        <v>309</v>
      </c>
      <c r="D256" s="12" t="s">
        <v>371</v>
      </c>
      <c r="E256" s="12" t="s">
        <v>372</v>
      </c>
      <c r="F256" s="12" t="s">
        <v>373</v>
      </c>
      <c r="G256" s="12" t="s">
        <v>374</v>
      </c>
      <c r="H256" s="5" t="s">
        <v>350</v>
      </c>
    </row>
    <row r="257" customFormat="false" ht="17.15" hidden="false" customHeight="false" outlineLevel="0" collapsed="false">
      <c r="A257" s="6" t="s">
        <v>389</v>
      </c>
    </row>
    <row r="258" customFormat="false" ht="17.15" hidden="false" customHeight="false" outlineLevel="0" collapsed="false">
      <c r="A258" s="4" t="s">
        <v>390</v>
      </c>
      <c r="B258" s="0" t="s">
        <v>186</v>
      </c>
      <c r="C258" s="20" t="n">
        <f aca="false">a25_rev*nap25s</f>
        <v>156.4416</v>
      </c>
      <c r="D258" s="20" t="n">
        <f aca="false">a26_rev*ns26</f>
        <v>205.3806</v>
      </c>
    </row>
    <row r="259" customFormat="false" ht="17.15" hidden="false" customHeight="false" outlineLevel="0" collapsed="false">
      <c r="A259" s="4" t="s">
        <v>391</v>
      </c>
      <c r="B259" s="0" t="s">
        <v>186</v>
      </c>
      <c r="C259" s="20" t="n">
        <f aca="false">a25_rev*(1-nap25s-sw25s*af25)</f>
        <v>41.22112</v>
      </c>
      <c r="D259" s="20" t="n">
        <f aca="false">C259*(1+g_nai26)</f>
        <v>45.343232</v>
      </c>
    </row>
    <row r="260" customFormat="false" ht="17.15" hidden="false" customHeight="false" outlineLevel="0" collapsed="false">
      <c r="A260" s="0" t="s">
        <v>392</v>
      </c>
      <c r="B260" s="0" t="s">
        <v>186</v>
      </c>
      <c r="C260" s="20" t="n">
        <f aca="false">a25_rev*sw25s*af25</f>
        <v>50.65728</v>
      </c>
      <c r="D260" s="20" t="n">
        <f aca="false">a26_rev-D258-D259</f>
        <v>160.037368</v>
      </c>
      <c r="H260" s="8" t="s">
        <v>393</v>
      </c>
    </row>
    <row r="261" customFormat="false" ht="17.15" hidden="false" customHeight="false" outlineLevel="0" collapsed="false">
      <c r="A261" s="6" t="s">
        <v>394</v>
      </c>
    </row>
    <row r="262" customFormat="false" ht="17.15" hidden="false" customHeight="false" outlineLevel="0" collapsed="false">
      <c r="A262" s="0" t="s">
        <v>395</v>
      </c>
      <c r="B262" s="0" t="s">
        <v>32</v>
      </c>
      <c r="D262" s="14" t="n">
        <f aca="false">mkt_26*1</f>
        <v>32.0719</v>
      </c>
      <c r="E262" s="14" t="n">
        <f aca="false">mkt_27*1*1</f>
        <v>61.085</v>
      </c>
      <c r="F262" s="14" t="n">
        <f aca="false">mkt_28*um28_A*1</f>
        <v>69.005</v>
      </c>
      <c r="G262" s="14" t="n">
        <f aca="false">mkt_29*um29_A*1</f>
        <v>78.48215</v>
      </c>
    </row>
    <row r="263" customFormat="false" ht="15" hidden="false" customHeight="false" outlineLevel="0" collapsed="false">
      <c r="A263" s="4" t="s">
        <v>396</v>
      </c>
      <c r="B263" s="0" t="s">
        <v>103</v>
      </c>
      <c r="D263" s="18" t="n">
        <f aca="false">ETHI_26</f>
        <v>0.8</v>
      </c>
      <c r="E263" s="18" t="n">
        <f aca="false">ETHI_27</f>
        <v>0.88</v>
      </c>
      <c r="F263" s="18" t="n">
        <f aca="false">ETHI_28</f>
        <v>0.9</v>
      </c>
      <c r="G263" s="18" t="n">
        <f aca="false">ETHI_29</f>
        <v>0.92</v>
      </c>
    </row>
    <row r="264" customFormat="false" ht="17.15" hidden="false" customHeight="false" outlineLevel="0" collapsed="false">
      <c r="A264" s="4" t="s">
        <v>397</v>
      </c>
      <c r="B264" s="0" t="s">
        <v>32</v>
      </c>
      <c r="D264" s="14" t="n">
        <f aca="false">su_26*1</f>
        <v>3.015</v>
      </c>
      <c r="E264" s="14" t="n">
        <f aca="false">su_27*1*1</f>
        <v>11.3414</v>
      </c>
      <c r="F264" s="14" t="n">
        <f aca="false">su_28*um28_A*1</f>
        <v>13.8952</v>
      </c>
      <c r="G264" s="14" t="n">
        <f aca="false">su_29*um29_A*1</f>
        <v>15.97948</v>
      </c>
    </row>
    <row r="265" customFormat="false" ht="17.15" hidden="false" customHeight="false" outlineLevel="0" collapsed="false">
      <c r="A265" s="0" t="s">
        <v>398</v>
      </c>
      <c r="B265" s="0" t="s">
        <v>32</v>
      </c>
      <c r="D265" s="14" t="n">
        <f aca="false">D262*D263+D264</f>
        <v>28.67252</v>
      </c>
      <c r="E265" s="14" t="n">
        <f aca="false">E262*E263+E264</f>
        <v>65.0962</v>
      </c>
      <c r="F265" s="14" t="n">
        <f aca="false">F262*F263+F264</f>
        <v>75.9997</v>
      </c>
      <c r="G265" s="14" t="n">
        <f aca="false">G262*G263+G264</f>
        <v>88.183058</v>
      </c>
    </row>
    <row r="266" customFormat="false" ht="15" hidden="false" customHeight="false" outlineLevel="0" collapsed="false">
      <c r="A266" s="4" t="s">
        <v>355</v>
      </c>
      <c r="B266" s="0" t="s">
        <v>103</v>
      </c>
      <c r="D266" s="18" t="n">
        <f aca="false">wb_26</f>
        <v>0.45</v>
      </c>
      <c r="E266" s="18" t="n">
        <f aca="false">wb_27</f>
        <v>0.47</v>
      </c>
      <c r="F266" s="18" t="n">
        <f aca="false">wb_28</f>
        <v>0.48</v>
      </c>
      <c r="G266" s="18" t="n">
        <f aca="false">wb_29</f>
        <v>0.5</v>
      </c>
    </row>
    <row r="267" customFormat="false" ht="17.15" hidden="false" customHeight="false" outlineLevel="0" collapsed="false">
      <c r="A267" s="4" t="s">
        <v>357</v>
      </c>
      <c r="B267" s="0" t="s">
        <v>32</v>
      </c>
      <c r="D267" s="14" t="n">
        <f aca="false">D265*D266</f>
        <v>12.902634</v>
      </c>
      <c r="E267" s="14" t="n">
        <f aca="false">E265*E266</f>
        <v>30.595214</v>
      </c>
      <c r="F267" s="14" t="n">
        <f aca="false">F265*F266</f>
        <v>36.479856</v>
      </c>
      <c r="G267" s="14" t="n">
        <f aca="false">G265*G266</f>
        <v>44.091529</v>
      </c>
    </row>
    <row r="268" customFormat="false" ht="17.15" hidden="false" customHeight="false" outlineLevel="0" collapsed="false">
      <c r="A268" s="4" t="s">
        <v>399</v>
      </c>
      <c r="B268" s="0" t="s">
        <v>103</v>
      </c>
      <c r="D268" s="18" t="n">
        <f aca="false">D260/fx/D267</f>
        <v>0.387608278278683</v>
      </c>
      <c r="H268" s="8" t="s">
        <v>400</v>
      </c>
    </row>
    <row r="269" customFormat="false" ht="17.15" hidden="false" customHeight="false" outlineLevel="0" collapsed="false">
      <c r="A269" s="4" t="s">
        <v>401</v>
      </c>
      <c r="B269" s="0" t="s">
        <v>76</v>
      </c>
      <c r="D269" s="19" t="n">
        <f aca="false">1</f>
        <v>1</v>
      </c>
      <c r="E269" s="19" t="n">
        <f aca="false">rel_27</f>
        <v>1</v>
      </c>
      <c r="F269" s="19" t="n">
        <f aca="false">rel_28</f>
        <v>0.95</v>
      </c>
      <c r="G269" s="19" t="n">
        <f aca="false">rel_29</f>
        <v>0.92</v>
      </c>
    </row>
    <row r="270" customFormat="false" ht="15" hidden="false" customHeight="false" outlineLevel="0" collapsed="false">
      <c r="A270" s="4" t="s">
        <v>402</v>
      </c>
      <c r="B270" s="0" t="s">
        <v>103</v>
      </c>
      <c r="D270" s="18" t="n">
        <f aca="false">$D$268*D269</f>
        <v>0.387608278278683</v>
      </c>
      <c r="E270" s="18" t="n">
        <f aca="false">$D$268*E269</f>
        <v>0.387608278278683</v>
      </c>
      <c r="F270" s="18" t="n">
        <f aca="false">$D$268*F269</f>
        <v>0.368227864364749</v>
      </c>
      <c r="G270" s="18" t="n">
        <f aca="false">$D$268*G269</f>
        <v>0.356599616016389</v>
      </c>
    </row>
    <row r="271" customFormat="false" ht="17.15" hidden="false" customHeight="false" outlineLevel="0" collapsed="false">
      <c r="A271" s="0" t="s">
        <v>403</v>
      </c>
      <c r="B271" s="0" t="s">
        <v>186</v>
      </c>
      <c r="C271" s="20" t="n">
        <f aca="false">C260</f>
        <v>50.65728</v>
      </c>
      <c r="D271" s="20" t="n">
        <f aca="false">D267*D270*fx</f>
        <v>160.037368</v>
      </c>
      <c r="E271" s="20" t="n">
        <f aca="false">E267*E270*fx</f>
        <v>379.486663107452</v>
      </c>
      <c r="F271" s="20" t="n">
        <f aca="false">F267*F270*fx</f>
        <v>429.852782950834</v>
      </c>
      <c r="G271" s="20" t="n">
        <f aca="false">G267*G270*fx</f>
        <v>503.136713951215</v>
      </c>
    </row>
    <row r="272" customFormat="false" ht="17.15" hidden="false" customHeight="false" outlineLevel="0" collapsed="false">
      <c r="A272" s="6" t="s">
        <v>404</v>
      </c>
    </row>
    <row r="273" customFormat="false" ht="17.15" hidden="false" customHeight="false" outlineLevel="0" collapsed="false">
      <c r="A273" s="0" t="s">
        <v>405</v>
      </c>
      <c r="B273" s="4" t="s">
        <v>55</v>
      </c>
      <c r="D273" s="19" t="n">
        <f aca="false">trn_26*1</f>
        <v>2</v>
      </c>
      <c r="E273" s="19" t="n">
        <f aca="false">trn_27*1*1</f>
        <v>2.5</v>
      </c>
      <c r="F273" s="19" t="n">
        <f aca="false">trn_28*um28_A*1</f>
        <v>3</v>
      </c>
      <c r="G273" s="19" t="n">
        <f aca="false">trn_29*um29_A*1</f>
        <v>3.45</v>
      </c>
    </row>
    <row r="274" customFormat="false" ht="17.15" hidden="false" customHeight="false" outlineLevel="0" collapsed="false">
      <c r="A274" s="4" t="s">
        <v>406</v>
      </c>
      <c r="B274" s="4" t="s">
        <v>407</v>
      </c>
      <c r="D274" s="20" t="n">
        <f aca="false">D258/D273</f>
        <v>102.6903</v>
      </c>
      <c r="H274" s="8" t="s">
        <v>408</v>
      </c>
    </row>
    <row r="275" customFormat="false" ht="17.15" hidden="false" customHeight="false" outlineLevel="0" collapsed="false">
      <c r="A275" s="4" t="s">
        <v>409</v>
      </c>
      <c r="B275" s="0" t="s">
        <v>76</v>
      </c>
      <c r="D275" s="19" t="n">
        <f aca="false">1</f>
        <v>1</v>
      </c>
      <c r="E275" s="19" t="n">
        <f aca="false">nrel_27</f>
        <v>0.9</v>
      </c>
      <c r="F275" s="19" t="n">
        <f aca="false">nrel_28</f>
        <v>0.85</v>
      </c>
      <c r="G275" s="19" t="n">
        <f aca="false">nrel_29</f>
        <v>0.8</v>
      </c>
    </row>
    <row r="276" customFormat="false" ht="15" hidden="false" customHeight="false" outlineLevel="0" collapsed="false">
      <c r="A276" s="4" t="s">
        <v>410</v>
      </c>
      <c r="B276" s="0" t="s">
        <v>186</v>
      </c>
      <c r="C276" s="20" t="n">
        <f aca="false">C258</f>
        <v>156.4416</v>
      </c>
      <c r="D276" s="20" t="n">
        <f aca="false">D273*$D$274*D275</f>
        <v>205.3806</v>
      </c>
      <c r="E276" s="20" t="n">
        <f aca="false">E273*$D$274*E275</f>
        <v>231.053175</v>
      </c>
      <c r="F276" s="20" t="n">
        <f aca="false">F273*$D$274*F275</f>
        <v>261.860265</v>
      </c>
      <c r="G276" s="20" t="n">
        <f aca="false">G273*$D$274*G275</f>
        <v>283.425228</v>
      </c>
    </row>
    <row r="277" customFormat="false" ht="17.15" hidden="false" customHeight="false" outlineLevel="0" collapsed="false">
      <c r="A277" s="6" t="s">
        <v>411</v>
      </c>
    </row>
    <row r="278" customFormat="false" ht="17.15" hidden="false" customHeight="false" outlineLevel="0" collapsed="false">
      <c r="A278" s="4" t="s">
        <v>412</v>
      </c>
      <c r="B278" s="0" t="s">
        <v>186</v>
      </c>
      <c r="C278" s="20" t="n">
        <f aca="false">C259</f>
        <v>41.22112</v>
      </c>
      <c r="D278" s="20" t="n">
        <f aca="false">D259</f>
        <v>45.343232</v>
      </c>
      <c r="E278" s="20" t="n">
        <f aca="false">D278*(1+g_nai27)</f>
        <v>48.06382592</v>
      </c>
      <c r="F278" s="20" t="n">
        <f aca="false">E278*(1+g_nai28)</f>
        <v>50.467017216</v>
      </c>
      <c r="G278" s="20" t="n">
        <f aca="false">F278*(1+g_nai29)</f>
        <v>52.9903680768</v>
      </c>
    </row>
    <row r="279" customFormat="false" ht="15" hidden="false" customHeight="false" outlineLevel="0" collapsed="false">
      <c r="A279" s="4" t="s">
        <v>316</v>
      </c>
      <c r="B279" s="0" t="s">
        <v>186</v>
      </c>
      <c r="C279" s="20" t="n">
        <f aca="false">C271+C276+C278</f>
        <v>248.32</v>
      </c>
      <c r="D279" s="20" t="n">
        <f aca="false">D271+D276+D278</f>
        <v>410.7612</v>
      </c>
      <c r="E279" s="20" t="n">
        <f aca="false">E271+E276+E278</f>
        <v>658.603664027452</v>
      </c>
      <c r="F279" s="20" t="n">
        <f aca="false">F271+F276+F278</f>
        <v>742.180065166834</v>
      </c>
      <c r="G279" s="20" t="n">
        <f aca="false">G271+G276+G278</f>
        <v>839.552310028015</v>
      </c>
    </row>
    <row r="280" customFormat="false" ht="15" hidden="false" customHeight="false" outlineLevel="0" collapsed="false">
      <c r="A280" s="4" t="s">
        <v>413</v>
      </c>
      <c r="B280" s="0" t="s">
        <v>103</v>
      </c>
      <c r="D280" s="18" t="n">
        <f aca="false">D279/C279-1</f>
        <v>0.654160760309279</v>
      </c>
      <c r="E280" s="18" t="n">
        <f aca="false">E279/D279-1</f>
        <v>0.603373600105004</v>
      </c>
      <c r="F280" s="18" t="n">
        <f aca="false">F279/E279-1</f>
        <v>0.126899386845651</v>
      </c>
      <c r="G280" s="18" t="n">
        <f aca="false">G279/F279-1</f>
        <v>0.131197602079614</v>
      </c>
    </row>
    <row r="281" customFormat="false" ht="17.15" hidden="false" customHeight="false" outlineLevel="0" collapsed="false">
      <c r="A281" s="0" t="s">
        <v>414</v>
      </c>
      <c r="B281" s="0" t="s">
        <v>103</v>
      </c>
      <c r="C281" s="18" t="n">
        <f aca="false">(C271+C276)/C279</f>
        <v>0.834</v>
      </c>
      <c r="D281" s="18" t="n">
        <f aca="false">(D271+D276)/D279</f>
        <v>0.889611696528299</v>
      </c>
      <c r="E281" s="18" t="n">
        <f aca="false">(E271+E276)/E279</f>
        <v>0.927021623860877</v>
      </c>
      <c r="F281" s="18" t="n">
        <f aca="false">(F271+F276)/F279</f>
        <v>0.932001653527765</v>
      </c>
      <c r="G281" s="18" t="n">
        <f aca="false">(G271+G276)/G279</f>
        <v>0.936882589156319</v>
      </c>
    </row>
    <row r="282" customFormat="false" ht="17.15" hidden="false" customHeight="false" outlineLevel="0" collapsed="false">
      <c r="A282" s="4" t="s">
        <v>415</v>
      </c>
      <c r="B282" s="0" t="s">
        <v>103</v>
      </c>
      <c r="C282" s="18" t="n">
        <f aca="false">C276/C279</f>
        <v>0.63</v>
      </c>
      <c r="D282" s="18" t="n">
        <f aca="false">D276/D279</f>
        <v>0.5</v>
      </c>
      <c r="E282" s="18" t="n">
        <f aca="false">E276/E279</f>
        <v>0.350822790124</v>
      </c>
      <c r="F282" s="18" t="n">
        <f aca="false">F276/F279</f>
        <v>0.35282578620747</v>
      </c>
      <c r="G282" s="18" t="n">
        <f aca="false">G276/G279</f>
        <v>0.337590909601026</v>
      </c>
    </row>
    <row r="283" customFormat="false" ht="17.15" hidden="false" customHeight="false" outlineLevel="0" collapsed="false">
      <c r="A283" s="6" t="s">
        <v>416</v>
      </c>
    </row>
    <row r="284" customFormat="false" ht="17.15" hidden="false" customHeight="false" outlineLevel="0" collapsed="false">
      <c r="A284" s="4" t="s">
        <v>417</v>
      </c>
      <c r="B284" s="0" t="s">
        <v>103</v>
      </c>
      <c r="D284" s="15" t="n">
        <f aca="false">a26_gp/a26_rev+d_nap*D282</f>
        <v>0.219589247962076</v>
      </c>
      <c r="H284" s="8" t="s">
        <v>418</v>
      </c>
    </row>
    <row r="285" customFormat="false" ht="15" hidden="false" customHeight="false" outlineLevel="0" collapsed="false">
      <c r="A285" s="4" t="s">
        <v>320</v>
      </c>
      <c r="B285" s="0" t="s">
        <v>186</v>
      </c>
      <c r="C285" s="20" t="n">
        <f aca="false">a25_gp</f>
        <v>44.921088</v>
      </c>
      <c r="D285" s="20" t="n">
        <f aca="false">a26_gp</f>
        <v>77.875907</v>
      </c>
      <c r="E285" s="20" t="n">
        <f aca="false">$D$284*(E271+E278)+($D$284-d_nap)*E276</f>
        <v>130.759092788856</v>
      </c>
      <c r="F285" s="20" t="n">
        <f aca="false">$D$284*(F271+F278)+($D$284-d_nap)*F276</f>
        <v>147.26314646243</v>
      </c>
      <c r="G285" s="20" t="n">
        <f aca="false">$D$284*(G271+G278)+($D$284-d_nap)*G276</f>
        <v>167.351146703876</v>
      </c>
    </row>
    <row r="286" customFormat="false" ht="15" hidden="false" customHeight="false" outlineLevel="0" collapsed="false">
      <c r="A286" s="4" t="s">
        <v>322</v>
      </c>
      <c r="B286" s="0" t="s">
        <v>103</v>
      </c>
      <c r="C286" s="15" t="n">
        <f aca="false">C285/C279</f>
        <v>0.1809</v>
      </c>
      <c r="D286" s="15" t="n">
        <f aca="false">D285/D279</f>
        <v>0.189589247962076</v>
      </c>
      <c r="E286" s="15" t="n">
        <f aca="false">E285/E279</f>
        <v>0.198539880554636</v>
      </c>
      <c r="F286" s="15" t="n">
        <f aca="false">F285/F279</f>
        <v>0.198419700789628</v>
      </c>
      <c r="G286" s="15" t="n">
        <f aca="false">G285/G279</f>
        <v>0.199333793386015</v>
      </c>
    </row>
    <row r="287" customFormat="false" ht="15" hidden="false" customHeight="false" outlineLevel="0" collapsed="false">
      <c r="A287" s="4" t="s">
        <v>419</v>
      </c>
      <c r="B287" s="0" t="s">
        <v>186</v>
      </c>
      <c r="C287" s="20" t="n">
        <f aca="false">a25_opx</f>
        <v>12.78848</v>
      </c>
      <c r="D287" s="20" t="n">
        <f aca="false">a26_opx</f>
        <v>17.956088</v>
      </c>
      <c r="E287" s="20" t="n">
        <f aca="false">D287*(1+MAX(0,phi*E280))</f>
        <v>24.4566256762174</v>
      </c>
      <c r="F287" s="20" t="n">
        <f aca="false">E287*(1+MAX(0,phi*F280))</f>
        <v>26.3187441577927</v>
      </c>
      <c r="G287" s="20" t="n">
        <f aca="false">F287*(1+MAX(0,phi*G280))</f>
        <v>28.3905178317423</v>
      </c>
    </row>
    <row r="288" customFormat="false" ht="15" hidden="false" customHeight="false" outlineLevel="0" collapsed="false">
      <c r="A288" s="4" t="s">
        <v>324</v>
      </c>
      <c r="B288" s="0" t="s">
        <v>186</v>
      </c>
      <c r="C288" s="20" t="n">
        <f aca="false">C287</f>
        <v>12.78848</v>
      </c>
      <c r="D288" s="20" t="n">
        <f aca="false">D287</f>
        <v>17.956088</v>
      </c>
      <c r="E288" s="20" t="n">
        <f aca="false">E287+0*E279</f>
        <v>24.4566256762174</v>
      </c>
      <c r="F288" s="20" t="n">
        <f aca="false">F287+0*F279</f>
        <v>26.3187441577927</v>
      </c>
      <c r="G288" s="20" t="n">
        <f aca="false">G287+0*G279</f>
        <v>28.3905178317423</v>
      </c>
    </row>
    <row r="289" customFormat="false" ht="15" hidden="false" customHeight="false" outlineLevel="0" collapsed="false">
      <c r="A289" s="4" t="s">
        <v>326</v>
      </c>
      <c r="B289" s="0" t="s">
        <v>186</v>
      </c>
      <c r="C289" s="20" t="n">
        <f aca="false">C285-C288</f>
        <v>32.132608</v>
      </c>
      <c r="D289" s="20" t="n">
        <f aca="false">D285-D288</f>
        <v>59.919819</v>
      </c>
      <c r="E289" s="20" t="n">
        <f aca="false">E285-E288</f>
        <v>106.302467112639</v>
      </c>
      <c r="F289" s="20" t="n">
        <f aca="false">F285-F288</f>
        <v>120.944402304637</v>
      </c>
      <c r="G289" s="20" t="n">
        <f aca="false">G285-G288</f>
        <v>138.960628872133</v>
      </c>
    </row>
    <row r="290" customFormat="false" ht="15" hidden="false" customHeight="false" outlineLevel="0" collapsed="false">
      <c r="A290" s="4" t="s">
        <v>328</v>
      </c>
      <c r="B290" s="0" t="s">
        <v>103</v>
      </c>
      <c r="C290" s="15" t="n">
        <f aca="false">C289/C279</f>
        <v>0.1294</v>
      </c>
      <c r="D290" s="15" t="n">
        <f aca="false">D289/D279</f>
        <v>0.145875070478906</v>
      </c>
      <c r="E290" s="15" t="n">
        <f aca="false">E289/E279</f>
        <v>0.16140582404687</v>
      </c>
      <c r="F290" s="15" t="n">
        <f aca="false">F289/F279</f>
        <v>0.162958300796519</v>
      </c>
      <c r="G290" s="15" t="n">
        <f aca="false">G289/G279</f>
        <v>0.165517535015176</v>
      </c>
    </row>
    <row r="291" customFormat="false" ht="17.15" hidden="false" customHeight="false" outlineLevel="0" collapsed="false">
      <c r="A291" s="4" t="s">
        <v>224</v>
      </c>
      <c r="B291" s="0" t="s">
        <v>76</v>
      </c>
      <c r="C291" s="16" t="n">
        <f aca="false">a25_ni/a25_oi</f>
        <v>0.819790289042209</v>
      </c>
      <c r="D291" s="16" t="n">
        <f aca="false">a26_ni/a26_oi</f>
        <v>0.798164213413262</v>
      </c>
      <c r="E291" s="16" t="n">
        <f aca="false">nio_f</f>
        <v>0.8</v>
      </c>
      <c r="F291" s="16" t="n">
        <f aca="false">nio_f</f>
        <v>0.8</v>
      </c>
      <c r="G291" s="16" t="n">
        <f aca="false">nio_f</f>
        <v>0.8</v>
      </c>
    </row>
    <row r="292" customFormat="false" ht="15" hidden="false" customHeight="false" outlineLevel="0" collapsed="false">
      <c r="A292" s="4" t="s">
        <v>329</v>
      </c>
      <c r="B292" s="0" t="s">
        <v>186</v>
      </c>
      <c r="C292" s="20" t="n">
        <f aca="false">a25_ni</f>
        <v>26.342</v>
      </c>
      <c r="D292" s="20" t="n">
        <f aca="false">a26_ni</f>
        <v>47.8258552</v>
      </c>
      <c r="E292" s="20" t="n">
        <f aca="false">E289*E291</f>
        <v>85.041973690111</v>
      </c>
      <c r="F292" s="20" t="n">
        <f aca="false">F289*F291</f>
        <v>96.7555218437098</v>
      </c>
      <c r="G292" s="20" t="n">
        <f aca="false">G289*G291</f>
        <v>111.168503097707</v>
      </c>
    </row>
    <row r="293" customFormat="false" ht="15" hidden="false" customHeight="false" outlineLevel="0" collapsed="false">
      <c r="A293" s="4" t="s">
        <v>420</v>
      </c>
      <c r="B293" s="4" t="s">
        <v>211</v>
      </c>
      <c r="C293" s="17" t="n">
        <f aca="false">a25_sh</f>
        <v>0.558922130277955</v>
      </c>
      <c r="D293" s="17" t="n">
        <f aca="false">a26_sh</f>
        <v>0.558904899135447</v>
      </c>
      <c r="E293" s="17" t="n">
        <f aca="false">D293*(1+sh_g27)</f>
        <v>0.568853406340058</v>
      </c>
      <c r="F293" s="17" t="n">
        <f aca="false">E293*(1+sh_g)</f>
        <v>0.568853406340058</v>
      </c>
      <c r="G293" s="17" t="n">
        <f aca="false">F293*(1+sh_g)</f>
        <v>0.568853406340058</v>
      </c>
    </row>
    <row r="294" customFormat="false" ht="15" hidden="false" customHeight="false" outlineLevel="0" collapsed="false">
      <c r="A294" s="0" t="s">
        <v>334</v>
      </c>
      <c r="B294" s="0" t="s">
        <v>244</v>
      </c>
      <c r="C294" s="14" t="n">
        <f aca="false">C292/C293</f>
        <v>47.13</v>
      </c>
      <c r="D294" s="14" t="n">
        <f aca="false">D292/D293</f>
        <v>85.5706494503455</v>
      </c>
      <c r="E294" s="14" t="n">
        <f aca="false">E292/E293</f>
        <v>149.497168764906</v>
      </c>
      <c r="F294" s="14" t="n">
        <f aca="false">F292/F293</f>
        <v>170.088674455207</v>
      </c>
      <c r="G294" s="14" t="n">
        <f aca="false">G292/G293</f>
        <v>195.425573370393</v>
      </c>
    </row>
    <row r="295" customFormat="false" ht="17.15" hidden="false" customHeight="false" outlineLevel="0" collapsed="false">
      <c r="A295" s="0" t="s">
        <v>421</v>
      </c>
      <c r="B295" s="0" t="s">
        <v>103</v>
      </c>
      <c r="D295" s="18" t="n">
        <f aca="false">D294/C294-1</f>
        <v>0.815630160202535</v>
      </c>
      <c r="E295" s="18" t="n">
        <f aca="false">E294/D294-1</f>
        <v>0.747061284741738</v>
      </c>
      <c r="F295" s="18" t="n">
        <f aca="false">F294/E294-1</f>
        <v>0.137738432509604</v>
      </c>
      <c r="G295" s="18" t="n">
        <f aca="false">G294/F294-1</f>
        <v>0.148962880664097</v>
      </c>
    </row>
    <row r="298" customFormat="false" ht="17.15" hidden="false" customHeight="false" outlineLevel="0" collapsed="false">
      <c r="A298" s="1" t="s">
        <v>723</v>
      </c>
    </row>
    <row r="299" customFormat="false" ht="17.15" hidden="false" customHeight="false" outlineLevel="0" collapsed="false">
      <c r="A299" s="5" t="s">
        <v>21</v>
      </c>
      <c r="B299" s="5" t="s">
        <v>22</v>
      </c>
      <c r="C299" s="12" t="s">
        <v>309</v>
      </c>
      <c r="D299" s="12" t="s">
        <v>371</v>
      </c>
      <c r="E299" s="12" t="s">
        <v>372</v>
      </c>
      <c r="F299" s="12" t="s">
        <v>373</v>
      </c>
      <c r="G299" s="12" t="s">
        <v>374</v>
      </c>
      <c r="H299" s="5" t="s">
        <v>350</v>
      </c>
    </row>
    <row r="300" customFormat="false" ht="17.15" hidden="false" customHeight="false" outlineLevel="0" collapsed="false">
      <c r="A300" s="6" t="s">
        <v>389</v>
      </c>
    </row>
    <row r="301" customFormat="false" ht="17.15" hidden="false" customHeight="false" outlineLevel="0" collapsed="false">
      <c r="A301" s="4" t="s">
        <v>390</v>
      </c>
      <c r="B301" s="0" t="s">
        <v>186</v>
      </c>
      <c r="C301" s="20" t="n">
        <f aca="false">a25_rev*nap25s</f>
        <v>156.4416</v>
      </c>
      <c r="D301" s="20" t="n">
        <f aca="false">a26_rev*ns26</f>
        <v>205.3806</v>
      </c>
    </row>
    <row r="302" customFormat="false" ht="17.15" hidden="false" customHeight="false" outlineLevel="0" collapsed="false">
      <c r="A302" s="4" t="s">
        <v>391</v>
      </c>
      <c r="B302" s="0" t="s">
        <v>186</v>
      </c>
      <c r="C302" s="20" t="n">
        <f aca="false">a25_rev*(1-nap25s-sw25s*af25)</f>
        <v>41.22112</v>
      </c>
      <c r="D302" s="20" t="n">
        <f aca="false">C302*(1+g_nai26)</f>
        <v>45.343232</v>
      </c>
    </row>
    <row r="303" customFormat="false" ht="17.15" hidden="false" customHeight="false" outlineLevel="0" collapsed="false">
      <c r="A303" s="0" t="s">
        <v>392</v>
      </c>
      <c r="B303" s="0" t="s">
        <v>186</v>
      </c>
      <c r="C303" s="20" t="n">
        <f aca="false">a25_rev*sw25s*af25</f>
        <v>50.65728</v>
      </c>
      <c r="D303" s="20" t="n">
        <f aca="false">a26_rev-D301-D302</f>
        <v>160.037368</v>
      </c>
      <c r="H303" s="8" t="s">
        <v>393</v>
      </c>
    </row>
    <row r="304" customFormat="false" ht="17.15" hidden="false" customHeight="false" outlineLevel="0" collapsed="false">
      <c r="A304" s="6" t="s">
        <v>394</v>
      </c>
    </row>
    <row r="305" customFormat="false" ht="17.15" hidden="false" customHeight="false" outlineLevel="0" collapsed="false">
      <c r="A305" s="0" t="s">
        <v>395</v>
      </c>
      <c r="B305" s="0" t="s">
        <v>32</v>
      </c>
      <c r="D305" s="14" t="n">
        <f aca="false">mkt_26*1</f>
        <v>32.0719</v>
      </c>
      <c r="E305" s="14" t="n">
        <f aca="false">mkt_27*1*mf_lo</f>
        <v>48.868</v>
      </c>
      <c r="F305" s="14" t="n">
        <f aca="false">mkt_28*um28_A*mf_lo</f>
        <v>55.204</v>
      </c>
      <c r="G305" s="14" t="n">
        <f aca="false">mkt_29*um29_A*mf_lo</f>
        <v>62.78572</v>
      </c>
    </row>
    <row r="306" customFormat="false" ht="15" hidden="false" customHeight="false" outlineLevel="0" collapsed="false">
      <c r="A306" s="4" t="s">
        <v>396</v>
      </c>
      <c r="B306" s="0" t="s">
        <v>103</v>
      </c>
      <c r="D306" s="18" t="n">
        <f aca="false">eth_26</f>
        <v>0.75</v>
      </c>
      <c r="E306" s="18" t="n">
        <f aca="false">eth_27</f>
        <v>0.8</v>
      </c>
      <c r="F306" s="18" t="n">
        <f aca="false">eth_28</f>
        <v>0.83</v>
      </c>
      <c r="G306" s="18" t="n">
        <f aca="false">eth_29</f>
        <v>0.85</v>
      </c>
    </row>
    <row r="307" customFormat="false" ht="17.15" hidden="false" customHeight="false" outlineLevel="0" collapsed="false">
      <c r="A307" s="4" t="s">
        <v>397</v>
      </c>
      <c r="B307" s="0" t="s">
        <v>32</v>
      </c>
      <c r="D307" s="14" t="n">
        <f aca="false">su_26*1</f>
        <v>3.015</v>
      </c>
      <c r="E307" s="14" t="n">
        <f aca="false">su_27*1*mf_lo</f>
        <v>9.07312</v>
      </c>
      <c r="F307" s="14" t="n">
        <f aca="false">su_28*um28_A*mf_lo</f>
        <v>11.11616</v>
      </c>
      <c r="G307" s="14" t="n">
        <f aca="false">su_29*um29_A*mf_lo</f>
        <v>12.783584</v>
      </c>
    </row>
    <row r="308" customFormat="false" ht="17.15" hidden="false" customHeight="false" outlineLevel="0" collapsed="false">
      <c r="A308" s="0" t="s">
        <v>398</v>
      </c>
      <c r="B308" s="0" t="s">
        <v>32</v>
      </c>
      <c r="D308" s="14" t="n">
        <f aca="false">D305*D306+D307</f>
        <v>27.068925</v>
      </c>
      <c r="E308" s="14" t="n">
        <f aca="false">E305*E306+E307</f>
        <v>48.16752</v>
      </c>
      <c r="F308" s="14" t="n">
        <f aca="false">F305*F306+F307</f>
        <v>56.93548</v>
      </c>
      <c r="G308" s="14" t="n">
        <f aca="false">G305*G306+G307</f>
        <v>66.151446</v>
      </c>
    </row>
    <row r="309" customFormat="false" ht="15" hidden="false" customHeight="false" outlineLevel="0" collapsed="false">
      <c r="A309" s="4" t="s">
        <v>355</v>
      </c>
      <c r="B309" s="0" t="s">
        <v>103</v>
      </c>
      <c r="D309" s="18" t="n">
        <f aca="false">wb_26</f>
        <v>0.45</v>
      </c>
      <c r="E309" s="18" t="n">
        <f aca="false">wb_27</f>
        <v>0.47</v>
      </c>
      <c r="F309" s="18" t="n">
        <f aca="false">wb_28</f>
        <v>0.48</v>
      </c>
      <c r="G309" s="18" t="n">
        <f aca="false">wb_29</f>
        <v>0.5</v>
      </c>
    </row>
    <row r="310" customFormat="false" ht="17.15" hidden="false" customHeight="false" outlineLevel="0" collapsed="false">
      <c r="A310" s="4" t="s">
        <v>357</v>
      </c>
      <c r="B310" s="0" t="s">
        <v>32</v>
      </c>
      <c r="D310" s="14" t="n">
        <f aca="false">D308*D309</f>
        <v>12.18101625</v>
      </c>
      <c r="E310" s="14" t="n">
        <f aca="false">E308*E309</f>
        <v>22.6387344</v>
      </c>
      <c r="F310" s="14" t="n">
        <f aca="false">F308*F309</f>
        <v>27.3290304</v>
      </c>
      <c r="G310" s="14" t="n">
        <f aca="false">G308*G309</f>
        <v>33.075723</v>
      </c>
    </row>
    <row r="311" customFormat="false" ht="17.15" hidden="false" customHeight="false" outlineLevel="0" collapsed="false">
      <c r="A311" s="4" t="s">
        <v>399</v>
      </c>
      <c r="B311" s="0" t="s">
        <v>103</v>
      </c>
      <c r="D311" s="18" t="n">
        <f aca="false">D303/fx/D310</f>
        <v>0.410570649226414</v>
      </c>
      <c r="H311" s="8" t="s">
        <v>400</v>
      </c>
    </row>
    <row r="312" customFormat="false" ht="17.15" hidden="false" customHeight="false" outlineLevel="0" collapsed="false">
      <c r="A312" s="4" t="s">
        <v>401</v>
      </c>
      <c r="B312" s="0" t="s">
        <v>76</v>
      </c>
      <c r="D312" s="19" t="n">
        <f aca="false">1</f>
        <v>1</v>
      </c>
      <c r="E312" s="19" t="n">
        <f aca="false">rel_27</f>
        <v>1</v>
      </c>
      <c r="F312" s="19" t="n">
        <f aca="false">rel_28</f>
        <v>0.95</v>
      </c>
      <c r="G312" s="19" t="n">
        <f aca="false">rel_29</f>
        <v>0.92</v>
      </c>
    </row>
    <row r="313" customFormat="false" ht="15" hidden="false" customHeight="false" outlineLevel="0" collapsed="false">
      <c r="A313" s="4" t="s">
        <v>402</v>
      </c>
      <c r="B313" s="0" t="s">
        <v>103</v>
      </c>
      <c r="D313" s="18" t="n">
        <f aca="false">$D$311*D312</f>
        <v>0.410570649226414</v>
      </c>
      <c r="E313" s="18" t="n">
        <f aca="false">$D$311*E312</f>
        <v>0.410570649226414</v>
      </c>
      <c r="F313" s="18" t="n">
        <f aca="false">$D$311*F312</f>
        <v>0.390042116765093</v>
      </c>
      <c r="G313" s="18" t="n">
        <f aca="false">$D$311*G312</f>
        <v>0.377724997288301</v>
      </c>
    </row>
    <row r="314" customFormat="false" ht="17.15" hidden="false" customHeight="false" outlineLevel="0" collapsed="false">
      <c r="A314" s="0" t="s">
        <v>403</v>
      </c>
      <c r="B314" s="0" t="s">
        <v>186</v>
      </c>
      <c r="C314" s="20" t="n">
        <f aca="false">C303</f>
        <v>50.65728</v>
      </c>
      <c r="D314" s="20" t="n">
        <f aca="false">D310*D313*fx</f>
        <v>160.037368</v>
      </c>
      <c r="E314" s="20" t="n">
        <f aca="false">E310*E313*fx</f>
        <v>297.433596168715</v>
      </c>
      <c r="F314" s="20" t="n">
        <f aca="false">F310*F313*fx</f>
        <v>341.103131723315</v>
      </c>
      <c r="G314" s="20" t="n">
        <f aca="false">G310*G313*fx</f>
        <v>399.792876175475</v>
      </c>
    </row>
    <row r="315" customFormat="false" ht="17.15" hidden="false" customHeight="false" outlineLevel="0" collapsed="false">
      <c r="A315" s="6" t="s">
        <v>404</v>
      </c>
    </row>
    <row r="316" customFormat="false" ht="17.15" hidden="false" customHeight="false" outlineLevel="0" collapsed="false">
      <c r="A316" s="0" t="s">
        <v>405</v>
      </c>
      <c r="B316" s="4" t="s">
        <v>55</v>
      </c>
      <c r="D316" s="19" t="n">
        <f aca="false">trn_26*1</f>
        <v>2</v>
      </c>
      <c r="E316" s="19" t="n">
        <f aca="false">trn_27*1*1</f>
        <v>2.5</v>
      </c>
      <c r="F316" s="19" t="n">
        <f aca="false">trn_28*um28_A*1</f>
        <v>3</v>
      </c>
      <c r="G316" s="19" t="n">
        <f aca="false">trn_29*um29_A*1</f>
        <v>3.45</v>
      </c>
    </row>
    <row r="317" customFormat="false" ht="17.15" hidden="false" customHeight="false" outlineLevel="0" collapsed="false">
      <c r="A317" s="4" t="s">
        <v>406</v>
      </c>
      <c r="B317" s="4" t="s">
        <v>407</v>
      </c>
      <c r="D317" s="20" t="n">
        <f aca="false">D301/D316</f>
        <v>102.6903</v>
      </c>
      <c r="H317" s="8" t="s">
        <v>408</v>
      </c>
    </row>
    <row r="318" customFormat="false" ht="17.15" hidden="false" customHeight="false" outlineLevel="0" collapsed="false">
      <c r="A318" s="4" t="s">
        <v>409</v>
      </c>
      <c r="B318" s="0" t="s">
        <v>76</v>
      </c>
      <c r="D318" s="19" t="n">
        <f aca="false">1</f>
        <v>1</v>
      </c>
      <c r="E318" s="19" t="n">
        <f aca="false">nrel_27</f>
        <v>0.9</v>
      </c>
      <c r="F318" s="19" t="n">
        <f aca="false">nrel_28</f>
        <v>0.85</v>
      </c>
      <c r="G318" s="19" t="n">
        <f aca="false">nrel_29</f>
        <v>0.8</v>
      </c>
    </row>
    <row r="319" customFormat="false" ht="15" hidden="false" customHeight="false" outlineLevel="0" collapsed="false">
      <c r="A319" s="4" t="s">
        <v>410</v>
      </c>
      <c r="B319" s="0" t="s">
        <v>186</v>
      </c>
      <c r="C319" s="20" t="n">
        <f aca="false">C301</f>
        <v>156.4416</v>
      </c>
      <c r="D319" s="20" t="n">
        <f aca="false">D316*$D$317*D318</f>
        <v>205.3806</v>
      </c>
      <c r="E319" s="20" t="n">
        <f aca="false">E316*$D$317*E318</f>
        <v>231.053175</v>
      </c>
      <c r="F319" s="20" t="n">
        <f aca="false">F316*$D$317*F318</f>
        <v>261.860265</v>
      </c>
      <c r="G319" s="20" t="n">
        <f aca="false">G316*$D$317*G318</f>
        <v>283.425228</v>
      </c>
    </row>
    <row r="320" customFormat="false" ht="17.15" hidden="false" customHeight="false" outlineLevel="0" collapsed="false">
      <c r="A320" s="6" t="s">
        <v>411</v>
      </c>
    </row>
    <row r="321" customFormat="false" ht="17.15" hidden="false" customHeight="false" outlineLevel="0" collapsed="false">
      <c r="A321" s="4" t="s">
        <v>412</v>
      </c>
      <c r="B321" s="0" t="s">
        <v>186</v>
      </c>
      <c r="C321" s="20" t="n">
        <f aca="false">C302</f>
        <v>41.22112</v>
      </c>
      <c r="D321" s="20" t="n">
        <f aca="false">D302</f>
        <v>45.343232</v>
      </c>
      <c r="E321" s="20" t="n">
        <f aca="false">D321*(1+g_nai27)</f>
        <v>48.06382592</v>
      </c>
      <c r="F321" s="20" t="n">
        <f aca="false">E321*(1+g_nai28)</f>
        <v>50.467017216</v>
      </c>
      <c r="G321" s="20" t="n">
        <f aca="false">F321*(1+g_nai29)</f>
        <v>52.9903680768</v>
      </c>
    </row>
    <row r="322" customFormat="false" ht="15" hidden="false" customHeight="false" outlineLevel="0" collapsed="false">
      <c r="A322" s="4" t="s">
        <v>316</v>
      </c>
      <c r="B322" s="0" t="s">
        <v>186</v>
      </c>
      <c r="C322" s="20" t="n">
        <f aca="false">C314+C319+C321</f>
        <v>248.32</v>
      </c>
      <c r="D322" s="20" t="n">
        <f aca="false">D314+D319+D321</f>
        <v>410.7612</v>
      </c>
      <c r="E322" s="20" t="n">
        <f aca="false">E314+E319+E321</f>
        <v>576.550597088715</v>
      </c>
      <c r="F322" s="20" t="n">
        <f aca="false">F314+F319+F321</f>
        <v>653.430413939315</v>
      </c>
      <c r="G322" s="20" t="n">
        <f aca="false">G314+G319+G321</f>
        <v>736.208472252275</v>
      </c>
    </row>
    <row r="323" customFormat="false" ht="15" hidden="false" customHeight="false" outlineLevel="0" collapsed="false">
      <c r="A323" s="4" t="s">
        <v>413</v>
      </c>
      <c r="B323" s="0" t="s">
        <v>103</v>
      </c>
      <c r="D323" s="18" t="n">
        <f aca="false">D322/C322-1</f>
        <v>0.654160760309279</v>
      </c>
      <c r="E323" s="18" t="n">
        <f aca="false">E322/D322-1</f>
        <v>0.403615037371386</v>
      </c>
      <c r="F323" s="18" t="n">
        <f aca="false">F322/E322-1</f>
        <v>0.1333444406073</v>
      </c>
      <c r="G323" s="18" t="n">
        <f aca="false">G322/F322-1</f>
        <v>0.126682285591696</v>
      </c>
    </row>
    <row r="324" customFormat="false" ht="17.15" hidden="false" customHeight="false" outlineLevel="0" collapsed="false">
      <c r="A324" s="0" t="s">
        <v>414</v>
      </c>
      <c r="B324" s="0" t="s">
        <v>103</v>
      </c>
      <c r="C324" s="18" t="n">
        <f aca="false">(C314+C319)/C322</f>
        <v>0.834</v>
      </c>
      <c r="D324" s="18" t="n">
        <f aca="false">(D314+D319)/D322</f>
        <v>0.889611696528299</v>
      </c>
      <c r="E324" s="18" t="n">
        <f aca="false">(E314+E319)/E322</f>
        <v>0.91663554566989</v>
      </c>
      <c r="F324" s="18" t="n">
        <f aca="false">(F314+F319)/F322</f>
        <v>0.922766041893044</v>
      </c>
      <c r="G324" s="18" t="n">
        <f aca="false">(G314+G319)/G322</f>
        <v>0.928022604908787</v>
      </c>
    </row>
    <row r="325" customFormat="false" ht="17.15" hidden="false" customHeight="false" outlineLevel="0" collapsed="false">
      <c r="A325" s="4" t="s">
        <v>415</v>
      </c>
      <c r="B325" s="0" t="s">
        <v>103</v>
      </c>
      <c r="C325" s="18" t="n">
        <f aca="false">C319/C322</f>
        <v>0.63</v>
      </c>
      <c r="D325" s="18" t="n">
        <f aca="false">D319/D322</f>
        <v>0.5</v>
      </c>
      <c r="E325" s="18" t="n">
        <f aca="false">E319/E322</f>
        <v>0.400750907494849</v>
      </c>
      <c r="F325" s="18" t="n">
        <f aca="false">F319/F322</f>
        <v>0.400746979959705</v>
      </c>
      <c r="G325" s="18" t="n">
        <f aca="false">G319/G322</f>
        <v>0.384979579402177</v>
      </c>
    </row>
    <row r="326" customFormat="false" ht="17.15" hidden="false" customHeight="false" outlineLevel="0" collapsed="false">
      <c r="A326" s="6" t="s">
        <v>416</v>
      </c>
    </row>
    <row r="327" customFormat="false" ht="17.15" hidden="false" customHeight="false" outlineLevel="0" collapsed="false">
      <c r="A327" s="4" t="s">
        <v>417</v>
      </c>
      <c r="B327" s="0" t="s">
        <v>103</v>
      </c>
      <c r="D327" s="15" t="n">
        <f aca="false">a26_gp/a26_rev+d_nap*D325</f>
        <v>0.219589247962076</v>
      </c>
      <c r="H327" s="8" t="s">
        <v>418</v>
      </c>
    </row>
    <row r="328" customFormat="false" ht="15" hidden="false" customHeight="false" outlineLevel="0" collapsed="false">
      <c r="A328" s="4" t="s">
        <v>320</v>
      </c>
      <c r="B328" s="0" t="s">
        <v>186</v>
      </c>
      <c r="C328" s="20" t="n">
        <f aca="false">a25_gp</f>
        <v>44.921088</v>
      </c>
      <c r="D328" s="20" t="n">
        <f aca="false">a26_gp</f>
        <v>77.875907</v>
      </c>
      <c r="E328" s="20" t="n">
        <f aca="false">$D$327*(E314+E321)+($D$327-d_nap)*E319</f>
        <v>112.741121526797</v>
      </c>
      <c r="F328" s="20" t="n">
        <f aca="false">$D$327*(F314+F321)+($D$327-d_nap)*F319</f>
        <v>127.774677292482</v>
      </c>
      <c r="G328" s="20" t="n">
        <f aca="false">$D$327*(G314+G321)+($D$327-d_nap)*G319</f>
        <v>144.657951085186</v>
      </c>
    </row>
    <row r="329" customFormat="false" ht="15" hidden="false" customHeight="false" outlineLevel="0" collapsed="false">
      <c r="A329" s="4" t="s">
        <v>322</v>
      </c>
      <c r="B329" s="0" t="s">
        <v>103</v>
      </c>
      <c r="C329" s="15" t="n">
        <f aca="false">C328/C322</f>
        <v>0.1809</v>
      </c>
      <c r="D329" s="15" t="n">
        <f aca="false">D328/D322</f>
        <v>0.189589247962076</v>
      </c>
      <c r="E329" s="15" t="n">
        <f aca="false">E328/E322</f>
        <v>0.195544193512385</v>
      </c>
      <c r="F329" s="15" t="n">
        <f aca="false">F328/F322</f>
        <v>0.195544429164494</v>
      </c>
      <c r="G329" s="15" t="n">
        <f aca="false">G328/G322</f>
        <v>0.196490473197946</v>
      </c>
    </row>
    <row r="330" customFormat="false" ht="15" hidden="false" customHeight="false" outlineLevel="0" collapsed="false">
      <c r="A330" s="4" t="s">
        <v>419</v>
      </c>
      <c r="B330" s="0" t="s">
        <v>186</v>
      </c>
      <c r="C330" s="20" t="n">
        <f aca="false">a25_opx</f>
        <v>12.78848</v>
      </c>
      <c r="D330" s="20" t="n">
        <f aca="false">a26_opx</f>
        <v>17.956088</v>
      </c>
      <c r="E330" s="20" t="n">
        <f aca="false">D330*(1+MAX(0,phi*E323))</f>
        <v>22.3044962774983</v>
      </c>
      <c r="F330" s="20" t="n">
        <f aca="false">E330*(1+MAX(0,phi*F323))</f>
        <v>24.0890046249887</v>
      </c>
      <c r="G330" s="20" t="n">
        <f aca="false">F330*(1+MAX(0,phi*G323))</f>
        <v>25.9199947231022</v>
      </c>
    </row>
    <row r="331" customFormat="false" ht="15" hidden="false" customHeight="false" outlineLevel="0" collapsed="false">
      <c r="A331" s="4" t="s">
        <v>324</v>
      </c>
      <c r="B331" s="0" t="s">
        <v>186</v>
      </c>
      <c r="C331" s="20" t="n">
        <f aca="false">C330</f>
        <v>12.78848</v>
      </c>
      <c r="D331" s="20" t="n">
        <f aca="false">D330</f>
        <v>17.956088</v>
      </c>
      <c r="E331" s="20" t="n">
        <f aca="false">E330+0*E322</f>
        <v>22.3044962774983</v>
      </c>
      <c r="F331" s="20" t="n">
        <f aca="false">F330+0*F322</f>
        <v>24.0890046249887</v>
      </c>
      <c r="G331" s="20" t="n">
        <f aca="false">G330+0*G322</f>
        <v>25.9199947231022</v>
      </c>
    </row>
    <row r="332" customFormat="false" ht="15" hidden="false" customHeight="false" outlineLevel="0" collapsed="false">
      <c r="A332" s="4" t="s">
        <v>326</v>
      </c>
      <c r="B332" s="0" t="s">
        <v>186</v>
      </c>
      <c r="C332" s="20" t="n">
        <f aca="false">C328-C331</f>
        <v>32.132608</v>
      </c>
      <c r="D332" s="20" t="n">
        <f aca="false">D328-D331</f>
        <v>59.919819</v>
      </c>
      <c r="E332" s="20" t="n">
        <f aca="false">E328-E331</f>
        <v>90.4366252492987</v>
      </c>
      <c r="F332" s="20" t="n">
        <f aca="false">F328-F331</f>
        <v>103.685672667494</v>
      </c>
      <c r="G332" s="20" t="n">
        <f aca="false">G328-G331</f>
        <v>118.737956362084</v>
      </c>
    </row>
    <row r="333" customFormat="false" ht="15" hidden="false" customHeight="false" outlineLevel="0" collapsed="false">
      <c r="A333" s="4" t="s">
        <v>328</v>
      </c>
      <c r="B333" s="0" t="s">
        <v>103</v>
      </c>
      <c r="C333" s="15" t="n">
        <f aca="false">C332/C322</f>
        <v>0.1294</v>
      </c>
      <c r="D333" s="15" t="n">
        <f aca="false">D332/D322</f>
        <v>0.145875070478906</v>
      </c>
      <c r="E333" s="15" t="n">
        <f aca="false">E332/E322</f>
        <v>0.15685808965589</v>
      </c>
      <c r="F333" s="15" t="n">
        <f aca="false">F332/F322</f>
        <v>0.158678981656833</v>
      </c>
      <c r="G333" s="15" t="n">
        <f aca="false">G332/G322</f>
        <v>0.161283061574706</v>
      </c>
    </row>
    <row r="334" customFormat="false" ht="17.15" hidden="false" customHeight="false" outlineLevel="0" collapsed="false">
      <c r="A334" s="4" t="s">
        <v>224</v>
      </c>
      <c r="B334" s="0" t="s">
        <v>76</v>
      </c>
      <c r="C334" s="16" t="n">
        <f aca="false">a25_ni/a25_oi</f>
        <v>0.819790289042209</v>
      </c>
      <c r="D334" s="16" t="n">
        <f aca="false">a26_ni/a26_oi</f>
        <v>0.798164213413262</v>
      </c>
      <c r="E334" s="16" t="n">
        <f aca="false">nio_f</f>
        <v>0.8</v>
      </c>
      <c r="F334" s="16" t="n">
        <f aca="false">nio_f</f>
        <v>0.8</v>
      </c>
      <c r="G334" s="16" t="n">
        <f aca="false">nio_f</f>
        <v>0.8</v>
      </c>
    </row>
    <row r="335" customFormat="false" ht="15" hidden="false" customHeight="false" outlineLevel="0" collapsed="false">
      <c r="A335" s="4" t="s">
        <v>329</v>
      </c>
      <c r="B335" s="0" t="s">
        <v>186</v>
      </c>
      <c r="C335" s="20" t="n">
        <f aca="false">a25_ni</f>
        <v>26.342</v>
      </c>
      <c r="D335" s="20" t="n">
        <f aca="false">a26_ni</f>
        <v>47.8258552</v>
      </c>
      <c r="E335" s="20" t="n">
        <f aca="false">E332*E334</f>
        <v>72.349300199439</v>
      </c>
      <c r="F335" s="20" t="n">
        <f aca="false">F332*F334</f>
        <v>82.9485381339949</v>
      </c>
      <c r="G335" s="20" t="n">
        <f aca="false">G332*G334</f>
        <v>94.9903650896672</v>
      </c>
    </row>
    <row r="336" customFormat="false" ht="15" hidden="false" customHeight="false" outlineLevel="0" collapsed="false">
      <c r="A336" s="4" t="s">
        <v>420</v>
      </c>
      <c r="B336" s="4" t="s">
        <v>211</v>
      </c>
      <c r="C336" s="17" t="n">
        <f aca="false">a25_sh</f>
        <v>0.558922130277955</v>
      </c>
      <c r="D336" s="17" t="n">
        <f aca="false">a26_sh</f>
        <v>0.558904899135447</v>
      </c>
      <c r="E336" s="17" t="n">
        <f aca="false">D336*(1+sh_g27)</f>
        <v>0.568853406340058</v>
      </c>
      <c r="F336" s="17" t="n">
        <f aca="false">E336*(1+sh_g)</f>
        <v>0.568853406340058</v>
      </c>
      <c r="G336" s="17" t="n">
        <f aca="false">F336*(1+sh_g)</f>
        <v>0.568853406340058</v>
      </c>
    </row>
    <row r="337" customFormat="false" ht="15" hidden="false" customHeight="false" outlineLevel="0" collapsed="false">
      <c r="A337" s="0" t="s">
        <v>334</v>
      </c>
      <c r="B337" s="0" t="s">
        <v>244</v>
      </c>
      <c r="C337" s="14" t="n">
        <f aca="false">C335/C336</f>
        <v>47.13</v>
      </c>
      <c r="D337" s="14" t="n">
        <f aca="false">D335/D336</f>
        <v>85.5706494503455</v>
      </c>
      <c r="E337" s="14" t="n">
        <f aca="false">E335/E336</f>
        <v>127.184436962286</v>
      </c>
      <c r="F337" s="14" t="n">
        <f aca="false">F335/F336</f>
        <v>145.81707204265</v>
      </c>
      <c r="G337" s="14" t="n">
        <f aca="false">G335/G336</f>
        <v>166.985666308698</v>
      </c>
    </row>
    <row r="338" customFormat="false" ht="17.15" hidden="false" customHeight="false" outlineLevel="0" collapsed="false">
      <c r="A338" s="0" t="s">
        <v>421</v>
      </c>
      <c r="B338" s="0" t="s">
        <v>103</v>
      </c>
      <c r="D338" s="18" t="n">
        <f aca="false">D337/C337-1</f>
        <v>0.815630160202535</v>
      </c>
      <c r="E338" s="18" t="n">
        <f aca="false">E337/D337-1</f>
        <v>0.486309123271156</v>
      </c>
      <c r="F338" s="18" t="n">
        <f aca="false">F337/E337-1</f>
        <v>0.146500904712802</v>
      </c>
      <c r="G338" s="18" t="n">
        <f aca="false">G337/F337-1</f>
        <v>0.145172262544519</v>
      </c>
    </row>
    <row r="341" customFormat="false" ht="17.15" hidden="false" customHeight="false" outlineLevel="0" collapsed="false">
      <c r="A341" s="1" t="s">
        <v>724</v>
      </c>
    </row>
    <row r="342" customFormat="false" ht="17.15" hidden="false" customHeight="false" outlineLevel="0" collapsed="false">
      <c r="A342" s="5" t="s">
        <v>21</v>
      </c>
      <c r="B342" s="5" t="s">
        <v>22</v>
      </c>
      <c r="C342" s="12" t="s">
        <v>309</v>
      </c>
      <c r="D342" s="12" t="s">
        <v>371</v>
      </c>
      <c r="E342" s="12" t="s">
        <v>372</v>
      </c>
      <c r="F342" s="12" t="s">
        <v>373</v>
      </c>
      <c r="G342" s="12" t="s">
        <v>374</v>
      </c>
      <c r="H342" s="5" t="s">
        <v>350</v>
      </c>
    </row>
    <row r="343" customFormat="false" ht="17.15" hidden="false" customHeight="false" outlineLevel="0" collapsed="false">
      <c r="A343" s="6" t="s">
        <v>389</v>
      </c>
    </row>
    <row r="344" customFormat="false" ht="17.15" hidden="false" customHeight="false" outlineLevel="0" collapsed="false">
      <c r="A344" s="4" t="s">
        <v>390</v>
      </c>
      <c r="B344" s="0" t="s">
        <v>186</v>
      </c>
      <c r="C344" s="20" t="n">
        <f aca="false">a25_rev*nap25s</f>
        <v>156.4416</v>
      </c>
      <c r="D344" s="20" t="n">
        <f aca="false">a26_rev*ns26</f>
        <v>205.3806</v>
      </c>
    </row>
    <row r="345" customFormat="false" ht="17.15" hidden="false" customHeight="false" outlineLevel="0" collapsed="false">
      <c r="A345" s="4" t="s">
        <v>391</v>
      </c>
      <c r="B345" s="0" t="s">
        <v>186</v>
      </c>
      <c r="C345" s="20" t="n">
        <f aca="false">a25_rev*(1-nap25s-sw25s*af25)</f>
        <v>41.22112</v>
      </c>
      <c r="D345" s="20" t="n">
        <f aca="false">C345*(1+g_nai26)</f>
        <v>45.343232</v>
      </c>
    </row>
    <row r="346" customFormat="false" ht="17.15" hidden="false" customHeight="false" outlineLevel="0" collapsed="false">
      <c r="A346" s="0" t="s">
        <v>392</v>
      </c>
      <c r="B346" s="0" t="s">
        <v>186</v>
      </c>
      <c r="C346" s="20" t="n">
        <f aca="false">a25_rev*sw25s*af25</f>
        <v>50.65728</v>
      </c>
      <c r="D346" s="20" t="n">
        <f aca="false">a26_rev-D344-D345</f>
        <v>160.037368</v>
      </c>
      <c r="H346" s="8" t="s">
        <v>393</v>
      </c>
    </row>
    <row r="347" customFormat="false" ht="17.15" hidden="false" customHeight="false" outlineLevel="0" collapsed="false">
      <c r="A347" s="6" t="s">
        <v>394</v>
      </c>
    </row>
    <row r="348" customFormat="false" ht="17.15" hidden="false" customHeight="false" outlineLevel="0" collapsed="false">
      <c r="A348" s="0" t="s">
        <v>395</v>
      </c>
      <c r="B348" s="0" t="s">
        <v>32</v>
      </c>
      <c r="D348" s="14" t="n">
        <f aca="false">mkt_26*1</f>
        <v>32.0719</v>
      </c>
      <c r="E348" s="14" t="n">
        <f aca="false">mkt_27*1*mf_hi</f>
        <v>73.302</v>
      </c>
      <c r="F348" s="14" t="n">
        <f aca="false">mkt_28*um28_A*mf_hi</f>
        <v>82.806</v>
      </c>
      <c r="G348" s="14" t="n">
        <f aca="false">mkt_29*um29_A*mf_hi</f>
        <v>94.17858</v>
      </c>
    </row>
    <row r="349" customFormat="false" ht="15" hidden="false" customHeight="false" outlineLevel="0" collapsed="false">
      <c r="A349" s="4" t="s">
        <v>396</v>
      </c>
      <c r="B349" s="0" t="s">
        <v>103</v>
      </c>
      <c r="D349" s="18" t="n">
        <f aca="false">eth_26</f>
        <v>0.75</v>
      </c>
      <c r="E349" s="18" t="n">
        <f aca="false">eth_27</f>
        <v>0.8</v>
      </c>
      <c r="F349" s="18" t="n">
        <f aca="false">eth_28</f>
        <v>0.83</v>
      </c>
      <c r="G349" s="18" t="n">
        <f aca="false">eth_29</f>
        <v>0.85</v>
      </c>
    </row>
    <row r="350" customFormat="false" ht="17.15" hidden="false" customHeight="false" outlineLevel="0" collapsed="false">
      <c r="A350" s="4" t="s">
        <v>397</v>
      </c>
      <c r="B350" s="0" t="s">
        <v>32</v>
      </c>
      <c r="D350" s="14" t="n">
        <f aca="false">su_26*1</f>
        <v>3.015</v>
      </c>
      <c r="E350" s="14" t="n">
        <f aca="false">su_27*1*mf_hi</f>
        <v>13.60968</v>
      </c>
      <c r="F350" s="14" t="n">
        <f aca="false">su_28*um28_A*mf_hi</f>
        <v>16.67424</v>
      </c>
      <c r="G350" s="14" t="n">
        <f aca="false">su_29*um29_A*mf_hi</f>
        <v>19.175376</v>
      </c>
    </row>
    <row r="351" customFormat="false" ht="17.15" hidden="false" customHeight="false" outlineLevel="0" collapsed="false">
      <c r="A351" s="0" t="s">
        <v>398</v>
      </c>
      <c r="B351" s="0" t="s">
        <v>32</v>
      </c>
      <c r="D351" s="14" t="n">
        <f aca="false">D348*D349+D350</f>
        <v>27.068925</v>
      </c>
      <c r="E351" s="14" t="n">
        <f aca="false">E348*E349+E350</f>
        <v>72.25128</v>
      </c>
      <c r="F351" s="14" t="n">
        <f aca="false">F348*F349+F350</f>
        <v>85.40322</v>
      </c>
      <c r="G351" s="14" t="n">
        <f aca="false">G348*G349+G350</f>
        <v>99.227169</v>
      </c>
    </row>
    <row r="352" customFormat="false" ht="15" hidden="false" customHeight="false" outlineLevel="0" collapsed="false">
      <c r="A352" s="4" t="s">
        <v>355</v>
      </c>
      <c r="B352" s="0" t="s">
        <v>103</v>
      </c>
      <c r="D352" s="18" t="n">
        <f aca="false">wb_26</f>
        <v>0.45</v>
      </c>
      <c r="E352" s="18" t="n">
        <f aca="false">wb_27</f>
        <v>0.47</v>
      </c>
      <c r="F352" s="18" t="n">
        <f aca="false">wb_28</f>
        <v>0.48</v>
      </c>
      <c r="G352" s="18" t="n">
        <f aca="false">wb_29</f>
        <v>0.5</v>
      </c>
    </row>
    <row r="353" customFormat="false" ht="17.15" hidden="false" customHeight="false" outlineLevel="0" collapsed="false">
      <c r="A353" s="4" t="s">
        <v>357</v>
      </c>
      <c r="B353" s="0" t="s">
        <v>32</v>
      </c>
      <c r="D353" s="14" t="n">
        <f aca="false">D351*D352</f>
        <v>12.18101625</v>
      </c>
      <c r="E353" s="14" t="n">
        <f aca="false">E351*E352</f>
        <v>33.9581016</v>
      </c>
      <c r="F353" s="14" t="n">
        <f aca="false">F351*F352</f>
        <v>40.9935456</v>
      </c>
      <c r="G353" s="14" t="n">
        <f aca="false">G351*G352</f>
        <v>49.6135845</v>
      </c>
    </row>
    <row r="354" customFormat="false" ht="17.15" hidden="false" customHeight="false" outlineLevel="0" collapsed="false">
      <c r="A354" s="4" t="s">
        <v>399</v>
      </c>
      <c r="B354" s="0" t="s">
        <v>103</v>
      </c>
      <c r="D354" s="18" t="n">
        <f aca="false">D346/fx/D353</f>
        <v>0.410570649226414</v>
      </c>
      <c r="H354" s="8" t="s">
        <v>400</v>
      </c>
    </row>
    <row r="355" customFormat="false" ht="17.15" hidden="false" customHeight="false" outlineLevel="0" collapsed="false">
      <c r="A355" s="4" t="s">
        <v>401</v>
      </c>
      <c r="B355" s="0" t="s">
        <v>76</v>
      </c>
      <c r="D355" s="19" t="n">
        <f aca="false">1</f>
        <v>1</v>
      </c>
      <c r="E355" s="19" t="n">
        <f aca="false">rel_27</f>
        <v>1</v>
      </c>
      <c r="F355" s="19" t="n">
        <f aca="false">rel_28</f>
        <v>0.95</v>
      </c>
      <c r="G355" s="19" t="n">
        <f aca="false">rel_29</f>
        <v>0.92</v>
      </c>
    </row>
    <row r="356" customFormat="false" ht="15" hidden="false" customHeight="false" outlineLevel="0" collapsed="false">
      <c r="A356" s="4" t="s">
        <v>402</v>
      </c>
      <c r="B356" s="0" t="s">
        <v>103</v>
      </c>
      <c r="D356" s="18" t="n">
        <f aca="false">$D$354*D355</f>
        <v>0.410570649226414</v>
      </c>
      <c r="E356" s="18" t="n">
        <f aca="false">$D$354*E355</f>
        <v>0.410570649226414</v>
      </c>
      <c r="F356" s="18" t="n">
        <f aca="false">$D$354*F355</f>
        <v>0.390042116765093</v>
      </c>
      <c r="G356" s="18" t="n">
        <f aca="false">$D$354*G355</f>
        <v>0.377724997288301</v>
      </c>
    </row>
    <row r="357" customFormat="false" ht="17.15" hidden="false" customHeight="false" outlineLevel="0" collapsed="false">
      <c r="A357" s="0" t="s">
        <v>403</v>
      </c>
      <c r="B357" s="0" t="s">
        <v>186</v>
      </c>
      <c r="C357" s="20" t="n">
        <f aca="false">C346</f>
        <v>50.65728</v>
      </c>
      <c r="D357" s="20" t="n">
        <f aca="false">D353*D356*fx</f>
        <v>160.037368</v>
      </c>
      <c r="E357" s="20" t="n">
        <f aca="false">E353*E356*fx</f>
        <v>446.150394253073</v>
      </c>
      <c r="F357" s="20" t="n">
        <f aca="false">F353*F356*fx</f>
        <v>511.654697584972</v>
      </c>
      <c r="G357" s="20" t="n">
        <f aca="false">G353*G356*fx</f>
        <v>599.689314263213</v>
      </c>
    </row>
    <row r="358" customFormat="false" ht="17.15" hidden="false" customHeight="false" outlineLevel="0" collapsed="false">
      <c r="A358" s="6" t="s">
        <v>404</v>
      </c>
    </row>
    <row r="359" customFormat="false" ht="17.15" hidden="false" customHeight="false" outlineLevel="0" collapsed="false">
      <c r="A359" s="0" t="s">
        <v>405</v>
      </c>
      <c r="B359" s="4" t="s">
        <v>55</v>
      </c>
      <c r="D359" s="19" t="n">
        <f aca="false">trn_26*1</f>
        <v>2</v>
      </c>
      <c r="E359" s="19" t="n">
        <f aca="false">trn_27*1*1</f>
        <v>2.5</v>
      </c>
      <c r="F359" s="19" t="n">
        <f aca="false">trn_28*um28_A*1</f>
        <v>3</v>
      </c>
      <c r="G359" s="19" t="n">
        <f aca="false">trn_29*um29_A*1</f>
        <v>3.45</v>
      </c>
    </row>
    <row r="360" customFormat="false" ht="17.15" hidden="false" customHeight="false" outlineLevel="0" collapsed="false">
      <c r="A360" s="4" t="s">
        <v>406</v>
      </c>
      <c r="B360" s="4" t="s">
        <v>407</v>
      </c>
      <c r="D360" s="20" t="n">
        <f aca="false">D344/D359</f>
        <v>102.6903</v>
      </c>
      <c r="H360" s="8" t="s">
        <v>408</v>
      </c>
    </row>
    <row r="361" customFormat="false" ht="17.15" hidden="false" customHeight="false" outlineLevel="0" collapsed="false">
      <c r="A361" s="4" t="s">
        <v>409</v>
      </c>
      <c r="B361" s="0" t="s">
        <v>76</v>
      </c>
      <c r="D361" s="19" t="n">
        <f aca="false">1</f>
        <v>1</v>
      </c>
      <c r="E361" s="19" t="n">
        <f aca="false">nrel_27</f>
        <v>0.9</v>
      </c>
      <c r="F361" s="19" t="n">
        <f aca="false">nrel_28</f>
        <v>0.85</v>
      </c>
      <c r="G361" s="19" t="n">
        <f aca="false">nrel_29</f>
        <v>0.8</v>
      </c>
    </row>
    <row r="362" customFormat="false" ht="15" hidden="false" customHeight="false" outlineLevel="0" collapsed="false">
      <c r="A362" s="4" t="s">
        <v>410</v>
      </c>
      <c r="B362" s="0" t="s">
        <v>186</v>
      </c>
      <c r="C362" s="20" t="n">
        <f aca="false">C344</f>
        <v>156.4416</v>
      </c>
      <c r="D362" s="20" t="n">
        <f aca="false">D359*$D$360*D361</f>
        <v>205.3806</v>
      </c>
      <c r="E362" s="20" t="n">
        <f aca="false">E359*$D$360*E361</f>
        <v>231.053175</v>
      </c>
      <c r="F362" s="20" t="n">
        <f aca="false">F359*$D$360*F361</f>
        <v>261.860265</v>
      </c>
      <c r="G362" s="20" t="n">
        <f aca="false">G359*$D$360*G361</f>
        <v>283.425228</v>
      </c>
    </row>
    <row r="363" customFormat="false" ht="17.15" hidden="false" customHeight="false" outlineLevel="0" collapsed="false">
      <c r="A363" s="6" t="s">
        <v>411</v>
      </c>
    </row>
    <row r="364" customFormat="false" ht="17.15" hidden="false" customHeight="false" outlineLevel="0" collapsed="false">
      <c r="A364" s="4" t="s">
        <v>412</v>
      </c>
      <c r="B364" s="0" t="s">
        <v>186</v>
      </c>
      <c r="C364" s="20" t="n">
        <f aca="false">C345</f>
        <v>41.22112</v>
      </c>
      <c r="D364" s="20" t="n">
        <f aca="false">D345</f>
        <v>45.343232</v>
      </c>
      <c r="E364" s="20" t="n">
        <f aca="false">D364*(1+g_nai27)</f>
        <v>48.06382592</v>
      </c>
      <c r="F364" s="20" t="n">
        <f aca="false">E364*(1+g_nai28)</f>
        <v>50.467017216</v>
      </c>
      <c r="G364" s="20" t="n">
        <f aca="false">F364*(1+g_nai29)</f>
        <v>52.9903680768</v>
      </c>
    </row>
    <row r="365" customFormat="false" ht="15" hidden="false" customHeight="false" outlineLevel="0" collapsed="false">
      <c r="A365" s="4" t="s">
        <v>316</v>
      </c>
      <c r="B365" s="0" t="s">
        <v>186</v>
      </c>
      <c r="C365" s="20" t="n">
        <f aca="false">C357+C362+C364</f>
        <v>248.32</v>
      </c>
      <c r="D365" s="20" t="n">
        <f aca="false">D357+D362+D364</f>
        <v>410.7612</v>
      </c>
      <c r="E365" s="20" t="n">
        <f aca="false">E357+E362+E364</f>
        <v>725.267395173073</v>
      </c>
      <c r="F365" s="20" t="n">
        <f aca="false">F357+F362+F364</f>
        <v>823.981979800972</v>
      </c>
      <c r="G365" s="20" t="n">
        <f aca="false">G357+G362+G364</f>
        <v>936.104910340013</v>
      </c>
    </row>
    <row r="366" customFormat="false" ht="15" hidden="false" customHeight="false" outlineLevel="0" collapsed="false">
      <c r="A366" s="4" t="s">
        <v>413</v>
      </c>
      <c r="B366" s="0" t="s">
        <v>103</v>
      </c>
      <c r="D366" s="18" t="n">
        <f aca="false">D365/C365-1</f>
        <v>0.654160760309279</v>
      </c>
      <c r="E366" s="18" t="n">
        <f aca="false">E365/D365-1</f>
        <v>0.765666755217077</v>
      </c>
      <c r="F366" s="18" t="n">
        <f aca="false">F365/E365-1</f>
        <v>0.136107848339636</v>
      </c>
      <c r="G366" s="18" t="n">
        <f aca="false">G365/F365-1</f>
        <v>0.136074493481184</v>
      </c>
    </row>
    <row r="367" customFormat="false" ht="17.15" hidden="false" customHeight="false" outlineLevel="0" collapsed="false">
      <c r="A367" s="0" t="s">
        <v>414</v>
      </c>
      <c r="B367" s="0" t="s">
        <v>103</v>
      </c>
      <c r="C367" s="18" t="n">
        <f aca="false">(C357+C362)/C365</f>
        <v>0.834</v>
      </c>
      <c r="D367" s="18" t="n">
        <f aca="false">(D357+D362)/D365</f>
        <v>0.889611696528299</v>
      </c>
      <c r="E367" s="18" t="n">
        <f aca="false">(E357+E362)/E365</f>
        <v>0.93372950964033</v>
      </c>
      <c r="F367" s="18" t="n">
        <f aca="false">(F357+F362)/F365</f>
        <v>0.938752280446485</v>
      </c>
      <c r="G367" s="18" t="n">
        <f aca="false">(G357+G362)/G365</f>
        <v>0.943392703647337</v>
      </c>
    </row>
    <row r="368" customFormat="false" ht="17.15" hidden="false" customHeight="false" outlineLevel="0" collapsed="false">
      <c r="A368" s="4" t="s">
        <v>415</v>
      </c>
      <c r="B368" s="0" t="s">
        <v>103</v>
      </c>
      <c r="C368" s="18" t="n">
        <f aca="false">C362/C365</f>
        <v>0.63</v>
      </c>
      <c r="D368" s="18" t="n">
        <f aca="false">D362/D365</f>
        <v>0.5</v>
      </c>
      <c r="E368" s="18" t="n">
        <f aca="false">E362/E365</f>
        <v>0.318576536788701</v>
      </c>
      <c r="F368" s="18" t="n">
        <f aca="false">F362/F365</f>
        <v>0.317798533729161</v>
      </c>
      <c r="G368" s="18" t="n">
        <f aca="false">G362/G365</f>
        <v>0.302770795099295</v>
      </c>
    </row>
    <row r="369" customFormat="false" ht="17.15" hidden="false" customHeight="false" outlineLevel="0" collapsed="false">
      <c r="A369" s="6" t="s">
        <v>416</v>
      </c>
    </row>
    <row r="370" customFormat="false" ht="17.15" hidden="false" customHeight="false" outlineLevel="0" collapsed="false">
      <c r="A370" s="4" t="s">
        <v>417</v>
      </c>
      <c r="B370" s="0" t="s">
        <v>103</v>
      </c>
      <c r="D370" s="15" t="n">
        <f aca="false">a26_gp/a26_rev+d_nap*D368</f>
        <v>0.219589247962076</v>
      </c>
      <c r="H370" s="8" t="s">
        <v>418</v>
      </c>
    </row>
    <row r="371" customFormat="false" ht="15" hidden="false" customHeight="false" outlineLevel="0" collapsed="false">
      <c r="A371" s="4" t="s">
        <v>320</v>
      </c>
      <c r="B371" s="0" t="s">
        <v>186</v>
      </c>
      <c r="C371" s="20" t="n">
        <f aca="false">a25_gp</f>
        <v>44.921088</v>
      </c>
      <c r="D371" s="20" t="n">
        <f aca="false">a26_gp</f>
        <v>77.875907</v>
      </c>
      <c r="E371" s="20" t="n">
        <f aca="false">$D$370*(E357+E364)+($D$370-d_nap)*E362</f>
        <v>145.397731377469</v>
      </c>
      <c r="F371" s="20" t="n">
        <f aca="false">$D$370*(F357+F364)+($D$370-d_nap)*F362</f>
        <v>165.225967378798</v>
      </c>
      <c r="G371" s="20" t="n">
        <f aca="false">$D$370*(G357+G364)+($D$370-d_nap)*G362</f>
        <v>188.55305959517</v>
      </c>
    </row>
    <row r="372" customFormat="false" ht="15" hidden="false" customHeight="false" outlineLevel="0" collapsed="false">
      <c r="A372" s="4" t="s">
        <v>322</v>
      </c>
      <c r="B372" s="0" t="s">
        <v>103</v>
      </c>
      <c r="C372" s="15" t="n">
        <f aca="false">C371/C365</f>
        <v>0.1809</v>
      </c>
      <c r="D372" s="15" t="n">
        <f aca="false">D371/D365</f>
        <v>0.189589247962076</v>
      </c>
      <c r="E372" s="15" t="n">
        <f aca="false">E371/E365</f>
        <v>0.200474655754754</v>
      </c>
      <c r="F372" s="15" t="n">
        <f aca="false">F371/F365</f>
        <v>0.200521335938327</v>
      </c>
      <c r="G372" s="15" t="n">
        <f aca="false">G371/G365</f>
        <v>0.201423000256119</v>
      </c>
    </row>
    <row r="373" customFormat="false" ht="15" hidden="false" customHeight="false" outlineLevel="0" collapsed="false">
      <c r="A373" s="4" t="s">
        <v>419</v>
      </c>
      <c r="B373" s="0" t="s">
        <v>186</v>
      </c>
      <c r="C373" s="20" t="n">
        <f aca="false">a25_opx</f>
        <v>12.78848</v>
      </c>
      <c r="D373" s="20" t="n">
        <f aca="false">a26_opx</f>
        <v>17.956088</v>
      </c>
      <c r="E373" s="20" t="n">
        <f aca="false">D373*(1+MAX(0,phi*E366))</f>
        <v>26.2051157812114</v>
      </c>
      <c r="F373" s="20" t="n">
        <f aca="false">E373*(1+MAX(0,phi*F366))</f>
        <v>28.3451489358944</v>
      </c>
      <c r="G373" s="20" t="n">
        <f aca="false">F373*(1+MAX(0,phi*G366))</f>
        <v>30.6593800063547</v>
      </c>
    </row>
    <row r="374" customFormat="false" ht="15" hidden="false" customHeight="false" outlineLevel="0" collapsed="false">
      <c r="A374" s="4" t="s">
        <v>324</v>
      </c>
      <c r="B374" s="0" t="s">
        <v>186</v>
      </c>
      <c r="C374" s="20" t="n">
        <f aca="false">C373</f>
        <v>12.78848</v>
      </c>
      <c r="D374" s="20" t="n">
        <f aca="false">D373</f>
        <v>17.956088</v>
      </c>
      <c r="E374" s="20" t="n">
        <f aca="false">E373+0*E365</f>
        <v>26.2051157812114</v>
      </c>
      <c r="F374" s="20" t="n">
        <f aca="false">F373+0*F365</f>
        <v>28.3451489358944</v>
      </c>
      <c r="G374" s="20" t="n">
        <f aca="false">G373+0*G365</f>
        <v>30.6593800063547</v>
      </c>
    </row>
    <row r="375" customFormat="false" ht="15" hidden="false" customHeight="false" outlineLevel="0" collapsed="false">
      <c r="A375" s="4" t="s">
        <v>326</v>
      </c>
      <c r="B375" s="0" t="s">
        <v>186</v>
      </c>
      <c r="C375" s="20" t="n">
        <f aca="false">C371-C374</f>
        <v>32.132608</v>
      </c>
      <c r="D375" s="20" t="n">
        <f aca="false">D371-D374</f>
        <v>59.919819</v>
      </c>
      <c r="E375" s="20" t="n">
        <f aca="false">E371-E374</f>
        <v>119.192615596258</v>
      </c>
      <c r="F375" s="20" t="n">
        <f aca="false">F371-F374</f>
        <v>136.880818442904</v>
      </c>
      <c r="G375" s="20" t="n">
        <f aca="false">G371-G374</f>
        <v>157.893679588815</v>
      </c>
    </row>
    <row r="376" customFormat="false" ht="15" hidden="false" customHeight="false" outlineLevel="0" collapsed="false">
      <c r="A376" s="4" t="s">
        <v>328</v>
      </c>
      <c r="B376" s="0" t="s">
        <v>103</v>
      </c>
      <c r="C376" s="15" t="n">
        <f aca="false">C375/C365</f>
        <v>0.1294</v>
      </c>
      <c r="D376" s="15" t="n">
        <f aca="false">D375/D365</f>
        <v>0.145875070478906</v>
      </c>
      <c r="E376" s="15" t="n">
        <f aca="false">E375/E365</f>
        <v>0.164342994583142</v>
      </c>
      <c r="F376" s="15" t="n">
        <f aca="false">F375/F365</f>
        <v>0.16612113104217</v>
      </c>
      <c r="G376" s="15" t="n">
        <f aca="false">G375/G365</f>
        <v>0.168670923359931</v>
      </c>
    </row>
    <row r="377" customFormat="false" ht="17.15" hidden="false" customHeight="false" outlineLevel="0" collapsed="false">
      <c r="A377" s="4" t="s">
        <v>224</v>
      </c>
      <c r="B377" s="0" t="s">
        <v>76</v>
      </c>
      <c r="C377" s="16" t="n">
        <f aca="false">a25_ni/a25_oi</f>
        <v>0.819790289042209</v>
      </c>
      <c r="D377" s="16" t="n">
        <f aca="false">a26_ni/a26_oi</f>
        <v>0.798164213413262</v>
      </c>
      <c r="E377" s="16" t="n">
        <f aca="false">nio_f</f>
        <v>0.8</v>
      </c>
      <c r="F377" s="16" t="n">
        <f aca="false">nio_f</f>
        <v>0.8</v>
      </c>
      <c r="G377" s="16" t="n">
        <f aca="false">nio_f</f>
        <v>0.8</v>
      </c>
    </row>
    <row r="378" customFormat="false" ht="15" hidden="false" customHeight="false" outlineLevel="0" collapsed="false">
      <c r="A378" s="4" t="s">
        <v>329</v>
      </c>
      <c r="B378" s="0" t="s">
        <v>186</v>
      </c>
      <c r="C378" s="20" t="n">
        <f aca="false">a25_ni</f>
        <v>26.342</v>
      </c>
      <c r="D378" s="20" t="n">
        <f aca="false">a26_ni</f>
        <v>47.8258552</v>
      </c>
      <c r="E378" s="20" t="n">
        <f aca="false">E375*E377</f>
        <v>95.3540924770061</v>
      </c>
      <c r="F378" s="20" t="n">
        <f aca="false">F375*F377</f>
        <v>109.504654754323</v>
      </c>
      <c r="G378" s="20" t="n">
        <f aca="false">G375*G377</f>
        <v>126.314943671052</v>
      </c>
    </row>
    <row r="379" customFormat="false" ht="15" hidden="false" customHeight="false" outlineLevel="0" collapsed="false">
      <c r="A379" s="4" t="s">
        <v>420</v>
      </c>
      <c r="B379" s="4" t="s">
        <v>211</v>
      </c>
      <c r="C379" s="17" t="n">
        <f aca="false">a25_sh</f>
        <v>0.558922130277955</v>
      </c>
      <c r="D379" s="17" t="n">
        <f aca="false">a26_sh</f>
        <v>0.558904899135447</v>
      </c>
      <c r="E379" s="17" t="n">
        <f aca="false">D379*(1+sh_g27)</f>
        <v>0.568853406340058</v>
      </c>
      <c r="F379" s="17" t="n">
        <f aca="false">E379*(1+sh_g)</f>
        <v>0.568853406340058</v>
      </c>
      <c r="G379" s="17" t="n">
        <f aca="false">F379*(1+sh_g)</f>
        <v>0.568853406340058</v>
      </c>
    </row>
    <row r="380" customFormat="false" ht="15" hidden="false" customHeight="false" outlineLevel="0" collapsed="false">
      <c r="A380" s="0" t="s">
        <v>334</v>
      </c>
      <c r="B380" s="0" t="s">
        <v>244</v>
      </c>
      <c r="C380" s="14" t="n">
        <f aca="false">C378/C379</f>
        <v>47.13</v>
      </c>
      <c r="D380" s="14" t="n">
        <f aca="false">D378/D379</f>
        <v>85.5706494503455</v>
      </c>
      <c r="E380" s="14" t="n">
        <f aca="false">E378/E379</f>
        <v>167.625070737476</v>
      </c>
      <c r="F380" s="14" t="n">
        <f aca="false">F378/F379</f>
        <v>192.500657522409</v>
      </c>
      <c r="G380" s="14" t="n">
        <f aca="false">G378/G379</f>
        <v>222.051836665178</v>
      </c>
    </row>
    <row r="381" customFormat="false" ht="17.15" hidden="false" customHeight="false" outlineLevel="0" collapsed="false">
      <c r="A381" s="0" t="s">
        <v>421</v>
      </c>
      <c r="B381" s="0" t="s">
        <v>103</v>
      </c>
      <c r="D381" s="18" t="n">
        <f aca="false">D380/C380-1</f>
        <v>0.815630160202535</v>
      </c>
      <c r="E381" s="18" t="n">
        <f aca="false">E380/D380-1</f>
        <v>0.958908478715524</v>
      </c>
      <c r="F381" s="18" t="n">
        <f aca="false">F380/E380-1</f>
        <v>0.14840015682315</v>
      </c>
      <c r="G381" s="18" t="n">
        <f aca="false">G380/F380-1</f>
        <v>0.153512094572086</v>
      </c>
    </row>
    <row r="384" customFormat="false" ht="17.15" hidden="false" customHeight="false" outlineLevel="0" collapsed="false">
      <c r="A384" s="1" t="s">
        <v>725</v>
      </c>
    </row>
    <row r="385" customFormat="false" ht="17.15" hidden="false" customHeight="false" outlineLevel="0" collapsed="false">
      <c r="A385" s="5" t="s">
        <v>21</v>
      </c>
      <c r="B385" s="5" t="s">
        <v>22</v>
      </c>
      <c r="C385" s="12" t="s">
        <v>309</v>
      </c>
      <c r="D385" s="12" t="s">
        <v>371</v>
      </c>
      <c r="E385" s="12" t="s">
        <v>372</v>
      </c>
      <c r="F385" s="12" t="s">
        <v>373</v>
      </c>
      <c r="G385" s="12" t="s">
        <v>374</v>
      </c>
      <c r="H385" s="5" t="s">
        <v>350</v>
      </c>
    </row>
    <row r="386" customFormat="false" ht="17.15" hidden="false" customHeight="false" outlineLevel="0" collapsed="false">
      <c r="A386" s="6" t="s">
        <v>389</v>
      </c>
    </row>
    <row r="387" customFormat="false" ht="17.15" hidden="false" customHeight="false" outlineLevel="0" collapsed="false">
      <c r="A387" s="4" t="s">
        <v>390</v>
      </c>
      <c r="B387" s="0" t="s">
        <v>186</v>
      </c>
      <c r="C387" s="20" t="n">
        <f aca="false">a25_rev*nap25s</f>
        <v>156.4416</v>
      </c>
      <c r="D387" s="20" t="n">
        <f aca="false">a26_rev*ns26</f>
        <v>205.3806</v>
      </c>
    </row>
    <row r="388" customFormat="false" ht="17.15" hidden="false" customHeight="false" outlineLevel="0" collapsed="false">
      <c r="A388" s="4" t="s">
        <v>391</v>
      </c>
      <c r="B388" s="0" t="s">
        <v>186</v>
      </c>
      <c r="C388" s="20" t="n">
        <f aca="false">a25_rev*(1-nap25s-sw25s*af25)</f>
        <v>41.22112</v>
      </c>
      <c r="D388" s="20" t="n">
        <f aca="false">C388*(1+g_nai26)</f>
        <v>45.343232</v>
      </c>
    </row>
    <row r="389" customFormat="false" ht="17.15" hidden="false" customHeight="false" outlineLevel="0" collapsed="false">
      <c r="A389" s="0" t="s">
        <v>392</v>
      </c>
      <c r="B389" s="0" t="s">
        <v>186</v>
      </c>
      <c r="C389" s="20" t="n">
        <f aca="false">a25_rev*sw25s*af25</f>
        <v>50.65728</v>
      </c>
      <c r="D389" s="20" t="n">
        <f aca="false">a26_rev-D387-D388</f>
        <v>160.037368</v>
      </c>
      <c r="H389" s="8" t="s">
        <v>393</v>
      </c>
    </row>
    <row r="390" customFormat="false" ht="17.15" hidden="false" customHeight="false" outlineLevel="0" collapsed="false">
      <c r="A390" s="6" t="s">
        <v>394</v>
      </c>
    </row>
    <row r="391" customFormat="false" ht="17.15" hidden="false" customHeight="false" outlineLevel="0" collapsed="false">
      <c r="A391" s="0" t="s">
        <v>395</v>
      </c>
      <c r="B391" s="0" t="s">
        <v>32</v>
      </c>
      <c r="D391" s="14" t="n">
        <f aca="false">mkt_26*1</f>
        <v>32.0719</v>
      </c>
      <c r="E391" s="14" t="n">
        <f aca="false">mkt_27*1*1</f>
        <v>61.085</v>
      </c>
      <c r="F391" s="14" t="n">
        <f aca="false">mkt_28*um28_A*1</f>
        <v>69.005</v>
      </c>
      <c r="G391" s="14" t="n">
        <f aca="false">mkt_29*um29_A*1</f>
        <v>78.48215</v>
      </c>
    </row>
    <row r="392" customFormat="false" ht="15" hidden="false" customHeight="false" outlineLevel="0" collapsed="false">
      <c r="A392" s="4" t="s">
        <v>396</v>
      </c>
      <c r="B392" s="0" t="s">
        <v>103</v>
      </c>
      <c r="D392" s="18" t="n">
        <f aca="false">eth_26</f>
        <v>0.75</v>
      </c>
      <c r="E392" s="18" t="n">
        <f aca="false">eth_27</f>
        <v>0.8</v>
      </c>
      <c r="F392" s="18" t="n">
        <f aca="false">eth_28</f>
        <v>0.83</v>
      </c>
      <c r="G392" s="18" t="n">
        <f aca="false">eth_29</f>
        <v>0.85</v>
      </c>
    </row>
    <row r="393" customFormat="false" ht="17.15" hidden="false" customHeight="false" outlineLevel="0" collapsed="false">
      <c r="A393" s="4" t="s">
        <v>397</v>
      </c>
      <c r="B393" s="0" t="s">
        <v>32</v>
      </c>
      <c r="D393" s="14" t="n">
        <f aca="false">su_26*1</f>
        <v>3.015</v>
      </c>
      <c r="E393" s="14" t="n">
        <f aca="false">su_27*1*1</f>
        <v>11.3414</v>
      </c>
      <c r="F393" s="14" t="n">
        <f aca="false">su_28*um28_A*1</f>
        <v>13.8952</v>
      </c>
      <c r="G393" s="14" t="n">
        <f aca="false">su_29*um29_A*1</f>
        <v>15.97948</v>
      </c>
    </row>
    <row r="394" customFormat="false" ht="17.15" hidden="false" customHeight="false" outlineLevel="0" collapsed="false">
      <c r="A394" s="0" t="s">
        <v>398</v>
      </c>
      <c r="B394" s="0" t="s">
        <v>32</v>
      </c>
      <c r="D394" s="14" t="n">
        <f aca="false">D391*D392+D393</f>
        <v>27.068925</v>
      </c>
      <c r="E394" s="14" t="n">
        <f aca="false">E391*E392+E393</f>
        <v>60.2094</v>
      </c>
      <c r="F394" s="14" t="n">
        <f aca="false">F391*F392+F393</f>
        <v>71.16935</v>
      </c>
      <c r="G394" s="14" t="n">
        <f aca="false">G391*G392+G393</f>
        <v>82.6893075</v>
      </c>
    </row>
    <row r="395" customFormat="false" ht="15" hidden="false" customHeight="false" outlineLevel="0" collapsed="false">
      <c r="A395" s="4" t="s">
        <v>355</v>
      </c>
      <c r="B395" s="0" t="s">
        <v>103</v>
      </c>
      <c r="D395" s="18" t="n">
        <f aca="false">wb_26</f>
        <v>0.45</v>
      </c>
      <c r="E395" s="18" t="n">
        <f aca="false">wb_27</f>
        <v>0.47</v>
      </c>
      <c r="F395" s="18" t="n">
        <f aca="false">wb_28</f>
        <v>0.48</v>
      </c>
      <c r="G395" s="18" t="n">
        <f aca="false">wb_29</f>
        <v>0.5</v>
      </c>
    </row>
    <row r="396" customFormat="false" ht="17.15" hidden="false" customHeight="false" outlineLevel="0" collapsed="false">
      <c r="A396" s="4" t="s">
        <v>357</v>
      </c>
      <c r="B396" s="0" t="s">
        <v>32</v>
      </c>
      <c r="D396" s="14" t="n">
        <f aca="false">D394*D395</f>
        <v>12.18101625</v>
      </c>
      <c r="E396" s="14" t="n">
        <f aca="false">E394*E395</f>
        <v>28.298418</v>
      </c>
      <c r="F396" s="14" t="n">
        <f aca="false">F394*F395</f>
        <v>34.161288</v>
      </c>
      <c r="G396" s="14" t="n">
        <f aca="false">G394*G395</f>
        <v>41.34465375</v>
      </c>
    </row>
    <row r="397" customFormat="false" ht="17.15" hidden="false" customHeight="false" outlineLevel="0" collapsed="false">
      <c r="A397" s="4" t="s">
        <v>399</v>
      </c>
      <c r="B397" s="0" t="s">
        <v>103</v>
      </c>
      <c r="D397" s="18" t="n">
        <f aca="false">D389/fx/D396</f>
        <v>0.410570649226414</v>
      </c>
      <c r="H397" s="8" t="s">
        <v>400</v>
      </c>
    </row>
    <row r="398" customFormat="false" ht="17.15" hidden="false" customHeight="false" outlineLevel="0" collapsed="false">
      <c r="A398" s="4" t="s">
        <v>401</v>
      </c>
      <c r="B398" s="0" t="s">
        <v>76</v>
      </c>
      <c r="D398" s="19" t="n">
        <f aca="false">1</f>
        <v>1</v>
      </c>
      <c r="E398" s="19" t="n">
        <f aca="false">rel_27</f>
        <v>1</v>
      </c>
      <c r="F398" s="19" t="n">
        <f aca="false">rel_28</f>
        <v>0.95</v>
      </c>
      <c r="G398" s="19" t="n">
        <f aca="false">rel_29</f>
        <v>0.92</v>
      </c>
    </row>
    <row r="399" customFormat="false" ht="15" hidden="false" customHeight="false" outlineLevel="0" collapsed="false">
      <c r="A399" s="4" t="s">
        <v>402</v>
      </c>
      <c r="B399" s="0" t="s">
        <v>103</v>
      </c>
      <c r="D399" s="18" t="n">
        <f aca="false">$D$397*D398</f>
        <v>0.410570649226414</v>
      </c>
      <c r="E399" s="18" t="n">
        <f aca="false">$D$397*E398</f>
        <v>0.410570649226414</v>
      </c>
      <c r="F399" s="18" t="n">
        <f aca="false">$D$397*F398</f>
        <v>0.390042116765093</v>
      </c>
      <c r="G399" s="18" t="n">
        <f aca="false">$D$397*G398</f>
        <v>0.377724997288301</v>
      </c>
    </row>
    <row r="400" customFormat="false" ht="17.15" hidden="false" customHeight="false" outlineLevel="0" collapsed="false">
      <c r="A400" s="0" t="s">
        <v>403</v>
      </c>
      <c r="B400" s="0" t="s">
        <v>186</v>
      </c>
      <c r="C400" s="20" t="n">
        <f aca="false">C389</f>
        <v>50.65728</v>
      </c>
      <c r="D400" s="20" t="n">
        <f aca="false">D396*D399*fx</f>
        <v>160.037368</v>
      </c>
      <c r="E400" s="20" t="n">
        <f aca="false">E396*E399*fx</f>
        <v>371.791995210894</v>
      </c>
      <c r="F400" s="20" t="n">
        <f aca="false">F396*F399*fx</f>
        <v>426.378914654143</v>
      </c>
      <c r="G400" s="20" t="n">
        <f aca="false">G396*G399*fx</f>
        <v>499.741095219344</v>
      </c>
    </row>
    <row r="401" customFormat="false" ht="17.15" hidden="false" customHeight="false" outlineLevel="0" collapsed="false">
      <c r="A401" s="6" t="s">
        <v>404</v>
      </c>
    </row>
    <row r="402" customFormat="false" ht="17.15" hidden="false" customHeight="false" outlineLevel="0" collapsed="false">
      <c r="A402" s="0" t="s">
        <v>405</v>
      </c>
      <c r="B402" s="4" t="s">
        <v>55</v>
      </c>
      <c r="D402" s="19" t="n">
        <f aca="false">trn_26*1</f>
        <v>2</v>
      </c>
      <c r="E402" s="19" t="n">
        <f aca="false">trn_27*1*1</f>
        <v>2.5</v>
      </c>
      <c r="F402" s="19" t="n">
        <f aca="false">trn_28*um28_A*1</f>
        <v>3</v>
      </c>
      <c r="G402" s="19" t="n">
        <f aca="false">trn_29*um29_A*1</f>
        <v>3.45</v>
      </c>
    </row>
    <row r="403" customFormat="false" ht="17.15" hidden="false" customHeight="false" outlineLevel="0" collapsed="false">
      <c r="A403" s="4" t="s">
        <v>406</v>
      </c>
      <c r="B403" s="4" t="s">
        <v>407</v>
      </c>
      <c r="D403" s="20" t="n">
        <f aca="false">D387/D402</f>
        <v>102.6903</v>
      </c>
      <c r="H403" s="8" t="s">
        <v>408</v>
      </c>
    </row>
    <row r="404" customFormat="false" ht="17.15" hidden="false" customHeight="false" outlineLevel="0" collapsed="false">
      <c r="A404" s="4" t="s">
        <v>409</v>
      </c>
      <c r="B404" s="0" t="s">
        <v>76</v>
      </c>
      <c r="D404" s="19" t="n">
        <f aca="false">1</f>
        <v>1</v>
      </c>
      <c r="E404" s="19" t="n">
        <f aca="false">NRLO_27</f>
        <v>0.65</v>
      </c>
      <c r="F404" s="19" t="n">
        <f aca="false">NRLO_28</f>
        <v>0.55</v>
      </c>
      <c r="G404" s="19" t="n">
        <f aca="false">NRLO_29</f>
        <v>0.5</v>
      </c>
    </row>
    <row r="405" customFormat="false" ht="15" hidden="false" customHeight="false" outlineLevel="0" collapsed="false">
      <c r="A405" s="4" t="s">
        <v>410</v>
      </c>
      <c r="B405" s="0" t="s">
        <v>186</v>
      </c>
      <c r="C405" s="20" t="n">
        <f aca="false">C387</f>
        <v>156.4416</v>
      </c>
      <c r="D405" s="20" t="n">
        <f aca="false">D402*$D$403*D404</f>
        <v>205.3806</v>
      </c>
      <c r="E405" s="20" t="n">
        <f aca="false">E402*$D$403*E404</f>
        <v>166.8717375</v>
      </c>
      <c r="F405" s="20" t="n">
        <f aca="false">F402*$D$403*F404</f>
        <v>169.438995</v>
      </c>
      <c r="G405" s="20" t="n">
        <f aca="false">G402*$D$403*G404</f>
        <v>177.1407675</v>
      </c>
    </row>
    <row r="406" customFormat="false" ht="17.15" hidden="false" customHeight="false" outlineLevel="0" collapsed="false">
      <c r="A406" s="6" t="s">
        <v>411</v>
      </c>
    </row>
    <row r="407" customFormat="false" ht="17.15" hidden="false" customHeight="false" outlineLevel="0" collapsed="false">
      <c r="A407" s="4" t="s">
        <v>412</v>
      </c>
      <c r="B407" s="0" t="s">
        <v>186</v>
      </c>
      <c r="C407" s="20" t="n">
        <f aca="false">C388</f>
        <v>41.22112</v>
      </c>
      <c r="D407" s="20" t="n">
        <f aca="false">D388</f>
        <v>45.343232</v>
      </c>
      <c r="E407" s="20" t="n">
        <f aca="false">D407*(1+g_nai27)</f>
        <v>48.06382592</v>
      </c>
      <c r="F407" s="20" t="n">
        <f aca="false">E407*(1+g_nai28)</f>
        <v>50.467017216</v>
      </c>
      <c r="G407" s="20" t="n">
        <f aca="false">F407*(1+g_nai29)</f>
        <v>52.9903680768</v>
      </c>
    </row>
    <row r="408" customFormat="false" ht="15" hidden="false" customHeight="false" outlineLevel="0" collapsed="false">
      <c r="A408" s="4" t="s">
        <v>316</v>
      </c>
      <c r="B408" s="0" t="s">
        <v>186</v>
      </c>
      <c r="C408" s="20" t="n">
        <f aca="false">C400+C405+C407</f>
        <v>248.32</v>
      </c>
      <c r="D408" s="20" t="n">
        <f aca="false">D400+D405+D407</f>
        <v>410.7612</v>
      </c>
      <c r="E408" s="20" t="n">
        <f aca="false">E400+E405+E407</f>
        <v>586.727558630894</v>
      </c>
      <c r="F408" s="20" t="n">
        <f aca="false">F400+F405+F407</f>
        <v>646.284926870144</v>
      </c>
      <c r="G408" s="20" t="n">
        <f aca="false">G400+G405+G407</f>
        <v>729.872230796144</v>
      </c>
    </row>
    <row r="409" customFormat="false" ht="15" hidden="false" customHeight="false" outlineLevel="0" collapsed="false">
      <c r="A409" s="4" t="s">
        <v>413</v>
      </c>
      <c r="B409" s="0" t="s">
        <v>103</v>
      </c>
      <c r="D409" s="18" t="n">
        <f aca="false">D408/C408-1</f>
        <v>0.654160760309279</v>
      </c>
      <c r="E409" s="18" t="n">
        <f aca="false">E408/D408-1</f>
        <v>0.428390896294232</v>
      </c>
      <c r="F409" s="18" t="n">
        <f aca="false">F408/E408-1</f>
        <v>0.101507705515357</v>
      </c>
      <c r="G409" s="18" t="n">
        <f aca="false">G408/F408-1</f>
        <v>0.129335066393704</v>
      </c>
    </row>
    <row r="410" customFormat="false" ht="17.15" hidden="false" customHeight="false" outlineLevel="0" collapsed="false">
      <c r="A410" s="0" t="s">
        <v>414</v>
      </c>
      <c r="B410" s="0" t="s">
        <v>103</v>
      </c>
      <c r="C410" s="18" t="n">
        <f aca="false">(C400+C405)/C408</f>
        <v>0.834</v>
      </c>
      <c r="D410" s="18" t="n">
        <f aca="false">(D400+D405)/D408</f>
        <v>0.889611696528299</v>
      </c>
      <c r="E410" s="18" t="n">
        <f aca="false">(E400+E405)/E408</f>
        <v>0.918081526574012</v>
      </c>
      <c r="F410" s="18" t="n">
        <f aca="false">(F400+F405)/F408</f>
        <v>0.921912124021824</v>
      </c>
      <c r="G410" s="18" t="n">
        <f aca="false">(G400+G405)/G408</f>
        <v>0.927397747385185</v>
      </c>
    </row>
    <row r="411" customFormat="false" ht="17.15" hidden="false" customHeight="false" outlineLevel="0" collapsed="false">
      <c r="A411" s="4" t="s">
        <v>415</v>
      </c>
      <c r="B411" s="0" t="s">
        <v>103</v>
      </c>
      <c r="C411" s="18" t="n">
        <f aca="false">C405/C408</f>
        <v>0.63</v>
      </c>
      <c r="D411" s="18" t="n">
        <f aca="false">D405/D408</f>
        <v>0.5</v>
      </c>
      <c r="E411" s="18" t="n">
        <f aca="false">E405/E408</f>
        <v>0.284410941748481</v>
      </c>
      <c r="F411" s="18" t="n">
        <f aca="false">F405/F408</f>
        <v>0.26217383069812</v>
      </c>
      <c r="G411" s="18" t="n">
        <f aca="false">G405/G408</f>
        <v>0.242701064687411</v>
      </c>
    </row>
    <row r="412" customFormat="false" ht="17.15" hidden="false" customHeight="false" outlineLevel="0" collapsed="false">
      <c r="A412" s="6" t="s">
        <v>416</v>
      </c>
    </row>
    <row r="413" customFormat="false" ht="17.15" hidden="false" customHeight="false" outlineLevel="0" collapsed="false">
      <c r="A413" s="4" t="s">
        <v>417</v>
      </c>
      <c r="B413" s="0" t="s">
        <v>103</v>
      </c>
      <c r="D413" s="15" t="n">
        <f aca="false">a26_gp/a26_rev+d_nap*D411</f>
        <v>0.219589247962076</v>
      </c>
      <c r="H413" s="8" t="s">
        <v>418</v>
      </c>
    </row>
    <row r="414" customFormat="false" ht="15" hidden="false" customHeight="false" outlineLevel="0" collapsed="false">
      <c r="A414" s="4" t="s">
        <v>320</v>
      </c>
      <c r="B414" s="0" t="s">
        <v>186</v>
      </c>
      <c r="C414" s="20" t="n">
        <f aca="false">a25_gp</f>
        <v>44.921088</v>
      </c>
      <c r="D414" s="20" t="n">
        <f aca="false">a26_gp</f>
        <v>77.875907</v>
      </c>
      <c r="E414" s="20" t="n">
        <f aca="false">$D$413*(E400+E407)+($D$413-d_nap)*E405</f>
        <v>118.826759108383</v>
      </c>
      <c r="F414" s="20" t="n">
        <f aca="false">$D$413*(F400+F407)+($D$413-d_nap)*F405</f>
        <v>131.75088136064</v>
      </c>
      <c r="G414" s="20" t="n">
        <f aca="false">$D$413*(G400+G407)+($D$413-d_nap)*G405</f>
        <v>149.643648218928</v>
      </c>
    </row>
    <row r="415" customFormat="false" ht="15" hidden="false" customHeight="false" outlineLevel="0" collapsed="false">
      <c r="A415" s="4" t="s">
        <v>322</v>
      </c>
      <c r="B415" s="0" t="s">
        <v>103</v>
      </c>
      <c r="C415" s="15" t="n">
        <f aca="false">C414/C408</f>
        <v>0.1809</v>
      </c>
      <c r="D415" s="15" t="n">
        <f aca="false">D414/D408</f>
        <v>0.189589247962076</v>
      </c>
      <c r="E415" s="15" t="n">
        <f aca="false">E414/E408</f>
        <v>0.202524591457167</v>
      </c>
      <c r="F415" s="15" t="n">
        <f aca="false">F414/F408</f>
        <v>0.203858818120189</v>
      </c>
      <c r="G415" s="15" t="n">
        <f aca="false">G414/G408</f>
        <v>0.205027184080832</v>
      </c>
    </row>
    <row r="416" customFormat="false" ht="15" hidden="false" customHeight="false" outlineLevel="0" collapsed="false">
      <c r="A416" s="4" t="s">
        <v>419</v>
      </c>
      <c r="B416" s="0" t="s">
        <v>186</v>
      </c>
      <c r="C416" s="20" t="n">
        <f aca="false">a25_opx</f>
        <v>12.78848</v>
      </c>
      <c r="D416" s="20" t="n">
        <f aca="false">a26_opx</f>
        <v>17.956088</v>
      </c>
      <c r="E416" s="20" t="n">
        <f aca="false">D416*(1+MAX(0,phi*E409))</f>
        <v>22.5714227793549</v>
      </c>
      <c r="F416" s="20" t="n">
        <f aca="false">E416*(1+MAX(0,phi*F409))</f>
        <v>23.9461267812845</v>
      </c>
      <c r="G416" s="20" t="n">
        <f aca="false">F416*(1+MAX(0,phi*G409))</f>
        <v>25.8043711195622</v>
      </c>
    </row>
    <row r="417" customFormat="false" ht="15" hidden="false" customHeight="false" outlineLevel="0" collapsed="false">
      <c r="A417" s="4" t="s">
        <v>324</v>
      </c>
      <c r="B417" s="0" t="s">
        <v>186</v>
      </c>
      <c r="C417" s="20" t="n">
        <f aca="false">C416</f>
        <v>12.78848</v>
      </c>
      <c r="D417" s="20" t="n">
        <f aca="false">D416</f>
        <v>17.956088</v>
      </c>
      <c r="E417" s="20" t="n">
        <f aca="false">E416+0*E408</f>
        <v>22.5714227793549</v>
      </c>
      <c r="F417" s="20" t="n">
        <f aca="false">F416+0*F408</f>
        <v>23.9461267812845</v>
      </c>
      <c r="G417" s="20" t="n">
        <f aca="false">G416+0*G408</f>
        <v>25.8043711195622</v>
      </c>
    </row>
    <row r="418" customFormat="false" ht="15" hidden="false" customHeight="false" outlineLevel="0" collapsed="false">
      <c r="A418" s="4" t="s">
        <v>326</v>
      </c>
      <c r="B418" s="0" t="s">
        <v>186</v>
      </c>
      <c r="C418" s="20" t="n">
        <f aca="false">C414-C417</f>
        <v>32.132608</v>
      </c>
      <c r="D418" s="20" t="n">
        <f aca="false">D414-D417</f>
        <v>59.919819</v>
      </c>
      <c r="E418" s="20" t="n">
        <f aca="false">E414-E417</f>
        <v>96.2553363290282</v>
      </c>
      <c r="F418" s="20" t="n">
        <f aca="false">F414-F417</f>
        <v>107.804754579356</v>
      </c>
      <c r="G418" s="20" t="n">
        <f aca="false">G414-G417</f>
        <v>123.839277099366</v>
      </c>
    </row>
    <row r="419" customFormat="false" ht="15" hidden="false" customHeight="false" outlineLevel="0" collapsed="false">
      <c r="A419" s="4" t="s">
        <v>328</v>
      </c>
      <c r="B419" s="0" t="s">
        <v>103</v>
      </c>
      <c r="C419" s="15" t="n">
        <f aca="false">C418/C408</f>
        <v>0.1294</v>
      </c>
      <c r="D419" s="15" t="n">
        <f aca="false">D418/D408</f>
        <v>0.145875070478906</v>
      </c>
      <c r="E419" s="15" t="n">
        <f aca="false">E418/E408</f>
        <v>0.164054568279759</v>
      </c>
      <c r="F419" s="15" t="n">
        <f aca="false">F418/F408</f>
        <v>0.166806852670133</v>
      </c>
      <c r="G419" s="15" t="n">
        <f aca="false">G418/G408</f>
        <v>0.169672542500051</v>
      </c>
    </row>
    <row r="420" customFormat="false" ht="17.15" hidden="false" customHeight="false" outlineLevel="0" collapsed="false">
      <c r="A420" s="4" t="s">
        <v>224</v>
      </c>
      <c r="B420" s="0" t="s">
        <v>76</v>
      </c>
      <c r="C420" s="16" t="n">
        <f aca="false">a25_ni/a25_oi</f>
        <v>0.819790289042209</v>
      </c>
      <c r="D420" s="16" t="n">
        <f aca="false">a26_ni/a26_oi</f>
        <v>0.798164213413262</v>
      </c>
      <c r="E420" s="16" t="n">
        <f aca="false">nio_f</f>
        <v>0.8</v>
      </c>
      <c r="F420" s="16" t="n">
        <f aca="false">nio_f</f>
        <v>0.8</v>
      </c>
      <c r="G420" s="16" t="n">
        <f aca="false">nio_f</f>
        <v>0.8</v>
      </c>
    </row>
    <row r="421" customFormat="false" ht="15" hidden="false" customHeight="false" outlineLevel="0" collapsed="false">
      <c r="A421" s="4" t="s">
        <v>329</v>
      </c>
      <c r="B421" s="0" t="s">
        <v>186</v>
      </c>
      <c r="C421" s="20" t="n">
        <f aca="false">a25_ni</f>
        <v>26.342</v>
      </c>
      <c r="D421" s="20" t="n">
        <f aca="false">a26_ni</f>
        <v>47.8258552</v>
      </c>
      <c r="E421" s="20" t="n">
        <f aca="false">E418*E420</f>
        <v>77.0042690632226</v>
      </c>
      <c r="F421" s="20" t="n">
        <f aca="false">F418*F420</f>
        <v>86.2438036634846</v>
      </c>
      <c r="G421" s="20" t="n">
        <f aca="false">G418*G420</f>
        <v>99.0714216794928</v>
      </c>
    </row>
    <row r="422" customFormat="false" ht="15" hidden="false" customHeight="false" outlineLevel="0" collapsed="false">
      <c r="A422" s="4" t="s">
        <v>420</v>
      </c>
      <c r="B422" s="4" t="s">
        <v>211</v>
      </c>
      <c r="C422" s="17" t="n">
        <f aca="false">a25_sh</f>
        <v>0.558922130277955</v>
      </c>
      <c r="D422" s="17" t="n">
        <f aca="false">a26_sh</f>
        <v>0.558904899135447</v>
      </c>
      <c r="E422" s="17" t="n">
        <f aca="false">D422*(1+sh_g27)</f>
        <v>0.568853406340058</v>
      </c>
      <c r="F422" s="17" t="n">
        <f aca="false">E422*(1+sh_g)</f>
        <v>0.568853406340058</v>
      </c>
      <c r="G422" s="17" t="n">
        <f aca="false">F422*(1+sh_g)</f>
        <v>0.568853406340058</v>
      </c>
    </row>
    <row r="423" customFormat="false" ht="15" hidden="false" customHeight="false" outlineLevel="0" collapsed="false">
      <c r="A423" s="0" t="s">
        <v>334</v>
      </c>
      <c r="B423" s="0" t="s">
        <v>244</v>
      </c>
      <c r="C423" s="14" t="n">
        <f aca="false">C421/C422</f>
        <v>47.13</v>
      </c>
      <c r="D423" s="14" t="n">
        <f aca="false">D421/D422</f>
        <v>85.5706494503455</v>
      </c>
      <c r="E423" s="14" t="n">
        <f aca="false">E421/E422</f>
        <v>135.367509810058</v>
      </c>
      <c r="F423" s="14" t="n">
        <f aca="false">F421/F422</f>
        <v>151.609892289066</v>
      </c>
      <c r="G423" s="14" t="n">
        <f aca="false">G421/G422</f>
        <v>174.159846061058</v>
      </c>
    </row>
    <row r="424" customFormat="false" ht="17.15" hidden="false" customHeight="false" outlineLevel="0" collapsed="false">
      <c r="A424" s="0" t="s">
        <v>421</v>
      </c>
      <c r="B424" s="0" t="s">
        <v>103</v>
      </c>
      <c r="D424" s="18" t="n">
        <f aca="false">D423/C423-1</f>
        <v>0.815630160202535</v>
      </c>
      <c r="E424" s="18" t="n">
        <f aca="false">E423/D423-1</f>
        <v>0.581938558133864</v>
      </c>
      <c r="F424" s="18" t="n">
        <f aca="false">F423/E423-1</f>
        <v>0.119987303465944</v>
      </c>
      <c r="G424" s="18" t="n">
        <f aca="false">G423/F423-1</f>
        <v>0.148736691462037</v>
      </c>
    </row>
    <row r="427" customFormat="false" ht="17.15" hidden="false" customHeight="false" outlineLevel="0" collapsed="false">
      <c r="A427" s="1" t="s">
        <v>726</v>
      </c>
    </row>
    <row r="428" customFormat="false" ht="17.15" hidden="false" customHeight="false" outlineLevel="0" collapsed="false">
      <c r="A428" s="5" t="s">
        <v>21</v>
      </c>
      <c r="B428" s="5" t="s">
        <v>22</v>
      </c>
      <c r="C428" s="12" t="s">
        <v>309</v>
      </c>
      <c r="D428" s="12" t="s">
        <v>371</v>
      </c>
      <c r="E428" s="12" t="s">
        <v>372</v>
      </c>
      <c r="F428" s="12" t="s">
        <v>373</v>
      </c>
      <c r="G428" s="12" t="s">
        <v>374</v>
      </c>
      <c r="H428" s="5" t="s">
        <v>350</v>
      </c>
    </row>
    <row r="429" customFormat="false" ht="17.15" hidden="false" customHeight="false" outlineLevel="0" collapsed="false">
      <c r="A429" s="6" t="s">
        <v>389</v>
      </c>
    </row>
    <row r="430" customFormat="false" ht="17.15" hidden="false" customHeight="false" outlineLevel="0" collapsed="false">
      <c r="A430" s="4" t="s">
        <v>390</v>
      </c>
      <c r="B430" s="0" t="s">
        <v>186</v>
      </c>
      <c r="C430" s="20" t="n">
        <f aca="false">a25_rev*nap25s</f>
        <v>156.4416</v>
      </c>
      <c r="D430" s="20" t="n">
        <f aca="false">a26_rev*ns26</f>
        <v>205.3806</v>
      </c>
    </row>
    <row r="431" customFormat="false" ht="17.15" hidden="false" customHeight="false" outlineLevel="0" collapsed="false">
      <c r="A431" s="4" t="s">
        <v>391</v>
      </c>
      <c r="B431" s="0" t="s">
        <v>186</v>
      </c>
      <c r="C431" s="20" t="n">
        <f aca="false">a25_rev*(1-nap25s-sw25s*af25)</f>
        <v>41.22112</v>
      </c>
      <c r="D431" s="20" t="n">
        <f aca="false">C431*(1+g_nai26)</f>
        <v>45.343232</v>
      </c>
    </row>
    <row r="432" customFormat="false" ht="17.15" hidden="false" customHeight="false" outlineLevel="0" collapsed="false">
      <c r="A432" s="0" t="s">
        <v>392</v>
      </c>
      <c r="B432" s="0" t="s">
        <v>186</v>
      </c>
      <c r="C432" s="20" t="n">
        <f aca="false">a25_rev*sw25s*af25</f>
        <v>50.65728</v>
      </c>
      <c r="D432" s="20" t="n">
        <f aca="false">a26_rev-D430-D431</f>
        <v>160.037368</v>
      </c>
      <c r="H432" s="8" t="s">
        <v>393</v>
      </c>
    </row>
    <row r="433" customFormat="false" ht="17.15" hidden="false" customHeight="false" outlineLevel="0" collapsed="false">
      <c r="A433" s="6" t="s">
        <v>394</v>
      </c>
    </row>
    <row r="434" customFormat="false" ht="17.15" hidden="false" customHeight="false" outlineLevel="0" collapsed="false">
      <c r="A434" s="0" t="s">
        <v>395</v>
      </c>
      <c r="B434" s="0" t="s">
        <v>32</v>
      </c>
      <c r="D434" s="14" t="n">
        <f aca="false">mkt_26*1</f>
        <v>32.0719</v>
      </c>
      <c r="E434" s="14" t="n">
        <f aca="false">mkt_27*1*1</f>
        <v>61.085</v>
      </c>
      <c r="F434" s="14" t="n">
        <f aca="false">mkt_28*um28_A*1</f>
        <v>69.005</v>
      </c>
      <c r="G434" s="14" t="n">
        <f aca="false">mkt_29*um29_A*1</f>
        <v>78.48215</v>
      </c>
    </row>
    <row r="435" customFormat="false" ht="15" hidden="false" customHeight="false" outlineLevel="0" collapsed="false">
      <c r="A435" s="4" t="s">
        <v>396</v>
      </c>
      <c r="B435" s="0" t="s">
        <v>103</v>
      </c>
      <c r="D435" s="18" t="n">
        <f aca="false">eth_26</f>
        <v>0.75</v>
      </c>
      <c r="E435" s="18" t="n">
        <f aca="false">eth_27</f>
        <v>0.8</v>
      </c>
      <c r="F435" s="18" t="n">
        <f aca="false">eth_28</f>
        <v>0.83</v>
      </c>
      <c r="G435" s="18" t="n">
        <f aca="false">eth_29</f>
        <v>0.85</v>
      </c>
    </row>
    <row r="436" customFormat="false" ht="17.15" hidden="false" customHeight="false" outlineLevel="0" collapsed="false">
      <c r="A436" s="4" t="s">
        <v>397</v>
      </c>
      <c r="B436" s="0" t="s">
        <v>32</v>
      </c>
      <c r="D436" s="14" t="n">
        <f aca="false">su_26*1</f>
        <v>3.015</v>
      </c>
      <c r="E436" s="14" t="n">
        <f aca="false">su_27*1*1</f>
        <v>11.3414</v>
      </c>
      <c r="F436" s="14" t="n">
        <f aca="false">su_28*um28_A*1</f>
        <v>13.8952</v>
      </c>
      <c r="G436" s="14" t="n">
        <f aca="false">su_29*um29_A*1</f>
        <v>15.97948</v>
      </c>
    </row>
    <row r="437" customFormat="false" ht="17.15" hidden="false" customHeight="false" outlineLevel="0" collapsed="false">
      <c r="A437" s="0" t="s">
        <v>398</v>
      </c>
      <c r="B437" s="0" t="s">
        <v>32</v>
      </c>
      <c r="D437" s="14" t="n">
        <f aca="false">D434*D435+D436</f>
        <v>27.068925</v>
      </c>
      <c r="E437" s="14" t="n">
        <f aca="false">E434*E435+E436</f>
        <v>60.2094</v>
      </c>
      <c r="F437" s="14" t="n">
        <f aca="false">F434*F435+F436</f>
        <v>71.16935</v>
      </c>
      <c r="G437" s="14" t="n">
        <f aca="false">G434*G435+G436</f>
        <v>82.6893075</v>
      </c>
    </row>
    <row r="438" customFormat="false" ht="15" hidden="false" customHeight="false" outlineLevel="0" collapsed="false">
      <c r="A438" s="4" t="s">
        <v>355</v>
      </c>
      <c r="B438" s="0" t="s">
        <v>103</v>
      </c>
      <c r="D438" s="18" t="n">
        <f aca="false">wb_26</f>
        <v>0.45</v>
      </c>
      <c r="E438" s="18" t="n">
        <f aca="false">wb_27</f>
        <v>0.47</v>
      </c>
      <c r="F438" s="18" t="n">
        <f aca="false">wb_28</f>
        <v>0.48</v>
      </c>
      <c r="G438" s="18" t="n">
        <f aca="false">wb_29</f>
        <v>0.5</v>
      </c>
    </row>
    <row r="439" customFormat="false" ht="17.15" hidden="false" customHeight="false" outlineLevel="0" collapsed="false">
      <c r="A439" s="4" t="s">
        <v>357</v>
      </c>
      <c r="B439" s="0" t="s">
        <v>32</v>
      </c>
      <c r="D439" s="14" t="n">
        <f aca="false">D437*D438</f>
        <v>12.18101625</v>
      </c>
      <c r="E439" s="14" t="n">
        <f aca="false">E437*E438</f>
        <v>28.298418</v>
      </c>
      <c r="F439" s="14" t="n">
        <f aca="false">F437*F438</f>
        <v>34.161288</v>
      </c>
      <c r="G439" s="14" t="n">
        <f aca="false">G437*G438</f>
        <v>41.34465375</v>
      </c>
    </row>
    <row r="440" customFormat="false" ht="17.15" hidden="false" customHeight="false" outlineLevel="0" collapsed="false">
      <c r="A440" s="4" t="s">
        <v>399</v>
      </c>
      <c r="B440" s="0" t="s">
        <v>103</v>
      </c>
      <c r="D440" s="18" t="n">
        <f aca="false">D432/fx/D439</f>
        <v>0.410570649226414</v>
      </c>
      <c r="H440" s="8" t="s">
        <v>400</v>
      </c>
    </row>
    <row r="441" customFormat="false" ht="17.15" hidden="false" customHeight="false" outlineLevel="0" collapsed="false">
      <c r="A441" s="4" t="s">
        <v>401</v>
      </c>
      <c r="B441" s="0" t="s">
        <v>76</v>
      </c>
      <c r="D441" s="19" t="n">
        <f aca="false">1</f>
        <v>1</v>
      </c>
      <c r="E441" s="19" t="n">
        <f aca="false">rel_27</f>
        <v>1</v>
      </c>
      <c r="F441" s="19" t="n">
        <f aca="false">rel_28</f>
        <v>0.95</v>
      </c>
      <c r="G441" s="19" t="n">
        <f aca="false">rel_29</f>
        <v>0.92</v>
      </c>
    </row>
    <row r="442" customFormat="false" ht="15" hidden="false" customHeight="false" outlineLevel="0" collapsed="false">
      <c r="A442" s="4" t="s">
        <v>402</v>
      </c>
      <c r="B442" s="0" t="s">
        <v>103</v>
      </c>
      <c r="D442" s="18" t="n">
        <f aca="false">$D$440*D441</f>
        <v>0.410570649226414</v>
      </c>
      <c r="E442" s="18" t="n">
        <f aca="false">$D$440*E441</f>
        <v>0.410570649226414</v>
      </c>
      <c r="F442" s="18" t="n">
        <f aca="false">$D$440*F441</f>
        <v>0.390042116765093</v>
      </c>
      <c r="G442" s="18" t="n">
        <f aca="false">$D$440*G441</f>
        <v>0.377724997288301</v>
      </c>
    </row>
    <row r="443" customFormat="false" ht="17.15" hidden="false" customHeight="false" outlineLevel="0" collapsed="false">
      <c r="A443" s="0" t="s">
        <v>403</v>
      </c>
      <c r="B443" s="0" t="s">
        <v>186</v>
      </c>
      <c r="C443" s="20" t="n">
        <f aca="false">C432</f>
        <v>50.65728</v>
      </c>
      <c r="D443" s="20" t="n">
        <f aca="false">D439*D442*fx</f>
        <v>160.037368</v>
      </c>
      <c r="E443" s="20" t="n">
        <f aca="false">E439*E442*fx</f>
        <v>371.791995210894</v>
      </c>
      <c r="F443" s="20" t="n">
        <f aca="false">F439*F442*fx</f>
        <v>426.378914654143</v>
      </c>
      <c r="G443" s="20" t="n">
        <f aca="false">G439*G442*fx</f>
        <v>499.741095219344</v>
      </c>
    </row>
    <row r="444" customFormat="false" ht="17.15" hidden="false" customHeight="false" outlineLevel="0" collapsed="false">
      <c r="A444" s="6" t="s">
        <v>404</v>
      </c>
    </row>
    <row r="445" customFormat="false" ht="17.15" hidden="false" customHeight="false" outlineLevel="0" collapsed="false">
      <c r="A445" s="0" t="s">
        <v>405</v>
      </c>
      <c r="B445" s="4" t="s">
        <v>55</v>
      </c>
      <c r="D445" s="19" t="n">
        <f aca="false">trn_26*1</f>
        <v>2</v>
      </c>
      <c r="E445" s="19" t="n">
        <f aca="false">trn_27*1*tf_lo</f>
        <v>2</v>
      </c>
      <c r="F445" s="19" t="n">
        <f aca="false">trn_28*um28_A*tf_lo</f>
        <v>2.4</v>
      </c>
      <c r="G445" s="19" t="n">
        <f aca="false">trn_29*um29_A*tf_lo</f>
        <v>2.76</v>
      </c>
    </row>
    <row r="446" customFormat="false" ht="17.15" hidden="false" customHeight="false" outlineLevel="0" collapsed="false">
      <c r="A446" s="4" t="s">
        <v>406</v>
      </c>
      <c r="B446" s="4" t="s">
        <v>407</v>
      </c>
      <c r="D446" s="20" t="n">
        <f aca="false">D430/D445</f>
        <v>102.6903</v>
      </c>
      <c r="H446" s="8" t="s">
        <v>408</v>
      </c>
    </row>
    <row r="447" customFormat="false" ht="17.15" hidden="false" customHeight="false" outlineLevel="0" collapsed="false">
      <c r="A447" s="4" t="s">
        <v>409</v>
      </c>
      <c r="B447" s="0" t="s">
        <v>76</v>
      </c>
      <c r="D447" s="19" t="n">
        <f aca="false">1</f>
        <v>1</v>
      </c>
      <c r="E447" s="19" t="n">
        <f aca="false">nrel_27</f>
        <v>0.9</v>
      </c>
      <c r="F447" s="19" t="n">
        <f aca="false">nrel_28</f>
        <v>0.85</v>
      </c>
      <c r="G447" s="19" t="n">
        <f aca="false">nrel_29</f>
        <v>0.8</v>
      </c>
    </row>
    <row r="448" customFormat="false" ht="15" hidden="false" customHeight="false" outlineLevel="0" collapsed="false">
      <c r="A448" s="4" t="s">
        <v>410</v>
      </c>
      <c r="B448" s="0" t="s">
        <v>186</v>
      </c>
      <c r="C448" s="20" t="n">
        <f aca="false">C430</f>
        <v>156.4416</v>
      </c>
      <c r="D448" s="20" t="n">
        <f aca="false">D445*$D$446*D447</f>
        <v>205.3806</v>
      </c>
      <c r="E448" s="20" t="n">
        <f aca="false">E445*$D$446*E447</f>
        <v>184.84254</v>
      </c>
      <c r="F448" s="20" t="n">
        <f aca="false">F445*$D$446*F447</f>
        <v>209.488212</v>
      </c>
      <c r="G448" s="20" t="n">
        <f aca="false">G445*$D$446*G447</f>
        <v>226.7401824</v>
      </c>
    </row>
    <row r="449" customFormat="false" ht="17.15" hidden="false" customHeight="false" outlineLevel="0" collapsed="false">
      <c r="A449" s="6" t="s">
        <v>411</v>
      </c>
    </row>
    <row r="450" customFormat="false" ht="17.15" hidden="false" customHeight="false" outlineLevel="0" collapsed="false">
      <c r="A450" s="4" t="s">
        <v>412</v>
      </c>
      <c r="B450" s="0" t="s">
        <v>186</v>
      </c>
      <c r="C450" s="20" t="n">
        <f aca="false">C431</f>
        <v>41.22112</v>
      </c>
      <c r="D450" s="20" t="n">
        <f aca="false">D431</f>
        <v>45.343232</v>
      </c>
      <c r="E450" s="20" t="n">
        <f aca="false">D450*(1+g_nai27)</f>
        <v>48.06382592</v>
      </c>
      <c r="F450" s="20" t="n">
        <f aca="false">E450*(1+g_nai28)</f>
        <v>50.467017216</v>
      </c>
      <c r="G450" s="20" t="n">
        <f aca="false">F450*(1+g_nai29)</f>
        <v>52.9903680768</v>
      </c>
    </row>
    <row r="451" customFormat="false" ht="15" hidden="false" customHeight="false" outlineLevel="0" collapsed="false">
      <c r="A451" s="4" t="s">
        <v>316</v>
      </c>
      <c r="B451" s="0" t="s">
        <v>186</v>
      </c>
      <c r="C451" s="20" t="n">
        <f aca="false">C443+C448+C450</f>
        <v>248.32</v>
      </c>
      <c r="D451" s="20" t="n">
        <f aca="false">D443+D448+D450</f>
        <v>410.7612</v>
      </c>
      <c r="E451" s="20" t="n">
        <f aca="false">E443+E448+E450</f>
        <v>604.698361130894</v>
      </c>
      <c r="F451" s="20" t="n">
        <f aca="false">F443+F448+F450</f>
        <v>686.334143870144</v>
      </c>
      <c r="G451" s="20" t="n">
        <f aca="false">G443+G448+G450</f>
        <v>779.471645696144</v>
      </c>
    </row>
    <row r="452" customFormat="false" ht="15" hidden="false" customHeight="false" outlineLevel="0" collapsed="false">
      <c r="A452" s="4" t="s">
        <v>413</v>
      </c>
      <c r="B452" s="0" t="s">
        <v>103</v>
      </c>
      <c r="D452" s="18" t="n">
        <f aca="false">D451/C451-1</f>
        <v>0.654160760309279</v>
      </c>
      <c r="E452" s="18" t="n">
        <f aca="false">E451/D451-1</f>
        <v>0.472140896294232</v>
      </c>
      <c r="F452" s="18" t="n">
        <f aca="false">F451/E451-1</f>
        <v>0.135002487168273</v>
      </c>
      <c r="G452" s="18" t="n">
        <f aca="false">G451/F451-1</f>
        <v>0.135702853570435</v>
      </c>
    </row>
    <row r="453" customFormat="false" ht="17.15" hidden="false" customHeight="false" outlineLevel="0" collapsed="false">
      <c r="A453" s="0" t="s">
        <v>414</v>
      </c>
      <c r="B453" s="0" t="s">
        <v>103</v>
      </c>
      <c r="C453" s="18" t="n">
        <f aca="false">(C443+C448)/C451</f>
        <v>0.834</v>
      </c>
      <c r="D453" s="18" t="n">
        <f aca="false">(D443+D448)/D451</f>
        <v>0.889611696528299</v>
      </c>
      <c r="E453" s="18" t="n">
        <f aca="false">(E443+E448)/E451</f>
        <v>0.920516030785809</v>
      </c>
      <c r="F453" s="18" t="n">
        <f aca="false">(F443+F448)/F451</f>
        <v>0.9264687358676</v>
      </c>
      <c r="G453" s="18" t="n">
        <f aca="false">(G443+G448)/G451</f>
        <v>0.932017580922428</v>
      </c>
    </row>
    <row r="454" customFormat="false" ht="17.15" hidden="false" customHeight="false" outlineLevel="0" collapsed="false">
      <c r="A454" s="4" t="s">
        <v>415</v>
      </c>
      <c r="B454" s="0" t="s">
        <v>103</v>
      </c>
      <c r="C454" s="18" t="n">
        <f aca="false">C448/C451</f>
        <v>0.63</v>
      </c>
      <c r="D454" s="18" t="n">
        <f aca="false">D448/D451</f>
        <v>0.5</v>
      </c>
      <c r="E454" s="18" t="n">
        <f aca="false">E448/E451</f>
        <v>0.30567726304783</v>
      </c>
      <c r="F454" s="18" t="n">
        <f aca="false">F448/F451</f>
        <v>0.305227728899986</v>
      </c>
      <c r="G454" s="18" t="n">
        <f aca="false">G448/G451</f>
        <v>0.290889583542836</v>
      </c>
    </row>
    <row r="455" customFormat="false" ht="17.15" hidden="false" customHeight="false" outlineLevel="0" collapsed="false">
      <c r="A455" s="6" t="s">
        <v>416</v>
      </c>
    </row>
    <row r="456" customFormat="false" ht="17.15" hidden="false" customHeight="false" outlineLevel="0" collapsed="false">
      <c r="A456" s="4" t="s">
        <v>417</v>
      </c>
      <c r="B456" s="0" t="s">
        <v>103</v>
      </c>
      <c r="D456" s="15" t="n">
        <f aca="false">a26_gp/a26_rev+d_nap*D454</f>
        <v>0.219589247962076</v>
      </c>
      <c r="H456" s="8" t="s">
        <v>418</v>
      </c>
    </row>
    <row r="457" customFormat="false" ht="15" hidden="false" customHeight="false" outlineLevel="0" collapsed="false">
      <c r="A457" s="4" t="s">
        <v>320</v>
      </c>
      <c r="B457" s="0" t="s">
        <v>186</v>
      </c>
      <c r="C457" s="20" t="n">
        <f aca="false">a25_gp</f>
        <v>44.921088</v>
      </c>
      <c r="D457" s="20" t="n">
        <f aca="false">a26_gp</f>
        <v>77.875907</v>
      </c>
      <c r="E457" s="20" t="n">
        <f aca="false">$D$456*(E443+E450)+($D$456-d_nap)*E448</f>
        <v>121.694705964633</v>
      </c>
      <c r="F457" s="20" t="n">
        <f aca="false">$D$456*(F443+F450)+($D$456-d_nap)*F448</f>
        <v>138.14230578314</v>
      </c>
      <c r="G457" s="20" t="n">
        <f aca="false">$D$456*(G443+G450)+($D$456-d_nap)*G448</f>
        <v>157.559181542178</v>
      </c>
    </row>
    <row r="458" customFormat="false" ht="15" hidden="false" customHeight="false" outlineLevel="0" collapsed="false">
      <c r="A458" s="4" t="s">
        <v>322</v>
      </c>
      <c r="B458" s="0" t="s">
        <v>103</v>
      </c>
      <c r="C458" s="15" t="n">
        <f aca="false">C457/C451</f>
        <v>0.1809</v>
      </c>
      <c r="D458" s="15" t="n">
        <f aca="false">D457/D451</f>
        <v>0.189589247962076</v>
      </c>
      <c r="E458" s="15" t="n">
        <f aca="false">E457/E451</f>
        <v>0.201248612179206</v>
      </c>
      <c r="F458" s="15" t="n">
        <f aca="false">F457/F451</f>
        <v>0.201275584228077</v>
      </c>
      <c r="G458" s="15" t="n">
        <f aca="false">G457/G451</f>
        <v>0.202135872949506</v>
      </c>
    </row>
    <row r="459" customFormat="false" ht="15" hidden="false" customHeight="false" outlineLevel="0" collapsed="false">
      <c r="A459" s="4" t="s">
        <v>419</v>
      </c>
      <c r="B459" s="0" t="s">
        <v>186</v>
      </c>
      <c r="C459" s="20" t="n">
        <f aca="false">a25_opx</f>
        <v>12.78848</v>
      </c>
      <c r="D459" s="20" t="n">
        <f aca="false">a26_opx</f>
        <v>17.956088</v>
      </c>
      <c r="E459" s="20" t="n">
        <f aca="false">D459*(1+MAX(0,phi*E452))</f>
        <v>23.0427700893549</v>
      </c>
      <c r="F459" s="20" t="n">
        <f aca="false">E459*(1+MAX(0,phi*F452))</f>
        <v>24.9092688533406</v>
      </c>
      <c r="G459" s="20" t="n">
        <f aca="false">F459*(1+MAX(0,phi*G452))</f>
        <v>26.9374241715915</v>
      </c>
    </row>
    <row r="460" customFormat="false" ht="15" hidden="false" customHeight="false" outlineLevel="0" collapsed="false">
      <c r="A460" s="4" t="s">
        <v>324</v>
      </c>
      <c r="B460" s="0" t="s">
        <v>186</v>
      </c>
      <c r="C460" s="20" t="n">
        <f aca="false">C459</f>
        <v>12.78848</v>
      </c>
      <c r="D460" s="20" t="n">
        <f aca="false">D459</f>
        <v>17.956088</v>
      </c>
      <c r="E460" s="20" t="n">
        <f aca="false">E459+0*E451</f>
        <v>23.0427700893549</v>
      </c>
      <c r="F460" s="20" t="n">
        <f aca="false">F459+0*F451</f>
        <v>24.9092688533406</v>
      </c>
      <c r="G460" s="20" t="n">
        <f aca="false">G459+0*G451</f>
        <v>26.9374241715915</v>
      </c>
    </row>
    <row r="461" customFormat="false" ht="15" hidden="false" customHeight="false" outlineLevel="0" collapsed="false">
      <c r="A461" s="4" t="s">
        <v>326</v>
      </c>
      <c r="B461" s="0" t="s">
        <v>186</v>
      </c>
      <c r="C461" s="20" t="n">
        <f aca="false">C457-C460</f>
        <v>32.132608</v>
      </c>
      <c r="D461" s="20" t="n">
        <f aca="false">D457-D460</f>
        <v>59.919819</v>
      </c>
      <c r="E461" s="20" t="n">
        <f aca="false">E457-E460</f>
        <v>98.6519358752782</v>
      </c>
      <c r="F461" s="20" t="n">
        <f aca="false">F457-F460</f>
        <v>113.2330369298</v>
      </c>
      <c r="G461" s="20" t="n">
        <f aca="false">G457-G460</f>
        <v>130.621757370587</v>
      </c>
    </row>
    <row r="462" customFormat="false" ht="15" hidden="false" customHeight="false" outlineLevel="0" collapsed="false">
      <c r="A462" s="4" t="s">
        <v>328</v>
      </c>
      <c r="B462" s="0" t="s">
        <v>103</v>
      </c>
      <c r="C462" s="15" t="n">
        <f aca="false">C461/C451</f>
        <v>0.1294</v>
      </c>
      <c r="D462" s="15" t="n">
        <f aca="false">D461/D451</f>
        <v>0.145875070478906</v>
      </c>
      <c r="E462" s="15" t="n">
        <f aca="false">E461/E451</f>
        <v>0.163142390018689</v>
      </c>
      <c r="F462" s="15" t="n">
        <f aca="false">F461/F451</f>
        <v>0.164982374753053</v>
      </c>
      <c r="G462" s="15" t="n">
        <f aca="false">G461/G451</f>
        <v>0.167577304564977</v>
      </c>
    </row>
    <row r="463" customFormat="false" ht="17.15" hidden="false" customHeight="false" outlineLevel="0" collapsed="false">
      <c r="A463" s="4" t="s">
        <v>224</v>
      </c>
      <c r="B463" s="0" t="s">
        <v>76</v>
      </c>
      <c r="C463" s="16" t="n">
        <f aca="false">a25_ni/a25_oi</f>
        <v>0.819790289042209</v>
      </c>
      <c r="D463" s="16" t="n">
        <f aca="false">a26_ni/a26_oi</f>
        <v>0.798164213413262</v>
      </c>
      <c r="E463" s="16" t="n">
        <f aca="false">nio_f</f>
        <v>0.8</v>
      </c>
      <c r="F463" s="16" t="n">
        <f aca="false">nio_f</f>
        <v>0.8</v>
      </c>
      <c r="G463" s="16" t="n">
        <f aca="false">nio_f</f>
        <v>0.8</v>
      </c>
    </row>
    <row r="464" customFormat="false" ht="15" hidden="false" customHeight="false" outlineLevel="0" collapsed="false">
      <c r="A464" s="4" t="s">
        <v>329</v>
      </c>
      <c r="B464" s="0" t="s">
        <v>186</v>
      </c>
      <c r="C464" s="20" t="n">
        <f aca="false">a25_ni</f>
        <v>26.342</v>
      </c>
      <c r="D464" s="20" t="n">
        <f aca="false">a26_ni</f>
        <v>47.8258552</v>
      </c>
      <c r="E464" s="20" t="n">
        <f aca="false">E461*E463</f>
        <v>78.9215487002226</v>
      </c>
      <c r="F464" s="20" t="n">
        <f aca="false">F461*F463</f>
        <v>90.5864295438397</v>
      </c>
      <c r="G464" s="20" t="n">
        <f aca="false">G461*G463</f>
        <v>104.497405896469</v>
      </c>
    </row>
    <row r="465" customFormat="false" ht="15" hidden="false" customHeight="false" outlineLevel="0" collapsed="false">
      <c r="A465" s="4" t="s">
        <v>420</v>
      </c>
      <c r="B465" s="4" t="s">
        <v>211</v>
      </c>
      <c r="C465" s="17" t="n">
        <f aca="false">a25_sh</f>
        <v>0.558922130277955</v>
      </c>
      <c r="D465" s="17" t="n">
        <f aca="false">a26_sh</f>
        <v>0.558904899135447</v>
      </c>
      <c r="E465" s="17" t="n">
        <f aca="false">D465*(1+sh_g27)</f>
        <v>0.568853406340058</v>
      </c>
      <c r="F465" s="17" t="n">
        <f aca="false">E465*(1+sh_g)</f>
        <v>0.568853406340058</v>
      </c>
      <c r="G465" s="17" t="n">
        <f aca="false">F465*(1+sh_g)</f>
        <v>0.568853406340058</v>
      </c>
    </row>
    <row r="466" customFormat="false" ht="15" hidden="false" customHeight="false" outlineLevel="0" collapsed="false">
      <c r="A466" s="0" t="s">
        <v>334</v>
      </c>
      <c r="B466" s="0" t="s">
        <v>244</v>
      </c>
      <c r="C466" s="14" t="n">
        <f aca="false">C464/C465</f>
        <v>47.13</v>
      </c>
      <c r="D466" s="14" t="n">
        <f aca="false">D464/D465</f>
        <v>85.5706494503455</v>
      </c>
      <c r="E466" s="14" t="n">
        <f aca="false">E464/E465</f>
        <v>138.737938141208</v>
      </c>
      <c r="F466" s="14" t="n">
        <f aca="false">F464/F465</f>
        <v>159.243890489578</v>
      </c>
      <c r="G466" s="14" t="n">
        <f aca="false">G464/G465</f>
        <v>183.698303871984</v>
      </c>
    </row>
    <row r="467" customFormat="false" ht="17.15" hidden="false" customHeight="false" outlineLevel="0" collapsed="false">
      <c r="A467" s="0" t="s">
        <v>421</v>
      </c>
      <c r="B467" s="0" t="s">
        <v>103</v>
      </c>
      <c r="D467" s="18" t="n">
        <f aca="false">D466/C466-1</f>
        <v>0.815630160202535</v>
      </c>
      <c r="E467" s="18" t="n">
        <f aca="false">E466/D466-1</f>
        <v>0.621326226134517</v>
      </c>
      <c r="F467" s="18" t="n">
        <f aca="false">F466/E466-1</f>
        <v>0.147803496456023</v>
      </c>
      <c r="G467" s="18" t="n">
        <f aca="false">G466/F466-1</f>
        <v>0.15356578709063</v>
      </c>
    </row>
    <row r="470" customFormat="false" ht="17.15" hidden="false" customHeight="false" outlineLevel="0" collapsed="false">
      <c r="A470" s="1" t="s">
        <v>727</v>
      </c>
    </row>
    <row r="471" customFormat="false" ht="17.15" hidden="false" customHeight="false" outlineLevel="0" collapsed="false">
      <c r="A471" s="5" t="s">
        <v>21</v>
      </c>
      <c r="B471" s="5" t="s">
        <v>22</v>
      </c>
      <c r="C471" s="12" t="s">
        <v>309</v>
      </c>
      <c r="D471" s="12" t="s">
        <v>371</v>
      </c>
      <c r="E471" s="12" t="s">
        <v>372</v>
      </c>
      <c r="F471" s="12" t="s">
        <v>373</v>
      </c>
      <c r="G471" s="12" t="s">
        <v>374</v>
      </c>
      <c r="H471" s="5" t="s">
        <v>350</v>
      </c>
    </row>
    <row r="472" customFormat="false" ht="17.15" hidden="false" customHeight="false" outlineLevel="0" collapsed="false">
      <c r="A472" s="6" t="s">
        <v>389</v>
      </c>
    </row>
    <row r="473" customFormat="false" ht="17.15" hidden="false" customHeight="false" outlineLevel="0" collapsed="false">
      <c r="A473" s="4" t="s">
        <v>390</v>
      </c>
      <c r="B473" s="0" t="s">
        <v>186</v>
      </c>
      <c r="C473" s="20" t="n">
        <f aca="false">a25_rev*nap25s</f>
        <v>156.4416</v>
      </c>
      <c r="D473" s="20" t="n">
        <f aca="false">a26_rev*ns26_lo</f>
        <v>172.519704</v>
      </c>
    </row>
    <row r="474" customFormat="false" ht="17.15" hidden="false" customHeight="false" outlineLevel="0" collapsed="false">
      <c r="A474" s="4" t="s">
        <v>391</v>
      </c>
      <c r="B474" s="0" t="s">
        <v>186</v>
      </c>
      <c r="C474" s="20" t="n">
        <f aca="false">a25_rev*(1-nap25s-sw25s*af25)</f>
        <v>41.22112</v>
      </c>
      <c r="D474" s="20" t="n">
        <f aca="false">C474*(1+g_nai26)</f>
        <v>45.343232</v>
      </c>
    </row>
    <row r="475" customFormat="false" ht="17.15" hidden="false" customHeight="false" outlineLevel="0" collapsed="false">
      <c r="A475" s="0" t="s">
        <v>392</v>
      </c>
      <c r="B475" s="0" t="s">
        <v>186</v>
      </c>
      <c r="C475" s="20" t="n">
        <f aca="false">a25_rev*sw25s*af25</f>
        <v>50.65728</v>
      </c>
      <c r="D475" s="20" t="n">
        <f aca="false">a26_rev-D473-D474</f>
        <v>192.898264</v>
      </c>
      <c r="H475" s="8" t="s">
        <v>393</v>
      </c>
    </row>
    <row r="476" customFormat="false" ht="17.15" hidden="false" customHeight="false" outlineLevel="0" collapsed="false">
      <c r="A476" s="6" t="s">
        <v>394</v>
      </c>
    </row>
    <row r="477" customFormat="false" ht="17.15" hidden="false" customHeight="false" outlineLevel="0" collapsed="false">
      <c r="A477" s="0" t="s">
        <v>395</v>
      </c>
      <c r="B477" s="0" t="s">
        <v>32</v>
      </c>
      <c r="D477" s="14" t="n">
        <f aca="false">mkt_26*1</f>
        <v>32.0719</v>
      </c>
      <c r="E477" s="14" t="n">
        <f aca="false">mkt_27*1*1</f>
        <v>61.085</v>
      </c>
      <c r="F477" s="14" t="n">
        <f aca="false">mkt_28*um28_A*1</f>
        <v>69.005</v>
      </c>
      <c r="G477" s="14" t="n">
        <f aca="false">mkt_29*um29_A*1</f>
        <v>78.48215</v>
      </c>
    </row>
    <row r="478" customFormat="false" ht="15" hidden="false" customHeight="false" outlineLevel="0" collapsed="false">
      <c r="A478" s="4" t="s">
        <v>396</v>
      </c>
      <c r="B478" s="0" t="s">
        <v>103</v>
      </c>
      <c r="D478" s="18" t="n">
        <f aca="false">eth_26</f>
        <v>0.75</v>
      </c>
      <c r="E478" s="18" t="n">
        <f aca="false">eth_27</f>
        <v>0.8</v>
      </c>
      <c r="F478" s="18" t="n">
        <f aca="false">eth_28</f>
        <v>0.83</v>
      </c>
      <c r="G478" s="18" t="n">
        <f aca="false">eth_29</f>
        <v>0.85</v>
      </c>
    </row>
    <row r="479" customFormat="false" ht="17.15" hidden="false" customHeight="false" outlineLevel="0" collapsed="false">
      <c r="A479" s="4" t="s">
        <v>397</v>
      </c>
      <c r="B479" s="0" t="s">
        <v>32</v>
      </c>
      <c r="D479" s="14" t="n">
        <f aca="false">su_26*1</f>
        <v>3.015</v>
      </c>
      <c r="E479" s="14" t="n">
        <f aca="false">su_27*1*1</f>
        <v>11.3414</v>
      </c>
      <c r="F479" s="14" t="n">
        <f aca="false">su_28*um28_A*1</f>
        <v>13.8952</v>
      </c>
      <c r="G479" s="14" t="n">
        <f aca="false">su_29*um29_A*1</f>
        <v>15.97948</v>
      </c>
    </row>
    <row r="480" customFormat="false" ht="17.15" hidden="false" customHeight="false" outlineLevel="0" collapsed="false">
      <c r="A480" s="0" t="s">
        <v>398</v>
      </c>
      <c r="B480" s="0" t="s">
        <v>32</v>
      </c>
      <c r="D480" s="14" t="n">
        <f aca="false">D477*D478+D479</f>
        <v>27.068925</v>
      </c>
      <c r="E480" s="14" t="n">
        <f aca="false">E477*E478+E479</f>
        <v>60.2094</v>
      </c>
      <c r="F480" s="14" t="n">
        <f aca="false">F477*F478+F479</f>
        <v>71.16935</v>
      </c>
      <c r="G480" s="14" t="n">
        <f aca="false">G477*G478+G479</f>
        <v>82.6893075</v>
      </c>
    </row>
    <row r="481" customFormat="false" ht="15" hidden="false" customHeight="false" outlineLevel="0" collapsed="false">
      <c r="A481" s="4" t="s">
        <v>355</v>
      </c>
      <c r="B481" s="0" t="s">
        <v>103</v>
      </c>
      <c r="D481" s="18" t="n">
        <f aca="false">wb_26</f>
        <v>0.45</v>
      </c>
      <c r="E481" s="18" t="n">
        <f aca="false">wb_27</f>
        <v>0.47</v>
      </c>
      <c r="F481" s="18" t="n">
        <f aca="false">wb_28</f>
        <v>0.48</v>
      </c>
      <c r="G481" s="18" t="n">
        <f aca="false">wb_29</f>
        <v>0.5</v>
      </c>
    </row>
    <row r="482" customFormat="false" ht="17.15" hidden="false" customHeight="false" outlineLevel="0" collapsed="false">
      <c r="A482" s="4" t="s">
        <v>357</v>
      </c>
      <c r="B482" s="0" t="s">
        <v>32</v>
      </c>
      <c r="D482" s="14" t="n">
        <f aca="false">D480*D481</f>
        <v>12.18101625</v>
      </c>
      <c r="E482" s="14" t="n">
        <f aca="false">E480*E481</f>
        <v>28.298418</v>
      </c>
      <c r="F482" s="14" t="n">
        <f aca="false">F480*F481</f>
        <v>34.161288</v>
      </c>
      <c r="G482" s="14" t="n">
        <f aca="false">G480*G481</f>
        <v>41.34465375</v>
      </c>
    </row>
    <row r="483" customFormat="false" ht="17.15" hidden="false" customHeight="false" outlineLevel="0" collapsed="false">
      <c r="A483" s="4" t="s">
        <v>399</v>
      </c>
      <c r="B483" s="0" t="s">
        <v>103</v>
      </c>
      <c r="D483" s="18" t="n">
        <f aca="false">D475/fx/D482</f>
        <v>0.494874206411144</v>
      </c>
      <c r="H483" s="8" t="s">
        <v>400</v>
      </c>
    </row>
    <row r="484" customFormat="false" ht="17.15" hidden="false" customHeight="false" outlineLevel="0" collapsed="false">
      <c r="A484" s="4" t="s">
        <v>401</v>
      </c>
      <c r="B484" s="0" t="s">
        <v>76</v>
      </c>
      <c r="D484" s="19" t="n">
        <f aca="false">1</f>
        <v>1</v>
      </c>
      <c r="E484" s="19" t="n">
        <f aca="false">rel_27</f>
        <v>1</v>
      </c>
      <c r="F484" s="19" t="n">
        <f aca="false">rel_28</f>
        <v>0.95</v>
      </c>
      <c r="G484" s="19" t="n">
        <f aca="false">rel_29</f>
        <v>0.92</v>
      </c>
    </row>
    <row r="485" customFormat="false" ht="15" hidden="false" customHeight="false" outlineLevel="0" collapsed="false">
      <c r="A485" s="4" t="s">
        <v>402</v>
      </c>
      <c r="B485" s="0" t="s">
        <v>103</v>
      </c>
      <c r="D485" s="18" t="n">
        <f aca="false">$D$483*D484</f>
        <v>0.494874206411144</v>
      </c>
      <c r="E485" s="18" t="n">
        <f aca="false">$D$483*E484</f>
        <v>0.494874206411144</v>
      </c>
      <c r="F485" s="18" t="n">
        <f aca="false">$D$483*F484</f>
        <v>0.470130496090587</v>
      </c>
      <c r="G485" s="18" t="n">
        <f aca="false">$D$483*G484</f>
        <v>0.455284269898253</v>
      </c>
    </row>
    <row r="486" customFormat="false" ht="17.15" hidden="false" customHeight="false" outlineLevel="0" collapsed="false">
      <c r="A486" s="0" t="s">
        <v>403</v>
      </c>
      <c r="B486" s="0" t="s">
        <v>186</v>
      </c>
      <c r="C486" s="20" t="n">
        <f aca="false">C475</f>
        <v>50.65728</v>
      </c>
      <c r="D486" s="20" t="n">
        <f aca="false">D482*D485*fx</f>
        <v>192.898264</v>
      </c>
      <c r="E486" s="20" t="n">
        <f aca="false">E482*E485*fx</f>
        <v>448.133028814107</v>
      </c>
      <c r="F486" s="20" t="n">
        <f aca="false">F482*F485*fx</f>
        <v>513.928424785069</v>
      </c>
      <c r="G486" s="20" t="n">
        <f aca="false">G482*G485*fx</f>
        <v>602.354255896474</v>
      </c>
    </row>
    <row r="487" customFormat="false" ht="17.15" hidden="false" customHeight="false" outlineLevel="0" collapsed="false">
      <c r="A487" s="6" t="s">
        <v>404</v>
      </c>
    </row>
    <row r="488" customFormat="false" ht="17.15" hidden="false" customHeight="false" outlineLevel="0" collapsed="false">
      <c r="A488" s="0" t="s">
        <v>405</v>
      </c>
      <c r="B488" s="4" t="s">
        <v>55</v>
      </c>
      <c r="D488" s="19" t="n">
        <f aca="false">trn_26*1</f>
        <v>2</v>
      </c>
      <c r="E488" s="19" t="n">
        <f aca="false">trn_27*1*1</f>
        <v>2.5</v>
      </c>
      <c r="F488" s="19" t="n">
        <f aca="false">trn_28*um28_A*1</f>
        <v>3</v>
      </c>
      <c r="G488" s="19" t="n">
        <f aca="false">trn_29*um29_A*1</f>
        <v>3.45</v>
      </c>
    </row>
    <row r="489" customFormat="false" ht="17.15" hidden="false" customHeight="false" outlineLevel="0" collapsed="false">
      <c r="A489" s="4" t="s">
        <v>406</v>
      </c>
      <c r="B489" s="4" t="s">
        <v>407</v>
      </c>
      <c r="D489" s="20" t="n">
        <f aca="false">D473/D488</f>
        <v>86.259852</v>
      </c>
      <c r="H489" s="8" t="s">
        <v>408</v>
      </c>
    </row>
    <row r="490" customFormat="false" ht="17.15" hidden="false" customHeight="false" outlineLevel="0" collapsed="false">
      <c r="A490" s="4" t="s">
        <v>409</v>
      </c>
      <c r="B490" s="0" t="s">
        <v>76</v>
      </c>
      <c r="D490" s="19" t="n">
        <f aca="false">1</f>
        <v>1</v>
      </c>
      <c r="E490" s="19" t="n">
        <f aca="false">nrel_27</f>
        <v>0.9</v>
      </c>
      <c r="F490" s="19" t="n">
        <f aca="false">nrel_28</f>
        <v>0.85</v>
      </c>
      <c r="G490" s="19" t="n">
        <f aca="false">nrel_29</f>
        <v>0.8</v>
      </c>
    </row>
    <row r="491" customFormat="false" ht="15" hidden="false" customHeight="false" outlineLevel="0" collapsed="false">
      <c r="A491" s="4" t="s">
        <v>410</v>
      </c>
      <c r="B491" s="0" t="s">
        <v>186</v>
      </c>
      <c r="C491" s="20" t="n">
        <f aca="false">C473</f>
        <v>156.4416</v>
      </c>
      <c r="D491" s="20" t="n">
        <f aca="false">D488*$D$489*D490</f>
        <v>172.519704</v>
      </c>
      <c r="E491" s="20" t="n">
        <f aca="false">E488*$D$489*E490</f>
        <v>194.084667</v>
      </c>
      <c r="F491" s="20" t="n">
        <f aca="false">F488*$D$489*F490</f>
        <v>219.9626226</v>
      </c>
      <c r="G491" s="20" t="n">
        <f aca="false">G488*$D$489*G490</f>
        <v>238.07719152</v>
      </c>
    </row>
    <row r="492" customFormat="false" ht="17.15" hidden="false" customHeight="false" outlineLevel="0" collapsed="false">
      <c r="A492" s="6" t="s">
        <v>411</v>
      </c>
    </row>
    <row r="493" customFormat="false" ht="17.15" hidden="false" customHeight="false" outlineLevel="0" collapsed="false">
      <c r="A493" s="4" t="s">
        <v>412</v>
      </c>
      <c r="B493" s="0" t="s">
        <v>186</v>
      </c>
      <c r="C493" s="20" t="n">
        <f aca="false">C474</f>
        <v>41.22112</v>
      </c>
      <c r="D493" s="20" t="n">
        <f aca="false">D474</f>
        <v>45.343232</v>
      </c>
      <c r="E493" s="20" t="n">
        <f aca="false">D493*(1+g_nai27)</f>
        <v>48.06382592</v>
      </c>
      <c r="F493" s="20" t="n">
        <f aca="false">E493*(1+g_nai28)</f>
        <v>50.467017216</v>
      </c>
      <c r="G493" s="20" t="n">
        <f aca="false">F493*(1+g_nai29)</f>
        <v>52.9903680768</v>
      </c>
    </row>
    <row r="494" customFormat="false" ht="15" hidden="false" customHeight="false" outlineLevel="0" collapsed="false">
      <c r="A494" s="4" t="s">
        <v>316</v>
      </c>
      <c r="B494" s="0" t="s">
        <v>186</v>
      </c>
      <c r="C494" s="20" t="n">
        <f aca="false">C486+C491+C493</f>
        <v>248.32</v>
      </c>
      <c r="D494" s="20" t="n">
        <f aca="false">D486+D491+D493</f>
        <v>410.7612</v>
      </c>
      <c r="E494" s="20" t="n">
        <f aca="false">E486+E491+E493</f>
        <v>690.281521734107</v>
      </c>
      <c r="F494" s="20" t="n">
        <f aca="false">F486+F491+F493</f>
        <v>784.358064601069</v>
      </c>
      <c r="G494" s="20" t="n">
        <f aca="false">G486+G491+G493</f>
        <v>893.421815493274</v>
      </c>
    </row>
    <row r="495" customFormat="false" ht="15" hidden="false" customHeight="false" outlineLevel="0" collapsed="false">
      <c r="A495" s="4" t="s">
        <v>413</v>
      </c>
      <c r="B495" s="0" t="s">
        <v>103</v>
      </c>
      <c r="D495" s="18" t="n">
        <f aca="false">D494/C494-1</f>
        <v>0.654160760309279</v>
      </c>
      <c r="E495" s="18" t="n">
        <f aca="false">E494/D494-1</f>
        <v>0.68049348802688</v>
      </c>
      <c r="F495" s="18" t="n">
        <f aca="false">F494/E494-1</f>
        <v>0.136287210224932</v>
      </c>
      <c r="G495" s="18" t="n">
        <f aca="false">G494/F494-1</f>
        <v>0.139048421651246</v>
      </c>
    </row>
    <row r="496" customFormat="false" ht="17.15" hidden="false" customHeight="false" outlineLevel="0" collapsed="false">
      <c r="A496" s="0" t="s">
        <v>414</v>
      </c>
      <c r="B496" s="0" t="s">
        <v>103</v>
      </c>
      <c r="C496" s="18" t="n">
        <f aca="false">(C486+C491)/C494</f>
        <v>0.834</v>
      </c>
      <c r="D496" s="18" t="n">
        <f aca="false">(D486+D491)/D494</f>
        <v>0.889611696528299</v>
      </c>
      <c r="E496" s="18" t="n">
        <f aca="false">(E486+E491)/E494</f>
        <v>0.930370690208749</v>
      </c>
      <c r="F496" s="18" t="n">
        <f aca="false">(F486+F491)/F494</f>
        <v>0.93565819044435</v>
      </c>
      <c r="G496" s="18" t="n">
        <f aca="false">(G486+G491)/G494</f>
        <v>0.940688298452234</v>
      </c>
    </row>
    <row r="497" customFormat="false" ht="17.15" hidden="false" customHeight="false" outlineLevel="0" collapsed="false">
      <c r="A497" s="4" t="s">
        <v>415</v>
      </c>
      <c r="B497" s="0" t="s">
        <v>103</v>
      </c>
      <c r="C497" s="18" t="n">
        <f aca="false">C491/C494</f>
        <v>0.63</v>
      </c>
      <c r="D497" s="18" t="n">
        <f aca="false">D491/D494</f>
        <v>0.42</v>
      </c>
      <c r="E497" s="18" t="n">
        <f aca="false">E491/E494</f>
        <v>0.281167409077424</v>
      </c>
      <c r="F497" s="18" t="n">
        <f aca="false">F491/F494</f>
        <v>0.280436490076601</v>
      </c>
      <c r="G497" s="18" t="n">
        <f aca="false">G491/G494</f>
        <v>0.26647792497495</v>
      </c>
    </row>
    <row r="498" customFormat="false" ht="17.15" hidden="false" customHeight="false" outlineLevel="0" collapsed="false">
      <c r="A498" s="6" t="s">
        <v>416</v>
      </c>
    </row>
    <row r="499" customFormat="false" ht="17.15" hidden="false" customHeight="false" outlineLevel="0" collapsed="false">
      <c r="A499" s="4" t="s">
        <v>417</v>
      </c>
      <c r="B499" s="0" t="s">
        <v>103</v>
      </c>
      <c r="D499" s="15" t="n">
        <f aca="false">a26_gp/a26_rev+d_nap*D497</f>
        <v>0.214789247962076</v>
      </c>
      <c r="H499" s="8" t="s">
        <v>418</v>
      </c>
    </row>
    <row r="500" customFormat="false" ht="15" hidden="false" customHeight="false" outlineLevel="0" collapsed="false">
      <c r="A500" s="4" t="s">
        <v>320</v>
      </c>
      <c r="B500" s="0" t="s">
        <v>186</v>
      </c>
      <c r="C500" s="20" t="n">
        <f aca="false">a25_gp</f>
        <v>44.921088</v>
      </c>
      <c r="D500" s="20" t="n">
        <f aca="false">a26_gp</f>
        <v>77.875907</v>
      </c>
      <c r="E500" s="20" t="n">
        <f aca="false">$D$499*(E486+E493)+($D$499-d_nap)*E491</f>
        <v>136.619968915386</v>
      </c>
      <c r="F500" s="20" t="n">
        <f aca="false">$D$499*(F486+F493)+($D$499-d_nap)*F491</f>
        <v>155.273921472653</v>
      </c>
      <c r="G500" s="20" t="n">
        <f aca="false">$D$499*(G486+G493)+($D$499-d_nap)*G491</f>
        <v>177.612768371513</v>
      </c>
    </row>
    <row r="501" customFormat="false" ht="15" hidden="false" customHeight="false" outlineLevel="0" collapsed="false">
      <c r="A501" s="4" t="s">
        <v>322</v>
      </c>
      <c r="B501" s="0" t="s">
        <v>103</v>
      </c>
      <c r="C501" s="15" t="n">
        <f aca="false">C500/C494</f>
        <v>0.1809</v>
      </c>
      <c r="D501" s="15" t="n">
        <f aca="false">D500/D494</f>
        <v>0.189589247962076</v>
      </c>
      <c r="E501" s="15" t="n">
        <f aca="false">E500/E494</f>
        <v>0.197919203417431</v>
      </c>
      <c r="F501" s="15" t="n">
        <f aca="false">F500/F494</f>
        <v>0.19796305855748</v>
      </c>
      <c r="G501" s="15" t="n">
        <f aca="false">G500/G494</f>
        <v>0.198800572463579</v>
      </c>
    </row>
    <row r="502" customFormat="false" ht="15" hidden="false" customHeight="false" outlineLevel="0" collapsed="false">
      <c r="A502" s="4" t="s">
        <v>419</v>
      </c>
      <c r="B502" s="0" t="s">
        <v>186</v>
      </c>
      <c r="C502" s="20" t="n">
        <f aca="false">a25_opx</f>
        <v>12.78848</v>
      </c>
      <c r="D502" s="20" t="n">
        <f aca="false">a26_opx</f>
        <v>17.956088</v>
      </c>
      <c r="E502" s="20" t="n">
        <f aca="false">D502*(1+MAX(0,phi*E495))</f>
        <v>25.2874885726626</v>
      </c>
      <c r="F502" s="20" t="n">
        <f aca="false">E502*(1+MAX(0,phi*F495))</f>
        <v>27.3553053353604</v>
      </c>
      <c r="G502" s="20" t="n">
        <f aca="false">F502*(1+MAX(0,phi*G495))</f>
        <v>29.6375325537622</v>
      </c>
    </row>
    <row r="503" customFormat="false" ht="15" hidden="false" customHeight="false" outlineLevel="0" collapsed="false">
      <c r="A503" s="4" t="s">
        <v>324</v>
      </c>
      <c r="B503" s="0" t="s">
        <v>186</v>
      </c>
      <c r="C503" s="20" t="n">
        <f aca="false">C502</f>
        <v>12.78848</v>
      </c>
      <c r="D503" s="20" t="n">
        <f aca="false">D502</f>
        <v>17.956088</v>
      </c>
      <c r="E503" s="20" t="n">
        <f aca="false">E502+0*E494</f>
        <v>25.2874885726626</v>
      </c>
      <c r="F503" s="20" t="n">
        <f aca="false">F502+0*F494</f>
        <v>27.3553053353604</v>
      </c>
      <c r="G503" s="20" t="n">
        <f aca="false">G502+0*G494</f>
        <v>29.6375325537622</v>
      </c>
    </row>
    <row r="504" customFormat="false" ht="15" hidden="false" customHeight="false" outlineLevel="0" collapsed="false">
      <c r="A504" s="4" t="s">
        <v>326</v>
      </c>
      <c r="B504" s="0" t="s">
        <v>186</v>
      </c>
      <c r="C504" s="20" t="n">
        <f aca="false">C500-C503</f>
        <v>32.132608</v>
      </c>
      <c r="D504" s="20" t="n">
        <f aca="false">D500-D503</f>
        <v>59.919819</v>
      </c>
      <c r="E504" s="20" t="n">
        <f aca="false">E500-E503</f>
        <v>111.332480342724</v>
      </c>
      <c r="F504" s="20" t="n">
        <f aca="false">F500-F503</f>
        <v>127.918616137293</v>
      </c>
      <c r="G504" s="20" t="n">
        <f aca="false">G500-G503</f>
        <v>147.975235817751</v>
      </c>
    </row>
    <row r="505" customFormat="false" ht="15" hidden="false" customHeight="false" outlineLevel="0" collapsed="false">
      <c r="A505" s="4" t="s">
        <v>328</v>
      </c>
      <c r="B505" s="0" t="s">
        <v>103</v>
      </c>
      <c r="C505" s="15" t="n">
        <f aca="false">C504/C494</f>
        <v>0.1294</v>
      </c>
      <c r="D505" s="15" t="n">
        <f aca="false">D504/D494</f>
        <v>0.145875070478906</v>
      </c>
      <c r="E505" s="15" t="n">
        <f aca="false">E504/E494</f>
        <v>0.161285615849947</v>
      </c>
      <c r="F505" s="15" t="n">
        <f aca="false">F504/F494</f>
        <v>0.163087015880118</v>
      </c>
      <c r="G505" s="15" t="n">
        <f aca="false">G504/G494</f>
        <v>0.165627515750834</v>
      </c>
    </row>
    <row r="506" customFormat="false" ht="17.15" hidden="false" customHeight="false" outlineLevel="0" collapsed="false">
      <c r="A506" s="4" t="s">
        <v>224</v>
      </c>
      <c r="B506" s="0" t="s">
        <v>76</v>
      </c>
      <c r="C506" s="16" t="n">
        <f aca="false">a25_ni/a25_oi</f>
        <v>0.819790289042209</v>
      </c>
      <c r="D506" s="16" t="n">
        <f aca="false">a26_ni/a26_oi</f>
        <v>0.798164213413262</v>
      </c>
      <c r="E506" s="16" t="n">
        <f aca="false">nio_f</f>
        <v>0.8</v>
      </c>
      <c r="F506" s="16" t="n">
        <f aca="false">nio_f</f>
        <v>0.8</v>
      </c>
      <c r="G506" s="16" t="n">
        <f aca="false">nio_f</f>
        <v>0.8</v>
      </c>
    </row>
    <row r="507" customFormat="false" ht="15" hidden="false" customHeight="false" outlineLevel="0" collapsed="false">
      <c r="A507" s="4" t="s">
        <v>329</v>
      </c>
      <c r="B507" s="0" t="s">
        <v>186</v>
      </c>
      <c r="C507" s="20" t="n">
        <f aca="false">a25_ni</f>
        <v>26.342</v>
      </c>
      <c r="D507" s="20" t="n">
        <f aca="false">a26_ni</f>
        <v>47.8258552</v>
      </c>
      <c r="E507" s="20" t="n">
        <f aca="false">E504*E506</f>
        <v>89.065984274179</v>
      </c>
      <c r="F507" s="20" t="n">
        <f aca="false">F504*F506</f>
        <v>102.334892909834</v>
      </c>
      <c r="G507" s="20" t="n">
        <f aca="false">G504*G506</f>
        <v>118.380188654201</v>
      </c>
    </row>
    <row r="508" customFormat="false" ht="15" hidden="false" customHeight="false" outlineLevel="0" collapsed="false">
      <c r="A508" s="4" t="s">
        <v>420</v>
      </c>
      <c r="B508" s="4" t="s">
        <v>211</v>
      </c>
      <c r="C508" s="17" t="n">
        <f aca="false">a25_sh</f>
        <v>0.558922130277955</v>
      </c>
      <c r="D508" s="17" t="n">
        <f aca="false">a26_sh</f>
        <v>0.558904899135447</v>
      </c>
      <c r="E508" s="17" t="n">
        <f aca="false">D508*(1+sh_g27)</f>
        <v>0.568853406340058</v>
      </c>
      <c r="F508" s="17" t="n">
        <f aca="false">E508*(1+sh_g)</f>
        <v>0.568853406340058</v>
      </c>
      <c r="G508" s="17" t="n">
        <f aca="false">F508*(1+sh_g)</f>
        <v>0.568853406340058</v>
      </c>
    </row>
    <row r="509" customFormat="false" ht="15" hidden="false" customHeight="false" outlineLevel="0" collapsed="false">
      <c r="A509" s="0" t="s">
        <v>334</v>
      </c>
      <c r="B509" s="0" t="s">
        <v>244</v>
      </c>
      <c r="C509" s="14" t="n">
        <f aca="false">C507/C508</f>
        <v>47.13</v>
      </c>
      <c r="D509" s="14" t="n">
        <f aca="false">D507/D508</f>
        <v>85.5706494503455</v>
      </c>
      <c r="E509" s="14" t="n">
        <f aca="false">E507/E508</f>
        <v>156.571066080487</v>
      </c>
      <c r="F509" s="14" t="n">
        <f aca="false">F507/F508</f>
        <v>179.896774404932</v>
      </c>
      <c r="G509" s="14" t="n">
        <f aca="false">G507/G508</f>
        <v>208.103155109585</v>
      </c>
    </row>
    <row r="510" customFormat="false" ht="17.15" hidden="false" customHeight="false" outlineLevel="0" collapsed="false">
      <c r="A510" s="0" t="s">
        <v>421</v>
      </c>
      <c r="B510" s="0" t="s">
        <v>103</v>
      </c>
      <c r="D510" s="18" t="n">
        <f aca="false">D509/C509-1</f>
        <v>0.815630160202535</v>
      </c>
      <c r="E510" s="18" t="n">
        <f aca="false">E509/D509-1</f>
        <v>0.829728617069114</v>
      </c>
      <c r="F510" s="18" t="n">
        <f aca="false">F509/E509-1</f>
        <v>0.148978409027722</v>
      </c>
      <c r="G510" s="18" t="n">
        <f aca="false">G509/F509-1</f>
        <v>0.156792031418879</v>
      </c>
    </row>
    <row r="513" customFormat="false" ht="17.15" hidden="false" customHeight="false" outlineLevel="0" collapsed="false">
      <c r="A513" s="1" t="s">
        <v>728</v>
      </c>
    </row>
    <row r="514" customFormat="false" ht="17.15" hidden="false" customHeight="false" outlineLevel="0" collapsed="false">
      <c r="A514" s="5" t="s">
        <v>21</v>
      </c>
      <c r="B514" s="5" t="s">
        <v>22</v>
      </c>
      <c r="C514" s="12" t="s">
        <v>309</v>
      </c>
      <c r="D514" s="12" t="s">
        <v>371</v>
      </c>
      <c r="E514" s="12" t="s">
        <v>372</v>
      </c>
      <c r="F514" s="12" t="s">
        <v>373</v>
      </c>
      <c r="G514" s="12" t="s">
        <v>374</v>
      </c>
      <c r="H514" s="5" t="s">
        <v>350</v>
      </c>
    </row>
    <row r="515" customFormat="false" ht="17.15" hidden="false" customHeight="false" outlineLevel="0" collapsed="false">
      <c r="A515" s="6" t="s">
        <v>389</v>
      </c>
    </row>
    <row r="516" customFormat="false" ht="17.15" hidden="false" customHeight="false" outlineLevel="0" collapsed="false">
      <c r="A516" s="4" t="s">
        <v>390</v>
      </c>
      <c r="B516" s="0" t="s">
        <v>186</v>
      </c>
      <c r="C516" s="20" t="n">
        <f aca="false">a25_rev*nap25s</f>
        <v>156.4416</v>
      </c>
      <c r="D516" s="20" t="n">
        <f aca="false">a26_rev*ns26_hi</f>
        <v>238.241496</v>
      </c>
    </row>
    <row r="517" customFormat="false" ht="17.15" hidden="false" customHeight="false" outlineLevel="0" collapsed="false">
      <c r="A517" s="4" t="s">
        <v>391</v>
      </c>
      <c r="B517" s="0" t="s">
        <v>186</v>
      </c>
      <c r="C517" s="20" t="n">
        <f aca="false">a25_rev*(1-nap25s-sw25s*af25)</f>
        <v>41.22112</v>
      </c>
      <c r="D517" s="20" t="n">
        <f aca="false">C517*(1+g_nai26)</f>
        <v>45.343232</v>
      </c>
    </row>
    <row r="518" customFormat="false" ht="17.15" hidden="false" customHeight="false" outlineLevel="0" collapsed="false">
      <c r="A518" s="0" t="s">
        <v>392</v>
      </c>
      <c r="B518" s="0" t="s">
        <v>186</v>
      </c>
      <c r="C518" s="20" t="n">
        <f aca="false">a25_rev*sw25s*af25</f>
        <v>50.65728</v>
      </c>
      <c r="D518" s="20" t="n">
        <f aca="false">a26_rev-D516-D517</f>
        <v>127.176472</v>
      </c>
      <c r="H518" s="8" t="s">
        <v>393</v>
      </c>
    </row>
    <row r="519" customFormat="false" ht="17.15" hidden="false" customHeight="false" outlineLevel="0" collapsed="false">
      <c r="A519" s="6" t="s">
        <v>394</v>
      </c>
    </row>
    <row r="520" customFormat="false" ht="17.15" hidden="false" customHeight="false" outlineLevel="0" collapsed="false">
      <c r="A520" s="0" t="s">
        <v>395</v>
      </c>
      <c r="B520" s="0" t="s">
        <v>32</v>
      </c>
      <c r="D520" s="14" t="n">
        <f aca="false">mkt_26*1</f>
        <v>32.0719</v>
      </c>
      <c r="E520" s="14" t="n">
        <f aca="false">mkt_27*1*1</f>
        <v>61.085</v>
      </c>
      <c r="F520" s="14" t="n">
        <f aca="false">mkt_28*um28_A*1</f>
        <v>69.005</v>
      </c>
      <c r="G520" s="14" t="n">
        <f aca="false">mkt_29*um29_A*1</f>
        <v>78.48215</v>
      </c>
    </row>
    <row r="521" customFormat="false" ht="15" hidden="false" customHeight="false" outlineLevel="0" collapsed="false">
      <c r="A521" s="4" t="s">
        <v>396</v>
      </c>
      <c r="B521" s="0" t="s">
        <v>103</v>
      </c>
      <c r="D521" s="18" t="n">
        <f aca="false">eth_26</f>
        <v>0.75</v>
      </c>
      <c r="E521" s="18" t="n">
        <f aca="false">eth_27</f>
        <v>0.8</v>
      </c>
      <c r="F521" s="18" t="n">
        <f aca="false">eth_28</f>
        <v>0.83</v>
      </c>
      <c r="G521" s="18" t="n">
        <f aca="false">eth_29</f>
        <v>0.85</v>
      </c>
    </row>
    <row r="522" customFormat="false" ht="17.15" hidden="false" customHeight="false" outlineLevel="0" collapsed="false">
      <c r="A522" s="4" t="s">
        <v>397</v>
      </c>
      <c r="B522" s="0" t="s">
        <v>32</v>
      </c>
      <c r="D522" s="14" t="n">
        <f aca="false">su_26*1</f>
        <v>3.015</v>
      </c>
      <c r="E522" s="14" t="n">
        <f aca="false">su_27*1*1</f>
        <v>11.3414</v>
      </c>
      <c r="F522" s="14" t="n">
        <f aca="false">su_28*um28_A*1</f>
        <v>13.8952</v>
      </c>
      <c r="G522" s="14" t="n">
        <f aca="false">su_29*um29_A*1</f>
        <v>15.97948</v>
      </c>
    </row>
    <row r="523" customFormat="false" ht="17.15" hidden="false" customHeight="false" outlineLevel="0" collapsed="false">
      <c r="A523" s="0" t="s">
        <v>398</v>
      </c>
      <c r="B523" s="0" t="s">
        <v>32</v>
      </c>
      <c r="D523" s="14" t="n">
        <f aca="false">D520*D521+D522</f>
        <v>27.068925</v>
      </c>
      <c r="E523" s="14" t="n">
        <f aca="false">E520*E521+E522</f>
        <v>60.2094</v>
      </c>
      <c r="F523" s="14" t="n">
        <f aca="false">F520*F521+F522</f>
        <v>71.16935</v>
      </c>
      <c r="G523" s="14" t="n">
        <f aca="false">G520*G521+G522</f>
        <v>82.6893075</v>
      </c>
    </row>
    <row r="524" customFormat="false" ht="15" hidden="false" customHeight="false" outlineLevel="0" collapsed="false">
      <c r="A524" s="4" t="s">
        <v>355</v>
      </c>
      <c r="B524" s="0" t="s">
        <v>103</v>
      </c>
      <c r="D524" s="18" t="n">
        <f aca="false">wb_26</f>
        <v>0.45</v>
      </c>
      <c r="E524" s="18" t="n">
        <f aca="false">wb_27</f>
        <v>0.47</v>
      </c>
      <c r="F524" s="18" t="n">
        <f aca="false">wb_28</f>
        <v>0.48</v>
      </c>
      <c r="G524" s="18" t="n">
        <f aca="false">wb_29</f>
        <v>0.5</v>
      </c>
    </row>
    <row r="525" customFormat="false" ht="17.15" hidden="false" customHeight="false" outlineLevel="0" collapsed="false">
      <c r="A525" s="4" t="s">
        <v>357</v>
      </c>
      <c r="B525" s="0" t="s">
        <v>32</v>
      </c>
      <c r="D525" s="14" t="n">
        <f aca="false">D523*D524</f>
        <v>12.18101625</v>
      </c>
      <c r="E525" s="14" t="n">
        <f aca="false">E523*E524</f>
        <v>28.298418</v>
      </c>
      <c r="F525" s="14" t="n">
        <f aca="false">F523*F524</f>
        <v>34.161288</v>
      </c>
      <c r="G525" s="14" t="n">
        <f aca="false">G523*G524</f>
        <v>41.34465375</v>
      </c>
    </row>
    <row r="526" customFormat="false" ht="17.15" hidden="false" customHeight="false" outlineLevel="0" collapsed="false">
      <c r="A526" s="4" t="s">
        <v>399</v>
      </c>
      <c r="B526" s="0" t="s">
        <v>103</v>
      </c>
      <c r="D526" s="18" t="n">
        <f aca="false">D518/fx/D525</f>
        <v>0.326267092041684</v>
      </c>
      <c r="H526" s="8" t="s">
        <v>400</v>
      </c>
    </row>
    <row r="527" customFormat="false" ht="17.15" hidden="false" customHeight="false" outlineLevel="0" collapsed="false">
      <c r="A527" s="4" t="s">
        <v>401</v>
      </c>
      <c r="B527" s="0" t="s">
        <v>76</v>
      </c>
      <c r="D527" s="19" t="n">
        <f aca="false">1</f>
        <v>1</v>
      </c>
      <c r="E527" s="19" t="n">
        <f aca="false">rel_27</f>
        <v>1</v>
      </c>
      <c r="F527" s="19" t="n">
        <f aca="false">rel_28</f>
        <v>0.95</v>
      </c>
      <c r="G527" s="19" t="n">
        <f aca="false">rel_29</f>
        <v>0.92</v>
      </c>
    </row>
    <row r="528" customFormat="false" ht="15" hidden="false" customHeight="false" outlineLevel="0" collapsed="false">
      <c r="A528" s="4" t="s">
        <v>402</v>
      </c>
      <c r="B528" s="0" t="s">
        <v>103</v>
      </c>
      <c r="D528" s="18" t="n">
        <f aca="false">$D$526*D527</f>
        <v>0.326267092041684</v>
      </c>
      <c r="E528" s="18" t="n">
        <f aca="false">$D$526*E527</f>
        <v>0.326267092041684</v>
      </c>
      <c r="F528" s="18" t="n">
        <f aca="false">$D$526*F527</f>
        <v>0.3099537374396</v>
      </c>
      <c r="G528" s="18" t="n">
        <f aca="false">$D$526*G527</f>
        <v>0.300165724678349</v>
      </c>
    </row>
    <row r="529" customFormat="false" ht="17.15" hidden="false" customHeight="false" outlineLevel="0" collapsed="false">
      <c r="A529" s="0" t="s">
        <v>403</v>
      </c>
      <c r="B529" s="0" t="s">
        <v>186</v>
      </c>
      <c r="C529" s="20" t="n">
        <f aca="false">C518</f>
        <v>50.65728</v>
      </c>
      <c r="D529" s="20" t="n">
        <f aca="false">D525*D528*fx</f>
        <v>127.176472</v>
      </c>
      <c r="E529" s="20" t="n">
        <f aca="false">E525*E528*fx</f>
        <v>295.450961607682</v>
      </c>
      <c r="F529" s="20" t="n">
        <f aca="false">F525*F528*fx</f>
        <v>338.829404523218</v>
      </c>
      <c r="G529" s="20" t="n">
        <f aca="false">G525*G528*fx</f>
        <v>397.127934542214</v>
      </c>
    </row>
    <row r="530" customFormat="false" ht="17.15" hidden="false" customHeight="false" outlineLevel="0" collapsed="false">
      <c r="A530" s="6" t="s">
        <v>404</v>
      </c>
    </row>
    <row r="531" customFormat="false" ht="17.15" hidden="false" customHeight="false" outlineLevel="0" collapsed="false">
      <c r="A531" s="0" t="s">
        <v>405</v>
      </c>
      <c r="B531" s="4" t="s">
        <v>55</v>
      </c>
      <c r="D531" s="19" t="n">
        <f aca="false">trn_26*1</f>
        <v>2</v>
      </c>
      <c r="E531" s="19" t="n">
        <f aca="false">trn_27*1*1</f>
        <v>2.5</v>
      </c>
      <c r="F531" s="19" t="n">
        <f aca="false">trn_28*um28_A*1</f>
        <v>3</v>
      </c>
      <c r="G531" s="19" t="n">
        <f aca="false">trn_29*um29_A*1</f>
        <v>3.45</v>
      </c>
    </row>
    <row r="532" customFormat="false" ht="17.15" hidden="false" customHeight="false" outlineLevel="0" collapsed="false">
      <c r="A532" s="4" t="s">
        <v>406</v>
      </c>
      <c r="B532" s="4" t="s">
        <v>407</v>
      </c>
      <c r="D532" s="20" t="n">
        <f aca="false">D516/D531</f>
        <v>119.120748</v>
      </c>
      <c r="H532" s="8" t="s">
        <v>408</v>
      </c>
    </row>
    <row r="533" customFormat="false" ht="17.15" hidden="false" customHeight="false" outlineLevel="0" collapsed="false">
      <c r="A533" s="4" t="s">
        <v>409</v>
      </c>
      <c r="B533" s="0" t="s">
        <v>76</v>
      </c>
      <c r="D533" s="19" t="n">
        <f aca="false">1</f>
        <v>1</v>
      </c>
      <c r="E533" s="19" t="n">
        <f aca="false">nrel_27</f>
        <v>0.9</v>
      </c>
      <c r="F533" s="19" t="n">
        <f aca="false">nrel_28</f>
        <v>0.85</v>
      </c>
      <c r="G533" s="19" t="n">
        <f aca="false">nrel_29</f>
        <v>0.8</v>
      </c>
    </row>
    <row r="534" customFormat="false" ht="15" hidden="false" customHeight="false" outlineLevel="0" collapsed="false">
      <c r="A534" s="4" t="s">
        <v>410</v>
      </c>
      <c r="B534" s="0" t="s">
        <v>186</v>
      </c>
      <c r="C534" s="20" t="n">
        <f aca="false">C516</f>
        <v>156.4416</v>
      </c>
      <c r="D534" s="20" t="n">
        <f aca="false">D531*$D$532*D533</f>
        <v>238.241496</v>
      </c>
      <c r="E534" s="20" t="n">
        <f aca="false">E531*$D$532*E533</f>
        <v>268.021683</v>
      </c>
      <c r="F534" s="20" t="n">
        <f aca="false">F531*$D$532*F533</f>
        <v>303.7579074</v>
      </c>
      <c r="G534" s="20" t="n">
        <f aca="false">G531*$D$532*G533</f>
        <v>328.77326448</v>
      </c>
    </row>
    <row r="535" customFormat="false" ht="17.15" hidden="false" customHeight="false" outlineLevel="0" collapsed="false">
      <c r="A535" s="6" t="s">
        <v>411</v>
      </c>
    </row>
    <row r="536" customFormat="false" ht="17.15" hidden="false" customHeight="false" outlineLevel="0" collapsed="false">
      <c r="A536" s="4" t="s">
        <v>412</v>
      </c>
      <c r="B536" s="0" t="s">
        <v>186</v>
      </c>
      <c r="C536" s="20" t="n">
        <f aca="false">C517</f>
        <v>41.22112</v>
      </c>
      <c r="D536" s="20" t="n">
        <f aca="false">D517</f>
        <v>45.343232</v>
      </c>
      <c r="E536" s="20" t="n">
        <f aca="false">D536*(1+g_nai27)</f>
        <v>48.06382592</v>
      </c>
      <c r="F536" s="20" t="n">
        <f aca="false">E536*(1+g_nai28)</f>
        <v>50.467017216</v>
      </c>
      <c r="G536" s="20" t="n">
        <f aca="false">F536*(1+g_nai29)</f>
        <v>52.9903680768</v>
      </c>
    </row>
    <row r="537" customFormat="false" ht="15" hidden="false" customHeight="false" outlineLevel="0" collapsed="false">
      <c r="A537" s="4" t="s">
        <v>316</v>
      </c>
      <c r="B537" s="0" t="s">
        <v>186</v>
      </c>
      <c r="C537" s="20" t="n">
        <f aca="false">C529+C534+C536</f>
        <v>248.32</v>
      </c>
      <c r="D537" s="20" t="n">
        <f aca="false">D529+D534+D536</f>
        <v>410.7612</v>
      </c>
      <c r="E537" s="20" t="n">
        <f aca="false">E529+E534+E536</f>
        <v>611.536470527682</v>
      </c>
      <c r="F537" s="20" t="n">
        <f aca="false">F529+F534+F536</f>
        <v>693.054329139218</v>
      </c>
      <c r="G537" s="20" t="n">
        <f aca="false">G529+G534+G536</f>
        <v>778.891567099014</v>
      </c>
    </row>
    <row r="538" customFormat="false" ht="15" hidden="false" customHeight="false" outlineLevel="0" collapsed="false">
      <c r="A538" s="4" t="s">
        <v>413</v>
      </c>
      <c r="B538" s="0" t="s">
        <v>103</v>
      </c>
      <c r="D538" s="18" t="n">
        <f aca="false">D537/C537-1</f>
        <v>0.654160760309279</v>
      </c>
      <c r="E538" s="18" t="n">
        <f aca="false">E537/D537-1</f>
        <v>0.488788304561584</v>
      </c>
      <c r="F538" s="18" t="n">
        <f aca="false">F537/E537-1</f>
        <v>0.133300077003087</v>
      </c>
      <c r="G538" s="18" t="n">
        <f aca="false">G537/F537-1</f>
        <v>0.123853548489347</v>
      </c>
    </row>
    <row r="539" customFormat="false" ht="17.15" hidden="false" customHeight="false" outlineLevel="0" collapsed="false">
      <c r="A539" s="0" t="s">
        <v>414</v>
      </c>
      <c r="B539" s="0" t="s">
        <v>103</v>
      </c>
      <c r="C539" s="18" t="n">
        <f aca="false">(C529+C534)/C537</f>
        <v>0.834</v>
      </c>
      <c r="D539" s="18" t="n">
        <f aca="false">(D529+D534)/D537</f>
        <v>0.889611696528299</v>
      </c>
      <c r="E539" s="18" t="n">
        <f aca="false">(E529+E534)/E537</f>
        <v>0.921404808647754</v>
      </c>
      <c r="F539" s="18" t="n">
        <f aca="false">(F529+F534)/F537</f>
        <v>0.927181730069155</v>
      </c>
      <c r="G539" s="18" t="n">
        <f aca="false">(G529+G534)/G537</f>
        <v>0.931966951094152</v>
      </c>
    </row>
    <row r="540" customFormat="false" ht="17.15" hidden="false" customHeight="false" outlineLevel="0" collapsed="false">
      <c r="A540" s="4" t="s">
        <v>415</v>
      </c>
      <c r="B540" s="0" t="s">
        <v>103</v>
      </c>
      <c r="C540" s="18" t="n">
        <f aca="false">C534/C537</f>
        <v>0.63</v>
      </c>
      <c r="D540" s="18" t="n">
        <f aca="false">D534/D537</f>
        <v>0.58</v>
      </c>
      <c r="E540" s="18" t="n">
        <f aca="false">E534/E537</f>
        <v>0.438275877101377</v>
      </c>
      <c r="F540" s="18" t="n">
        <f aca="false">F534/F537</f>
        <v>0.438288738167571</v>
      </c>
      <c r="G540" s="18" t="n">
        <f aca="false">G534/G537</f>
        <v>0.422104023676258</v>
      </c>
    </row>
    <row r="541" customFormat="false" ht="17.15" hidden="false" customHeight="false" outlineLevel="0" collapsed="false">
      <c r="A541" s="6" t="s">
        <v>416</v>
      </c>
    </row>
    <row r="542" customFormat="false" ht="17.15" hidden="false" customHeight="false" outlineLevel="0" collapsed="false">
      <c r="A542" s="4" t="s">
        <v>417</v>
      </c>
      <c r="B542" s="0" t="s">
        <v>103</v>
      </c>
      <c r="D542" s="15" t="n">
        <f aca="false">a26_gp/a26_rev+d_nap*D540</f>
        <v>0.224389247962076</v>
      </c>
      <c r="H542" s="8" t="s">
        <v>418</v>
      </c>
    </row>
    <row r="543" customFormat="false" ht="15" hidden="false" customHeight="false" outlineLevel="0" collapsed="false">
      <c r="A543" s="4" t="s">
        <v>320</v>
      </c>
      <c r="B543" s="0" t="s">
        <v>186</v>
      </c>
      <c r="C543" s="20" t="n">
        <f aca="false">a25_gp</f>
        <v>44.921088</v>
      </c>
      <c r="D543" s="20" t="n">
        <f aca="false">a26_gp</f>
        <v>77.875907</v>
      </c>
      <c r="E543" s="20" t="n">
        <f aca="false">$D$542*(E529+E536)+($D$542-d_nap)*E534</f>
        <v>121.140907743089</v>
      </c>
      <c r="F543" s="20" t="n">
        <f aca="false">$D$542*(F529+F536)+($D$542-d_nap)*F534</f>
        <v>137.28846526841</v>
      </c>
      <c r="G543" s="20" t="n">
        <f aca="false">$D$542*(G529+G536)+($D$542-d_nap)*G534</f>
        <v>155.048497116551</v>
      </c>
    </row>
    <row r="544" customFormat="false" ht="15" hidden="false" customHeight="false" outlineLevel="0" collapsed="false">
      <c r="A544" s="4" t="s">
        <v>322</v>
      </c>
      <c r="B544" s="0" t="s">
        <v>103</v>
      </c>
      <c r="C544" s="15" t="n">
        <f aca="false">C543/C537</f>
        <v>0.1809</v>
      </c>
      <c r="D544" s="15" t="n">
        <f aca="false">D543/D537</f>
        <v>0.189589247962076</v>
      </c>
      <c r="E544" s="15" t="n">
        <f aca="false">E543/E537</f>
        <v>0.198092695335994</v>
      </c>
      <c r="F544" s="15" t="n">
        <f aca="false">F543/F537</f>
        <v>0.198091923672022</v>
      </c>
      <c r="G544" s="15" t="n">
        <f aca="false">G543/G537</f>
        <v>0.199063006541501</v>
      </c>
    </row>
    <row r="545" customFormat="false" ht="15" hidden="false" customHeight="false" outlineLevel="0" collapsed="false">
      <c r="A545" s="4" t="s">
        <v>419</v>
      </c>
      <c r="B545" s="0" t="s">
        <v>186</v>
      </c>
      <c r="C545" s="20" t="n">
        <f aca="false">a25_opx</f>
        <v>12.78848</v>
      </c>
      <c r="D545" s="20" t="n">
        <f aca="false">a26_opx</f>
        <v>17.956088</v>
      </c>
      <c r="E545" s="20" t="n">
        <f aca="false">D545*(1+MAX(0,phi*E538))</f>
        <v>23.2221234860472</v>
      </c>
      <c r="F545" s="20" t="n">
        <f aca="false">E545*(1+MAX(0,phi*F538))</f>
        <v>25.0794299953663</v>
      </c>
      <c r="G545" s="20" t="n">
        <f aca="false">F545*(1+MAX(0,phi*G538))</f>
        <v>26.9431358347761</v>
      </c>
    </row>
    <row r="546" customFormat="false" ht="15" hidden="false" customHeight="false" outlineLevel="0" collapsed="false">
      <c r="A546" s="4" t="s">
        <v>324</v>
      </c>
      <c r="B546" s="0" t="s">
        <v>186</v>
      </c>
      <c r="C546" s="20" t="n">
        <f aca="false">C545</f>
        <v>12.78848</v>
      </c>
      <c r="D546" s="20" t="n">
        <f aca="false">D545</f>
        <v>17.956088</v>
      </c>
      <c r="E546" s="20" t="n">
        <f aca="false">E545+0*E537</f>
        <v>23.2221234860472</v>
      </c>
      <c r="F546" s="20" t="n">
        <f aca="false">F545+0*F537</f>
        <v>25.0794299953663</v>
      </c>
      <c r="G546" s="20" t="n">
        <f aca="false">G545+0*G537</f>
        <v>26.9431358347761</v>
      </c>
    </row>
    <row r="547" customFormat="false" ht="15" hidden="false" customHeight="false" outlineLevel="0" collapsed="false">
      <c r="A547" s="4" t="s">
        <v>326</v>
      </c>
      <c r="B547" s="0" t="s">
        <v>186</v>
      </c>
      <c r="C547" s="20" t="n">
        <f aca="false">C543-C546</f>
        <v>32.132608</v>
      </c>
      <c r="D547" s="20" t="n">
        <f aca="false">D543-D546</f>
        <v>59.919819</v>
      </c>
      <c r="E547" s="20" t="n">
        <f aca="false">E543-E546</f>
        <v>97.9187842570417</v>
      </c>
      <c r="F547" s="20" t="n">
        <f aca="false">F543-F546</f>
        <v>112.209035273044</v>
      </c>
      <c r="G547" s="20" t="n">
        <f aca="false">G543-G546</f>
        <v>128.105361281775</v>
      </c>
    </row>
    <row r="548" customFormat="false" ht="15" hidden="false" customHeight="false" outlineLevel="0" collapsed="false">
      <c r="A548" s="4" t="s">
        <v>328</v>
      </c>
      <c r="B548" s="0" t="s">
        <v>103</v>
      </c>
      <c r="C548" s="15" t="n">
        <f aca="false">C547/C537</f>
        <v>0.1294</v>
      </c>
      <c r="D548" s="15" t="n">
        <f aca="false">D547/D537</f>
        <v>0.145875070478906</v>
      </c>
      <c r="E548" s="15" t="n">
        <f aca="false">E547/E537</f>
        <v>0.160119288016543</v>
      </c>
      <c r="F548" s="15" t="n">
        <f aca="false">F547/F537</f>
        <v>0.161905106937878</v>
      </c>
      <c r="G548" s="15" t="n">
        <f aca="false">G547/G537</f>
        <v>0.164471367637095</v>
      </c>
    </row>
    <row r="549" customFormat="false" ht="17.15" hidden="false" customHeight="false" outlineLevel="0" collapsed="false">
      <c r="A549" s="4" t="s">
        <v>224</v>
      </c>
      <c r="B549" s="0" t="s">
        <v>76</v>
      </c>
      <c r="C549" s="16" t="n">
        <f aca="false">a25_ni/a25_oi</f>
        <v>0.819790289042209</v>
      </c>
      <c r="D549" s="16" t="n">
        <f aca="false">a26_ni/a26_oi</f>
        <v>0.798164213413262</v>
      </c>
      <c r="E549" s="16" t="n">
        <f aca="false">nio_f</f>
        <v>0.8</v>
      </c>
      <c r="F549" s="16" t="n">
        <f aca="false">nio_f</f>
        <v>0.8</v>
      </c>
      <c r="G549" s="16" t="n">
        <f aca="false">nio_f</f>
        <v>0.8</v>
      </c>
    </row>
    <row r="550" customFormat="false" ht="15" hidden="false" customHeight="false" outlineLevel="0" collapsed="false">
      <c r="A550" s="4" t="s">
        <v>329</v>
      </c>
      <c r="B550" s="0" t="s">
        <v>186</v>
      </c>
      <c r="C550" s="20" t="n">
        <f aca="false">a25_ni</f>
        <v>26.342</v>
      </c>
      <c r="D550" s="20" t="n">
        <f aca="false">a26_ni</f>
        <v>47.8258552</v>
      </c>
      <c r="E550" s="20" t="n">
        <f aca="false">E547*E549</f>
        <v>78.3350274056334</v>
      </c>
      <c r="F550" s="20" t="n">
        <f aca="false">F547*F549</f>
        <v>89.7672282184352</v>
      </c>
      <c r="G550" s="20" t="n">
        <f aca="false">G547*G549</f>
        <v>102.48428902542</v>
      </c>
    </row>
    <row r="551" customFormat="false" ht="15" hidden="false" customHeight="false" outlineLevel="0" collapsed="false">
      <c r="A551" s="4" t="s">
        <v>420</v>
      </c>
      <c r="B551" s="4" t="s">
        <v>211</v>
      </c>
      <c r="C551" s="17" t="n">
        <f aca="false">a25_sh</f>
        <v>0.558922130277955</v>
      </c>
      <c r="D551" s="17" t="n">
        <f aca="false">a26_sh</f>
        <v>0.558904899135447</v>
      </c>
      <c r="E551" s="17" t="n">
        <f aca="false">D551*(1+sh_g27)</f>
        <v>0.568853406340058</v>
      </c>
      <c r="F551" s="17" t="n">
        <f aca="false">E551*(1+sh_g)</f>
        <v>0.568853406340058</v>
      </c>
      <c r="G551" s="17" t="n">
        <f aca="false">F551*(1+sh_g)</f>
        <v>0.568853406340058</v>
      </c>
    </row>
    <row r="552" customFormat="false" ht="15" hidden="false" customHeight="false" outlineLevel="0" collapsed="false">
      <c r="A552" s="0" t="s">
        <v>334</v>
      </c>
      <c r="B552" s="0" t="s">
        <v>244</v>
      </c>
      <c r="C552" s="14" t="n">
        <f aca="false">C550/C551</f>
        <v>47.13</v>
      </c>
      <c r="D552" s="14" t="n">
        <f aca="false">D550/D551</f>
        <v>85.5706494503455</v>
      </c>
      <c r="E552" s="14" t="n">
        <f aca="false">E550/E551</f>
        <v>137.706879369208</v>
      </c>
      <c r="F552" s="14" t="n">
        <f aca="false">F550/F551</f>
        <v>157.803798338816</v>
      </c>
      <c r="G552" s="14" t="n">
        <f aca="false">G550/G551</f>
        <v>180.159401144827</v>
      </c>
    </row>
    <row r="553" customFormat="false" ht="17.15" hidden="false" customHeight="false" outlineLevel="0" collapsed="false">
      <c r="A553" s="0" t="s">
        <v>421</v>
      </c>
      <c r="B553" s="0" t="s">
        <v>103</v>
      </c>
      <c r="D553" s="18" t="n">
        <f aca="false">D552/C552-1</f>
        <v>0.815630160202535</v>
      </c>
      <c r="E553" s="18" t="n">
        <f aca="false">E552/D552-1</f>
        <v>0.609277015586003</v>
      </c>
      <c r="F553" s="18" t="n">
        <f aca="false">F552/E552-1</f>
        <v>0.145939832938383</v>
      </c>
      <c r="G553" s="18" t="n">
        <f aca="false">G552/F552-1</f>
        <v>0.141667076720242</v>
      </c>
    </row>
    <row r="556" customFormat="false" ht="17.15" hidden="false" customHeight="false" outlineLevel="0" collapsed="false">
      <c r="A556" s="1" t="s">
        <v>729</v>
      </c>
    </row>
    <row r="557" customFormat="false" ht="17.15" hidden="false" customHeight="false" outlineLevel="0" collapsed="false">
      <c r="A557" s="5" t="s">
        <v>21</v>
      </c>
      <c r="B557" s="5" t="s">
        <v>22</v>
      </c>
      <c r="C557" s="12" t="s">
        <v>309</v>
      </c>
      <c r="D557" s="12" t="s">
        <v>371</v>
      </c>
      <c r="E557" s="12" t="s">
        <v>372</v>
      </c>
      <c r="F557" s="12" t="s">
        <v>373</v>
      </c>
      <c r="G557" s="12" t="s">
        <v>374</v>
      </c>
      <c r="H557" s="5" t="s">
        <v>350</v>
      </c>
    </row>
    <row r="558" customFormat="false" ht="17.15" hidden="false" customHeight="false" outlineLevel="0" collapsed="false">
      <c r="A558" s="6" t="s">
        <v>389</v>
      </c>
    </row>
    <row r="559" customFormat="false" ht="17.15" hidden="false" customHeight="false" outlineLevel="0" collapsed="false">
      <c r="A559" s="4" t="s">
        <v>390</v>
      </c>
      <c r="B559" s="0" t="s">
        <v>186</v>
      </c>
      <c r="C559" s="20" t="n">
        <f aca="false">a25_rev*nap25s</f>
        <v>156.4416</v>
      </c>
      <c r="D559" s="20" t="n">
        <f aca="false">a26_rev*ns26</f>
        <v>205.3806</v>
      </c>
    </row>
    <row r="560" customFormat="false" ht="17.15" hidden="false" customHeight="false" outlineLevel="0" collapsed="false">
      <c r="A560" s="4" t="s">
        <v>391</v>
      </c>
      <c r="B560" s="0" t="s">
        <v>186</v>
      </c>
      <c r="C560" s="20" t="n">
        <f aca="false">a25_rev*(1-nap25s-sw25s*af25)</f>
        <v>41.22112</v>
      </c>
      <c r="D560" s="20" t="n">
        <f aca="false">C560*(1+g_nai26)</f>
        <v>45.343232</v>
      </c>
    </row>
    <row r="561" customFormat="false" ht="17.15" hidden="false" customHeight="false" outlineLevel="0" collapsed="false">
      <c r="A561" s="0" t="s">
        <v>392</v>
      </c>
      <c r="B561" s="0" t="s">
        <v>186</v>
      </c>
      <c r="C561" s="20" t="n">
        <f aca="false">a25_rev*sw25s*af25</f>
        <v>50.65728</v>
      </c>
      <c r="D561" s="20" t="n">
        <f aca="false">a26_rev-D559-D560</f>
        <v>160.037368</v>
      </c>
      <c r="H561" s="8" t="s">
        <v>393</v>
      </c>
    </row>
    <row r="562" customFormat="false" ht="17.15" hidden="false" customHeight="false" outlineLevel="0" collapsed="false">
      <c r="A562" s="6" t="s">
        <v>394</v>
      </c>
    </row>
    <row r="563" customFormat="false" ht="17.15" hidden="false" customHeight="false" outlineLevel="0" collapsed="false">
      <c r="A563" s="0" t="s">
        <v>395</v>
      </c>
      <c r="B563" s="0" t="s">
        <v>32</v>
      </c>
      <c r="D563" s="14" t="n">
        <f aca="false">mkt_26*1</f>
        <v>32.0719</v>
      </c>
      <c r="E563" s="14" t="n">
        <f aca="false">mkt_27*1*1</f>
        <v>61.085</v>
      </c>
      <c r="F563" s="14" t="n">
        <f aca="false">mkt_28*um28_A*1</f>
        <v>69.005</v>
      </c>
      <c r="G563" s="14" t="n">
        <f aca="false">mkt_29*um29_A*1</f>
        <v>78.48215</v>
      </c>
    </row>
    <row r="564" customFormat="false" ht="15" hidden="false" customHeight="false" outlineLevel="0" collapsed="false">
      <c r="A564" s="4" t="s">
        <v>396</v>
      </c>
      <c r="B564" s="0" t="s">
        <v>103</v>
      </c>
      <c r="D564" s="18" t="n">
        <f aca="false">eth_26</f>
        <v>0.75</v>
      </c>
      <c r="E564" s="18" t="n">
        <f aca="false">eth_27</f>
        <v>0.8</v>
      </c>
      <c r="F564" s="18" t="n">
        <f aca="false">eth_28</f>
        <v>0.83</v>
      </c>
      <c r="G564" s="18" t="n">
        <f aca="false">eth_29</f>
        <v>0.85</v>
      </c>
    </row>
    <row r="565" customFormat="false" ht="17.15" hidden="false" customHeight="false" outlineLevel="0" collapsed="false">
      <c r="A565" s="4" t="s">
        <v>397</v>
      </c>
      <c r="B565" s="0" t="s">
        <v>32</v>
      </c>
      <c r="D565" s="14" t="n">
        <f aca="false">su_26*1</f>
        <v>3.015</v>
      </c>
      <c r="E565" s="14" t="n">
        <f aca="false">su_27*1*1</f>
        <v>11.3414</v>
      </c>
      <c r="F565" s="14" t="n">
        <f aca="false">su_28*um28_A*1</f>
        <v>13.8952</v>
      </c>
      <c r="G565" s="14" t="n">
        <f aca="false">su_29*um29_A*1</f>
        <v>15.97948</v>
      </c>
    </row>
    <row r="566" customFormat="false" ht="17.15" hidden="false" customHeight="false" outlineLevel="0" collapsed="false">
      <c r="A566" s="0" t="s">
        <v>398</v>
      </c>
      <c r="B566" s="0" t="s">
        <v>32</v>
      </c>
      <c r="D566" s="14" t="n">
        <f aca="false">D563*D564+D565</f>
        <v>27.068925</v>
      </c>
      <c r="E566" s="14" t="n">
        <f aca="false">E563*E564+E565</f>
        <v>60.2094</v>
      </c>
      <c r="F566" s="14" t="n">
        <f aca="false">F563*F564+F565</f>
        <v>71.16935</v>
      </c>
      <c r="G566" s="14" t="n">
        <f aca="false">G563*G564+G565</f>
        <v>82.6893075</v>
      </c>
    </row>
    <row r="567" customFormat="false" ht="15" hidden="false" customHeight="false" outlineLevel="0" collapsed="false">
      <c r="A567" s="4" t="s">
        <v>355</v>
      </c>
      <c r="B567" s="0" t="s">
        <v>103</v>
      </c>
      <c r="D567" s="18" t="n">
        <f aca="false">wb_26</f>
        <v>0.45</v>
      </c>
      <c r="E567" s="18" t="n">
        <f aca="false">wb_27</f>
        <v>0.47</v>
      </c>
      <c r="F567" s="18" t="n">
        <f aca="false">wb_28</f>
        <v>0.48</v>
      </c>
      <c r="G567" s="18" t="n">
        <f aca="false">wb_29</f>
        <v>0.5</v>
      </c>
    </row>
    <row r="568" customFormat="false" ht="17.15" hidden="false" customHeight="false" outlineLevel="0" collapsed="false">
      <c r="A568" s="4" t="s">
        <v>357</v>
      </c>
      <c r="B568" s="0" t="s">
        <v>32</v>
      </c>
      <c r="D568" s="14" t="n">
        <f aca="false">D566*D567</f>
        <v>12.18101625</v>
      </c>
      <c r="E568" s="14" t="n">
        <f aca="false">E566*E567</f>
        <v>28.298418</v>
      </c>
      <c r="F568" s="14" t="n">
        <f aca="false">F566*F567</f>
        <v>34.161288</v>
      </c>
      <c r="G568" s="14" t="n">
        <f aca="false">G566*G567</f>
        <v>41.34465375</v>
      </c>
    </row>
    <row r="569" customFormat="false" ht="17.15" hidden="false" customHeight="false" outlineLevel="0" collapsed="false">
      <c r="A569" s="4" t="s">
        <v>399</v>
      </c>
      <c r="B569" s="0" t="s">
        <v>103</v>
      </c>
      <c r="D569" s="18" t="n">
        <f aca="false">D561/fx/D568</f>
        <v>0.410570649226414</v>
      </c>
      <c r="H569" s="8" t="s">
        <v>400</v>
      </c>
    </row>
    <row r="570" customFormat="false" ht="17.15" hidden="false" customHeight="false" outlineLevel="0" collapsed="false">
      <c r="A570" s="4" t="s">
        <v>401</v>
      </c>
      <c r="B570" s="0" t="s">
        <v>76</v>
      </c>
      <c r="D570" s="19" t="n">
        <f aca="false">1</f>
        <v>1</v>
      </c>
      <c r="E570" s="19" t="n">
        <f aca="false">rel_27</f>
        <v>1</v>
      </c>
      <c r="F570" s="19" t="n">
        <f aca="false">rel_28</f>
        <v>0.95</v>
      </c>
      <c r="G570" s="19" t="n">
        <f aca="false">rel_29</f>
        <v>0.92</v>
      </c>
    </row>
    <row r="571" customFormat="false" ht="15" hidden="false" customHeight="false" outlineLevel="0" collapsed="false">
      <c r="A571" s="4" t="s">
        <v>402</v>
      </c>
      <c r="B571" s="0" t="s">
        <v>103</v>
      </c>
      <c r="D571" s="18" t="n">
        <f aca="false">$D$569*D570</f>
        <v>0.410570649226414</v>
      </c>
      <c r="E571" s="18" t="n">
        <f aca="false">$D$569*E570</f>
        <v>0.410570649226414</v>
      </c>
      <c r="F571" s="18" t="n">
        <f aca="false">$D$569*F570</f>
        <v>0.390042116765093</v>
      </c>
      <c r="G571" s="18" t="n">
        <f aca="false">$D$569*G570</f>
        <v>0.377724997288301</v>
      </c>
    </row>
    <row r="572" customFormat="false" ht="17.15" hidden="false" customHeight="false" outlineLevel="0" collapsed="false">
      <c r="A572" s="0" t="s">
        <v>403</v>
      </c>
      <c r="B572" s="0" t="s">
        <v>186</v>
      </c>
      <c r="C572" s="20" t="n">
        <f aca="false">C561</f>
        <v>50.65728</v>
      </c>
      <c r="D572" s="20" t="n">
        <f aca="false">D568*D571*fx</f>
        <v>160.037368</v>
      </c>
      <c r="E572" s="20" t="n">
        <f aca="false">E568*E571*fx</f>
        <v>371.791995210894</v>
      </c>
      <c r="F572" s="20" t="n">
        <f aca="false">F568*F571*fx</f>
        <v>426.378914654143</v>
      </c>
      <c r="G572" s="20" t="n">
        <f aca="false">G568*G571*fx</f>
        <v>499.741095219344</v>
      </c>
    </row>
    <row r="573" customFormat="false" ht="17.15" hidden="false" customHeight="false" outlineLevel="0" collapsed="false">
      <c r="A573" s="6" t="s">
        <v>404</v>
      </c>
    </row>
    <row r="574" customFormat="false" ht="17.15" hidden="false" customHeight="false" outlineLevel="0" collapsed="false">
      <c r="A574" s="0" t="s">
        <v>405</v>
      </c>
      <c r="B574" s="4" t="s">
        <v>55</v>
      </c>
      <c r="D574" s="19" t="n">
        <f aca="false">trn_26*1</f>
        <v>2</v>
      </c>
      <c r="E574" s="19" t="n">
        <f aca="false">trn_27*1*1</f>
        <v>2.5</v>
      </c>
      <c r="F574" s="19" t="n">
        <f aca="false">trn_28*um28_A*1</f>
        <v>3</v>
      </c>
      <c r="G574" s="19" t="n">
        <f aca="false">trn_29*um29_A*1</f>
        <v>3.45</v>
      </c>
    </row>
    <row r="575" customFormat="false" ht="17.15" hidden="false" customHeight="false" outlineLevel="0" collapsed="false">
      <c r="A575" s="4" t="s">
        <v>406</v>
      </c>
      <c r="B575" s="4" t="s">
        <v>407</v>
      </c>
      <c r="D575" s="20" t="n">
        <f aca="false">D559/D574</f>
        <v>102.6903</v>
      </c>
      <c r="H575" s="8" t="s">
        <v>408</v>
      </c>
    </row>
    <row r="576" customFormat="false" ht="17.15" hidden="false" customHeight="false" outlineLevel="0" collapsed="false">
      <c r="A576" s="4" t="s">
        <v>409</v>
      </c>
      <c r="B576" s="0" t="s">
        <v>76</v>
      </c>
      <c r="D576" s="19" t="n">
        <f aca="false">1</f>
        <v>1</v>
      </c>
      <c r="E576" s="19" t="n">
        <f aca="false">nrel_27</f>
        <v>0.9</v>
      </c>
      <c r="F576" s="19" t="n">
        <f aca="false">nrel_28</f>
        <v>0.85</v>
      </c>
      <c r="G576" s="19" t="n">
        <f aca="false">nrel_29</f>
        <v>0.8</v>
      </c>
    </row>
    <row r="577" customFormat="false" ht="15" hidden="false" customHeight="false" outlineLevel="0" collapsed="false">
      <c r="A577" s="4" t="s">
        <v>410</v>
      </c>
      <c r="B577" s="0" t="s">
        <v>186</v>
      </c>
      <c r="C577" s="20" t="n">
        <f aca="false">C559</f>
        <v>156.4416</v>
      </c>
      <c r="D577" s="20" t="n">
        <f aca="false">D574*$D$575*D576</f>
        <v>205.3806</v>
      </c>
      <c r="E577" s="20" t="n">
        <f aca="false">E574*$D$575*E576</f>
        <v>231.053175</v>
      </c>
      <c r="F577" s="20" t="n">
        <f aca="false">F574*$D$575*F576</f>
        <v>261.860265</v>
      </c>
      <c r="G577" s="20" t="n">
        <f aca="false">G574*$D$575*G576</f>
        <v>283.425228</v>
      </c>
    </row>
    <row r="578" customFormat="false" ht="17.15" hidden="false" customHeight="false" outlineLevel="0" collapsed="false">
      <c r="A578" s="6" t="s">
        <v>411</v>
      </c>
    </row>
    <row r="579" customFormat="false" ht="17.15" hidden="false" customHeight="false" outlineLevel="0" collapsed="false">
      <c r="A579" s="4" t="s">
        <v>412</v>
      </c>
      <c r="B579" s="0" t="s">
        <v>186</v>
      </c>
      <c r="C579" s="20" t="n">
        <f aca="false">C560</f>
        <v>41.22112</v>
      </c>
      <c r="D579" s="20" t="n">
        <f aca="false">D560</f>
        <v>45.343232</v>
      </c>
      <c r="E579" s="20" t="n">
        <f aca="false">D579*(1+g_nai27)</f>
        <v>48.06382592</v>
      </c>
      <c r="F579" s="20" t="n">
        <f aca="false">E579*(1+g_nai28)</f>
        <v>50.467017216</v>
      </c>
      <c r="G579" s="20" t="n">
        <f aca="false">F579*(1+g_nai29)</f>
        <v>52.9903680768</v>
      </c>
    </row>
    <row r="580" customFormat="false" ht="15" hidden="false" customHeight="false" outlineLevel="0" collapsed="false">
      <c r="A580" s="4" t="s">
        <v>316</v>
      </c>
      <c r="B580" s="0" t="s">
        <v>186</v>
      </c>
      <c r="C580" s="20" t="n">
        <f aca="false">C572+C577+C579</f>
        <v>248.32</v>
      </c>
      <c r="D580" s="20" t="n">
        <f aca="false">D572+D577+D579</f>
        <v>410.7612</v>
      </c>
      <c r="E580" s="20" t="n">
        <f aca="false">E572+E577+E579</f>
        <v>650.908996130894</v>
      </c>
      <c r="F580" s="20" t="n">
        <f aca="false">F572+F577+F579</f>
        <v>738.706196870144</v>
      </c>
      <c r="G580" s="20" t="n">
        <f aca="false">G572+G577+G579</f>
        <v>836.156691296144</v>
      </c>
    </row>
    <row r="581" customFormat="false" ht="15" hidden="false" customHeight="false" outlineLevel="0" collapsed="false">
      <c r="A581" s="4" t="s">
        <v>413</v>
      </c>
      <c r="B581" s="0" t="s">
        <v>103</v>
      </c>
      <c r="D581" s="18" t="n">
        <f aca="false">D580/C580-1</f>
        <v>0.654160760309279</v>
      </c>
      <c r="E581" s="18" t="n">
        <f aca="false">E580/D580-1</f>
        <v>0.584640896294232</v>
      </c>
      <c r="F581" s="18" t="n">
        <f aca="false">F580/E580-1</f>
        <v>0.134883987256483</v>
      </c>
      <c r="G581" s="18" t="n">
        <f aca="false">G580/F580-1</f>
        <v>0.131920504848738</v>
      </c>
    </row>
    <row r="582" customFormat="false" ht="17.15" hidden="false" customHeight="false" outlineLevel="0" collapsed="false">
      <c r="A582" s="0" t="s">
        <v>414</v>
      </c>
      <c r="B582" s="0" t="s">
        <v>103</v>
      </c>
      <c r="C582" s="18" t="n">
        <f aca="false">(C572+C577)/C580</f>
        <v>0.834</v>
      </c>
      <c r="D582" s="18" t="n">
        <f aca="false">(D572+D577)/D580</f>
        <v>0.889611696528299</v>
      </c>
      <c r="E582" s="18" t="n">
        <f aca="false">(E572+E577)/E580</f>
        <v>0.926158915907294</v>
      </c>
      <c r="F582" s="18" t="n">
        <f aca="false">(F572+F577)/F580</f>
        <v>0.931681881876955</v>
      </c>
      <c r="G582" s="18" t="n">
        <f aca="false">(G572+G577)/G580</f>
        <v>0.936626270376837</v>
      </c>
    </row>
    <row r="583" customFormat="false" ht="17.15" hidden="false" customHeight="false" outlineLevel="0" collapsed="false">
      <c r="A583" s="4" t="s">
        <v>415</v>
      </c>
      <c r="B583" s="0" t="s">
        <v>103</v>
      </c>
      <c r="C583" s="18" t="n">
        <f aca="false">C577/C580</f>
        <v>0.63</v>
      </c>
      <c r="D583" s="18" t="n">
        <f aca="false">D577/D580</f>
        <v>0.5</v>
      </c>
      <c r="E583" s="18" t="n">
        <f aca="false">E577/E580</f>
        <v>0.354970013278994</v>
      </c>
      <c r="F583" s="18" t="n">
        <f aca="false">F577/F580</f>
        <v>0.354484998378905</v>
      </c>
      <c r="G583" s="18" t="n">
        <f aca="false">G577/G580</f>
        <v>0.338961860797474</v>
      </c>
    </row>
    <row r="584" customFormat="false" ht="17.15" hidden="false" customHeight="false" outlineLevel="0" collapsed="false">
      <c r="A584" s="6" t="s">
        <v>416</v>
      </c>
    </row>
    <row r="585" customFormat="false" ht="17.15" hidden="false" customHeight="false" outlineLevel="0" collapsed="false">
      <c r="A585" s="4" t="s">
        <v>417</v>
      </c>
      <c r="B585" s="0" t="s">
        <v>103</v>
      </c>
      <c r="D585" s="15" t="n">
        <f aca="false">a26_gp/a26_rev+d_nap_lo*D583</f>
        <v>0.204589247962076</v>
      </c>
      <c r="H585" s="8" t="s">
        <v>418</v>
      </c>
    </row>
    <row r="586" customFormat="false" ht="15" hidden="false" customHeight="false" outlineLevel="0" collapsed="false">
      <c r="A586" s="4" t="s">
        <v>320</v>
      </c>
      <c r="B586" s="0" t="s">
        <v>186</v>
      </c>
      <c r="C586" s="20" t="n">
        <f aca="false">a25_gp</f>
        <v>44.921088</v>
      </c>
      <c r="D586" s="20" t="n">
        <f aca="false">a26_gp</f>
        <v>77.875907</v>
      </c>
      <c r="E586" s="20" t="n">
        <f aca="false">$D$585*(E572+E579)+($D$585-d_nap_lo)*E577</f>
        <v>126.23738676017</v>
      </c>
      <c r="F586" s="20" t="n">
        <f aca="false">$D$585*(F572+F579)+($D$585-d_nap_lo)*F577</f>
        <v>143.275537332588</v>
      </c>
      <c r="G586" s="20" t="n">
        <f aca="false">$D$585*(G572+G579)+($D$585-d_nap_lo)*G577</f>
        <v>162.565911810736</v>
      </c>
    </row>
    <row r="587" customFormat="false" ht="15" hidden="false" customHeight="false" outlineLevel="0" collapsed="false">
      <c r="A587" s="4" t="s">
        <v>322</v>
      </c>
      <c r="B587" s="0" t="s">
        <v>103</v>
      </c>
      <c r="C587" s="15" t="n">
        <f aca="false">C586/C580</f>
        <v>0.1809</v>
      </c>
      <c r="D587" s="15" t="n">
        <f aca="false">D586/D580</f>
        <v>0.189589247962076</v>
      </c>
      <c r="E587" s="15" t="n">
        <f aca="false">E586/E580</f>
        <v>0.193940147563706</v>
      </c>
      <c r="F587" s="15" t="n">
        <f aca="false">F586/F580</f>
        <v>0.193954698010709</v>
      </c>
      <c r="G587" s="15" t="n">
        <f aca="false">G586/G580</f>
        <v>0.194420392138152</v>
      </c>
    </row>
    <row r="588" customFormat="false" ht="15" hidden="false" customHeight="false" outlineLevel="0" collapsed="false">
      <c r="A588" s="4" t="s">
        <v>419</v>
      </c>
      <c r="B588" s="0" t="s">
        <v>186</v>
      </c>
      <c r="C588" s="20" t="n">
        <f aca="false">a25_opx</f>
        <v>12.78848</v>
      </c>
      <c r="D588" s="20" t="n">
        <f aca="false">a26_opx</f>
        <v>17.956088</v>
      </c>
      <c r="E588" s="20" t="n">
        <f aca="false">D588*(1+MAX(0,phi*E581))</f>
        <v>24.2548060293549</v>
      </c>
      <c r="F588" s="20" t="n">
        <f aca="false">E588*(1+MAX(0,phi*F581))</f>
        <v>26.217756997778</v>
      </c>
      <c r="G588" s="20" t="n">
        <f aca="false">F588*(1+MAX(0,phi*G581))</f>
        <v>28.2929528412671</v>
      </c>
    </row>
    <row r="589" customFormat="false" ht="15" hidden="false" customHeight="false" outlineLevel="0" collapsed="false">
      <c r="A589" s="4" t="s">
        <v>324</v>
      </c>
      <c r="B589" s="0" t="s">
        <v>186</v>
      </c>
      <c r="C589" s="20" t="n">
        <f aca="false">C588</f>
        <v>12.78848</v>
      </c>
      <c r="D589" s="20" t="n">
        <f aca="false">D588</f>
        <v>17.956088</v>
      </c>
      <c r="E589" s="20" t="n">
        <f aca="false">E588+0*E580</f>
        <v>24.2548060293549</v>
      </c>
      <c r="F589" s="20" t="n">
        <f aca="false">F588+0*F580</f>
        <v>26.217756997778</v>
      </c>
      <c r="G589" s="20" t="n">
        <f aca="false">G588+0*G580</f>
        <v>28.2929528412671</v>
      </c>
    </row>
    <row r="590" customFormat="false" ht="15" hidden="false" customHeight="false" outlineLevel="0" collapsed="false">
      <c r="A590" s="4" t="s">
        <v>326</v>
      </c>
      <c r="B590" s="0" t="s">
        <v>186</v>
      </c>
      <c r="C590" s="20" t="n">
        <f aca="false">C586-C589</f>
        <v>32.132608</v>
      </c>
      <c r="D590" s="20" t="n">
        <f aca="false">D586-D589</f>
        <v>59.919819</v>
      </c>
      <c r="E590" s="20" t="n">
        <f aca="false">E586-E589</f>
        <v>101.982580730815</v>
      </c>
      <c r="F590" s="20" t="n">
        <f aca="false">F586-F589</f>
        <v>117.05778033481</v>
      </c>
      <c r="G590" s="20" t="n">
        <f aca="false">G586-G589</f>
        <v>134.272958969469</v>
      </c>
    </row>
    <row r="591" customFormat="false" ht="15" hidden="false" customHeight="false" outlineLevel="0" collapsed="false">
      <c r="A591" s="4" t="s">
        <v>328</v>
      </c>
      <c r="B591" s="0" t="s">
        <v>103</v>
      </c>
      <c r="C591" s="15" t="n">
        <f aca="false">C590/C580</f>
        <v>0.1294</v>
      </c>
      <c r="D591" s="15" t="n">
        <f aca="false">D590/D580</f>
        <v>0.145875070478906</v>
      </c>
      <c r="E591" s="15" t="n">
        <f aca="false">E590/E580</f>
        <v>0.156677171981053</v>
      </c>
      <c r="F591" s="15" t="n">
        <f aca="false">F590/F580</f>
        <v>0.158463244021476</v>
      </c>
      <c r="G591" s="15" t="n">
        <f aca="false">G590/G580</f>
        <v>0.160583489155997</v>
      </c>
    </row>
    <row r="592" customFormat="false" ht="17.15" hidden="false" customHeight="false" outlineLevel="0" collapsed="false">
      <c r="A592" s="4" t="s">
        <v>224</v>
      </c>
      <c r="B592" s="0" t="s">
        <v>76</v>
      </c>
      <c r="C592" s="16" t="n">
        <f aca="false">a25_ni/a25_oi</f>
        <v>0.819790289042209</v>
      </c>
      <c r="D592" s="16" t="n">
        <f aca="false">a26_ni/a26_oi</f>
        <v>0.798164213413262</v>
      </c>
      <c r="E592" s="16" t="n">
        <f aca="false">nio_f</f>
        <v>0.8</v>
      </c>
      <c r="F592" s="16" t="n">
        <f aca="false">nio_f</f>
        <v>0.8</v>
      </c>
      <c r="G592" s="16" t="n">
        <f aca="false">nio_f</f>
        <v>0.8</v>
      </c>
    </row>
    <row r="593" customFormat="false" ht="15" hidden="false" customHeight="false" outlineLevel="0" collapsed="false">
      <c r="A593" s="4" t="s">
        <v>329</v>
      </c>
      <c r="B593" s="0" t="s">
        <v>186</v>
      </c>
      <c r="C593" s="20" t="n">
        <f aca="false">a25_ni</f>
        <v>26.342</v>
      </c>
      <c r="D593" s="20" t="n">
        <f aca="false">a26_ni</f>
        <v>47.8258552</v>
      </c>
      <c r="E593" s="20" t="n">
        <f aca="false">E590*E592</f>
        <v>81.5860645846518</v>
      </c>
      <c r="F593" s="20" t="n">
        <f aca="false">F590*F592</f>
        <v>93.646224267848</v>
      </c>
      <c r="G593" s="20" t="n">
        <f aca="false">G590*G592</f>
        <v>107.418367175575</v>
      </c>
    </row>
    <row r="594" customFormat="false" ht="15" hidden="false" customHeight="false" outlineLevel="0" collapsed="false">
      <c r="A594" s="4" t="s">
        <v>420</v>
      </c>
      <c r="B594" s="4" t="s">
        <v>211</v>
      </c>
      <c r="C594" s="17" t="n">
        <f aca="false">a25_sh</f>
        <v>0.558922130277955</v>
      </c>
      <c r="D594" s="17" t="n">
        <f aca="false">a26_sh</f>
        <v>0.558904899135447</v>
      </c>
      <c r="E594" s="17" t="n">
        <f aca="false">D594*(1+sh_g27)</f>
        <v>0.568853406340058</v>
      </c>
      <c r="F594" s="17" t="n">
        <f aca="false">E594*(1+sh_g)</f>
        <v>0.568853406340058</v>
      </c>
      <c r="G594" s="17" t="n">
        <f aca="false">F594*(1+sh_g)</f>
        <v>0.568853406340058</v>
      </c>
    </row>
    <row r="595" customFormat="false" ht="15" hidden="false" customHeight="false" outlineLevel="0" collapsed="false">
      <c r="A595" s="0" t="s">
        <v>334</v>
      </c>
      <c r="B595" s="0" t="s">
        <v>244</v>
      </c>
      <c r="C595" s="14" t="n">
        <f aca="false">C593/C594</f>
        <v>47.13</v>
      </c>
      <c r="D595" s="14" t="n">
        <f aca="false">D593/D594</f>
        <v>85.5706494503455</v>
      </c>
      <c r="E595" s="14" t="n">
        <f aca="false">E593/E594</f>
        <v>143.421949618915</v>
      </c>
      <c r="F595" s="14" t="n">
        <f aca="false">F593/F594</f>
        <v>164.622771392647</v>
      </c>
      <c r="G595" s="14" t="n">
        <f aca="false">G593/G594</f>
        <v>188.833126387857</v>
      </c>
    </row>
    <row r="596" customFormat="false" ht="17.15" hidden="false" customHeight="false" outlineLevel="0" collapsed="false">
      <c r="A596" s="0" t="s">
        <v>421</v>
      </c>
      <c r="B596" s="0" t="s">
        <v>103</v>
      </c>
      <c r="D596" s="18" t="n">
        <f aca="false">D595/C595-1</f>
        <v>0.815630160202535</v>
      </c>
      <c r="E596" s="18" t="n">
        <f aca="false">E595/D595-1</f>
        <v>0.676064755148773</v>
      </c>
      <c r="F596" s="18" t="n">
        <f aca="false">F595/E595-1</f>
        <v>0.147821319052384</v>
      </c>
      <c r="G596" s="18" t="n">
        <f aca="false">G595/F595-1</f>
        <v>0.1470656507019</v>
      </c>
    </row>
    <row r="599" customFormat="false" ht="17.15" hidden="false" customHeight="false" outlineLevel="0" collapsed="false">
      <c r="A599" s="1" t="s">
        <v>730</v>
      </c>
    </row>
    <row r="600" customFormat="false" ht="17.15" hidden="false" customHeight="false" outlineLevel="0" collapsed="false">
      <c r="A600" s="5" t="s">
        <v>21</v>
      </c>
      <c r="B600" s="5" t="s">
        <v>22</v>
      </c>
      <c r="C600" s="12" t="s">
        <v>309</v>
      </c>
      <c r="D600" s="12" t="s">
        <v>371</v>
      </c>
      <c r="E600" s="12" t="s">
        <v>372</v>
      </c>
      <c r="F600" s="12" t="s">
        <v>373</v>
      </c>
      <c r="G600" s="12" t="s">
        <v>374</v>
      </c>
      <c r="H600" s="5" t="s">
        <v>350</v>
      </c>
    </row>
    <row r="601" customFormat="false" ht="17.15" hidden="false" customHeight="false" outlineLevel="0" collapsed="false">
      <c r="A601" s="6" t="s">
        <v>389</v>
      </c>
    </row>
    <row r="602" customFormat="false" ht="17.15" hidden="false" customHeight="false" outlineLevel="0" collapsed="false">
      <c r="A602" s="4" t="s">
        <v>390</v>
      </c>
      <c r="B602" s="0" t="s">
        <v>186</v>
      </c>
      <c r="C602" s="20" t="n">
        <f aca="false">a25_rev*nap25s</f>
        <v>156.4416</v>
      </c>
      <c r="D602" s="20" t="n">
        <f aca="false">a26_rev*ns26</f>
        <v>205.3806</v>
      </c>
    </row>
    <row r="603" customFormat="false" ht="17.15" hidden="false" customHeight="false" outlineLevel="0" collapsed="false">
      <c r="A603" s="4" t="s">
        <v>391</v>
      </c>
      <c r="B603" s="0" t="s">
        <v>186</v>
      </c>
      <c r="C603" s="20" t="n">
        <f aca="false">a25_rev*(1-nap25s-sw25s*af25)</f>
        <v>41.22112</v>
      </c>
      <c r="D603" s="20" t="n">
        <f aca="false">C603*(1+g_nai26)</f>
        <v>45.343232</v>
      </c>
    </row>
    <row r="604" customFormat="false" ht="17.15" hidden="false" customHeight="false" outlineLevel="0" collapsed="false">
      <c r="A604" s="0" t="s">
        <v>392</v>
      </c>
      <c r="B604" s="0" t="s">
        <v>186</v>
      </c>
      <c r="C604" s="20" t="n">
        <f aca="false">a25_rev*sw25s*af25</f>
        <v>50.65728</v>
      </c>
      <c r="D604" s="20" t="n">
        <f aca="false">a26_rev-D602-D603</f>
        <v>160.037368</v>
      </c>
      <c r="H604" s="8" t="s">
        <v>393</v>
      </c>
    </row>
    <row r="605" customFormat="false" ht="17.15" hidden="false" customHeight="false" outlineLevel="0" collapsed="false">
      <c r="A605" s="6" t="s">
        <v>394</v>
      </c>
    </row>
    <row r="606" customFormat="false" ht="17.15" hidden="false" customHeight="false" outlineLevel="0" collapsed="false">
      <c r="A606" s="0" t="s">
        <v>395</v>
      </c>
      <c r="B606" s="0" t="s">
        <v>32</v>
      </c>
      <c r="D606" s="14" t="n">
        <f aca="false">mkt_26*1</f>
        <v>32.0719</v>
      </c>
      <c r="E606" s="14" t="n">
        <f aca="false">mkt_27*1*1</f>
        <v>61.085</v>
      </c>
      <c r="F606" s="14" t="n">
        <f aca="false">mkt_28*um28_A*1</f>
        <v>69.005</v>
      </c>
      <c r="G606" s="14" t="n">
        <f aca="false">mkt_29*um29_A*1</f>
        <v>78.48215</v>
      </c>
    </row>
    <row r="607" customFormat="false" ht="15" hidden="false" customHeight="false" outlineLevel="0" collapsed="false">
      <c r="A607" s="4" t="s">
        <v>396</v>
      </c>
      <c r="B607" s="0" t="s">
        <v>103</v>
      </c>
      <c r="D607" s="18" t="n">
        <f aca="false">eth_26</f>
        <v>0.75</v>
      </c>
      <c r="E607" s="18" t="n">
        <f aca="false">eth_27</f>
        <v>0.8</v>
      </c>
      <c r="F607" s="18" t="n">
        <f aca="false">eth_28</f>
        <v>0.83</v>
      </c>
      <c r="G607" s="18" t="n">
        <f aca="false">eth_29</f>
        <v>0.85</v>
      </c>
    </row>
    <row r="608" customFormat="false" ht="17.15" hidden="false" customHeight="false" outlineLevel="0" collapsed="false">
      <c r="A608" s="4" t="s">
        <v>397</v>
      </c>
      <c r="B608" s="0" t="s">
        <v>32</v>
      </c>
      <c r="D608" s="14" t="n">
        <f aca="false">su_26*1</f>
        <v>3.015</v>
      </c>
      <c r="E608" s="14" t="n">
        <f aca="false">su_27*1*1</f>
        <v>11.3414</v>
      </c>
      <c r="F608" s="14" t="n">
        <f aca="false">su_28*um28_A*1</f>
        <v>13.8952</v>
      </c>
      <c r="G608" s="14" t="n">
        <f aca="false">su_29*um29_A*1</f>
        <v>15.97948</v>
      </c>
    </row>
    <row r="609" customFormat="false" ht="17.15" hidden="false" customHeight="false" outlineLevel="0" collapsed="false">
      <c r="A609" s="0" t="s">
        <v>398</v>
      </c>
      <c r="B609" s="0" t="s">
        <v>32</v>
      </c>
      <c r="D609" s="14" t="n">
        <f aca="false">D606*D607+D608</f>
        <v>27.068925</v>
      </c>
      <c r="E609" s="14" t="n">
        <f aca="false">E606*E607+E608</f>
        <v>60.2094</v>
      </c>
      <c r="F609" s="14" t="n">
        <f aca="false">F606*F607+F608</f>
        <v>71.16935</v>
      </c>
      <c r="G609" s="14" t="n">
        <f aca="false">G606*G607+G608</f>
        <v>82.6893075</v>
      </c>
    </row>
    <row r="610" customFormat="false" ht="15" hidden="false" customHeight="false" outlineLevel="0" collapsed="false">
      <c r="A610" s="4" t="s">
        <v>355</v>
      </c>
      <c r="B610" s="0" t="s">
        <v>103</v>
      </c>
      <c r="D610" s="18" t="n">
        <f aca="false">wb_26</f>
        <v>0.45</v>
      </c>
      <c r="E610" s="18" t="n">
        <f aca="false">wb_27</f>
        <v>0.47</v>
      </c>
      <c r="F610" s="18" t="n">
        <f aca="false">wb_28</f>
        <v>0.48</v>
      </c>
      <c r="G610" s="18" t="n">
        <f aca="false">wb_29</f>
        <v>0.5</v>
      </c>
    </row>
    <row r="611" customFormat="false" ht="17.15" hidden="false" customHeight="false" outlineLevel="0" collapsed="false">
      <c r="A611" s="4" t="s">
        <v>357</v>
      </c>
      <c r="B611" s="0" t="s">
        <v>32</v>
      </c>
      <c r="D611" s="14" t="n">
        <f aca="false">D609*D610</f>
        <v>12.18101625</v>
      </c>
      <c r="E611" s="14" t="n">
        <f aca="false">E609*E610</f>
        <v>28.298418</v>
      </c>
      <c r="F611" s="14" t="n">
        <f aca="false">F609*F610</f>
        <v>34.161288</v>
      </c>
      <c r="G611" s="14" t="n">
        <f aca="false">G609*G610</f>
        <v>41.34465375</v>
      </c>
    </row>
    <row r="612" customFormat="false" ht="17.15" hidden="false" customHeight="false" outlineLevel="0" collapsed="false">
      <c r="A612" s="4" t="s">
        <v>399</v>
      </c>
      <c r="B612" s="0" t="s">
        <v>103</v>
      </c>
      <c r="D612" s="18" t="n">
        <f aca="false">D604/fx/D611</f>
        <v>0.410570649226414</v>
      </c>
      <c r="H612" s="8" t="s">
        <v>400</v>
      </c>
    </row>
    <row r="613" customFormat="false" ht="17.15" hidden="false" customHeight="false" outlineLevel="0" collapsed="false">
      <c r="A613" s="4" t="s">
        <v>401</v>
      </c>
      <c r="B613" s="0" t="s">
        <v>76</v>
      </c>
      <c r="D613" s="19" t="n">
        <f aca="false">1</f>
        <v>1</v>
      </c>
      <c r="E613" s="19" t="n">
        <f aca="false">rel_27</f>
        <v>1</v>
      </c>
      <c r="F613" s="19" t="n">
        <f aca="false">rel_28</f>
        <v>0.95</v>
      </c>
      <c r="G613" s="19" t="n">
        <f aca="false">rel_29</f>
        <v>0.92</v>
      </c>
    </row>
    <row r="614" customFormat="false" ht="15" hidden="false" customHeight="false" outlineLevel="0" collapsed="false">
      <c r="A614" s="4" t="s">
        <v>402</v>
      </c>
      <c r="B614" s="0" t="s">
        <v>103</v>
      </c>
      <c r="D614" s="18" t="n">
        <f aca="false">$D$612*D613</f>
        <v>0.410570649226414</v>
      </c>
      <c r="E614" s="18" t="n">
        <f aca="false">$D$612*E613</f>
        <v>0.410570649226414</v>
      </c>
      <c r="F614" s="18" t="n">
        <f aca="false">$D$612*F613</f>
        <v>0.390042116765093</v>
      </c>
      <c r="G614" s="18" t="n">
        <f aca="false">$D$612*G613</f>
        <v>0.377724997288301</v>
      </c>
    </row>
    <row r="615" customFormat="false" ht="17.15" hidden="false" customHeight="false" outlineLevel="0" collapsed="false">
      <c r="A615" s="0" t="s">
        <v>403</v>
      </c>
      <c r="B615" s="0" t="s">
        <v>186</v>
      </c>
      <c r="C615" s="20" t="n">
        <f aca="false">C604</f>
        <v>50.65728</v>
      </c>
      <c r="D615" s="20" t="n">
        <f aca="false">D611*D614*fx</f>
        <v>160.037368</v>
      </c>
      <c r="E615" s="20" t="n">
        <f aca="false">E611*E614*fx</f>
        <v>371.791995210894</v>
      </c>
      <c r="F615" s="20" t="n">
        <f aca="false">F611*F614*fx</f>
        <v>426.378914654143</v>
      </c>
      <c r="G615" s="20" t="n">
        <f aca="false">G611*G614*fx</f>
        <v>499.741095219344</v>
      </c>
    </row>
    <row r="616" customFormat="false" ht="17.15" hidden="false" customHeight="false" outlineLevel="0" collapsed="false">
      <c r="A616" s="6" t="s">
        <v>404</v>
      </c>
    </row>
    <row r="617" customFormat="false" ht="17.15" hidden="false" customHeight="false" outlineLevel="0" collapsed="false">
      <c r="A617" s="0" t="s">
        <v>405</v>
      </c>
      <c r="B617" s="4" t="s">
        <v>55</v>
      </c>
      <c r="D617" s="19" t="n">
        <f aca="false">trn_26*1</f>
        <v>2</v>
      </c>
      <c r="E617" s="19" t="n">
        <f aca="false">trn_27*1*1</f>
        <v>2.5</v>
      </c>
      <c r="F617" s="19" t="n">
        <f aca="false">trn_28*um28_A*1</f>
        <v>3</v>
      </c>
      <c r="G617" s="19" t="n">
        <f aca="false">trn_29*um29_A*1</f>
        <v>3.45</v>
      </c>
    </row>
    <row r="618" customFormat="false" ht="17.15" hidden="false" customHeight="false" outlineLevel="0" collapsed="false">
      <c r="A618" s="4" t="s">
        <v>406</v>
      </c>
      <c r="B618" s="4" t="s">
        <v>407</v>
      </c>
      <c r="D618" s="20" t="n">
        <f aca="false">D602/D617</f>
        <v>102.6903</v>
      </c>
      <c r="H618" s="8" t="s">
        <v>408</v>
      </c>
    </row>
    <row r="619" customFormat="false" ht="17.15" hidden="false" customHeight="false" outlineLevel="0" collapsed="false">
      <c r="A619" s="4" t="s">
        <v>409</v>
      </c>
      <c r="B619" s="0" t="s">
        <v>76</v>
      </c>
      <c r="D619" s="19" t="n">
        <f aca="false">1</f>
        <v>1</v>
      </c>
      <c r="E619" s="19" t="n">
        <f aca="false">nrel_27</f>
        <v>0.9</v>
      </c>
      <c r="F619" s="19" t="n">
        <f aca="false">nrel_28</f>
        <v>0.85</v>
      </c>
      <c r="G619" s="19" t="n">
        <f aca="false">nrel_29</f>
        <v>0.8</v>
      </c>
    </row>
    <row r="620" customFormat="false" ht="15" hidden="false" customHeight="false" outlineLevel="0" collapsed="false">
      <c r="A620" s="4" t="s">
        <v>410</v>
      </c>
      <c r="B620" s="0" t="s">
        <v>186</v>
      </c>
      <c r="C620" s="20" t="n">
        <f aca="false">C602</f>
        <v>156.4416</v>
      </c>
      <c r="D620" s="20" t="n">
        <f aca="false">D617*$D$618*D619</f>
        <v>205.3806</v>
      </c>
      <c r="E620" s="20" t="n">
        <f aca="false">E617*$D$618*E619</f>
        <v>231.053175</v>
      </c>
      <c r="F620" s="20" t="n">
        <f aca="false">F617*$D$618*F619</f>
        <v>261.860265</v>
      </c>
      <c r="G620" s="20" t="n">
        <f aca="false">G617*$D$618*G619</f>
        <v>283.425228</v>
      </c>
    </row>
    <row r="621" customFormat="false" ht="17.15" hidden="false" customHeight="false" outlineLevel="0" collapsed="false">
      <c r="A621" s="6" t="s">
        <v>411</v>
      </c>
    </row>
    <row r="622" customFormat="false" ht="17.15" hidden="false" customHeight="false" outlineLevel="0" collapsed="false">
      <c r="A622" s="4" t="s">
        <v>412</v>
      </c>
      <c r="B622" s="0" t="s">
        <v>186</v>
      </c>
      <c r="C622" s="20" t="n">
        <f aca="false">C603</f>
        <v>41.22112</v>
      </c>
      <c r="D622" s="20" t="n">
        <f aca="false">D603</f>
        <v>45.343232</v>
      </c>
      <c r="E622" s="20" t="n">
        <f aca="false">D622*(1+g_nai27)</f>
        <v>48.06382592</v>
      </c>
      <c r="F622" s="20" t="n">
        <f aca="false">E622*(1+g_nai28)</f>
        <v>50.467017216</v>
      </c>
      <c r="G622" s="20" t="n">
        <f aca="false">F622*(1+g_nai29)</f>
        <v>52.9903680768</v>
      </c>
    </row>
    <row r="623" customFormat="false" ht="15" hidden="false" customHeight="false" outlineLevel="0" collapsed="false">
      <c r="A623" s="4" t="s">
        <v>316</v>
      </c>
      <c r="B623" s="0" t="s">
        <v>186</v>
      </c>
      <c r="C623" s="20" t="n">
        <f aca="false">C615+C620+C622</f>
        <v>248.32</v>
      </c>
      <c r="D623" s="20" t="n">
        <f aca="false">D615+D620+D622</f>
        <v>410.7612</v>
      </c>
      <c r="E623" s="20" t="n">
        <f aca="false">E615+E620+E622</f>
        <v>650.908996130894</v>
      </c>
      <c r="F623" s="20" t="n">
        <f aca="false">F615+F620+F622</f>
        <v>738.706196870144</v>
      </c>
      <c r="G623" s="20" t="n">
        <f aca="false">G615+G620+G622</f>
        <v>836.156691296144</v>
      </c>
    </row>
    <row r="624" customFormat="false" ht="15" hidden="false" customHeight="false" outlineLevel="0" collapsed="false">
      <c r="A624" s="4" t="s">
        <v>413</v>
      </c>
      <c r="B624" s="0" t="s">
        <v>103</v>
      </c>
      <c r="D624" s="18" t="n">
        <f aca="false">D623/C623-1</f>
        <v>0.654160760309279</v>
      </c>
      <c r="E624" s="18" t="n">
        <f aca="false">E623/D623-1</f>
        <v>0.584640896294232</v>
      </c>
      <c r="F624" s="18" t="n">
        <f aca="false">F623/E623-1</f>
        <v>0.134883987256483</v>
      </c>
      <c r="G624" s="18" t="n">
        <f aca="false">G623/F623-1</f>
        <v>0.131920504848738</v>
      </c>
    </row>
    <row r="625" customFormat="false" ht="17.15" hidden="false" customHeight="false" outlineLevel="0" collapsed="false">
      <c r="A625" s="0" t="s">
        <v>414</v>
      </c>
      <c r="B625" s="0" t="s">
        <v>103</v>
      </c>
      <c r="C625" s="18" t="n">
        <f aca="false">(C615+C620)/C623</f>
        <v>0.834</v>
      </c>
      <c r="D625" s="18" t="n">
        <f aca="false">(D615+D620)/D623</f>
        <v>0.889611696528299</v>
      </c>
      <c r="E625" s="18" t="n">
        <f aca="false">(E615+E620)/E623</f>
        <v>0.926158915907294</v>
      </c>
      <c r="F625" s="18" t="n">
        <f aca="false">(F615+F620)/F623</f>
        <v>0.931681881876955</v>
      </c>
      <c r="G625" s="18" t="n">
        <f aca="false">(G615+G620)/G623</f>
        <v>0.936626270376837</v>
      </c>
    </row>
    <row r="626" customFormat="false" ht="17.15" hidden="false" customHeight="false" outlineLevel="0" collapsed="false">
      <c r="A626" s="4" t="s">
        <v>415</v>
      </c>
      <c r="B626" s="0" t="s">
        <v>103</v>
      </c>
      <c r="C626" s="18" t="n">
        <f aca="false">C620/C623</f>
        <v>0.63</v>
      </c>
      <c r="D626" s="18" t="n">
        <f aca="false">D620/D623</f>
        <v>0.5</v>
      </c>
      <c r="E626" s="18" t="n">
        <f aca="false">E620/E623</f>
        <v>0.354970013278994</v>
      </c>
      <c r="F626" s="18" t="n">
        <f aca="false">F620/F623</f>
        <v>0.354484998378905</v>
      </c>
      <c r="G626" s="18" t="n">
        <f aca="false">G620/G623</f>
        <v>0.338961860797474</v>
      </c>
    </row>
    <row r="627" customFormat="false" ht="17.15" hidden="false" customHeight="false" outlineLevel="0" collapsed="false">
      <c r="A627" s="6" t="s">
        <v>416</v>
      </c>
    </row>
    <row r="628" customFormat="false" ht="17.15" hidden="false" customHeight="false" outlineLevel="0" collapsed="false">
      <c r="A628" s="4" t="s">
        <v>417</v>
      </c>
      <c r="B628" s="0" t="s">
        <v>103</v>
      </c>
      <c r="D628" s="15" t="n">
        <f aca="false">a26_gp/a26_rev+d_nap_hi*D626</f>
        <v>0.239589247962076</v>
      </c>
      <c r="H628" s="8" t="s">
        <v>418</v>
      </c>
    </row>
    <row r="629" customFormat="false" ht="15" hidden="false" customHeight="false" outlineLevel="0" collapsed="false">
      <c r="A629" s="4" t="s">
        <v>320</v>
      </c>
      <c r="B629" s="0" t="s">
        <v>186</v>
      </c>
      <c r="C629" s="20" t="n">
        <f aca="false">a25_gp</f>
        <v>44.921088</v>
      </c>
      <c r="D629" s="20" t="n">
        <f aca="false">a26_gp</f>
        <v>77.875907</v>
      </c>
      <c r="E629" s="20" t="n">
        <f aca="false">$D$628*(E615+E622)+($D$628-d_nap_hi)*E620</f>
        <v>132.845479374751</v>
      </c>
      <c r="F629" s="20" t="n">
        <f aca="false">$D$628*(F615+F622)+($D$628-d_nap_hi)*F620</f>
        <v>150.800035673043</v>
      </c>
      <c r="G629" s="20" t="n">
        <f aca="false">$D$628*(G615+G622)+($D$628-d_nap_hi)*G620</f>
        <v>171.991630046101</v>
      </c>
    </row>
    <row r="630" customFormat="false" ht="15" hidden="false" customHeight="false" outlineLevel="0" collapsed="false">
      <c r="A630" s="4" t="s">
        <v>322</v>
      </c>
      <c r="B630" s="0" t="s">
        <v>103</v>
      </c>
      <c r="C630" s="15" t="n">
        <f aca="false">C629/C623</f>
        <v>0.1809</v>
      </c>
      <c r="D630" s="15" t="n">
        <f aca="false">D629/D623</f>
        <v>0.189589247962076</v>
      </c>
      <c r="E630" s="15" t="n">
        <f aca="false">E629/E623</f>
        <v>0.204092246634177</v>
      </c>
      <c r="F630" s="15" t="n">
        <f aca="false">F629/F623</f>
        <v>0.204140748124186</v>
      </c>
      <c r="G630" s="15" t="n">
        <f aca="false">G629/G623</f>
        <v>0.205693061882329</v>
      </c>
    </row>
    <row r="631" customFormat="false" ht="15" hidden="false" customHeight="false" outlineLevel="0" collapsed="false">
      <c r="A631" s="4" t="s">
        <v>419</v>
      </c>
      <c r="B631" s="0" t="s">
        <v>186</v>
      </c>
      <c r="C631" s="20" t="n">
        <f aca="false">a25_opx</f>
        <v>12.78848</v>
      </c>
      <c r="D631" s="20" t="n">
        <f aca="false">a26_opx</f>
        <v>17.956088</v>
      </c>
      <c r="E631" s="20" t="n">
        <f aca="false">D631*(1+MAX(0,phi*E624))</f>
        <v>24.2548060293549</v>
      </c>
      <c r="F631" s="20" t="n">
        <f aca="false">E631*(1+MAX(0,phi*F624))</f>
        <v>26.217756997778</v>
      </c>
      <c r="G631" s="20" t="n">
        <f aca="false">F631*(1+MAX(0,phi*G624))</f>
        <v>28.2929528412671</v>
      </c>
    </row>
    <row r="632" customFormat="false" ht="15" hidden="false" customHeight="false" outlineLevel="0" collapsed="false">
      <c r="A632" s="4" t="s">
        <v>324</v>
      </c>
      <c r="B632" s="0" t="s">
        <v>186</v>
      </c>
      <c r="C632" s="20" t="n">
        <f aca="false">C631</f>
        <v>12.78848</v>
      </c>
      <c r="D632" s="20" t="n">
        <f aca="false">D631</f>
        <v>17.956088</v>
      </c>
      <c r="E632" s="20" t="n">
        <f aca="false">E631+0*E623</f>
        <v>24.2548060293549</v>
      </c>
      <c r="F632" s="20" t="n">
        <f aca="false">F631+0*F623</f>
        <v>26.217756997778</v>
      </c>
      <c r="G632" s="20" t="n">
        <f aca="false">G631+0*G623</f>
        <v>28.2929528412671</v>
      </c>
    </row>
    <row r="633" customFormat="false" ht="15" hidden="false" customHeight="false" outlineLevel="0" collapsed="false">
      <c r="A633" s="4" t="s">
        <v>326</v>
      </c>
      <c r="B633" s="0" t="s">
        <v>186</v>
      </c>
      <c r="C633" s="20" t="n">
        <f aca="false">C629-C632</f>
        <v>32.132608</v>
      </c>
      <c r="D633" s="20" t="n">
        <f aca="false">D629-D632</f>
        <v>59.919819</v>
      </c>
      <c r="E633" s="20" t="n">
        <f aca="false">E629-E632</f>
        <v>108.590673345396</v>
      </c>
      <c r="F633" s="20" t="n">
        <f aca="false">F629-F632</f>
        <v>124.582278675265</v>
      </c>
      <c r="G633" s="20" t="n">
        <f aca="false">G629-G632</f>
        <v>143.698677204834</v>
      </c>
    </row>
    <row r="634" customFormat="false" ht="15" hidden="false" customHeight="false" outlineLevel="0" collapsed="false">
      <c r="A634" s="4" t="s">
        <v>328</v>
      </c>
      <c r="B634" s="0" t="s">
        <v>103</v>
      </c>
      <c r="C634" s="15" t="n">
        <f aca="false">C633/C623</f>
        <v>0.1294</v>
      </c>
      <c r="D634" s="15" t="n">
        <f aca="false">D633/D623</f>
        <v>0.145875070478906</v>
      </c>
      <c r="E634" s="15" t="n">
        <f aca="false">E633/E623</f>
        <v>0.166829271051524</v>
      </c>
      <c r="F634" s="15" t="n">
        <f aca="false">F633/F623</f>
        <v>0.168649294134953</v>
      </c>
      <c r="G634" s="15" t="n">
        <f aca="false">G633/G623</f>
        <v>0.171856158900174</v>
      </c>
    </row>
    <row r="635" customFormat="false" ht="17.15" hidden="false" customHeight="false" outlineLevel="0" collapsed="false">
      <c r="A635" s="4" t="s">
        <v>224</v>
      </c>
      <c r="B635" s="0" t="s">
        <v>76</v>
      </c>
      <c r="C635" s="16" t="n">
        <f aca="false">a25_ni/a25_oi</f>
        <v>0.819790289042209</v>
      </c>
      <c r="D635" s="16" t="n">
        <f aca="false">a26_ni/a26_oi</f>
        <v>0.798164213413262</v>
      </c>
      <c r="E635" s="16" t="n">
        <f aca="false">nio_f</f>
        <v>0.8</v>
      </c>
      <c r="F635" s="16" t="n">
        <f aca="false">nio_f</f>
        <v>0.8</v>
      </c>
      <c r="G635" s="16" t="n">
        <f aca="false">nio_f</f>
        <v>0.8</v>
      </c>
    </row>
    <row r="636" customFormat="false" ht="15" hidden="false" customHeight="false" outlineLevel="0" collapsed="false">
      <c r="A636" s="4" t="s">
        <v>329</v>
      </c>
      <c r="B636" s="0" t="s">
        <v>186</v>
      </c>
      <c r="C636" s="20" t="n">
        <f aca="false">a25_ni</f>
        <v>26.342</v>
      </c>
      <c r="D636" s="20" t="n">
        <f aca="false">a26_ni</f>
        <v>47.8258552</v>
      </c>
      <c r="E636" s="20" t="n">
        <f aca="false">E633*E635</f>
        <v>86.8725386763169</v>
      </c>
      <c r="F636" s="20" t="n">
        <f aca="false">F633*F635</f>
        <v>99.6658229402121</v>
      </c>
      <c r="G636" s="20" t="n">
        <f aca="false">G633*G635</f>
        <v>114.958941763867</v>
      </c>
    </row>
    <row r="637" customFormat="false" ht="15" hidden="false" customHeight="false" outlineLevel="0" collapsed="false">
      <c r="A637" s="4" t="s">
        <v>420</v>
      </c>
      <c r="B637" s="4" t="s">
        <v>211</v>
      </c>
      <c r="C637" s="17" t="n">
        <f aca="false">a25_sh</f>
        <v>0.558922130277955</v>
      </c>
      <c r="D637" s="17" t="n">
        <f aca="false">a26_sh</f>
        <v>0.558904899135447</v>
      </c>
      <c r="E637" s="17" t="n">
        <f aca="false">D637*(1+sh_g27)</f>
        <v>0.568853406340058</v>
      </c>
      <c r="F637" s="17" t="n">
        <f aca="false">E637*(1+sh_g)</f>
        <v>0.568853406340058</v>
      </c>
      <c r="G637" s="17" t="n">
        <f aca="false">F637*(1+sh_g)</f>
        <v>0.568853406340058</v>
      </c>
    </row>
    <row r="638" customFormat="false" ht="15" hidden="false" customHeight="false" outlineLevel="0" collapsed="false">
      <c r="A638" s="0" t="s">
        <v>334</v>
      </c>
      <c r="B638" s="0" t="s">
        <v>244</v>
      </c>
      <c r="C638" s="14" t="n">
        <f aca="false">C636/C637</f>
        <v>47.13</v>
      </c>
      <c r="D638" s="14" t="n">
        <f aca="false">D636/D637</f>
        <v>85.5706494503455</v>
      </c>
      <c r="E638" s="14" t="n">
        <f aca="false">E636/E637</f>
        <v>152.715159491169</v>
      </c>
      <c r="F638" s="14" t="n">
        <f aca="false">F636/F637</f>
        <v>175.204757200016</v>
      </c>
      <c r="G638" s="14" t="n">
        <f aca="false">G636/G637</f>
        <v>202.088869439142</v>
      </c>
    </row>
    <row r="639" customFormat="false" ht="17.15" hidden="false" customHeight="false" outlineLevel="0" collapsed="false">
      <c r="A639" s="0" t="s">
        <v>421</v>
      </c>
      <c r="B639" s="0" t="s">
        <v>103</v>
      </c>
      <c r="D639" s="18" t="n">
        <f aca="false">D638/C638-1</f>
        <v>0.815630160202535</v>
      </c>
      <c r="E639" s="18" t="n">
        <f aca="false">E638/D638-1</f>
        <v>0.784667528786096</v>
      </c>
      <c r="F639" s="18" t="n">
        <f aca="false">F638/E638-1</f>
        <v>0.147264998339261</v>
      </c>
      <c r="G639" s="18" t="n">
        <f aca="false">G638/F638-1</f>
        <v>0.153443962759724</v>
      </c>
    </row>
    <row r="642" customFormat="false" ht="17.15" hidden="false" customHeight="false" outlineLevel="0" collapsed="false">
      <c r="A642" s="1" t="s">
        <v>731</v>
      </c>
    </row>
    <row r="643" customFormat="false" ht="17.15" hidden="false" customHeight="false" outlineLevel="0" collapsed="false">
      <c r="A643" s="5" t="s">
        <v>21</v>
      </c>
      <c r="B643" s="5" t="s">
        <v>22</v>
      </c>
      <c r="C643" s="12" t="s">
        <v>309</v>
      </c>
      <c r="D643" s="12" t="s">
        <v>371</v>
      </c>
      <c r="E643" s="12" t="s">
        <v>372</v>
      </c>
      <c r="F643" s="12" t="s">
        <v>373</v>
      </c>
      <c r="G643" s="12" t="s">
        <v>374</v>
      </c>
      <c r="H643" s="5" t="s">
        <v>350</v>
      </c>
    </row>
    <row r="644" customFormat="false" ht="17.15" hidden="false" customHeight="false" outlineLevel="0" collapsed="false">
      <c r="A644" s="6" t="s">
        <v>389</v>
      </c>
    </row>
    <row r="645" customFormat="false" ht="17.15" hidden="false" customHeight="false" outlineLevel="0" collapsed="false">
      <c r="A645" s="4" t="s">
        <v>390</v>
      </c>
      <c r="B645" s="0" t="s">
        <v>186</v>
      </c>
      <c r="C645" s="20" t="n">
        <f aca="false">a25_rev*nap25s</f>
        <v>156.4416</v>
      </c>
      <c r="D645" s="20" t="n">
        <f aca="false">a26_rev*ns26</f>
        <v>205.3806</v>
      </c>
    </row>
    <row r="646" customFormat="false" ht="17.15" hidden="false" customHeight="false" outlineLevel="0" collapsed="false">
      <c r="A646" s="4" t="s">
        <v>391</v>
      </c>
      <c r="B646" s="0" t="s">
        <v>186</v>
      </c>
      <c r="C646" s="20" t="n">
        <f aca="false">a25_rev*(1-nap25s-sw25s*af25)</f>
        <v>41.22112</v>
      </c>
      <c r="D646" s="20" t="n">
        <f aca="false">C646*(1+g_nai26)</f>
        <v>45.343232</v>
      </c>
    </row>
    <row r="647" customFormat="false" ht="17.15" hidden="false" customHeight="false" outlineLevel="0" collapsed="false">
      <c r="A647" s="0" t="s">
        <v>392</v>
      </c>
      <c r="B647" s="0" t="s">
        <v>186</v>
      </c>
      <c r="C647" s="20" t="n">
        <f aca="false">a25_rev*sw25s*af25</f>
        <v>50.65728</v>
      </c>
      <c r="D647" s="20" t="n">
        <f aca="false">a26_rev-D645-D646</f>
        <v>160.037368</v>
      </c>
      <c r="H647" s="8" t="s">
        <v>393</v>
      </c>
    </row>
    <row r="648" customFormat="false" ht="17.15" hidden="false" customHeight="false" outlineLevel="0" collapsed="false">
      <c r="A648" s="6" t="s">
        <v>394</v>
      </c>
    </row>
    <row r="649" customFormat="false" ht="17.15" hidden="false" customHeight="false" outlineLevel="0" collapsed="false">
      <c r="A649" s="0" t="s">
        <v>395</v>
      </c>
      <c r="B649" s="0" t="s">
        <v>32</v>
      </c>
      <c r="D649" s="14" t="n">
        <f aca="false">mkt_26*1</f>
        <v>32.0719</v>
      </c>
      <c r="E649" s="14" t="n">
        <f aca="false">mkt_27*1*1</f>
        <v>61.085</v>
      </c>
      <c r="F649" s="14" t="n">
        <f aca="false">mkt_28*um28_A*1</f>
        <v>69.005</v>
      </c>
      <c r="G649" s="14" t="n">
        <f aca="false">mkt_29*um29_A*1</f>
        <v>78.48215</v>
      </c>
    </row>
    <row r="650" customFormat="false" ht="15" hidden="false" customHeight="false" outlineLevel="0" collapsed="false">
      <c r="A650" s="4" t="s">
        <v>396</v>
      </c>
      <c r="B650" s="0" t="s">
        <v>103</v>
      </c>
      <c r="D650" s="18" t="n">
        <f aca="false">eth_26</f>
        <v>0.75</v>
      </c>
      <c r="E650" s="18" t="n">
        <f aca="false">eth_27</f>
        <v>0.8</v>
      </c>
      <c r="F650" s="18" t="n">
        <f aca="false">eth_28</f>
        <v>0.83</v>
      </c>
      <c r="G650" s="18" t="n">
        <f aca="false">eth_29</f>
        <v>0.85</v>
      </c>
    </row>
    <row r="651" customFormat="false" ht="17.15" hidden="false" customHeight="false" outlineLevel="0" collapsed="false">
      <c r="A651" s="4" t="s">
        <v>397</v>
      </c>
      <c r="B651" s="0" t="s">
        <v>32</v>
      </c>
      <c r="D651" s="14" t="n">
        <f aca="false">su_26*1</f>
        <v>3.015</v>
      </c>
      <c r="E651" s="14" t="n">
        <f aca="false">su_27*1*1</f>
        <v>11.3414</v>
      </c>
      <c r="F651" s="14" t="n">
        <f aca="false">su_28*um28_A*1</f>
        <v>13.8952</v>
      </c>
      <c r="G651" s="14" t="n">
        <f aca="false">su_29*um29_A*1</f>
        <v>15.97948</v>
      </c>
    </row>
    <row r="652" customFormat="false" ht="17.15" hidden="false" customHeight="false" outlineLevel="0" collapsed="false">
      <c r="A652" s="0" t="s">
        <v>398</v>
      </c>
      <c r="B652" s="0" t="s">
        <v>32</v>
      </c>
      <c r="D652" s="14" t="n">
        <f aca="false">D649*D650+D651</f>
        <v>27.068925</v>
      </c>
      <c r="E652" s="14" t="n">
        <f aca="false">E649*E650+E651</f>
        <v>60.2094</v>
      </c>
      <c r="F652" s="14" t="n">
        <f aca="false">F649*F650+F651</f>
        <v>71.16935</v>
      </c>
      <c r="G652" s="14" t="n">
        <f aca="false">G649*G650+G651</f>
        <v>82.6893075</v>
      </c>
    </row>
    <row r="653" customFormat="false" ht="15" hidden="false" customHeight="false" outlineLevel="0" collapsed="false">
      <c r="A653" s="4" t="s">
        <v>355</v>
      </c>
      <c r="B653" s="0" t="s">
        <v>103</v>
      </c>
      <c r="D653" s="18" t="n">
        <f aca="false">wb_26</f>
        <v>0.45</v>
      </c>
      <c r="E653" s="18" t="n">
        <f aca="false">wb_27</f>
        <v>0.47</v>
      </c>
      <c r="F653" s="18" t="n">
        <f aca="false">wb_28</f>
        <v>0.48</v>
      </c>
      <c r="G653" s="18" t="n">
        <f aca="false">wb_29</f>
        <v>0.5</v>
      </c>
    </row>
    <row r="654" customFormat="false" ht="17.15" hidden="false" customHeight="false" outlineLevel="0" collapsed="false">
      <c r="A654" s="4" t="s">
        <v>357</v>
      </c>
      <c r="B654" s="0" t="s">
        <v>32</v>
      </c>
      <c r="D654" s="14" t="n">
        <f aca="false">D652*D653</f>
        <v>12.18101625</v>
      </c>
      <c r="E654" s="14" t="n">
        <f aca="false">E652*E653</f>
        <v>28.298418</v>
      </c>
      <c r="F654" s="14" t="n">
        <f aca="false">F652*F653</f>
        <v>34.161288</v>
      </c>
      <c r="G654" s="14" t="n">
        <f aca="false">G652*G653</f>
        <v>41.34465375</v>
      </c>
    </row>
    <row r="655" customFormat="false" ht="17.15" hidden="false" customHeight="false" outlineLevel="0" collapsed="false">
      <c r="A655" s="4" t="s">
        <v>399</v>
      </c>
      <c r="B655" s="0" t="s">
        <v>103</v>
      </c>
      <c r="D655" s="18" t="n">
        <f aca="false">D647/fx/D654</f>
        <v>0.410570649226414</v>
      </c>
      <c r="H655" s="8" t="s">
        <v>400</v>
      </c>
    </row>
    <row r="656" customFormat="false" ht="17.15" hidden="false" customHeight="false" outlineLevel="0" collapsed="false">
      <c r="A656" s="4" t="s">
        <v>401</v>
      </c>
      <c r="B656" s="0" t="s">
        <v>76</v>
      </c>
      <c r="D656" s="19" t="n">
        <f aca="false">1</f>
        <v>1</v>
      </c>
      <c r="E656" s="19" t="n">
        <f aca="false">rel_27</f>
        <v>1</v>
      </c>
      <c r="F656" s="19" t="n">
        <f aca="false">rel_28</f>
        <v>0.95</v>
      </c>
      <c r="G656" s="19" t="n">
        <f aca="false">rel_29</f>
        <v>0.92</v>
      </c>
    </row>
    <row r="657" customFormat="false" ht="15" hidden="false" customHeight="false" outlineLevel="0" collapsed="false">
      <c r="A657" s="4" t="s">
        <v>402</v>
      </c>
      <c r="B657" s="0" t="s">
        <v>103</v>
      </c>
      <c r="D657" s="18" t="n">
        <f aca="false">$D$655*D656</f>
        <v>0.410570649226414</v>
      </c>
      <c r="E657" s="18" t="n">
        <f aca="false">$D$655*E656</f>
        <v>0.410570649226414</v>
      </c>
      <c r="F657" s="18" t="n">
        <f aca="false">$D$655*F656</f>
        <v>0.390042116765093</v>
      </c>
      <c r="G657" s="18" t="n">
        <f aca="false">$D$655*G656</f>
        <v>0.377724997288301</v>
      </c>
    </row>
    <row r="658" customFormat="false" ht="17.15" hidden="false" customHeight="false" outlineLevel="0" collapsed="false">
      <c r="A658" s="0" t="s">
        <v>403</v>
      </c>
      <c r="B658" s="0" t="s">
        <v>186</v>
      </c>
      <c r="C658" s="20" t="n">
        <f aca="false">C647</f>
        <v>50.65728</v>
      </c>
      <c r="D658" s="20" t="n">
        <f aca="false">D654*D657*fx</f>
        <v>160.037368</v>
      </c>
      <c r="E658" s="20" t="n">
        <f aca="false">E654*E657*fx</f>
        <v>371.791995210894</v>
      </c>
      <c r="F658" s="20" t="n">
        <f aca="false">F654*F657*fx</f>
        <v>426.378914654143</v>
      </c>
      <c r="G658" s="20" t="n">
        <f aca="false">G654*G657*fx</f>
        <v>499.741095219344</v>
      </c>
    </row>
    <row r="659" customFormat="false" ht="17.15" hidden="false" customHeight="false" outlineLevel="0" collapsed="false">
      <c r="A659" s="6" t="s">
        <v>404</v>
      </c>
    </row>
    <row r="660" customFormat="false" ht="17.15" hidden="false" customHeight="false" outlineLevel="0" collapsed="false">
      <c r="A660" s="0" t="s">
        <v>405</v>
      </c>
      <c r="B660" s="4" t="s">
        <v>55</v>
      </c>
      <c r="D660" s="19" t="n">
        <f aca="false">trn_26*1</f>
        <v>2</v>
      </c>
      <c r="E660" s="19" t="n">
        <f aca="false">trn_27*1*1</f>
        <v>2.5</v>
      </c>
      <c r="F660" s="19" t="n">
        <f aca="false">trn_28*um28_A*1</f>
        <v>3</v>
      </c>
      <c r="G660" s="19" t="n">
        <f aca="false">trn_29*um29_A*1</f>
        <v>3.45</v>
      </c>
    </row>
    <row r="661" customFormat="false" ht="17.15" hidden="false" customHeight="false" outlineLevel="0" collapsed="false">
      <c r="A661" s="4" t="s">
        <v>406</v>
      </c>
      <c r="B661" s="4" t="s">
        <v>407</v>
      </c>
      <c r="D661" s="20" t="n">
        <f aca="false">D645/D660</f>
        <v>102.6903</v>
      </c>
      <c r="H661" s="8" t="s">
        <v>408</v>
      </c>
    </row>
    <row r="662" customFormat="false" ht="17.15" hidden="false" customHeight="false" outlineLevel="0" collapsed="false">
      <c r="A662" s="4" t="s">
        <v>409</v>
      </c>
      <c r="B662" s="0" t="s">
        <v>76</v>
      </c>
      <c r="D662" s="19" t="n">
        <f aca="false">1</f>
        <v>1</v>
      </c>
      <c r="E662" s="19" t="n">
        <f aca="false">nrel_27</f>
        <v>0.9</v>
      </c>
      <c r="F662" s="19" t="n">
        <f aca="false">nrel_28</f>
        <v>0.85</v>
      </c>
      <c r="G662" s="19" t="n">
        <f aca="false">nrel_29</f>
        <v>0.8</v>
      </c>
    </row>
    <row r="663" customFormat="false" ht="15" hidden="false" customHeight="false" outlineLevel="0" collapsed="false">
      <c r="A663" s="4" t="s">
        <v>410</v>
      </c>
      <c r="B663" s="0" t="s">
        <v>186</v>
      </c>
      <c r="C663" s="20" t="n">
        <f aca="false">C645</f>
        <v>156.4416</v>
      </c>
      <c r="D663" s="20" t="n">
        <f aca="false">D660*$D$661*D662</f>
        <v>205.3806</v>
      </c>
      <c r="E663" s="20" t="n">
        <f aca="false">E660*$D$661*E662</f>
        <v>231.053175</v>
      </c>
      <c r="F663" s="20" t="n">
        <f aca="false">F660*$D$661*F662</f>
        <v>261.860265</v>
      </c>
      <c r="G663" s="20" t="n">
        <f aca="false">G660*$D$661*G662</f>
        <v>283.425228</v>
      </c>
    </row>
    <row r="664" customFormat="false" ht="17.15" hidden="false" customHeight="false" outlineLevel="0" collapsed="false">
      <c r="A664" s="6" t="s">
        <v>411</v>
      </c>
    </row>
    <row r="665" customFormat="false" ht="17.15" hidden="false" customHeight="false" outlineLevel="0" collapsed="false">
      <c r="A665" s="4" t="s">
        <v>412</v>
      </c>
      <c r="B665" s="0" t="s">
        <v>186</v>
      </c>
      <c r="C665" s="20" t="n">
        <f aca="false">C646</f>
        <v>41.22112</v>
      </c>
      <c r="D665" s="20" t="n">
        <f aca="false">D646</f>
        <v>45.343232</v>
      </c>
      <c r="E665" s="20" t="n">
        <f aca="false">D665*(1+g_nai27)</f>
        <v>48.06382592</v>
      </c>
      <c r="F665" s="20" t="n">
        <f aca="false">E665*(1+g_nai28)</f>
        <v>50.467017216</v>
      </c>
      <c r="G665" s="20" t="n">
        <f aca="false">F665*(1+g_nai29)</f>
        <v>52.9903680768</v>
      </c>
    </row>
    <row r="666" customFormat="false" ht="15" hidden="false" customHeight="false" outlineLevel="0" collapsed="false">
      <c r="A666" s="4" t="s">
        <v>316</v>
      </c>
      <c r="B666" s="0" t="s">
        <v>186</v>
      </c>
      <c r="C666" s="20" t="n">
        <f aca="false">C658+C663+C665</f>
        <v>248.32</v>
      </c>
      <c r="D666" s="20" t="n">
        <f aca="false">D658+D663+D665</f>
        <v>410.7612</v>
      </c>
      <c r="E666" s="20" t="n">
        <f aca="false">E658+E663+E665</f>
        <v>650.908996130894</v>
      </c>
      <c r="F666" s="20" t="n">
        <f aca="false">F658+F663+F665</f>
        <v>738.706196870144</v>
      </c>
      <c r="G666" s="20" t="n">
        <f aca="false">G658+G663+G665</f>
        <v>836.156691296144</v>
      </c>
    </row>
    <row r="667" customFormat="false" ht="15" hidden="false" customHeight="false" outlineLevel="0" collapsed="false">
      <c r="A667" s="4" t="s">
        <v>413</v>
      </c>
      <c r="B667" s="0" t="s">
        <v>103</v>
      </c>
      <c r="D667" s="18" t="n">
        <f aca="false">D666/C666-1</f>
        <v>0.654160760309279</v>
      </c>
      <c r="E667" s="18" t="n">
        <f aca="false">E666/D666-1</f>
        <v>0.584640896294232</v>
      </c>
      <c r="F667" s="18" t="n">
        <f aca="false">F666/E666-1</f>
        <v>0.134883987256483</v>
      </c>
      <c r="G667" s="18" t="n">
        <f aca="false">G666/F666-1</f>
        <v>0.131920504848738</v>
      </c>
    </row>
    <row r="668" customFormat="false" ht="17.15" hidden="false" customHeight="false" outlineLevel="0" collapsed="false">
      <c r="A668" s="0" t="s">
        <v>414</v>
      </c>
      <c r="B668" s="0" t="s">
        <v>103</v>
      </c>
      <c r="C668" s="18" t="n">
        <f aca="false">(C658+C663)/C666</f>
        <v>0.834</v>
      </c>
      <c r="D668" s="18" t="n">
        <f aca="false">(D658+D663)/D666</f>
        <v>0.889611696528299</v>
      </c>
      <c r="E668" s="18" t="n">
        <f aca="false">(E658+E663)/E666</f>
        <v>0.926158915907294</v>
      </c>
      <c r="F668" s="18" t="n">
        <f aca="false">(F658+F663)/F666</f>
        <v>0.931681881876955</v>
      </c>
      <c r="G668" s="18" t="n">
        <f aca="false">(G658+G663)/G666</f>
        <v>0.936626270376837</v>
      </c>
    </row>
    <row r="669" customFormat="false" ht="17.15" hidden="false" customHeight="false" outlineLevel="0" collapsed="false">
      <c r="A669" s="4" t="s">
        <v>415</v>
      </c>
      <c r="B669" s="0" t="s">
        <v>103</v>
      </c>
      <c r="C669" s="18" t="n">
        <f aca="false">C663/C666</f>
        <v>0.63</v>
      </c>
      <c r="D669" s="18" t="n">
        <f aca="false">D663/D666</f>
        <v>0.5</v>
      </c>
      <c r="E669" s="18" t="n">
        <f aca="false">E663/E666</f>
        <v>0.354970013278994</v>
      </c>
      <c r="F669" s="18" t="n">
        <f aca="false">F663/F666</f>
        <v>0.354484998378905</v>
      </c>
      <c r="G669" s="18" t="n">
        <f aca="false">G663/G666</f>
        <v>0.338961860797474</v>
      </c>
    </row>
    <row r="670" customFormat="false" ht="17.15" hidden="false" customHeight="false" outlineLevel="0" collapsed="false">
      <c r="A670" s="6" t="s">
        <v>416</v>
      </c>
    </row>
    <row r="671" customFormat="false" ht="17.15" hidden="false" customHeight="false" outlineLevel="0" collapsed="false">
      <c r="A671" s="4" t="s">
        <v>417</v>
      </c>
      <c r="B671" s="0" t="s">
        <v>103</v>
      </c>
      <c r="D671" s="15" t="n">
        <f aca="false">a26_gp/a26_rev+d_nap*D669</f>
        <v>0.219589247962076</v>
      </c>
      <c r="H671" s="8" t="s">
        <v>418</v>
      </c>
    </row>
    <row r="672" customFormat="false" ht="15" hidden="false" customHeight="false" outlineLevel="0" collapsed="false">
      <c r="A672" s="4" t="s">
        <v>320</v>
      </c>
      <c r="B672" s="0" t="s">
        <v>186</v>
      </c>
      <c r="C672" s="20" t="n">
        <f aca="false">a25_gp</f>
        <v>44.921088</v>
      </c>
      <c r="D672" s="20" t="n">
        <f aca="false">a26_gp</f>
        <v>77.875907</v>
      </c>
      <c r="E672" s="20" t="n">
        <f aca="false">$D$671*(E658+E665)+($D$671-d_nap)*E663</f>
        <v>129.069426452133</v>
      </c>
      <c r="F672" s="20" t="n">
        <f aca="false">$D$671*(F658+F665)+($D$671-d_nap)*F663</f>
        <v>146.50032233564</v>
      </c>
      <c r="G672" s="20" t="n">
        <f aca="false">$D$671*(G658+G665)+($D$671-d_nap)*G663</f>
        <v>166.605505340178</v>
      </c>
    </row>
    <row r="673" customFormat="false" ht="15" hidden="false" customHeight="false" outlineLevel="0" collapsed="false">
      <c r="A673" s="4" t="s">
        <v>322</v>
      </c>
      <c r="B673" s="0" t="s">
        <v>103</v>
      </c>
      <c r="C673" s="15" t="n">
        <f aca="false">C672/C666</f>
        <v>0.1809</v>
      </c>
      <c r="D673" s="15" t="n">
        <f aca="false">D672/D666</f>
        <v>0.189589247962076</v>
      </c>
      <c r="E673" s="15" t="n">
        <f aca="false">E672/E666</f>
        <v>0.198291047165337</v>
      </c>
      <c r="F673" s="15" t="n">
        <f aca="false">F672/F666</f>
        <v>0.198320148059342</v>
      </c>
      <c r="G673" s="15" t="n">
        <f aca="false">G672/G666</f>
        <v>0.199251536314228</v>
      </c>
    </row>
    <row r="674" customFormat="false" ht="15" hidden="false" customHeight="false" outlineLevel="0" collapsed="false">
      <c r="A674" s="4" t="s">
        <v>419</v>
      </c>
      <c r="B674" s="0" t="s">
        <v>186</v>
      </c>
      <c r="C674" s="20" t="n">
        <f aca="false">a25_opx</f>
        <v>12.78848</v>
      </c>
      <c r="D674" s="20" t="n">
        <f aca="false">a26_opx</f>
        <v>17.956088</v>
      </c>
      <c r="E674" s="20" t="n">
        <f aca="false">D674*(1+MAX(0,phi*E667))</f>
        <v>24.2548060293549</v>
      </c>
      <c r="F674" s="20" t="n">
        <f aca="false">E674*(1+MAX(0,phi*F667))</f>
        <v>26.217756997778</v>
      </c>
      <c r="G674" s="20" t="n">
        <f aca="false">F674*(1+MAX(0,phi*G667))</f>
        <v>28.2929528412671</v>
      </c>
    </row>
    <row r="675" customFormat="false" ht="15" hidden="false" customHeight="false" outlineLevel="0" collapsed="false">
      <c r="A675" s="4" t="s">
        <v>324</v>
      </c>
      <c r="B675" s="0" t="s">
        <v>186</v>
      </c>
      <c r="C675" s="20" t="n">
        <f aca="false">C674</f>
        <v>12.78848</v>
      </c>
      <c r="D675" s="20" t="n">
        <f aca="false">D674</f>
        <v>17.956088</v>
      </c>
      <c r="E675" s="20" t="n">
        <f aca="false">E674+0*E666</f>
        <v>24.2548060293549</v>
      </c>
      <c r="F675" s="20" t="n">
        <f aca="false">F674+0*F666</f>
        <v>26.217756997778</v>
      </c>
      <c r="G675" s="20" t="n">
        <f aca="false">G674+0*G666</f>
        <v>28.2929528412671</v>
      </c>
    </row>
    <row r="676" customFormat="false" ht="15" hidden="false" customHeight="false" outlineLevel="0" collapsed="false">
      <c r="A676" s="4" t="s">
        <v>326</v>
      </c>
      <c r="B676" s="0" t="s">
        <v>186</v>
      </c>
      <c r="C676" s="20" t="n">
        <f aca="false">C672-C675</f>
        <v>32.132608</v>
      </c>
      <c r="D676" s="20" t="n">
        <f aca="false">D672-D675</f>
        <v>59.919819</v>
      </c>
      <c r="E676" s="20" t="n">
        <f aca="false">E672-E675</f>
        <v>104.814620422778</v>
      </c>
      <c r="F676" s="20" t="n">
        <f aca="false">F672-F675</f>
        <v>120.282565337862</v>
      </c>
      <c r="G676" s="20" t="n">
        <f aca="false">G672-G675</f>
        <v>138.312552498911</v>
      </c>
    </row>
    <row r="677" customFormat="false" ht="15" hidden="false" customHeight="false" outlineLevel="0" collapsed="false">
      <c r="A677" s="4" t="s">
        <v>328</v>
      </c>
      <c r="B677" s="0" t="s">
        <v>103</v>
      </c>
      <c r="C677" s="15" t="n">
        <f aca="false">C676/C666</f>
        <v>0.1294</v>
      </c>
      <c r="D677" s="15" t="n">
        <f aca="false">D676/D666</f>
        <v>0.145875070478906</v>
      </c>
      <c r="E677" s="15" t="n">
        <f aca="false">E676/E666</f>
        <v>0.161028071582683</v>
      </c>
      <c r="F677" s="15" t="n">
        <f aca="false">F676/F666</f>
        <v>0.162828694070109</v>
      </c>
      <c r="G677" s="15" t="n">
        <f aca="false">G676/G666</f>
        <v>0.165414633332073</v>
      </c>
    </row>
    <row r="678" customFormat="false" ht="17.15" hidden="false" customHeight="false" outlineLevel="0" collapsed="false">
      <c r="A678" s="4" t="s">
        <v>224</v>
      </c>
      <c r="B678" s="0" t="s">
        <v>76</v>
      </c>
      <c r="C678" s="16" t="n">
        <f aca="false">a25_ni/a25_oi</f>
        <v>0.819790289042209</v>
      </c>
      <c r="D678" s="16" t="n">
        <f aca="false">a26_ni/a26_oi</f>
        <v>0.798164213413262</v>
      </c>
      <c r="E678" s="16" t="n">
        <f aca="false">nio_f_lo</f>
        <v>0.75</v>
      </c>
      <c r="F678" s="16" t="n">
        <f aca="false">nio_f_lo</f>
        <v>0.75</v>
      </c>
      <c r="G678" s="16" t="n">
        <f aca="false">nio_f_lo</f>
        <v>0.75</v>
      </c>
    </row>
    <row r="679" customFormat="false" ht="15" hidden="false" customHeight="false" outlineLevel="0" collapsed="false">
      <c r="A679" s="4" t="s">
        <v>329</v>
      </c>
      <c r="B679" s="0" t="s">
        <v>186</v>
      </c>
      <c r="C679" s="20" t="n">
        <f aca="false">a25_ni</f>
        <v>26.342</v>
      </c>
      <c r="D679" s="20" t="n">
        <f aca="false">a26_ni</f>
        <v>47.8258552</v>
      </c>
      <c r="E679" s="20" t="n">
        <f aca="false">E676*E678</f>
        <v>78.6109653170836</v>
      </c>
      <c r="F679" s="20" t="n">
        <f aca="false">F676*F678</f>
        <v>90.2119240033967</v>
      </c>
      <c r="G679" s="20" t="n">
        <f aca="false">G676*G678</f>
        <v>103.734414374183</v>
      </c>
    </row>
    <row r="680" customFormat="false" ht="15" hidden="false" customHeight="false" outlineLevel="0" collapsed="false">
      <c r="A680" s="4" t="s">
        <v>420</v>
      </c>
      <c r="B680" s="4" t="s">
        <v>211</v>
      </c>
      <c r="C680" s="17" t="n">
        <f aca="false">a25_sh</f>
        <v>0.558922130277955</v>
      </c>
      <c r="D680" s="17" t="n">
        <f aca="false">a26_sh</f>
        <v>0.558904899135447</v>
      </c>
      <c r="E680" s="17" t="n">
        <f aca="false">D680*(1+sh_g27)</f>
        <v>0.568853406340058</v>
      </c>
      <c r="F680" s="17" t="n">
        <f aca="false">E680*(1+sh_g)</f>
        <v>0.568853406340058</v>
      </c>
      <c r="G680" s="17" t="n">
        <f aca="false">F680*(1+sh_g)</f>
        <v>0.568853406340058</v>
      </c>
    </row>
    <row r="681" customFormat="false" ht="15" hidden="false" customHeight="false" outlineLevel="0" collapsed="false">
      <c r="A681" s="0" t="s">
        <v>334</v>
      </c>
      <c r="B681" s="0" t="s">
        <v>244</v>
      </c>
      <c r="C681" s="14" t="n">
        <f aca="false">C679/C680</f>
        <v>47.13</v>
      </c>
      <c r="D681" s="14" t="n">
        <f aca="false">D679/D680</f>
        <v>85.5706494503455</v>
      </c>
      <c r="E681" s="14" t="n">
        <f aca="false">E679/E680</f>
        <v>138.191956734264</v>
      </c>
      <c r="F681" s="14" t="n">
        <f aca="false">F679/F680</f>
        <v>158.585538906782</v>
      </c>
      <c r="G681" s="14" t="n">
        <f aca="false">G679/G680</f>
        <v>182.357024178865</v>
      </c>
    </row>
    <row r="682" customFormat="false" ht="17.15" hidden="false" customHeight="false" outlineLevel="0" collapsed="false">
      <c r="A682" s="0" t="s">
        <v>421</v>
      </c>
      <c r="B682" s="0" t="s">
        <v>103</v>
      </c>
      <c r="D682" s="18" t="n">
        <f aca="false">D681/C681-1</f>
        <v>0.815630160202535</v>
      </c>
      <c r="E682" s="18" t="n">
        <f aca="false">E681/D681-1</f>
        <v>0.614945750931257</v>
      </c>
      <c r="F682" s="18" t="n">
        <f aca="false">F681/E681-1</f>
        <v>0.147574306453554</v>
      </c>
      <c r="G682" s="18" t="n">
        <f aca="false">G681/F681-1</f>
        <v>0.149896929038755</v>
      </c>
    </row>
    <row r="685" customFormat="false" ht="17.15" hidden="false" customHeight="false" outlineLevel="0" collapsed="false">
      <c r="A685" s="1" t="s">
        <v>732</v>
      </c>
    </row>
    <row r="686" customFormat="false" ht="17.15" hidden="false" customHeight="false" outlineLevel="0" collapsed="false">
      <c r="A686" s="5" t="s">
        <v>21</v>
      </c>
      <c r="B686" s="5" t="s">
        <v>22</v>
      </c>
      <c r="C686" s="12" t="s">
        <v>309</v>
      </c>
      <c r="D686" s="12" t="s">
        <v>371</v>
      </c>
      <c r="E686" s="12" t="s">
        <v>372</v>
      </c>
      <c r="F686" s="12" t="s">
        <v>373</v>
      </c>
      <c r="G686" s="12" t="s">
        <v>374</v>
      </c>
      <c r="H686" s="5" t="s">
        <v>350</v>
      </c>
    </row>
    <row r="687" customFormat="false" ht="17.15" hidden="false" customHeight="false" outlineLevel="0" collapsed="false">
      <c r="A687" s="6" t="s">
        <v>389</v>
      </c>
    </row>
    <row r="688" customFormat="false" ht="17.15" hidden="false" customHeight="false" outlineLevel="0" collapsed="false">
      <c r="A688" s="4" t="s">
        <v>390</v>
      </c>
      <c r="B688" s="0" t="s">
        <v>186</v>
      </c>
      <c r="C688" s="20" t="n">
        <f aca="false">a25_rev*nap25s</f>
        <v>156.4416</v>
      </c>
      <c r="D688" s="20" t="n">
        <f aca="false">a26_rev*ns26</f>
        <v>205.3806</v>
      </c>
    </row>
    <row r="689" customFormat="false" ht="17.15" hidden="false" customHeight="false" outlineLevel="0" collapsed="false">
      <c r="A689" s="4" t="s">
        <v>391</v>
      </c>
      <c r="B689" s="0" t="s">
        <v>186</v>
      </c>
      <c r="C689" s="20" t="n">
        <f aca="false">a25_rev*(1-nap25s-sw25s*af25)</f>
        <v>41.22112</v>
      </c>
      <c r="D689" s="20" t="n">
        <f aca="false">C689*(1+g_nai26)</f>
        <v>45.343232</v>
      </c>
    </row>
    <row r="690" customFormat="false" ht="17.15" hidden="false" customHeight="false" outlineLevel="0" collapsed="false">
      <c r="A690" s="0" t="s">
        <v>392</v>
      </c>
      <c r="B690" s="0" t="s">
        <v>186</v>
      </c>
      <c r="C690" s="20" t="n">
        <f aca="false">a25_rev*sw25s*af25</f>
        <v>50.65728</v>
      </c>
      <c r="D690" s="20" t="n">
        <f aca="false">a26_rev-D688-D689</f>
        <v>160.037368</v>
      </c>
      <c r="H690" s="8" t="s">
        <v>393</v>
      </c>
    </row>
    <row r="691" customFormat="false" ht="17.15" hidden="false" customHeight="false" outlineLevel="0" collapsed="false">
      <c r="A691" s="6" t="s">
        <v>394</v>
      </c>
    </row>
    <row r="692" customFormat="false" ht="17.15" hidden="false" customHeight="false" outlineLevel="0" collapsed="false">
      <c r="A692" s="0" t="s">
        <v>395</v>
      </c>
      <c r="B692" s="0" t="s">
        <v>32</v>
      </c>
      <c r="D692" s="14" t="n">
        <f aca="false">mkt_26*1</f>
        <v>32.0719</v>
      </c>
      <c r="E692" s="14" t="n">
        <f aca="false">mkt_27*1*1</f>
        <v>61.085</v>
      </c>
      <c r="F692" s="14" t="n">
        <f aca="false">mkt_28*um28_A*1</f>
        <v>69.005</v>
      </c>
      <c r="G692" s="14" t="n">
        <f aca="false">mkt_29*um29_A*1</f>
        <v>78.48215</v>
      </c>
    </row>
    <row r="693" customFormat="false" ht="15" hidden="false" customHeight="false" outlineLevel="0" collapsed="false">
      <c r="A693" s="4" t="s">
        <v>396</v>
      </c>
      <c r="B693" s="0" t="s">
        <v>103</v>
      </c>
      <c r="D693" s="18" t="n">
        <f aca="false">eth_26</f>
        <v>0.75</v>
      </c>
      <c r="E693" s="18" t="n">
        <f aca="false">eth_27</f>
        <v>0.8</v>
      </c>
      <c r="F693" s="18" t="n">
        <f aca="false">eth_28</f>
        <v>0.83</v>
      </c>
      <c r="G693" s="18" t="n">
        <f aca="false">eth_29</f>
        <v>0.85</v>
      </c>
    </row>
    <row r="694" customFormat="false" ht="17.15" hidden="false" customHeight="false" outlineLevel="0" collapsed="false">
      <c r="A694" s="4" t="s">
        <v>397</v>
      </c>
      <c r="B694" s="0" t="s">
        <v>32</v>
      </c>
      <c r="D694" s="14" t="n">
        <f aca="false">su_26*1</f>
        <v>3.015</v>
      </c>
      <c r="E694" s="14" t="n">
        <f aca="false">su_27*1*1</f>
        <v>11.3414</v>
      </c>
      <c r="F694" s="14" t="n">
        <f aca="false">su_28*um28_A*1</f>
        <v>13.8952</v>
      </c>
      <c r="G694" s="14" t="n">
        <f aca="false">su_29*um29_A*1</f>
        <v>15.97948</v>
      </c>
    </row>
    <row r="695" customFormat="false" ht="17.15" hidden="false" customHeight="false" outlineLevel="0" collapsed="false">
      <c r="A695" s="0" t="s">
        <v>398</v>
      </c>
      <c r="B695" s="0" t="s">
        <v>32</v>
      </c>
      <c r="D695" s="14" t="n">
        <f aca="false">D692*D693+D694</f>
        <v>27.068925</v>
      </c>
      <c r="E695" s="14" t="n">
        <f aca="false">E692*E693+E694</f>
        <v>60.2094</v>
      </c>
      <c r="F695" s="14" t="n">
        <f aca="false">F692*F693+F694</f>
        <v>71.16935</v>
      </c>
      <c r="G695" s="14" t="n">
        <f aca="false">G692*G693+G694</f>
        <v>82.6893075</v>
      </c>
    </row>
    <row r="696" customFormat="false" ht="15" hidden="false" customHeight="false" outlineLevel="0" collapsed="false">
      <c r="A696" s="4" t="s">
        <v>355</v>
      </c>
      <c r="B696" s="0" t="s">
        <v>103</v>
      </c>
      <c r="D696" s="18" t="n">
        <f aca="false">wb_26</f>
        <v>0.45</v>
      </c>
      <c r="E696" s="18" t="n">
        <f aca="false">wb_27</f>
        <v>0.47</v>
      </c>
      <c r="F696" s="18" t="n">
        <f aca="false">wb_28</f>
        <v>0.48</v>
      </c>
      <c r="G696" s="18" t="n">
        <f aca="false">wb_29</f>
        <v>0.5</v>
      </c>
    </row>
    <row r="697" customFormat="false" ht="17.15" hidden="false" customHeight="false" outlineLevel="0" collapsed="false">
      <c r="A697" s="4" t="s">
        <v>357</v>
      </c>
      <c r="B697" s="0" t="s">
        <v>32</v>
      </c>
      <c r="D697" s="14" t="n">
        <f aca="false">D695*D696</f>
        <v>12.18101625</v>
      </c>
      <c r="E697" s="14" t="n">
        <f aca="false">E695*E696</f>
        <v>28.298418</v>
      </c>
      <c r="F697" s="14" t="n">
        <f aca="false">F695*F696</f>
        <v>34.161288</v>
      </c>
      <c r="G697" s="14" t="n">
        <f aca="false">G695*G696</f>
        <v>41.34465375</v>
      </c>
    </row>
    <row r="698" customFormat="false" ht="17.15" hidden="false" customHeight="false" outlineLevel="0" collapsed="false">
      <c r="A698" s="4" t="s">
        <v>399</v>
      </c>
      <c r="B698" s="0" t="s">
        <v>103</v>
      </c>
      <c r="D698" s="18" t="n">
        <f aca="false">D690/fx/D697</f>
        <v>0.410570649226414</v>
      </c>
      <c r="H698" s="8" t="s">
        <v>400</v>
      </c>
    </row>
    <row r="699" customFormat="false" ht="17.15" hidden="false" customHeight="false" outlineLevel="0" collapsed="false">
      <c r="A699" s="4" t="s">
        <v>401</v>
      </c>
      <c r="B699" s="0" t="s">
        <v>76</v>
      </c>
      <c r="D699" s="19" t="n">
        <f aca="false">1</f>
        <v>1</v>
      </c>
      <c r="E699" s="19" t="n">
        <f aca="false">rel_27</f>
        <v>1</v>
      </c>
      <c r="F699" s="19" t="n">
        <f aca="false">rel_28</f>
        <v>0.95</v>
      </c>
      <c r="G699" s="19" t="n">
        <f aca="false">rel_29</f>
        <v>0.92</v>
      </c>
    </row>
    <row r="700" customFormat="false" ht="15" hidden="false" customHeight="false" outlineLevel="0" collapsed="false">
      <c r="A700" s="4" t="s">
        <v>402</v>
      </c>
      <c r="B700" s="0" t="s">
        <v>103</v>
      </c>
      <c r="D700" s="18" t="n">
        <f aca="false">$D$698*D699</f>
        <v>0.410570649226414</v>
      </c>
      <c r="E700" s="18" t="n">
        <f aca="false">$D$698*E699</f>
        <v>0.410570649226414</v>
      </c>
      <c r="F700" s="18" t="n">
        <f aca="false">$D$698*F699</f>
        <v>0.390042116765093</v>
      </c>
      <c r="G700" s="18" t="n">
        <f aca="false">$D$698*G699</f>
        <v>0.377724997288301</v>
      </c>
    </row>
    <row r="701" customFormat="false" ht="17.15" hidden="false" customHeight="false" outlineLevel="0" collapsed="false">
      <c r="A701" s="0" t="s">
        <v>403</v>
      </c>
      <c r="B701" s="0" t="s">
        <v>186</v>
      </c>
      <c r="C701" s="20" t="n">
        <f aca="false">C690</f>
        <v>50.65728</v>
      </c>
      <c r="D701" s="20" t="n">
        <f aca="false">D697*D700*fx</f>
        <v>160.037368</v>
      </c>
      <c r="E701" s="20" t="n">
        <f aca="false">E697*E700*fx</f>
        <v>371.791995210894</v>
      </c>
      <c r="F701" s="20" t="n">
        <f aca="false">F697*F700*fx</f>
        <v>426.378914654143</v>
      </c>
      <c r="G701" s="20" t="n">
        <f aca="false">G697*G700*fx</f>
        <v>499.741095219344</v>
      </c>
    </row>
    <row r="702" customFormat="false" ht="17.15" hidden="false" customHeight="false" outlineLevel="0" collapsed="false">
      <c r="A702" s="6" t="s">
        <v>404</v>
      </c>
    </row>
    <row r="703" customFormat="false" ht="17.15" hidden="false" customHeight="false" outlineLevel="0" collapsed="false">
      <c r="A703" s="0" t="s">
        <v>405</v>
      </c>
      <c r="B703" s="4" t="s">
        <v>55</v>
      </c>
      <c r="D703" s="19" t="n">
        <f aca="false">trn_26*1</f>
        <v>2</v>
      </c>
      <c r="E703" s="19" t="n">
        <f aca="false">trn_27*1*1</f>
        <v>2.5</v>
      </c>
      <c r="F703" s="19" t="n">
        <f aca="false">trn_28*um28_A*1</f>
        <v>3</v>
      </c>
      <c r="G703" s="19" t="n">
        <f aca="false">trn_29*um29_A*1</f>
        <v>3.45</v>
      </c>
    </row>
    <row r="704" customFormat="false" ht="17.15" hidden="false" customHeight="false" outlineLevel="0" collapsed="false">
      <c r="A704" s="4" t="s">
        <v>406</v>
      </c>
      <c r="B704" s="4" t="s">
        <v>407</v>
      </c>
      <c r="D704" s="20" t="n">
        <f aca="false">D688/D703</f>
        <v>102.6903</v>
      </c>
      <c r="H704" s="8" t="s">
        <v>408</v>
      </c>
    </row>
    <row r="705" customFormat="false" ht="17.15" hidden="false" customHeight="false" outlineLevel="0" collapsed="false">
      <c r="A705" s="4" t="s">
        <v>409</v>
      </c>
      <c r="B705" s="0" t="s">
        <v>76</v>
      </c>
      <c r="D705" s="19" t="n">
        <f aca="false">1</f>
        <v>1</v>
      </c>
      <c r="E705" s="19" t="n">
        <f aca="false">nrel_27</f>
        <v>0.9</v>
      </c>
      <c r="F705" s="19" t="n">
        <f aca="false">nrel_28</f>
        <v>0.85</v>
      </c>
      <c r="G705" s="19" t="n">
        <f aca="false">nrel_29</f>
        <v>0.8</v>
      </c>
    </row>
    <row r="706" customFormat="false" ht="15" hidden="false" customHeight="false" outlineLevel="0" collapsed="false">
      <c r="A706" s="4" t="s">
        <v>410</v>
      </c>
      <c r="B706" s="0" t="s">
        <v>186</v>
      </c>
      <c r="C706" s="20" t="n">
        <f aca="false">C688</f>
        <v>156.4416</v>
      </c>
      <c r="D706" s="20" t="n">
        <f aca="false">D703*$D$704*D705</f>
        <v>205.3806</v>
      </c>
      <c r="E706" s="20" t="n">
        <f aca="false">E703*$D$704*E705</f>
        <v>231.053175</v>
      </c>
      <c r="F706" s="20" t="n">
        <f aca="false">F703*$D$704*F705</f>
        <v>261.860265</v>
      </c>
      <c r="G706" s="20" t="n">
        <f aca="false">G703*$D$704*G705</f>
        <v>283.425228</v>
      </c>
    </row>
    <row r="707" customFormat="false" ht="17.15" hidden="false" customHeight="false" outlineLevel="0" collapsed="false">
      <c r="A707" s="6" t="s">
        <v>411</v>
      </c>
    </row>
    <row r="708" customFormat="false" ht="17.15" hidden="false" customHeight="false" outlineLevel="0" collapsed="false">
      <c r="A708" s="4" t="s">
        <v>412</v>
      </c>
      <c r="B708" s="0" t="s">
        <v>186</v>
      </c>
      <c r="C708" s="20" t="n">
        <f aca="false">C689</f>
        <v>41.22112</v>
      </c>
      <c r="D708" s="20" t="n">
        <f aca="false">D689</f>
        <v>45.343232</v>
      </c>
      <c r="E708" s="20" t="n">
        <f aca="false">D708*(1+g_nai27)</f>
        <v>48.06382592</v>
      </c>
      <c r="F708" s="20" t="n">
        <f aca="false">E708*(1+g_nai28)</f>
        <v>50.467017216</v>
      </c>
      <c r="G708" s="20" t="n">
        <f aca="false">F708*(1+g_nai29)</f>
        <v>52.9903680768</v>
      </c>
    </row>
    <row r="709" customFormat="false" ht="15" hidden="false" customHeight="false" outlineLevel="0" collapsed="false">
      <c r="A709" s="4" t="s">
        <v>316</v>
      </c>
      <c r="B709" s="0" t="s">
        <v>186</v>
      </c>
      <c r="C709" s="20" t="n">
        <f aca="false">C701+C706+C708</f>
        <v>248.32</v>
      </c>
      <c r="D709" s="20" t="n">
        <f aca="false">D701+D706+D708</f>
        <v>410.7612</v>
      </c>
      <c r="E709" s="20" t="n">
        <f aca="false">E701+E706+E708</f>
        <v>650.908996130894</v>
      </c>
      <c r="F709" s="20" t="n">
        <f aca="false">F701+F706+F708</f>
        <v>738.706196870144</v>
      </c>
      <c r="G709" s="20" t="n">
        <f aca="false">G701+G706+G708</f>
        <v>836.156691296144</v>
      </c>
    </row>
    <row r="710" customFormat="false" ht="15" hidden="false" customHeight="false" outlineLevel="0" collapsed="false">
      <c r="A710" s="4" t="s">
        <v>413</v>
      </c>
      <c r="B710" s="0" t="s">
        <v>103</v>
      </c>
      <c r="D710" s="18" t="n">
        <f aca="false">D709/C709-1</f>
        <v>0.654160760309279</v>
      </c>
      <c r="E710" s="18" t="n">
        <f aca="false">E709/D709-1</f>
        <v>0.584640896294232</v>
      </c>
      <c r="F710" s="18" t="n">
        <f aca="false">F709/E709-1</f>
        <v>0.134883987256483</v>
      </c>
      <c r="G710" s="18" t="n">
        <f aca="false">G709/F709-1</f>
        <v>0.131920504848738</v>
      </c>
    </row>
    <row r="711" customFormat="false" ht="17.15" hidden="false" customHeight="false" outlineLevel="0" collapsed="false">
      <c r="A711" s="0" t="s">
        <v>414</v>
      </c>
      <c r="B711" s="0" t="s">
        <v>103</v>
      </c>
      <c r="C711" s="18" t="n">
        <f aca="false">(C701+C706)/C709</f>
        <v>0.834</v>
      </c>
      <c r="D711" s="18" t="n">
        <f aca="false">(D701+D706)/D709</f>
        <v>0.889611696528299</v>
      </c>
      <c r="E711" s="18" t="n">
        <f aca="false">(E701+E706)/E709</f>
        <v>0.926158915907294</v>
      </c>
      <c r="F711" s="18" t="n">
        <f aca="false">(F701+F706)/F709</f>
        <v>0.931681881876955</v>
      </c>
      <c r="G711" s="18" t="n">
        <f aca="false">(G701+G706)/G709</f>
        <v>0.936626270376837</v>
      </c>
    </row>
    <row r="712" customFormat="false" ht="17.15" hidden="false" customHeight="false" outlineLevel="0" collapsed="false">
      <c r="A712" s="4" t="s">
        <v>415</v>
      </c>
      <c r="B712" s="0" t="s">
        <v>103</v>
      </c>
      <c r="C712" s="18" t="n">
        <f aca="false">C706/C709</f>
        <v>0.63</v>
      </c>
      <c r="D712" s="18" t="n">
        <f aca="false">D706/D709</f>
        <v>0.5</v>
      </c>
      <c r="E712" s="18" t="n">
        <f aca="false">E706/E709</f>
        <v>0.354970013278994</v>
      </c>
      <c r="F712" s="18" t="n">
        <f aca="false">F706/F709</f>
        <v>0.354484998378905</v>
      </c>
      <c r="G712" s="18" t="n">
        <f aca="false">G706/G709</f>
        <v>0.338961860797474</v>
      </c>
    </row>
    <row r="713" customFormat="false" ht="17.15" hidden="false" customHeight="false" outlineLevel="0" collapsed="false">
      <c r="A713" s="6" t="s">
        <v>416</v>
      </c>
    </row>
    <row r="714" customFormat="false" ht="17.15" hidden="false" customHeight="false" outlineLevel="0" collapsed="false">
      <c r="A714" s="4" t="s">
        <v>417</v>
      </c>
      <c r="B714" s="0" t="s">
        <v>103</v>
      </c>
      <c r="D714" s="15" t="n">
        <f aca="false">a26_gp/a26_rev+d_nap*D712</f>
        <v>0.219589247962076</v>
      </c>
      <c r="H714" s="8" t="s">
        <v>418</v>
      </c>
    </row>
    <row r="715" customFormat="false" ht="15" hidden="false" customHeight="false" outlineLevel="0" collapsed="false">
      <c r="A715" s="4" t="s">
        <v>320</v>
      </c>
      <c r="B715" s="0" t="s">
        <v>186</v>
      </c>
      <c r="C715" s="20" t="n">
        <f aca="false">a25_gp</f>
        <v>44.921088</v>
      </c>
      <c r="D715" s="20" t="n">
        <f aca="false">a26_gp</f>
        <v>77.875907</v>
      </c>
      <c r="E715" s="20" t="n">
        <f aca="false">$D$714*(E701+E708)+($D$714-d_nap)*E706</f>
        <v>129.069426452133</v>
      </c>
      <c r="F715" s="20" t="n">
        <f aca="false">$D$714*(F701+F708)+($D$714-d_nap)*F706</f>
        <v>146.50032233564</v>
      </c>
      <c r="G715" s="20" t="n">
        <f aca="false">$D$714*(G701+G708)+($D$714-d_nap)*G706</f>
        <v>166.605505340178</v>
      </c>
    </row>
    <row r="716" customFormat="false" ht="15" hidden="false" customHeight="false" outlineLevel="0" collapsed="false">
      <c r="A716" s="4" t="s">
        <v>322</v>
      </c>
      <c r="B716" s="0" t="s">
        <v>103</v>
      </c>
      <c r="C716" s="15" t="n">
        <f aca="false">C715/C709</f>
        <v>0.1809</v>
      </c>
      <c r="D716" s="15" t="n">
        <f aca="false">D715/D709</f>
        <v>0.189589247962076</v>
      </c>
      <c r="E716" s="15" t="n">
        <f aca="false">E715/E709</f>
        <v>0.198291047165337</v>
      </c>
      <c r="F716" s="15" t="n">
        <f aca="false">F715/F709</f>
        <v>0.198320148059342</v>
      </c>
      <c r="G716" s="15" t="n">
        <f aca="false">G715/G709</f>
        <v>0.199251536314228</v>
      </c>
    </row>
    <row r="717" customFormat="false" ht="15" hidden="false" customHeight="false" outlineLevel="0" collapsed="false">
      <c r="A717" s="4" t="s">
        <v>419</v>
      </c>
      <c r="B717" s="0" t="s">
        <v>186</v>
      </c>
      <c r="C717" s="20" t="n">
        <f aca="false">a25_opx</f>
        <v>12.78848</v>
      </c>
      <c r="D717" s="20" t="n">
        <f aca="false">a26_opx</f>
        <v>17.956088</v>
      </c>
      <c r="E717" s="20" t="n">
        <f aca="false">D717*(1+MAX(0,phi*E710))</f>
        <v>24.2548060293549</v>
      </c>
      <c r="F717" s="20" t="n">
        <f aca="false">E717*(1+MAX(0,phi*F710))</f>
        <v>26.217756997778</v>
      </c>
      <c r="G717" s="20" t="n">
        <f aca="false">F717*(1+MAX(0,phi*G710))</f>
        <v>28.2929528412671</v>
      </c>
    </row>
    <row r="718" customFormat="false" ht="15" hidden="false" customHeight="false" outlineLevel="0" collapsed="false">
      <c r="A718" s="4" t="s">
        <v>324</v>
      </c>
      <c r="B718" s="0" t="s">
        <v>186</v>
      </c>
      <c r="C718" s="20" t="n">
        <f aca="false">C717</f>
        <v>12.78848</v>
      </c>
      <c r="D718" s="20" t="n">
        <f aca="false">D717</f>
        <v>17.956088</v>
      </c>
      <c r="E718" s="20" t="n">
        <f aca="false">E717+opx_adj_hi*E709</f>
        <v>27.5093510100093</v>
      </c>
      <c r="F718" s="20" t="n">
        <f aca="false">F717+opx_adj_hi*F709</f>
        <v>29.9112879821288</v>
      </c>
      <c r="G718" s="20" t="n">
        <f aca="false">G717+opx_adj_hi*G709</f>
        <v>32.4737362977478</v>
      </c>
    </row>
    <row r="719" customFormat="false" ht="15" hidden="false" customHeight="false" outlineLevel="0" collapsed="false">
      <c r="A719" s="4" t="s">
        <v>326</v>
      </c>
      <c r="B719" s="0" t="s">
        <v>186</v>
      </c>
      <c r="C719" s="20" t="n">
        <f aca="false">C715-C718</f>
        <v>32.132608</v>
      </c>
      <c r="D719" s="20" t="n">
        <f aca="false">D715-D718</f>
        <v>59.919819</v>
      </c>
      <c r="E719" s="20" t="n">
        <f aca="false">E715-E718</f>
        <v>101.560075442124</v>
      </c>
      <c r="F719" s="20" t="n">
        <f aca="false">F715-F718</f>
        <v>116.589034353512</v>
      </c>
      <c r="G719" s="20" t="n">
        <f aca="false">G715-G718</f>
        <v>134.13176904243</v>
      </c>
    </row>
    <row r="720" customFormat="false" ht="15" hidden="false" customHeight="false" outlineLevel="0" collapsed="false">
      <c r="A720" s="4" t="s">
        <v>328</v>
      </c>
      <c r="B720" s="0" t="s">
        <v>103</v>
      </c>
      <c r="C720" s="15" t="n">
        <f aca="false">C719/C709</f>
        <v>0.1294</v>
      </c>
      <c r="D720" s="15" t="n">
        <f aca="false">D719/D709</f>
        <v>0.145875070478906</v>
      </c>
      <c r="E720" s="15" t="n">
        <f aca="false">E719/E709</f>
        <v>0.156028071582683</v>
      </c>
      <c r="F720" s="15" t="n">
        <f aca="false">F719/F709</f>
        <v>0.157828694070109</v>
      </c>
      <c r="G720" s="15" t="n">
        <f aca="false">G719/G709</f>
        <v>0.160414633332073</v>
      </c>
    </row>
    <row r="721" customFormat="false" ht="17.15" hidden="false" customHeight="false" outlineLevel="0" collapsed="false">
      <c r="A721" s="4" t="s">
        <v>224</v>
      </c>
      <c r="B721" s="0" t="s">
        <v>76</v>
      </c>
      <c r="C721" s="16" t="n">
        <f aca="false">a25_ni/a25_oi</f>
        <v>0.819790289042209</v>
      </c>
      <c r="D721" s="16" t="n">
        <f aca="false">a26_ni/a26_oi</f>
        <v>0.798164213413262</v>
      </c>
      <c r="E721" s="16" t="n">
        <f aca="false">nio_f</f>
        <v>0.8</v>
      </c>
      <c r="F721" s="16" t="n">
        <f aca="false">nio_f</f>
        <v>0.8</v>
      </c>
      <c r="G721" s="16" t="n">
        <f aca="false">nio_f</f>
        <v>0.8</v>
      </c>
    </row>
    <row r="722" customFormat="false" ht="15" hidden="false" customHeight="false" outlineLevel="0" collapsed="false">
      <c r="A722" s="4" t="s">
        <v>329</v>
      </c>
      <c r="B722" s="0" t="s">
        <v>186</v>
      </c>
      <c r="C722" s="20" t="n">
        <f aca="false">a25_ni</f>
        <v>26.342</v>
      </c>
      <c r="D722" s="20" t="n">
        <f aca="false">a26_ni</f>
        <v>47.8258552</v>
      </c>
      <c r="E722" s="20" t="n">
        <f aca="false">E719*E721</f>
        <v>81.248060353699</v>
      </c>
      <c r="F722" s="20" t="n">
        <f aca="false">F719*F721</f>
        <v>93.2712274828092</v>
      </c>
      <c r="G722" s="20" t="n">
        <f aca="false">G719*G721</f>
        <v>107.305415233944</v>
      </c>
    </row>
    <row r="723" customFormat="false" ht="15" hidden="false" customHeight="false" outlineLevel="0" collapsed="false">
      <c r="A723" s="4" t="s">
        <v>420</v>
      </c>
      <c r="B723" s="4" t="s">
        <v>211</v>
      </c>
      <c r="C723" s="17" t="n">
        <f aca="false">a25_sh</f>
        <v>0.558922130277955</v>
      </c>
      <c r="D723" s="17" t="n">
        <f aca="false">a26_sh</f>
        <v>0.558904899135447</v>
      </c>
      <c r="E723" s="17" t="n">
        <f aca="false">D723*(1+sh_g27)</f>
        <v>0.568853406340058</v>
      </c>
      <c r="F723" s="17" t="n">
        <f aca="false">E723*(1+sh_g)</f>
        <v>0.568853406340058</v>
      </c>
      <c r="G723" s="17" t="n">
        <f aca="false">F723*(1+sh_g)</f>
        <v>0.568853406340058</v>
      </c>
    </row>
    <row r="724" customFormat="false" ht="15" hidden="false" customHeight="false" outlineLevel="0" collapsed="false">
      <c r="A724" s="0" t="s">
        <v>334</v>
      </c>
      <c r="B724" s="0" t="s">
        <v>244</v>
      </c>
      <c r="C724" s="14" t="n">
        <f aca="false">C722/C723</f>
        <v>47.13</v>
      </c>
      <c r="D724" s="14" t="n">
        <f aca="false">D722/D723</f>
        <v>85.5706494503455</v>
      </c>
      <c r="E724" s="14" t="n">
        <f aca="false">E722/E723</f>
        <v>142.827764496376</v>
      </c>
      <c r="F724" s="14" t="n">
        <f aca="false">F722/F723</f>
        <v>163.963556240098</v>
      </c>
      <c r="G724" s="14" t="n">
        <f aca="false">G722/G723</f>
        <v>188.634565668396</v>
      </c>
    </row>
    <row r="725" customFormat="false" ht="17.15" hidden="false" customHeight="false" outlineLevel="0" collapsed="false">
      <c r="A725" s="0" t="s">
        <v>421</v>
      </c>
      <c r="B725" s="0" t="s">
        <v>103</v>
      </c>
      <c r="D725" s="18" t="n">
        <f aca="false">D724/C724-1</f>
        <v>0.815630160202535</v>
      </c>
      <c r="E725" s="18" t="n">
        <f aca="false">E724/D724-1</f>
        <v>0.669120959275357</v>
      </c>
      <c r="F725" s="18" t="n">
        <f aca="false">F724/E724-1</f>
        <v>0.147980974275195</v>
      </c>
      <c r="G725" s="18" t="n">
        <f aca="false">G724/F724-1</f>
        <v>0.150466420673211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5" hidden="false" customHeight="false" outlineLevel="0" collapsed="false">
      <c r="A1" s="1" t="s">
        <v>733</v>
      </c>
    </row>
    <row r="2" customFormat="false" ht="17.15" hidden="false" customHeight="false" outlineLevel="0" collapsed="false">
      <c r="A2" s="4" t="s">
        <v>734</v>
      </c>
      <c r="B2" s="0" t="s">
        <v>735</v>
      </c>
    </row>
    <row r="3" customFormat="false" ht="17.15" hidden="false" customHeight="false" outlineLevel="0" collapsed="false">
      <c r="A3" s="4" t="s">
        <v>736</v>
      </c>
      <c r="B3" s="0" t="s">
        <v>737</v>
      </c>
    </row>
    <row r="4" customFormat="false" ht="17.15" hidden="false" customHeight="false" outlineLevel="0" collapsed="false">
      <c r="A4" s="4" t="s">
        <v>738</v>
      </c>
      <c r="B4" s="0" t="s">
        <v>739</v>
      </c>
    </row>
    <row r="5" customFormat="false" ht="17.15" hidden="false" customHeight="false" outlineLevel="0" collapsed="false">
      <c r="A5" s="4" t="s">
        <v>740</v>
      </c>
      <c r="B5" s="0" t="s">
        <v>741</v>
      </c>
    </row>
    <row r="6" customFormat="false" ht="17.15" hidden="false" customHeight="false" outlineLevel="0" collapsed="false">
      <c r="A6" s="4" t="s">
        <v>742</v>
      </c>
      <c r="B6" s="0" t="s">
        <v>743</v>
      </c>
    </row>
    <row r="7" customFormat="false" ht="17.15" hidden="false" customHeight="false" outlineLevel="0" collapsed="false">
      <c r="A7" s="4" t="s">
        <v>744</v>
      </c>
      <c r="B7" s="0" t="s">
        <v>745</v>
      </c>
    </row>
    <row r="8" customFormat="false" ht="17.15" hidden="false" customHeight="false" outlineLevel="0" collapsed="false">
      <c r="A8" s="4" t="s">
        <v>746</v>
      </c>
      <c r="B8" s="0" t="s">
        <v>747</v>
      </c>
    </row>
    <row r="9" customFormat="false" ht="17.15" hidden="false" customHeight="false" outlineLevel="0" collapsed="false">
      <c r="A9" s="4" t="s">
        <v>748</v>
      </c>
      <c r="B9" s="0" t="s">
        <v>749</v>
      </c>
    </row>
    <row r="10" customFormat="false" ht="17.15" hidden="false" customHeight="false" outlineLevel="0" collapsed="false">
      <c r="A10" s="4" t="s">
        <v>750</v>
      </c>
      <c r="B10" s="0" t="s">
        <v>751</v>
      </c>
    </row>
    <row r="11" customFormat="false" ht="17.15" hidden="false" customHeight="false" outlineLevel="0" collapsed="false">
      <c r="A11" s="4" t="s">
        <v>752</v>
      </c>
      <c r="B11" s="0" t="s">
        <v>753</v>
      </c>
    </row>
    <row r="12" customFormat="false" ht="17.15" hidden="false" customHeight="false" outlineLevel="0" collapsed="false">
      <c r="A12" s="4" t="s">
        <v>754</v>
      </c>
      <c r="B12" s="0" t="s">
        <v>755</v>
      </c>
    </row>
    <row r="13" customFormat="false" ht="17.15" hidden="false" customHeight="false" outlineLevel="0" collapsed="false">
      <c r="A13" s="4" t="s">
        <v>756</v>
      </c>
      <c r="B13" s="0" t="s">
        <v>757</v>
      </c>
    </row>
    <row r="14" customFormat="false" ht="17.15" hidden="false" customHeight="false" outlineLevel="0" collapsed="false">
      <c r="A14" s="4" t="s">
        <v>758</v>
      </c>
      <c r="B14" s="0" t="s">
        <v>759</v>
      </c>
    </row>
    <row r="15" customFormat="false" ht="17.15" hidden="false" customHeight="false" outlineLevel="0" collapsed="false">
      <c r="A15" s="4" t="s">
        <v>760</v>
      </c>
      <c r="B15" s="0" t="s">
        <v>761</v>
      </c>
    </row>
    <row r="16" customFormat="false" ht="17.15" hidden="false" customHeight="false" outlineLevel="0" collapsed="false">
      <c r="A16" s="4" t="s">
        <v>762</v>
      </c>
      <c r="B16" s="0" t="s">
        <v>763</v>
      </c>
    </row>
    <row r="17" customFormat="false" ht="17.15" hidden="false" customHeight="false" outlineLevel="0" collapsed="false">
      <c r="A17" s="4" t="s">
        <v>764</v>
      </c>
      <c r="B17" s="0" t="s">
        <v>765</v>
      </c>
    </row>
    <row r="18" customFormat="false" ht="17.15" hidden="false" customHeight="false" outlineLevel="0" collapsed="false">
      <c r="A18" s="4" t="s">
        <v>766</v>
      </c>
      <c r="B18" s="0" t="s">
        <v>767</v>
      </c>
    </row>
    <row r="19" customFormat="false" ht="17.15" hidden="false" customHeight="false" outlineLevel="0" collapsed="false">
      <c r="A19" s="4" t="s">
        <v>768</v>
      </c>
      <c r="B19" s="0" t="s">
        <v>769</v>
      </c>
    </row>
    <row r="20" customFormat="false" ht="17.15" hidden="false" customHeight="false" outlineLevel="0" collapsed="false">
      <c r="A20" s="4" t="s">
        <v>770</v>
      </c>
    </row>
    <row r="21" customFormat="false" ht="17.15" hidden="false" customHeight="false" outlineLevel="0" collapsed="false">
      <c r="A21" s="4" t="s">
        <v>771</v>
      </c>
      <c r="B21" s="4" t="s">
        <v>772</v>
      </c>
    </row>
    <row r="22" customFormat="false" ht="15" hidden="false" customHeight="false" outlineLevel="0" collapsed="false">
      <c r="A22" s="0" t="s">
        <v>773</v>
      </c>
      <c r="B22" s="4" t="s">
        <v>774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2026-10-25T07:45:42Z</dcterms:created>
  <dc:creator>openpyxl</dc:creator>
  <dc:description/>
  <dc:language>en-US</dc:language>
  <cp:lastModifiedBy/>
  <dcterms:modified xsi:type="dcterms:W3CDTF">2026-10-25T07:45:42Z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