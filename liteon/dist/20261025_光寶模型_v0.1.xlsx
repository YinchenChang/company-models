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" vbProcedure="false">Q!$B$17</definedName>
    <definedName function="false" hidden="false" name="a25_aip" vbProcedure="false">Q!$B$18</definedName>
    <definedName function="false" hidden="false" name="a25_eps" vbProcedure="false">Q!$B$15</definedName>
    <definedName function="false" hidden="false" name="a25_gp" vbProcedure="false">Q!$B$5</definedName>
    <definedName function="false" hidden="false" name="a25_nai" vbProcedure="false">Q!$B$19</definedName>
    <definedName function="false" hidden="false" name="a25_ni" vbProcedure="false">Q!$B$12</definedName>
    <definedName function="false" hidden="false" name="a25_nop" vbProcedure="false">Q!$B$10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pt" vbProcedure="false">Q!$B$11</definedName>
    <definedName function="false" hidden="false" name="a25_rev" vbProcedure="false">Q!$B$4</definedName>
    <definedName function="false" hidden="false" name="a25_sh" vbProcedure="false">Q!$B$14</definedName>
    <definedName function="false" hidden="false" name="a26_ai" vbProcedure="false">Q!$F$17</definedName>
    <definedName function="false" hidden="false" name="a26_aip" vbProcedure="false">Q!$F$18</definedName>
    <definedName function="false" hidden="false" name="a26_eps" vbProcedure="false">Q!$F$15</definedName>
    <definedName function="false" hidden="false" name="a26_gp" vbProcedure="false">Q!$F$5</definedName>
    <definedName function="false" hidden="false" name="a26_nai" vbProcedure="false">Q!$F$19</definedName>
    <definedName function="false" hidden="false" name="a26_ni" vbProcedure="false">Q!$F$12</definedName>
    <definedName function="false" hidden="false" name="a26_nop" vbProcedure="false">Q!$F$10</definedName>
    <definedName function="false" hidden="false" name="a26_oi" vbProcedure="false">Q!$F$8</definedName>
    <definedName function="false" hidden="false" name="a26_opx" vbProcedure="false">Q!$F$7</definedName>
    <definedName function="false" hidden="false" name="a26_pt" vbProcedure="false">Q!$F$11</definedName>
    <definedName function="false" hidden="false" name="a26_rev" vbProcedure="false">Q!$F$4</definedName>
    <definedName function="false" hidden="false" name="a26_sh" vbProcedure="false">Q!$F$14</definedName>
    <definedName function="false" hidden="false" name="ai_25" vbProcedure="false">In!$E$30</definedName>
    <definedName function="false" hidden="false" name="ai_25_hi" vbProcedure="false">In!$F$30</definedName>
    <definedName function="false" hidden="false" name="ai_25_lo" vbProcedure="false">In!$D$30</definedName>
    <definedName function="false" hidden="false" name="ai_26" vbProcedure="false">In!$E$31</definedName>
    <definedName function="false" hidden="false" name="ai_26_hi" vbProcedure="false">In!$F$31</definedName>
    <definedName function="false" hidden="false" name="ai_26_lo" vbProcedure="false">In!$D$31</definedName>
    <definedName function="false" hidden="false" name="cons_eps26" vbProcedure="false">In!$E$58</definedName>
    <definedName function="false" hidden="false" name="cons_eps27" vbProcedure="false">In!$E$60</definedName>
    <definedName function="false" hidden="false" name="cons_eps28" vbProcedure="false">In!$E$62</definedName>
    <definedName function="false" hidden="false" name="cons_feps" vbProcedure="false">In!$E$80</definedName>
    <definedName function="false" hidden="false" name="cons_rev26" vbProcedure="false">In!$E$57</definedName>
    <definedName function="false" hidden="false" name="cons_rev27" vbProcedure="false">In!$E$59</definedName>
    <definedName function="false" hidden="false" name="cons_rev28" vbProcedure="false">In!$E$61</definedName>
    <definedName function="false" hidden="false" name="cons_tp" vbProcedure="false">In!$E$81</definedName>
    <definedName function="false" hidden="false" name="d_ai" vbProcedure="false">In!$E$36</definedName>
    <definedName function="false" hidden="false" name="d_aip26" vbProcedure="false">In!$E$65</definedName>
    <definedName function="false" hidden="false" name="d_aip27" vbProcedure="false">In!$E$68</definedName>
    <definedName function="false" hidden="false" name="d_aip28" vbProcedure="false">In!$E$71</definedName>
    <definedName function="false" hidden="false" name="d_aip29" vbProcedure="false">In!$E$74</definedName>
    <definedName function="false" hidden="false" name="d_ai_hi" vbProcedure="false">In!$F$36</definedName>
    <definedName function="false" hidden="false" name="d_ai_lo" vbProcedure="false">In!$D$36</definedName>
    <definedName function="false" hidden="false" name="d_pmk26" vbProcedure="false">In!$E$64</definedName>
    <definedName function="false" hidden="false" name="d_pmk27" vbProcedure="false">In!$E$67</definedName>
    <definedName function="false" hidden="false" name="d_pmk28" vbProcedure="false">In!$E$70</definedName>
    <definedName function="false" hidden="false" name="d_pmk29" vbProcedure="false">In!$E$73</definedName>
    <definedName function="false" hidden="false" name="d_sh26" vbProcedure="false">In!$E$63</definedName>
    <definedName function="false" hidden="false" name="d_sh27" vbProcedure="false">In!$E$66</definedName>
    <definedName function="false" hidden="false" name="d_sh28" vbProcedure="false">In!$E$69</definedName>
    <definedName function="false" hidden="false" name="d_sh29" vbProcedure="false">In!$E$72</definedName>
    <definedName function="false" hidden="false" name="fade_gA" vbProcedure="false">In!$E$91</definedName>
    <definedName function="false" hidden="false" name="fade_gB" vbProcedure="false">In!$E$92</definedName>
    <definedName function="false" hidden="false" name="fade_gC" vbProcedure="false">In!$E$93</definedName>
    <definedName function="false" hidden="false" name="fade_mA" vbProcedure="false">In!$E$94</definedName>
    <definedName function="false" hidden="false" name="fade_mB" vbProcedure="false">In!$E$95</definedName>
    <definedName function="false" hidden="false" name="fade_mC" vbProcedure="false">In!$E$96</definedName>
    <definedName function="false" hidden="false" name="fpe" vbProcedure="false">In!$E$79</definedName>
    <definedName function="false" hidden="false" name="fx" vbProcedure="false">In!$E$19</definedName>
    <definedName function="false" hidden="false" name="fx_hi" vbProcedure="false">In!$F$19</definedName>
    <definedName function="false" hidden="false" name="fx_lo" vbProcedure="false">In!$D$19</definedName>
    <definedName function="false" hidden="false" name="gmu_27" vbProcedure="false">In!$E$37</definedName>
    <definedName function="false" hidden="false" name="gmu_27_hi" vbProcedure="false">In!$F$37</definedName>
    <definedName function="false" hidden="false" name="gmu_27_lo" vbProcedure="false">In!$D$37</definedName>
    <definedName function="false" hidden="false" name="gmu_28" vbProcedure="false">In!$E$38</definedName>
    <definedName function="false" hidden="false" name="gmu_28_hi" vbProcedure="false">In!$F$38</definedName>
    <definedName function="false" hidden="false" name="gmu_28_lo" vbProcedure="false">In!$D$38</definedName>
    <definedName function="false" hidden="false" name="gmu_29" vbProcedure="false">In!$E$39</definedName>
    <definedName function="false" hidden="false" name="gmu_29_hi" vbProcedure="false">In!$F$39</definedName>
    <definedName function="false" hidden="false" name="gmu_29_lo" vbProcedure="false">In!$D$39</definedName>
    <definedName function="false" hidden="false" name="GNHI27" vbProcedure="false">In!$F$32</definedName>
    <definedName function="false" hidden="false" name="GNHI28" vbProcedure="false">In!$F$33</definedName>
    <definedName function="false" hidden="false" name="GNHI29" vbProcedure="false">In!$F$34</definedName>
    <definedName function="false" hidden="false" name="GNLO27" vbProcedure="false">In!$D$32</definedName>
    <definedName function="false" hidden="false" name="GNLO28" vbProcedure="false">In!$D$33</definedName>
    <definedName function="false" hidden="false" name="GNLO29" vbProcedure="false">In!$D$34</definedName>
    <definedName function="false" hidden="false" name="GUHI_27" vbProcedure="false">In!$F$37</definedName>
    <definedName function="false" hidden="false" name="GUHI_28" vbProcedure="false">In!$F$38</definedName>
    <definedName function="false" hidden="false" name="GUHI_29" vbProcedure="false">In!$F$39</definedName>
    <definedName function="false" hidden="false" name="GULO_27" vbProcedure="false">In!$D$37</definedName>
    <definedName function="false" hidden="false" name="GULO_28" vbProcedure="false">In!$D$38</definedName>
    <definedName function="false" hidden="false" name="GULO_29" vbProcedure="false">In!$D$39</definedName>
    <definedName function="false" hidden="false" name="g_nai27" vbProcedure="false">In!$E$32</definedName>
    <definedName function="false" hidden="false" name="g_nai27_hi" vbProcedure="false">In!$F$32</definedName>
    <definedName function="false" hidden="false" name="g_nai27_lo" vbProcedure="false">In!$D$32</definedName>
    <definedName function="false" hidden="false" name="g_nai28" vbProcedure="false">In!$E$33</definedName>
    <definedName function="false" hidden="false" name="g_nai28_hi" vbProcedure="false">In!$F$33</definedName>
    <definedName function="false" hidden="false" name="g_nai28_lo" vbProcedure="false">In!$D$33</definedName>
    <definedName function="false" hidden="false" name="g_nai29" vbProcedure="false">In!$E$34</definedName>
    <definedName function="false" hidden="false" name="g_nai29_hi" vbProcedure="false">In!$F$34</definedName>
    <definedName function="false" hidden="false" name="g_nai29_lo" vbProcedure="false">In!$D$34</definedName>
    <definedName function="false" hidden="false" name="itc_26" vbProcedure="false">In!$E$5</definedName>
    <definedName function="false" hidden="false" name="itc_27" vbProcedure="false">In!$E$6</definedName>
    <definedName function="false" hidden="false" name="itc_28" vbProcedure="false">In!$E$7</definedName>
    <definedName function="false" hidden="false" name="itc_29" vbProcedure="false">In!$E$8</definedName>
    <definedName function="false" hidden="false" name="itpg_gb" vbProcedure="false">In!$E$9</definedName>
    <definedName function="false" hidden="false" name="itpg_vr" vbProcedure="false">In!$E$10</definedName>
    <definedName function="false" hidden="false" name="kgi_dsh" vbProcedure="false">In!$E$75</definedName>
    <definedName function="false" hidden="false" name="kgi_dsh_hi" vbProcedure="false">In!$F$75</definedName>
    <definedName function="false" hidden="false" name="kgi_dsh_lo" vbProcedure="false">In!$D$75</definedName>
    <definedName function="false" hidden="false" name="mf" vbProcedure="false">In!$E$55</definedName>
    <definedName function="false" hidden="false" name="mf_hi" vbProcedure="false">In!$F$55</definedName>
    <definedName function="false" hidden="false" name="mf_lo" vbProcedure="false">In!$D$55</definedName>
    <definedName function="false" hidden="false" name="nim_avg" vbProcedure="false">In!$E$82</definedName>
    <definedName function="false" hidden="false" name="nir_f" vbProcedure="false">In!$E$53</definedName>
    <definedName function="false" hidden="false" name="nir_f_hi" vbProcedure="false">In!$F$53</definedName>
    <definedName function="false" hidden="false" name="nir_f_lo" vbProcedure="false">In!$D$53</definedName>
    <definedName function="false" hidden="false" name="nop_f" vbProcedure="false">In!$E$52</definedName>
    <definedName function="false" hidden="false" name="nop_f_hi" vbProcedure="false">In!$F$52</definedName>
    <definedName function="false" hidden="false" name="nop_f_lo" vbProcedure="false">In!$D$52</definedName>
    <definedName function="false" hidden="false" name="opx_adj" vbProcedure="false">In!$E$51</definedName>
    <definedName function="false" hidden="false" name="opx_adj_hi" vbProcedure="false">In!$F$51</definedName>
    <definedName function="false" hidden="false" name="opx_adj_lo" vbProcedure="false">In!$D$51</definedName>
    <definedName function="false" hidden="false" name="pe_mid" vbProcedure="false">Val!$C$114</definedName>
    <definedName function="false" hidden="false" name="pe_peak" vbProcedure="false">Val!$C$113</definedName>
    <definedName function="false" hidden="false" name="pe_trough" vbProcedure="false">Val!$C$115</definedName>
    <definedName function="false" hidden="false" name="pe_ttm" vbProcedure="false">In!$E$78</definedName>
    <definedName function="false" hidden="false" name="phi" vbProcedure="false">In!$E$50</definedName>
    <definedName function="false" hidden="false" name="phi_hi" vbProcedure="false">In!$F$50</definedName>
    <definedName function="false" hidden="false" name="phi_lo" vbProcedure="false">In!$D$50</definedName>
    <definedName function="false" hidden="false" name="PKHI_26" vbProcedure="false">In!$F$21</definedName>
    <definedName function="false" hidden="false" name="PKHI_27" vbProcedure="false">In!$F$22</definedName>
    <definedName function="false" hidden="false" name="PKHI_28" vbProcedure="false">In!$F$23</definedName>
    <definedName function="false" hidden="false" name="PKHI_29" vbProcedure="false">In!$F$24</definedName>
    <definedName function="false" hidden="false" name="PKLO_26" vbProcedure="false">In!$D$21</definedName>
    <definedName function="false" hidden="false" name="PKLO_27" vbProcedure="false">In!$D$22</definedName>
    <definedName function="false" hidden="false" name="PKLO_28" vbProcedure="false">In!$D$23</definedName>
    <definedName function="false" hidden="false" name="PKLO_29" vbProcedure="false">In!$D$24</definedName>
    <definedName function="false" hidden="false" name="pkw_26" vbProcedure="false">In!$E$21</definedName>
    <definedName function="false" hidden="false" name="pkw_26_hi" vbProcedure="false">In!$F$21</definedName>
    <definedName function="false" hidden="false" name="pkw_26_lo" vbProcedure="false">In!$D$21</definedName>
    <definedName function="false" hidden="false" name="pkw_27" vbProcedure="false">In!$E$22</definedName>
    <definedName function="false" hidden="false" name="pkw_27_hi" vbProcedure="false">In!$F$22</definedName>
    <definedName function="false" hidden="false" name="pkw_27_lo" vbProcedure="false">In!$D$22</definedName>
    <definedName function="false" hidden="false" name="pkw_28" vbProcedure="false">In!$E$23</definedName>
    <definedName function="false" hidden="false" name="pkw_28_hi" vbProcedure="false">In!$F$23</definedName>
    <definedName function="false" hidden="false" name="pkw_28_lo" vbProcedure="false">In!$D$23</definedName>
    <definedName function="false" hidden="false" name="pkw_29" vbProcedure="false">In!$E$24</definedName>
    <definedName function="false" hidden="false" name="pkw_29_hi" vbProcedure="false">In!$F$24</definedName>
    <definedName function="false" hidden="false" name="pkw_29_lo" vbProcedure="false">In!$D$24</definedName>
    <definedName function="false" hidden="false" name="px" vbProcedure="false">In!$E$77</definedName>
    <definedName function="false" hidden="false" name="q3_rev" vbProcedure="false">In!$E$42</definedName>
    <definedName function="false" hidden="false" name="q4g" vbProcedure="false">In!$E$43</definedName>
    <definedName function="false" hidden="false" name="q4g_hi" vbProcedure="false">In!$F$43</definedName>
    <definedName function="false" hidden="false" name="q4g_lo" vbProcedure="false">In!$D$43</definedName>
    <definedName function="false" hidden="false" name="q_gm" vbProcedure="false">In!$E$44</definedName>
    <definedName function="false" hidden="false" name="q_gm_hi" vbProcedure="false">In!$F$44</definedName>
    <definedName function="false" hidden="false" name="q_gm_lo" vbProcedure="false">In!$D$44</definedName>
    <definedName function="false" hidden="false" name="q_nir" vbProcedure="false">In!$E$47</definedName>
    <definedName function="false" hidden="false" name="q_nir_hi" vbProcedure="false">In!$F$47</definedName>
    <definedName function="false" hidden="false" name="q_nir_lo" vbProcedure="false">In!$D$47</definedName>
    <definedName function="false" hidden="false" name="q_nop" vbProcedure="false">In!$E$46</definedName>
    <definedName function="false" hidden="false" name="q_nop_hi" vbProcedure="false">In!$F$46</definedName>
    <definedName function="false" hidden="false" name="q_nop_lo" vbProcedure="false">In!$D$46</definedName>
    <definedName function="false" hidden="false" name="q_opx" vbProcedure="false">In!$E$45</definedName>
    <definedName function="false" hidden="false" name="q_opx_hi" vbProcedure="false">In!$F$45</definedName>
    <definedName function="false" hidden="false" name="q_opx_lo" vbProcedure="false">In!$D$45</definedName>
    <definedName function="false" hidden="false" name="q_sh" vbProcedure="false">In!$E$48</definedName>
    <definedName function="false" hidden="false" name="racks_vr" vbProcedure="false">In!$E$12</definedName>
    <definedName function="false" hidden="false" name="rel_27" vbProcedure="false">In!$E$26</definedName>
    <definedName function="false" hidden="false" name="rel_27_hi" vbProcedure="false">In!$F$26</definedName>
    <definedName function="false" hidden="false" name="rel_27_lo" vbProcedure="false">In!$D$26</definedName>
    <definedName function="false" hidden="false" name="rel_28" vbProcedure="false">In!$E$27</definedName>
    <definedName function="false" hidden="false" name="rel_28_hi" vbProcedure="false">In!$F$27</definedName>
    <definedName function="false" hidden="false" name="rel_28_lo" vbProcedure="false">In!$D$27</definedName>
    <definedName function="false" hidden="false" name="rel_29" vbProcedure="false">In!$E$28</definedName>
    <definedName function="false" hidden="false" name="rel_29_hi" vbProcedure="false">In!$F$28</definedName>
    <definedName function="false" hidden="false" name="rel_29_lo" vbProcedure="false">In!$D$28</definedName>
    <definedName function="false" hidden="false" name="RHI_27" vbProcedure="false">In!$F$26</definedName>
    <definedName function="false" hidden="false" name="RHI_28" vbProcedure="false">In!$F$27</definedName>
    <definedName function="false" hidden="false" name="RHI_29" vbProcedure="false">In!$F$28</definedName>
    <definedName function="false" hidden="false" name="RLO_27" vbProcedure="false">In!$D$26</definedName>
    <definedName function="false" hidden="false" name="RLO_28" vbProcedure="false">In!$D$27</definedName>
    <definedName function="false" hidden="false" name="RLO_29" vbProcedure="false">In!$D$28</definedName>
    <definedName function="false" hidden="false" name="sh_g" vbProcedure="false">In!$E$54</definedName>
    <definedName function="false" hidden="false" name="sh_g_hi" vbProcedure="false">In!$F$54</definedName>
    <definedName function="false" hidden="false" name="sh_g_lo" vbProcedure="false">In!$D$54</definedName>
    <definedName function="false" hidden="false" name="tp_g" vbProcedure="false">In!$E$88</definedName>
    <definedName function="false" hidden="false" name="tp_r" vbProcedure="false">In!$E$87</definedName>
    <definedName function="false" hidden="false" name="tp_roe" vbProcedure="false">In!$E$89</definedName>
    <definedName function="false" hidden="false" name="tp_wA" vbProcedure="false">In!$E$84</definedName>
    <definedName function="false" hidden="false" name="tp_wB" vbProcedure="false">In!$E$85</definedName>
    <definedName function="false" hidden="false" name="tp_wC" vbProcedure="false">In!$E$86</definedName>
    <definedName function="false" hidden="false" name="tp_w_dcf" vbProcedure="false">In!$E$90</definedName>
    <definedName function="false" hidden="false" name="um28_A" vbProcedure="false">In!$E$13</definedName>
    <definedName function="false" hidden="false" name="um28_B" vbProcedure="false">In!$E$15</definedName>
    <definedName function="false" hidden="false" name="um28_C" vbProcedure="false">In!$E$17</definedName>
    <definedName function="false" hidden="false" name="um29_A" vbProcedure="false">In!$E$14</definedName>
    <definedName function="false" hidden="false" name="um29_B" vbProcedure="false">In!$E$16</definedName>
    <definedName function="false" hidden="false" name="um29_C" vbProcedure="false">In!$E$18</definedName>
    <definedName function="false" hidden="false" name="vr26" vbProcedure="false">In!$E$11</definedName>
    <definedName function="false" hidden="false" name="vr26_hi" vbProcedure="false">In!$F$11</definedName>
    <definedName function="false" hidden="false" name="vr26_lo" vbProcedure="false">In!$D$11</definedName>
    <definedName function="false" hidden="false" name="x_np" vbProcedure="false">In!$E$25</definedName>
    <definedName function="false" hidden="false" name="x_np_hi" vbProcedure="false">In!$F$25</definedName>
    <definedName function="false" hidden="false" name="x_np_lo" vbProcedure="false">In!$D$25</definedName>
    <definedName function="false" hidden="false" name="ytd9" vbProcedure="false">In!$E$41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<sst xmlns="http://schemas.openxmlformats.org/spreadsheetml/2006/main" count="2673" uniqueCount="776">
  <si>
    <r>
      <rPr>
        <b val="true"/>
        <sz val="11"/>
        <rFont val="Noto Sans CJK SC"/>
        <family val="2"/>
      </rPr>
      <t xml:space="preserve">光寶科（</t>
    </r>
    <r>
      <rPr>
        <b val="true"/>
        <sz val="11"/>
        <rFont val="Cambria"/>
        <family val="0"/>
        <charset val="1"/>
      </rPr>
      <t xml:space="preserve">2301.TW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：電源與散熱次產業；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伺服器電源 </t>
    </r>
    <r>
      <rPr>
        <b val="true"/>
        <sz val="11"/>
        <rFont val="Cambria"/>
        <family val="0"/>
        <charset val="1"/>
      </rPr>
      <t xml:space="preserve">PSU</t>
    </r>
    <r>
      <rPr>
        <b val="true"/>
        <sz val="11"/>
        <rFont val="Noto Sans CJK SC"/>
        <family val="2"/>
      </rPr>
      <t xml:space="preserve">、電源櫃、</t>
    </r>
    <r>
      <rPr>
        <b val="true"/>
        <sz val="11"/>
        <rFont val="Cambria"/>
        <family val="0"/>
        <charset val="1"/>
      </rPr>
      <t xml:space="preserve">BBU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</si>
  <si>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電源每 </t>
    </r>
    <r>
      <rPr>
        <sz val="11"/>
        <rFont val="Cambria"/>
        <family val="0"/>
        <charset val="1"/>
      </rPr>
      <t xml:space="preserve">kW </t>
    </r>
    <r>
      <rPr>
        <sz val="11"/>
        <rFont val="Noto Sans CJK SC"/>
        <family val="2"/>
      </rPr>
      <t xml:space="preserve">內容沿用台達電模型（</t>
    </r>
    <r>
      <rPr>
        <sz val="11"/>
        <rFont val="Cambria"/>
        <family val="0"/>
        <charset val="1"/>
      </rPr>
      <t xml:space="preserve">delta/dist In </t>
    </r>
    <r>
      <rPr>
        <sz val="11"/>
        <rFont val="Noto Sans CJK SC"/>
        <family val="2"/>
      </rPr>
      <t xml:space="preserve">頁，本專案權威，口徑一致），本模型只建光寶份額；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頁核對光寶＋台達電份額合計。</t>
    </r>
  </si>
  <si>
    <r>
      <rPr>
        <sz val="11"/>
        <rFont val="Noto Sans CJK SC"/>
        <family val="2"/>
      </rPr>
      <t xml:space="preserve">模型命題：光寶科的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資本支出）</t>
    </r>
    <r>
      <rPr>
        <sz val="11"/>
        <rFont val="Cambria"/>
        <family val="0"/>
        <charset val="1"/>
      </rPr>
      <t xml:space="preserve">× AI </t>
    </r>
    <r>
      <rPr>
        <sz val="11"/>
        <rFont val="Noto Sans CJK SC"/>
        <family val="2"/>
      </rPr>
      <t xml:space="preserve">電源每 </t>
    </r>
    <r>
      <rPr>
        <sz val="11"/>
        <rFont val="Cambria"/>
        <family val="0"/>
        <charset val="1"/>
      </rPr>
      <t xml:space="preserve">kW </t>
    </r>
    <r>
      <rPr>
        <sz val="11"/>
        <rFont val="Noto Sans CJK SC"/>
        <family val="2"/>
      </rPr>
      <t xml:space="preserve">內容（台達電模型）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光寶份額 </t>
    </r>
    <r>
      <rPr>
        <sz val="11"/>
        <rFont val="Cambria"/>
        <family val="0"/>
        <charset val="1"/>
      </rPr>
      <t xml:space="preserve">÷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非電源占比）；非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（一般雲端電源、光電、資訊與消費電子、車用）約占七成，另設低成長。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相關營收 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年約兩成、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年約三成，毛利率高於其他業務，使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部署成為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的主要驅動。</t>
    </r>
  </si>
  <si>
    <r>
      <rPr>
        <sz val="11"/>
        <rFont val="Noto Sans CJK SC"/>
        <family val="2"/>
      </rPr>
      <t xml:space="preserve">核心問題：光寶在台達電主導的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電源市場（</t>
    </r>
    <r>
      <rPr>
        <sz val="11"/>
        <rFont val="Cambria"/>
        <family val="0"/>
        <charset val="1"/>
      </rPr>
      <t xml:space="preserve">800V HVDC </t>
    </r>
    <r>
      <rPr>
        <sz val="11"/>
        <rFont val="Noto Sans CJK SC"/>
        <family val="2"/>
      </rPr>
      <t xml:space="preserve">電源櫃、</t>
    </r>
    <r>
      <rPr>
        <sz val="11"/>
        <rFont val="Cambria"/>
        <family val="0"/>
        <charset val="1"/>
      </rPr>
      <t xml:space="preserve">BBU</t>
    </r>
    <r>
      <rPr>
        <sz val="11"/>
        <rFont val="Noto Sans CJK SC"/>
        <family val="2"/>
      </rPr>
      <t xml:space="preserve">、新 </t>
    </r>
    <r>
      <rPr>
        <sz val="11"/>
        <rFont val="Cambria"/>
        <family val="0"/>
        <charset val="1"/>
      </rPr>
      <t xml:space="preserve">CSP </t>
    </r>
    <r>
      <rPr>
        <sz val="11"/>
        <rFont val="Noto Sans CJK SC"/>
        <family val="2"/>
      </rPr>
      <t xml:space="preserve">客戶）能不能把有效份額由約一成八往上拉；消費電子衰退與零組件成本會吃掉多少；現價約 </t>
    </r>
    <r>
      <rPr>
        <sz val="11"/>
        <rFont val="Cambria"/>
        <family val="0"/>
        <charset val="1"/>
      </rPr>
      <t xml:space="preserve">20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隱含什麼路徑。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</si>
  <si>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由驅動因子推導，</t>
    </r>
    <r>
      <rPr>
        <sz val="11"/>
        <rFont val="Cambria"/>
        <family val="0"/>
        <charset val="1"/>
      </rPr>
      <t xml:space="preserve">FY2030–FY2032 </t>
    </r>
    <r>
      <rPr>
        <sz val="11"/>
        <rFont val="Noto Sans CJK SC"/>
        <family val="2"/>
      </rPr>
      <t xml:space="preserve">為收斂法。金額：十億新台幣；市場以美元計、以匯率 </t>
    </r>
    <r>
      <rPr>
        <sz val="11"/>
        <rFont val="Cambria"/>
        <family val="0"/>
        <charset val="1"/>
      </rPr>
      <t xml:space="preserve">32.0 </t>
    </r>
    <r>
      <rPr>
        <sz val="11"/>
        <rFont val="Noto Sans CJK SC"/>
        <family val="2"/>
      </rPr>
      <t xml:space="preserve">換算（與台達電模型相同）。口徑：歸屬母公司淨利（</t>
    </r>
    <r>
      <rPr>
        <sz val="11"/>
        <rFont val="Cambria"/>
        <family val="0"/>
        <charset val="1"/>
      </rPr>
      <t xml:space="preserve">IFRS</t>
    </r>
    <r>
      <rPr>
        <sz val="11"/>
        <rFont val="Noto Sans CJK SC"/>
        <family val="2"/>
      </rPr>
      <t xml:space="preserve">）。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</si>
  <si>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</si>
  <si>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同字母顆數係數（</t>
    </r>
    <r>
      <rPr>
        <sz val="11"/>
        <rFont val="Cambria"/>
        <family val="0"/>
        <charset val="1"/>
      </rPr>
      <t xml:space="preserve">tsmc</t>
    </r>
    <r>
      <rPr>
        <sz val="11"/>
        <rFont val="Noto Sans CJK SC"/>
        <family val="2"/>
      </rPr>
      <t xml:space="preserve">；＝</t>
    </r>
    <r>
      <rPr>
        <sz val="11"/>
        <rFont val="Cambria"/>
        <family val="0"/>
        <charset val="1"/>
      </rPr>
      <t xml:space="preserve">markets/memory SCEN_UNITS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資本支出（</t>
    </r>
    <r>
      <rPr>
        <sz val="11"/>
        <rFont val="Cambria"/>
        <family val="0"/>
        <charset val="1"/>
      </rPr>
      <t xml:space="preserve">Tokenomics</t>
    </r>
    <r>
      <rPr>
        <sz val="11"/>
        <rFont val="Noto Sans CJK SC"/>
        <family val="2"/>
      </rPr>
      <t xml:space="preserve">，經橋接表）＝部署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kW </t>
    </r>
    <r>
      <rPr>
        <sz val="11"/>
        <rFont val="Noto Sans CJK SC"/>
        <family val="2"/>
      </rPr>
      <t xml:space="preserve">電源內容（台達電模型 </t>
    </r>
    <r>
      <rPr>
        <sz val="11"/>
        <rFont val="Cambria"/>
        <family val="0"/>
        <charset val="1"/>
      </rPr>
      <t xml:space="preserve">450 → 600 → 680 → 720 </t>
    </r>
    <r>
      <rPr>
        <sz val="11"/>
        <rFont val="Noto Sans CJK SC"/>
        <family val="2"/>
      </rPr>
      <t xml:space="preserve">美元）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匯率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光寶有效份額（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以公司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相關占比校準）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÷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非電源占比）。</t>
    </r>
  </si>
  <si>
    <r>
      <rPr>
        <sz val="11"/>
        <rFont val="Noto Sans CJK SC"/>
        <family val="2"/>
      </rPr>
      <t xml:space="preserve">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+3%</t>
    </r>
    <r>
      <rPr>
        <sz val="11"/>
        <rFont val="Noto Sans CJK SC"/>
        <family val="2"/>
      </rPr>
      <t xml:space="preserve">）。毛利率：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相關比其他營收高 </t>
    </r>
    <r>
      <rPr>
        <sz val="11"/>
        <rFont val="Cambria"/>
        <family val="0"/>
        <charset val="1"/>
      </rPr>
      <t xml:space="preserve">d_ai 12pt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，依 </t>
    </r>
    <r>
      <rPr>
        <sz val="11"/>
        <rFont val="Cambria"/>
        <family val="0"/>
        <charset val="1"/>
      </rPr>
      <t xml:space="preserve">2Q26 </t>
    </r>
    <r>
      <rPr>
        <sz val="11"/>
        <rFont val="Noto Sans CJK SC"/>
        <family val="2"/>
      </rPr>
      <t xml:space="preserve">雲端部門營益率約 </t>
    </r>
    <r>
      <rPr>
        <sz val="11"/>
        <rFont val="Cambria"/>
        <family val="0"/>
        <charset val="1"/>
      </rPr>
      <t xml:space="preserve">24% vs </t>
    </r>
    <r>
      <rPr>
        <sz val="11"/>
        <rFont val="Noto Sans CJK SC"/>
        <family val="2"/>
      </rPr>
      <t xml:space="preserve">其他約 </t>
    </r>
    <r>
      <rPr>
        <sz val="11"/>
        <rFont val="Cambria"/>
        <family val="0"/>
        <charset val="1"/>
      </rPr>
      <t xml:space="preserve">5–6%</t>
    </r>
    <r>
      <rPr>
        <sz val="11"/>
        <rFont val="Noto Sans CJK SC"/>
        <family val="2"/>
      </rPr>
      <t xml:space="preserve">），其他毛利率為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）；另加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毛利率額外改善（情境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高、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低）。營業費用：彈性 </t>
    </r>
    <r>
      <rPr>
        <sz val="11"/>
        <rFont val="Cambria"/>
        <family val="0"/>
        <charset val="1"/>
      </rPr>
      <t xml:space="preserve">phi 0.7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稅前 </t>
    </r>
    <r>
      <rPr>
        <sz val="11"/>
        <rFont val="Cambria"/>
        <family val="0"/>
        <charset val="1"/>
      </rPr>
      <t xml:space="preserve">0.76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</si>
  <si>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財報＋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月營收實績（</t>
    </r>
    <r>
      <rPr>
        <sz val="11"/>
        <rFont val="Cambria"/>
        <family val="0"/>
        <charset val="1"/>
      </rPr>
      <t xml:space="preserve">1–9 </t>
    </r>
    <r>
      <rPr>
        <sz val="11"/>
        <rFont val="Noto Sans CJK SC"/>
        <family val="2"/>
      </rPr>
      <t xml:space="preserve">月累計 − </t>
    </r>
    <r>
      <rPr>
        <sz val="11"/>
        <rFont val="Cambria"/>
        <family val="0"/>
        <charset val="1"/>
      </rPr>
      <t xml:space="preserve">1H26</t>
    </r>
    <r>
      <rPr>
        <sz val="11"/>
        <rFont val="Noto Sans CJK SC"/>
        <family val="2"/>
      </rPr>
      <t xml:space="preserve">）＋假設（</t>
    </r>
    <r>
      <rPr>
        <sz val="11"/>
        <rFont val="Cambria"/>
        <family val="0"/>
        <charset val="1"/>
      </rPr>
      <t xml:space="preserve">3Q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毛利率 </t>
    </r>
    <r>
      <rPr>
        <sz val="11"/>
        <rFont val="Cambria"/>
        <family val="0"/>
        <charset val="1"/>
      </rPr>
      <t xml:space="preserve">26%</t>
    </r>
    <r>
      <rPr>
        <sz val="11"/>
        <rFont val="Noto Sans CJK SC"/>
        <family val="2"/>
      </rPr>
      <t xml:space="preserve">、營業費用率 </t>
    </r>
    <r>
      <rPr>
        <sz val="11"/>
        <rFont val="Cambria"/>
        <family val="0"/>
        <charset val="1"/>
      </rPr>
      <t xml:space="preserve">11.8%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季增 </t>
    </r>
    <r>
      <rPr>
        <sz val="11"/>
        <rFont val="Cambria"/>
        <family val="0"/>
        <charset val="1"/>
      </rPr>
      <t xml:space="preserve">3%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財報與法說預計 </t>
    </r>
    <r>
      <rPr>
        <sz val="11"/>
        <rFont val="Cambria"/>
        <family val="0"/>
        <charset val="1"/>
      </rPr>
      <t xml:space="preserve">2026-10-30 </t>
    </r>
    <r>
      <rPr>
        <sz val="11"/>
        <rFont val="Noto Sans CJK SC"/>
        <family val="2"/>
      </rPr>
      <t xml:space="preserve">前後，截至 </t>
    </r>
    <r>
      <rPr>
        <sz val="11"/>
        <rFont val="Cambria"/>
        <family val="0"/>
        <charset val="1"/>
      </rPr>
      <t xml:space="preserve">2026-10-25 </t>
    </r>
    <r>
      <rPr>
        <sz val="11"/>
        <rFont val="Noto Sans CJK SC"/>
        <family val="2"/>
      </rPr>
      <t xml:space="preserve">尚未公布。不用券商數字（只在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</si>
  <si>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，負值取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目標價（台達電、</t>
    </r>
    <r>
      <rPr>
        <sz val="11"/>
        <rFont val="Cambria"/>
        <family val="0"/>
        <charset val="1"/>
      </rPr>
      <t xml:space="preserve">Vertiv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Eaton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Flex </t>
    </r>
    <r>
      <rPr>
        <sz val="11"/>
        <rFont val="Noto Sans CJK SC"/>
        <family val="2"/>
      </rPr>
      <t xml:space="preserve">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；不放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單獨目標價、市場共識目標價與差距拆解。十年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 </t>
    </r>
    <r>
      <rPr>
        <sz val="11"/>
        <rFont val="Cambria"/>
        <family val="0"/>
        <charset val="1"/>
      </rPr>
      <t xml:space="preserve">× FY2027 EPS </t>
    </r>
    <r>
      <rPr>
        <sz val="11"/>
        <rFont val="Noto Sans CJK SC"/>
        <family val="2"/>
      </rPr>
      <t xml:space="preserve">保留為參考（不是目標價）。本版未做先驗，無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</si>
  <si>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預估期間：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起為收斂法，非驅動因子推導（營收年增由 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線性收斂到 </t>
    </r>
    <r>
      <rPr>
        <sz val="11"/>
        <rFont val="Cambria"/>
        <family val="0"/>
        <charset val="1"/>
      </rPr>
      <t xml:space="preserve">fade_g</t>
    </r>
    <r>
      <rPr>
        <sz val="11"/>
        <rFont val="Noto Sans CJK SC"/>
        <family val="2"/>
      </rPr>
      <t xml:space="preserve">、淨利率收斂到 </t>
    </r>
    <r>
      <rPr>
        <sz val="11"/>
        <rFont val="Cambria"/>
        <family val="0"/>
        <charset val="1"/>
      </rPr>
      <t xml:space="preserve">fade_m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FY2032 </t>
    </r>
    <r>
      <rPr>
        <sz val="11"/>
        <rFont val="Noto Sans CJK SC"/>
        <family val="2"/>
      </rPr>
      <t xml:space="preserve">達到；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頁灰底）。十年平均淨利率 </t>
    </r>
    <r>
      <rPr>
        <sz val="11"/>
        <rFont val="Cambria"/>
        <family val="0"/>
        <charset val="1"/>
      </rPr>
      <t xml:space="preserve">6.5%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wearn 2016–2025</t>
    </r>
    <r>
      <rPr>
        <sz val="11"/>
        <rFont val="Noto Sans CJK SC"/>
        <family val="2"/>
      </rPr>
      <t xml:space="preserve">，單一來源）。</t>
    </r>
  </si>
  <si>
    <r>
      <rPr>
        <sz val="11"/>
        <rFont val="Noto Sans CJK SC"/>
        <family val="2"/>
      </rPr>
      <t xml:space="preserve">情境與行業一致：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＝順利（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顆數係數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、份額相對值與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毛利率額外改善取高值）；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＝平平（係數 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、取基準）；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＝不如預期（係數 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、取低值）；每 </t>
    </r>
    <r>
      <rPr>
        <sz val="11"/>
        <rFont val="Cambria"/>
        <family val="0"/>
        <charset val="1"/>
      </rPr>
      <t xml:space="preserve">kW </t>
    </r>
    <r>
      <rPr>
        <sz val="11"/>
        <rFont val="Noto Sans CJK SC"/>
        <family val="2"/>
      </rPr>
      <t xml:space="preserve">電源內容（台達電模型）與非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成長各情境相同。</t>
    </r>
  </si>
  <si>
    <r>
      <rPr>
        <sz val="11"/>
        <rFont val="Noto Sans CJK SC"/>
        <family val="2"/>
      </rPr>
      <t xml:space="preserve">份額合計：光寶與台達電讀同一個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電源市場。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光寶有效份額約一成八、台達電模型約五成八，合計約七成六；之後台達電模型份額逐年下降（光寶、</t>
    </r>
    <r>
      <rPr>
        <sz val="11"/>
        <rFont val="Cambria"/>
        <family val="0"/>
        <charset val="1"/>
      </rPr>
      <t xml:space="preserve">Flex </t>
    </r>
    <r>
      <rPr>
        <sz val="11"/>
        <rFont val="Noto Sans CJK SC"/>
        <family val="2"/>
      </rPr>
      <t xml:space="preserve">追趕），光寶情境 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持平、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上升、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下降，</t>
    </r>
    <r>
      <rPr>
        <sz val="11"/>
        <rFont val="Cambria"/>
        <family val="0"/>
        <charset val="1"/>
      </rPr>
      <t xml:space="preserve">CY2029 </t>
    </r>
    <r>
      <rPr>
        <sz val="11"/>
        <rFont val="Noto Sans CJK SC"/>
        <family val="2"/>
      </rPr>
      <t xml:space="preserve">合計約六成三（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）到七成二（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）（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頁、</t>
    </r>
    <r>
      <rPr>
        <sz val="11"/>
        <rFont val="Cambria"/>
        <family val="0"/>
        <charset val="1"/>
      </rPr>
      <t xml:space="preserve">Recon B </t>
    </r>
    <r>
      <rPr>
        <sz val="11"/>
        <rFont val="Noto Sans CJK SC"/>
        <family val="2"/>
      </rPr>
      <t xml:space="preserve">節）。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</si>
  <si>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未使用。公司數字取自財報與月營收（經資料商與媒體轉述）；券商與資料商為 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</si>
  <si>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AI </t>
    </r>
    <r>
      <rPr>
        <sz val="11"/>
        <rFont val="Noto Sans CJK SC"/>
        <family val="2"/>
      </rPr>
      <t xml:space="preserve">相關營收只有公司年度占比（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年超過 </t>
    </r>
    <r>
      <rPr>
        <sz val="11"/>
        <rFont val="Cambria"/>
        <family val="0"/>
        <charset val="1"/>
      </rPr>
      <t xml:space="preserve">20%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年超過 </t>
    </r>
    <r>
      <rPr>
        <sz val="11"/>
        <rFont val="Cambria"/>
        <family val="0"/>
        <charset val="1"/>
      </rPr>
      <t xml:space="preserve">30%</t>
    </r>
    <r>
      <rPr>
        <sz val="11"/>
        <rFont val="Noto Sans CJK SC"/>
        <family val="2"/>
      </rPr>
      <t xml:space="preserve">），季度金額未揭露；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份額相對值與非電源占比為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kW </t>
    </r>
    <r>
      <rPr>
        <sz val="11"/>
        <rFont val="Noto Sans CJK SC"/>
        <family val="2"/>
      </rPr>
      <t xml:space="preserve">內容沿用台達電模型（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部門別毛利率未揭露，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毛利率差距由部門營益率推估；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未建資本支出與折舊（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年約 </t>
    </r>
    <r>
      <rPr>
        <sz val="11"/>
        <rFont val="Cambria"/>
        <family val="0"/>
        <charset val="1"/>
      </rPr>
      <t xml:space="preserve">180 </t>
    </r>
    <r>
      <rPr>
        <sz val="11"/>
        <rFont val="Noto Sans CJK SC"/>
        <family val="2"/>
      </rPr>
      <t xml:space="preserve">億），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現金流可能偏高估；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只有一個採用來源，</t>
    </r>
    <r>
      <rPr>
        <sz val="11"/>
        <rFont val="Cambria"/>
        <family val="0"/>
        <charset val="1"/>
      </rPr>
      <t xml:space="preserve">2016–2022 </t>
    </r>
    <r>
      <rPr>
        <sz val="11"/>
        <rFont val="Noto Sans CJK SC"/>
        <family val="2"/>
      </rPr>
      <t xml:space="preserve">年為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前低倍數；</t>
    </r>
    <r>
      <rPr>
        <sz val="11"/>
        <rFont val="Cambria"/>
        <family val="0"/>
        <charset val="1"/>
      </rPr>
      <t xml:space="preserve">(7) Comparable </t>
    </r>
    <r>
      <rPr>
        <sz val="11"/>
        <rFont val="Noto Sans CJK SC"/>
        <family val="2"/>
      </rPr>
      <t xml:space="preserve">同業（台達電、</t>
    </r>
    <r>
      <rPr>
        <sz val="11"/>
        <rFont val="Cambria"/>
        <family val="0"/>
        <charset val="1"/>
      </rPr>
      <t xml:space="preserve">Vertiv</t>
    </r>
    <r>
      <rPr>
        <sz val="11"/>
        <rFont val="Noto Sans CJK SC"/>
        <family val="2"/>
      </rPr>
      <t xml:space="preserve">）倍數高於光寶歷史；</t>
    </r>
    <r>
      <rPr>
        <sz val="11"/>
        <rFont val="Cambria"/>
        <family val="0"/>
        <charset val="1"/>
      </rPr>
      <t xml:space="preserve">(8) FY2027 </t>
    </r>
    <r>
      <rPr>
        <sz val="11"/>
        <rFont val="Noto Sans CJK SC"/>
        <family val="2"/>
      </rPr>
      <t xml:space="preserve">起共識只有 </t>
    </r>
    <r>
      <rPr>
        <sz val="11"/>
        <rFont val="Cambria"/>
        <family val="0"/>
        <charset val="1"/>
      </rPr>
      <t xml:space="preserve">MarketScreener </t>
    </r>
    <r>
      <rPr>
        <sz val="11"/>
        <rFont val="Noto Sans CJK SC"/>
        <family val="2"/>
      </rPr>
      <t xml:space="preserve">一個來源；</t>
    </r>
    <r>
      <rPr>
        <sz val="11"/>
        <rFont val="Cambria"/>
        <family val="0"/>
        <charset val="1"/>
      </rPr>
      <t xml:space="preserve">(9) 3Q26 </t>
    </r>
    <r>
      <rPr>
        <sz val="11"/>
        <rFont val="Noto Sans CJK SC"/>
        <family val="2"/>
      </rPr>
      <t xml:space="preserve">財報後更新錨點；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</si>
  <si>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電源市場與每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內容為美元；比例：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</si>
  <si>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未使用。公司原文＝光寶科財報與法說會（經媒體、資料商轉述）、月營收公告；公司的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占比、產品時程說法為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；券商與媒體估計皆為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</si>
  <si>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</si>
  <si>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</si>
  <si>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</si>
  <si>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</si>
  <si>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</si>
  <si>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</si>
  <si>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</si>
  <si>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</si>
  <si>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</si>
  <si>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部署規模（讀 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markets/chip_bridge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依同字母顆數係數縮放）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</si>
  <si>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</si>
  <si>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</si>
  <si>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</si>
  <si>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</si>
  <si>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</si>
  <si>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）；本模型以此除以每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資本支出得到部署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（與台達電模型相同）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</si>
  <si>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</si>
  <si>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</si>
  <si>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</si>
  <si>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</si>
  <si>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</si>
  <si>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</si>
  <si>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</si>
  <si>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itpg_gb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</si>
  <si>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</si>
  <si>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</si>
  <si>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（經橋接表；唯讀）</t>
    </r>
  </si>
  <si>
    <t xml:space="preserve">itpg_vr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</si>
  <si>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</si>
  <si>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機架未另訂（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：同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</si>
  <si>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</si>
  <si>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資本支出用）</t>
    </r>
  </si>
  <si>
    <t xml:space="preserve">%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</si>
  <si>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</si>
  <si>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；與台達電模型相同）</t>
    </r>
  </si>
  <si>
    <t xml:space="preserve">—</t>
  </si>
  <si>
    <t xml:space="preserve">racks_vr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</si>
  <si>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</si>
  <si>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架</t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</si>
  <si>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</si>
  <si>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頁每架內容換算用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</si>
  <si>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</si>
  <si>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</si>
  <si>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</si>
  <si>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</si>
  <si>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</si>
  <si>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＝順利（基準）；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＝不如預期；與台積電、台達電模型相同（＝</t>
    </r>
    <r>
      <rPr>
        <sz val="11"/>
        <color theme="1"/>
        <rFont val="Calibri"/>
        <family val="2"/>
        <charset val="1"/>
      </rPr>
      <t xml:space="preserve">markets/memory SCEN_UNITS</t>
    </r>
    <r>
      <rPr>
        <sz val="11"/>
        <color theme="1"/>
        <rFont val="Noto Sans CJK SC"/>
        <family val="2"/>
      </rPr>
      <t xml:space="preserve">，建置時核對）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</si>
  <si>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</si>
  <si>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</si>
  <si>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</si>
  <si>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</si>
  <si>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</si>
  <si>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</si>
  <si>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</si>
  <si>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</si>
  <si>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</si>
  <si>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</si>
  <si>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</si>
  <si>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</si>
  <si>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</si>
  <si>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</si>
  <si>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</si>
  <si>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fx</t>
  </si>
  <si>
    <r>
      <rPr>
        <sz val="11"/>
        <color theme="1"/>
        <rFont val="Noto Sans CJK SC"/>
        <family val="2"/>
      </rPr>
      <t xml:space="preserve">匯率（新台幣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</t>
    </r>
  </si>
  <si>
    <t xml:space="preserve">NT$/US$</t>
  </si>
  <si>
    <r>
      <rPr>
        <sz val="11"/>
        <color theme="1"/>
        <rFont val="Calibri"/>
        <family val="2"/>
        <charset val="1"/>
      </rPr>
      <t xml:space="preserve">delta/dist/20261025_</t>
    </r>
    <r>
      <rPr>
        <sz val="11"/>
        <color theme="1"/>
        <rFont val="Noto Sans CJK SC"/>
        <family val="2"/>
      </rPr>
      <t xml:space="preserve">台達電模型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In!D20:F20</t>
    </r>
  </si>
  <si>
    <r>
      <rPr>
        <sz val="11"/>
        <color theme="1"/>
        <rFont val="Noto Sans CJK SC"/>
        <family val="2"/>
      </rPr>
      <t xml:space="preserve">與台達電模型相同（唯讀）；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</si>
  <si>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r>
      <rPr>
        <b val="true"/>
        <sz val="11"/>
        <rFont val="Cambria"/>
        <family val="0"/>
        <charset val="1"/>
      </rPr>
      <t xml:space="preserve">B. AI </t>
    </r>
    <r>
      <rPr>
        <b val="true"/>
        <sz val="11"/>
        <rFont val="Noto Sans CJK SC"/>
        <family val="2"/>
      </rPr>
      <t xml:space="preserve">電源內容（口徑與台達電一致：唯讀 </t>
    </r>
    <r>
      <rPr>
        <b val="true"/>
        <sz val="11"/>
        <rFont val="Cambria"/>
        <family val="0"/>
        <charset val="1"/>
      </rPr>
      <t xml:space="preserve">delta/dist In </t>
    </r>
    <r>
      <rPr>
        <b val="true"/>
        <sz val="11"/>
        <rFont val="Noto Sans CJK SC"/>
        <family val="2"/>
      </rPr>
      <t xml:space="preserve">頁）與光寶份額</t>
    </r>
  </si>
  <si>
    <t xml:space="preserve">pkw_26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</si>
  <si>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（台達電模型）</t>
    </r>
  </si>
  <si>
    <t xml:space="preserve">US$/kW</t>
  </si>
  <si>
    <r>
      <rPr>
        <sz val="11"/>
        <color theme="1"/>
        <rFont val="Calibri"/>
        <family val="2"/>
        <charset val="1"/>
      </rPr>
      <t xml:space="preserve">delta/dist/20261025_</t>
    </r>
    <r>
      <rPr>
        <sz val="11"/>
        <color theme="1"/>
        <rFont val="Noto Sans CJK SC"/>
        <family val="2"/>
      </rPr>
      <t xml:space="preserve">台達電模型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In!D22:F22</t>
    </r>
  </si>
  <si>
    <r>
      <rPr>
        <sz val="11"/>
        <color theme="1"/>
        <rFont val="Noto Sans CJK SC"/>
        <family val="2"/>
      </rPr>
      <t xml:space="preserve">唯讀台達電模型成品（本專案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內容權威；含機架電源櫃、</t>
    </r>
    <r>
      <rPr>
        <sz val="11"/>
        <color theme="1"/>
        <rFont val="Calibri"/>
        <family val="2"/>
        <charset val="1"/>
      </rPr>
      <t xml:space="preserve">PSU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 </t>
    </r>
    <r>
      <rPr>
        <sz val="11"/>
        <color theme="1"/>
        <rFont val="Noto Sans CJK SC"/>
        <family val="2"/>
      </rPr>
      <t xml:space="preserve">電源櫃）</t>
    </r>
  </si>
  <si>
    <t xml:space="preserve">pkw_27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</si>
  <si>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）（台達電模型）</t>
    </r>
  </si>
  <si>
    <r>
      <rPr>
        <sz val="11"/>
        <color theme="1"/>
        <rFont val="Calibri"/>
        <family val="2"/>
        <charset val="1"/>
      </rPr>
      <t xml:space="preserve">delta/dist/20261025_</t>
    </r>
    <r>
      <rPr>
        <sz val="11"/>
        <color theme="1"/>
        <rFont val="Noto Sans CJK SC"/>
        <family val="2"/>
      </rPr>
      <t xml:space="preserve">台達電模型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In!D23:F23</t>
    </r>
  </si>
  <si>
    <r>
      <rPr>
        <sz val="11"/>
        <color theme="1"/>
        <rFont val="Noto Sans CJK SC"/>
        <family val="2"/>
      </rPr>
      <t xml:space="preserve">同上；低／高亦取自台達電模型（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</si>
  <si>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t xml:space="preserve">pkw_28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</si>
  <si>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800V HVDC </t>
    </r>
    <r>
      <rPr>
        <sz val="11"/>
        <color theme="1"/>
        <rFont val="Noto Sans CJK SC"/>
        <family val="2"/>
      </rPr>
      <t xml:space="preserve">放量）（台達電模型）</t>
    </r>
  </si>
  <si>
    <r>
      <rPr>
        <sz val="11"/>
        <color theme="1"/>
        <rFont val="Calibri"/>
        <family val="2"/>
        <charset val="1"/>
      </rPr>
      <t xml:space="preserve">delta/dist/20261025_</t>
    </r>
    <r>
      <rPr>
        <sz val="11"/>
        <color theme="1"/>
        <rFont val="Noto Sans CJK SC"/>
        <family val="2"/>
      </rPr>
      <t xml:space="preserve">台達電模型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In!D24:F24</t>
    </r>
  </si>
  <si>
    <t xml:space="preserve">pkw_29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</si>
  <si>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（台達電模型）</t>
    </r>
  </si>
  <si>
    <r>
      <rPr>
        <sz val="11"/>
        <color theme="1"/>
        <rFont val="Calibri"/>
        <family val="2"/>
        <charset val="1"/>
      </rPr>
      <t xml:space="preserve">delta/dist/20261025_</t>
    </r>
    <r>
      <rPr>
        <sz val="11"/>
        <color theme="1"/>
        <rFont val="Noto Sans CJK SC"/>
        <family val="2"/>
      </rPr>
      <t xml:space="preserve">台達電模型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In!D25:F25</t>
    </r>
  </si>
  <si>
    <t xml:space="preserve">x_np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</si>
  <si>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相關營收中非電源部分（液冷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Sidecar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光電等）占比</t>
    </r>
  </si>
  <si>
    <r>
      <rPr>
        <sz val="11"/>
        <color theme="1"/>
        <rFont val="Noto Sans CJK SC"/>
        <family val="2"/>
      </rPr>
      <t xml:space="preserve">公司：液冷 </t>
    </r>
    <r>
      <rPr>
        <sz val="11"/>
        <color theme="1"/>
        <rFont val="Calibri"/>
        <family val="2"/>
        <charset val="1"/>
      </rPr>
      <t xml:space="preserve">120kW CDU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Sidecar 2Q26 </t>
    </r>
    <r>
      <rPr>
        <sz val="11"/>
        <color theme="1"/>
        <rFont val="Noto Sans CJK SC"/>
        <family val="2"/>
      </rPr>
      <t xml:space="preserve">起出貨（富果 </t>
    </r>
    <r>
      <rPr>
        <sz val="11"/>
        <color theme="1"/>
        <rFont val="Calibri"/>
        <family val="2"/>
        <charset val="1"/>
      </rPr>
      <t xml:space="preserve">2026-07-31 </t>
    </r>
    <r>
      <rPr>
        <sz val="11"/>
        <color theme="1"/>
        <rFont val="Noto Sans CJK SC"/>
        <family val="2"/>
      </rPr>
      <t xml:space="preserve">法說摘要）；凱基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：光寶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年液冷營收目標約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</si>
  <si>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只影響份額（分子）與光寶＋台達電份額合計，不影響營收（非電源部分隨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電源同比例成長，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</si>
  <si>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rel_27</t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</si>
  <si>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</si>
  <si>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伺服器電源市占約 </t>
    </r>
    <r>
      <rPr>
        <sz val="11"/>
        <color theme="1"/>
        <rFont val="Calibri"/>
        <family val="2"/>
        <charset val="1"/>
      </rPr>
      <t xml:space="preserve">60–65%</t>
    </r>
    <r>
      <rPr>
        <sz val="11"/>
        <color theme="1"/>
        <rFont val="Noto Sans CJK SC"/>
        <family val="2"/>
      </rPr>
      <t xml:space="preserve">、長期略降；光寶為第二梯隊，新增美系雲端客戶，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BBU 4Q25 </t>
    </r>
    <r>
      <rPr>
        <sz val="11"/>
        <color theme="1"/>
        <rFont val="Noto Sans CJK SC"/>
        <family val="2"/>
      </rPr>
      <t xml:space="preserve">出貨（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</si>
  <si>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800V HVDC Power Rack 2026-11 </t>
    </r>
    <r>
      <rPr>
        <sz val="11"/>
        <color theme="1"/>
        <rFont val="Noto Sans CJK SC"/>
        <family val="2"/>
      </rPr>
      <t xml:space="preserve">小量、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放量；</t>
    </r>
    <r>
      <rPr>
        <sz val="11"/>
        <color theme="1"/>
        <rFont val="Calibri"/>
        <family val="2"/>
        <charset val="1"/>
      </rPr>
      <t xml:space="preserve">110kW Power Shelf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 </t>
    </r>
    <r>
      <rPr>
        <sz val="11"/>
        <color theme="1"/>
        <rFont val="Noto Sans CJK SC"/>
        <family val="2"/>
      </rPr>
      <t xml:space="preserve">驗證量產；新 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Noto Sans CJK SC"/>
        <family val="2"/>
      </rPr>
      <t xml:space="preserve">客戶長期目標每家每年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億美元（富果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</t>
    </r>
  </si>
  <si>
    <t xml:space="preserve">rel_28</t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</si>
  <si>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</si>
  <si>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rel_29</t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</si>
  <si>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</si>
  <si>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營收結構錨點（公司揭露比例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營收）</t>
    </r>
  </si>
  <si>
    <t xml:space="preserve">ai_25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</si>
  <si>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</si>
  <si>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https://uanalyze.com.tw/articles/1580848095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相關營收超過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（公司，達標）</t>
    </r>
  </si>
  <si>
    <r>
      <rPr>
        <sz val="11"/>
        <color theme="1"/>
        <rFont val="Calibri"/>
        <family val="2"/>
        <charset val="1"/>
      </rPr>
      <t xml:space="preserve">https://blog.fugle.tw/post/earnings-call-2301-2026-02-25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占比超過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；雲端與物聯網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、光電 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、資訊與消費電子 </t>
    </r>
    <r>
      <rPr>
        <sz val="11"/>
        <color theme="1"/>
        <rFont val="Calibri"/>
        <family val="2"/>
        <charset val="1"/>
      </rPr>
      <t xml:space="preserve">38%</t>
    </r>
  </si>
  <si>
    <t xml:space="preserve">ai_26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</si>
  <si>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</si>
  <si>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https://blog.fugle.tw/post/earnings-call-2301-2026-07-31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相關產品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年超過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（公司）；</t>
    </r>
    <r>
      <rPr>
        <sz val="11"/>
        <color theme="1"/>
        <rFont val="Calibri"/>
        <family val="2"/>
        <charset val="1"/>
      </rPr>
      <t xml:space="preserve">BBU </t>
    </r>
    <r>
      <rPr>
        <sz val="11"/>
        <color theme="1"/>
        <rFont val="Noto Sans CJK SC"/>
        <family val="2"/>
      </rPr>
      <t xml:space="preserve">約占雲端營收 </t>
    </r>
    <r>
      <rPr>
        <sz val="11"/>
        <color theme="1"/>
        <rFont val="Calibri"/>
        <family val="2"/>
        <charset val="1"/>
      </rPr>
      <t xml:space="preserve">20–25%</t>
    </r>
  </si>
  <si>
    <r>
      <rPr>
        <sz val="11"/>
        <color theme="1"/>
        <rFont val="Calibri"/>
        <family val="2"/>
        <charset val="1"/>
      </rPr>
      <t xml:space="preserve">https://blog.fugle.tw/post/earnings-call-2301-2026-02-25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年目標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以上、長期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以上</t>
    </r>
  </si>
  <si>
    <t xml:space="preserve">g_nai27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</si>
  <si>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（一般雲端電源、光電、資訊與消費電子、車用）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</si>
  <si>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指引：資訊產品 −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、手機 −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（記憶體短缺）；工控、標準電源、邊緣運算擴充（富果 </t>
    </r>
    <r>
      <rPr>
        <sz val="11"/>
        <color theme="1"/>
        <rFont val="Calibri"/>
        <family val="2"/>
        <charset val="1"/>
      </rPr>
      <t xml:space="preserve">2026-02-25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</si>
  <si>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由錨點反推（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Denselight</t>
    </r>
    <r>
      <rPr>
        <sz val="11"/>
        <color theme="1"/>
        <rFont val="Noto Sans CJK SC"/>
        <family val="2"/>
      </rPr>
      <t xml:space="preserve">（新加坡 </t>
    </r>
    <r>
      <rPr>
        <sz val="11"/>
        <color theme="1"/>
        <rFont val="Calibri"/>
        <family val="2"/>
        <charset val="1"/>
      </rPr>
      <t xml:space="preserve">InP</t>
    </r>
    <r>
      <rPr>
        <sz val="11"/>
        <color theme="1"/>
        <rFont val="Noto Sans CJK SC"/>
        <family val="2"/>
      </rPr>
      <t xml:space="preserve">，持股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年貢獻未計入（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：不另計）</t>
    </r>
  </si>
  <si>
    <t xml:space="preserve">g_nai28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</si>
  <si>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（一般雲端電源、光電、資訊與消費電子、車用）</t>
    </r>
  </si>
  <si>
    <t xml:space="preserve">g_nai29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</si>
  <si>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（一般雲端電源、光電、資訊與消費電子、車用）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</si>
  <si>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毛利率</t>
    </r>
  </si>
  <si>
    <t xml:space="preserve">d_ai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</si>
  <si>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相關毛利率高於其他營收的幅度</t>
    </r>
  </si>
  <si>
    <t xml:space="preserve">pt</t>
  </si>
  <si>
    <r>
      <rPr>
        <sz val="11"/>
        <color theme="1"/>
        <rFont val="Calibri"/>
        <family val="2"/>
        <charset val="1"/>
      </rPr>
      <t xml:space="preserve">https://uanalyze.com.tw/articles/3402052563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雲端與物聯網營收 </t>
    </r>
    <r>
      <rPr>
        <sz val="11"/>
        <color theme="1"/>
        <rFont val="Calibri"/>
        <family val="2"/>
        <charset val="1"/>
      </rPr>
      <t xml:space="preserve">288.9 </t>
    </r>
    <r>
      <rPr>
        <sz val="11"/>
        <color theme="1"/>
        <rFont val="Noto Sans CJK SC"/>
        <family val="2"/>
      </rPr>
      <t xml:space="preserve">億、營業利益 </t>
    </r>
    <r>
      <rPr>
        <sz val="11"/>
        <color theme="1"/>
        <rFont val="Calibri"/>
        <family val="2"/>
        <charset val="1"/>
      </rPr>
      <t xml:space="preserve">69 </t>
    </r>
    <r>
      <rPr>
        <sz val="11"/>
        <color theme="1"/>
        <rFont val="Noto Sans CJK SC"/>
        <family val="2"/>
      </rPr>
      <t xml:space="preserve">億（營益率約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15.6%</t>
    </r>
    <r>
      <rPr>
        <sz val="11"/>
        <color theme="1"/>
        <rFont val="Noto Sans CJK SC"/>
        <family val="2"/>
      </rPr>
      <t xml:space="preserve">；其他部門合計約 </t>
    </r>
    <r>
      <rPr>
        <sz val="11"/>
        <color theme="1"/>
        <rFont val="Calibri"/>
        <family val="2"/>
        <charset val="1"/>
      </rPr>
      <t xml:space="preserve">5–6%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</si>
  <si>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部門別毛利率未揭露：未找到；毛利率 </t>
    </r>
    <r>
      <rPr>
        <sz val="11"/>
        <color theme="1"/>
        <rFont val="Calibri"/>
        <family val="2"/>
        <charset val="1"/>
      </rPr>
      <t xml:space="preserve">FY2025 22.9% → 2Q26 27.2%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占比上升）</t>
    </r>
  </si>
  <si>
    <t xml:space="preserve">gmu_27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</si>
  <si>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相關毛利率額外改善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電源櫃、組合；情境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</si>
  <si>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年毛利率目標約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（富果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800V HVDC </t>
    </r>
    <r>
      <rPr>
        <sz val="11"/>
        <color theme="1"/>
        <rFont val="Noto Sans CJK SC"/>
        <family val="2"/>
      </rPr>
      <t xml:space="preserve">電源櫃與 </t>
    </r>
    <r>
      <rPr>
        <sz val="11"/>
        <color theme="1"/>
        <rFont val="Calibri"/>
        <family val="2"/>
        <charset val="1"/>
      </rPr>
      <t xml:space="preserve">110kW Power Shelf 2027 </t>
    </r>
    <r>
      <rPr>
        <sz val="11"/>
        <color theme="1"/>
        <rFont val="Noto Sans CJK SC"/>
        <family val="2"/>
      </rPr>
      <t xml:space="preserve">放量（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</si>
  <si>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下檔：零組件漲價、新廠（高雄二期、越南、德州）爬坡</t>
  </si>
  <si>
    <t xml:space="preserve">gmu_28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</si>
  <si>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相關毛利率額外改善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電源櫃、組合；情境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</si>
  <si>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gmu_29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</si>
  <si>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相關毛利率額外改善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電源櫃、組合；情境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</si>
  <si>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財報＋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月營收實績＋假設；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財報與法說預計 </t>
    </r>
    <r>
      <rPr>
        <b val="true"/>
        <sz val="11"/>
        <rFont val="Cambria"/>
        <family val="0"/>
        <charset val="1"/>
      </rPr>
      <t xml:space="preserve">2026-10-30 </t>
    </r>
    <r>
      <rPr>
        <b val="true"/>
        <sz val="11"/>
        <rFont val="Noto Sans CJK SC"/>
        <family val="2"/>
      </rPr>
      <t xml:space="preserve">前後，截至 </t>
    </r>
    <r>
      <rPr>
        <b val="true"/>
        <sz val="11"/>
        <rFont val="Cambria"/>
        <family val="0"/>
        <charset val="1"/>
      </rPr>
      <t xml:space="preserve">2026-10-25 </t>
    </r>
    <r>
      <rPr>
        <b val="true"/>
        <sz val="11"/>
        <rFont val="Noto Sans CJK SC"/>
        <family val="2"/>
      </rPr>
      <t xml:space="preserve">尚未公布）</t>
    </r>
  </si>
  <si>
    <t xml:space="preserve">ytd9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</si>
  <si>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1–9 </t>
    </r>
    <r>
      <rPr>
        <sz val="11"/>
        <color theme="1"/>
        <rFont val="Noto Sans CJK SC"/>
        <family val="2"/>
      </rPr>
      <t xml:space="preserve">月營收（月營收累計，實績）</t>
    </r>
  </si>
  <si>
    <t xml:space="preserve">NT$B</t>
  </si>
  <si>
    <t xml:space="preserve">Verified</t>
  </si>
  <si>
    <r>
      <rPr>
        <sz val="11"/>
        <color theme="1"/>
        <rFont val="Calibri"/>
        <family val="2"/>
        <charset val="1"/>
      </rPr>
      <t xml:space="preserve">https://finance.technews.tw/2026/10/08/ltc-2301-202609-financial-report/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188.48 </t>
    </r>
    <r>
      <rPr>
        <sz val="11"/>
        <color theme="1"/>
        <rFont val="Noto Sans CJK SC"/>
        <family val="2"/>
      </rPr>
      <t xml:space="preserve">億元、前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1,535.59 </t>
    </r>
    <r>
      <rPr>
        <sz val="11"/>
        <color theme="1"/>
        <rFont val="Noto Sans CJK SC"/>
        <family val="2"/>
      </rPr>
      <t xml:space="preserve">億元（年增 </t>
    </r>
    <r>
      <rPr>
        <sz val="11"/>
        <color theme="1"/>
        <rFont val="Calibri"/>
        <family val="2"/>
        <charset val="1"/>
      </rPr>
      <t xml:space="preserve">26.1%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</si>
  <si>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https://www.nstock.tw/2301?status=2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188.48 </t>
    </r>
    <r>
      <rPr>
        <sz val="11"/>
        <color theme="1"/>
        <rFont val="Noto Sans CJK SC"/>
        <family val="2"/>
      </rPr>
      <t xml:space="preserve">億、前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1,535.59 </t>
    </r>
    <r>
      <rPr>
        <sz val="11"/>
        <color theme="1"/>
        <rFont val="Noto Sans CJK SC"/>
        <family val="2"/>
      </rPr>
      <t xml:space="preserve">億（同值）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</si>
  <si>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</si>
  <si>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營收（＝</t>
    </r>
    <r>
      <rPr>
        <sz val="11"/>
        <color theme="1"/>
        <rFont val="Calibri"/>
        <family val="2"/>
        <charset val="1"/>
      </rPr>
      <t xml:space="preserve">1–9 </t>
    </r>
    <r>
      <rPr>
        <sz val="11"/>
        <color theme="1"/>
        <rFont val="Noto Sans CJK SC"/>
        <family val="2"/>
      </rPr>
      <t xml:space="preserve">月累計 − 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</si>
  <si>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961.1 </t>
    </r>
    <r>
      <rPr>
        <sz val="11"/>
        <color theme="1"/>
        <rFont val="Noto Sans CJK SC"/>
        <family val="2"/>
      </rPr>
      <t xml:space="preserve">億（優分析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</si>
  <si>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月個別營收：未找到</t>
    </r>
  </si>
  <si>
    <t xml:space="preserve">q4g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</si>
  <si>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</si>
  <si>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公司：下半年「非常樂觀」；</t>
    </r>
    <r>
      <rPr>
        <sz val="11"/>
        <color theme="1"/>
        <rFont val="Calibri"/>
        <family val="2"/>
        <charset val="1"/>
      </rPr>
      <t xml:space="preserve">800V HVDC </t>
    </r>
    <r>
      <rPr>
        <sz val="11"/>
        <color theme="1"/>
        <rFont val="Noto Sans CJK SC"/>
        <family val="2"/>
      </rPr>
      <t xml:space="preserve">電源櫃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月小量（富果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</si>
  <si>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月月減 </t>
    </r>
    <r>
      <rPr>
        <sz val="11"/>
        <color theme="1"/>
        <rFont val="Calibri"/>
        <family val="2"/>
        <charset val="1"/>
      </rPr>
      <t xml:space="preserve">3.8%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technews</t>
    </r>
    <r>
      <rPr>
        <sz val="11"/>
        <color theme="1"/>
        <rFont val="Noto Sans CJK SC"/>
        <family val="2"/>
      </rPr>
      <t xml:space="preserve">）；資訊與消費電子下半年與上半年持平；共識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2,198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，只作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</si>
  <si>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t xml:space="preserve">q_gm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</si>
  <si>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</si>
  <si>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1Q26 21.7%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27.2%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24.7%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、優分析）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</si>
  <si>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年毛利率目標約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（富果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</si>
  <si>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q_opx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</si>
  <si>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</si>
  <si>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1Q26 12.2%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11.7%</t>
    </r>
    <r>
      <rPr>
        <sz val="11"/>
        <color theme="1"/>
        <rFont val="Noto Sans CJK SC"/>
        <family val="2"/>
      </rPr>
      <t xml:space="preserve">（毛利 − 營業利益；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</si>
  <si>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FY2025 12.8%</t>
    </r>
    <r>
      <rPr>
        <sz val="11"/>
        <color theme="1"/>
        <rFont val="Noto Sans CJK SC"/>
        <family val="2"/>
      </rPr>
      <t xml:space="preserve">；研發約占營收 </t>
    </r>
    <r>
      <rPr>
        <sz val="11"/>
        <color theme="1"/>
        <rFont val="Calibri"/>
        <family val="2"/>
        <charset val="1"/>
      </rPr>
      <t xml:space="preserve">5–5.5%</t>
    </r>
    <r>
      <rPr>
        <sz val="11"/>
        <color theme="1"/>
        <rFont val="Noto Sans CJK SC"/>
        <family val="2"/>
      </rPr>
      <t xml:space="preserve">（富果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</t>
    </r>
  </si>
  <si>
    <t xml:space="preserve">q_nop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</si>
  <si>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營業外淨額（每季）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</si>
  <si>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稅前 − 營業利益＝約 </t>
    </r>
    <r>
      <rPr>
        <sz val="11"/>
        <color theme="1"/>
        <rFont val="Calibri"/>
        <family val="2"/>
        <charset val="1"/>
      </rPr>
      <t xml:space="preserve">20.4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稅前淨利率推算）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</si>
  <si>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29.7 </t>
    </r>
    <r>
      <rPr>
        <sz val="11"/>
        <color theme="1"/>
        <rFont val="Noto Sans CJK SC"/>
        <family val="2"/>
      </rPr>
      <t xml:space="preserve">億（同上）</t>
    </r>
  </si>
  <si>
    <t xml:space="preserve">q_nir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</si>
  <si>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實績；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沿用）</t>
    </r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</si>
  <si>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：淨利 </t>
    </r>
    <r>
      <rPr>
        <sz val="11"/>
        <color theme="1"/>
        <rFont val="Calibri"/>
        <family val="2"/>
        <charset val="1"/>
      </rPr>
      <t xml:space="preserve">108.91 ÷ </t>
    </r>
    <r>
      <rPr>
        <sz val="11"/>
        <color theme="1"/>
        <rFont val="Noto Sans CJK SC"/>
        <family val="2"/>
      </rPr>
      <t xml:space="preserve">稅前約 </t>
    </r>
    <r>
      <rPr>
        <sz val="11"/>
        <color theme="1"/>
        <rFont val="Calibri"/>
        <family val="2"/>
        <charset val="1"/>
      </rPr>
      <t xml:space="preserve">143.41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季度淨利、稅前淨利率推算）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</si>
  <si>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151.16 ÷ 197.1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0.767</t>
    </r>
    <r>
      <rPr>
        <sz val="11"/>
        <color theme="1"/>
        <rFont val="Noto Sans CJK SC"/>
        <family val="2"/>
      </rPr>
      <t xml:space="preserve">（同上）</t>
    </r>
  </si>
  <si>
    <t xml:space="preserve">q_sh</t>
  </si>
  <si>
    <r>
      <rPr>
        <sz val="11"/>
        <color theme="1"/>
        <rFont val="Noto Sans CJK SC"/>
        <family val="2"/>
      </rPr>
      <t xml:space="preserve">股數（十億股；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換算）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</si>
  <si>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</si>
  <si>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108.91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EPS 4.80</t>
    </r>
    <r>
      <rPr>
        <sz val="11"/>
        <color theme="1"/>
        <rFont val="Noto Sans CJK SC"/>
        <family val="2"/>
      </rPr>
      <t xml:space="preserve">（優分析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</si>
  <si>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流通股數 </t>
    </r>
    <r>
      <rPr>
        <sz val="11"/>
        <color theme="1"/>
        <rFont val="Calibri"/>
        <family val="2"/>
        <charset val="1"/>
      </rPr>
      <t xml:space="preserve">22.7 </t>
    </r>
    <r>
      <rPr>
        <sz val="11"/>
        <color theme="1"/>
        <rFont val="Noto Sans CJK SC"/>
        <family val="2"/>
      </rPr>
      <t xml:space="preserve">億股（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</si>
  <si>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營業費用、業外、稅與股數（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</si>
  <si>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</si>
  <si>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</si>
  <si>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錨點實測約 </t>
    </r>
    <r>
      <rPr>
        <sz val="11"/>
        <color theme="1"/>
        <rFont val="Calibri"/>
        <family val="2"/>
        <charset val="1"/>
      </rPr>
      <t xml:space="preserve">0.65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</si>
  <si>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：營業費用 </t>
    </r>
    <r>
      <rPr>
        <sz val="11"/>
        <color theme="1"/>
        <rFont val="Calibri"/>
        <family val="2"/>
        <charset val="1"/>
      </rPr>
      <t xml:space="preserve">+17%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+21%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推算）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</si>
  <si>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</si>
  <si>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</si>
  <si>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</si>
  <si>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±1 </t>
    </r>
    <r>
      <rPr>
        <sz val="11"/>
        <color theme="1"/>
        <rFont val="Noto Sans CJK SC"/>
        <family val="2"/>
      </rPr>
      <t xml:space="preserve">個百分點</t>
    </r>
  </si>
  <si>
    <t xml:space="preserve">nop_f</t>
  </si>
  <si>
    <t xml:space="preserve">營業外淨額（每年）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</si>
  <si>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29.7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20.4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推算）</t>
    </r>
  </si>
  <si>
    <r>
      <rPr>
        <sz val="11"/>
        <color theme="1"/>
        <rFont val="Noto Sans CJK SC"/>
        <family val="2"/>
      </rPr>
      <t xml:space="preserve">含利息收入、投資收益；</t>
    </r>
    <r>
      <rPr>
        <sz val="11"/>
        <color theme="1"/>
        <rFont val="Calibri"/>
        <family val="2"/>
        <charset val="1"/>
      </rPr>
      <t xml:space="preserve">Denselight </t>
    </r>
    <r>
      <rPr>
        <sz val="11"/>
        <color theme="1"/>
        <rFont val="Noto Sans CJK SC"/>
        <family val="2"/>
      </rPr>
      <t xml:space="preserve">權益法損益未另計</t>
    </r>
  </si>
  <si>
    <t xml:space="preserve">nir_f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</si>
  <si>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</si>
  <si>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q_nir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 0.759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0.767</t>
    </r>
    <r>
      <rPr>
        <sz val="11"/>
        <color theme="1"/>
        <rFont val="Noto Sans CJK SC"/>
        <family val="2"/>
      </rPr>
      <t xml:space="preserve">）</t>
    </r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</si>
  <si>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</si>
  <si>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</si>
  <si>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推導 </t>
    </r>
    <r>
      <rPr>
        <sz val="11"/>
        <color theme="1"/>
        <rFont val="Calibri"/>
        <family val="2"/>
        <charset val="1"/>
      </rPr>
      <t xml:space="preserve">22.8 </t>
    </r>
    <r>
      <rPr>
        <sz val="11"/>
        <color theme="1"/>
        <rFont val="Noto Sans CJK SC"/>
        <family val="2"/>
      </rPr>
      <t xml:space="preserve">億股 → </t>
    </r>
    <r>
      <rPr>
        <sz val="11"/>
        <color theme="1"/>
        <rFont val="Calibri"/>
        <family val="2"/>
        <charset val="1"/>
      </rPr>
      <t xml:space="preserve">1H26 22.7 </t>
    </r>
    <r>
      <rPr>
        <sz val="11"/>
        <color theme="1"/>
        <rFont val="Noto Sans CJK SC"/>
        <family val="2"/>
      </rPr>
      <t xml:space="preserve">億股（淨利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）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</si>
  <si>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</si>
  <si>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</si>
  <si>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</t>
    </r>
  </si>
  <si>
    <t xml:space="preserve">±20%</t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</si>
  <si>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共識、券商與台達電模型（只作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</si>
  <si>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</si>
  <si>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</si>
  <si>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https://www.marketscreener.com/quote/stock/LITE-ON-TECHNOLOGY-CORPOR-6492334/valuation/</t>
    </r>
    <r>
      <rPr>
        <sz val="11"/>
        <color theme="1"/>
        <rFont val="Noto Sans CJK SC"/>
        <family val="2"/>
      </rPr>
      <t xml:space="preserve">（參考價 </t>
    </r>
    <r>
      <rPr>
        <sz val="11"/>
        <color theme="1"/>
        <rFont val="Calibri"/>
        <family val="2"/>
        <charset val="1"/>
      </rPr>
      <t xml:space="preserve">255.50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</si>
  <si>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FY2026 2,193 </t>
    </r>
    <r>
      <rPr>
        <sz val="11"/>
        <color theme="1"/>
        <rFont val="Noto Sans CJK SC"/>
        <family val="2"/>
      </rPr>
      <t xml:space="preserve">億（區間 </t>
    </r>
    <r>
      <rPr>
        <sz val="11"/>
        <color theme="1"/>
        <rFont val="Calibri"/>
        <family val="2"/>
        <charset val="1"/>
      </rPr>
      <t xml:space="preserve">2,101–2,297</t>
    </r>
    <r>
      <rPr>
        <sz val="11"/>
        <color theme="1"/>
        <rFont val="Noto Sans CJK SC"/>
        <family val="2"/>
      </rPr>
      <t xml:space="preserve">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</si>
  <si>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</si>
  <si>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</si>
  <si>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NT$</t>
  </si>
  <si>
    <t xml:space="preserve">https://www.marketscreener.com/quote/stock/LITE-ON-TECHNOLOGY-CORPOR-6492334/valuation/</t>
  </si>
  <si>
    <r>
      <rPr>
        <sz val="11"/>
        <color theme="1"/>
        <rFont val="Calibri"/>
        <family val="2"/>
        <charset val="1"/>
      </rPr>
      <t xml:space="preserve">stockanalysis FY2026 10.81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家，區間 </t>
    </r>
    <r>
      <rPr>
        <sz val="11"/>
        <color theme="1"/>
        <rFont val="Calibri"/>
        <family val="2"/>
        <charset val="1"/>
      </rPr>
      <t xml:space="preserve">10.06–11.79</t>
    </r>
    <r>
      <rPr>
        <sz val="11"/>
        <color theme="1"/>
        <rFont val="Noto Sans CJK SC"/>
        <family val="2"/>
      </rPr>
      <t xml:space="preserve">）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</si>
  <si>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</si>
  <si>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</si>
  <si>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</si>
  <si>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</si>
  <si>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以後第二來源：未找到</t>
    </r>
  </si>
  <si>
    <t xml:space="preserve">cons_rev28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</si>
  <si>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</si>
  <si>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</si>
  <si>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</si>
  <si>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d_sh26</t>
  </si>
  <si>
    <r>
      <rPr>
        <sz val="11"/>
        <color theme="1"/>
        <rFont val="Noto Sans CJK SC"/>
        <family val="2"/>
      </rPr>
      <t xml:space="preserve">台達電模型：台達電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</si>
  <si>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delta/dist/20261025_</t>
    </r>
    <r>
      <rPr>
        <sz val="11"/>
        <color theme="1"/>
        <rFont val="Noto Sans CJK SC"/>
        <family val="2"/>
      </rPr>
      <t xml:space="preserve">台達電模型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Units!C8:F8</t>
    </r>
  </si>
  <si>
    <t xml:space="preserve">唯讀台達電成品（三情境相同：份額相對值不隨情境變動）</t>
  </si>
  <si>
    <t xml:space="preserve">d_pmk26</t>
  </si>
  <si>
    <r>
      <rPr>
        <sz val="11"/>
        <color theme="1"/>
        <rFont val="Noto Sans CJK SC"/>
        <family val="2"/>
      </rPr>
      <t xml:space="preserve">台達電模型：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</si>
  <si>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delta/dist/20261025_</t>
    </r>
    <r>
      <rPr>
        <sz val="11"/>
        <color theme="1"/>
        <rFont val="Noto Sans CJK SC"/>
        <family val="2"/>
      </rPr>
      <t xml:space="preserve">台達電模型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Units!C7:F7</t>
    </r>
  </si>
  <si>
    <r>
      <rPr>
        <sz val="11"/>
        <color theme="1"/>
        <rFont val="Noto Sans CJK SC"/>
        <family val="2"/>
      </rPr>
      <t xml:space="preserve">唯讀台達電成品（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：與本模型情境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應相同）</t>
    </r>
  </si>
  <si>
    <t xml:space="preserve">d_aip26</t>
  </si>
  <si>
    <r>
      <rPr>
        <sz val="11"/>
        <color theme="1"/>
        <rFont val="Noto Sans CJK SC"/>
        <family val="2"/>
      </rPr>
      <t xml:space="preserve">台達電模型：台達電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</si>
  <si>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delta/dist/20261025_</t>
    </r>
    <r>
      <rPr>
        <sz val="11"/>
        <color theme="1"/>
        <rFont val="Noto Sans CJK SC"/>
        <family val="2"/>
      </rPr>
      <t xml:space="preserve">台達電模型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Units!C9:F9</t>
    </r>
  </si>
  <si>
    <t xml:space="preserve">唯讀台達電成品</t>
  </si>
  <si>
    <t xml:space="preserve">d_sh27</t>
  </si>
  <si>
    <r>
      <rPr>
        <sz val="11"/>
        <color theme="1"/>
        <rFont val="Noto Sans CJK SC"/>
        <family val="2"/>
      </rPr>
      <t xml:space="preserve">台達電模型：台達電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 </t>
    </r>
    <r>
      <rPr>
        <sz val="11"/>
        <color theme="1"/>
        <rFont val="Calibri"/>
        <family val="2"/>
        <charset val="1"/>
      </rPr>
      <t xml:space="preserve">2027</t>
    </r>
  </si>
  <si>
    <t xml:space="preserve">d_pmk27</t>
  </si>
  <si>
    <r>
      <rPr>
        <sz val="11"/>
        <color theme="1"/>
        <rFont val="Noto Sans CJK SC"/>
        <family val="2"/>
      </rPr>
      <t xml:space="preserve">台達電模型：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</si>
  <si>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d_aip27</t>
  </si>
  <si>
    <r>
      <rPr>
        <sz val="11"/>
        <color theme="1"/>
        <rFont val="Noto Sans CJK SC"/>
        <family val="2"/>
      </rPr>
      <t xml:space="preserve">台達電模型：台達電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</si>
  <si>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d_sh28</t>
  </si>
  <si>
    <r>
      <rPr>
        <sz val="11"/>
        <color theme="1"/>
        <rFont val="Noto Sans CJK SC"/>
        <family val="2"/>
      </rPr>
      <t xml:space="preserve">台達電模型：台達電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 </t>
    </r>
    <r>
      <rPr>
        <sz val="11"/>
        <color theme="1"/>
        <rFont val="Calibri"/>
        <family val="2"/>
        <charset val="1"/>
      </rPr>
      <t xml:space="preserve">2028</t>
    </r>
  </si>
  <si>
    <t xml:space="preserve">d_pmk28</t>
  </si>
  <si>
    <r>
      <rPr>
        <sz val="11"/>
        <color theme="1"/>
        <rFont val="Noto Sans CJK SC"/>
        <family val="2"/>
      </rPr>
      <t xml:space="preserve">台達電模型：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</si>
  <si>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d_aip28</t>
  </si>
  <si>
    <r>
      <rPr>
        <sz val="11"/>
        <color theme="1"/>
        <rFont val="Noto Sans CJK SC"/>
        <family val="2"/>
      </rPr>
      <t xml:space="preserve">台達電模型：台達電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</si>
  <si>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d_sh29</t>
  </si>
  <si>
    <r>
      <rPr>
        <sz val="11"/>
        <color theme="1"/>
        <rFont val="Noto Sans CJK SC"/>
        <family val="2"/>
      </rPr>
      <t xml:space="preserve">台達電模型：台達電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 </t>
    </r>
    <r>
      <rPr>
        <sz val="11"/>
        <color theme="1"/>
        <rFont val="Calibri"/>
        <family val="2"/>
        <charset val="1"/>
      </rPr>
      <t xml:space="preserve">2029</t>
    </r>
  </si>
  <si>
    <t xml:space="preserve">d_pmk29</t>
  </si>
  <si>
    <r>
      <rPr>
        <sz val="11"/>
        <color theme="1"/>
        <rFont val="Noto Sans CJK SC"/>
        <family val="2"/>
      </rPr>
      <t xml:space="preserve">台達電模型：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</si>
  <si>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d_aip29</t>
  </si>
  <si>
    <r>
      <rPr>
        <sz val="11"/>
        <color theme="1"/>
        <rFont val="Noto Sans CJK SC"/>
        <family val="2"/>
      </rPr>
      <t xml:space="preserve">台達電模型：台達電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</si>
  <si>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kgi_dsh</t>
  </si>
  <si>
    <r>
      <rPr>
        <sz val="11"/>
        <color theme="1"/>
        <rFont val="Noto Sans CJK SC"/>
        <family val="2"/>
      </rPr>
      <t xml:space="preserve">凱基：台達電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伺服器電源市占（中點）</t>
    </r>
  </si>
  <si>
    <r>
      <rPr>
        <sz val="11"/>
        <color theme="1"/>
        <rFont val="Calibri"/>
        <family val="2"/>
        <charset val="1"/>
      </rPr>
      <t xml:space="preserve">https://www.kgi.com.hk/zh-hk/-/media/files/kgishk/research-reports/tw-reports/power-supply-sector_20250926e.pdf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60–65%</t>
    </r>
    <r>
      <rPr>
        <sz val="11"/>
        <color theme="1"/>
        <rFont val="Noto Sans CJK SC"/>
        <family val="2"/>
      </rPr>
      <t xml:space="preserve">，長期略降</t>
    </r>
  </si>
  <si>
    <r>
      <rPr>
        <sz val="11"/>
        <color theme="1"/>
        <rFont val="Noto Sans CJK SC"/>
        <family val="2"/>
      </rPr>
      <t xml:space="preserve">光寶與 </t>
    </r>
    <r>
      <rPr>
        <sz val="11"/>
        <color theme="1"/>
        <rFont val="Calibri"/>
        <family val="2"/>
        <charset val="1"/>
      </rPr>
      <t xml:space="preserve">Flex </t>
    </r>
    <r>
      <rPr>
        <sz val="11"/>
        <color theme="1"/>
        <rFont val="Noto Sans CJK SC"/>
        <family val="2"/>
      </rPr>
      <t xml:space="preserve">為第二梯隊（份額數字：未找到）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</si>
  <si>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</si>
  <si>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</si>
  <si>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收盤，臺灣證交所）</t>
    </r>
  </si>
  <si>
    <r>
      <rPr>
        <sz val="11"/>
        <color theme="1"/>
        <rFont val="Calibri"/>
        <family val="2"/>
        <charset val="1"/>
      </rPr>
      <t xml:space="preserve">https://stockanalysis.com/quote/tpe/2301/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10-22 255.50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3.04%</t>
    </r>
    <r>
      <rPr>
        <sz val="11"/>
        <color theme="1"/>
        <rFont val="Noto Sans CJK SC"/>
        <family val="2"/>
      </rPr>
      <t xml:space="preserve">）、前收 </t>
    </r>
    <r>
      <rPr>
        <sz val="11"/>
        <color theme="1"/>
        <rFont val="Calibri"/>
        <family val="2"/>
        <charset val="1"/>
      </rPr>
      <t xml:space="preserve">263.50</t>
    </r>
  </si>
  <si>
    <r>
      <rPr>
        <sz val="11"/>
        <color theme="1"/>
        <rFont val="Calibri"/>
        <family val="2"/>
        <charset val="1"/>
      </rPr>
      <t xml:space="preserve">nstock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頁）：</t>
    </r>
    <r>
      <rPr>
        <sz val="11"/>
        <color theme="1"/>
        <rFont val="Calibri"/>
        <family val="2"/>
        <charset val="1"/>
      </rPr>
      <t xml:space="preserve">10-22 255.5</t>
    </r>
    <r>
      <rPr>
        <sz val="11"/>
        <color theme="1"/>
        <rFont val="Noto Sans CJK SC"/>
        <family val="2"/>
      </rPr>
      <t xml:space="preserve">（成交 </t>
    </r>
    <r>
      <rPr>
        <sz val="11"/>
        <color theme="1"/>
        <rFont val="Calibri"/>
        <family val="2"/>
        <charset val="1"/>
      </rPr>
      <t xml:space="preserve">7,003 </t>
    </r>
    <r>
      <rPr>
        <sz val="11"/>
        <color theme="1"/>
        <rFont val="Noto Sans CJK SC"/>
        <family val="2"/>
      </rPr>
      <t xml:space="preserve">張；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同值）；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</si>
  <si>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</si>
  <si>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</si>
  <si>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https://stockanalysis.com/quote/tpe/2301/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</si>
  <si>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8.49</t>
    </r>
  </si>
  <si>
    <t xml:space="preserve">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</si>
  <si>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</si>
  <si>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口徑：頁面未明示（約未來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月）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</si>
  <si>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</si>
  <si>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</si>
  <si>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19.70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</si>
  <si>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的直接數字：未找到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</si>
  <si>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</si>
  <si>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</si>
  <si>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https://stockanalysis.com/quote/tpe/2301/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位分析師（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）平均 </t>
    </r>
    <r>
      <rPr>
        <sz val="11"/>
        <color theme="1"/>
        <rFont val="Calibri"/>
        <family val="2"/>
        <charset val="1"/>
      </rPr>
      <t xml:space="preserve">314.25</t>
    </r>
    <r>
      <rPr>
        <sz val="11"/>
        <color theme="1"/>
        <rFont val="Noto Sans CJK SC"/>
        <family val="2"/>
      </rPr>
      <t xml:space="preserve">（頁面時間 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</si>
  <si>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https://stockanalysis.com/quote/tpe/2301/forecast/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2026-09-23 </t>
    </r>
    <r>
      <rPr>
        <sz val="11"/>
        <color theme="1"/>
        <rFont val="Noto Sans CJK SC"/>
        <family val="2"/>
      </rPr>
      <t xml:space="preserve">頁面平均 </t>
    </r>
    <r>
      <rPr>
        <sz val="11"/>
        <color theme="1"/>
        <rFont val="Calibri"/>
        <family val="2"/>
        <charset val="1"/>
      </rPr>
      <t xml:space="preserve">302.67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292.50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176–400</t>
    </r>
  </si>
  <si>
    <t xml:space="preserve">nim_avg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</si>
  <si>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</si>
  <si>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https://stock.wearn.com/financial.asp?kind=2301</t>
    </r>
    <r>
      <rPr>
        <sz val="11"/>
        <color theme="1"/>
        <rFont val="Noto Sans CJK SC"/>
        <family val="2"/>
      </rPr>
      <t xml:space="preserve">：稅後淨利率 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4.10%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1.23%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3.85%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5.29%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6.26%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8.45%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8.18%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9.84%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8.72%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9.10%</t>
    </r>
    <r>
      <rPr>
        <sz val="11"/>
        <color theme="1"/>
        <rFont val="Noto Sans CJK SC"/>
        <family val="2"/>
      </rPr>
      <t xml:space="preserve">（資料商）</t>
    </r>
  </si>
  <si>
    <r>
      <rPr>
        <sz val="11"/>
        <color theme="1"/>
        <rFont val="Noto Sans CJK SC"/>
        <family val="2"/>
      </rPr>
      <t xml:space="preserve">單一來源；</t>
    </r>
    <r>
      <rPr>
        <sz val="11"/>
        <color theme="1"/>
        <rFont val="Calibri"/>
        <family val="2"/>
        <charset val="1"/>
      </rPr>
      <t xml:space="preserve">2017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1.23% </t>
    </r>
    <r>
      <rPr>
        <sz val="11"/>
        <color theme="1"/>
        <rFont val="Noto Sans CJK SC"/>
        <family val="2"/>
      </rPr>
      <t xml:space="preserve">含一次性損失（商譽減損）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</si>
  <si>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目標價與收斂法參數（黃底；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</si>
  <si>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</si>
  <si>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</si>
  <si>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</si>
  <si>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</si>
  <si>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</si>
  <si>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</si>
  <si>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</si>
  <si>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</si>
  <si>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</si>
  <si>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</si>
  <si>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</si>
  <si>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，各市場同一值）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</si>
  <si>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折現；情境價值推到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</t>
    </r>
  </si>
  <si>
    <t xml:space="preserve">tp_g</t>
  </si>
  <si>
    <t xml:space="preserve">長期成長率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</si>
  <si>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</si>
  <si>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永續成長與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收斂目標（情境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</si>
  <si>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</si>
  <si>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</si>
  <si>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https://stock.wearn.com/financial.asp?kind=2301</t>
    </r>
    <r>
      <rPr>
        <sz val="11"/>
        <color theme="1"/>
        <rFont val="Noto Sans CJK SC"/>
        <family val="2"/>
      </rPr>
      <t xml:space="preserve">：股東權益報酬率 </t>
    </r>
    <r>
      <rPr>
        <sz val="11"/>
        <color theme="1"/>
        <rFont val="Calibri"/>
        <family val="2"/>
        <charset val="1"/>
      </rPr>
      <t xml:space="preserve">FY2023 17.48%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13.59%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16.71%</t>
    </r>
  </si>
  <si>
    <t xml:space="preserve">單一來源</t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</si>
  <si>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</si>
  <si>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</si>
  <si>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</si>
  <si>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</si>
  <si>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</si>
  <si>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</si>
  <si>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</si>
  <si>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</si>
  <si>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</si>
  <si>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</si>
  <si>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</si>
  <si>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</si>
  <si>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</si>
  <si>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</si>
  <si>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</si>
  <si>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淨利率收斂目標（情境 </t>
    </r>
    <r>
      <rPr>
        <sz val="11"/>
        <color theme="1"/>
        <rFont val="Calibri"/>
        <family val="2"/>
        <charset val="1"/>
      </rPr>
      <t xml:space="preserve">B FY2029 </t>
    </r>
    <r>
      <rPr>
        <sz val="11"/>
        <color theme="1"/>
        <rFont val="Noto Sans CJK SC"/>
        <family val="2"/>
      </rPr>
      <t xml:space="preserve">與十年平均的中點）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</si>
  <si>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B 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nim_avg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</si>
  <si>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</si>
  <si>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淨利率收斂目標（＝十年平均淨利率 </t>
    </r>
    <r>
      <rPr>
        <sz val="11"/>
        <color theme="1"/>
        <rFont val="Calibri"/>
        <family val="2"/>
        <charset val="1"/>
      </rPr>
      <t xml:space="preserve">nim_avg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</si>
  <si>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nim_avg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wearn 2016–2025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</si>
  <si>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為新台幣；股數為十億股）。藍字＝輸入；黑字＝公式。實績取自光寶科財報與月營收公告（經 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、優分析、</t>
    </r>
    <r>
      <rPr>
        <sz val="11"/>
        <color theme="1"/>
        <rFont val="Calibri"/>
        <family val="2"/>
        <charset val="1"/>
      </rPr>
      <t xml:space="preserve">technews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</si>
  <si>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財報＋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月營收實績（</t>
    </r>
    <r>
      <rPr>
        <sz val="11"/>
        <color theme="1"/>
        <rFont val="Calibri"/>
        <family val="2"/>
        <charset val="1"/>
      </rPr>
      <t xml:space="preserve">1–9 </t>
    </r>
    <r>
      <rPr>
        <sz val="11"/>
        <color theme="1"/>
        <rFont val="Noto Sans CJK SC"/>
        <family val="2"/>
      </rPr>
      <t xml:space="preserve">月累計 − 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）＋假設（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毛利率、營業費用率、營業外；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營收季增）。稅前利益＝營收 </t>
    </r>
    <r>
      <rPr>
        <sz val="11"/>
        <color theme="1"/>
        <rFont val="Calibri"/>
        <family val="2"/>
        <charset val="1"/>
      </rPr>
      <t xml:space="preserve">× stockanalysis </t>
    </r>
    <r>
      <rPr>
        <sz val="11"/>
        <color theme="1"/>
        <rFont val="Noto Sans CJK SC"/>
        <family val="2"/>
      </rPr>
      <t xml:space="preserve">稅前淨利率（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，非公司原文）。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財報與法說預計 </t>
    </r>
    <r>
      <rPr>
        <sz val="11"/>
        <color theme="1"/>
        <rFont val="Calibri"/>
        <family val="2"/>
        <charset val="1"/>
      </rPr>
      <t xml:space="preserve">2026-10-30 </t>
    </r>
    <r>
      <rPr>
        <sz val="11"/>
        <color theme="1"/>
        <rFont val="Noto Sans CJK SC"/>
        <family val="2"/>
      </rPr>
      <t xml:space="preserve">前後（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估計；公司公告日期：未找到），截至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尚未公布，公布後更新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</si>
  <si>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</si>
  <si>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</si>
  <si>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</si>
  <si>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</si>
  <si>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</si>
  <si>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</si>
  <si>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</si>
  <si>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https://stockanalysis.com/quote/tpe/2301/financials/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1,660.85 </t>
    </r>
    <r>
      <rPr>
        <sz val="11"/>
        <color theme="1"/>
        <rFont val="Noto Sans CJK SC"/>
        <family val="2"/>
      </rPr>
      <t xml:space="preserve">億、毛利 </t>
    </r>
    <r>
      <rPr>
        <sz val="11"/>
        <color theme="1"/>
        <rFont val="Calibri"/>
        <family val="2"/>
        <charset val="1"/>
      </rPr>
      <t xml:space="preserve">380.39 </t>
    </r>
    <r>
      <rPr>
        <sz val="11"/>
        <color theme="1"/>
        <rFont val="Noto Sans CJK SC"/>
        <family val="2"/>
      </rPr>
      <t xml:space="preserve">億、營業利益 </t>
    </r>
    <r>
      <rPr>
        <sz val="11"/>
        <color theme="1"/>
        <rFont val="Calibri"/>
        <family val="2"/>
        <charset val="1"/>
      </rPr>
      <t xml:space="preserve">167.38 </t>
    </r>
    <r>
      <rPr>
        <sz val="11"/>
        <color theme="1"/>
        <rFont val="Noto Sans CJK SC"/>
        <family val="2"/>
      </rPr>
      <t xml:space="preserve">億、淨利 </t>
    </r>
    <r>
      <rPr>
        <sz val="11"/>
        <color theme="1"/>
        <rFont val="Calibri"/>
        <family val="2"/>
        <charset val="1"/>
      </rPr>
      <t xml:space="preserve">151.16 </t>
    </r>
    <r>
      <rPr>
        <sz val="11"/>
        <color theme="1"/>
        <rFont val="Noto Sans CJK SC"/>
        <family val="2"/>
      </rPr>
      <t xml:space="preserve">億）；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https://stockanalysis.com/quote/tpe/2301/financials/?p=quarterly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</si>
  <si>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：優分析 </t>
    </r>
    <r>
      <rPr>
        <sz val="11"/>
        <color theme="1"/>
        <rFont val="Calibri"/>
        <family val="2"/>
        <charset val="1"/>
      </rPr>
      <t xml:space="preserve">2026-02-25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1,660.9 </t>
    </r>
    <r>
      <rPr>
        <sz val="11"/>
        <color theme="1"/>
        <rFont val="Noto Sans CJK SC"/>
        <family val="2"/>
      </rPr>
      <t xml:space="preserve">億、毛利率 </t>
    </r>
    <r>
      <rPr>
        <sz val="11"/>
        <color theme="1"/>
        <rFont val="Calibri"/>
        <family val="2"/>
        <charset val="1"/>
      </rPr>
      <t xml:space="preserve">22.9%</t>
    </r>
    <r>
      <rPr>
        <sz val="11"/>
        <color theme="1"/>
        <rFont val="Noto Sans CJK SC"/>
        <family val="2"/>
      </rPr>
      <t xml:space="preserve">、營益率 </t>
    </r>
    <r>
      <rPr>
        <sz val="11"/>
        <color theme="1"/>
        <rFont val="Calibri"/>
        <family val="2"/>
        <charset val="1"/>
      </rPr>
      <t xml:space="preserve">10.1%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151.2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6.64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：優分析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961.1 </t>
    </r>
    <r>
      <rPr>
        <sz val="11"/>
        <color theme="1"/>
        <rFont val="Noto Sans CJK SC"/>
        <family val="2"/>
      </rPr>
      <t xml:space="preserve">億、毛利率 </t>
    </r>
    <r>
      <rPr>
        <sz val="11"/>
        <color theme="1"/>
        <rFont val="Calibri"/>
        <family val="2"/>
        <charset val="1"/>
      </rPr>
      <t xml:space="preserve">24.7%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123.0 </t>
    </r>
    <r>
      <rPr>
        <sz val="11"/>
        <color theme="1"/>
        <rFont val="Noto Sans CJK SC"/>
        <family val="2"/>
      </rPr>
      <t xml:space="preserve">億、淨利 </t>
    </r>
    <r>
      <rPr>
        <sz val="11"/>
        <color theme="1"/>
        <rFont val="Calibri"/>
        <family val="2"/>
        <charset val="1"/>
      </rPr>
      <t xml:space="preserve">108.9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4.80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1–9 </t>
    </r>
    <r>
      <rPr>
        <sz val="11"/>
        <color theme="1"/>
        <rFont val="Noto Sans CJK SC"/>
        <family val="2"/>
      </rPr>
      <t xml:space="preserve">月月營收累計 − </t>
    </r>
    <r>
      <rPr>
        <sz val="11"/>
        <color theme="1"/>
        <rFont val="Calibri"/>
        <family val="2"/>
        <charset val="1"/>
      </rPr>
      <t xml:space="preserve">1H26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</si>
  <si>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</si>
  <si>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</si>
  <si>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：優分析 </t>
    </r>
    <r>
      <rPr>
        <sz val="11"/>
        <color theme="1"/>
        <rFont val="Calibri"/>
        <family val="2"/>
        <charset val="1"/>
      </rPr>
      <t xml:space="preserve">2026-02-25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1,660.9 </t>
    </r>
    <r>
      <rPr>
        <sz val="11"/>
        <color theme="1"/>
        <rFont val="Noto Sans CJK SC"/>
        <family val="2"/>
      </rPr>
      <t xml:space="preserve">億、毛利率 </t>
    </r>
    <r>
      <rPr>
        <sz val="11"/>
        <color theme="1"/>
        <rFont val="Calibri"/>
        <family val="2"/>
        <charset val="1"/>
      </rPr>
      <t xml:space="preserve">22.9%</t>
    </r>
    <r>
      <rPr>
        <sz val="11"/>
        <color theme="1"/>
        <rFont val="Noto Sans CJK SC"/>
        <family val="2"/>
      </rPr>
      <t xml:space="preserve">、營益率 </t>
    </r>
    <r>
      <rPr>
        <sz val="11"/>
        <color theme="1"/>
        <rFont val="Calibri"/>
        <family val="2"/>
        <charset val="1"/>
      </rPr>
      <t xml:space="preserve">10.1%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151.2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6.64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：優分析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961.1 </t>
    </r>
    <r>
      <rPr>
        <sz val="11"/>
        <color theme="1"/>
        <rFont val="Noto Sans CJK SC"/>
        <family val="2"/>
      </rPr>
      <t xml:space="preserve">億、毛利率 </t>
    </r>
    <r>
      <rPr>
        <sz val="11"/>
        <color theme="1"/>
        <rFont val="Calibri"/>
        <family val="2"/>
        <charset val="1"/>
      </rPr>
      <t xml:space="preserve">24.7%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123.0 </t>
    </r>
    <r>
      <rPr>
        <sz val="11"/>
        <color theme="1"/>
        <rFont val="Noto Sans CJK SC"/>
        <family val="2"/>
      </rPr>
      <t xml:space="preserve">億、淨利 </t>
    </r>
    <r>
      <rPr>
        <sz val="11"/>
        <color theme="1"/>
        <rFont val="Calibri"/>
        <family val="2"/>
        <charset val="1"/>
      </rPr>
      <t xml:space="preserve">108.9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4.80</t>
    </r>
    <r>
      <rPr>
        <sz val="11"/>
        <color theme="1"/>
        <rFont val="Noto Sans CJK SC"/>
        <family val="2"/>
      </rPr>
      <t xml:space="preserve">）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</si>
  <si>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</si>
  <si>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FY2025 22.9%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24.7%</t>
    </r>
    <r>
      <rPr>
        <sz val="11"/>
        <color theme="1"/>
        <rFont val="Noto Sans CJK SC"/>
        <family val="2"/>
      </rPr>
      <t xml:space="preserve">（公司）</t>
    </r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</si>
  <si>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</si>
  <si>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</si>
  <si>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毛利 − 營業利益</t>
  </si>
  <si>
    <t xml:space="preserve">營業利益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</si>
  <si>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</si>
  <si>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t xml:space="preserve">營業利益率</t>
  </si>
  <si>
    <r>
      <rPr>
        <sz val="11"/>
        <color theme="1"/>
        <rFont val="Calibri"/>
        <family val="2"/>
        <charset val="1"/>
      </rPr>
      <t xml:space="preserve">FY2025 10.1%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2Q26 15.6%</t>
    </r>
    <r>
      <rPr>
        <sz val="11"/>
        <color theme="1"/>
        <rFont val="Noto Sans CJK SC"/>
        <family val="2"/>
      </rPr>
      <t xml:space="preserve">（公司）</t>
    </r>
  </si>
  <si>
    <t xml:space="preserve">營業外淨額</t>
  </si>
  <si>
    <t xml:space="preserve">稅前 − 營業利益</t>
  </si>
  <si>
    <t xml:space="preserve">稅前利益</t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</si>
  <si>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稅前淨利率 </t>
    </r>
    <r>
      <rPr>
        <sz val="11"/>
        <color theme="1"/>
        <rFont val="Calibri"/>
        <family val="2"/>
        <charset val="1"/>
      </rPr>
      <t xml:space="preserve">11.87%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49.70 </t>
    </r>
    <r>
      <rPr>
        <sz val="11"/>
        <color theme="1"/>
        <rFont val="Noto Sans CJK SC"/>
        <family val="2"/>
      </rPr>
      <t xml:space="preserve">億＋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93.71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季度稅前淨利率推算）</t>
    </r>
  </si>
  <si>
    <t xml:space="preserve">公司揭露稅前：未找到</t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</si>
  <si>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</si>
  <si>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</si>
  <si>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1Q26 37.75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2Q26 71.16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1H26 108.9 </t>
    </r>
    <r>
      <rPr>
        <sz val="11"/>
        <color theme="1"/>
        <rFont val="Noto Sans CJK SC"/>
        <family val="2"/>
      </rPr>
      <t xml:space="preserve">億（優分析）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</si>
  <si>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稅前（含稅與非控制權益）</t>
    </r>
  </si>
  <si>
    <t xml:space="preserve">股數（十億股）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</si>
  <si>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</si>
  <si>
    <t xml:space="preserve">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</si>
  <si>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</si>
  <si>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</si>
  <si>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FY2025 6.64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wearn </t>
    </r>
    <r>
      <rPr>
        <sz val="11"/>
        <color theme="1"/>
        <rFont val="Noto Sans CJK SC"/>
        <family val="2"/>
      </rPr>
      <t xml:space="preserve">同值；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6.59</t>
    </r>
    <r>
      <rPr>
        <sz val="11"/>
        <color theme="1"/>
        <rFont val="Noto Sans CJK SC"/>
        <family val="2"/>
      </rPr>
      <t xml:space="preserve">，口徑未載明）；</t>
    </r>
    <r>
      <rPr>
        <sz val="11"/>
        <color theme="1"/>
        <rFont val="Calibri"/>
        <family val="2"/>
        <charset val="1"/>
      </rPr>
      <t xml:space="preserve">2Q26 3.14</t>
    </r>
    <r>
      <rPr>
        <sz val="11"/>
        <color theme="1"/>
        <rFont val="Noto Sans CJK SC"/>
        <family val="2"/>
      </rPr>
      <t xml:space="preserve">（優分析）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</si>
  <si>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相關營收（＝營收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相關占比）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</si>
  <si>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</si>
  <si>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相關占比（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</si>
  <si>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營收金額未揭露：未找到</t>
    </r>
  </si>
  <si>
    <r>
      <rPr>
        <sz val="11"/>
        <color theme="1"/>
        <rFont val="Noto Sans CJK SC"/>
        <family val="2"/>
      </rPr>
      <t xml:space="preserve">  其中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電源（＝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非電源占比））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</si>
  <si>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x_np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</si>
  <si>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電源含 </t>
    </r>
    <r>
      <rPr>
        <sz val="11"/>
        <color theme="1"/>
        <rFont val="Calibri"/>
        <family val="2"/>
        <charset val="1"/>
      </rPr>
      <t xml:space="preserve">PSU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Power Shelf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 </t>
    </r>
    <r>
      <rPr>
        <sz val="11"/>
        <color theme="1"/>
        <rFont val="Noto Sans CJK SC"/>
        <family val="2"/>
      </rPr>
      <t xml:space="preserve">電源櫃（與台達電模型的每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內容口徑相同）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</si>
  <si>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營收（＝營收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相關）</t>
    </r>
  </si>
  <si>
    <t xml:space="preserve">一般雲端電源、光電、資訊與消費電子、車用</t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</si>
  <si>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</si>
  <si>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</si>
  <si>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</si>
  <si>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的參考）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</si>
  <si>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</si>
  <si>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</si>
  <si>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</si>
  <si>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Units — AI </t>
    </r>
    <r>
      <rPr>
        <sz val="11"/>
        <color theme="1"/>
        <rFont val="Noto Sans CJK SC"/>
        <family val="2"/>
      </rPr>
      <t xml:space="preserve">電源市場（每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內容口徑與台達電模型一致，唯讀 </t>
    </r>
    <r>
      <rPr>
        <sz val="11"/>
        <color theme="1"/>
        <rFont val="Calibri"/>
        <family val="2"/>
        <charset val="1"/>
      </rPr>
      <t xml:space="preserve">delta/dist</t>
    </r>
    <r>
      <rPr>
        <sz val="11"/>
        <color theme="1"/>
        <rFont val="Noto Sans CJK SC"/>
        <family val="2"/>
      </rPr>
      <t xml:space="preserve">；本專案權威在台達電模型）、光寶有效份額與光寶＋台達電份額合計（情境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）。部署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，經橋接表）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</si>
  <si>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</si>
  <si>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</si>
  <si>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</si>
  <si>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</si>
  <si>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</si>
  <si>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</si>
  <si>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GW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</si>
  <si>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B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</si>
  <si>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電源內容（台達電模型）</t>
    </r>
  </si>
  <si>
    <r>
      <rPr>
        <sz val="11"/>
        <color theme="1"/>
        <rFont val="Noto Sans CJK SC"/>
        <family val="2"/>
      </rPr>
      <t xml:space="preserve">唯讀 </t>
    </r>
    <r>
      <rPr>
        <sz val="11"/>
        <color theme="1"/>
        <rFont val="Calibri"/>
        <family val="2"/>
        <charset val="1"/>
      </rPr>
      <t xml:space="preserve">delta/dist In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2026–27 Derived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</si>
  <si>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電源內容（以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架數換算）</t>
    </r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</si>
  <si>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</si>
  <si>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</si>
  <si>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機架（假設每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內容相同）</t>
    </r>
  </si>
  <si>
    <t xml:space="preserve">光寶有效份額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</si>
  <si>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相關占比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非電源占比）校準</t>
    </r>
  </si>
  <si>
    <t xml:space="preserve">台達電有效份額（台達電模型）</t>
  </si>
  <si>
    <r>
      <rPr>
        <sz val="11"/>
        <color theme="1"/>
        <rFont val="Noto Sans CJK SC"/>
        <family val="2"/>
      </rPr>
      <t xml:space="preserve">唯讀 </t>
    </r>
    <r>
      <rPr>
        <sz val="11"/>
        <color theme="1"/>
        <rFont val="Calibri"/>
        <family val="2"/>
        <charset val="1"/>
      </rPr>
      <t xml:space="preserve">delta/dist Units </t>
    </r>
    <r>
      <rPr>
        <sz val="11"/>
        <color theme="1"/>
        <rFont val="Noto Sans CJK SC"/>
        <family val="2"/>
      </rPr>
      <t xml:space="preserve">頁；台達電份額相對值不隨情境變動</t>
    </r>
  </si>
  <si>
    <t xml:space="preserve">光寶＋台達電份額合計</t>
  </si>
  <si>
    <r>
      <rPr>
        <sz val="11"/>
        <color theme="1"/>
        <rFont val="Noto Sans CJK SC"/>
        <family val="2"/>
      </rPr>
      <t xml:space="preserve">應低於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；其餘為 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、群電、康舒、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、麥格米特等</t>
    </r>
  </si>
  <si>
    <r>
      <rPr>
        <sz val="11"/>
        <color theme="1"/>
        <rFont val="Noto Sans CJK SC"/>
        <family val="2"/>
      </rPr>
      <t xml:space="preserve">其他廠商份額（＝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合計）</t>
    </r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</si>
  <si>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</t>
    </r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</si>
  <si>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相關營收（含液冷等非電源）</t>
    </r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</si>
  <si>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電源營收（份額比）</t>
    </r>
  </si>
  <si>
    <t xml:space="preserve">同一市場，故等於份額比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</si>
  <si>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</t>
    </r>
  </si>
  <si>
    <t xml:space="preserve">US$M/GW</t>
  </si>
  <si>
    <r>
      <rPr>
        <b val="true"/>
        <sz val="11"/>
        <rFont val="Noto Sans CJK SC"/>
        <family val="2"/>
      </rPr>
      <t xml:space="preserve">讀法：光寶與台達電讀同一個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電源市場（部署 </t>
    </r>
    <r>
      <rPr>
        <b val="true"/>
        <sz val="11"/>
        <rFont val="Cambria"/>
        <family val="0"/>
        <charset val="1"/>
      </rPr>
      <t xml:space="preserve">GW × </t>
    </r>
    <r>
      <rPr>
        <b val="true"/>
        <sz val="11"/>
        <rFont val="Noto Sans CJK SC"/>
        <family val="2"/>
      </rPr>
      <t xml:space="preserve">台達電模型每 </t>
    </r>
    <r>
      <rPr>
        <b val="true"/>
        <sz val="11"/>
        <rFont val="Cambria"/>
        <family val="0"/>
        <charset val="1"/>
      </rPr>
      <t xml:space="preserve">kW </t>
    </r>
    <r>
      <rPr>
        <b val="true"/>
        <sz val="11"/>
        <rFont val="Noto Sans CJK SC"/>
        <family val="2"/>
      </rPr>
      <t xml:space="preserve">內容）。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光寶有效份額約一成八（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相關扣除一成非電源）、台達電約五成八，合計約七成六，與凱基「台達電 </t>
    </r>
    <r>
      <rPr>
        <b val="true"/>
        <sz val="11"/>
        <rFont val="Cambria"/>
        <family val="0"/>
        <charset val="1"/>
      </rPr>
      <t xml:space="preserve">60–65%</t>
    </r>
    <r>
      <rPr>
        <b val="true"/>
        <sz val="11"/>
        <rFont val="Noto Sans CJK SC"/>
        <family val="2"/>
      </rPr>
      <t xml:space="preserve">、光寶與 </t>
    </r>
    <r>
      <rPr>
        <b val="true"/>
        <sz val="11"/>
        <rFont val="Cambria"/>
        <family val="0"/>
        <charset val="1"/>
      </rPr>
      <t xml:space="preserve">Flex </t>
    </r>
    <r>
      <rPr>
        <b val="true"/>
        <sz val="11"/>
        <rFont val="Noto Sans CJK SC"/>
        <family val="2"/>
      </rPr>
      <t xml:space="preserve">第二梯隊」相符；台達電模型的份額逐年下降（光寶、</t>
    </r>
    <r>
      <rPr>
        <b val="true"/>
        <sz val="11"/>
        <rFont val="Cambria"/>
        <family val="0"/>
        <charset val="1"/>
      </rPr>
      <t xml:space="preserve">Flex</t>
    </r>
    <r>
      <rPr>
        <b val="true"/>
        <sz val="11"/>
        <rFont val="Noto Sans CJK SC"/>
        <family val="2"/>
      </rPr>
      <t xml:space="preserve">、中國廠追趕），本模型光寶份額相對值在情境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上升、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持平、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下降，</t>
    </r>
    <r>
      <rPr>
        <b val="true"/>
        <sz val="11"/>
        <rFont val="Cambria"/>
        <family val="0"/>
        <charset val="1"/>
      </rPr>
      <t xml:space="preserve">CY2029 </t>
    </r>
    <r>
      <rPr>
        <b val="true"/>
        <sz val="11"/>
        <rFont val="Noto Sans CJK SC"/>
        <family val="2"/>
      </rPr>
      <t xml:space="preserve">合計約六成三（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）到七成二（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），其餘留給其他廠商，合計不超過 </t>
    </r>
    <r>
      <rPr>
        <b val="true"/>
        <sz val="11"/>
        <rFont val="Cambria"/>
        <family val="0"/>
        <charset val="1"/>
      </rPr>
      <t xml:space="preserve">100%</t>
    </r>
    <r>
      <rPr>
        <b val="true"/>
        <sz val="1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</si>
  <si>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光寶科損益（十億新台幣；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財報＋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月營收＋假設），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開始；份額相對值、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毛利率額外改善從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起依情境取高／基準／低值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</si>
  <si>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節），非驅動因子推導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</si>
  <si>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</si>
  <si>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</si>
  <si>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</si>
  <si>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</si>
  <si>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</si>
  <si>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</si>
  <si>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</si>
  <si>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</si>
  <si>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</si>
  <si>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</si>
  <si>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相關營收（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電源、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、液冷）</t>
    </r>
  </si>
  <si>
    <r>
      <rPr>
        <sz val="11"/>
        <color theme="1"/>
        <rFont val="Noto Sans CJK SC"/>
        <family val="2"/>
      </rPr>
      <t xml:space="preserve"> 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</si>
  <si>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</si>
  <si>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  淨利率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</si>
  <si>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</si>
  <si>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</si>
  <si>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</si>
  <si>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錨點</t>
    </r>
  </si>
  <si>
    <r>
      <rPr>
        <sz val="11"/>
        <color theme="1"/>
        <rFont val="Noto Sans CJK SC"/>
        <family val="2"/>
      </rPr>
      <t xml:space="preserve">  三情境：營收差（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</si>
  <si>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</si>
  <si>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</si>
  <si>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（順利）：顆數基準（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係數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）；份額相對值、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毛利率額外改善取高值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</si>
  <si>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部署與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電源市場（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校準年；每 </t>
    </r>
    <r>
      <rPr>
        <b val="true"/>
        <sz val="11"/>
        <rFont val="Cambria"/>
        <family val="0"/>
        <charset val="1"/>
      </rPr>
      <t xml:space="preserve">kW </t>
    </r>
    <r>
      <rPr>
        <b val="true"/>
        <sz val="11"/>
        <rFont val="Noto Sans CJK SC"/>
        <family val="2"/>
      </rPr>
      <t xml:space="preserve">內容取自台達電模型）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</si>
  <si>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</si>
  <si>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</si>
  <si>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</si>
  <si>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電源市場（美元）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</si>
  <si>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電源市場（新台幣）</t>
    </r>
  </si>
  <si>
    <r>
      <rPr>
        <sz val="11"/>
        <color theme="1"/>
        <rFont val="Noto Sans CJK SC"/>
        <family val="2"/>
      </rPr>
      <t xml:space="preserve">光寶有效份額（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</si>
  <si>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：分子為公司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非電源占比）；分母為與台達電模型相同的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電源市場（含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機架）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</si>
  <si>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</si>
  <si>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</si>
  <si>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非電源占比））</t>
    </r>
  </si>
  <si>
    <r>
      <rPr>
        <sz val="11"/>
        <color theme="1"/>
        <rFont val="Noto Sans CJK SC"/>
        <family val="2"/>
      </rPr>
      <t xml:space="preserve">非電源部分（液冷、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光電）隨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電源同比例成長（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</si>
  <si>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與合計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</si>
  <si>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</si>
  <si>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</si>
  <si>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</si>
  <si>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</si>
  <si>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</si>
  <si>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其他營收毛利率 ＝ 錨點毛利率 − 差距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</si>
  <si>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相關毛利率＝其他＋差距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</si>
  <si>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 ＝ 校準值 ＋ 額外改善</t>
    </r>
  </si>
  <si>
    <r>
      <rPr>
        <sz val="11"/>
        <color theme="1"/>
        <rFont val="Noto Sans CJK SC"/>
        <family val="2"/>
      </rPr>
      <t xml:space="preserve">額外改善為 </t>
    </r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電源櫃與組合（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低）</t>
    </r>
  </si>
  <si>
    <t xml:space="preserve">營業費用（基準路徑）</t>
  </si>
  <si>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</t>
    </r>
  </si>
  <si>
    <t xml:space="preserve">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</si>
  <si>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</si>
  <si>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淨利率（歸屬母公司淨利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</si>
  <si>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係數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CY2028 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）；公司特有變數取基準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</si>
  <si>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係數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CY2028–29 ×0.6</t>
    </r>
    <r>
      <rPr>
        <b val="true"/>
        <sz val="11"/>
        <rFont val="Noto Sans CJK SC"/>
        <family val="2"/>
      </rPr>
      <t xml:space="preserve">）；份額相對值、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毛利率額外改善取低值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</si>
  <si>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（模型）」；目標價＝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節，年底落後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）只作參考。本版未做先驗，無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</t>
    </r>
  </si>
  <si>
    <r>
      <rPr>
        <sz val="11"/>
        <color theme="1"/>
        <rFont val="Noto Sans CJK SC"/>
        <family val="2"/>
      </rPr>
      <t xml:space="preserve">循環位置：光寶科不是設備股，不套設備市場見頂年；以本模型營收最高的會計年度為見頂年（比照台達電；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</si>
  <si>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</si>
  <si>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</si>
  <si>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</si>
  <si>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</si>
  <si>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</si>
  <si>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</si>
  <si>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</si>
  <si>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</si>
  <si>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</si>
  <si>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</si>
  <si>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</si>
  <si>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</si>
  <si>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</si>
  <si>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</si>
  <si>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</si>
  <si>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</si>
  <si>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</si>
  <si>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年底；負值取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12:22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</si>
  <si>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</si>
  <si>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</si>
  <si>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</si>
  <si>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；非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股公司，同業不放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股）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</si>
  <si>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</si>
  <si>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</si>
  <si>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</si>
  <si>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</si>
  <si>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</si>
  <si>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台達電（</t>
    </r>
    <r>
      <rPr>
        <sz val="11"/>
        <color theme="1"/>
        <rFont val="Calibri"/>
        <family val="2"/>
        <charset val="1"/>
      </rPr>
      <t xml:space="preserve">Delta Electronics</t>
    </r>
    <r>
      <rPr>
        <sz val="11"/>
        <color theme="1"/>
        <rFont val="Noto Sans CJK SC"/>
        <family val="2"/>
      </rPr>
      <t xml:space="preserve">）</t>
    </r>
  </si>
  <si>
    <t xml:space="preserve">2308.TW</t>
  </si>
  <si>
    <t xml:space="preserve">2026-10-22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</si>
  <si>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</si>
  <si>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t xml:space="preserve">Vertiv</t>
  </si>
  <si>
    <t xml:space="preserve">VRT</t>
  </si>
  <si>
    <t xml:space="preserve">2026-10-23</t>
  </si>
  <si>
    <t xml:space="preserve">Eaton</t>
  </si>
  <si>
    <t xml:space="preserve">ETN</t>
  </si>
  <si>
    <t xml:space="preserve">Flex</t>
  </si>
  <si>
    <t xml:space="preserve">FLEX</t>
  </si>
  <si>
    <r>
      <rPr>
        <sz val="11"/>
        <color theme="1"/>
        <rFont val="Noto Sans CJK SC"/>
        <family val="2"/>
      </rPr>
      <t xml:space="preserve">未列入（資料過舊）：群電 </t>
    </r>
    <r>
      <rPr>
        <sz val="11"/>
        <color theme="1"/>
        <rFont val="Calibri"/>
        <family val="2"/>
        <charset val="1"/>
      </rPr>
      <t xml:space="preserve">6412.TW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13.6x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快取 </t>
    </r>
    <r>
      <rPr>
        <sz val="11"/>
        <color theme="1"/>
        <rFont val="Calibri"/>
        <family val="2"/>
        <charset val="1"/>
      </rPr>
      <t xml:space="preserve">2026-09-04</t>
    </r>
    <r>
      <rPr>
        <sz val="11"/>
        <color theme="1"/>
        <rFont val="Noto Sans CJK SC"/>
        <family val="2"/>
      </rPr>
      <t xml:space="preserve">）；康舒 </t>
    </r>
    <r>
      <rPr>
        <sz val="11"/>
        <color theme="1"/>
        <rFont val="Calibri"/>
        <family val="2"/>
        <charset val="1"/>
      </rPr>
      <t xml:space="preserve">6282.TW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：未找到。麥格米特 </t>
    </r>
    <r>
      <rPr>
        <sz val="11"/>
        <color theme="1"/>
        <rFont val="Calibri"/>
        <family val="2"/>
        <charset val="1"/>
      </rPr>
      <t xml:space="preserve">002851.SZ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股，依規則不列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</si>
  <si>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</si>
  <si>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資料中心電源與電氣同業：台達電、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Eaton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（券商常用比較組；台達電模型的同業名單也含光寶）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</si>
  <si>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</si>
  <si>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</si>
  <si>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</si>
  <si>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</si>
  <si>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</si>
  <si>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</si>
  <si>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</si>
  <si>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</si>
  <si>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</si>
  <si>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</si>
  <si>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314.25</t>
    </r>
    <r>
      <rPr>
        <sz val="11"/>
        <color theme="1"/>
        <rFont val="Noto Sans CJK SC"/>
        <family val="2"/>
      </rPr>
      <t xml:space="preserve">（頁面時間 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</si>
  <si>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</si>
  <si>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</si>
  <si>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</si>
  <si>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</si>
  <si>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；期間為現在起算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個月，與本模型不同）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</si>
  <si>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</si>
  <si>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</si>
  <si>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</si>
  <si>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</si>
  <si>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節自算）的分位；只作檢查，不進目標價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</si>
  <si>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</si>
  <si>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：股東現金流＝歸母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為近三年平均約 </t>
    </r>
    <r>
      <rPr>
        <sz val="11"/>
        <color theme="1"/>
        <rFont val="Calibri"/>
        <family val="2"/>
        <charset val="1"/>
      </rPr>
      <t xml:space="preserve">16%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明確期＋永續；光寶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年資本支出約 </t>
    </r>
    <r>
      <rPr>
        <sz val="11"/>
        <color theme="1"/>
        <rFont val="Calibri"/>
        <family val="2"/>
        <charset val="1"/>
      </rPr>
      <t xml:space="preserve">180 </t>
    </r>
    <r>
      <rPr>
        <sz val="11"/>
        <color theme="1"/>
        <rFont val="Noto Sans CJK SC"/>
        <family val="2"/>
      </rPr>
      <t xml:space="preserve">億元（約營收的 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，含德州廠），本模型未建資本支出與折舊，未改用淨利＋折舊－資本支出，擴產期現金流可能偏高估。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：台達電、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Eaton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Flex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中位數（不放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股）；台達電與 </t>
    </r>
    <r>
      <rPr>
        <sz val="11"/>
        <color theme="1"/>
        <rFont val="Calibri"/>
        <family val="2"/>
        <charset val="1"/>
      </rPr>
      <t xml:space="preserve">Vertiv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占比與市占較高、歷來倍數高於光寶，光寶十年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中位數約 </t>
    </r>
    <r>
      <rPr>
        <sz val="11"/>
        <color theme="1"/>
        <rFont val="Calibri"/>
        <family val="2"/>
        <charset val="1"/>
      </rPr>
      <t xml:space="preserve">12x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可能偏高估。情境對應：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＝順利（顆數基準、份額與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毛利率高值）、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、基準）、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、低值）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</si>
  <si>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</si>
  <si>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</si>
  <si>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</si>
  <si>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</si>
  <si>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</si>
  <si>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</si>
  <si>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</si>
  <si>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</si>
  <si>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三情境差異只來自份額相對值、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毛利率額外改善（顆數係數從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</si>
  <si>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</si>
  <si>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</si>
  <si>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</si>
  <si>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</si>
  <si>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</si>
  <si>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</si>
  <si>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</si>
  <si>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</si>
  <si>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</si>
  <si>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</si>
  <si>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</si>
  <si>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規則倍數（參考，不是目標價）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</si>
  <si>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</si>
  <si>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</si>
  <si>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</si>
  <si>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</si>
  <si>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</si>
  <si>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</si>
  <si>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</si>
  <si>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</si>
  <si>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</si>
  <si>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</si>
  <si>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</si>
  <si>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</si>
  <si>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</si>
  <si>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</si>
  <si>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依循環位置取分位。採用自算（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，與自算同量級，只作核對；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光寶頁無法取得（網站錯誤）。</t>
    </r>
    <r>
      <rPr>
        <sz val="11"/>
        <color theme="1"/>
        <rFont val="Calibri"/>
        <family val="2"/>
        <charset val="1"/>
      </rPr>
      <t xml:space="preserve">2016–2022 </t>
    </r>
    <r>
      <rPr>
        <sz val="11"/>
        <color theme="1"/>
        <rFont val="Noto Sans CJK SC"/>
        <family val="2"/>
      </rPr>
      <t xml:space="preserve">年光寶為低成長消費電子與電源零組件公司（約 </t>
    </r>
    <r>
      <rPr>
        <sz val="11"/>
        <color theme="1"/>
        <rFont val="Calibri"/>
        <family val="2"/>
        <charset val="1"/>
      </rPr>
      <t xml:space="preserve">10–12x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2017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1.13 </t>
    </r>
    <r>
      <rPr>
        <sz val="11"/>
        <color theme="1"/>
        <rFont val="Noto Sans CJK SC"/>
        <family val="2"/>
      </rPr>
      <t xml:space="preserve">含一次性損失使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偏高），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前後倍數口徑不同，規則值可能低估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期的合理倍數。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</si>
  <si>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</si>
  <si>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</si>
  <si>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Noto Sans CJK SC"/>
        <family val="2"/>
      </rPr>
      <t xml:space="preserve">自算（</t>
    </r>
    <r>
      <rPr>
        <b val="true"/>
        <sz val="11"/>
        <rFont val="Cambria"/>
        <family val="0"/>
        <charset val="1"/>
      </rPr>
      <t xml:space="preserve">digrin 12 </t>
    </r>
    <r>
      <rPr>
        <b val="true"/>
        <sz val="11"/>
        <rFont val="Noto Sans CJK SC"/>
        <family val="2"/>
      </rPr>
      <t xml:space="preserve">月未調整價格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年度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</si>
  <si>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HiStock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</si>
  <si>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</si>
  <si>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</si>
  <si>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Noto Sans CJK SC"/>
        <family val="2"/>
      </rPr>
      <t xml:space="preserve">自算（</t>
    </r>
    <r>
      <rPr>
        <sz val="11"/>
        <color theme="1"/>
        <rFont val="Calibri"/>
        <family val="2"/>
        <charset val="1"/>
      </rPr>
      <t xml:space="preserve">digrin 12 </t>
    </r>
    <r>
      <rPr>
        <sz val="11"/>
        <color theme="1"/>
        <rFont val="Noto Sans CJK SC"/>
        <family val="2"/>
      </rPr>
      <t xml:space="preserve">月未調整價格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年度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wearn 2016–2025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，只作核對，不採用）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</si>
  <si>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</si>
  <si>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</si>
  <si>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</si>
  <si>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</si>
  <si>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</si>
  <si>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</si>
  <si>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</si>
  <si>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</si>
  <si>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</si>
  <si>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</si>
  <si>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</si>
  <si>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</si>
  <si>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</si>
  <si>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</si>
  <si>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</si>
  <si>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</si>
  <si>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</si>
  <si>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</si>
  <si>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</si>
  <si>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</si>
  <si>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</si>
  <si>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</si>
  <si>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</si>
  <si>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</si>
  <si>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</si>
  <si>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</si>
  <si>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</si>
  <si>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</si>
  <si>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</si>
  <si>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</si>
  <si>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</si>
  <si>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</si>
  <si>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</si>
  <si>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）、台達電模型的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電源市場與份額、凱基份額。只作事後對照，不為對上數字而調參數。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起共識只有一個來源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</si>
  <si>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</si>
  <si>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</si>
  <si>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</si>
  <si>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</si>
  <si>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</si>
  <si>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</si>
  <si>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</si>
  <si>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</si>
  <si>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</si>
  <si>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</si>
  <si>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（參考價 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</si>
  <si>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2,193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</si>
  <si>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</si>
  <si>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MarketScreener</t>
  </si>
  <si>
    <r>
      <rPr>
        <sz val="11"/>
        <color theme="1"/>
        <rFont val="Calibri"/>
        <family val="2"/>
        <charset val="1"/>
      </rPr>
      <t xml:space="preserve">stockanalysis 10.81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家）；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10-30 </t>
    </r>
    <r>
      <rPr>
        <sz val="11"/>
        <color theme="1"/>
        <rFont val="Noto Sans CJK SC"/>
        <family val="2"/>
      </rPr>
      <t xml:space="preserve">前後）前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</si>
  <si>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</si>
  <si>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</si>
  <si>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差距說明見 </t>
    </r>
    <r>
      <rPr>
        <sz val="11"/>
        <color theme="1"/>
        <rFont val="Calibri"/>
        <family val="2"/>
        <charset val="1"/>
      </rPr>
      <t xml:space="preserve">README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2027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1.8 </t>
    </r>
    <r>
      <rPr>
        <sz val="11"/>
        <color theme="1"/>
        <rFont val="Noto Sans CJK SC"/>
        <family val="2"/>
      </rPr>
      <t xml:space="preserve">倍）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</si>
  <si>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</si>
  <si>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</si>
  <si>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AI </t>
    </r>
    <r>
      <rPr>
        <b val="true"/>
        <sz val="11"/>
        <rFont val="Noto Sans CJK SC"/>
        <family val="2"/>
      </rPr>
      <t xml:space="preserve">電源市場與份額（與台達電模型一致性檢查）</t>
    </r>
  </si>
  <si>
    <r>
      <rPr>
        <sz val="11"/>
        <color theme="1"/>
        <rFont val="Calibri"/>
        <family val="2"/>
        <charset val="1"/>
      </rPr>
      <t xml:space="preserve">CY2026 AI </t>
    </r>
    <r>
      <rPr>
        <sz val="11"/>
        <color theme="1"/>
        <rFont val="Noto Sans CJK SC"/>
        <family val="2"/>
      </rPr>
      <t xml:space="preserve">電源市場（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台達電模型（情境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</si>
  <si>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delta/dist Units </t>
    </r>
    <r>
      <rPr>
        <sz val="11"/>
        <color theme="1"/>
        <rFont val="Noto Sans CJK SC"/>
        <family val="2"/>
      </rPr>
      <t xml:space="preserve">頁（唯讀）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</si>
  <si>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應為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（同一部署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同一每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內容）</t>
    </r>
  </si>
  <si>
    <r>
      <rPr>
        <sz val="11"/>
        <color theme="1"/>
        <rFont val="Calibri"/>
        <family val="2"/>
        <charset val="1"/>
      </rPr>
      <t xml:space="preserve">CY2027 AI </t>
    </r>
    <r>
      <rPr>
        <sz val="11"/>
        <color theme="1"/>
        <rFont val="Noto Sans CJK SC"/>
        <family val="2"/>
      </rPr>
      <t xml:space="preserve">電源市場（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台達電模型（情境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</si>
  <si>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CY2028 AI </t>
    </r>
    <r>
      <rPr>
        <sz val="11"/>
        <color theme="1"/>
        <rFont val="Noto Sans CJK SC"/>
        <family val="2"/>
      </rPr>
      <t xml:space="preserve">電源市場（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台達電模型（情境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</si>
  <si>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低於台達電情境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：顆數係數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</si>
  <si>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光寶＋台達電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電源有效份額合計</t>
    </r>
  </si>
  <si>
    <r>
      <rPr>
        <sz val="11"/>
        <color theme="1"/>
        <rFont val="Noto Sans CJK SC"/>
        <family val="2"/>
      </rPr>
      <t xml:space="preserve">本模型＋</t>
    </r>
    <r>
      <rPr>
        <sz val="11"/>
        <color theme="1"/>
        <rFont val="Calibri"/>
        <family val="2"/>
        <charset val="1"/>
      </rPr>
      <t xml:space="preserve">delta/dist Units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</si>
  <si>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光寶＋台達電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電源有效份額合計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</si>
  <si>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光寶＋台達電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電源有效份額合計</t>
    </r>
  </si>
  <si>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光寶＋台達電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電源有效份額合計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</si>
  <si>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台達電模型份額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凱基台達電市占（中點）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</si>
  <si>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</si>
  <si>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口徑不同：模型分母含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機架、</t>
    </r>
    <r>
      <rPr>
        <sz val="11"/>
        <color theme="1"/>
        <rFont val="Calibri"/>
        <family val="2"/>
        <charset val="1"/>
      </rPr>
      <t xml:space="preserve">HVDC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</si>
  <si>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</t>
    </r>
  </si>
  <si>
    <r>
      <rPr>
        <sz val="11"/>
        <color theme="1"/>
        <rFont val="Noto Sans CJK SC"/>
        <family val="2"/>
      </rPr>
      <t xml:space="preserve">本模型＋</t>
    </r>
    <r>
      <rPr>
        <sz val="11"/>
        <color theme="1"/>
        <rFont val="Calibri"/>
        <family val="2"/>
        <charset val="1"/>
      </rPr>
      <t xml:space="preserve">delta/dist</t>
    </r>
  </si>
  <si>
    <t xml:space="preserve">同一市場，等於份額比</t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</si>
  <si>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</si>
  <si>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台達電模型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營收（電源＋液冷）約 </t>
    </r>
    <r>
      <rPr>
        <sz val="11"/>
        <color theme="1"/>
        <rFont val="Calibri"/>
        <family val="2"/>
        <charset val="1"/>
      </rPr>
      <t xml:space="preserve">470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</si>
  <si>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</si>
  <si>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其他營收毛利率（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</si>
  <si>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</si>
  <si>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相關毛利率＝此值＋</t>
    </r>
    <r>
      <rPr>
        <sz val="11"/>
        <color theme="1"/>
        <rFont val="Calibri"/>
        <family val="2"/>
        <charset val="1"/>
      </rPr>
      <t xml:space="preserve">d_ai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</si>
  <si>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</t>
    </r>
    <r>
      <rPr>
        <sz val="11"/>
        <color theme="1"/>
        <rFont val="Noto Sans CJK SC"/>
        <family val="2"/>
      </rPr>
      <t xml:space="preserve">（百分點）</t>
    </r>
  </si>
  <si>
    <t xml:space="preserve">錨點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</si>
  <si>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占比上升使毛利率上升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</si>
  <si>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vs 2Q26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15.6%</t>
    </r>
    <r>
      <rPr>
        <sz val="11"/>
        <color theme="1"/>
        <rFont val="Noto Sans CJK SC"/>
        <family val="2"/>
      </rPr>
      <t xml:space="preserve">（百分點）</t>
    </r>
  </si>
  <si>
    <t xml:space="preserve">stockanalysis 2Q26</t>
  </si>
  <si>
    <r>
      <rPr>
        <sz val="11"/>
        <color theme="1"/>
        <rFont val="Calibri"/>
        <family val="2"/>
        <charset val="1"/>
      </rPr>
      <t xml:space="preserve">4Q26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</si>
  <si>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 </t>
    </r>
    <r>
      <rPr>
        <sz val="11"/>
        <color theme="1"/>
        <rFont val="Calibri"/>
        <family val="2"/>
        <charset val="1"/>
      </rPr>
      <t xml:space="preserve">10-30 </t>
    </r>
    <r>
      <rPr>
        <sz val="11"/>
        <color theme="1"/>
        <rFont val="Noto Sans CJK SC"/>
        <family val="2"/>
      </rPr>
      <t xml:space="preserve">前後公布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</si>
  <si>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</si>
  <si>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，尚未建立）：上線後以部署路徑取代「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資本支出」</t>
    </r>
  </si>
  <si>
    <t xml:space="preserve">預留列：本版無數值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</si>
  <si>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目標價對帳（模型欄為情境加權值，只填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欄）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</si>
  <si>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</si>
  <si>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</si>
  <si>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t xml:space="preserve">共識只作對帳，不作校準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</si>
  <si>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</si>
  <si>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位分析師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</si>
  <si>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</si>
  <si>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＝基準輸入；有效份額、其他營收毛利率在每個案例內依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</si>
  <si>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</si>
  <si>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</si>
  <si>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</si>
  <si>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相關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</si>
  <si>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</si>
  <si>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</si>
  <si>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</si>
  <si>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相關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</si>
  <si>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</si>
  <si>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</si>
  <si>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</si>
  <si>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</si>
  <si>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B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</si>
  <si>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</si>
  <si>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2029 0.75</t>
    </r>
    <r>
      <rPr>
        <sz val="11"/>
        <color theme="1"/>
        <rFont val="Noto Sans CJK SC"/>
        <family val="2"/>
      </rPr>
      <t xml:space="preserve">（台達電、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、中國廠競爭）</t>
    </r>
  </si>
  <si>
    <t xml:space="preserve">份額提升（高）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</si>
  <si>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2027 1.10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2029 1.25</t>
    </r>
    <r>
      <rPr>
        <sz val="11"/>
        <color theme="1"/>
        <rFont val="Noto Sans CJK SC"/>
        <family val="2"/>
      </rPr>
      <t xml:space="preserve">（新 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Noto Sans CJK SC"/>
        <family val="2"/>
      </rPr>
      <t xml:space="preserve">客戶、</t>
    </r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電源櫃）</t>
    </r>
  </si>
  <si>
    <t xml:space="preserve">電源內容 低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</si>
  <si>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2026 380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2027 500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2028–29 550</t>
    </r>
    <r>
      <rPr>
        <sz val="11"/>
        <color theme="1"/>
        <rFont val="Noto Sans CJK SC"/>
        <family val="2"/>
      </rPr>
      <t xml:space="preserve">（台達電模型低值）</t>
    </r>
  </si>
  <si>
    <t xml:space="preserve">電源內容 高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</si>
  <si>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2026 520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2027 700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2028 800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2029 850</t>
    </r>
    <r>
      <rPr>
        <sz val="11"/>
        <color theme="1"/>
        <rFont val="Noto Sans CJK SC"/>
        <family val="2"/>
      </rPr>
      <t xml:space="preserve">（台達電模型高值）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</si>
  <si>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</si>
  <si>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</si>
  <si>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</si>
  <si>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</si>
  <si>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8pt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</si>
  <si>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相關毛利率只高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</si>
  <si>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16pt</t>
    </r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</si>
  <si>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</si>
  <si>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毛利率額外改善 低</t>
    </r>
  </si>
  <si>
    <r>
      <rPr>
        <sz val="11"/>
        <color theme="1"/>
        <rFont val="Calibri"/>
        <family val="2"/>
        <charset val="1"/>
      </rPr>
      <t xml:space="preserve">2027 −1pt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2028 −1.5pt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2029 −2pt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</si>
  <si>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毛利率額外改善 高</t>
    </r>
  </si>
  <si>
    <r>
      <rPr>
        <sz val="11"/>
        <color theme="1"/>
        <rFont val="Calibri"/>
        <family val="2"/>
        <charset val="1"/>
      </rPr>
      <t xml:space="preserve">2027 +1pt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+1.5pt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+2pt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</si>
  <si>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低</t>
    </r>
  </si>
  <si>
    <t xml:space="preserve">2027–29 −3%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</si>
  <si>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高</t>
    </r>
  </si>
  <si>
    <t xml:space="preserve">2027–29 +6%</t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</si>
  <si>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+1pt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</si>
  <si>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+1%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</si>
  <si>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1.0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</si>
  <si>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0.7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</si>
  <si>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0.73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</si>
  <si>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0.76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</si>
  <si>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0.78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</si>
  <si>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（全部）</t>
    </r>
  </si>
  <si>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＋份額相對值、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毛利率額外改善高值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</si>
  <si>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（全部）</t>
    </r>
  </si>
  <si>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＋份額相對值、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毛利率額外改善低值</t>
    </r>
  </si>
  <si>
    <r>
      <rPr>
        <sz val="11"/>
        <color theme="1"/>
        <rFont val="Noto Sans CJK SC"/>
        <family val="2"/>
      </rPr>
      <t xml:space="preserve">讀法：基準為情境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（顆數係數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起）。每個案例的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有效份額與其他營收毛利率依該案例重算，所以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恆等於錨點；「電源內容」案例的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份額會反向調整（內容低 → 份額高），所以只影響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起的成長路徑。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相關中非電源占比（</t>
    </r>
    <r>
      <rPr>
        <sz val="11"/>
        <color theme="1"/>
        <rFont val="Calibri"/>
        <family val="2"/>
        <charset val="1"/>
      </rPr>
      <t xml:space="preserve">x_np</t>
    </r>
    <r>
      <rPr>
        <sz val="11"/>
        <color theme="1"/>
        <rFont val="Noto Sans CJK SC"/>
        <family val="2"/>
      </rPr>
      <t xml:space="preserve">）只影響份額，不影響營收與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，未列入。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</si>
  <si>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</si>
  <si>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</si>
  <si>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</si>
  <si>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</si>
  <si>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</si>
  <si>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</si>
  <si>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</si>
  <si>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</si>
  <si>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</si>
  <si>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</si>
  <si>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</si>
  <si>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</si>
  <si>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</si>
  <si>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</si>
  <si>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</si>
  <si>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</si>
  <si>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</si>
  <si>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案例區塊：份額提升（高）（情境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</si>
  <si>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案例區塊：電源內容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</si>
  <si>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案例區塊：電源內容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</si>
  <si>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</si>
  <si>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</si>
  <si>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8pt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</si>
  <si>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16pt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</si>
  <si>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毛利率額外改善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</si>
  <si>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毛利率額外改善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</si>
  <si>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</si>
  <si>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</si>
  <si>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+1pt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</si>
  <si>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</si>
  <si>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稅前 </t>
    </r>
    <r>
      <rPr>
        <b val="true"/>
        <sz val="11"/>
        <rFont val="Cambria"/>
        <family val="0"/>
        <charset val="1"/>
      </rPr>
      <t xml:space="preserve">0.73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</si>
  <si>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稅前 </t>
    </r>
    <r>
      <rPr>
        <b val="true"/>
        <sz val="11"/>
        <rFont val="Cambria"/>
        <family val="0"/>
        <charset val="1"/>
      </rPr>
      <t xml:space="preserve">0.78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</si>
  <si>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來源（公司原文＝光寶科財報、月營收公告與法說會，經資料商與媒體轉述；券商與媒體估計皆為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</si>
  <si>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二手：優分析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損益、雲端與物聯網營收與營業利益）</t>
    </r>
  </si>
  <si>
    <t xml:space="preserve">https://uanalyze.com.tw/articles/3402052563</t>
  </si>
  <si>
    <r>
      <rPr>
        <sz val="11"/>
        <color theme="1"/>
        <rFont val="Noto Sans CJK SC"/>
        <family val="2"/>
      </rPr>
      <t xml:space="preserve">二手：富果 </t>
    </r>
    <r>
      <rPr>
        <sz val="11"/>
        <color theme="1"/>
        <rFont val="Calibri"/>
        <family val="2"/>
        <charset val="1"/>
      </rPr>
      <t xml:space="preserve">2026-07-31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占比超過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 </t>
    </r>
    <r>
      <rPr>
        <sz val="11"/>
        <color theme="1"/>
        <rFont val="Noto Sans CJK SC"/>
        <family val="2"/>
      </rPr>
      <t xml:space="preserve">占雲端 </t>
    </r>
    <r>
      <rPr>
        <sz val="11"/>
        <color theme="1"/>
        <rFont val="Calibri"/>
        <family val="2"/>
        <charset val="1"/>
      </rPr>
      <t xml:space="preserve">20–25%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時程、資本支出 </t>
    </r>
    <r>
      <rPr>
        <sz val="11"/>
        <color theme="1"/>
        <rFont val="Calibri"/>
        <family val="2"/>
        <charset val="1"/>
      </rPr>
      <t xml:space="preserve">180 </t>
    </r>
    <r>
      <rPr>
        <sz val="11"/>
        <color theme="1"/>
        <rFont val="Noto Sans CJK SC"/>
        <family val="2"/>
      </rPr>
      <t xml:space="preserve">億、產能）</t>
    </r>
  </si>
  <si>
    <t xml:space="preserve">https://blog.fugle.tw/post/earnings-call-2301-2026-07-31</t>
  </si>
  <si>
    <r>
      <rPr>
        <sz val="11"/>
        <color theme="1"/>
        <rFont val="Noto Sans CJK SC"/>
        <family val="2"/>
      </rPr>
      <t xml:space="preserve">二手：優分析 </t>
    </r>
    <r>
      <rPr>
        <sz val="11"/>
        <color theme="1"/>
        <rFont val="Calibri"/>
        <family val="2"/>
        <charset val="1"/>
      </rPr>
      <t xml:space="preserve">2026-02-25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損益、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占比超過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</t>
    </r>
  </si>
  <si>
    <t xml:space="preserve">https://uanalyze.com.tw/articles/1580848095</t>
  </si>
  <si>
    <r>
      <rPr>
        <sz val="11"/>
        <color theme="1"/>
        <rFont val="Noto Sans CJK SC"/>
        <family val="2"/>
      </rPr>
      <t xml:space="preserve">二手：富果 </t>
    </r>
    <r>
      <rPr>
        <sz val="11"/>
        <color theme="1"/>
        <rFont val="Calibri"/>
        <family val="2"/>
        <charset val="1"/>
      </rPr>
      <t xml:space="preserve">2026-02-25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部門占比、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指引、資本支出）</t>
    </r>
  </si>
  <si>
    <t xml:space="preserve">https://blog.fugle.tw/post/earnings-call-2301-2026-02-25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</si>
  <si>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technews 2026-10-08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 </t>
    </r>
    <r>
      <rPr>
        <sz val="11"/>
        <color theme="1"/>
        <rFont val="Calibri"/>
        <family val="2"/>
        <charset val="1"/>
      </rPr>
      <t xml:space="preserve">188.48 </t>
    </r>
    <r>
      <rPr>
        <sz val="11"/>
        <color theme="1"/>
        <rFont val="Noto Sans CJK SC"/>
        <family val="2"/>
      </rPr>
      <t xml:space="preserve">億、前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1,535.59 </t>
    </r>
    <r>
      <rPr>
        <sz val="11"/>
        <color theme="1"/>
        <rFont val="Noto Sans CJK SC"/>
        <family val="2"/>
      </rPr>
      <t xml:space="preserve">億）</t>
    </r>
  </si>
  <si>
    <t xml:space="preserve">https://finance.technews.tw/2026/10/08/ltc-2301-202609-financial-report/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</si>
  <si>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nstock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收盤、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月營收）</t>
    </r>
  </si>
  <si>
    <t xml:space="preserve">https://www.nstock.tw/2301?status=2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</si>
  <si>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（現價、近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月與前瞻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、股數、共識目標價；同業前瞻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</si>
  <si>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季度與年度損益（營收、毛利、營業利益、淨利、稅前淨利率）</t>
    </r>
  </si>
  <si>
    <t xml:space="preserve">https://stockanalysis.com/quote/tpe/2301/financials/?p=quarterly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</si>
  <si>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forecast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2026-09-23 </t>
    </r>
    <r>
      <rPr>
        <sz val="11"/>
        <color theme="1"/>
        <rFont val="Noto Sans CJK SC"/>
        <family val="2"/>
      </rPr>
      <t xml:space="preserve">目標價區間、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</si>
  <si>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https://stockanalysis.com/quote/tpe/2301/forecast/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</si>
  <si>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FY2026–28 </t>
    </r>
    <r>
      <rPr>
        <sz val="11"/>
        <color theme="1"/>
        <rFont val="Noto Sans CJK SC"/>
        <family val="2"/>
      </rPr>
      <t xml:space="preserve">共識營收、淨利、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</si>
  <si>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wearn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2012–2025 </t>
    </r>
    <r>
      <rPr>
        <sz val="11"/>
        <color theme="1"/>
        <rFont val="Noto Sans CJK SC"/>
        <family val="2"/>
      </rPr>
      <t xml:space="preserve">年度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、淨利率、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</t>
    </r>
  </si>
  <si>
    <t xml:space="preserve">https://stock.wearn.com/financial.asp?kind=2301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</si>
  <si>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2014–2025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月價格，未調整）</t>
    </r>
  </si>
  <si>
    <t xml:space="preserve">https://www.digrin.com/stocks/detail/2301.TW/price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</si>
  <si>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 2021–2025</t>
    </r>
    <r>
      <rPr>
        <sz val="11"/>
        <color theme="1"/>
        <rFont val="Noto Sans CJK SC"/>
        <family val="2"/>
      </rPr>
      <t xml:space="preserve">）</t>
    </r>
  </si>
  <si>
    <t xml:space="preserve">https://histock.tw/stock/2301/%E6%9C%AC%E7%9B%8A%E6%AF%94</t>
  </si>
  <si>
    <r>
      <rPr>
        <sz val="11"/>
        <color theme="1"/>
        <rFont val="Noto Sans CJK SC"/>
        <family val="2"/>
      </rPr>
      <t xml:space="preserve">券商：凱基 </t>
    </r>
    <r>
      <rPr>
        <sz val="11"/>
        <color theme="1"/>
        <rFont val="Calibri"/>
        <family val="2"/>
        <charset val="1"/>
      </rPr>
      <t xml:space="preserve">Power supply sector 2025-09-26</t>
    </r>
    <r>
      <rPr>
        <sz val="11"/>
        <color theme="1"/>
        <rFont val="Noto Sans CJK SC"/>
        <family val="2"/>
      </rPr>
      <t xml:space="preserve">（台達電市占 </t>
    </r>
    <r>
      <rPr>
        <sz val="11"/>
        <color theme="1"/>
        <rFont val="Calibri"/>
        <family val="2"/>
        <charset val="1"/>
      </rPr>
      <t xml:space="preserve">60–65%</t>
    </r>
    <r>
      <rPr>
        <sz val="11"/>
        <color theme="1"/>
        <rFont val="Noto Sans CJK SC"/>
        <family val="2"/>
      </rPr>
      <t xml:space="preserve">、光寶第二梯隊、每架電源內容）</t>
    </r>
  </si>
  <si>
    <t xml:space="preserve">https://www.kgi.com.hk/zh-hk/-/media/files/kgishk/research-reports/tw-reports/power-supply-sector_20250926e.pdf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</si>
  <si>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成品；</t>
    </r>
    <r>
      <rPr>
        <sz val="11"/>
        <color theme="1"/>
        <rFont val="Calibri"/>
        <family val="2"/>
        <charset val="1"/>
      </rPr>
      <t xml:space="preserve">delta </t>
    </r>
    <r>
      <rPr>
        <sz val="11"/>
        <color theme="1"/>
        <rFont val="Noto Sans CJK SC"/>
        <family val="2"/>
      </rPr>
      <t xml:space="preserve">成品（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內容、台達電份額，本專案權威）（本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</si>
  <si>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無法取得：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頁（網站錯誤）；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收盤；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月個別營收</t>
    </r>
  </si>
  <si>
    <t xml:space="preserve">未找到</t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</si>
  <si>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</t>
    </r>
    <r>
      <rPr>
        <sz val="11"/>
        <color theme="1"/>
        <rFont val="Calibri"/>
        <family val="2"/>
        <charset val="1"/>
      </rPr>
      <t xml:space="preserve">10-30 </t>
    </r>
    <r>
      <rPr>
        <sz val="11"/>
        <color theme="1"/>
        <rFont val="Noto Sans CJK SC"/>
        <family val="2"/>
      </rPr>
      <t xml:space="preserve">前後）；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月營收（</t>
    </r>
    <r>
      <rPr>
        <sz val="11"/>
        <color theme="1"/>
        <rFont val="Calibri"/>
        <family val="2"/>
        <charset val="1"/>
      </rPr>
      <t xml:space="preserve">11-10 </t>
    </r>
    <r>
      <rPr>
        <sz val="11"/>
        <color theme="1"/>
        <rFont val="Noto Sans CJK SC"/>
        <family val="2"/>
      </rPr>
      <t xml:space="preserve">前後）；部門別毛利率；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電源與 </t>
    </r>
    <r>
      <rPr>
        <sz val="11"/>
        <color theme="1"/>
        <rFont val="Calibri"/>
        <family val="2"/>
        <charset val="1"/>
      </rPr>
      <t xml:space="preserve">BBU </t>
    </r>
    <r>
      <rPr>
        <sz val="11"/>
        <color theme="1"/>
        <rFont val="Noto Sans CJK SC"/>
        <family val="2"/>
      </rPr>
      <t xml:space="preserve">的季度金額；光寶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電源市占的量化來源；資本支出與折舊路徑；前瞻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起共識第二來源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</si>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</sst>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%"/>
    <numFmt numFmtId="166" formatCode="General"/>
    <numFmt numFmtId="167" formatCode="#,##0.000"/>
    <numFmt numFmtId="168" formatCode="0.00"/>
    <numFmt numFmtId="169" formatCode="0.0"/>
    <numFmt numFmtId="170" formatCode="#,##0"/>
    <numFmt numFmtId="171" formatCode="#,##0.0"/>
    <numFmt numFmtId="172" formatCode="#,##0.00"/>
    <numFmt numFmtId="173" formatCode="0.0000"/>
    <numFmt numFmtId="174" formatCode="@"/>
    <numFmt numFmtId="175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7.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7.15" hidden="false" customHeight="false" outlineLevel="0" collapsed="false">
      <c r="A18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15</v>
      </c>
    </row>
    <row r="2" customFormat="false" ht="17.15" hidden="false" customHeight="false" outlineLevel="0" collapsed="false">
      <c r="A2" s="4" t="s">
        <v>16</v>
      </c>
    </row>
    <row r="3" customFormat="false" ht="17.15" hidden="false" customHeight="false" outlineLevel="0" collapsed="false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</row>
    <row r="4" customFormat="false" ht="17.15" hidden="false" customHeight="false" outlineLevel="0" collapsed="false">
      <c r="A4" s="6" t="s">
        <v>26</v>
      </c>
    </row>
    <row r="5" customFormat="false" ht="17.15" hidden="false" customHeight="false" outlineLevel="0" collapsed="false">
      <c r="A5" s="0" t="s">
        <v>27</v>
      </c>
      <c r="B5" s="0" t="s">
        <v>28</v>
      </c>
      <c r="C5" s="0" t="s">
        <v>29</v>
      </c>
      <c r="E5" s="7" t="n">
        <v>781.872916666667</v>
      </c>
      <c r="G5" s="8" t="s">
        <v>30</v>
      </c>
      <c r="H5" s="8" t="s">
        <v>31</v>
      </c>
      <c r="I5" s="4" t="s">
        <v>32</v>
      </c>
    </row>
    <row r="6" customFormat="false" ht="17.15" hidden="false" customHeight="false" outlineLevel="0" collapsed="false">
      <c r="A6" s="0" t="s">
        <v>33</v>
      </c>
      <c r="B6" s="0" t="s">
        <v>34</v>
      </c>
      <c r="C6" s="0" t="s">
        <v>29</v>
      </c>
      <c r="E6" s="7" t="n">
        <v>1565.35</v>
      </c>
      <c r="G6" s="8" t="s">
        <v>30</v>
      </c>
      <c r="H6" s="8" t="s">
        <v>31</v>
      </c>
      <c r="I6" s="4" t="s">
        <v>35</v>
      </c>
    </row>
    <row r="7" customFormat="false" ht="17.15" hidden="false" customHeight="false" outlineLevel="0" collapsed="false">
      <c r="A7" s="0" t="s">
        <v>36</v>
      </c>
      <c r="B7" s="0" t="s">
        <v>37</v>
      </c>
      <c r="C7" s="0" t="s">
        <v>29</v>
      </c>
      <c r="E7" s="7" t="n">
        <v>1984.26388888889</v>
      </c>
      <c r="G7" s="8" t="s">
        <v>30</v>
      </c>
      <c r="H7" s="8" t="s">
        <v>31</v>
      </c>
      <c r="I7" s="4" t="s">
        <v>35</v>
      </c>
    </row>
    <row r="8" customFormat="false" ht="17.15" hidden="false" customHeight="false" outlineLevel="0" collapsed="false">
      <c r="A8" s="0" t="s">
        <v>38</v>
      </c>
      <c r="B8" s="0" t="s">
        <v>39</v>
      </c>
      <c r="C8" s="0" t="s">
        <v>29</v>
      </c>
      <c r="E8" s="7" t="n">
        <v>2260.39027777778</v>
      </c>
      <c r="G8" s="8" t="s">
        <v>30</v>
      </c>
      <c r="H8" s="8" t="s">
        <v>31</v>
      </c>
      <c r="I8" s="4" t="s">
        <v>35</v>
      </c>
    </row>
    <row r="9" customFormat="false" ht="17.15" hidden="false" customHeight="false" outlineLevel="0" collapsed="false">
      <c r="A9" s="0" t="s">
        <v>40</v>
      </c>
      <c r="B9" s="4" t="s">
        <v>41</v>
      </c>
      <c r="C9" s="0" t="s">
        <v>29</v>
      </c>
      <c r="E9" s="7" t="n">
        <v>32.237224</v>
      </c>
      <c r="G9" s="8" t="s">
        <v>30</v>
      </c>
      <c r="H9" s="8" t="s">
        <v>42</v>
      </c>
      <c r="I9" s="8" t="s">
        <v>43</v>
      </c>
    </row>
    <row r="10" customFormat="false" ht="17.15" hidden="false" customHeight="false" outlineLevel="0" collapsed="false">
      <c r="A10" s="0" t="s">
        <v>44</v>
      </c>
      <c r="B10" s="4" t="s">
        <v>45</v>
      </c>
      <c r="C10" s="0" t="s">
        <v>29</v>
      </c>
      <c r="E10" s="7" t="n">
        <v>37.586352</v>
      </c>
      <c r="G10" s="8" t="s">
        <v>30</v>
      </c>
      <c r="H10" s="8" t="s">
        <v>42</v>
      </c>
      <c r="I10" s="4" t="s">
        <v>46</v>
      </c>
    </row>
    <row r="11" customFormat="false" ht="17.15" hidden="false" customHeight="false" outlineLevel="0" collapsed="false">
      <c r="A11" s="0" t="s">
        <v>47</v>
      </c>
      <c r="B11" s="0" t="s">
        <v>48</v>
      </c>
      <c r="C11" s="0" t="s">
        <v>49</v>
      </c>
      <c r="D11" s="7" t="n">
        <v>0.15</v>
      </c>
      <c r="E11" s="7" t="n">
        <v>0.22</v>
      </c>
      <c r="F11" s="7" t="n">
        <v>0.3</v>
      </c>
      <c r="G11" s="8" t="s">
        <v>50</v>
      </c>
      <c r="H11" s="8" t="s">
        <v>51</v>
      </c>
      <c r="I11" s="8" t="s">
        <v>52</v>
      </c>
    </row>
    <row r="12" customFormat="false" ht="17.15" hidden="false" customHeight="false" outlineLevel="0" collapsed="false">
      <c r="A12" s="0" t="s">
        <v>53</v>
      </c>
      <c r="B12" s="4" t="s">
        <v>54</v>
      </c>
      <c r="C12" s="4" t="s">
        <v>55</v>
      </c>
      <c r="E12" s="7" t="n">
        <v>4052</v>
      </c>
      <c r="G12" s="8" t="s">
        <v>30</v>
      </c>
      <c r="H12" s="8" t="s">
        <v>56</v>
      </c>
      <c r="I12" s="8" t="s">
        <v>57</v>
      </c>
    </row>
    <row r="13" customFormat="false" ht="17.15" hidden="false" customHeight="false" outlineLevel="0" collapsed="false">
      <c r="A13" s="0" t="s">
        <v>58</v>
      </c>
      <c r="B13" s="4" t="s">
        <v>59</v>
      </c>
      <c r="C13" s="0" t="s">
        <v>60</v>
      </c>
      <c r="E13" s="7" t="n">
        <v>1</v>
      </c>
      <c r="G13" s="8" t="s">
        <v>61</v>
      </c>
      <c r="H13" s="8" t="s">
        <v>62</v>
      </c>
      <c r="I13" s="8" t="s">
        <v>63</v>
      </c>
    </row>
    <row r="14" customFormat="false" ht="17.15" hidden="false" customHeight="false" outlineLevel="0" collapsed="false">
      <c r="A14" s="0" t="s">
        <v>64</v>
      </c>
      <c r="B14" s="4" t="s">
        <v>65</v>
      </c>
      <c r="C14" s="0" t="s">
        <v>60</v>
      </c>
      <c r="E14" s="7" t="n">
        <v>1</v>
      </c>
      <c r="G14" s="8" t="s">
        <v>61</v>
      </c>
      <c r="H14" s="8" t="s">
        <v>66</v>
      </c>
      <c r="I14" s="4" t="s">
        <v>35</v>
      </c>
    </row>
    <row r="15" customFormat="false" ht="17.15" hidden="false" customHeight="false" outlineLevel="0" collapsed="false">
      <c r="A15" s="0" t="s">
        <v>67</v>
      </c>
      <c r="B15" s="4" t="s">
        <v>68</v>
      </c>
      <c r="C15" s="0" t="s">
        <v>60</v>
      </c>
      <c r="E15" s="7" t="n">
        <v>0.8</v>
      </c>
      <c r="G15" s="8" t="s">
        <v>61</v>
      </c>
      <c r="H15" s="8" t="s">
        <v>69</v>
      </c>
      <c r="I15" s="8" t="s">
        <v>63</v>
      </c>
    </row>
    <row r="16" customFormat="false" ht="17.15" hidden="false" customHeight="false" outlineLevel="0" collapsed="false">
      <c r="A16" s="0" t="s">
        <v>70</v>
      </c>
      <c r="B16" s="4" t="s">
        <v>71</v>
      </c>
      <c r="C16" s="0" t="s">
        <v>60</v>
      </c>
      <c r="E16" s="7" t="n">
        <v>0.85</v>
      </c>
      <c r="G16" s="8" t="s">
        <v>61</v>
      </c>
      <c r="H16" s="8" t="s">
        <v>72</v>
      </c>
      <c r="I16" s="4" t="s">
        <v>35</v>
      </c>
    </row>
    <row r="17" customFormat="false" ht="17.15" hidden="false" customHeight="false" outlineLevel="0" collapsed="false">
      <c r="A17" s="0" t="s">
        <v>73</v>
      </c>
      <c r="B17" s="4" t="s">
        <v>74</v>
      </c>
      <c r="C17" s="0" t="s">
        <v>60</v>
      </c>
      <c r="E17" s="7" t="n">
        <v>0.6</v>
      </c>
      <c r="G17" s="8" t="s">
        <v>61</v>
      </c>
      <c r="H17" s="8" t="s">
        <v>75</v>
      </c>
      <c r="I17" s="8" t="s">
        <v>63</v>
      </c>
    </row>
    <row r="18" customFormat="false" ht="17.15" hidden="false" customHeight="false" outlineLevel="0" collapsed="false">
      <c r="A18" s="0" t="s">
        <v>76</v>
      </c>
      <c r="B18" s="4" t="s">
        <v>77</v>
      </c>
      <c r="C18" s="0" t="s">
        <v>60</v>
      </c>
      <c r="E18" s="7" t="n">
        <v>0.6</v>
      </c>
      <c r="G18" s="8" t="s">
        <v>61</v>
      </c>
      <c r="H18" s="8" t="s">
        <v>78</v>
      </c>
      <c r="I18" s="4" t="s">
        <v>35</v>
      </c>
    </row>
    <row r="19" customFormat="false" ht="17.15" hidden="false" customHeight="false" outlineLevel="0" collapsed="false">
      <c r="A19" s="0" t="s">
        <v>79</v>
      </c>
      <c r="B19" s="4" t="s">
        <v>80</v>
      </c>
      <c r="C19" s="0" t="s">
        <v>81</v>
      </c>
      <c r="D19" s="7" t="n">
        <v>30.5</v>
      </c>
      <c r="E19" s="7" t="n">
        <v>32</v>
      </c>
      <c r="F19" s="7" t="n">
        <v>33</v>
      </c>
      <c r="G19" s="8" t="s">
        <v>30</v>
      </c>
      <c r="H19" s="8" t="s">
        <v>82</v>
      </c>
      <c r="I19" s="4" t="s">
        <v>83</v>
      </c>
    </row>
    <row r="20" customFormat="false" ht="17.15" hidden="false" customHeight="false" outlineLevel="0" collapsed="false">
      <c r="A20" s="6" t="s">
        <v>84</v>
      </c>
    </row>
    <row r="21" customFormat="false" ht="17.15" hidden="false" customHeight="false" outlineLevel="0" collapsed="false">
      <c r="A21" s="0" t="s">
        <v>85</v>
      </c>
      <c r="B21" s="0" t="s">
        <v>86</v>
      </c>
      <c r="C21" s="0" t="s">
        <v>87</v>
      </c>
      <c r="D21" s="7" t="n">
        <v>380</v>
      </c>
      <c r="E21" s="7" t="n">
        <v>450</v>
      </c>
      <c r="F21" s="7" t="n">
        <v>520</v>
      </c>
      <c r="G21" s="8" t="s">
        <v>30</v>
      </c>
      <c r="H21" s="8" t="s">
        <v>88</v>
      </c>
      <c r="I21" s="4" t="s">
        <v>89</v>
      </c>
    </row>
    <row r="22" customFormat="false" ht="17.15" hidden="false" customHeight="false" outlineLevel="0" collapsed="false">
      <c r="A22" s="0" t="s">
        <v>90</v>
      </c>
      <c r="B22" s="0" t="s">
        <v>91</v>
      </c>
      <c r="C22" s="0" t="s">
        <v>87</v>
      </c>
      <c r="D22" s="7" t="n">
        <v>500</v>
      </c>
      <c r="E22" s="7" t="n">
        <v>600</v>
      </c>
      <c r="F22" s="7" t="n">
        <v>700</v>
      </c>
      <c r="G22" s="8" t="s">
        <v>30</v>
      </c>
      <c r="H22" s="8" t="s">
        <v>92</v>
      </c>
      <c r="I22" s="4" t="s">
        <v>93</v>
      </c>
    </row>
    <row r="23" customFormat="false" ht="17.15" hidden="false" customHeight="false" outlineLevel="0" collapsed="false">
      <c r="A23" s="0" t="s">
        <v>94</v>
      </c>
      <c r="B23" s="0" t="s">
        <v>95</v>
      </c>
      <c r="C23" s="0" t="s">
        <v>87</v>
      </c>
      <c r="D23" s="7" t="n">
        <v>550</v>
      </c>
      <c r="E23" s="7" t="n">
        <v>680</v>
      </c>
      <c r="F23" s="7" t="n">
        <v>800</v>
      </c>
      <c r="G23" s="8" t="s">
        <v>61</v>
      </c>
      <c r="H23" s="8" t="s">
        <v>96</v>
      </c>
      <c r="I23" s="4" t="s">
        <v>93</v>
      </c>
    </row>
    <row r="24" customFormat="false" ht="17.15" hidden="false" customHeight="false" outlineLevel="0" collapsed="false">
      <c r="A24" s="0" t="s">
        <v>97</v>
      </c>
      <c r="B24" s="0" t="s">
        <v>98</v>
      </c>
      <c r="C24" s="0" t="s">
        <v>87</v>
      </c>
      <c r="D24" s="7" t="n">
        <v>550</v>
      </c>
      <c r="E24" s="7" t="n">
        <v>720</v>
      </c>
      <c r="F24" s="7" t="n">
        <v>850</v>
      </c>
      <c r="G24" s="8" t="s">
        <v>61</v>
      </c>
      <c r="H24" s="8" t="s">
        <v>99</v>
      </c>
      <c r="I24" s="4" t="s">
        <v>93</v>
      </c>
    </row>
    <row r="25" customFormat="false" ht="17.15" hidden="false" customHeight="false" outlineLevel="0" collapsed="false">
      <c r="A25" s="0" t="s">
        <v>100</v>
      </c>
      <c r="B25" s="0" t="s">
        <v>101</v>
      </c>
      <c r="C25" s="0" t="s">
        <v>49</v>
      </c>
      <c r="D25" s="7" t="n">
        <v>0</v>
      </c>
      <c r="E25" s="7" t="n">
        <v>0.1</v>
      </c>
      <c r="F25" s="7" t="n">
        <v>0.25</v>
      </c>
      <c r="G25" s="8" t="s">
        <v>61</v>
      </c>
      <c r="H25" s="4" t="s">
        <v>102</v>
      </c>
      <c r="I25" s="4" t="s">
        <v>103</v>
      </c>
    </row>
    <row r="26" customFormat="false" ht="17.15" hidden="false" customHeight="false" outlineLevel="0" collapsed="false">
      <c r="A26" s="0" t="s">
        <v>104</v>
      </c>
      <c r="B26" s="4" t="s">
        <v>105</v>
      </c>
      <c r="C26" s="0" t="s">
        <v>60</v>
      </c>
      <c r="D26" s="7" t="n">
        <v>0.85</v>
      </c>
      <c r="E26" s="7" t="n">
        <v>1</v>
      </c>
      <c r="F26" s="7" t="n">
        <v>1.1</v>
      </c>
      <c r="G26" s="8" t="s">
        <v>61</v>
      </c>
      <c r="H26" s="4" t="s">
        <v>106</v>
      </c>
      <c r="I26" s="4" t="s">
        <v>107</v>
      </c>
    </row>
    <row r="27" customFormat="false" ht="17.15" hidden="false" customHeight="false" outlineLevel="0" collapsed="false">
      <c r="A27" s="0" t="s">
        <v>108</v>
      </c>
      <c r="B27" s="4" t="s">
        <v>109</v>
      </c>
      <c r="C27" s="0" t="s">
        <v>60</v>
      </c>
      <c r="D27" s="7" t="n">
        <v>0.8</v>
      </c>
      <c r="E27" s="7" t="n">
        <v>1</v>
      </c>
      <c r="F27" s="7" t="n">
        <v>1.2</v>
      </c>
      <c r="G27" s="8" t="s">
        <v>61</v>
      </c>
      <c r="H27" s="4" t="s">
        <v>35</v>
      </c>
      <c r="I27" s="8" t="s">
        <v>52</v>
      </c>
    </row>
    <row r="28" customFormat="false" ht="17.15" hidden="false" customHeight="false" outlineLevel="0" collapsed="false">
      <c r="A28" s="0" t="s">
        <v>110</v>
      </c>
      <c r="B28" s="4" t="s">
        <v>111</v>
      </c>
      <c r="C28" s="0" t="s">
        <v>60</v>
      </c>
      <c r="D28" s="7" t="n">
        <v>0.75</v>
      </c>
      <c r="E28" s="7" t="n">
        <v>1</v>
      </c>
      <c r="F28" s="7" t="n">
        <v>1.25</v>
      </c>
      <c r="G28" s="8" t="s">
        <v>61</v>
      </c>
      <c r="H28" s="4" t="s">
        <v>35</v>
      </c>
      <c r="I28" s="8" t="s">
        <v>52</v>
      </c>
    </row>
    <row r="29" customFormat="false" ht="17.15" hidden="false" customHeight="false" outlineLevel="0" collapsed="false">
      <c r="A29" s="6" t="s">
        <v>112</v>
      </c>
    </row>
    <row r="30" customFormat="false" ht="17.15" hidden="false" customHeight="false" outlineLevel="0" collapsed="false">
      <c r="A30" s="0" t="s">
        <v>113</v>
      </c>
      <c r="B30" s="0" t="s">
        <v>114</v>
      </c>
      <c r="C30" s="0" t="s">
        <v>49</v>
      </c>
      <c r="D30" s="7" t="n">
        <v>0.2</v>
      </c>
      <c r="E30" s="7" t="n">
        <v>0.21</v>
      </c>
      <c r="F30" s="7" t="n">
        <v>0.23</v>
      </c>
      <c r="G30" s="8" t="s">
        <v>50</v>
      </c>
      <c r="H30" s="8" t="s">
        <v>115</v>
      </c>
      <c r="I30" s="8" t="s">
        <v>116</v>
      </c>
    </row>
    <row r="31" customFormat="false" ht="17.15" hidden="false" customHeight="false" outlineLevel="0" collapsed="false">
      <c r="A31" s="0" t="s">
        <v>117</v>
      </c>
      <c r="B31" s="0" t="s">
        <v>118</v>
      </c>
      <c r="C31" s="0" t="s">
        <v>49</v>
      </c>
      <c r="D31" s="7" t="n">
        <v>0.3</v>
      </c>
      <c r="E31" s="7" t="n">
        <v>0.31</v>
      </c>
      <c r="F31" s="7" t="n">
        <v>0.35</v>
      </c>
      <c r="G31" s="8" t="s">
        <v>50</v>
      </c>
      <c r="H31" s="8" t="s">
        <v>119</v>
      </c>
      <c r="I31" s="8" t="s">
        <v>120</v>
      </c>
    </row>
    <row r="32" customFormat="false" ht="17.15" hidden="false" customHeight="false" outlineLevel="0" collapsed="false">
      <c r="A32" s="0" t="s">
        <v>121</v>
      </c>
      <c r="B32" s="4" t="s">
        <v>122</v>
      </c>
      <c r="C32" s="0" t="s">
        <v>49</v>
      </c>
      <c r="D32" s="7" t="n">
        <v>-0.03</v>
      </c>
      <c r="E32" s="7" t="n">
        <v>0.03</v>
      </c>
      <c r="F32" s="7" t="n">
        <v>0.06</v>
      </c>
      <c r="G32" s="8" t="s">
        <v>61</v>
      </c>
      <c r="H32" s="4" t="s">
        <v>123</v>
      </c>
      <c r="I32" s="8" t="s">
        <v>124</v>
      </c>
    </row>
    <row r="33" customFormat="false" ht="17.15" hidden="false" customHeight="false" outlineLevel="0" collapsed="false">
      <c r="A33" s="0" t="s">
        <v>125</v>
      </c>
      <c r="B33" s="4" t="s">
        <v>126</v>
      </c>
      <c r="C33" s="0" t="s">
        <v>49</v>
      </c>
      <c r="D33" s="7" t="n">
        <v>-0.03</v>
      </c>
      <c r="E33" s="7" t="n">
        <v>0.03</v>
      </c>
      <c r="F33" s="7" t="n">
        <v>0.06</v>
      </c>
      <c r="G33" s="8" t="s">
        <v>61</v>
      </c>
      <c r="H33" s="4" t="s">
        <v>35</v>
      </c>
      <c r="I33" s="8" t="s">
        <v>52</v>
      </c>
    </row>
    <row r="34" customFormat="false" ht="17.15" hidden="false" customHeight="false" outlineLevel="0" collapsed="false">
      <c r="A34" s="0" t="s">
        <v>127</v>
      </c>
      <c r="B34" s="4" t="s">
        <v>128</v>
      </c>
      <c r="C34" s="0" t="s">
        <v>49</v>
      </c>
      <c r="D34" s="7" t="n">
        <v>-0.03</v>
      </c>
      <c r="E34" s="7" t="n">
        <v>0.03</v>
      </c>
      <c r="F34" s="7" t="n">
        <v>0.06</v>
      </c>
      <c r="G34" s="8" t="s">
        <v>61</v>
      </c>
      <c r="H34" s="4" t="s">
        <v>35</v>
      </c>
      <c r="I34" s="8" t="s">
        <v>52</v>
      </c>
    </row>
    <row r="35" customFormat="false" ht="17.15" hidden="false" customHeight="false" outlineLevel="0" collapsed="false">
      <c r="A35" s="6" t="s">
        <v>129</v>
      </c>
    </row>
    <row r="36" customFormat="false" ht="17.15" hidden="false" customHeight="false" outlineLevel="0" collapsed="false">
      <c r="A36" s="0" t="s">
        <v>130</v>
      </c>
      <c r="B36" s="0" t="s">
        <v>131</v>
      </c>
      <c r="C36" s="0" t="s">
        <v>132</v>
      </c>
      <c r="D36" s="7" t="n">
        <v>0.08</v>
      </c>
      <c r="E36" s="7" t="n">
        <v>0.12</v>
      </c>
      <c r="F36" s="7" t="n">
        <v>0.16</v>
      </c>
      <c r="G36" s="8" t="s">
        <v>61</v>
      </c>
      <c r="H36" s="8" t="s">
        <v>133</v>
      </c>
      <c r="I36" s="4" t="s">
        <v>134</v>
      </c>
    </row>
    <row r="37" customFormat="false" ht="17.15" hidden="false" customHeight="false" outlineLevel="0" collapsed="false">
      <c r="A37" s="0" t="s">
        <v>135</v>
      </c>
      <c r="B37" s="0" t="s">
        <v>136</v>
      </c>
      <c r="C37" s="0" t="s">
        <v>132</v>
      </c>
      <c r="D37" s="7" t="n">
        <v>-0.01</v>
      </c>
      <c r="E37" s="7" t="n">
        <v>0</v>
      </c>
      <c r="F37" s="7" t="n">
        <v>0.01</v>
      </c>
      <c r="G37" s="8" t="s">
        <v>61</v>
      </c>
      <c r="H37" s="4" t="s">
        <v>137</v>
      </c>
      <c r="I37" s="4" t="s">
        <v>138</v>
      </c>
    </row>
    <row r="38" customFormat="false" ht="17.15" hidden="false" customHeight="false" outlineLevel="0" collapsed="false">
      <c r="A38" s="0" t="s">
        <v>139</v>
      </c>
      <c r="B38" s="0" t="s">
        <v>140</v>
      </c>
      <c r="C38" s="0" t="s">
        <v>132</v>
      </c>
      <c r="D38" s="7" t="n">
        <v>-0.015</v>
      </c>
      <c r="E38" s="7" t="n">
        <v>0</v>
      </c>
      <c r="F38" s="7" t="n">
        <v>0.015</v>
      </c>
      <c r="G38" s="8" t="s">
        <v>61</v>
      </c>
      <c r="H38" s="4" t="s">
        <v>35</v>
      </c>
      <c r="I38" s="8" t="s">
        <v>52</v>
      </c>
    </row>
    <row r="39" customFormat="false" ht="17.15" hidden="false" customHeight="false" outlineLevel="0" collapsed="false">
      <c r="A39" s="0" t="s">
        <v>141</v>
      </c>
      <c r="B39" s="0" t="s">
        <v>142</v>
      </c>
      <c r="C39" s="0" t="s">
        <v>132</v>
      </c>
      <c r="D39" s="7" t="n">
        <v>-0.02</v>
      </c>
      <c r="E39" s="7" t="n">
        <v>0</v>
      </c>
      <c r="F39" s="7" t="n">
        <v>0.02</v>
      </c>
      <c r="G39" s="8" t="s">
        <v>61</v>
      </c>
      <c r="H39" s="4" t="s">
        <v>35</v>
      </c>
      <c r="I39" s="8" t="s">
        <v>52</v>
      </c>
    </row>
    <row r="40" customFormat="false" ht="17.15" hidden="false" customHeight="false" outlineLevel="0" collapsed="false">
      <c r="A40" s="6" t="s">
        <v>143</v>
      </c>
    </row>
    <row r="41" customFormat="false" ht="17.15" hidden="false" customHeight="false" outlineLevel="0" collapsed="false">
      <c r="A41" s="0" t="s">
        <v>144</v>
      </c>
      <c r="B41" s="0" t="s">
        <v>145</v>
      </c>
      <c r="C41" s="0" t="s">
        <v>146</v>
      </c>
      <c r="E41" s="7" t="n">
        <v>153.559</v>
      </c>
      <c r="G41" s="8" t="s">
        <v>147</v>
      </c>
      <c r="H41" s="8" t="s">
        <v>148</v>
      </c>
      <c r="I41" s="8" t="s">
        <v>149</v>
      </c>
    </row>
    <row r="42" customFormat="false" ht="17.15" hidden="false" customHeight="false" outlineLevel="0" collapsed="false">
      <c r="A42" s="0" t="s">
        <v>150</v>
      </c>
      <c r="B42" s="0" t="s">
        <v>151</v>
      </c>
      <c r="C42" s="0" t="s">
        <v>146</v>
      </c>
      <c r="E42" s="0" t="n">
        <f aca="false">ytd9-(43.407+52.703)</f>
        <v>57.449</v>
      </c>
      <c r="G42" s="0" t="s">
        <v>30</v>
      </c>
      <c r="H42" s="0" t="s">
        <v>152</v>
      </c>
      <c r="I42" s="0" t="s">
        <v>153</v>
      </c>
    </row>
    <row r="43" customFormat="false" ht="17.15" hidden="false" customHeight="false" outlineLevel="0" collapsed="false">
      <c r="A43" s="0" t="s">
        <v>154</v>
      </c>
      <c r="B43" s="0" t="s">
        <v>155</v>
      </c>
      <c r="C43" s="0" t="s">
        <v>49</v>
      </c>
      <c r="D43" s="7" t="n">
        <v>-0.03</v>
      </c>
      <c r="E43" s="7" t="n">
        <v>0.03</v>
      </c>
      <c r="F43" s="7" t="n">
        <v>0.08</v>
      </c>
      <c r="G43" s="8" t="s">
        <v>61</v>
      </c>
      <c r="H43" s="4" t="s">
        <v>156</v>
      </c>
      <c r="I43" s="8" t="s">
        <v>157</v>
      </c>
    </row>
    <row r="44" customFormat="false" ht="17.15" hidden="false" customHeight="false" outlineLevel="0" collapsed="false">
      <c r="A44" s="0" t="s">
        <v>158</v>
      </c>
      <c r="B44" s="0" t="s">
        <v>159</v>
      </c>
      <c r="C44" s="0" t="s">
        <v>49</v>
      </c>
      <c r="D44" s="7" t="n">
        <v>0.25</v>
      </c>
      <c r="E44" s="7" t="n">
        <v>0.26</v>
      </c>
      <c r="F44" s="7" t="n">
        <v>0.275</v>
      </c>
      <c r="G44" s="8" t="s">
        <v>61</v>
      </c>
      <c r="H44" s="8" t="s">
        <v>160</v>
      </c>
      <c r="I44" s="4" t="s">
        <v>161</v>
      </c>
    </row>
    <row r="45" customFormat="false" ht="17.15" hidden="false" customHeight="false" outlineLevel="0" collapsed="false">
      <c r="A45" s="0" t="s">
        <v>162</v>
      </c>
      <c r="B45" s="0" t="s">
        <v>163</v>
      </c>
      <c r="C45" s="0" t="s">
        <v>49</v>
      </c>
      <c r="D45" s="7" t="n">
        <v>0.112</v>
      </c>
      <c r="E45" s="7" t="n">
        <v>0.118</v>
      </c>
      <c r="F45" s="7" t="n">
        <v>0.125</v>
      </c>
      <c r="G45" s="8" t="s">
        <v>61</v>
      </c>
      <c r="H45" s="8" t="s">
        <v>164</v>
      </c>
      <c r="I45" s="8" t="s">
        <v>165</v>
      </c>
    </row>
    <row r="46" customFormat="false" ht="17.15" hidden="false" customHeight="false" outlineLevel="0" collapsed="false">
      <c r="A46" s="0" t="s">
        <v>166</v>
      </c>
      <c r="B46" s="0" t="s">
        <v>167</v>
      </c>
      <c r="C46" s="0" t="s">
        <v>146</v>
      </c>
      <c r="D46" s="7" t="n">
        <v>0.5</v>
      </c>
      <c r="E46" s="7" t="n">
        <v>0.9</v>
      </c>
      <c r="F46" s="7" t="n">
        <v>1.2</v>
      </c>
      <c r="G46" s="8" t="s">
        <v>61</v>
      </c>
      <c r="H46" s="8" t="s">
        <v>168</v>
      </c>
      <c r="I46" s="8" t="s">
        <v>169</v>
      </c>
    </row>
    <row r="47" customFormat="false" ht="17.15" hidden="false" customHeight="false" outlineLevel="0" collapsed="false">
      <c r="A47" s="0" t="s">
        <v>170</v>
      </c>
      <c r="B47" s="4" t="s">
        <v>171</v>
      </c>
      <c r="C47" s="0" t="s">
        <v>49</v>
      </c>
      <c r="D47" s="7" t="n">
        <v>0.73</v>
      </c>
      <c r="E47" s="8" t="n">
        <f aca="false">10.891/14.341</f>
        <v>0.759431002022174</v>
      </c>
      <c r="F47" s="7" t="n">
        <v>0.78</v>
      </c>
      <c r="G47" s="8" t="s">
        <v>30</v>
      </c>
      <c r="H47" s="8" t="s">
        <v>172</v>
      </c>
      <c r="I47" s="8" t="s">
        <v>173</v>
      </c>
    </row>
    <row r="48" customFormat="false" ht="17.15" hidden="false" customHeight="false" outlineLevel="0" collapsed="false">
      <c r="A48" s="0" t="s">
        <v>174</v>
      </c>
      <c r="B48" s="4" t="s">
        <v>175</v>
      </c>
      <c r="C48" s="4" t="s">
        <v>176</v>
      </c>
      <c r="E48" s="0" t="n">
        <f aca="false">10.891/4.8</f>
        <v>2.26895833333333</v>
      </c>
      <c r="G48" s="0" t="s">
        <v>30</v>
      </c>
      <c r="H48" s="0" t="s">
        <v>177</v>
      </c>
      <c r="I48" s="0" t="s">
        <v>178</v>
      </c>
    </row>
    <row r="49" customFormat="false" ht="17.15" hidden="false" customHeight="false" outlineLevel="0" collapsed="false">
      <c r="A49" s="6" t="s">
        <v>179</v>
      </c>
    </row>
    <row r="50" customFormat="false" ht="17.15" hidden="false" customHeight="false" outlineLevel="0" collapsed="false">
      <c r="A50" s="0" t="s">
        <v>180</v>
      </c>
      <c r="B50" s="4" t="s">
        <v>181</v>
      </c>
      <c r="C50" s="0" t="s">
        <v>60</v>
      </c>
      <c r="D50" s="7" t="n">
        <v>0.5</v>
      </c>
      <c r="E50" s="7" t="n">
        <v>0.7</v>
      </c>
      <c r="F50" s="7" t="n">
        <v>1</v>
      </c>
      <c r="G50" s="8" t="s">
        <v>61</v>
      </c>
      <c r="H50" s="8" t="s">
        <v>182</v>
      </c>
      <c r="I50" s="8" t="s">
        <v>183</v>
      </c>
    </row>
    <row r="51" customFormat="false" ht="17.15" hidden="false" customHeight="false" outlineLevel="0" collapsed="false">
      <c r="A51" s="0" t="s">
        <v>184</v>
      </c>
      <c r="B51" s="4" t="s">
        <v>185</v>
      </c>
      <c r="C51" s="0" t="s">
        <v>132</v>
      </c>
      <c r="D51" s="7" t="n">
        <v>-0.01</v>
      </c>
      <c r="E51" s="7" t="n">
        <v>0</v>
      </c>
      <c r="F51" s="7" t="n">
        <v>0.01</v>
      </c>
      <c r="G51" s="8" t="s">
        <v>61</v>
      </c>
      <c r="H51" s="4" t="s">
        <v>186</v>
      </c>
      <c r="I51" s="8" t="s">
        <v>187</v>
      </c>
    </row>
    <row r="52" customFormat="false" ht="17.15" hidden="false" customHeight="false" outlineLevel="0" collapsed="false">
      <c r="A52" s="0" t="s">
        <v>188</v>
      </c>
      <c r="B52" s="4" t="s">
        <v>189</v>
      </c>
      <c r="C52" s="0" t="s">
        <v>146</v>
      </c>
      <c r="D52" s="7" t="n">
        <v>2</v>
      </c>
      <c r="E52" s="7" t="n">
        <v>3.5</v>
      </c>
      <c r="F52" s="7" t="n">
        <v>5</v>
      </c>
      <c r="G52" s="8" t="s">
        <v>61</v>
      </c>
      <c r="H52" s="8" t="s">
        <v>190</v>
      </c>
      <c r="I52" s="4" t="s">
        <v>191</v>
      </c>
    </row>
    <row r="53" customFormat="false" ht="17.15" hidden="false" customHeight="false" outlineLevel="0" collapsed="false">
      <c r="A53" s="0" t="s">
        <v>192</v>
      </c>
      <c r="B53" s="4" t="s">
        <v>193</v>
      </c>
      <c r="C53" s="0" t="s">
        <v>49</v>
      </c>
      <c r="D53" s="7" t="n">
        <v>0.73</v>
      </c>
      <c r="E53" s="7" t="n">
        <v>0.76</v>
      </c>
      <c r="F53" s="7" t="n">
        <v>0.78</v>
      </c>
      <c r="G53" s="8" t="s">
        <v>30</v>
      </c>
      <c r="H53" s="4" t="s">
        <v>194</v>
      </c>
      <c r="I53" s="8" t="s">
        <v>52</v>
      </c>
    </row>
    <row r="54" customFormat="false" ht="17.15" hidden="false" customHeight="false" outlineLevel="0" collapsed="false">
      <c r="A54" s="0" t="s">
        <v>195</v>
      </c>
      <c r="B54" s="4" t="s">
        <v>196</v>
      </c>
      <c r="C54" s="0" t="s">
        <v>49</v>
      </c>
      <c r="D54" s="7" t="n">
        <v>0</v>
      </c>
      <c r="E54" s="7" t="n">
        <v>0</v>
      </c>
      <c r="F54" s="7" t="n">
        <v>0.005</v>
      </c>
      <c r="G54" s="8" t="s">
        <v>61</v>
      </c>
      <c r="H54" s="8" t="s">
        <v>197</v>
      </c>
      <c r="I54" s="8" t="s">
        <v>52</v>
      </c>
    </row>
    <row r="55" customFormat="false" ht="17.15" hidden="false" customHeight="false" outlineLevel="0" collapsed="false">
      <c r="A55" s="0" t="s">
        <v>198</v>
      </c>
      <c r="B55" s="0" t="s">
        <v>199</v>
      </c>
      <c r="C55" s="0" t="s">
        <v>60</v>
      </c>
      <c r="D55" s="7" t="n">
        <v>0.8</v>
      </c>
      <c r="E55" s="7" t="n">
        <v>1</v>
      </c>
      <c r="F55" s="7" t="n">
        <v>1.2</v>
      </c>
      <c r="G55" s="8" t="s">
        <v>61</v>
      </c>
      <c r="H55" s="4" t="s">
        <v>200</v>
      </c>
      <c r="I55" s="8" t="s">
        <v>201</v>
      </c>
    </row>
    <row r="56" customFormat="false" ht="17.15" hidden="false" customHeight="false" outlineLevel="0" collapsed="false">
      <c r="A56" s="6" t="s">
        <v>202</v>
      </c>
    </row>
    <row r="57" customFormat="false" ht="17.15" hidden="false" customHeight="false" outlineLevel="0" collapsed="false">
      <c r="A57" s="0" t="s">
        <v>203</v>
      </c>
      <c r="B57" s="4" t="s">
        <v>204</v>
      </c>
      <c r="C57" s="0" t="s">
        <v>146</v>
      </c>
      <c r="E57" s="7" t="n">
        <v>219.778</v>
      </c>
      <c r="G57" s="8" t="s">
        <v>50</v>
      </c>
      <c r="H57" s="8" t="s">
        <v>205</v>
      </c>
      <c r="I57" s="8" t="s">
        <v>206</v>
      </c>
    </row>
    <row r="58" customFormat="false" ht="17.15" hidden="false" customHeight="false" outlineLevel="0" collapsed="false">
      <c r="A58" s="0" t="s">
        <v>207</v>
      </c>
      <c r="B58" s="4" t="s">
        <v>208</v>
      </c>
      <c r="C58" s="0" t="s">
        <v>209</v>
      </c>
      <c r="E58" s="7" t="n">
        <v>10.81</v>
      </c>
      <c r="G58" s="8" t="s">
        <v>50</v>
      </c>
      <c r="H58" s="8" t="s">
        <v>210</v>
      </c>
      <c r="I58" s="8" t="s">
        <v>211</v>
      </c>
    </row>
    <row r="59" customFormat="false" ht="17.15" hidden="false" customHeight="false" outlineLevel="0" collapsed="false">
      <c r="A59" s="0" t="s">
        <v>212</v>
      </c>
      <c r="B59" s="4" t="s">
        <v>213</v>
      </c>
      <c r="C59" s="0" t="s">
        <v>146</v>
      </c>
      <c r="E59" s="7" t="n">
        <v>292.383</v>
      </c>
      <c r="G59" s="8" t="s">
        <v>50</v>
      </c>
      <c r="H59" s="8" t="s">
        <v>205</v>
      </c>
      <c r="I59" s="8" t="s">
        <v>52</v>
      </c>
    </row>
    <row r="60" customFormat="false" ht="17.15" hidden="false" customHeight="false" outlineLevel="0" collapsed="false">
      <c r="A60" s="0" t="s">
        <v>214</v>
      </c>
      <c r="B60" s="4" t="s">
        <v>215</v>
      </c>
      <c r="C60" s="0" t="s">
        <v>209</v>
      </c>
      <c r="E60" s="7" t="n">
        <v>14.99</v>
      </c>
      <c r="G60" s="8" t="s">
        <v>50</v>
      </c>
      <c r="H60" s="8" t="s">
        <v>210</v>
      </c>
      <c r="I60" s="8" t="s">
        <v>216</v>
      </c>
    </row>
    <row r="61" customFormat="false" ht="17.15" hidden="false" customHeight="false" outlineLevel="0" collapsed="false">
      <c r="A61" s="0" t="s">
        <v>217</v>
      </c>
      <c r="B61" s="4" t="s">
        <v>218</v>
      </c>
      <c r="C61" s="0" t="s">
        <v>146</v>
      </c>
      <c r="E61" s="7" t="n">
        <v>366.11</v>
      </c>
      <c r="G61" s="8" t="s">
        <v>50</v>
      </c>
      <c r="H61" s="8" t="s">
        <v>205</v>
      </c>
      <c r="I61" s="8" t="s">
        <v>52</v>
      </c>
    </row>
    <row r="62" customFormat="false" ht="17.15" hidden="false" customHeight="false" outlineLevel="0" collapsed="false">
      <c r="A62" s="0" t="s">
        <v>219</v>
      </c>
      <c r="B62" s="4" t="s">
        <v>220</v>
      </c>
      <c r="C62" s="0" t="s">
        <v>209</v>
      </c>
      <c r="E62" s="7" t="n">
        <v>20.74</v>
      </c>
      <c r="G62" s="8" t="s">
        <v>50</v>
      </c>
      <c r="H62" s="8" t="s">
        <v>210</v>
      </c>
      <c r="I62" s="8" t="s">
        <v>216</v>
      </c>
    </row>
    <row r="63" customFormat="false" ht="17.15" hidden="false" customHeight="false" outlineLevel="0" collapsed="false">
      <c r="A63" s="0" t="s">
        <v>221</v>
      </c>
      <c r="B63" s="4" t="s">
        <v>222</v>
      </c>
      <c r="C63" s="0" t="s">
        <v>49</v>
      </c>
      <c r="E63" s="7" t="n">
        <v>0.583671939396772</v>
      </c>
      <c r="G63" s="8" t="s">
        <v>30</v>
      </c>
      <c r="H63" s="8" t="s">
        <v>223</v>
      </c>
      <c r="I63" s="4" t="s">
        <v>224</v>
      </c>
    </row>
    <row r="64" customFormat="false" ht="17.15" hidden="false" customHeight="false" outlineLevel="0" collapsed="false">
      <c r="A64" s="0" t="s">
        <v>225</v>
      </c>
      <c r="B64" s="4" t="s">
        <v>226</v>
      </c>
      <c r="C64" s="0" t="s">
        <v>29</v>
      </c>
      <c r="E64" s="7" t="n">
        <v>10.5297921189288</v>
      </c>
      <c r="G64" s="8" t="s">
        <v>30</v>
      </c>
      <c r="H64" s="8" t="s">
        <v>227</v>
      </c>
      <c r="I64" s="4" t="s">
        <v>228</v>
      </c>
    </row>
    <row r="65" customFormat="false" ht="17.15" hidden="false" customHeight="false" outlineLevel="0" collapsed="false">
      <c r="A65" s="0" t="s">
        <v>229</v>
      </c>
      <c r="B65" s="4" t="s">
        <v>230</v>
      </c>
      <c r="C65" s="0" t="s">
        <v>29</v>
      </c>
      <c r="E65" s="7" t="n">
        <v>6.1459441875</v>
      </c>
      <c r="G65" s="8" t="s">
        <v>30</v>
      </c>
      <c r="H65" s="8" t="s">
        <v>231</v>
      </c>
      <c r="I65" s="4" t="s">
        <v>232</v>
      </c>
    </row>
    <row r="66" customFormat="false" ht="17.15" hidden="false" customHeight="false" outlineLevel="0" collapsed="false">
      <c r="A66" s="0" t="s">
        <v>233</v>
      </c>
      <c r="B66" s="4" t="s">
        <v>234</v>
      </c>
      <c r="C66" s="0" t="s">
        <v>49</v>
      </c>
      <c r="E66" s="7" t="n">
        <v>0.554488342426934</v>
      </c>
      <c r="G66" s="8" t="s">
        <v>30</v>
      </c>
      <c r="H66" s="8" t="s">
        <v>223</v>
      </c>
      <c r="I66" s="4" t="s">
        <v>35</v>
      </c>
    </row>
    <row r="67" customFormat="false" ht="17.15" hidden="false" customHeight="false" outlineLevel="0" collapsed="false">
      <c r="A67" s="0" t="s">
        <v>235</v>
      </c>
      <c r="B67" s="4" t="s">
        <v>236</v>
      </c>
      <c r="C67" s="0" t="s">
        <v>29</v>
      </c>
      <c r="E67" s="7" t="n">
        <v>24.9880594956382</v>
      </c>
      <c r="G67" s="8" t="s">
        <v>30</v>
      </c>
      <c r="H67" s="8" t="s">
        <v>227</v>
      </c>
      <c r="I67" s="4" t="s">
        <v>35</v>
      </c>
    </row>
    <row r="68" customFormat="false" ht="17.15" hidden="false" customHeight="false" outlineLevel="0" collapsed="false">
      <c r="A68" s="0" t="s">
        <v>237</v>
      </c>
      <c r="B68" s="4" t="s">
        <v>238</v>
      </c>
      <c r="C68" s="0" t="s">
        <v>29</v>
      </c>
      <c r="E68" s="7" t="n">
        <v>13.855587690202</v>
      </c>
      <c r="G68" s="8" t="s">
        <v>30</v>
      </c>
      <c r="H68" s="8" t="s">
        <v>231</v>
      </c>
      <c r="I68" s="4" t="s">
        <v>35</v>
      </c>
    </row>
    <row r="69" customFormat="false" ht="17.15" hidden="false" customHeight="false" outlineLevel="0" collapsed="false">
      <c r="A69" s="0" t="s">
        <v>239</v>
      </c>
      <c r="B69" s="4" t="s">
        <v>240</v>
      </c>
      <c r="C69" s="0" t="s">
        <v>49</v>
      </c>
      <c r="E69" s="7" t="n">
        <v>0.525304745457095</v>
      </c>
      <c r="G69" s="8" t="s">
        <v>30</v>
      </c>
      <c r="H69" s="8" t="s">
        <v>223</v>
      </c>
      <c r="I69" s="4" t="s">
        <v>35</v>
      </c>
    </row>
    <row r="70" customFormat="false" ht="17.15" hidden="false" customHeight="false" outlineLevel="0" collapsed="false">
      <c r="A70" s="0" t="s">
        <v>241</v>
      </c>
      <c r="B70" s="4" t="s">
        <v>242</v>
      </c>
      <c r="C70" s="0" t="s">
        <v>29</v>
      </c>
      <c r="E70" s="7" t="n">
        <v>35.8986539700486</v>
      </c>
      <c r="G70" s="8" t="s">
        <v>30</v>
      </c>
      <c r="H70" s="8" t="s">
        <v>227</v>
      </c>
      <c r="I70" s="4" t="s">
        <v>35</v>
      </c>
    </row>
    <row r="71" customFormat="false" ht="17.15" hidden="false" customHeight="false" outlineLevel="0" collapsed="false">
      <c r="A71" s="0" t="s">
        <v>243</v>
      </c>
      <c r="B71" s="4" t="s">
        <v>244</v>
      </c>
      <c r="C71" s="0" t="s">
        <v>29</v>
      </c>
      <c r="E71" s="7" t="n">
        <v>18.8577332859887</v>
      </c>
      <c r="G71" s="8" t="s">
        <v>30</v>
      </c>
      <c r="H71" s="8" t="s">
        <v>231</v>
      </c>
      <c r="I71" s="4" t="s">
        <v>35</v>
      </c>
    </row>
    <row r="72" customFormat="false" ht="17.15" hidden="false" customHeight="false" outlineLevel="0" collapsed="false">
      <c r="A72" s="0" t="s">
        <v>245</v>
      </c>
      <c r="B72" s="4" t="s">
        <v>246</v>
      </c>
      <c r="C72" s="0" t="s">
        <v>49</v>
      </c>
      <c r="E72" s="7" t="n">
        <v>0.496121148487257</v>
      </c>
      <c r="G72" s="8" t="s">
        <v>30</v>
      </c>
      <c r="H72" s="8" t="s">
        <v>223</v>
      </c>
      <c r="I72" s="4" t="s">
        <v>35</v>
      </c>
    </row>
    <row r="73" customFormat="false" ht="17.15" hidden="false" customHeight="false" outlineLevel="0" collapsed="false">
      <c r="A73" s="0" t="s">
        <v>247</v>
      </c>
      <c r="B73" s="4" t="s">
        <v>248</v>
      </c>
      <c r="C73" s="0" t="s">
        <v>29</v>
      </c>
      <c r="E73" s="7" t="n">
        <v>43.2997860500003</v>
      </c>
      <c r="G73" s="8" t="s">
        <v>30</v>
      </c>
      <c r="H73" s="8" t="s">
        <v>227</v>
      </c>
      <c r="I73" s="4" t="s">
        <v>35</v>
      </c>
    </row>
    <row r="74" customFormat="false" ht="17.15" hidden="false" customHeight="false" outlineLevel="0" collapsed="false">
      <c r="A74" s="0" t="s">
        <v>249</v>
      </c>
      <c r="B74" s="4" t="s">
        <v>250</v>
      </c>
      <c r="C74" s="0" t="s">
        <v>29</v>
      </c>
      <c r="E74" s="7" t="n">
        <v>21.4819395843786</v>
      </c>
      <c r="G74" s="8" t="s">
        <v>30</v>
      </c>
      <c r="H74" s="8" t="s">
        <v>231</v>
      </c>
      <c r="I74" s="4" t="s">
        <v>35</v>
      </c>
    </row>
    <row r="75" customFormat="false" ht="17.15" hidden="false" customHeight="false" outlineLevel="0" collapsed="false">
      <c r="A75" s="0" t="s">
        <v>251</v>
      </c>
      <c r="B75" s="4" t="s">
        <v>252</v>
      </c>
      <c r="C75" s="0" t="s">
        <v>49</v>
      </c>
      <c r="D75" s="7" t="n">
        <v>0.6</v>
      </c>
      <c r="E75" s="7" t="n">
        <v>0.625</v>
      </c>
      <c r="F75" s="7" t="n">
        <v>0.65</v>
      </c>
      <c r="G75" s="8" t="s">
        <v>50</v>
      </c>
      <c r="H75" s="8" t="s">
        <v>253</v>
      </c>
      <c r="I75" s="4" t="s">
        <v>254</v>
      </c>
    </row>
    <row r="76" customFormat="false" ht="17.15" hidden="false" customHeight="false" outlineLevel="0" collapsed="false">
      <c r="A76" s="6" t="s">
        <v>255</v>
      </c>
    </row>
    <row r="77" customFormat="false" ht="17.15" hidden="false" customHeight="false" outlineLevel="0" collapsed="false">
      <c r="A77" s="0" t="s">
        <v>256</v>
      </c>
      <c r="B77" s="4" t="s">
        <v>257</v>
      </c>
      <c r="C77" s="0" t="s">
        <v>209</v>
      </c>
      <c r="E77" s="7" t="n">
        <v>255.5</v>
      </c>
      <c r="G77" s="8" t="s">
        <v>50</v>
      </c>
      <c r="H77" s="8" t="s">
        <v>258</v>
      </c>
      <c r="I77" s="8" t="s">
        <v>259</v>
      </c>
    </row>
    <row r="78" customFormat="false" ht="17.15" hidden="false" customHeight="false" outlineLevel="0" collapsed="false">
      <c r="A78" s="0" t="s">
        <v>260</v>
      </c>
      <c r="B78" s="4" t="s">
        <v>261</v>
      </c>
      <c r="C78" s="0" t="s">
        <v>60</v>
      </c>
      <c r="E78" s="7" t="n">
        <v>30.09</v>
      </c>
      <c r="G78" s="8" t="s">
        <v>50</v>
      </c>
      <c r="H78" s="8" t="s">
        <v>262</v>
      </c>
      <c r="I78" s="4" t="s">
        <v>263</v>
      </c>
    </row>
    <row r="79" customFormat="false" ht="17.15" hidden="false" customHeight="false" outlineLevel="0" collapsed="false">
      <c r="A79" s="0" t="s">
        <v>264</v>
      </c>
      <c r="B79" s="4" t="s">
        <v>265</v>
      </c>
      <c r="C79" s="0" t="s">
        <v>60</v>
      </c>
      <c r="E79" s="7" t="n">
        <v>19.7</v>
      </c>
      <c r="G79" s="8" t="s">
        <v>50</v>
      </c>
      <c r="H79" s="8" t="s">
        <v>262</v>
      </c>
      <c r="I79" s="4" t="s">
        <v>266</v>
      </c>
    </row>
    <row r="80" customFormat="false" ht="17.15" hidden="false" customHeight="false" outlineLevel="0" collapsed="false">
      <c r="A80" s="0" t="s">
        <v>267</v>
      </c>
      <c r="B80" s="4" t="s">
        <v>268</v>
      </c>
      <c r="C80" s="0" t="s">
        <v>209</v>
      </c>
      <c r="E80" s="0" t="n">
        <f aca="false">px/fpe</f>
        <v>12.9695431472081</v>
      </c>
      <c r="G80" s="0" t="s">
        <v>30</v>
      </c>
      <c r="H80" s="0" t="s">
        <v>269</v>
      </c>
      <c r="I80" s="4" t="s">
        <v>270</v>
      </c>
    </row>
    <row r="81" customFormat="false" ht="17.15" hidden="false" customHeight="false" outlineLevel="0" collapsed="false">
      <c r="A81" s="0" t="s">
        <v>271</v>
      </c>
      <c r="B81" s="4" t="s">
        <v>272</v>
      </c>
      <c r="C81" s="0" t="s">
        <v>209</v>
      </c>
      <c r="E81" s="7" t="n">
        <v>314.25</v>
      </c>
      <c r="G81" s="8" t="s">
        <v>50</v>
      </c>
      <c r="H81" s="8" t="s">
        <v>273</v>
      </c>
      <c r="I81" s="8" t="s">
        <v>274</v>
      </c>
    </row>
    <row r="82" customFormat="false" ht="17.15" hidden="false" customHeight="false" outlineLevel="0" collapsed="false">
      <c r="A82" s="0" t="s">
        <v>275</v>
      </c>
      <c r="B82" s="4" t="s">
        <v>276</v>
      </c>
      <c r="C82" s="0" t="s">
        <v>49</v>
      </c>
      <c r="E82" s="0" t="n">
        <f aca="false">AVERAGE(0.041,0.0123,0.0385,0.0529,0.0626,0.0845,0.0818,0.0984,0.0872,0.091)</f>
        <v>0.06502</v>
      </c>
      <c r="G82" s="0" t="s">
        <v>50</v>
      </c>
      <c r="H82" s="0" t="s">
        <v>277</v>
      </c>
      <c r="I82" s="4" t="s">
        <v>278</v>
      </c>
    </row>
    <row r="83" customFormat="false" ht="17.15" hidden="false" customHeight="false" outlineLevel="0" collapsed="false">
      <c r="A83" s="6" t="s">
        <v>279</v>
      </c>
    </row>
    <row r="84" customFormat="false" ht="17.15" hidden="false" customHeight="false" outlineLevel="0" collapsed="false">
      <c r="A84" s="9" t="s">
        <v>280</v>
      </c>
      <c r="B84" s="10" t="s">
        <v>281</v>
      </c>
      <c r="C84" s="9" t="s">
        <v>49</v>
      </c>
      <c r="D84" s="9"/>
      <c r="E84" s="11" t="n">
        <v>0.3</v>
      </c>
      <c r="F84" s="9"/>
      <c r="G84" s="9" t="s">
        <v>282</v>
      </c>
      <c r="H84" s="9" t="s">
        <v>283</v>
      </c>
      <c r="I84" s="10" t="s">
        <v>284</v>
      </c>
    </row>
    <row r="85" customFormat="false" ht="17.15" hidden="false" customHeight="false" outlineLevel="0" collapsed="false">
      <c r="A85" s="9" t="s">
        <v>285</v>
      </c>
      <c r="B85" s="10" t="s">
        <v>286</v>
      </c>
      <c r="C85" s="9" t="s">
        <v>49</v>
      </c>
      <c r="D85" s="9"/>
      <c r="E85" s="11" t="n">
        <v>0.5</v>
      </c>
      <c r="F85" s="9"/>
      <c r="G85" s="9" t="s">
        <v>282</v>
      </c>
      <c r="H85" s="9" t="s">
        <v>283</v>
      </c>
      <c r="I85" s="10" t="s">
        <v>284</v>
      </c>
    </row>
    <row r="86" customFormat="false" ht="17.15" hidden="false" customHeight="false" outlineLevel="0" collapsed="false">
      <c r="A86" s="9" t="s">
        <v>287</v>
      </c>
      <c r="B86" s="10" t="s">
        <v>288</v>
      </c>
      <c r="C86" s="9" t="s">
        <v>49</v>
      </c>
      <c r="D86" s="9"/>
      <c r="E86" s="11" t="n">
        <v>0.2</v>
      </c>
      <c r="F86" s="9"/>
      <c r="G86" s="9" t="s">
        <v>282</v>
      </c>
      <c r="H86" s="9" t="s">
        <v>283</v>
      </c>
      <c r="I86" s="10" t="s">
        <v>284</v>
      </c>
    </row>
    <row r="87" customFormat="false" ht="17.15" hidden="false" customHeight="false" outlineLevel="0" collapsed="false">
      <c r="A87" s="9" t="s">
        <v>289</v>
      </c>
      <c r="B87" s="10" t="s">
        <v>290</v>
      </c>
      <c r="C87" s="9" t="s">
        <v>49</v>
      </c>
      <c r="D87" s="9"/>
      <c r="E87" s="11" t="n">
        <v>0.1</v>
      </c>
      <c r="F87" s="9"/>
      <c r="G87" s="9" t="s">
        <v>282</v>
      </c>
      <c r="H87" s="9" t="s">
        <v>291</v>
      </c>
      <c r="I87" s="9" t="s">
        <v>292</v>
      </c>
    </row>
    <row r="88" customFormat="false" ht="17.15" hidden="false" customHeight="false" outlineLevel="0" collapsed="false">
      <c r="A88" s="9" t="s">
        <v>293</v>
      </c>
      <c r="B88" s="10" t="s">
        <v>294</v>
      </c>
      <c r="C88" s="9" t="s">
        <v>49</v>
      </c>
      <c r="D88" s="9"/>
      <c r="E88" s="11" t="n">
        <v>0.04</v>
      </c>
      <c r="F88" s="9"/>
      <c r="G88" s="9" t="s">
        <v>282</v>
      </c>
      <c r="H88" s="9" t="s">
        <v>295</v>
      </c>
      <c r="I88" s="9" t="s">
        <v>296</v>
      </c>
    </row>
    <row r="89" customFormat="false" ht="17.15" hidden="false" customHeight="false" outlineLevel="0" collapsed="false">
      <c r="A89" s="9" t="s">
        <v>297</v>
      </c>
      <c r="B89" s="9" t="s">
        <v>298</v>
      </c>
      <c r="C89" s="9" t="s">
        <v>49</v>
      </c>
      <c r="D89" s="9"/>
      <c r="E89" s="9" t="n">
        <f aca="false">AVERAGE(0.1748,0.1359,0.1671)</f>
        <v>0.159266666666667</v>
      </c>
      <c r="F89" s="9"/>
      <c r="G89" s="9" t="s">
        <v>30</v>
      </c>
      <c r="H89" s="9" t="s">
        <v>299</v>
      </c>
      <c r="I89" s="10" t="s">
        <v>300</v>
      </c>
    </row>
    <row r="90" customFormat="false" ht="17.15" hidden="false" customHeight="false" outlineLevel="0" collapsed="false">
      <c r="A90" s="9" t="s">
        <v>301</v>
      </c>
      <c r="B90" s="10" t="s">
        <v>302</v>
      </c>
      <c r="C90" s="9" t="s">
        <v>49</v>
      </c>
      <c r="D90" s="9"/>
      <c r="E90" s="11" t="n">
        <v>0.5</v>
      </c>
      <c r="F90" s="9"/>
      <c r="G90" s="9" t="s">
        <v>282</v>
      </c>
      <c r="H90" s="9" t="s">
        <v>303</v>
      </c>
      <c r="I90" s="9" t="s">
        <v>52</v>
      </c>
    </row>
    <row r="91" customFormat="false" ht="17.15" hidden="false" customHeight="false" outlineLevel="0" collapsed="false">
      <c r="A91" s="9" t="s">
        <v>304</v>
      </c>
      <c r="B91" s="10" t="s">
        <v>305</v>
      </c>
      <c r="C91" s="9" t="s">
        <v>49</v>
      </c>
      <c r="D91" s="9"/>
      <c r="E91" s="9" t="n">
        <f aca="false">tp_g+0.02</f>
        <v>0.06</v>
      </c>
      <c r="F91" s="9"/>
      <c r="G91" s="9" t="s">
        <v>282</v>
      </c>
      <c r="H91" s="10" t="s">
        <v>306</v>
      </c>
      <c r="I91" s="9" t="s">
        <v>307</v>
      </c>
    </row>
    <row r="92" customFormat="false" ht="17.15" hidden="false" customHeight="false" outlineLevel="0" collapsed="false">
      <c r="A92" s="9" t="s">
        <v>308</v>
      </c>
      <c r="B92" s="10" t="s">
        <v>309</v>
      </c>
      <c r="C92" s="9" t="s">
        <v>49</v>
      </c>
      <c r="D92" s="9"/>
      <c r="E92" s="9" t="n">
        <f aca="false">tp_g</f>
        <v>0.04</v>
      </c>
      <c r="F92" s="9"/>
      <c r="G92" s="9" t="s">
        <v>282</v>
      </c>
      <c r="H92" s="10" t="s">
        <v>35</v>
      </c>
      <c r="I92" s="9" t="s">
        <v>52</v>
      </c>
    </row>
    <row r="93" customFormat="false" ht="17.15" hidden="false" customHeight="false" outlineLevel="0" collapsed="false">
      <c r="A93" s="9" t="s">
        <v>310</v>
      </c>
      <c r="B93" s="10" t="s">
        <v>311</v>
      </c>
      <c r="C93" s="9" t="s">
        <v>49</v>
      </c>
      <c r="D93" s="9"/>
      <c r="E93" s="9" t="n">
        <f aca="false">tp_g-0.02</f>
        <v>0.02</v>
      </c>
      <c r="F93" s="9"/>
      <c r="G93" s="9" t="s">
        <v>282</v>
      </c>
      <c r="H93" s="10" t="s">
        <v>35</v>
      </c>
      <c r="I93" s="9" t="s">
        <v>52</v>
      </c>
    </row>
    <row r="94" customFormat="false" ht="17.15" hidden="false" customHeight="false" outlineLevel="0" collapsed="false">
      <c r="A94" s="9" t="s">
        <v>312</v>
      </c>
      <c r="B94" s="10" t="s">
        <v>313</v>
      </c>
      <c r="C94" s="9" t="s">
        <v>49</v>
      </c>
      <c r="D94" s="9"/>
      <c r="E94" s="12" t="n">
        <f aca="false">PL!G13</f>
        <v>0.170785174219365</v>
      </c>
      <c r="F94" s="9"/>
      <c r="G94" s="9" t="s">
        <v>30</v>
      </c>
      <c r="H94" s="9" t="s">
        <v>314</v>
      </c>
      <c r="I94" s="9" t="s">
        <v>52</v>
      </c>
    </row>
    <row r="95" customFormat="false" ht="17.15" hidden="false" customHeight="false" outlineLevel="0" collapsed="false">
      <c r="A95" s="9" t="s">
        <v>315</v>
      </c>
      <c r="B95" s="10" t="s">
        <v>316</v>
      </c>
      <c r="C95" s="9" t="s">
        <v>49</v>
      </c>
      <c r="D95" s="9"/>
      <c r="E95" s="13" t="n">
        <f aca="false">(PL!G26+nim_avg)/2</f>
        <v>0.107101857735107</v>
      </c>
      <c r="F95" s="9"/>
      <c r="G95" s="9" t="s">
        <v>30</v>
      </c>
      <c r="H95" s="9" t="s">
        <v>317</v>
      </c>
      <c r="I95" s="9" t="s">
        <v>52</v>
      </c>
    </row>
    <row r="96" customFormat="false" ht="17.15" hidden="false" customHeight="false" outlineLevel="0" collapsed="false">
      <c r="A96" s="9" t="s">
        <v>318</v>
      </c>
      <c r="B96" s="10" t="s">
        <v>319</v>
      </c>
      <c r="C96" s="9" t="s">
        <v>49</v>
      </c>
      <c r="D96" s="9"/>
      <c r="E96" s="9" t="n">
        <f aca="false">nim_avg</f>
        <v>0.06502</v>
      </c>
      <c r="F96" s="9"/>
      <c r="G96" s="9" t="s">
        <v>30</v>
      </c>
      <c r="H96" s="9" t="s">
        <v>320</v>
      </c>
      <c r="I96" s="9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6" min="2" style="0" width="15"/>
    <col collapsed="false" customWidth="true" hidden="false" outlineLevel="0" max="7" min="7" style="0" width="26"/>
    <col collapsed="false" customWidth="true" hidden="false" outlineLevel="0" max="8" min="8" style="0" width="9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321</v>
      </c>
    </row>
    <row r="2" customFormat="false" ht="17.15" hidden="false" customHeight="false" outlineLevel="0" collapsed="false">
      <c r="A2" s="0" t="s">
        <v>322</v>
      </c>
    </row>
    <row r="3" customFormat="false" ht="17.15" hidden="false" customHeight="false" outlineLevel="0" collapsed="false">
      <c r="A3" s="5" t="s">
        <v>18</v>
      </c>
      <c r="B3" s="14" t="s">
        <v>323</v>
      </c>
      <c r="C3" s="14" t="s">
        <v>324</v>
      </c>
      <c r="D3" s="14" t="s">
        <v>325</v>
      </c>
      <c r="E3" s="14" t="s">
        <v>326</v>
      </c>
      <c r="F3" s="14" t="s">
        <v>327</v>
      </c>
      <c r="G3" s="5" t="s">
        <v>23</v>
      </c>
      <c r="H3" s="5" t="s">
        <v>24</v>
      </c>
      <c r="I3" s="5" t="s">
        <v>25</v>
      </c>
    </row>
    <row r="4" customFormat="false" ht="17.15" hidden="false" customHeight="false" outlineLevel="0" collapsed="false">
      <c r="A4" s="4" t="s">
        <v>328</v>
      </c>
      <c r="B4" s="15" t="n">
        <v>166.085</v>
      </c>
      <c r="C4" s="16" t="n">
        <f aca="false">43.407+52.703</f>
        <v>96.11</v>
      </c>
      <c r="D4" s="16" t="n">
        <f aca="false">q3_rev</f>
        <v>57.449</v>
      </c>
      <c r="E4" s="16" t="n">
        <f aca="false">D4*(1+q4g)</f>
        <v>59.17247</v>
      </c>
      <c r="F4" s="16" t="n">
        <f aca="false">SUM(C4:E4)</f>
        <v>212.73147</v>
      </c>
      <c r="G4" s="8" t="s">
        <v>329</v>
      </c>
      <c r="H4" s="8" t="s">
        <v>330</v>
      </c>
      <c r="I4" s="8" t="s">
        <v>331</v>
      </c>
    </row>
    <row r="5" customFormat="false" ht="17.15" hidden="false" customHeight="false" outlineLevel="0" collapsed="false">
      <c r="A5" s="4" t="s">
        <v>332</v>
      </c>
      <c r="B5" s="15" t="n">
        <v>38.039</v>
      </c>
      <c r="C5" s="16" t="n">
        <f aca="false">9.403+14.348</f>
        <v>23.751</v>
      </c>
      <c r="D5" s="16" t="n">
        <f aca="false">D4*q_gm</f>
        <v>14.93674</v>
      </c>
      <c r="E5" s="16" t="n">
        <f aca="false">E4*q_gm</f>
        <v>15.3848422</v>
      </c>
      <c r="F5" s="16" t="n">
        <f aca="false">SUM(C5:E5)</f>
        <v>54.0725822</v>
      </c>
      <c r="G5" s="8" t="s">
        <v>333</v>
      </c>
      <c r="H5" s="8" t="s">
        <v>330</v>
      </c>
      <c r="I5" s="8" t="s">
        <v>334</v>
      </c>
    </row>
    <row r="6" customFormat="false" ht="17.15" hidden="false" customHeight="false" outlineLevel="0" collapsed="false">
      <c r="A6" s="4" t="s">
        <v>335</v>
      </c>
      <c r="B6" s="17" t="n">
        <f aca="false">B5/B4</f>
        <v>0.229033326308818</v>
      </c>
      <c r="C6" s="17" t="n">
        <f aca="false">C5/C4</f>
        <v>0.247123088128186</v>
      </c>
      <c r="D6" s="17" t="n">
        <f aca="false">D5/D4</f>
        <v>0.26</v>
      </c>
      <c r="E6" s="17" t="n">
        <f aca="false">E5/E4</f>
        <v>0.26</v>
      </c>
      <c r="F6" s="17" t="n">
        <f aca="false">F5/F4</f>
        <v>0.254182337009188</v>
      </c>
      <c r="G6" s="8" t="s">
        <v>30</v>
      </c>
      <c r="H6" s="8" t="s">
        <v>52</v>
      </c>
      <c r="I6" s="8" t="s">
        <v>336</v>
      </c>
    </row>
    <row r="7" customFormat="false" ht="17.15" hidden="false" customHeight="false" outlineLevel="0" collapsed="false">
      <c r="A7" s="4" t="s">
        <v>337</v>
      </c>
      <c r="B7" s="16" t="n">
        <f aca="false">B5-B8</f>
        <v>21.301</v>
      </c>
      <c r="C7" s="16" t="n">
        <f aca="false">C5-C8</f>
        <v>11.449</v>
      </c>
      <c r="D7" s="16" t="n">
        <f aca="false">D4*q_opx</f>
        <v>6.778982</v>
      </c>
      <c r="E7" s="16" t="n">
        <f aca="false">E4*q_opx</f>
        <v>6.98235146</v>
      </c>
      <c r="F7" s="16" t="n">
        <f aca="false">SUM(C7:E7)</f>
        <v>25.21033346</v>
      </c>
      <c r="G7" s="8" t="s">
        <v>338</v>
      </c>
      <c r="H7" s="8" t="s">
        <v>330</v>
      </c>
      <c r="I7" s="4" t="s">
        <v>339</v>
      </c>
    </row>
    <row r="8" customFormat="false" ht="17.15" hidden="false" customHeight="false" outlineLevel="0" collapsed="false">
      <c r="A8" s="4" t="s">
        <v>340</v>
      </c>
      <c r="B8" s="15" t="n">
        <v>16.738</v>
      </c>
      <c r="C8" s="16" t="n">
        <f aca="false">4.099+8.203</f>
        <v>12.302</v>
      </c>
      <c r="D8" s="16" t="n">
        <f aca="false">D5-D7</f>
        <v>8.157758</v>
      </c>
      <c r="E8" s="16" t="n">
        <f aca="false">E5-E7</f>
        <v>8.40249074</v>
      </c>
      <c r="F8" s="16" t="n">
        <f aca="false">SUM(C8:E8)</f>
        <v>28.86224874</v>
      </c>
      <c r="G8" s="8" t="s">
        <v>341</v>
      </c>
      <c r="H8" s="8" t="s">
        <v>330</v>
      </c>
      <c r="I8" s="8" t="s">
        <v>334</v>
      </c>
    </row>
    <row r="9" customFormat="false" ht="17.15" hidden="false" customHeight="false" outlineLevel="0" collapsed="false">
      <c r="A9" s="4" t="s">
        <v>342</v>
      </c>
      <c r="B9" s="17" t="n">
        <f aca="false">B8/B4</f>
        <v>0.100779721227083</v>
      </c>
      <c r="C9" s="17" t="n">
        <f aca="false">C8/C4</f>
        <v>0.127999167620435</v>
      </c>
      <c r="D9" s="17" t="n">
        <f aca="false">D8/D4</f>
        <v>0.142</v>
      </c>
      <c r="E9" s="17" t="n">
        <f aca="false">E8/E4</f>
        <v>0.142</v>
      </c>
      <c r="F9" s="17" t="n">
        <f aca="false">F8/F4</f>
        <v>0.135674560703219</v>
      </c>
      <c r="G9" s="8" t="s">
        <v>30</v>
      </c>
      <c r="H9" s="8" t="s">
        <v>52</v>
      </c>
      <c r="I9" s="8" t="s">
        <v>343</v>
      </c>
    </row>
    <row r="10" customFormat="false" ht="17.15" hidden="false" customHeight="false" outlineLevel="0" collapsed="false">
      <c r="A10" s="4" t="s">
        <v>344</v>
      </c>
      <c r="B10" s="16" t="n">
        <f aca="false">B11-B8</f>
        <v>2.9762895</v>
      </c>
      <c r="C10" s="16" t="n">
        <f aca="false">C11-C8</f>
        <v>2.039</v>
      </c>
      <c r="D10" s="16" t="n">
        <f aca="false">q_nop</f>
        <v>0.9</v>
      </c>
      <c r="E10" s="16" t="n">
        <f aca="false">q_nop</f>
        <v>0.9</v>
      </c>
      <c r="F10" s="16" t="n">
        <f aca="false">SUM(C10:E10)</f>
        <v>3.839</v>
      </c>
      <c r="G10" s="8" t="s">
        <v>338</v>
      </c>
      <c r="H10" s="4" t="s">
        <v>345</v>
      </c>
      <c r="I10" s="8" t="s">
        <v>52</v>
      </c>
    </row>
    <row r="11" customFormat="false" ht="17.15" hidden="false" customHeight="false" outlineLevel="0" collapsed="false">
      <c r="A11" s="4" t="s">
        <v>346</v>
      </c>
      <c r="B11" s="16" t="n">
        <f aca="false">166.085*0.1187</f>
        <v>19.7142895</v>
      </c>
      <c r="C11" s="16" t="n">
        <f aca="false">4.97+9.371</f>
        <v>14.341</v>
      </c>
      <c r="D11" s="16" t="n">
        <f aca="false">D8+D10</f>
        <v>9.057758</v>
      </c>
      <c r="E11" s="16" t="n">
        <f aca="false">E8+E10</f>
        <v>9.30249074</v>
      </c>
      <c r="F11" s="16" t="n">
        <f aca="false">SUM(C11:E11)</f>
        <v>32.70124874</v>
      </c>
      <c r="G11" s="8" t="s">
        <v>30</v>
      </c>
      <c r="H11" s="8" t="s">
        <v>347</v>
      </c>
      <c r="I11" s="4" t="s">
        <v>348</v>
      </c>
    </row>
    <row r="12" customFormat="false" ht="17.15" hidden="false" customHeight="false" outlineLevel="0" collapsed="false">
      <c r="A12" s="4" t="s">
        <v>349</v>
      </c>
      <c r="B12" s="15" t="n">
        <v>15.116</v>
      </c>
      <c r="C12" s="16" t="n">
        <f aca="false">3.775+7.116</f>
        <v>10.891</v>
      </c>
      <c r="D12" s="16" t="n">
        <f aca="false">D11*q_nir</f>
        <v>6.87874223401437</v>
      </c>
      <c r="E12" s="16" t="n">
        <f aca="false">E11*q_nir</f>
        <v>7.0645998639802</v>
      </c>
      <c r="F12" s="16" t="n">
        <f aca="false">SUM(C12:E12)</f>
        <v>24.8343420979946</v>
      </c>
      <c r="G12" s="8" t="s">
        <v>350</v>
      </c>
      <c r="H12" s="8" t="s">
        <v>330</v>
      </c>
      <c r="I12" s="8" t="s">
        <v>351</v>
      </c>
    </row>
    <row r="13" customFormat="false" ht="17.15" hidden="false" customHeight="false" outlineLevel="0" collapsed="false">
      <c r="A13" s="4" t="s">
        <v>352</v>
      </c>
      <c r="B13" s="17" t="n">
        <f aca="false">B12/B11</f>
        <v>0.766753475949514</v>
      </c>
      <c r="C13" s="17" t="n">
        <f aca="false">C12/C11</f>
        <v>0.759431002022174</v>
      </c>
      <c r="D13" s="17" t="n">
        <f aca="false">D12/D11</f>
        <v>0.759431002022174</v>
      </c>
      <c r="E13" s="17" t="n">
        <f aca="false">E12/E11</f>
        <v>0.759431002022174</v>
      </c>
      <c r="F13" s="17" t="n">
        <f aca="false">F12/F11</f>
        <v>0.759431002022174</v>
      </c>
      <c r="G13" s="8" t="s">
        <v>30</v>
      </c>
      <c r="H13" s="8" t="s">
        <v>52</v>
      </c>
      <c r="I13" s="8" t="s">
        <v>52</v>
      </c>
    </row>
    <row r="14" customFormat="false" ht="17.15" hidden="false" customHeight="false" outlineLevel="0" collapsed="false">
      <c r="A14" s="4" t="s">
        <v>353</v>
      </c>
      <c r="B14" s="16" t="n">
        <f aca="false">15.116/6.64</f>
        <v>2.27650602409639</v>
      </c>
      <c r="C14" s="16" t="n">
        <f aca="false">q_sh</f>
        <v>2.26895833333333</v>
      </c>
      <c r="D14" s="16" t="n">
        <f aca="false">q_sh</f>
        <v>2.26895833333333</v>
      </c>
      <c r="E14" s="16" t="n">
        <f aca="false">q_sh</f>
        <v>2.26895833333333</v>
      </c>
      <c r="F14" s="16" t="n">
        <f aca="false">q_sh</f>
        <v>2.26895833333333</v>
      </c>
      <c r="G14" s="8" t="s">
        <v>30</v>
      </c>
      <c r="H14" s="8" t="s">
        <v>330</v>
      </c>
      <c r="I14" s="4" t="s">
        <v>354</v>
      </c>
    </row>
    <row r="15" customFormat="false" ht="17.15" hidden="false" customHeight="false" outlineLevel="0" collapsed="false">
      <c r="A15" s="0" t="s">
        <v>355</v>
      </c>
      <c r="B15" s="18" t="n">
        <f aca="false">B12/B14</f>
        <v>6.64</v>
      </c>
      <c r="C15" s="18" t="n">
        <f aca="false">C12/C14</f>
        <v>4.8</v>
      </c>
      <c r="D15" s="18" t="n">
        <f aca="false">D12/D14</f>
        <v>3.03167410919741</v>
      </c>
      <c r="E15" s="18" t="n">
        <f aca="false">E12/E14</f>
        <v>3.11358730576668</v>
      </c>
      <c r="F15" s="18" t="n">
        <f aca="false">F12/F14</f>
        <v>10.9452614149641</v>
      </c>
      <c r="G15" s="8" t="s">
        <v>30</v>
      </c>
      <c r="H15" s="4" t="s">
        <v>356</v>
      </c>
      <c r="I15" s="8" t="s">
        <v>52</v>
      </c>
    </row>
    <row r="16" customFormat="false" ht="17.15" hidden="false" customHeight="false" outlineLevel="0" collapsed="false">
      <c r="A16" s="4" t="s">
        <v>357</v>
      </c>
      <c r="B16" s="19" t="n">
        <v>6.64</v>
      </c>
      <c r="C16" s="19" t="n">
        <v>4.8</v>
      </c>
      <c r="G16" s="8" t="s">
        <v>147</v>
      </c>
      <c r="H16" s="8" t="s">
        <v>330</v>
      </c>
      <c r="I16" s="8" t="s">
        <v>358</v>
      </c>
    </row>
    <row r="17" customFormat="false" ht="17.15" hidden="false" customHeight="false" outlineLevel="0" collapsed="false">
      <c r="A17" s="0" t="s">
        <v>359</v>
      </c>
      <c r="B17" s="16" t="n">
        <f aca="false">B4*ai_25</f>
        <v>34.87785</v>
      </c>
      <c r="F17" s="16" t="n">
        <f aca="false">F4*ai_26</f>
        <v>65.9467557</v>
      </c>
      <c r="G17" s="8" t="s">
        <v>360</v>
      </c>
      <c r="H17" s="4" t="s">
        <v>361</v>
      </c>
      <c r="I17" s="4" t="s">
        <v>362</v>
      </c>
    </row>
    <row r="18" customFormat="false" ht="17.15" hidden="false" customHeight="false" outlineLevel="0" collapsed="false">
      <c r="A18" s="4" t="s">
        <v>363</v>
      </c>
      <c r="B18" s="16" t="n">
        <f aca="false">B17*(1-x_np)</f>
        <v>31.390065</v>
      </c>
      <c r="F18" s="16" t="n">
        <f aca="false">F17*(1-x_np)</f>
        <v>59.35208013</v>
      </c>
      <c r="G18" s="8" t="s">
        <v>338</v>
      </c>
      <c r="H18" s="8" t="s">
        <v>364</v>
      </c>
      <c r="I18" s="8" t="s">
        <v>365</v>
      </c>
    </row>
    <row r="19" customFormat="false" ht="17.15" hidden="false" customHeight="false" outlineLevel="0" collapsed="false">
      <c r="A19" s="4" t="s">
        <v>366</v>
      </c>
      <c r="B19" s="16" t="n">
        <f aca="false">B4-B17</f>
        <v>131.20715</v>
      </c>
      <c r="F19" s="16" t="n">
        <f aca="false">F4-F17</f>
        <v>146.7847143</v>
      </c>
      <c r="G19" s="8" t="s">
        <v>30</v>
      </c>
      <c r="H19" s="8" t="s">
        <v>52</v>
      </c>
      <c r="I19" s="4" t="s">
        <v>367</v>
      </c>
    </row>
    <row r="23" customFormat="false" ht="17.15" hidden="false" customHeight="false" outlineLevel="0" collapsed="false">
      <c r="A23" s="6" t="s">
        <v>368</v>
      </c>
    </row>
    <row r="24" customFormat="false" ht="17.15" hidden="false" customHeight="false" outlineLevel="0" collapsed="false">
      <c r="A24" s="0" t="s">
        <v>369</v>
      </c>
      <c r="B24" s="17" t="n">
        <f aca="false">F4/B4-1</f>
        <v>0.280859017972725</v>
      </c>
    </row>
    <row r="25" customFormat="false" ht="17.15" hidden="false" customHeight="false" outlineLevel="0" collapsed="false">
      <c r="A25" s="0" t="s">
        <v>370</v>
      </c>
      <c r="B25" s="17" t="n">
        <f aca="false">F7/B7-1</f>
        <v>0.183528165813811</v>
      </c>
    </row>
    <row r="26" customFormat="false" ht="17.15" hidden="false" customHeight="false" outlineLevel="0" collapsed="false">
      <c r="A26" s="4" t="s">
        <v>371</v>
      </c>
      <c r="B26" s="18" t="n">
        <f aca="false">B25/B24</f>
        <v>0.653452992674191</v>
      </c>
    </row>
    <row r="27" customFormat="false" ht="17.15" hidden="false" customHeight="false" outlineLevel="0" collapsed="false">
      <c r="A27" s="0" t="s">
        <v>372</v>
      </c>
      <c r="B27" s="17" t="n">
        <f aca="false">F4/cons_rev26-1</f>
        <v>-0.0320620353265567</v>
      </c>
    </row>
    <row r="28" customFormat="false" ht="17.15" hidden="false" customHeight="false" outlineLevel="0" collapsed="false">
      <c r="A28" s="0" t="s">
        <v>373</v>
      </c>
      <c r="B28" s="17" t="n">
        <f aca="false">F15/cons_eps26-1</f>
        <v>0.0125126193306282</v>
      </c>
    </row>
    <row r="29" customFormat="false" ht="17.15" hidden="false" customHeight="false" outlineLevel="0" collapsed="false">
      <c r="A29" s="4" t="s">
        <v>374</v>
      </c>
      <c r="B29" s="17" t="n">
        <f aca="false">F19/B19-1</f>
        <v>0.118724965064785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375</v>
      </c>
    </row>
    <row r="3" customFormat="false" ht="15" hidden="false" customHeight="false" outlineLevel="0" collapsed="false">
      <c r="A3" s="5" t="s">
        <v>18</v>
      </c>
      <c r="B3" s="5" t="s">
        <v>19</v>
      </c>
      <c r="C3" s="14" t="s">
        <v>376</v>
      </c>
      <c r="D3" s="14" t="s">
        <v>377</v>
      </c>
      <c r="E3" s="14" t="s">
        <v>378</v>
      </c>
      <c r="F3" s="14" t="s">
        <v>379</v>
      </c>
      <c r="G3" s="5" t="s">
        <v>380</v>
      </c>
    </row>
    <row r="4" customFormat="false" ht="17.15" hidden="false" customHeight="false" outlineLevel="0" collapsed="false">
      <c r="A4" s="4" t="s">
        <v>381</v>
      </c>
      <c r="B4" s="0" t="s">
        <v>382</v>
      </c>
      <c r="C4" s="20" t="n">
        <f aca="false">PL!D103</f>
        <v>23.3995380420639</v>
      </c>
      <c r="D4" s="20" t="n">
        <f aca="false">PL!E103</f>
        <v>41.6467658260637</v>
      </c>
      <c r="E4" s="20" t="n">
        <f aca="false">PL!F103</f>
        <v>42.2337105529984</v>
      </c>
      <c r="F4" s="20" t="n">
        <f aca="false">PL!G103</f>
        <v>51.1178029756948</v>
      </c>
      <c r="G4" s="8" t="s">
        <v>383</v>
      </c>
    </row>
    <row r="5" customFormat="false" ht="17.15" hidden="false" customHeight="false" outlineLevel="0" collapsed="false">
      <c r="A5" s="0" t="s">
        <v>384</v>
      </c>
      <c r="B5" s="0" t="s">
        <v>87</v>
      </c>
      <c r="C5" s="21" t="n">
        <f aca="false">PL!D104</f>
        <v>450</v>
      </c>
      <c r="D5" s="21" t="n">
        <f aca="false">PL!E104</f>
        <v>600</v>
      </c>
      <c r="E5" s="21" t="n">
        <f aca="false">PL!F104</f>
        <v>680</v>
      </c>
      <c r="F5" s="21" t="n">
        <f aca="false">PL!G104</f>
        <v>720</v>
      </c>
      <c r="G5" s="4" t="s">
        <v>385</v>
      </c>
    </row>
    <row r="6" customFormat="false" ht="17.15" hidden="false" customHeight="false" outlineLevel="0" collapsed="false">
      <c r="A6" s="4" t="s">
        <v>386</v>
      </c>
      <c r="B6" s="0" t="s">
        <v>387</v>
      </c>
      <c r="C6" s="21" t="n">
        <f aca="false">PL!D104*1000000/racks_vr/1000</f>
        <v>111.056268509378</v>
      </c>
      <c r="D6" s="21" t="n">
        <f aca="false">PL!E104*1000000/racks_vr/1000</f>
        <v>148.075024679171</v>
      </c>
      <c r="E6" s="21" t="n">
        <f aca="false">PL!F104*1000000/racks_vr/1000</f>
        <v>167.81836130306</v>
      </c>
      <c r="F6" s="21" t="n">
        <f aca="false">PL!G104*1000000/racks_vr/1000</f>
        <v>177.690029615005</v>
      </c>
    </row>
    <row r="7" customFormat="false" ht="17.15" hidden="false" customHeight="false" outlineLevel="0" collapsed="false">
      <c r="A7" s="0" t="s">
        <v>388</v>
      </c>
      <c r="B7" s="0" t="s">
        <v>29</v>
      </c>
      <c r="C7" s="22" t="n">
        <f aca="false">PL!D105</f>
        <v>10.5297921189288</v>
      </c>
      <c r="D7" s="22" t="n">
        <f aca="false">PL!E105</f>
        <v>24.9880594956382</v>
      </c>
      <c r="E7" s="22" t="n">
        <f aca="false">PL!F105</f>
        <v>28.7189231760389</v>
      </c>
      <c r="F7" s="22" t="n">
        <f aca="false">PL!G105</f>
        <v>36.8048181425003</v>
      </c>
      <c r="G7" s="4" t="s">
        <v>389</v>
      </c>
    </row>
    <row r="8" customFormat="false" ht="17.15" hidden="false" customHeight="false" outlineLevel="0" collapsed="false">
      <c r="A8" s="4" t="s">
        <v>390</v>
      </c>
      <c r="B8" s="0" t="s">
        <v>49</v>
      </c>
      <c r="C8" s="17" t="n">
        <f aca="false">PL!D109</f>
        <v>0.176143316327046</v>
      </c>
      <c r="D8" s="17" t="n">
        <f aca="false">PL!E109</f>
        <v>0.176143316327046</v>
      </c>
      <c r="E8" s="17" t="n">
        <f aca="false">PL!F109</f>
        <v>0.176143316327046</v>
      </c>
      <c r="F8" s="17" t="n">
        <f aca="false">PL!G109</f>
        <v>0.176143316327046</v>
      </c>
      <c r="G8" s="8" t="s">
        <v>391</v>
      </c>
    </row>
    <row r="9" customFormat="false" ht="17.15" hidden="false" customHeight="false" outlineLevel="0" collapsed="false">
      <c r="A9" s="4" t="s">
        <v>392</v>
      </c>
      <c r="B9" s="0" t="s">
        <v>49</v>
      </c>
      <c r="C9" s="17" t="n">
        <f aca="false">d_sh26</f>
        <v>0.583671939396772</v>
      </c>
      <c r="D9" s="17" t="n">
        <f aca="false">d_sh27</f>
        <v>0.554488342426934</v>
      </c>
      <c r="E9" s="17" t="n">
        <f aca="false">d_sh28</f>
        <v>0.525304745457095</v>
      </c>
      <c r="F9" s="17" t="n">
        <f aca="false">d_sh29</f>
        <v>0.496121148487257</v>
      </c>
      <c r="G9" s="4" t="s">
        <v>393</v>
      </c>
    </row>
    <row r="10" customFormat="false" ht="17.15" hidden="false" customHeight="false" outlineLevel="0" collapsed="false">
      <c r="A10" s="4" t="s">
        <v>394</v>
      </c>
      <c r="B10" s="0" t="s">
        <v>49</v>
      </c>
      <c r="C10" s="17" t="n">
        <f aca="false">PL!D109+d_sh26</f>
        <v>0.759815255723818</v>
      </c>
      <c r="D10" s="17" t="n">
        <f aca="false">PL!E109+d_sh27</f>
        <v>0.73063165875398</v>
      </c>
      <c r="E10" s="17" t="n">
        <f aca="false">PL!F109+d_sh28</f>
        <v>0.701448061784141</v>
      </c>
      <c r="F10" s="17" t="n">
        <f aca="false">PL!G109+d_sh29</f>
        <v>0.672264464814303</v>
      </c>
      <c r="G10" s="4" t="s">
        <v>395</v>
      </c>
    </row>
    <row r="11" customFormat="false" ht="17.15" hidden="false" customHeight="false" outlineLevel="0" collapsed="false">
      <c r="A11" s="4" t="s">
        <v>396</v>
      </c>
      <c r="B11" s="0" t="s">
        <v>49</v>
      </c>
      <c r="C11" s="17" t="n">
        <f aca="false">1-PL!D109-d_sh26</f>
        <v>0.240184744276183</v>
      </c>
      <c r="D11" s="17" t="n">
        <f aca="false">1-PL!E109-d_sh27</f>
        <v>0.269368341246021</v>
      </c>
      <c r="E11" s="17" t="n">
        <f aca="false">1-PL!F109-d_sh28</f>
        <v>0.298551938215859</v>
      </c>
      <c r="F11" s="17" t="n">
        <f aca="false">1-PL!G109-d_sh29</f>
        <v>0.327735535185698</v>
      </c>
    </row>
    <row r="12" customFormat="false" ht="17.15" hidden="false" customHeight="false" outlineLevel="0" collapsed="false">
      <c r="A12" s="4" t="s">
        <v>397</v>
      </c>
      <c r="B12" s="0" t="s">
        <v>29</v>
      </c>
      <c r="C12" s="23" t="n">
        <f aca="false">PL!D110/fx</f>
        <v>1.8547525040625</v>
      </c>
      <c r="D12" s="23" t="n">
        <f aca="false">PL!E110/fx</f>
        <v>4.40147966813923</v>
      </c>
      <c r="E12" s="23" t="n">
        <f aca="false">PL!F110/fx</f>
        <v>5.05864636956914</v>
      </c>
      <c r="F12" s="23" t="n">
        <f aca="false">PL!G110/fx</f>
        <v>6.48292272443381</v>
      </c>
    </row>
    <row r="13" customFormat="false" ht="17.15" hidden="false" customHeight="false" outlineLevel="0" collapsed="false">
      <c r="A13" s="4" t="s">
        <v>398</v>
      </c>
      <c r="B13" s="0" t="s">
        <v>29</v>
      </c>
      <c r="C13" s="23" t="n">
        <f aca="false">PL!D111/fx</f>
        <v>2.060836115625</v>
      </c>
      <c r="D13" s="23" t="n">
        <f aca="false">PL!E111/fx</f>
        <v>4.89053296459915</v>
      </c>
      <c r="E13" s="23" t="n">
        <f aca="false">PL!F111/fx</f>
        <v>5.62071818841016</v>
      </c>
      <c r="F13" s="23" t="n">
        <f aca="false">PL!G111/fx</f>
        <v>7.20324747159312</v>
      </c>
    </row>
    <row r="14" customFormat="false" ht="17.15" hidden="false" customHeight="false" outlineLevel="0" collapsed="false">
      <c r="A14" s="4" t="s">
        <v>399</v>
      </c>
      <c r="B14" s="0" t="s">
        <v>60</v>
      </c>
      <c r="C14" s="18" t="n">
        <f aca="false">PL!D109/d_sh26</f>
        <v>0.301784794569858</v>
      </c>
      <c r="D14" s="18" t="n">
        <f aca="false">PL!E109/d_sh27</f>
        <v>0.317668204810377</v>
      </c>
      <c r="E14" s="18" t="n">
        <f aca="false">PL!F109/d_sh28</f>
        <v>0.335316438410953</v>
      </c>
      <c r="F14" s="18" t="n">
        <f aca="false">PL!G109/d_sh29</f>
        <v>0.355040934788068</v>
      </c>
      <c r="G14" s="4" t="s">
        <v>400</v>
      </c>
    </row>
    <row r="15" customFormat="false" ht="17.15" hidden="false" customHeight="false" outlineLevel="0" collapsed="false">
      <c r="A15" s="4" t="s">
        <v>401</v>
      </c>
      <c r="B15" s="0" t="s">
        <v>402</v>
      </c>
      <c r="C15" s="21" t="n">
        <f aca="false">PL!D117</f>
        <v>88.0716581635228</v>
      </c>
      <c r="D15" s="21" t="n">
        <f aca="false">PL!E117</f>
        <v>117.428877551364</v>
      </c>
      <c r="E15" s="21" t="n">
        <f aca="false">PL!F117</f>
        <v>133.086061224879</v>
      </c>
      <c r="F15" s="21" t="n">
        <f aca="false">PL!G117</f>
        <v>140.914653061636</v>
      </c>
    </row>
    <row r="17" customFormat="false" ht="17.15" hidden="false" customHeight="false" outlineLevel="0" collapsed="false">
      <c r="A17" s="1" t="s">
        <v>403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0"/>
    <col collapsed="false" customWidth="true" hidden="false" outlineLevel="0" max="10" min="3" style="0" width="13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404</v>
      </c>
    </row>
    <row r="2" customFormat="false" ht="17.15" hidden="false" customHeight="false" outlineLevel="0" collapsed="false">
      <c r="A2" s="4" t="s">
        <v>405</v>
      </c>
    </row>
    <row r="3" customFormat="false" ht="17.15" hidden="false" customHeight="false" outlineLevel="0" collapsed="false">
      <c r="A3" s="5" t="s">
        <v>406</v>
      </c>
      <c r="B3" s="5" t="s">
        <v>19</v>
      </c>
      <c r="C3" s="14" t="s">
        <v>323</v>
      </c>
      <c r="D3" s="14" t="s">
        <v>407</v>
      </c>
      <c r="E3" s="14" t="s">
        <v>408</v>
      </c>
      <c r="F3" s="14" t="s">
        <v>409</v>
      </c>
      <c r="G3" s="14" t="s">
        <v>410</v>
      </c>
      <c r="H3" s="14" t="s">
        <v>411</v>
      </c>
      <c r="I3" s="14" t="s">
        <v>412</v>
      </c>
      <c r="J3" s="14" t="s">
        <v>413</v>
      </c>
      <c r="K3" s="5" t="s">
        <v>380</v>
      </c>
    </row>
    <row r="4" customFormat="false" ht="17.15" hidden="false" customHeight="false" outlineLevel="0" collapsed="false">
      <c r="A4" s="1" t="s">
        <v>414</v>
      </c>
    </row>
    <row r="5" customFormat="false" ht="15" hidden="false" customHeight="false" outlineLevel="0" collapsed="false">
      <c r="A5" s="4" t="s">
        <v>328</v>
      </c>
      <c r="B5" s="0" t="s">
        <v>146</v>
      </c>
      <c r="C5" s="22" t="n">
        <f aca="false">C76</f>
        <v>166.085</v>
      </c>
      <c r="D5" s="22" t="n">
        <f aca="false">D76</f>
        <v>212.73147</v>
      </c>
      <c r="E5" s="22" t="n">
        <f aca="false">E76</f>
        <v>323.33501608289</v>
      </c>
      <c r="F5" s="22" t="n">
        <f aca="false">F76</f>
        <v>425.518376444558</v>
      </c>
      <c r="G5" s="22" t="n">
        <f aca="false">G76</f>
        <v>499.371972107278</v>
      </c>
      <c r="H5" s="24" t="n">
        <f aca="false">H76</f>
        <v>567.140567828287</v>
      </c>
      <c r="I5" s="24" t="n">
        <f aca="false">I76</f>
        <v>622.637441084259</v>
      </c>
      <c r="J5" s="24" t="n">
        <f aca="false">J76</f>
        <v>659.995687549315</v>
      </c>
    </row>
    <row r="6" customFormat="false" ht="15" hidden="false" customHeight="false" outlineLevel="0" collapsed="false">
      <c r="A6" s="4" t="s">
        <v>415</v>
      </c>
      <c r="B6" s="0" t="s">
        <v>49</v>
      </c>
      <c r="D6" s="17" t="n">
        <f aca="false">D77</f>
        <v>0.280859017972725</v>
      </c>
      <c r="E6" s="17" t="n">
        <f aca="false">E77</f>
        <v>0.519920941094846</v>
      </c>
      <c r="F6" s="17" t="n">
        <f aca="false">F77</f>
        <v>0.316029366690899</v>
      </c>
      <c r="G6" s="17" t="n">
        <f aca="false">G77</f>
        <v>0.173561471727281</v>
      </c>
      <c r="H6" s="25" t="n">
        <f aca="false">H77</f>
        <v>0.135707647818188</v>
      </c>
      <c r="I6" s="25" t="n">
        <f aca="false">I77</f>
        <v>0.0978538239090938</v>
      </c>
      <c r="J6" s="25" t="n">
        <f aca="false">J77</f>
        <v>0.06</v>
      </c>
    </row>
    <row r="7" customFormat="false" ht="17.15" hidden="false" customHeight="false" outlineLevel="0" collapsed="false">
      <c r="A7" s="0" t="s">
        <v>416</v>
      </c>
      <c r="B7" s="0" t="s">
        <v>146</v>
      </c>
      <c r="C7" s="22" t="n">
        <f aca="false">C73</f>
        <v>34.87785</v>
      </c>
      <c r="D7" s="22" t="n">
        <f aca="false">D73</f>
        <v>65.9467557</v>
      </c>
      <c r="E7" s="22" t="n">
        <f aca="false">E73</f>
        <v>172.14676035389</v>
      </c>
      <c r="F7" s="22" t="n">
        <f aca="false">F73</f>
        <v>269.794473043688</v>
      </c>
      <c r="G7" s="22" t="n">
        <f aca="false">G73</f>
        <v>338.976351604382</v>
      </c>
    </row>
    <row r="8" customFormat="false" ht="17.15" hidden="false" customHeight="false" outlineLevel="0" collapsed="false">
      <c r="A8" s="4" t="s">
        <v>417</v>
      </c>
      <c r="B8" s="0" t="s">
        <v>146</v>
      </c>
      <c r="C8" s="22" t="n">
        <f aca="false">C75</f>
        <v>131.20715</v>
      </c>
      <c r="D8" s="22" t="n">
        <f aca="false">D75</f>
        <v>146.7847143</v>
      </c>
      <c r="E8" s="22" t="n">
        <f aca="false">E75</f>
        <v>151.188255729</v>
      </c>
      <c r="F8" s="22" t="n">
        <f aca="false">F75</f>
        <v>155.72390340087</v>
      </c>
      <c r="G8" s="22" t="n">
        <f aca="false">G75</f>
        <v>160.395620502896</v>
      </c>
    </row>
    <row r="9" customFormat="false" ht="17.15" hidden="false" customHeight="false" outlineLevel="0" collapsed="false">
      <c r="A9" s="0" t="s">
        <v>418</v>
      </c>
      <c r="B9" s="0" t="s">
        <v>49</v>
      </c>
      <c r="C9" s="17" t="n">
        <f aca="false">C78</f>
        <v>0.21</v>
      </c>
      <c r="D9" s="17" t="n">
        <f aca="false">D78</f>
        <v>0.31</v>
      </c>
      <c r="E9" s="17" t="n">
        <f aca="false">E78</f>
        <v>0.532409890024898</v>
      </c>
      <c r="F9" s="17" t="n">
        <f aca="false">F78</f>
        <v>0.634037183770934</v>
      </c>
      <c r="G9" s="17" t="n">
        <f aca="false">G78</f>
        <v>0.678805320558842</v>
      </c>
    </row>
    <row r="10" customFormat="false" ht="15" hidden="false" customHeight="false" outlineLevel="0" collapsed="false">
      <c r="A10" s="4" t="s">
        <v>335</v>
      </c>
      <c r="B10" s="0" t="s">
        <v>49</v>
      </c>
      <c r="C10" s="17" t="n">
        <f aca="false">C84</f>
        <v>0.229033326308818</v>
      </c>
      <c r="D10" s="17" t="n">
        <f aca="false">D84</f>
        <v>0.254182337009188</v>
      </c>
      <c r="E10" s="17" t="n">
        <f aca="false">E84</f>
        <v>0.286195622712425</v>
      </c>
      <c r="F10" s="17" t="n">
        <f aca="false">F84</f>
        <v>0.302577356818264</v>
      </c>
      <c r="G10" s="17" t="n">
        <f aca="false">G84</f>
        <v>0.312015081887426</v>
      </c>
    </row>
    <row r="11" customFormat="false" ht="15" hidden="false" customHeight="false" outlineLevel="0" collapsed="false">
      <c r="A11" s="4" t="s">
        <v>342</v>
      </c>
      <c r="B11" s="0" t="s">
        <v>49</v>
      </c>
      <c r="C11" s="17" t="n">
        <f aca="false">C88</f>
        <v>0.100779721227083</v>
      </c>
      <c r="D11" s="17" t="n">
        <f aca="false">D88</f>
        <v>0.135674560703219</v>
      </c>
      <c r="E11" s="17" t="n">
        <f aca="false">E88</f>
        <v>0.179849269988068</v>
      </c>
      <c r="F11" s="17" t="n">
        <f aca="false">F88</f>
        <v>0.203892361359636</v>
      </c>
      <c r="G11" s="17" t="n">
        <f aca="false">G88</f>
        <v>0.217708531051044</v>
      </c>
    </row>
    <row r="12" customFormat="false" ht="15" hidden="false" customHeight="false" outlineLevel="0" collapsed="false">
      <c r="A12" s="4" t="s">
        <v>349</v>
      </c>
      <c r="B12" s="0" t="s">
        <v>146</v>
      </c>
      <c r="C12" s="22" t="n">
        <f aca="false">C91</f>
        <v>15.116</v>
      </c>
      <c r="D12" s="22" t="n">
        <f aca="false">D91</f>
        <v>24.8343420979946</v>
      </c>
      <c r="E12" s="22" t="n">
        <f aca="false">E91</f>
        <v>46.8551906191069</v>
      </c>
      <c r="F12" s="22" t="n">
        <f aca="false">F91</f>
        <v>68.5975593971515</v>
      </c>
      <c r="G12" s="22" t="n">
        <f aca="false">G91</f>
        <v>85.2853292566093</v>
      </c>
      <c r="H12" s="24" t="n">
        <f aca="false">H91</f>
        <v>96.8592006834234</v>
      </c>
      <c r="I12" s="24" t="n">
        <f aca="false">I91</f>
        <v>106.337243851075</v>
      </c>
      <c r="J12" s="24" t="n">
        <f aca="false">J91</f>
        <v>112.717478482139</v>
      </c>
    </row>
    <row r="13" customFormat="false" ht="15" hidden="false" customHeight="false" outlineLevel="0" collapsed="false">
      <c r="A13" s="4" t="s">
        <v>419</v>
      </c>
      <c r="B13" s="0" t="s">
        <v>49</v>
      </c>
      <c r="C13" s="17" t="n">
        <f aca="false">C95</f>
        <v>0.0910136375952073</v>
      </c>
      <c r="D13" s="17" t="n">
        <f aca="false">D95</f>
        <v>0.116740330417472</v>
      </c>
      <c r="E13" s="17" t="n">
        <f aca="false">E95</f>
        <v>0.14491220649945</v>
      </c>
      <c r="F13" s="17" t="n">
        <f aca="false">F95</f>
        <v>0.161209393517437</v>
      </c>
      <c r="G13" s="17" t="n">
        <f aca="false">G95</f>
        <v>0.170785174219365</v>
      </c>
      <c r="H13" s="25" t="n">
        <f aca="false">H95</f>
        <v>0.170785174219365</v>
      </c>
      <c r="I13" s="25" t="n">
        <f aca="false">I95</f>
        <v>0.170785174219365</v>
      </c>
      <c r="J13" s="25" t="n">
        <f aca="false">J95</f>
        <v>0.170785174219365</v>
      </c>
    </row>
    <row r="14" customFormat="false" ht="15" hidden="false" customHeight="false" outlineLevel="0" collapsed="false">
      <c r="A14" s="0" t="s">
        <v>355</v>
      </c>
      <c r="B14" s="0" t="s">
        <v>209</v>
      </c>
      <c r="C14" s="18" t="n">
        <f aca="false">C93</f>
        <v>6.64</v>
      </c>
      <c r="D14" s="18" t="n">
        <f aca="false">D93</f>
        <v>10.9452614149641</v>
      </c>
      <c r="E14" s="18" t="n">
        <f aca="false">E93</f>
        <v>20.6505293335518</v>
      </c>
      <c r="F14" s="18" t="n">
        <f aca="false">F93</f>
        <v>30.2330626302752</v>
      </c>
      <c r="G14" s="18" t="n">
        <f aca="false">G93</f>
        <v>37.5878781040974</v>
      </c>
      <c r="H14" s="26" t="n">
        <f aca="false">H93</f>
        <v>42.6888406280812</v>
      </c>
      <c r="I14" s="26" t="n">
        <f aca="false">I93</f>
        <v>46.8661069217848</v>
      </c>
      <c r="J14" s="26" t="n">
        <f aca="false">J93</f>
        <v>49.6780733370919</v>
      </c>
    </row>
    <row r="15" customFormat="false" ht="17.15" hidden="false" customHeight="false" outlineLevel="0" collapsed="false">
      <c r="A15" s="0" t="s">
        <v>420</v>
      </c>
      <c r="B15" s="0" t="s">
        <v>49</v>
      </c>
      <c r="D15" s="17" t="n">
        <f aca="false">D94</f>
        <v>0.648382743217484</v>
      </c>
      <c r="E15" s="17" t="n">
        <f aca="false">E94</f>
        <v>0.886709558651466</v>
      </c>
      <c r="F15" s="17" t="n">
        <f aca="false">F94</f>
        <v>0.464033301129682</v>
      </c>
      <c r="G15" s="17" t="n">
        <f aca="false">G94</f>
        <v>0.24327060621563</v>
      </c>
      <c r="H15" s="25" t="n">
        <f aca="false">H94</f>
        <v>0.135707647818188</v>
      </c>
      <c r="I15" s="25" t="n">
        <f aca="false">I94</f>
        <v>0.097853823909094</v>
      </c>
      <c r="J15" s="25" t="n">
        <f aca="false">J94</f>
        <v>0.0600000000000001</v>
      </c>
    </row>
    <row r="17" customFormat="false" ht="17.15" hidden="false" customHeight="false" outlineLevel="0" collapsed="false">
      <c r="A17" s="1" t="s">
        <v>421</v>
      </c>
    </row>
    <row r="18" customFormat="false" ht="15" hidden="false" customHeight="false" outlineLevel="0" collapsed="false">
      <c r="A18" s="4" t="s">
        <v>328</v>
      </c>
      <c r="B18" s="0" t="s">
        <v>146</v>
      </c>
      <c r="C18" s="22" t="n">
        <f aca="false">C114</f>
        <v>166.085</v>
      </c>
      <c r="D18" s="22" t="n">
        <f aca="false">D114</f>
        <v>212.73147</v>
      </c>
      <c r="E18" s="22" t="n">
        <f aca="false">E114</f>
        <v>307.685310596173</v>
      </c>
      <c r="F18" s="22" t="n">
        <f aca="false">F114</f>
        <v>335.586885429995</v>
      </c>
      <c r="G18" s="22" t="n">
        <f aca="false">G114</f>
        <v>390.899539593876</v>
      </c>
      <c r="H18" s="24" t="n">
        <f aca="false">H114</f>
        <v>439.064525134509</v>
      </c>
      <c r="I18" s="24" t="n">
        <f aca="false">I114</f>
        <v>474.895651160772</v>
      </c>
      <c r="J18" s="24" t="n">
        <f aca="false">J114</f>
        <v>493.891477207202</v>
      </c>
    </row>
    <row r="19" customFormat="false" ht="15" hidden="false" customHeight="false" outlineLevel="0" collapsed="false">
      <c r="A19" s="4" t="s">
        <v>415</v>
      </c>
      <c r="B19" s="0" t="s">
        <v>49</v>
      </c>
      <c r="D19" s="17" t="n">
        <f aca="false">D115</f>
        <v>0.280859017972725</v>
      </c>
      <c r="E19" s="17" t="n">
        <f aca="false">E115</f>
        <v>0.446355400995315</v>
      </c>
      <c r="F19" s="17" t="n">
        <f aca="false">F115</f>
        <v>0.0906821803737075</v>
      </c>
      <c r="G19" s="17" t="n">
        <f aca="false">G115</f>
        <v>0.164823646469401</v>
      </c>
      <c r="H19" s="25" t="n">
        <f aca="false">H115</f>
        <v>0.123215764312934</v>
      </c>
      <c r="I19" s="25" t="n">
        <f aca="false">I115</f>
        <v>0.081607882156467</v>
      </c>
      <c r="J19" s="25" t="n">
        <f aca="false">J115</f>
        <v>0.04</v>
      </c>
    </row>
    <row r="20" customFormat="false" ht="17.15" hidden="false" customHeight="false" outlineLevel="0" collapsed="false">
      <c r="A20" s="0" t="s">
        <v>416</v>
      </c>
      <c r="B20" s="0" t="s">
        <v>146</v>
      </c>
      <c r="C20" s="22" t="n">
        <f aca="false">C111</f>
        <v>34.87785</v>
      </c>
      <c r="D20" s="22" t="n">
        <f aca="false">D111</f>
        <v>65.9467557</v>
      </c>
      <c r="E20" s="22" t="n">
        <f aca="false">E111</f>
        <v>156.497054867173</v>
      </c>
      <c r="F20" s="22" t="n">
        <f aca="false">F111</f>
        <v>179.862982029125</v>
      </c>
      <c r="G20" s="22" t="n">
        <f aca="false">G111</f>
        <v>230.50391909098</v>
      </c>
    </row>
    <row r="21" customFormat="false" ht="17.15" hidden="false" customHeight="false" outlineLevel="0" collapsed="false">
      <c r="A21" s="4" t="s">
        <v>417</v>
      </c>
      <c r="B21" s="0" t="s">
        <v>146</v>
      </c>
      <c r="C21" s="22" t="n">
        <f aca="false">C113</f>
        <v>131.20715</v>
      </c>
      <c r="D21" s="22" t="n">
        <f aca="false">D113</f>
        <v>146.7847143</v>
      </c>
      <c r="E21" s="22" t="n">
        <f aca="false">E113</f>
        <v>151.188255729</v>
      </c>
      <c r="F21" s="22" t="n">
        <f aca="false">F113</f>
        <v>155.72390340087</v>
      </c>
      <c r="G21" s="22" t="n">
        <f aca="false">G113</f>
        <v>160.395620502896</v>
      </c>
    </row>
    <row r="22" customFormat="false" ht="17.15" hidden="false" customHeight="false" outlineLevel="0" collapsed="false">
      <c r="A22" s="0" t="s">
        <v>418</v>
      </c>
      <c r="B22" s="0" t="s">
        <v>49</v>
      </c>
      <c r="C22" s="17" t="n">
        <f aca="false">C116</f>
        <v>0.21</v>
      </c>
      <c r="D22" s="17" t="n">
        <f aca="false">D116</f>
        <v>0.31</v>
      </c>
      <c r="E22" s="17" t="n">
        <f aca="false">E116</f>
        <v>0.508626994782244</v>
      </c>
      <c r="F22" s="17" t="n">
        <f aca="false">F116</f>
        <v>0.535965467776438</v>
      </c>
      <c r="G22" s="17" t="n">
        <f aca="false">G116</f>
        <v>0.58967559626819</v>
      </c>
    </row>
    <row r="23" customFormat="false" ht="15" hidden="false" customHeight="false" outlineLevel="0" collapsed="false">
      <c r="A23" s="4" t="s">
        <v>335</v>
      </c>
      <c r="B23" s="0" t="s">
        <v>49</v>
      </c>
      <c r="C23" s="17" t="n">
        <f aca="false">C122</f>
        <v>0.229033326308818</v>
      </c>
      <c r="D23" s="17" t="n">
        <f aca="false">D122</f>
        <v>0.254182337009188</v>
      </c>
      <c r="E23" s="17" t="n">
        <f aca="false">E122</f>
        <v>0.278017576383058</v>
      </c>
      <c r="F23" s="17" t="n">
        <f aca="false">F122</f>
        <v>0.281298193142361</v>
      </c>
      <c r="G23" s="17" t="n">
        <f aca="false">G122</f>
        <v>0.287743408561371</v>
      </c>
    </row>
    <row r="24" customFormat="false" ht="15" hidden="false" customHeight="false" outlineLevel="0" collapsed="false">
      <c r="A24" s="4" t="s">
        <v>342</v>
      </c>
      <c r="B24" s="0" t="s">
        <v>49</v>
      </c>
      <c r="C24" s="17" t="n">
        <f aca="false">C126</f>
        <v>0.100779721227083</v>
      </c>
      <c r="D24" s="17" t="n">
        <f aca="false">D126</f>
        <v>0.135674560703219</v>
      </c>
      <c r="E24" s="17" t="n">
        <f aca="false">E126</f>
        <v>0.170481498867934</v>
      </c>
      <c r="F24" s="17" t="n">
        <f aca="false">F126</f>
        <v>0.176444365182621</v>
      </c>
      <c r="G24" s="17" t="n">
        <f aca="false">G126</f>
        <v>0.187340655317444</v>
      </c>
    </row>
    <row r="25" customFormat="false" ht="15" hidden="false" customHeight="false" outlineLevel="0" collapsed="false">
      <c r="A25" s="4" t="s">
        <v>349</v>
      </c>
      <c r="B25" s="0" t="s">
        <v>146</v>
      </c>
      <c r="C25" s="22" t="n">
        <f aca="false">C129</f>
        <v>15.116</v>
      </c>
      <c r="D25" s="22" t="n">
        <f aca="false">D129</f>
        <v>24.8343420979946</v>
      </c>
      <c r="E25" s="22" t="n">
        <f aca="false">E129</f>
        <v>42.5255362268619</v>
      </c>
      <c r="F25" s="22" t="n">
        <f aca="false">F129</f>
        <v>47.6614353721145</v>
      </c>
      <c r="G25" s="22" t="n">
        <f aca="false">G129</f>
        <v>58.3158456922108</v>
      </c>
      <c r="H25" s="24" t="n">
        <f aca="false">H129</f>
        <v>59.342393562984</v>
      </c>
      <c r="I25" s="24" t="n">
        <f aca="false">I129</f>
        <v>57.5237035466985</v>
      </c>
      <c r="J25" s="24" t="n">
        <f aca="false">J129</f>
        <v>52.8966947284279</v>
      </c>
    </row>
    <row r="26" customFormat="false" ht="15" hidden="false" customHeight="false" outlineLevel="0" collapsed="false">
      <c r="A26" s="4" t="s">
        <v>419</v>
      </c>
      <c r="B26" s="0" t="s">
        <v>49</v>
      </c>
      <c r="C26" s="17" t="n">
        <f aca="false">C133</f>
        <v>0.0910136375952073</v>
      </c>
      <c r="D26" s="17" t="n">
        <f aca="false">D133</f>
        <v>0.116740330417472</v>
      </c>
      <c r="E26" s="17" t="n">
        <f aca="false">E133</f>
        <v>0.138211135736263</v>
      </c>
      <c r="F26" s="17" t="n">
        <f aca="false">F133</f>
        <v>0.142024129789949</v>
      </c>
      <c r="G26" s="17" t="n">
        <f aca="false">G133</f>
        <v>0.149183715470215</v>
      </c>
      <c r="H26" s="25" t="n">
        <f aca="false">H133</f>
        <v>0.135156429558512</v>
      </c>
      <c r="I26" s="25" t="n">
        <f aca="false">I133</f>
        <v>0.12112914364681</v>
      </c>
      <c r="J26" s="25" t="n">
        <f aca="false">J133</f>
        <v>0.107101857735107</v>
      </c>
    </row>
    <row r="27" customFormat="false" ht="15" hidden="false" customHeight="false" outlineLevel="0" collapsed="false">
      <c r="A27" s="0" t="s">
        <v>355</v>
      </c>
      <c r="B27" s="0" t="s">
        <v>209</v>
      </c>
      <c r="C27" s="18" t="n">
        <f aca="false">C131</f>
        <v>6.64</v>
      </c>
      <c r="D27" s="18" t="n">
        <f aca="false">D131</f>
        <v>10.9452614149641</v>
      </c>
      <c r="E27" s="18" t="n">
        <f aca="false">E131</f>
        <v>18.7423169487593</v>
      </c>
      <c r="F27" s="18" t="n">
        <f aca="false">F131</f>
        <v>21.0058662919979</v>
      </c>
      <c r="G27" s="18" t="n">
        <f aca="false">G131</f>
        <v>25.7015939144809</v>
      </c>
      <c r="H27" s="26" t="n">
        <f aca="false">H131</f>
        <v>26.1540252596018</v>
      </c>
      <c r="I27" s="26" t="n">
        <f aca="false">I131</f>
        <v>25.3524724106283</v>
      </c>
      <c r="J27" s="26" t="n">
        <f aca="false">J131</f>
        <v>23.313206748366</v>
      </c>
    </row>
    <row r="28" customFormat="false" ht="17.15" hidden="false" customHeight="false" outlineLevel="0" collapsed="false">
      <c r="A28" s="0" t="s">
        <v>420</v>
      </c>
      <c r="B28" s="0" t="s">
        <v>49</v>
      </c>
      <c r="D28" s="17" t="n">
        <f aca="false">D132</f>
        <v>0.648382743217484</v>
      </c>
      <c r="E28" s="17" t="n">
        <f aca="false">E132</f>
        <v>0.71236814162659</v>
      </c>
      <c r="F28" s="17" t="n">
        <f aca="false">F132</f>
        <v>0.120772119553154</v>
      </c>
      <c r="G28" s="17" t="n">
        <f aca="false">G132</f>
        <v>0.223543630965213</v>
      </c>
      <c r="H28" s="25" t="n">
        <f aca="false">H132</f>
        <v>0.0176032407416555</v>
      </c>
      <c r="I28" s="25" t="n">
        <f aca="false">I132</f>
        <v>-0.0306473990530107</v>
      </c>
      <c r="J28" s="25" t="n">
        <f aca="false">J132</f>
        <v>-0.0804365597655639</v>
      </c>
    </row>
    <row r="30" customFormat="false" ht="17.15" hidden="false" customHeight="false" outlineLevel="0" collapsed="false">
      <c r="A30" s="1" t="s">
        <v>422</v>
      </c>
    </row>
    <row r="31" customFormat="false" ht="15" hidden="false" customHeight="false" outlineLevel="0" collapsed="false">
      <c r="A31" s="4" t="s">
        <v>328</v>
      </c>
      <c r="B31" s="0" t="s">
        <v>146</v>
      </c>
      <c r="C31" s="22" t="n">
        <f aca="false">C152</f>
        <v>166.085</v>
      </c>
      <c r="D31" s="22" t="n">
        <f aca="false">D152</f>
        <v>212.73147</v>
      </c>
      <c r="E31" s="22" t="n">
        <f aca="false">E152</f>
        <v>284.210752366097</v>
      </c>
      <c r="F31" s="22" t="n">
        <f aca="false">F152</f>
        <v>263.641692618345</v>
      </c>
      <c r="G31" s="22" t="n">
        <f aca="false">G152</f>
        <v>282.427107080474</v>
      </c>
      <c r="H31" s="24" t="n">
        <f aca="false">H152</f>
        <v>297.725916125129</v>
      </c>
      <c r="I31" s="24" t="n">
        <f aca="false">I152</f>
        <v>308.766940810745</v>
      </c>
      <c r="J31" s="24" t="n">
        <f aca="false">J152</f>
        <v>314.94227962696</v>
      </c>
    </row>
    <row r="32" customFormat="false" ht="15" hidden="false" customHeight="false" outlineLevel="0" collapsed="false">
      <c r="A32" s="4" t="s">
        <v>415</v>
      </c>
      <c r="B32" s="0" t="s">
        <v>49</v>
      </c>
      <c r="D32" s="17" t="n">
        <f aca="false">D153</f>
        <v>0.280859017972725</v>
      </c>
      <c r="E32" s="17" t="n">
        <f aca="false">E153</f>
        <v>0.336007090846017</v>
      </c>
      <c r="F32" s="17" t="n">
        <f aca="false">F153</f>
        <v>-0.0723725600685805</v>
      </c>
      <c r="G32" s="17" t="n">
        <f aca="false">G153</f>
        <v>0.0712535800979055</v>
      </c>
      <c r="H32" s="25" t="n">
        <f aca="false">H153</f>
        <v>0.0541690533986037</v>
      </c>
      <c r="I32" s="25" t="n">
        <f aca="false">I153</f>
        <v>0.0370845266993018</v>
      </c>
      <c r="J32" s="25" t="n">
        <f aca="false">J153</f>
        <v>0.02</v>
      </c>
    </row>
    <row r="33" customFormat="false" ht="17.15" hidden="false" customHeight="false" outlineLevel="0" collapsed="false">
      <c r="A33" s="0" t="s">
        <v>416</v>
      </c>
      <c r="B33" s="0" t="s">
        <v>146</v>
      </c>
      <c r="C33" s="22" t="n">
        <f aca="false">C149</f>
        <v>34.87785</v>
      </c>
      <c r="D33" s="22" t="n">
        <f aca="false">D149</f>
        <v>65.9467557</v>
      </c>
      <c r="E33" s="22" t="n">
        <f aca="false">E149</f>
        <v>133.022496637097</v>
      </c>
      <c r="F33" s="22" t="n">
        <f aca="false">F149</f>
        <v>107.917789217475</v>
      </c>
      <c r="G33" s="22" t="n">
        <f aca="false">G149</f>
        <v>122.031486577578</v>
      </c>
    </row>
    <row r="34" customFormat="false" ht="17.15" hidden="false" customHeight="false" outlineLevel="0" collapsed="false">
      <c r="A34" s="4" t="s">
        <v>417</v>
      </c>
      <c r="B34" s="0" t="s">
        <v>146</v>
      </c>
      <c r="C34" s="22" t="n">
        <f aca="false">C151</f>
        <v>131.20715</v>
      </c>
      <c r="D34" s="22" t="n">
        <f aca="false">D151</f>
        <v>146.7847143</v>
      </c>
      <c r="E34" s="22" t="n">
        <f aca="false">E151</f>
        <v>151.188255729</v>
      </c>
      <c r="F34" s="22" t="n">
        <f aca="false">F151</f>
        <v>155.72390340087</v>
      </c>
      <c r="G34" s="22" t="n">
        <f aca="false">G151</f>
        <v>160.395620502896</v>
      </c>
    </row>
    <row r="35" customFormat="false" ht="17.15" hidden="false" customHeight="false" outlineLevel="0" collapsed="false">
      <c r="A35" s="0" t="s">
        <v>418</v>
      </c>
      <c r="B35" s="0" t="s">
        <v>49</v>
      </c>
      <c r="C35" s="17" t="n">
        <f aca="false">C154</f>
        <v>0.21</v>
      </c>
      <c r="D35" s="17" t="n">
        <f aca="false">D154</f>
        <v>0.31</v>
      </c>
      <c r="E35" s="17" t="n">
        <f aca="false">E154</f>
        <v>0.468041745534484</v>
      </c>
      <c r="F35" s="17" t="n">
        <f aca="false">F154</f>
        <v>0.409335064365938</v>
      </c>
      <c r="G35" s="17" t="n">
        <f aca="false">G154</f>
        <v>0.432081353093371</v>
      </c>
    </row>
    <row r="36" customFormat="false" ht="15" hidden="false" customHeight="false" outlineLevel="0" collapsed="false">
      <c r="A36" s="4" t="s">
        <v>335</v>
      </c>
      <c r="B36" s="0" t="s">
        <v>49</v>
      </c>
      <c r="C36" s="17" t="n">
        <f aca="false">C160</f>
        <v>0.229033326308818</v>
      </c>
      <c r="D36" s="17" t="n">
        <f aca="false">D160</f>
        <v>0.254182337009188</v>
      </c>
      <c r="E36" s="17" t="n">
        <f aca="false">E160</f>
        <v>0.268466929017981</v>
      </c>
      <c r="F36" s="17" t="n">
        <f aca="false">F160</f>
        <v>0.259962518767612</v>
      </c>
      <c r="G36" s="17" t="n">
        <f aca="false">G160</f>
        <v>0.260190472318525</v>
      </c>
    </row>
    <row r="37" customFormat="false" ht="15" hidden="false" customHeight="false" outlineLevel="0" collapsed="false">
      <c r="A37" s="4" t="s">
        <v>342</v>
      </c>
      <c r="B37" s="0" t="s">
        <v>49</v>
      </c>
      <c r="C37" s="17" t="n">
        <f aca="false">C164</f>
        <v>0.100779721227083</v>
      </c>
      <c r="D37" s="17" t="n">
        <f aca="false">D164</f>
        <v>0.135674560703219</v>
      </c>
      <c r="E37" s="17" t="n">
        <f aca="false">E164</f>
        <v>0.158900599227985</v>
      </c>
      <c r="F37" s="17" t="n">
        <f aca="false">F164</f>
        <v>0.141847934104078</v>
      </c>
      <c r="G37" s="17" t="n">
        <f aca="false">G164</f>
        <v>0.144432776959843</v>
      </c>
    </row>
    <row r="38" customFormat="false" ht="15" hidden="false" customHeight="false" outlineLevel="0" collapsed="false">
      <c r="A38" s="4" t="s">
        <v>349</v>
      </c>
      <c r="B38" s="0" t="s">
        <v>146</v>
      </c>
      <c r="C38" s="22" t="n">
        <f aca="false">C167</f>
        <v>15.116</v>
      </c>
      <c r="D38" s="22" t="n">
        <f aca="false">D167</f>
        <v>24.8343420979946</v>
      </c>
      <c r="E38" s="22" t="n">
        <f aca="false">E167</f>
        <v>36.982556732087</v>
      </c>
      <c r="F38" s="22" t="n">
        <f aca="false">F167</f>
        <v>31.0817423756271</v>
      </c>
      <c r="G38" s="22" t="n">
        <f aca="false">G167</f>
        <v>33.6617158369194</v>
      </c>
      <c r="H38" s="24" t="n">
        <f aca="false">H167</f>
        <v>30.1094724352041</v>
      </c>
      <c r="I38" s="24" t="n">
        <f aca="false">I167</f>
        <v>25.651047230572</v>
      </c>
      <c r="J38" s="24" t="n">
        <f aca="false">J167</f>
        <v>20.477547021345</v>
      </c>
    </row>
    <row r="39" customFormat="false" ht="15" hidden="false" customHeight="false" outlineLevel="0" collapsed="false">
      <c r="A39" s="4" t="s">
        <v>419</v>
      </c>
      <c r="B39" s="0" t="s">
        <v>49</v>
      </c>
      <c r="C39" s="17" t="n">
        <f aca="false">C171</f>
        <v>0.0910136375952073</v>
      </c>
      <c r="D39" s="17" t="n">
        <f aca="false">D171</f>
        <v>0.116740330417472</v>
      </c>
      <c r="E39" s="17" t="n">
        <f aca="false">E171</f>
        <v>0.130123707228533</v>
      </c>
      <c r="F39" s="17" t="n">
        <f aca="false">F171</f>
        <v>0.117893881149602</v>
      </c>
      <c r="G39" s="17" t="n">
        <f aca="false">G171</f>
        <v>0.119187269893778</v>
      </c>
      <c r="H39" s="25" t="n">
        <f aca="false">H171</f>
        <v>0.101131513262519</v>
      </c>
      <c r="I39" s="25" t="n">
        <f aca="false">I171</f>
        <v>0.0830757566312594</v>
      </c>
      <c r="J39" s="25" t="n">
        <f aca="false">J171</f>
        <v>0.06502</v>
      </c>
    </row>
    <row r="40" customFormat="false" ht="15" hidden="false" customHeight="false" outlineLevel="0" collapsed="false">
      <c r="A40" s="0" t="s">
        <v>355</v>
      </c>
      <c r="B40" s="0" t="s">
        <v>209</v>
      </c>
      <c r="C40" s="18" t="n">
        <f aca="false">C169</f>
        <v>6.64</v>
      </c>
      <c r="D40" s="18" t="n">
        <f aca="false">D169</f>
        <v>10.9452614149641</v>
      </c>
      <c r="E40" s="18" t="n">
        <f aca="false">E169</f>
        <v>16.2993547253712</v>
      </c>
      <c r="F40" s="18" t="n">
        <f aca="false">F169</f>
        <v>13.6986836289606</v>
      </c>
      <c r="G40" s="18" t="n">
        <f aca="false">G169</f>
        <v>14.8357575995972</v>
      </c>
      <c r="H40" s="26" t="n">
        <f aca="false">H169</f>
        <v>13.2701742437774</v>
      </c>
      <c r="I40" s="26" t="n">
        <f aca="false">I169</f>
        <v>11.3052085856896</v>
      </c>
      <c r="J40" s="26" t="n">
        <f aca="false">J169</f>
        <v>9.02508729248515</v>
      </c>
    </row>
    <row r="41" customFormat="false" ht="17.15" hidden="false" customHeight="false" outlineLevel="0" collapsed="false">
      <c r="A41" s="0" t="s">
        <v>420</v>
      </c>
      <c r="B41" s="0" t="s">
        <v>49</v>
      </c>
      <c r="D41" s="17" t="n">
        <f aca="false">D170</f>
        <v>0.648382743217484</v>
      </c>
      <c r="E41" s="17" t="n">
        <f aca="false">E170</f>
        <v>0.489169980269918</v>
      </c>
      <c r="F41" s="17" t="n">
        <f aca="false">F170</f>
        <v>-0.159556690447532</v>
      </c>
      <c r="G41" s="17" t="n">
        <f aca="false">G170</f>
        <v>0.083006075724875</v>
      </c>
      <c r="H41" s="25" t="n">
        <f aca="false">H170</f>
        <v>-0.105527698555976</v>
      </c>
      <c r="I41" s="25" t="n">
        <f aca="false">I170</f>
        <v>-0.148073840025815</v>
      </c>
      <c r="J41" s="25" t="n">
        <f aca="false">J170</f>
        <v>-0.201687680145122</v>
      </c>
    </row>
    <row r="43" customFormat="false" ht="17.15" hidden="false" customHeight="false" outlineLevel="0" collapsed="false">
      <c r="A43" s="1" t="s">
        <v>423</v>
      </c>
    </row>
    <row r="44" customFormat="false" ht="17.15" hidden="false" customHeight="false" outlineLevel="0" collapsed="false">
      <c r="A44" s="4" t="s">
        <v>424</v>
      </c>
      <c r="D44" s="27" t="n">
        <f aca="false">ABS(D76-a26_rev)+ABS(D114-a26_rev)+ABS(D152-a26_rev)</f>
        <v>0</v>
      </c>
    </row>
    <row r="45" customFormat="false" ht="17.15" hidden="false" customHeight="false" outlineLevel="0" collapsed="false">
      <c r="A45" s="4" t="s">
        <v>425</v>
      </c>
      <c r="D45" s="27" t="n">
        <f aca="false">D111-a26_ai</f>
        <v>0</v>
      </c>
    </row>
    <row r="46" customFormat="false" ht="17.15" hidden="false" customHeight="false" outlineLevel="0" collapsed="false">
      <c r="A46" s="4" t="s">
        <v>426</v>
      </c>
      <c r="D46" s="27" t="n">
        <f aca="false">D120*D111+D119*D113-a26_gp</f>
        <v>0</v>
      </c>
    </row>
    <row r="60" customFormat="false" ht="17.15" hidden="false" customHeight="false" outlineLevel="0" collapsed="false">
      <c r="A60" s="1" t="s">
        <v>427</v>
      </c>
    </row>
    <row r="61" customFormat="false" ht="17.15" hidden="false" customHeight="false" outlineLevel="0" collapsed="false">
      <c r="A61" s="5" t="s">
        <v>18</v>
      </c>
      <c r="B61" s="5" t="s">
        <v>19</v>
      </c>
      <c r="C61" s="14" t="s">
        <v>323</v>
      </c>
      <c r="D61" s="14" t="s">
        <v>407</v>
      </c>
      <c r="E61" s="14" t="s">
        <v>408</v>
      </c>
      <c r="F61" s="14" t="s">
        <v>409</v>
      </c>
      <c r="G61" s="14" t="s">
        <v>410</v>
      </c>
      <c r="H61" s="14" t="s">
        <v>411</v>
      </c>
      <c r="I61" s="14" t="s">
        <v>412</v>
      </c>
      <c r="J61" s="14" t="s">
        <v>413</v>
      </c>
      <c r="K61" s="5" t="s">
        <v>380</v>
      </c>
    </row>
    <row r="62" customFormat="false" ht="17.15" hidden="false" customHeight="false" outlineLevel="0" collapsed="false">
      <c r="A62" s="6" t="s">
        <v>428</v>
      </c>
    </row>
    <row r="63" customFormat="false" ht="17.15" hidden="false" customHeight="false" outlineLevel="0" collapsed="false">
      <c r="A63" s="0" t="s">
        <v>429</v>
      </c>
      <c r="B63" s="0" t="s">
        <v>29</v>
      </c>
      <c r="D63" s="23" t="n">
        <f aca="false">itc_26*1</f>
        <v>781.872916666667</v>
      </c>
      <c r="E63" s="23" t="n">
        <f aca="false">itc_27*1*1</f>
        <v>1565.35</v>
      </c>
      <c r="F63" s="23" t="n">
        <f aca="false">itc_28*um28_A*1</f>
        <v>1984.26388888889</v>
      </c>
      <c r="G63" s="23" t="n">
        <f aca="false">itc_29*um29_A*1</f>
        <v>2260.39027777778</v>
      </c>
    </row>
    <row r="64" customFormat="false" ht="17.15" hidden="false" customHeight="false" outlineLevel="0" collapsed="false">
      <c r="A64" s="4" t="s">
        <v>430</v>
      </c>
      <c r="B64" s="0" t="s">
        <v>29</v>
      </c>
      <c r="D64" s="23" t="n">
        <f aca="false">itpg_gb*(1-vr26)+itpg_vr*vr26</f>
        <v>33.41403216</v>
      </c>
      <c r="E64" s="23" t="n">
        <f aca="false">itpg_vr</f>
        <v>37.586352</v>
      </c>
      <c r="F64" s="23" t="n">
        <f aca="false">itpg_vr</f>
        <v>37.586352</v>
      </c>
      <c r="G64" s="23" t="n">
        <f aca="false">itpg_vr</f>
        <v>37.586352</v>
      </c>
    </row>
    <row r="65" customFormat="false" ht="17.15" hidden="false" customHeight="false" outlineLevel="0" collapsed="false">
      <c r="A65" s="4" t="s">
        <v>431</v>
      </c>
      <c r="B65" s="0" t="s">
        <v>382</v>
      </c>
      <c r="D65" s="20" t="n">
        <f aca="false">D63/D64</f>
        <v>23.3995380420639</v>
      </c>
      <c r="E65" s="20" t="n">
        <f aca="false">E63/E64</f>
        <v>41.6467658260637</v>
      </c>
      <c r="F65" s="20" t="n">
        <f aca="false">F63/F64</f>
        <v>52.792138191248</v>
      </c>
      <c r="G65" s="20" t="n">
        <f aca="false">G63/G64</f>
        <v>60.1385917361116</v>
      </c>
    </row>
    <row r="66" customFormat="false" ht="17.15" hidden="false" customHeight="false" outlineLevel="0" collapsed="false">
      <c r="A66" s="0" t="s">
        <v>384</v>
      </c>
      <c r="B66" s="0" t="s">
        <v>87</v>
      </c>
      <c r="D66" s="21" t="n">
        <f aca="false">pkw_26</f>
        <v>450</v>
      </c>
      <c r="E66" s="21" t="n">
        <f aca="false">pkw_27</f>
        <v>600</v>
      </c>
      <c r="F66" s="21" t="n">
        <f aca="false">pkw_28</f>
        <v>680</v>
      </c>
      <c r="G66" s="21" t="n">
        <f aca="false">pkw_29</f>
        <v>720</v>
      </c>
    </row>
    <row r="67" customFormat="false" ht="17.15" hidden="false" customHeight="false" outlineLevel="0" collapsed="false">
      <c r="A67" s="0" t="s">
        <v>432</v>
      </c>
      <c r="B67" s="0" t="s">
        <v>29</v>
      </c>
      <c r="D67" s="23" t="n">
        <f aca="false">D65*D66/1000</f>
        <v>10.5297921189288</v>
      </c>
      <c r="E67" s="23" t="n">
        <f aca="false">E65*E66/1000</f>
        <v>24.9880594956382</v>
      </c>
      <c r="F67" s="23" t="n">
        <f aca="false">F65*F66/1000</f>
        <v>35.8986539700486</v>
      </c>
      <c r="G67" s="23" t="n">
        <f aca="false">G65*G66/1000</f>
        <v>43.2997860500003</v>
      </c>
    </row>
    <row r="68" customFormat="false" ht="17.15" hidden="false" customHeight="false" outlineLevel="0" collapsed="false">
      <c r="A68" s="0" t="s">
        <v>433</v>
      </c>
      <c r="B68" s="0" t="s">
        <v>146</v>
      </c>
      <c r="D68" s="22" t="n">
        <f aca="false">D67*fx</f>
        <v>336.95334780572</v>
      </c>
      <c r="E68" s="22" t="n">
        <f aca="false">E67*fx</f>
        <v>799.617903860422</v>
      </c>
      <c r="F68" s="22" t="n">
        <f aca="false">F67*fx</f>
        <v>1148.75692704156</v>
      </c>
      <c r="G68" s="22" t="n">
        <f aca="false">G67*fx</f>
        <v>1385.59315360001</v>
      </c>
    </row>
    <row r="69" customFormat="false" ht="17.15" hidden="false" customHeight="false" outlineLevel="0" collapsed="false">
      <c r="A69" s="4" t="s">
        <v>434</v>
      </c>
      <c r="B69" s="0" t="s">
        <v>49</v>
      </c>
      <c r="D69" s="17" t="n">
        <f aca="false">a26_aip/D68</f>
        <v>0.176143316327046</v>
      </c>
      <c r="K69" s="8" t="s">
        <v>435</v>
      </c>
    </row>
    <row r="70" customFormat="false" ht="17.15" hidden="false" customHeight="false" outlineLevel="0" collapsed="false">
      <c r="A70" s="4" t="s">
        <v>436</v>
      </c>
      <c r="B70" s="0" t="s">
        <v>60</v>
      </c>
      <c r="D70" s="18" t="n">
        <f aca="false">1</f>
        <v>1</v>
      </c>
      <c r="E70" s="18" t="n">
        <f aca="false">RHI_27</f>
        <v>1.1</v>
      </c>
      <c r="F70" s="18" t="n">
        <f aca="false">RHI_28</f>
        <v>1.2</v>
      </c>
      <c r="G70" s="18" t="n">
        <f aca="false">RHI_29</f>
        <v>1.25</v>
      </c>
    </row>
    <row r="71" customFormat="false" ht="15" hidden="false" customHeight="false" outlineLevel="0" collapsed="false">
      <c r="A71" s="4" t="s">
        <v>390</v>
      </c>
      <c r="B71" s="0" t="s">
        <v>49</v>
      </c>
      <c r="D71" s="17" t="n">
        <f aca="false">$D$69*D70</f>
        <v>0.176143316327046</v>
      </c>
      <c r="E71" s="17" t="n">
        <f aca="false">$D$69*E70</f>
        <v>0.19375764795975</v>
      </c>
      <c r="F71" s="17" t="n">
        <f aca="false">$D$69*F70</f>
        <v>0.211371979592455</v>
      </c>
      <c r="G71" s="17" t="n">
        <f aca="false">$D$69*G70</f>
        <v>0.220179145408807</v>
      </c>
    </row>
    <row r="72" customFormat="false" ht="17.15" hidden="false" customHeight="false" outlineLevel="0" collapsed="false">
      <c r="A72" s="0" t="s">
        <v>437</v>
      </c>
      <c r="B72" s="0" t="s">
        <v>146</v>
      </c>
      <c r="C72" s="22" t="n">
        <f aca="false">a25_aip</f>
        <v>31.390065</v>
      </c>
      <c r="D72" s="22" t="n">
        <f aca="false">D68*D71</f>
        <v>59.35208013</v>
      </c>
      <c r="E72" s="22" t="n">
        <f aca="false">E68*E71</f>
        <v>154.932084318501</v>
      </c>
      <c r="F72" s="22" t="n">
        <f aca="false">F68*F71</f>
        <v>242.815025739319</v>
      </c>
      <c r="G72" s="22" t="n">
        <f aca="false">G68*G71</f>
        <v>305.078716443944</v>
      </c>
    </row>
    <row r="73" customFormat="false" ht="17.15" hidden="false" customHeight="false" outlineLevel="0" collapsed="false">
      <c r="A73" s="0" t="s">
        <v>438</v>
      </c>
      <c r="B73" s="0" t="s">
        <v>146</v>
      </c>
      <c r="C73" s="22" t="n">
        <f aca="false">a25_ai</f>
        <v>34.87785</v>
      </c>
      <c r="D73" s="22" t="n">
        <f aca="false">D72/(1-x_np)</f>
        <v>65.9467557</v>
      </c>
      <c r="E73" s="22" t="n">
        <f aca="false">E72/(1-x_np)</f>
        <v>172.14676035389</v>
      </c>
      <c r="F73" s="22" t="n">
        <f aca="false">F72/(1-x_np)</f>
        <v>269.794473043688</v>
      </c>
      <c r="G73" s="22" t="n">
        <f aca="false">G72/(1-x_np)</f>
        <v>338.976351604382</v>
      </c>
      <c r="K73" s="4" t="s">
        <v>439</v>
      </c>
    </row>
    <row r="74" customFormat="false" ht="17.15" hidden="false" customHeight="false" outlineLevel="0" collapsed="false">
      <c r="A74" s="6" t="s">
        <v>440</v>
      </c>
    </row>
    <row r="75" customFormat="false" ht="17.15" hidden="false" customHeight="false" outlineLevel="0" collapsed="false">
      <c r="A75" s="4" t="s">
        <v>441</v>
      </c>
      <c r="B75" s="0" t="s">
        <v>146</v>
      </c>
      <c r="C75" s="22" t="n">
        <f aca="false">a25_nai</f>
        <v>131.20715</v>
      </c>
      <c r="D75" s="22" t="n">
        <f aca="false">a26_nai</f>
        <v>146.7847143</v>
      </c>
      <c r="E75" s="22" t="n">
        <f aca="false">D75*(1+g_nai27)</f>
        <v>151.188255729</v>
      </c>
      <c r="F75" s="22" t="n">
        <f aca="false">E75*(1+g_nai28)</f>
        <v>155.72390340087</v>
      </c>
      <c r="G75" s="22" t="n">
        <f aca="false">F75*(1+g_nai29)</f>
        <v>160.395620502896</v>
      </c>
    </row>
    <row r="76" customFormat="false" ht="17.15" hidden="false" customHeight="false" outlineLevel="0" collapsed="false">
      <c r="A76" s="4" t="s">
        <v>328</v>
      </c>
      <c r="B76" s="0" t="s">
        <v>146</v>
      </c>
      <c r="C76" s="22" t="n">
        <f aca="false">C73+C75</f>
        <v>166.085</v>
      </c>
      <c r="D76" s="22" t="n">
        <f aca="false">D73+D75</f>
        <v>212.73147</v>
      </c>
      <c r="E76" s="22" t="n">
        <f aca="false">E73+E75</f>
        <v>323.33501608289</v>
      </c>
      <c r="F76" s="22" t="n">
        <f aca="false">F73+F75</f>
        <v>425.518376444558</v>
      </c>
      <c r="G76" s="22" t="n">
        <f aca="false">G73+G75</f>
        <v>499.371972107278</v>
      </c>
      <c r="H76" s="24" t="n">
        <f aca="false">G76*(1+H77)</f>
        <v>567.140567828287</v>
      </c>
      <c r="I76" s="24" t="n">
        <f aca="false">H76*(1+I77)</f>
        <v>622.637441084259</v>
      </c>
      <c r="J76" s="24" t="n">
        <f aca="false">I76*(1+J77)</f>
        <v>659.995687549315</v>
      </c>
      <c r="K76" s="8" t="s">
        <v>442</v>
      </c>
    </row>
    <row r="77" customFormat="false" ht="15" hidden="false" customHeight="false" outlineLevel="0" collapsed="false">
      <c r="A77" s="4" t="s">
        <v>443</v>
      </c>
      <c r="B77" s="0" t="s">
        <v>49</v>
      </c>
      <c r="D77" s="17" t="n">
        <f aca="false">D76/C76-1</f>
        <v>0.280859017972725</v>
      </c>
      <c r="E77" s="17" t="n">
        <f aca="false">E76/D76-1</f>
        <v>0.519920941094846</v>
      </c>
      <c r="F77" s="17" t="n">
        <f aca="false">F76/E76-1</f>
        <v>0.316029366690899</v>
      </c>
      <c r="G77" s="17" t="n">
        <f aca="false">G76/F76-1</f>
        <v>0.173561471727281</v>
      </c>
      <c r="H77" s="25" t="n">
        <f aca="false">$G77+(fade_gA-$G77)*1/3</f>
        <v>0.135707647818188</v>
      </c>
      <c r="I77" s="25" t="n">
        <f aca="false">$G77+(fade_gA-$G77)*2/3</f>
        <v>0.0978538239090938</v>
      </c>
      <c r="J77" s="25" t="n">
        <f aca="false">$G77+(fade_gA-$G77)*3/3</f>
        <v>0.06</v>
      </c>
    </row>
    <row r="78" customFormat="false" ht="17.15" hidden="false" customHeight="false" outlineLevel="0" collapsed="false">
      <c r="A78" s="0" t="s">
        <v>444</v>
      </c>
      <c r="B78" s="0" t="s">
        <v>49</v>
      </c>
      <c r="C78" s="17" t="n">
        <f aca="false">C73/C76</f>
        <v>0.21</v>
      </c>
      <c r="D78" s="17" t="n">
        <f aca="false">D73/D76</f>
        <v>0.31</v>
      </c>
      <c r="E78" s="17" t="n">
        <f aca="false">E73/E76</f>
        <v>0.532409890024898</v>
      </c>
      <c r="F78" s="17" t="n">
        <f aca="false">F73/F76</f>
        <v>0.634037183770934</v>
      </c>
      <c r="G78" s="17" t="n">
        <f aca="false">G73/G76</f>
        <v>0.678805320558842</v>
      </c>
    </row>
    <row r="79" customFormat="false" ht="17.15" hidden="false" customHeight="false" outlineLevel="0" collapsed="false">
      <c r="A79" s="4" t="s">
        <v>401</v>
      </c>
      <c r="B79" s="0" t="s">
        <v>402</v>
      </c>
      <c r="D79" s="21" t="n">
        <f aca="false">D73/fx/D65*1000</f>
        <v>88.0716581635228</v>
      </c>
      <c r="E79" s="21" t="n">
        <f aca="false">E73/fx/E65*1000</f>
        <v>129.1717653065</v>
      </c>
      <c r="F79" s="21" t="n">
        <f aca="false">F73/fx/F65*1000</f>
        <v>159.703273469855</v>
      </c>
      <c r="G79" s="21" t="n">
        <f aca="false">G73/fx/G65*1000</f>
        <v>176.143316327045</v>
      </c>
    </row>
    <row r="80" customFormat="false" ht="17.15" hidden="false" customHeight="false" outlineLevel="0" collapsed="false">
      <c r="A80" s="6" t="s">
        <v>445</v>
      </c>
    </row>
    <row r="81" customFormat="false" ht="17.15" hidden="false" customHeight="false" outlineLevel="0" collapsed="false">
      <c r="A81" s="4" t="s">
        <v>446</v>
      </c>
      <c r="B81" s="0" t="s">
        <v>49</v>
      </c>
      <c r="D81" s="17" t="n">
        <f aca="false">a26_gp/D76-d_ai*D78</f>
        <v>0.216982337009188</v>
      </c>
      <c r="K81" s="8" t="s">
        <v>447</v>
      </c>
    </row>
    <row r="82" customFormat="false" ht="17.15" hidden="false" customHeight="false" outlineLevel="0" collapsed="false">
      <c r="A82" s="0" t="s">
        <v>448</v>
      </c>
      <c r="B82" s="0" t="s">
        <v>49</v>
      </c>
      <c r="D82" s="17" t="n">
        <f aca="false">D81+d_ai</f>
        <v>0.336982337009188</v>
      </c>
      <c r="E82" s="17" t="n">
        <f aca="false">$D$82+GUHI_27</f>
        <v>0.346982337009188</v>
      </c>
      <c r="F82" s="17" t="n">
        <f aca="false">$D$82+GUHI_28</f>
        <v>0.351982337009188</v>
      </c>
      <c r="G82" s="17" t="n">
        <f aca="false">$D$82+GUHI_29</f>
        <v>0.356982337009188</v>
      </c>
      <c r="K82" s="4" t="s">
        <v>449</v>
      </c>
    </row>
    <row r="83" customFormat="false" ht="15" hidden="false" customHeight="false" outlineLevel="0" collapsed="false">
      <c r="A83" s="4" t="s">
        <v>332</v>
      </c>
      <c r="B83" s="0" t="s">
        <v>146</v>
      </c>
      <c r="C83" s="22" t="n">
        <f aca="false">a25_gp</f>
        <v>38.039</v>
      </c>
      <c r="D83" s="22" t="n">
        <f aca="false">a26_gp</f>
        <v>54.0725822</v>
      </c>
      <c r="E83" s="22" t="n">
        <f aca="false">E73*E82+E75*$D$81</f>
        <v>92.5370662725746</v>
      </c>
      <c r="F83" s="22" t="n">
        <f aca="false">F73*F82+F75*$D$81</f>
        <v>128.752225622193</v>
      </c>
      <c r="G83" s="22" t="n">
        <f aca="false">G73*G82+G75*$D$81</f>
        <v>155.811586769338</v>
      </c>
    </row>
    <row r="84" customFormat="false" ht="15" hidden="false" customHeight="false" outlineLevel="0" collapsed="false">
      <c r="A84" s="4" t="s">
        <v>335</v>
      </c>
      <c r="B84" s="0" t="s">
        <v>49</v>
      </c>
      <c r="C84" s="17" t="n">
        <f aca="false">C83/C76</f>
        <v>0.229033326308818</v>
      </c>
      <c r="D84" s="17" t="n">
        <f aca="false">D83/D76</f>
        <v>0.254182337009188</v>
      </c>
      <c r="E84" s="17" t="n">
        <f aca="false">E83/E76</f>
        <v>0.286195622712425</v>
      </c>
      <c r="F84" s="17" t="n">
        <f aca="false">F83/F76</f>
        <v>0.302577356818264</v>
      </c>
      <c r="G84" s="17" t="n">
        <f aca="false">G83/G76</f>
        <v>0.312015081887426</v>
      </c>
    </row>
    <row r="85" customFormat="false" ht="15" hidden="false" customHeight="false" outlineLevel="0" collapsed="false">
      <c r="A85" s="4" t="s">
        <v>450</v>
      </c>
      <c r="B85" s="0" t="s">
        <v>146</v>
      </c>
      <c r="C85" s="22" t="n">
        <f aca="false">a25_opx</f>
        <v>21.301</v>
      </c>
      <c r="D85" s="22" t="n">
        <f aca="false">a26_opx</f>
        <v>25.21033346</v>
      </c>
      <c r="E85" s="22" t="n">
        <f aca="false">D85*(1+MAX(0,phi*E77))</f>
        <v>34.3854996684867</v>
      </c>
      <c r="F85" s="22" t="n">
        <f aca="false">E85*(1+MAX(0,phi*F77))</f>
        <v>41.9922790469941</v>
      </c>
      <c r="G85" s="22" t="n">
        <f aca="false">F85*(1+MAX(0,phi*G77))</f>
        <v>47.0940482737993</v>
      </c>
    </row>
    <row r="86" customFormat="false" ht="15" hidden="false" customHeight="false" outlineLevel="0" collapsed="false">
      <c r="A86" s="4" t="s">
        <v>337</v>
      </c>
      <c r="B86" s="0" t="s">
        <v>146</v>
      </c>
      <c r="C86" s="22" t="n">
        <f aca="false">C85</f>
        <v>21.301</v>
      </c>
      <c r="D86" s="22" t="n">
        <f aca="false">D85</f>
        <v>25.21033346</v>
      </c>
      <c r="E86" s="22" t="n">
        <f aca="false">E85+0*E76</f>
        <v>34.3854996684867</v>
      </c>
      <c r="F86" s="22" t="n">
        <f aca="false">F85+0*F76</f>
        <v>41.9922790469941</v>
      </c>
      <c r="G86" s="22" t="n">
        <f aca="false">G85+0*G76</f>
        <v>47.0940482737993</v>
      </c>
    </row>
    <row r="87" customFormat="false" ht="15" hidden="false" customHeight="false" outlineLevel="0" collapsed="false">
      <c r="A87" s="4" t="s">
        <v>340</v>
      </c>
      <c r="B87" s="0" t="s">
        <v>146</v>
      </c>
      <c r="C87" s="22" t="n">
        <f aca="false">C83-C86</f>
        <v>16.738</v>
      </c>
      <c r="D87" s="22" t="n">
        <f aca="false">D83-D86</f>
        <v>28.86224874</v>
      </c>
      <c r="E87" s="22" t="n">
        <f aca="false">E83-E86</f>
        <v>58.151566604088</v>
      </c>
      <c r="F87" s="22" t="n">
        <f aca="false">F83-F86</f>
        <v>86.7599465751994</v>
      </c>
      <c r="G87" s="22" t="n">
        <f aca="false">G83-G86</f>
        <v>108.717538495539</v>
      </c>
    </row>
    <row r="88" customFormat="false" ht="15" hidden="false" customHeight="false" outlineLevel="0" collapsed="false">
      <c r="A88" s="4" t="s">
        <v>342</v>
      </c>
      <c r="B88" s="0" t="s">
        <v>49</v>
      </c>
      <c r="C88" s="17" t="n">
        <f aca="false">C87/C76</f>
        <v>0.100779721227083</v>
      </c>
      <c r="D88" s="17" t="n">
        <f aca="false">D87/D76</f>
        <v>0.135674560703219</v>
      </c>
      <c r="E88" s="17" t="n">
        <f aca="false">E87/E76</f>
        <v>0.179849269988068</v>
      </c>
      <c r="F88" s="17" t="n">
        <f aca="false">F87/F76</f>
        <v>0.203892361359636</v>
      </c>
      <c r="G88" s="17" t="n">
        <f aca="false">G87/G76</f>
        <v>0.217708531051044</v>
      </c>
    </row>
    <row r="89" customFormat="false" ht="15" hidden="false" customHeight="false" outlineLevel="0" collapsed="false">
      <c r="A89" s="4" t="s">
        <v>344</v>
      </c>
      <c r="B89" s="0" t="s">
        <v>146</v>
      </c>
      <c r="C89" s="22" t="n">
        <f aca="false">a25_nop</f>
        <v>2.9762895</v>
      </c>
      <c r="D89" s="22" t="n">
        <f aca="false">a26_nop</f>
        <v>3.839</v>
      </c>
      <c r="E89" s="22" t="n">
        <f aca="false">nop_f</f>
        <v>3.5</v>
      </c>
      <c r="F89" s="22" t="n">
        <f aca="false">nop_f</f>
        <v>3.5</v>
      </c>
      <c r="G89" s="22" t="n">
        <f aca="false">nop_f</f>
        <v>3.5</v>
      </c>
    </row>
    <row r="90" customFormat="false" ht="17.15" hidden="false" customHeight="false" outlineLevel="0" collapsed="false">
      <c r="A90" s="4" t="s">
        <v>451</v>
      </c>
      <c r="B90" s="0" t="s">
        <v>49</v>
      </c>
      <c r="C90" s="17" t="n">
        <f aca="false">a25_ni/a25_pt</f>
        <v>0.766753475949514</v>
      </c>
      <c r="D90" s="17" t="n">
        <f aca="false">a26_ni/a26_pt</f>
        <v>0.759431002022174</v>
      </c>
      <c r="E90" s="17" t="n">
        <f aca="false">nir_f</f>
        <v>0.76</v>
      </c>
      <c r="F90" s="17" t="n">
        <f aca="false">nir_f</f>
        <v>0.76</v>
      </c>
      <c r="G90" s="17" t="n">
        <f aca="false">nir_f</f>
        <v>0.76</v>
      </c>
    </row>
    <row r="91" customFormat="false" ht="15" hidden="false" customHeight="false" outlineLevel="0" collapsed="false">
      <c r="A91" s="4" t="s">
        <v>349</v>
      </c>
      <c r="B91" s="0" t="s">
        <v>146</v>
      </c>
      <c r="C91" s="22" t="n">
        <f aca="false">a25_ni</f>
        <v>15.116</v>
      </c>
      <c r="D91" s="22" t="n">
        <f aca="false">a26_ni</f>
        <v>24.8343420979946</v>
      </c>
      <c r="E91" s="22" t="n">
        <f aca="false">(E87+E89)*E90</f>
        <v>46.8551906191069</v>
      </c>
      <c r="F91" s="22" t="n">
        <f aca="false">(F87+F89)*F90</f>
        <v>68.5975593971515</v>
      </c>
      <c r="G91" s="22" t="n">
        <f aca="false">(G87+G89)*G90</f>
        <v>85.2853292566093</v>
      </c>
      <c r="H91" s="24" t="n">
        <f aca="false">H76*H95</f>
        <v>96.8592006834234</v>
      </c>
      <c r="I91" s="24" t="n">
        <f aca="false">I76*I95</f>
        <v>106.337243851075</v>
      </c>
      <c r="J91" s="24" t="n">
        <f aca="false">J76*J95</f>
        <v>112.717478482139</v>
      </c>
    </row>
    <row r="92" customFormat="false" ht="15" hidden="false" customHeight="false" outlineLevel="0" collapsed="false">
      <c r="A92" s="4" t="s">
        <v>452</v>
      </c>
      <c r="B92" s="4" t="s">
        <v>176</v>
      </c>
      <c r="C92" s="27" t="n">
        <f aca="false">a25_sh</f>
        <v>2.27650602409639</v>
      </c>
      <c r="D92" s="27" t="n">
        <f aca="false">a26_sh</f>
        <v>2.26895833333333</v>
      </c>
      <c r="E92" s="27" t="n">
        <f aca="false">D92*(1+sh_g)</f>
        <v>2.26895833333333</v>
      </c>
      <c r="F92" s="27" t="n">
        <f aca="false">E92*(1+sh_g)</f>
        <v>2.26895833333333</v>
      </c>
      <c r="G92" s="27" t="n">
        <f aca="false">F92*(1+sh_g)</f>
        <v>2.26895833333333</v>
      </c>
      <c r="H92" s="28" t="n">
        <f aca="false">G92*(1+sh_g)</f>
        <v>2.26895833333333</v>
      </c>
      <c r="I92" s="28" t="n">
        <f aca="false">H92*(1+sh_g)</f>
        <v>2.26895833333333</v>
      </c>
      <c r="J92" s="28" t="n">
        <f aca="false">I92*(1+sh_g)</f>
        <v>2.26895833333333</v>
      </c>
    </row>
    <row r="93" customFormat="false" ht="15" hidden="false" customHeight="false" outlineLevel="0" collapsed="false">
      <c r="A93" s="0" t="s">
        <v>355</v>
      </c>
      <c r="B93" s="0" t="s">
        <v>209</v>
      </c>
      <c r="C93" s="23" t="n">
        <f aca="false">C91/C92</f>
        <v>6.64</v>
      </c>
      <c r="D93" s="23" t="n">
        <f aca="false">D91/D92</f>
        <v>10.9452614149641</v>
      </c>
      <c r="E93" s="23" t="n">
        <f aca="false">E91/E92</f>
        <v>20.6505293335518</v>
      </c>
      <c r="F93" s="23" t="n">
        <f aca="false">F91/F92</f>
        <v>30.2330626302752</v>
      </c>
      <c r="G93" s="23" t="n">
        <f aca="false">G91/G92</f>
        <v>37.5878781040974</v>
      </c>
      <c r="H93" s="29" t="n">
        <f aca="false">H91/H92</f>
        <v>42.6888406280812</v>
      </c>
      <c r="I93" s="29" t="n">
        <f aca="false">I91/I92</f>
        <v>46.8661069217848</v>
      </c>
      <c r="J93" s="29" t="n">
        <f aca="false">J91/J92</f>
        <v>49.6780733370919</v>
      </c>
    </row>
    <row r="94" customFormat="false" ht="17.15" hidden="false" customHeight="false" outlineLevel="0" collapsed="false">
      <c r="A94" s="0" t="s">
        <v>453</v>
      </c>
      <c r="B94" s="0" t="s">
        <v>49</v>
      </c>
      <c r="D94" s="17" t="n">
        <f aca="false">D93/C93-1</f>
        <v>0.648382743217484</v>
      </c>
      <c r="E94" s="17" t="n">
        <f aca="false">E93/D93-1</f>
        <v>0.886709558651466</v>
      </c>
      <c r="F94" s="17" t="n">
        <f aca="false">F93/E93-1</f>
        <v>0.464033301129682</v>
      </c>
      <c r="G94" s="17" t="n">
        <f aca="false">G93/F93-1</f>
        <v>0.24327060621563</v>
      </c>
      <c r="H94" s="25" t="n">
        <f aca="false">H93/G93-1</f>
        <v>0.135707647818188</v>
      </c>
      <c r="I94" s="25" t="n">
        <f aca="false">I93/H93-1</f>
        <v>0.097853823909094</v>
      </c>
      <c r="J94" s="25" t="n">
        <f aca="false">J93/I93-1</f>
        <v>0.0600000000000001</v>
      </c>
    </row>
    <row r="95" customFormat="false" ht="17.15" hidden="false" customHeight="false" outlineLevel="0" collapsed="false">
      <c r="A95" s="4" t="s">
        <v>454</v>
      </c>
      <c r="B95" s="0" t="s">
        <v>49</v>
      </c>
      <c r="C95" s="17" t="n">
        <f aca="false">C91/C76</f>
        <v>0.0910136375952073</v>
      </c>
      <c r="D95" s="17" t="n">
        <f aca="false">D91/D76</f>
        <v>0.116740330417472</v>
      </c>
      <c r="E95" s="17" t="n">
        <f aca="false">E91/E76</f>
        <v>0.14491220649945</v>
      </c>
      <c r="F95" s="17" t="n">
        <f aca="false">F91/F76</f>
        <v>0.161209393517437</v>
      </c>
      <c r="G95" s="17" t="n">
        <f aca="false">G91/G76</f>
        <v>0.170785174219365</v>
      </c>
      <c r="H95" s="25" t="n">
        <f aca="false">$G95+(fade_mA-$G95)*1/3</f>
        <v>0.170785174219365</v>
      </c>
      <c r="I95" s="25" t="n">
        <f aca="false">$G95+(fade_mA-$G95)*2/3</f>
        <v>0.170785174219365</v>
      </c>
      <c r="J95" s="25" t="n">
        <f aca="false">$G95+(fade_mA-$G95)*3/3</f>
        <v>0.170785174219365</v>
      </c>
    </row>
    <row r="98" customFormat="false" ht="17.15" hidden="false" customHeight="false" outlineLevel="0" collapsed="false">
      <c r="A98" s="1" t="s">
        <v>455</v>
      </c>
    </row>
    <row r="99" customFormat="false" ht="17.15" hidden="false" customHeight="false" outlineLevel="0" collapsed="false">
      <c r="A99" s="5" t="s">
        <v>18</v>
      </c>
      <c r="B99" s="5" t="s">
        <v>19</v>
      </c>
      <c r="C99" s="14" t="s">
        <v>323</v>
      </c>
      <c r="D99" s="14" t="s">
        <v>407</v>
      </c>
      <c r="E99" s="14" t="s">
        <v>408</v>
      </c>
      <c r="F99" s="14" t="s">
        <v>409</v>
      </c>
      <c r="G99" s="14" t="s">
        <v>410</v>
      </c>
      <c r="H99" s="14" t="s">
        <v>411</v>
      </c>
      <c r="I99" s="14" t="s">
        <v>412</v>
      </c>
      <c r="J99" s="14" t="s">
        <v>413</v>
      </c>
      <c r="K99" s="5" t="s">
        <v>380</v>
      </c>
    </row>
    <row r="100" customFormat="false" ht="17.15" hidden="false" customHeight="false" outlineLevel="0" collapsed="false">
      <c r="A100" s="6" t="s">
        <v>428</v>
      </c>
    </row>
    <row r="101" customFormat="false" ht="17.15" hidden="false" customHeight="false" outlineLevel="0" collapsed="false">
      <c r="A101" s="0" t="s">
        <v>429</v>
      </c>
      <c r="B101" s="0" t="s">
        <v>29</v>
      </c>
      <c r="D101" s="23" t="n">
        <f aca="false">itc_26*1</f>
        <v>781.872916666667</v>
      </c>
      <c r="E101" s="23" t="n">
        <f aca="false">itc_27*1*1</f>
        <v>1565.35</v>
      </c>
      <c r="F101" s="23" t="n">
        <f aca="false">itc_28*um28_B*1</f>
        <v>1587.41111111111</v>
      </c>
      <c r="G101" s="23" t="n">
        <f aca="false">itc_29*um29_B*1</f>
        <v>1921.33173611111</v>
      </c>
    </row>
    <row r="102" customFormat="false" ht="17.15" hidden="false" customHeight="false" outlineLevel="0" collapsed="false">
      <c r="A102" s="4" t="s">
        <v>430</v>
      </c>
      <c r="B102" s="0" t="s">
        <v>29</v>
      </c>
      <c r="D102" s="23" t="n">
        <f aca="false">itpg_gb*(1-vr26)+itpg_vr*vr26</f>
        <v>33.41403216</v>
      </c>
      <c r="E102" s="23" t="n">
        <f aca="false">itpg_vr</f>
        <v>37.586352</v>
      </c>
      <c r="F102" s="23" t="n">
        <f aca="false">itpg_vr</f>
        <v>37.586352</v>
      </c>
      <c r="G102" s="23" t="n">
        <f aca="false">itpg_vr</f>
        <v>37.586352</v>
      </c>
    </row>
    <row r="103" customFormat="false" ht="17.15" hidden="false" customHeight="false" outlineLevel="0" collapsed="false">
      <c r="A103" s="4" t="s">
        <v>431</v>
      </c>
      <c r="B103" s="0" t="s">
        <v>382</v>
      </c>
      <c r="D103" s="20" t="n">
        <f aca="false">D101/D102</f>
        <v>23.3995380420639</v>
      </c>
      <c r="E103" s="20" t="n">
        <f aca="false">E101/E102</f>
        <v>41.6467658260637</v>
      </c>
      <c r="F103" s="20" t="n">
        <f aca="false">F101/F102</f>
        <v>42.2337105529984</v>
      </c>
      <c r="G103" s="20" t="n">
        <f aca="false">G101/G102</f>
        <v>51.1178029756948</v>
      </c>
    </row>
    <row r="104" customFormat="false" ht="17.15" hidden="false" customHeight="false" outlineLevel="0" collapsed="false">
      <c r="A104" s="0" t="s">
        <v>384</v>
      </c>
      <c r="B104" s="0" t="s">
        <v>87</v>
      </c>
      <c r="D104" s="21" t="n">
        <f aca="false">pkw_26</f>
        <v>450</v>
      </c>
      <c r="E104" s="21" t="n">
        <f aca="false">pkw_27</f>
        <v>600</v>
      </c>
      <c r="F104" s="21" t="n">
        <f aca="false">pkw_28</f>
        <v>680</v>
      </c>
      <c r="G104" s="21" t="n">
        <f aca="false">pkw_29</f>
        <v>720</v>
      </c>
    </row>
    <row r="105" customFormat="false" ht="17.15" hidden="false" customHeight="false" outlineLevel="0" collapsed="false">
      <c r="A105" s="0" t="s">
        <v>432</v>
      </c>
      <c r="B105" s="0" t="s">
        <v>29</v>
      </c>
      <c r="D105" s="23" t="n">
        <f aca="false">D103*D104/1000</f>
        <v>10.5297921189288</v>
      </c>
      <c r="E105" s="23" t="n">
        <f aca="false">E103*E104/1000</f>
        <v>24.9880594956382</v>
      </c>
      <c r="F105" s="23" t="n">
        <f aca="false">F103*F104/1000</f>
        <v>28.7189231760389</v>
      </c>
      <c r="G105" s="23" t="n">
        <f aca="false">G103*G104/1000</f>
        <v>36.8048181425003</v>
      </c>
    </row>
    <row r="106" customFormat="false" ht="17.15" hidden="false" customHeight="false" outlineLevel="0" collapsed="false">
      <c r="A106" s="0" t="s">
        <v>433</v>
      </c>
      <c r="B106" s="0" t="s">
        <v>146</v>
      </c>
      <c r="D106" s="22" t="n">
        <f aca="false">D105*fx</f>
        <v>336.95334780572</v>
      </c>
      <c r="E106" s="22" t="n">
        <f aca="false">E105*fx</f>
        <v>799.617903860422</v>
      </c>
      <c r="F106" s="22" t="n">
        <f aca="false">F105*fx</f>
        <v>919.005541633245</v>
      </c>
      <c r="G106" s="22" t="n">
        <f aca="false">G105*fx</f>
        <v>1177.75418056001</v>
      </c>
    </row>
    <row r="107" customFormat="false" ht="17.15" hidden="false" customHeight="false" outlineLevel="0" collapsed="false">
      <c r="A107" s="4" t="s">
        <v>434</v>
      </c>
      <c r="B107" s="0" t="s">
        <v>49</v>
      </c>
      <c r="D107" s="17" t="n">
        <f aca="false">a26_aip/D106</f>
        <v>0.176143316327046</v>
      </c>
      <c r="K107" s="8" t="s">
        <v>435</v>
      </c>
    </row>
    <row r="108" customFormat="false" ht="17.15" hidden="false" customHeight="false" outlineLevel="0" collapsed="false">
      <c r="A108" s="4" t="s">
        <v>436</v>
      </c>
      <c r="B108" s="0" t="s">
        <v>60</v>
      </c>
      <c r="D108" s="18" t="n">
        <f aca="false">1</f>
        <v>1</v>
      </c>
      <c r="E108" s="18" t="n">
        <f aca="false">rel_27</f>
        <v>1</v>
      </c>
      <c r="F108" s="18" t="n">
        <f aca="false">rel_28</f>
        <v>1</v>
      </c>
      <c r="G108" s="18" t="n">
        <f aca="false">rel_29</f>
        <v>1</v>
      </c>
    </row>
    <row r="109" customFormat="false" ht="15" hidden="false" customHeight="false" outlineLevel="0" collapsed="false">
      <c r="A109" s="4" t="s">
        <v>390</v>
      </c>
      <c r="B109" s="0" t="s">
        <v>49</v>
      </c>
      <c r="D109" s="17" t="n">
        <f aca="false">$D$107*D108</f>
        <v>0.176143316327046</v>
      </c>
      <c r="E109" s="17" t="n">
        <f aca="false">$D$107*E108</f>
        <v>0.176143316327046</v>
      </c>
      <c r="F109" s="17" t="n">
        <f aca="false">$D$107*F108</f>
        <v>0.176143316327046</v>
      </c>
      <c r="G109" s="17" t="n">
        <f aca="false">$D$107*G108</f>
        <v>0.176143316327046</v>
      </c>
    </row>
    <row r="110" customFormat="false" ht="17.15" hidden="false" customHeight="false" outlineLevel="0" collapsed="false">
      <c r="A110" s="0" t="s">
        <v>437</v>
      </c>
      <c r="B110" s="0" t="s">
        <v>146</v>
      </c>
      <c r="C110" s="22" t="n">
        <f aca="false">a25_aip</f>
        <v>31.390065</v>
      </c>
      <c r="D110" s="22" t="n">
        <f aca="false">D106*D109</f>
        <v>59.35208013</v>
      </c>
      <c r="E110" s="22" t="n">
        <f aca="false">E106*E109</f>
        <v>140.847349380455</v>
      </c>
      <c r="F110" s="22" t="n">
        <f aca="false">F106*F109</f>
        <v>161.876683826213</v>
      </c>
      <c r="G110" s="22" t="n">
        <f aca="false">G106*G109</f>
        <v>207.453527181882</v>
      </c>
    </row>
    <row r="111" customFormat="false" ht="17.15" hidden="false" customHeight="false" outlineLevel="0" collapsed="false">
      <c r="A111" s="0" t="s">
        <v>438</v>
      </c>
      <c r="B111" s="0" t="s">
        <v>146</v>
      </c>
      <c r="C111" s="22" t="n">
        <f aca="false">a25_ai</f>
        <v>34.87785</v>
      </c>
      <c r="D111" s="22" t="n">
        <f aca="false">D110/(1-x_np)</f>
        <v>65.9467557</v>
      </c>
      <c r="E111" s="22" t="n">
        <f aca="false">E110/(1-x_np)</f>
        <v>156.497054867173</v>
      </c>
      <c r="F111" s="22" t="n">
        <f aca="false">F110/(1-x_np)</f>
        <v>179.862982029125</v>
      </c>
      <c r="G111" s="22" t="n">
        <f aca="false">G110/(1-x_np)</f>
        <v>230.50391909098</v>
      </c>
      <c r="K111" s="4" t="s">
        <v>439</v>
      </c>
    </row>
    <row r="112" customFormat="false" ht="17.15" hidden="false" customHeight="false" outlineLevel="0" collapsed="false">
      <c r="A112" s="6" t="s">
        <v>440</v>
      </c>
    </row>
    <row r="113" customFormat="false" ht="17.15" hidden="false" customHeight="false" outlineLevel="0" collapsed="false">
      <c r="A113" s="4" t="s">
        <v>441</v>
      </c>
      <c r="B113" s="0" t="s">
        <v>146</v>
      </c>
      <c r="C113" s="22" t="n">
        <f aca="false">a25_nai</f>
        <v>131.20715</v>
      </c>
      <c r="D113" s="22" t="n">
        <f aca="false">a26_nai</f>
        <v>146.7847143</v>
      </c>
      <c r="E113" s="22" t="n">
        <f aca="false">D113*(1+g_nai27)</f>
        <v>151.188255729</v>
      </c>
      <c r="F113" s="22" t="n">
        <f aca="false">E113*(1+g_nai28)</f>
        <v>155.72390340087</v>
      </c>
      <c r="G113" s="22" t="n">
        <f aca="false">F113*(1+g_nai29)</f>
        <v>160.395620502896</v>
      </c>
    </row>
    <row r="114" customFormat="false" ht="17.15" hidden="false" customHeight="false" outlineLevel="0" collapsed="false">
      <c r="A114" s="4" t="s">
        <v>328</v>
      </c>
      <c r="B114" s="0" t="s">
        <v>146</v>
      </c>
      <c r="C114" s="22" t="n">
        <f aca="false">C111+C113</f>
        <v>166.085</v>
      </c>
      <c r="D114" s="22" t="n">
        <f aca="false">D111+D113</f>
        <v>212.73147</v>
      </c>
      <c r="E114" s="22" t="n">
        <f aca="false">E111+E113</f>
        <v>307.685310596173</v>
      </c>
      <c r="F114" s="22" t="n">
        <f aca="false">F111+F113</f>
        <v>335.586885429995</v>
      </c>
      <c r="G114" s="22" t="n">
        <f aca="false">G111+G113</f>
        <v>390.899539593876</v>
      </c>
      <c r="H114" s="24" t="n">
        <f aca="false">G114*(1+H115)</f>
        <v>439.064525134509</v>
      </c>
      <c r="I114" s="24" t="n">
        <f aca="false">H114*(1+I115)</f>
        <v>474.895651160772</v>
      </c>
      <c r="J114" s="24" t="n">
        <f aca="false">I114*(1+J115)</f>
        <v>493.891477207202</v>
      </c>
      <c r="K114" s="8" t="s">
        <v>442</v>
      </c>
    </row>
    <row r="115" customFormat="false" ht="15" hidden="false" customHeight="false" outlineLevel="0" collapsed="false">
      <c r="A115" s="4" t="s">
        <v>443</v>
      </c>
      <c r="B115" s="0" t="s">
        <v>49</v>
      </c>
      <c r="D115" s="17" t="n">
        <f aca="false">D114/C114-1</f>
        <v>0.280859017972725</v>
      </c>
      <c r="E115" s="17" t="n">
        <f aca="false">E114/D114-1</f>
        <v>0.446355400995315</v>
      </c>
      <c r="F115" s="17" t="n">
        <f aca="false">F114/E114-1</f>
        <v>0.0906821803737075</v>
      </c>
      <c r="G115" s="17" t="n">
        <f aca="false">G114/F114-1</f>
        <v>0.164823646469401</v>
      </c>
      <c r="H115" s="25" t="n">
        <f aca="false">$G115+(fade_gB-$G115)*1/3</f>
        <v>0.123215764312934</v>
      </c>
      <c r="I115" s="25" t="n">
        <f aca="false">$G115+(fade_gB-$G115)*2/3</f>
        <v>0.081607882156467</v>
      </c>
      <c r="J115" s="25" t="n">
        <f aca="false">$G115+(fade_gB-$G115)*3/3</f>
        <v>0.04</v>
      </c>
    </row>
    <row r="116" customFormat="false" ht="17.15" hidden="false" customHeight="false" outlineLevel="0" collapsed="false">
      <c r="A116" s="0" t="s">
        <v>444</v>
      </c>
      <c r="B116" s="0" t="s">
        <v>49</v>
      </c>
      <c r="C116" s="17" t="n">
        <f aca="false">C111/C114</f>
        <v>0.21</v>
      </c>
      <c r="D116" s="17" t="n">
        <f aca="false">D111/D114</f>
        <v>0.31</v>
      </c>
      <c r="E116" s="17" t="n">
        <f aca="false">E111/E114</f>
        <v>0.508626994782244</v>
      </c>
      <c r="F116" s="17" t="n">
        <f aca="false">F111/F114</f>
        <v>0.535965467776438</v>
      </c>
      <c r="G116" s="17" t="n">
        <f aca="false">G111/G114</f>
        <v>0.58967559626819</v>
      </c>
    </row>
    <row r="117" customFormat="false" ht="17.15" hidden="false" customHeight="false" outlineLevel="0" collapsed="false">
      <c r="A117" s="4" t="s">
        <v>401</v>
      </c>
      <c r="B117" s="0" t="s">
        <v>402</v>
      </c>
      <c r="D117" s="21" t="n">
        <f aca="false">D111/fx/D103*1000</f>
        <v>88.0716581635228</v>
      </c>
      <c r="E117" s="21" t="n">
        <f aca="false">E111/fx/E103*1000</f>
        <v>117.428877551364</v>
      </c>
      <c r="F117" s="21" t="n">
        <f aca="false">F111/fx/F103*1000</f>
        <v>133.086061224879</v>
      </c>
      <c r="G117" s="21" t="n">
        <f aca="false">G111/fx/G103*1000</f>
        <v>140.914653061636</v>
      </c>
    </row>
    <row r="118" customFormat="false" ht="17.15" hidden="false" customHeight="false" outlineLevel="0" collapsed="false">
      <c r="A118" s="6" t="s">
        <v>445</v>
      </c>
    </row>
    <row r="119" customFormat="false" ht="17.15" hidden="false" customHeight="false" outlineLevel="0" collapsed="false">
      <c r="A119" s="4" t="s">
        <v>446</v>
      </c>
      <c r="B119" s="0" t="s">
        <v>49</v>
      </c>
      <c r="D119" s="17" t="n">
        <f aca="false">a26_gp/D114-d_ai*D116</f>
        <v>0.216982337009188</v>
      </c>
      <c r="K119" s="8" t="s">
        <v>447</v>
      </c>
    </row>
    <row r="120" customFormat="false" ht="17.15" hidden="false" customHeight="false" outlineLevel="0" collapsed="false">
      <c r="A120" s="0" t="s">
        <v>448</v>
      </c>
      <c r="B120" s="0" t="s">
        <v>49</v>
      </c>
      <c r="D120" s="17" t="n">
        <f aca="false">D119+d_ai</f>
        <v>0.336982337009188</v>
      </c>
      <c r="E120" s="17" t="n">
        <f aca="false">$D$120+gmu_27</f>
        <v>0.336982337009188</v>
      </c>
      <c r="F120" s="17" t="n">
        <f aca="false">$D$120+gmu_28</f>
        <v>0.336982337009188</v>
      </c>
      <c r="G120" s="17" t="n">
        <f aca="false">$D$120+gmu_29</f>
        <v>0.336982337009188</v>
      </c>
      <c r="K120" s="4" t="s">
        <v>449</v>
      </c>
    </row>
    <row r="121" customFormat="false" ht="15" hidden="false" customHeight="false" outlineLevel="0" collapsed="false">
      <c r="A121" s="4" t="s">
        <v>332</v>
      </c>
      <c r="B121" s="0" t="s">
        <v>146</v>
      </c>
      <c r="C121" s="22" t="n">
        <f aca="false">a25_gp</f>
        <v>38.039</v>
      </c>
      <c r="D121" s="22" t="n">
        <f aca="false">a26_gp</f>
        <v>54.0725822</v>
      </c>
      <c r="E121" s="22" t="n">
        <f aca="false">E111*E120+E113*$D$119</f>
        <v>85.5419243406162</v>
      </c>
      <c r="F121" s="22" t="n">
        <f aca="false">F111*F120+F113*$D$119</f>
        <v>94.39998451373</v>
      </c>
      <c r="G121" s="22" t="n">
        <f aca="false">G111*G120+G113*$D$119</f>
        <v>112.478765927812</v>
      </c>
    </row>
    <row r="122" customFormat="false" ht="15" hidden="false" customHeight="false" outlineLevel="0" collapsed="false">
      <c r="A122" s="4" t="s">
        <v>335</v>
      </c>
      <c r="B122" s="0" t="s">
        <v>49</v>
      </c>
      <c r="C122" s="17" t="n">
        <f aca="false">C121/C114</f>
        <v>0.229033326308818</v>
      </c>
      <c r="D122" s="17" t="n">
        <f aca="false">D121/D114</f>
        <v>0.254182337009188</v>
      </c>
      <c r="E122" s="17" t="n">
        <f aca="false">E121/E114</f>
        <v>0.278017576383058</v>
      </c>
      <c r="F122" s="17" t="n">
        <f aca="false">F121/F114</f>
        <v>0.281298193142361</v>
      </c>
      <c r="G122" s="17" t="n">
        <f aca="false">G121/G114</f>
        <v>0.287743408561371</v>
      </c>
    </row>
    <row r="123" customFormat="false" ht="15" hidden="false" customHeight="false" outlineLevel="0" collapsed="false">
      <c r="A123" s="4" t="s">
        <v>450</v>
      </c>
      <c r="B123" s="0" t="s">
        <v>146</v>
      </c>
      <c r="C123" s="22" t="n">
        <f aca="false">a25_opx</f>
        <v>21.301</v>
      </c>
      <c r="D123" s="22" t="n">
        <f aca="false">a26_opx</f>
        <v>25.21033346</v>
      </c>
      <c r="E123" s="22" t="n">
        <f aca="false">D123*(1+MAX(0,phi*E115))</f>
        <v>33.0872714105347</v>
      </c>
      <c r="F123" s="22" t="n">
        <f aca="false">E123*(1+MAX(0,phi*F115))</f>
        <v>35.1875695504215</v>
      </c>
      <c r="G123" s="22" t="n">
        <f aca="false">F123*(1+MAX(0,phi*G115))</f>
        <v>39.2473900170088</v>
      </c>
    </row>
    <row r="124" customFormat="false" ht="15" hidden="false" customHeight="false" outlineLevel="0" collapsed="false">
      <c r="A124" s="4" t="s">
        <v>337</v>
      </c>
      <c r="B124" s="0" t="s">
        <v>146</v>
      </c>
      <c r="C124" s="22" t="n">
        <f aca="false">C123</f>
        <v>21.301</v>
      </c>
      <c r="D124" s="22" t="n">
        <f aca="false">D123</f>
        <v>25.21033346</v>
      </c>
      <c r="E124" s="22" t="n">
        <f aca="false">E123+0*E114</f>
        <v>33.0872714105347</v>
      </c>
      <c r="F124" s="22" t="n">
        <f aca="false">F123+0*F114</f>
        <v>35.1875695504215</v>
      </c>
      <c r="G124" s="22" t="n">
        <f aca="false">G123+0*G114</f>
        <v>39.2473900170088</v>
      </c>
    </row>
    <row r="125" customFormat="false" ht="15" hidden="false" customHeight="false" outlineLevel="0" collapsed="false">
      <c r="A125" s="4" t="s">
        <v>340</v>
      </c>
      <c r="B125" s="0" t="s">
        <v>146</v>
      </c>
      <c r="C125" s="22" t="n">
        <f aca="false">C121-C124</f>
        <v>16.738</v>
      </c>
      <c r="D125" s="22" t="n">
        <f aca="false">D121-D124</f>
        <v>28.86224874</v>
      </c>
      <c r="E125" s="22" t="n">
        <f aca="false">E121-E124</f>
        <v>52.4546529300815</v>
      </c>
      <c r="F125" s="22" t="n">
        <f aca="false">F121-F124</f>
        <v>59.2124149633085</v>
      </c>
      <c r="G125" s="22" t="n">
        <f aca="false">G121-G124</f>
        <v>73.2313759108037</v>
      </c>
    </row>
    <row r="126" customFormat="false" ht="15" hidden="false" customHeight="false" outlineLevel="0" collapsed="false">
      <c r="A126" s="4" t="s">
        <v>342</v>
      </c>
      <c r="B126" s="0" t="s">
        <v>49</v>
      </c>
      <c r="C126" s="17" t="n">
        <f aca="false">C125/C114</f>
        <v>0.100779721227083</v>
      </c>
      <c r="D126" s="17" t="n">
        <f aca="false">D125/D114</f>
        <v>0.135674560703219</v>
      </c>
      <c r="E126" s="17" t="n">
        <f aca="false">E125/E114</f>
        <v>0.170481498867934</v>
      </c>
      <c r="F126" s="17" t="n">
        <f aca="false">F125/F114</f>
        <v>0.176444365182621</v>
      </c>
      <c r="G126" s="17" t="n">
        <f aca="false">G125/G114</f>
        <v>0.187340655317444</v>
      </c>
    </row>
    <row r="127" customFormat="false" ht="15" hidden="false" customHeight="false" outlineLevel="0" collapsed="false">
      <c r="A127" s="4" t="s">
        <v>344</v>
      </c>
      <c r="B127" s="0" t="s">
        <v>146</v>
      </c>
      <c r="C127" s="22" t="n">
        <f aca="false">a25_nop</f>
        <v>2.9762895</v>
      </c>
      <c r="D127" s="22" t="n">
        <f aca="false">a26_nop</f>
        <v>3.839</v>
      </c>
      <c r="E127" s="22" t="n">
        <f aca="false">nop_f</f>
        <v>3.5</v>
      </c>
      <c r="F127" s="22" t="n">
        <f aca="false">nop_f</f>
        <v>3.5</v>
      </c>
      <c r="G127" s="22" t="n">
        <f aca="false">nop_f</f>
        <v>3.5</v>
      </c>
    </row>
    <row r="128" customFormat="false" ht="17.15" hidden="false" customHeight="false" outlineLevel="0" collapsed="false">
      <c r="A128" s="4" t="s">
        <v>451</v>
      </c>
      <c r="B128" s="0" t="s">
        <v>49</v>
      </c>
      <c r="C128" s="17" t="n">
        <f aca="false">a25_ni/a25_pt</f>
        <v>0.766753475949514</v>
      </c>
      <c r="D128" s="17" t="n">
        <f aca="false">a26_ni/a26_pt</f>
        <v>0.759431002022174</v>
      </c>
      <c r="E128" s="17" t="n">
        <f aca="false">nir_f</f>
        <v>0.76</v>
      </c>
      <c r="F128" s="17" t="n">
        <f aca="false">nir_f</f>
        <v>0.76</v>
      </c>
      <c r="G128" s="17" t="n">
        <f aca="false">nir_f</f>
        <v>0.76</v>
      </c>
    </row>
    <row r="129" customFormat="false" ht="15" hidden="false" customHeight="false" outlineLevel="0" collapsed="false">
      <c r="A129" s="4" t="s">
        <v>349</v>
      </c>
      <c r="B129" s="0" t="s">
        <v>146</v>
      </c>
      <c r="C129" s="22" t="n">
        <f aca="false">a25_ni</f>
        <v>15.116</v>
      </c>
      <c r="D129" s="22" t="n">
        <f aca="false">a26_ni</f>
        <v>24.8343420979946</v>
      </c>
      <c r="E129" s="22" t="n">
        <f aca="false">(E125+E127)*E128</f>
        <v>42.5255362268619</v>
      </c>
      <c r="F129" s="22" t="n">
        <f aca="false">(F125+F127)*F128</f>
        <v>47.6614353721145</v>
      </c>
      <c r="G129" s="22" t="n">
        <f aca="false">(G125+G127)*G128</f>
        <v>58.3158456922108</v>
      </c>
      <c r="H129" s="24" t="n">
        <f aca="false">H114*H133</f>
        <v>59.342393562984</v>
      </c>
      <c r="I129" s="24" t="n">
        <f aca="false">I114*I133</f>
        <v>57.5237035466985</v>
      </c>
      <c r="J129" s="24" t="n">
        <f aca="false">J114*J133</f>
        <v>52.8966947284279</v>
      </c>
    </row>
    <row r="130" customFormat="false" ht="15" hidden="false" customHeight="false" outlineLevel="0" collapsed="false">
      <c r="A130" s="4" t="s">
        <v>452</v>
      </c>
      <c r="B130" s="4" t="s">
        <v>176</v>
      </c>
      <c r="C130" s="27" t="n">
        <f aca="false">a25_sh</f>
        <v>2.27650602409639</v>
      </c>
      <c r="D130" s="27" t="n">
        <f aca="false">a26_sh</f>
        <v>2.26895833333333</v>
      </c>
      <c r="E130" s="27" t="n">
        <f aca="false">D130*(1+sh_g)</f>
        <v>2.26895833333333</v>
      </c>
      <c r="F130" s="27" t="n">
        <f aca="false">E130*(1+sh_g)</f>
        <v>2.26895833333333</v>
      </c>
      <c r="G130" s="27" t="n">
        <f aca="false">F130*(1+sh_g)</f>
        <v>2.26895833333333</v>
      </c>
      <c r="H130" s="28" t="n">
        <f aca="false">G130*(1+sh_g)</f>
        <v>2.26895833333333</v>
      </c>
      <c r="I130" s="28" t="n">
        <f aca="false">H130*(1+sh_g)</f>
        <v>2.26895833333333</v>
      </c>
      <c r="J130" s="28" t="n">
        <f aca="false">I130*(1+sh_g)</f>
        <v>2.26895833333333</v>
      </c>
    </row>
    <row r="131" customFormat="false" ht="15" hidden="false" customHeight="false" outlineLevel="0" collapsed="false">
      <c r="A131" s="0" t="s">
        <v>355</v>
      </c>
      <c r="B131" s="0" t="s">
        <v>209</v>
      </c>
      <c r="C131" s="23" t="n">
        <f aca="false">C129/C130</f>
        <v>6.64</v>
      </c>
      <c r="D131" s="23" t="n">
        <f aca="false">D129/D130</f>
        <v>10.9452614149641</v>
      </c>
      <c r="E131" s="23" t="n">
        <f aca="false">E129/E130</f>
        <v>18.7423169487593</v>
      </c>
      <c r="F131" s="23" t="n">
        <f aca="false">F129/F130</f>
        <v>21.0058662919979</v>
      </c>
      <c r="G131" s="23" t="n">
        <f aca="false">G129/G130</f>
        <v>25.7015939144809</v>
      </c>
      <c r="H131" s="29" t="n">
        <f aca="false">H129/H130</f>
        <v>26.1540252596018</v>
      </c>
      <c r="I131" s="29" t="n">
        <f aca="false">I129/I130</f>
        <v>25.3524724106283</v>
      </c>
      <c r="J131" s="29" t="n">
        <f aca="false">J129/J130</f>
        <v>23.313206748366</v>
      </c>
    </row>
    <row r="132" customFormat="false" ht="17.15" hidden="false" customHeight="false" outlineLevel="0" collapsed="false">
      <c r="A132" s="0" t="s">
        <v>453</v>
      </c>
      <c r="B132" s="0" t="s">
        <v>49</v>
      </c>
      <c r="D132" s="17" t="n">
        <f aca="false">D131/C131-1</f>
        <v>0.648382743217484</v>
      </c>
      <c r="E132" s="17" t="n">
        <f aca="false">E131/D131-1</f>
        <v>0.71236814162659</v>
      </c>
      <c r="F132" s="17" t="n">
        <f aca="false">F131/E131-1</f>
        <v>0.120772119553154</v>
      </c>
      <c r="G132" s="17" t="n">
        <f aca="false">G131/F131-1</f>
        <v>0.223543630965213</v>
      </c>
      <c r="H132" s="25" t="n">
        <f aca="false">H131/G131-1</f>
        <v>0.0176032407416555</v>
      </c>
      <c r="I132" s="25" t="n">
        <f aca="false">I131/H131-1</f>
        <v>-0.0306473990530107</v>
      </c>
      <c r="J132" s="25" t="n">
        <f aca="false">J131/I131-1</f>
        <v>-0.0804365597655639</v>
      </c>
    </row>
    <row r="133" customFormat="false" ht="17.15" hidden="false" customHeight="false" outlineLevel="0" collapsed="false">
      <c r="A133" s="4" t="s">
        <v>454</v>
      </c>
      <c r="B133" s="0" t="s">
        <v>49</v>
      </c>
      <c r="C133" s="17" t="n">
        <f aca="false">C129/C114</f>
        <v>0.0910136375952073</v>
      </c>
      <c r="D133" s="17" t="n">
        <f aca="false">D129/D114</f>
        <v>0.116740330417472</v>
      </c>
      <c r="E133" s="17" t="n">
        <f aca="false">E129/E114</f>
        <v>0.138211135736263</v>
      </c>
      <c r="F133" s="17" t="n">
        <f aca="false">F129/F114</f>
        <v>0.142024129789949</v>
      </c>
      <c r="G133" s="17" t="n">
        <f aca="false">G129/G114</f>
        <v>0.149183715470215</v>
      </c>
      <c r="H133" s="25" t="n">
        <f aca="false">$G133+(fade_mB-$G133)*1/3</f>
        <v>0.135156429558512</v>
      </c>
      <c r="I133" s="25" t="n">
        <f aca="false">$G133+(fade_mB-$G133)*2/3</f>
        <v>0.12112914364681</v>
      </c>
      <c r="J133" s="25" t="n">
        <f aca="false">$G133+(fade_mB-$G133)*3/3</f>
        <v>0.107101857735107</v>
      </c>
    </row>
    <row r="136" customFormat="false" ht="17.15" hidden="false" customHeight="false" outlineLevel="0" collapsed="false">
      <c r="A136" s="1" t="s">
        <v>456</v>
      </c>
    </row>
    <row r="137" customFormat="false" ht="17.15" hidden="false" customHeight="false" outlineLevel="0" collapsed="false">
      <c r="A137" s="5" t="s">
        <v>18</v>
      </c>
      <c r="B137" s="5" t="s">
        <v>19</v>
      </c>
      <c r="C137" s="14" t="s">
        <v>323</v>
      </c>
      <c r="D137" s="14" t="s">
        <v>407</v>
      </c>
      <c r="E137" s="14" t="s">
        <v>408</v>
      </c>
      <c r="F137" s="14" t="s">
        <v>409</v>
      </c>
      <c r="G137" s="14" t="s">
        <v>410</v>
      </c>
      <c r="H137" s="14" t="s">
        <v>411</v>
      </c>
      <c r="I137" s="14" t="s">
        <v>412</v>
      </c>
      <c r="J137" s="14" t="s">
        <v>413</v>
      </c>
      <c r="K137" s="5" t="s">
        <v>380</v>
      </c>
    </row>
    <row r="138" customFormat="false" ht="17.15" hidden="false" customHeight="false" outlineLevel="0" collapsed="false">
      <c r="A138" s="6" t="s">
        <v>428</v>
      </c>
    </row>
    <row r="139" customFormat="false" ht="17.15" hidden="false" customHeight="false" outlineLevel="0" collapsed="false">
      <c r="A139" s="0" t="s">
        <v>429</v>
      </c>
      <c r="B139" s="0" t="s">
        <v>29</v>
      </c>
      <c r="D139" s="23" t="n">
        <f aca="false">itc_26*1</f>
        <v>781.872916666667</v>
      </c>
      <c r="E139" s="23" t="n">
        <f aca="false">itc_27*1*1</f>
        <v>1565.35</v>
      </c>
      <c r="F139" s="23" t="n">
        <f aca="false">itc_28*um28_C*1</f>
        <v>1190.55833333333</v>
      </c>
      <c r="G139" s="23" t="n">
        <f aca="false">itc_29*um29_C*1</f>
        <v>1356.23416666667</v>
      </c>
    </row>
    <row r="140" customFormat="false" ht="17.15" hidden="false" customHeight="false" outlineLevel="0" collapsed="false">
      <c r="A140" s="4" t="s">
        <v>430</v>
      </c>
      <c r="B140" s="0" t="s">
        <v>29</v>
      </c>
      <c r="D140" s="23" t="n">
        <f aca="false">itpg_gb*(1-vr26)+itpg_vr*vr26</f>
        <v>33.41403216</v>
      </c>
      <c r="E140" s="23" t="n">
        <f aca="false">itpg_vr</f>
        <v>37.586352</v>
      </c>
      <c r="F140" s="23" t="n">
        <f aca="false">itpg_vr</f>
        <v>37.586352</v>
      </c>
      <c r="G140" s="23" t="n">
        <f aca="false">itpg_vr</f>
        <v>37.586352</v>
      </c>
    </row>
    <row r="141" customFormat="false" ht="17.15" hidden="false" customHeight="false" outlineLevel="0" collapsed="false">
      <c r="A141" s="4" t="s">
        <v>431</v>
      </c>
      <c r="B141" s="0" t="s">
        <v>382</v>
      </c>
      <c r="D141" s="20" t="n">
        <f aca="false">D139/D140</f>
        <v>23.3995380420639</v>
      </c>
      <c r="E141" s="20" t="n">
        <f aca="false">E139/E140</f>
        <v>41.6467658260637</v>
      </c>
      <c r="F141" s="20" t="n">
        <f aca="false">F139/F140</f>
        <v>31.6752829147488</v>
      </c>
      <c r="G141" s="20" t="n">
        <f aca="false">G139/G140</f>
        <v>36.0831550416669</v>
      </c>
    </row>
    <row r="142" customFormat="false" ht="17.15" hidden="false" customHeight="false" outlineLevel="0" collapsed="false">
      <c r="A142" s="0" t="s">
        <v>384</v>
      </c>
      <c r="B142" s="0" t="s">
        <v>87</v>
      </c>
      <c r="D142" s="21" t="n">
        <f aca="false">pkw_26</f>
        <v>450</v>
      </c>
      <c r="E142" s="21" t="n">
        <f aca="false">pkw_27</f>
        <v>600</v>
      </c>
      <c r="F142" s="21" t="n">
        <f aca="false">pkw_28</f>
        <v>680</v>
      </c>
      <c r="G142" s="21" t="n">
        <f aca="false">pkw_29</f>
        <v>720</v>
      </c>
    </row>
    <row r="143" customFormat="false" ht="17.15" hidden="false" customHeight="false" outlineLevel="0" collapsed="false">
      <c r="A143" s="0" t="s">
        <v>432</v>
      </c>
      <c r="B143" s="0" t="s">
        <v>29</v>
      </c>
      <c r="D143" s="23" t="n">
        <f aca="false">D141*D142/1000</f>
        <v>10.5297921189288</v>
      </c>
      <c r="E143" s="23" t="n">
        <f aca="false">E141*E142/1000</f>
        <v>24.9880594956382</v>
      </c>
      <c r="F143" s="23" t="n">
        <f aca="false">F141*F142/1000</f>
        <v>21.5391923820292</v>
      </c>
      <c r="G143" s="23" t="n">
        <f aca="false">G141*G142/1000</f>
        <v>25.9798716300002</v>
      </c>
    </row>
    <row r="144" customFormat="false" ht="17.15" hidden="false" customHeight="false" outlineLevel="0" collapsed="false">
      <c r="A144" s="0" t="s">
        <v>433</v>
      </c>
      <c r="B144" s="0" t="s">
        <v>146</v>
      </c>
      <c r="D144" s="22" t="n">
        <f aca="false">D143*fx</f>
        <v>336.95334780572</v>
      </c>
      <c r="E144" s="22" t="n">
        <f aca="false">E143*fx</f>
        <v>799.617903860422</v>
      </c>
      <c r="F144" s="22" t="n">
        <f aca="false">F143*fx</f>
        <v>689.254156224934</v>
      </c>
      <c r="G144" s="22" t="n">
        <f aca="false">G143*fx</f>
        <v>831.355892160006</v>
      </c>
    </row>
    <row r="145" customFormat="false" ht="17.15" hidden="false" customHeight="false" outlineLevel="0" collapsed="false">
      <c r="A145" s="4" t="s">
        <v>434</v>
      </c>
      <c r="B145" s="0" t="s">
        <v>49</v>
      </c>
      <c r="D145" s="17" t="n">
        <f aca="false">a26_aip/D144</f>
        <v>0.176143316327046</v>
      </c>
      <c r="K145" s="8" t="s">
        <v>435</v>
      </c>
    </row>
    <row r="146" customFormat="false" ht="17.15" hidden="false" customHeight="false" outlineLevel="0" collapsed="false">
      <c r="A146" s="4" t="s">
        <v>436</v>
      </c>
      <c r="B146" s="0" t="s">
        <v>60</v>
      </c>
      <c r="D146" s="18" t="n">
        <f aca="false">1</f>
        <v>1</v>
      </c>
      <c r="E146" s="18" t="n">
        <f aca="false">RLO_27</f>
        <v>0.85</v>
      </c>
      <c r="F146" s="18" t="n">
        <f aca="false">RLO_28</f>
        <v>0.8</v>
      </c>
      <c r="G146" s="18" t="n">
        <f aca="false">RLO_29</f>
        <v>0.75</v>
      </c>
    </row>
    <row r="147" customFormat="false" ht="15" hidden="false" customHeight="false" outlineLevel="0" collapsed="false">
      <c r="A147" s="4" t="s">
        <v>390</v>
      </c>
      <c r="B147" s="0" t="s">
        <v>49</v>
      </c>
      <c r="D147" s="17" t="n">
        <f aca="false">$D$145*D146</f>
        <v>0.176143316327046</v>
      </c>
      <c r="E147" s="17" t="n">
        <f aca="false">$D$145*E146</f>
        <v>0.149721818877989</v>
      </c>
      <c r="F147" s="17" t="n">
        <f aca="false">$D$145*F146</f>
        <v>0.140914653061636</v>
      </c>
      <c r="G147" s="17" t="n">
        <f aca="false">$D$145*G146</f>
        <v>0.132107487245284</v>
      </c>
    </row>
    <row r="148" customFormat="false" ht="17.15" hidden="false" customHeight="false" outlineLevel="0" collapsed="false">
      <c r="A148" s="0" t="s">
        <v>437</v>
      </c>
      <c r="B148" s="0" t="s">
        <v>146</v>
      </c>
      <c r="C148" s="22" t="n">
        <f aca="false">a25_aip</f>
        <v>31.390065</v>
      </c>
      <c r="D148" s="22" t="n">
        <f aca="false">D144*D147</f>
        <v>59.35208013</v>
      </c>
      <c r="E148" s="22" t="n">
        <f aca="false">E144*E147</f>
        <v>119.720246973387</v>
      </c>
      <c r="F148" s="22" t="n">
        <f aca="false">F144*F147</f>
        <v>97.1260102957275</v>
      </c>
      <c r="G148" s="22" t="n">
        <f aca="false">G144*G147</f>
        <v>109.82833791982</v>
      </c>
    </row>
    <row r="149" customFormat="false" ht="17.15" hidden="false" customHeight="false" outlineLevel="0" collapsed="false">
      <c r="A149" s="0" t="s">
        <v>438</v>
      </c>
      <c r="B149" s="0" t="s">
        <v>146</v>
      </c>
      <c r="C149" s="22" t="n">
        <f aca="false">a25_ai</f>
        <v>34.87785</v>
      </c>
      <c r="D149" s="22" t="n">
        <f aca="false">D148/(1-x_np)</f>
        <v>65.9467557</v>
      </c>
      <c r="E149" s="22" t="n">
        <f aca="false">E148/(1-x_np)</f>
        <v>133.022496637097</v>
      </c>
      <c r="F149" s="22" t="n">
        <f aca="false">F148/(1-x_np)</f>
        <v>107.917789217475</v>
      </c>
      <c r="G149" s="22" t="n">
        <f aca="false">G148/(1-x_np)</f>
        <v>122.031486577578</v>
      </c>
      <c r="K149" s="4" t="s">
        <v>439</v>
      </c>
    </row>
    <row r="150" customFormat="false" ht="17.15" hidden="false" customHeight="false" outlineLevel="0" collapsed="false">
      <c r="A150" s="6" t="s">
        <v>440</v>
      </c>
    </row>
    <row r="151" customFormat="false" ht="17.15" hidden="false" customHeight="false" outlineLevel="0" collapsed="false">
      <c r="A151" s="4" t="s">
        <v>441</v>
      </c>
      <c r="B151" s="0" t="s">
        <v>146</v>
      </c>
      <c r="C151" s="22" t="n">
        <f aca="false">a25_nai</f>
        <v>131.20715</v>
      </c>
      <c r="D151" s="22" t="n">
        <f aca="false">a26_nai</f>
        <v>146.7847143</v>
      </c>
      <c r="E151" s="22" t="n">
        <f aca="false">D151*(1+g_nai27)</f>
        <v>151.188255729</v>
      </c>
      <c r="F151" s="22" t="n">
        <f aca="false">E151*(1+g_nai28)</f>
        <v>155.72390340087</v>
      </c>
      <c r="G151" s="22" t="n">
        <f aca="false">F151*(1+g_nai29)</f>
        <v>160.395620502896</v>
      </c>
    </row>
    <row r="152" customFormat="false" ht="17.15" hidden="false" customHeight="false" outlineLevel="0" collapsed="false">
      <c r="A152" s="4" t="s">
        <v>328</v>
      </c>
      <c r="B152" s="0" t="s">
        <v>146</v>
      </c>
      <c r="C152" s="22" t="n">
        <f aca="false">C149+C151</f>
        <v>166.085</v>
      </c>
      <c r="D152" s="22" t="n">
        <f aca="false">D149+D151</f>
        <v>212.73147</v>
      </c>
      <c r="E152" s="22" t="n">
        <f aca="false">E149+E151</f>
        <v>284.210752366097</v>
      </c>
      <c r="F152" s="22" t="n">
        <f aca="false">F149+F151</f>
        <v>263.641692618345</v>
      </c>
      <c r="G152" s="22" t="n">
        <f aca="false">G149+G151</f>
        <v>282.427107080474</v>
      </c>
      <c r="H152" s="24" t="n">
        <f aca="false">G152*(1+H153)</f>
        <v>297.725916125129</v>
      </c>
      <c r="I152" s="24" t="n">
        <f aca="false">H152*(1+I153)</f>
        <v>308.766940810745</v>
      </c>
      <c r="J152" s="24" t="n">
        <f aca="false">I152*(1+J153)</f>
        <v>314.94227962696</v>
      </c>
      <c r="K152" s="8" t="s">
        <v>442</v>
      </c>
    </row>
    <row r="153" customFormat="false" ht="15" hidden="false" customHeight="false" outlineLevel="0" collapsed="false">
      <c r="A153" s="4" t="s">
        <v>443</v>
      </c>
      <c r="B153" s="0" t="s">
        <v>49</v>
      </c>
      <c r="D153" s="17" t="n">
        <f aca="false">D152/C152-1</f>
        <v>0.280859017972725</v>
      </c>
      <c r="E153" s="17" t="n">
        <f aca="false">E152/D152-1</f>
        <v>0.336007090846017</v>
      </c>
      <c r="F153" s="17" t="n">
        <f aca="false">F152/E152-1</f>
        <v>-0.0723725600685805</v>
      </c>
      <c r="G153" s="17" t="n">
        <f aca="false">G152/F152-1</f>
        <v>0.0712535800979055</v>
      </c>
      <c r="H153" s="25" t="n">
        <f aca="false">$G153+(fade_gC-$G153)*1/3</f>
        <v>0.0541690533986037</v>
      </c>
      <c r="I153" s="25" t="n">
        <f aca="false">$G153+(fade_gC-$G153)*2/3</f>
        <v>0.0370845266993018</v>
      </c>
      <c r="J153" s="25" t="n">
        <f aca="false">$G153+(fade_gC-$G153)*3/3</f>
        <v>0.02</v>
      </c>
    </row>
    <row r="154" customFormat="false" ht="17.15" hidden="false" customHeight="false" outlineLevel="0" collapsed="false">
      <c r="A154" s="0" t="s">
        <v>444</v>
      </c>
      <c r="B154" s="0" t="s">
        <v>49</v>
      </c>
      <c r="C154" s="17" t="n">
        <f aca="false">C149/C152</f>
        <v>0.21</v>
      </c>
      <c r="D154" s="17" t="n">
        <f aca="false">D149/D152</f>
        <v>0.31</v>
      </c>
      <c r="E154" s="17" t="n">
        <f aca="false">E149/E152</f>
        <v>0.468041745534484</v>
      </c>
      <c r="F154" s="17" t="n">
        <f aca="false">F149/F152</f>
        <v>0.409335064365938</v>
      </c>
      <c r="G154" s="17" t="n">
        <f aca="false">G149/G152</f>
        <v>0.432081353093371</v>
      </c>
    </row>
    <row r="155" customFormat="false" ht="17.15" hidden="false" customHeight="false" outlineLevel="0" collapsed="false">
      <c r="A155" s="4" t="s">
        <v>401</v>
      </c>
      <c r="B155" s="0" t="s">
        <v>402</v>
      </c>
      <c r="D155" s="21" t="n">
        <f aca="false">D149/fx/D141*1000</f>
        <v>88.0716581635228</v>
      </c>
      <c r="E155" s="21" t="n">
        <f aca="false">E149/fx/E141*1000</f>
        <v>99.8145459186591</v>
      </c>
      <c r="F155" s="21" t="n">
        <f aca="false">F149/fx/F141*1000</f>
        <v>106.468848979903</v>
      </c>
      <c r="G155" s="21" t="n">
        <f aca="false">G149/fx/G141*1000</f>
        <v>105.685989796227</v>
      </c>
    </row>
    <row r="156" customFormat="false" ht="17.15" hidden="false" customHeight="false" outlineLevel="0" collapsed="false">
      <c r="A156" s="6" t="s">
        <v>445</v>
      </c>
    </row>
    <row r="157" customFormat="false" ht="17.15" hidden="false" customHeight="false" outlineLevel="0" collapsed="false">
      <c r="A157" s="4" t="s">
        <v>446</v>
      </c>
      <c r="B157" s="0" t="s">
        <v>49</v>
      </c>
      <c r="D157" s="17" t="n">
        <f aca="false">a26_gp/D152-d_ai*D154</f>
        <v>0.216982337009188</v>
      </c>
      <c r="K157" s="8" t="s">
        <v>447</v>
      </c>
    </row>
    <row r="158" customFormat="false" ht="17.15" hidden="false" customHeight="false" outlineLevel="0" collapsed="false">
      <c r="A158" s="0" t="s">
        <v>448</v>
      </c>
      <c r="B158" s="0" t="s">
        <v>49</v>
      </c>
      <c r="D158" s="17" t="n">
        <f aca="false">D157+d_ai</f>
        <v>0.336982337009188</v>
      </c>
      <c r="E158" s="17" t="n">
        <f aca="false">$D$158+GULO_27</f>
        <v>0.326982337009188</v>
      </c>
      <c r="F158" s="17" t="n">
        <f aca="false">$D$158+GULO_28</f>
        <v>0.321982337009188</v>
      </c>
      <c r="G158" s="17" t="n">
        <f aca="false">$D$158+GULO_29</f>
        <v>0.316982337009188</v>
      </c>
      <c r="K158" s="4" t="s">
        <v>449</v>
      </c>
    </row>
    <row r="159" customFormat="false" ht="15" hidden="false" customHeight="false" outlineLevel="0" collapsed="false">
      <c r="A159" s="4" t="s">
        <v>332</v>
      </c>
      <c r="B159" s="0" t="s">
        <v>146</v>
      </c>
      <c r="C159" s="22" t="n">
        <f aca="false">a25_gp</f>
        <v>38.039</v>
      </c>
      <c r="D159" s="22" t="n">
        <f aca="false">a26_gp</f>
        <v>54.0725822</v>
      </c>
      <c r="E159" s="22" t="n">
        <f aca="false">E149*E158+E151*$D$157</f>
        <v>76.301187881616</v>
      </c>
      <c r="F159" s="22" t="n">
        <f aca="false">F149*F158+F151*$D$157</f>
        <v>68.5369584652214</v>
      </c>
      <c r="G159" s="22" t="n">
        <f aca="false">G149*G158+G151*$D$157</f>
        <v>73.4848423868232</v>
      </c>
    </row>
    <row r="160" customFormat="false" ht="15" hidden="false" customHeight="false" outlineLevel="0" collapsed="false">
      <c r="A160" s="4" t="s">
        <v>335</v>
      </c>
      <c r="B160" s="0" t="s">
        <v>49</v>
      </c>
      <c r="C160" s="17" t="n">
        <f aca="false">C159/C152</f>
        <v>0.229033326308818</v>
      </c>
      <c r="D160" s="17" t="n">
        <f aca="false">D159/D152</f>
        <v>0.254182337009188</v>
      </c>
      <c r="E160" s="17" t="n">
        <f aca="false">E159/E152</f>
        <v>0.268466929017981</v>
      </c>
      <c r="F160" s="17" t="n">
        <f aca="false">F159/F152</f>
        <v>0.259962518767612</v>
      </c>
      <c r="G160" s="17" t="n">
        <f aca="false">G159/G152</f>
        <v>0.260190472318525</v>
      </c>
    </row>
    <row r="161" customFormat="false" ht="15" hidden="false" customHeight="false" outlineLevel="0" collapsed="false">
      <c r="A161" s="4" t="s">
        <v>450</v>
      </c>
      <c r="B161" s="0" t="s">
        <v>146</v>
      </c>
      <c r="C161" s="22" t="n">
        <f aca="false">a25_opx</f>
        <v>21.301</v>
      </c>
      <c r="D161" s="22" t="n">
        <f aca="false">a26_opx</f>
        <v>25.21033346</v>
      </c>
      <c r="E161" s="22" t="n">
        <f aca="false">D161*(1+MAX(0,phi*E153))</f>
        <v>31.1399290236068</v>
      </c>
      <c r="F161" s="22" t="n">
        <f aca="false">E161*(1+MAX(0,phi*F153))</f>
        <v>31.1399290236068</v>
      </c>
      <c r="G161" s="22" t="n">
        <f aca="false">F161*(1+MAX(0,phi*G153))</f>
        <v>32.6931110224555</v>
      </c>
    </row>
    <row r="162" customFormat="false" ht="15" hidden="false" customHeight="false" outlineLevel="0" collapsed="false">
      <c r="A162" s="4" t="s">
        <v>337</v>
      </c>
      <c r="B162" s="0" t="s">
        <v>146</v>
      </c>
      <c r="C162" s="22" t="n">
        <f aca="false">C161</f>
        <v>21.301</v>
      </c>
      <c r="D162" s="22" t="n">
        <f aca="false">D161</f>
        <v>25.21033346</v>
      </c>
      <c r="E162" s="22" t="n">
        <f aca="false">E161+0*E152</f>
        <v>31.1399290236068</v>
      </c>
      <c r="F162" s="22" t="n">
        <f aca="false">F161+0*F152</f>
        <v>31.1399290236068</v>
      </c>
      <c r="G162" s="22" t="n">
        <f aca="false">G161+0*G152</f>
        <v>32.6931110224555</v>
      </c>
    </row>
    <row r="163" customFormat="false" ht="15" hidden="false" customHeight="false" outlineLevel="0" collapsed="false">
      <c r="A163" s="4" t="s">
        <v>340</v>
      </c>
      <c r="B163" s="0" t="s">
        <v>146</v>
      </c>
      <c r="C163" s="22" t="n">
        <f aca="false">C159-C162</f>
        <v>16.738</v>
      </c>
      <c r="D163" s="22" t="n">
        <f aca="false">D159-D162</f>
        <v>28.86224874</v>
      </c>
      <c r="E163" s="22" t="n">
        <f aca="false">E159-E162</f>
        <v>45.1612588580092</v>
      </c>
      <c r="F163" s="22" t="n">
        <f aca="false">F159-F162</f>
        <v>37.3970294416146</v>
      </c>
      <c r="G163" s="22" t="n">
        <f aca="false">G159-G162</f>
        <v>40.7917313643677</v>
      </c>
    </row>
    <row r="164" customFormat="false" ht="15" hidden="false" customHeight="false" outlineLevel="0" collapsed="false">
      <c r="A164" s="4" t="s">
        <v>342</v>
      </c>
      <c r="B164" s="0" t="s">
        <v>49</v>
      </c>
      <c r="C164" s="17" t="n">
        <f aca="false">C163/C152</f>
        <v>0.100779721227083</v>
      </c>
      <c r="D164" s="17" t="n">
        <f aca="false">D163/D152</f>
        <v>0.135674560703219</v>
      </c>
      <c r="E164" s="17" t="n">
        <f aca="false">E163/E152</f>
        <v>0.158900599227985</v>
      </c>
      <c r="F164" s="17" t="n">
        <f aca="false">F163/F152</f>
        <v>0.141847934104078</v>
      </c>
      <c r="G164" s="17" t="n">
        <f aca="false">G163/G152</f>
        <v>0.144432776959843</v>
      </c>
    </row>
    <row r="165" customFormat="false" ht="15" hidden="false" customHeight="false" outlineLevel="0" collapsed="false">
      <c r="A165" s="4" t="s">
        <v>344</v>
      </c>
      <c r="B165" s="0" t="s">
        <v>146</v>
      </c>
      <c r="C165" s="22" t="n">
        <f aca="false">a25_nop</f>
        <v>2.9762895</v>
      </c>
      <c r="D165" s="22" t="n">
        <f aca="false">a26_nop</f>
        <v>3.839</v>
      </c>
      <c r="E165" s="22" t="n">
        <f aca="false">nop_f</f>
        <v>3.5</v>
      </c>
      <c r="F165" s="22" t="n">
        <f aca="false">nop_f</f>
        <v>3.5</v>
      </c>
      <c r="G165" s="22" t="n">
        <f aca="false">nop_f</f>
        <v>3.5</v>
      </c>
    </row>
    <row r="166" customFormat="false" ht="17.15" hidden="false" customHeight="false" outlineLevel="0" collapsed="false">
      <c r="A166" s="4" t="s">
        <v>451</v>
      </c>
      <c r="B166" s="0" t="s">
        <v>49</v>
      </c>
      <c r="C166" s="17" t="n">
        <f aca="false">a25_ni/a25_pt</f>
        <v>0.766753475949514</v>
      </c>
      <c r="D166" s="17" t="n">
        <f aca="false">a26_ni/a26_pt</f>
        <v>0.759431002022174</v>
      </c>
      <c r="E166" s="17" t="n">
        <f aca="false">nir_f</f>
        <v>0.76</v>
      </c>
      <c r="F166" s="17" t="n">
        <f aca="false">nir_f</f>
        <v>0.76</v>
      </c>
      <c r="G166" s="17" t="n">
        <f aca="false">nir_f</f>
        <v>0.76</v>
      </c>
    </row>
    <row r="167" customFormat="false" ht="15" hidden="false" customHeight="false" outlineLevel="0" collapsed="false">
      <c r="A167" s="4" t="s">
        <v>349</v>
      </c>
      <c r="B167" s="0" t="s">
        <v>146</v>
      </c>
      <c r="C167" s="22" t="n">
        <f aca="false">a25_ni</f>
        <v>15.116</v>
      </c>
      <c r="D167" s="22" t="n">
        <f aca="false">a26_ni</f>
        <v>24.8343420979946</v>
      </c>
      <c r="E167" s="22" t="n">
        <f aca="false">(E163+E165)*E166</f>
        <v>36.982556732087</v>
      </c>
      <c r="F167" s="22" t="n">
        <f aca="false">(F163+F165)*F166</f>
        <v>31.0817423756271</v>
      </c>
      <c r="G167" s="22" t="n">
        <f aca="false">(G163+G165)*G166</f>
        <v>33.6617158369194</v>
      </c>
      <c r="H167" s="24" t="n">
        <f aca="false">H152*H171</f>
        <v>30.1094724352041</v>
      </c>
      <c r="I167" s="24" t="n">
        <f aca="false">I152*I171</f>
        <v>25.651047230572</v>
      </c>
      <c r="J167" s="24" t="n">
        <f aca="false">J152*J171</f>
        <v>20.477547021345</v>
      </c>
    </row>
    <row r="168" customFormat="false" ht="15" hidden="false" customHeight="false" outlineLevel="0" collapsed="false">
      <c r="A168" s="4" t="s">
        <v>452</v>
      </c>
      <c r="B168" s="4" t="s">
        <v>176</v>
      </c>
      <c r="C168" s="27" t="n">
        <f aca="false">a25_sh</f>
        <v>2.27650602409639</v>
      </c>
      <c r="D168" s="27" t="n">
        <f aca="false">a26_sh</f>
        <v>2.26895833333333</v>
      </c>
      <c r="E168" s="27" t="n">
        <f aca="false">D168*(1+sh_g)</f>
        <v>2.26895833333333</v>
      </c>
      <c r="F168" s="27" t="n">
        <f aca="false">E168*(1+sh_g)</f>
        <v>2.26895833333333</v>
      </c>
      <c r="G168" s="27" t="n">
        <f aca="false">F168*(1+sh_g)</f>
        <v>2.26895833333333</v>
      </c>
      <c r="H168" s="28" t="n">
        <f aca="false">G168*(1+sh_g)</f>
        <v>2.26895833333333</v>
      </c>
      <c r="I168" s="28" t="n">
        <f aca="false">H168*(1+sh_g)</f>
        <v>2.26895833333333</v>
      </c>
      <c r="J168" s="28" t="n">
        <f aca="false">I168*(1+sh_g)</f>
        <v>2.26895833333333</v>
      </c>
    </row>
    <row r="169" customFormat="false" ht="15" hidden="false" customHeight="false" outlineLevel="0" collapsed="false">
      <c r="A169" s="0" t="s">
        <v>355</v>
      </c>
      <c r="B169" s="0" t="s">
        <v>209</v>
      </c>
      <c r="C169" s="23" t="n">
        <f aca="false">C167/C168</f>
        <v>6.64</v>
      </c>
      <c r="D169" s="23" t="n">
        <f aca="false">D167/D168</f>
        <v>10.9452614149641</v>
      </c>
      <c r="E169" s="23" t="n">
        <f aca="false">E167/E168</f>
        <v>16.2993547253712</v>
      </c>
      <c r="F169" s="23" t="n">
        <f aca="false">F167/F168</f>
        <v>13.6986836289606</v>
      </c>
      <c r="G169" s="23" t="n">
        <f aca="false">G167/G168</f>
        <v>14.8357575995972</v>
      </c>
      <c r="H169" s="29" t="n">
        <f aca="false">H167/H168</f>
        <v>13.2701742437774</v>
      </c>
      <c r="I169" s="29" t="n">
        <f aca="false">I167/I168</f>
        <v>11.3052085856896</v>
      </c>
      <c r="J169" s="29" t="n">
        <f aca="false">J167/J168</f>
        <v>9.02508729248515</v>
      </c>
    </row>
    <row r="170" customFormat="false" ht="17.15" hidden="false" customHeight="false" outlineLevel="0" collapsed="false">
      <c r="A170" s="0" t="s">
        <v>453</v>
      </c>
      <c r="B170" s="0" t="s">
        <v>49</v>
      </c>
      <c r="D170" s="17" t="n">
        <f aca="false">D169/C169-1</f>
        <v>0.648382743217484</v>
      </c>
      <c r="E170" s="17" t="n">
        <f aca="false">E169/D169-1</f>
        <v>0.489169980269918</v>
      </c>
      <c r="F170" s="17" t="n">
        <f aca="false">F169/E169-1</f>
        <v>-0.159556690447532</v>
      </c>
      <c r="G170" s="17" t="n">
        <f aca="false">G169/F169-1</f>
        <v>0.083006075724875</v>
      </c>
      <c r="H170" s="25" t="n">
        <f aca="false">H169/G169-1</f>
        <v>-0.105527698555976</v>
      </c>
      <c r="I170" s="25" t="n">
        <f aca="false">I169/H169-1</f>
        <v>-0.148073840025815</v>
      </c>
      <c r="J170" s="25" t="n">
        <f aca="false">J169/I169-1</f>
        <v>-0.201687680145122</v>
      </c>
    </row>
    <row r="171" customFormat="false" ht="17.15" hidden="false" customHeight="false" outlineLevel="0" collapsed="false">
      <c r="A171" s="4" t="s">
        <v>454</v>
      </c>
      <c r="B171" s="0" t="s">
        <v>49</v>
      </c>
      <c r="C171" s="17" t="n">
        <f aca="false">C167/C152</f>
        <v>0.0910136375952073</v>
      </c>
      <c r="D171" s="17" t="n">
        <f aca="false">D167/D152</f>
        <v>0.116740330417472</v>
      </c>
      <c r="E171" s="17" t="n">
        <f aca="false">E167/E152</f>
        <v>0.130123707228533</v>
      </c>
      <c r="F171" s="17" t="n">
        <f aca="false">F167/F152</f>
        <v>0.117893881149602</v>
      </c>
      <c r="G171" s="17" t="n">
        <f aca="false">G167/G152</f>
        <v>0.119187269893778</v>
      </c>
      <c r="H171" s="25" t="n">
        <f aca="false">$G171+(fade_mC-$G171)*1/3</f>
        <v>0.101131513262519</v>
      </c>
      <c r="I171" s="25" t="n">
        <f aca="false">$G171+(fade_mC-$G171)*2/3</f>
        <v>0.0830757566312594</v>
      </c>
      <c r="J171" s="25" t="n">
        <f aca="false">$G171+(fade_mC-$G171)*3/3</f>
        <v>0.06502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457</v>
      </c>
    </row>
    <row r="2" customFormat="false" ht="17.15" hidden="false" customHeight="false" outlineLevel="0" collapsed="false">
      <c r="A2" s="4" t="s">
        <v>458</v>
      </c>
    </row>
    <row r="4" customFormat="false" ht="17.15" hidden="false" customHeight="false" outlineLevel="0" collapsed="false">
      <c r="A4" s="6" t="s">
        <v>459</v>
      </c>
    </row>
    <row r="5" customFormat="false" ht="17.15" hidden="false" customHeight="false" outlineLevel="0" collapsed="false">
      <c r="A5" s="6" t="s">
        <v>460</v>
      </c>
    </row>
    <row r="6" customFormat="false" ht="17.15" hidden="false" customHeight="false" outlineLevel="0" collapsed="false">
      <c r="A6" s="5" t="s">
        <v>18</v>
      </c>
      <c r="B6" s="14" t="s">
        <v>461</v>
      </c>
      <c r="C6" s="14" t="s">
        <v>462</v>
      </c>
      <c r="D6" s="14" t="s">
        <v>463</v>
      </c>
      <c r="E6" s="5" t="s">
        <v>380</v>
      </c>
    </row>
    <row r="7" customFormat="false" ht="17.15" hidden="false" customHeight="false" outlineLevel="0" collapsed="false">
      <c r="A7" s="4" t="s">
        <v>464</v>
      </c>
      <c r="E7" s="0" t="s">
        <v>465</v>
      </c>
    </row>
    <row r="8" customFormat="false" ht="15" hidden="false" customHeight="false" outlineLevel="0" collapsed="false">
      <c r="A8" s="0" t="s">
        <v>466</v>
      </c>
      <c r="B8" s="18" t="n">
        <f aca="false">PL!E14</f>
        <v>20.6505293335518</v>
      </c>
      <c r="C8" s="18" t="n">
        <f aca="false">PL!E27</f>
        <v>18.7423169487593</v>
      </c>
      <c r="D8" s="18" t="n">
        <f aca="false">PL!E40</f>
        <v>16.2993547253712</v>
      </c>
    </row>
    <row r="9" customFormat="false" ht="15" hidden="false" customHeight="false" outlineLevel="0" collapsed="false">
      <c r="A9" s="0" t="s">
        <v>467</v>
      </c>
      <c r="B9" s="18" t="n">
        <f aca="false">PL!F14</f>
        <v>30.2330626302752</v>
      </c>
      <c r="C9" s="18" t="n">
        <f aca="false">PL!F27</f>
        <v>21.0058662919979</v>
      </c>
      <c r="D9" s="18" t="n">
        <f aca="false">PL!F40</f>
        <v>13.6986836289606</v>
      </c>
    </row>
    <row r="10" customFormat="false" ht="15" hidden="false" customHeight="false" outlineLevel="0" collapsed="false">
      <c r="A10" s="0" t="s">
        <v>468</v>
      </c>
      <c r="B10" s="18" t="n">
        <f aca="false">PL!G14</f>
        <v>37.5878781040974</v>
      </c>
      <c r="C10" s="18" t="n">
        <f aca="false">PL!G27</f>
        <v>25.7015939144809</v>
      </c>
      <c r="D10" s="18" t="n">
        <f aca="false">PL!G40</f>
        <v>14.8357575995972</v>
      </c>
    </row>
    <row r="11" customFormat="false" ht="15" hidden="false" customHeight="false" outlineLevel="0" collapsed="false">
      <c r="A11" s="0" t="s">
        <v>469</v>
      </c>
      <c r="B11" s="18" t="n">
        <f aca="false">PL!H14</f>
        <v>42.6888406280812</v>
      </c>
      <c r="C11" s="18" t="n">
        <f aca="false">PL!H27</f>
        <v>26.1540252596018</v>
      </c>
      <c r="D11" s="18" t="n">
        <f aca="false">PL!H40</f>
        <v>13.2701742437774</v>
      </c>
    </row>
    <row r="12" customFormat="false" ht="15" hidden="false" customHeight="false" outlineLevel="0" collapsed="false">
      <c r="A12" s="0" t="s">
        <v>470</v>
      </c>
      <c r="B12" s="18" t="n">
        <f aca="false">PL!I14</f>
        <v>46.8661069217848</v>
      </c>
      <c r="C12" s="18" t="n">
        <f aca="false">PL!I27</f>
        <v>25.3524724106283</v>
      </c>
      <c r="D12" s="18" t="n">
        <f aca="false">PL!I40</f>
        <v>11.3052085856896</v>
      </c>
    </row>
    <row r="13" customFormat="false" ht="15" hidden="false" customHeight="false" outlineLevel="0" collapsed="false">
      <c r="A13" s="0" t="s">
        <v>471</v>
      </c>
      <c r="B13" s="18" t="n">
        <f aca="false">PL!J14</f>
        <v>49.6780733370919</v>
      </c>
      <c r="C13" s="18" t="n">
        <f aca="false">PL!J27</f>
        <v>23.313206748366</v>
      </c>
      <c r="D13" s="18" t="n">
        <f aca="false">PL!J40</f>
        <v>9.02508729248515</v>
      </c>
    </row>
    <row r="14" customFormat="false" ht="17.15" hidden="false" customHeight="false" outlineLevel="0" collapsed="false">
      <c r="A14" s="4" t="s">
        <v>472</v>
      </c>
    </row>
    <row r="15" customFormat="false" ht="17.15" hidden="false" customHeight="false" outlineLevel="0" collapsed="false">
      <c r="A15" s="4" t="s">
        <v>473</v>
      </c>
      <c r="B15" s="17" t="n">
        <f aca="false">MIN(tp_g/tp_roe,0.8)</f>
        <v>0.251151109250733</v>
      </c>
      <c r="E15" s="8" t="s">
        <v>474</v>
      </c>
    </row>
    <row r="16" customFormat="false" ht="15" hidden="false" customHeight="false" outlineLevel="0" collapsed="false">
      <c r="A16" s="0" t="s">
        <v>466</v>
      </c>
      <c r="B16" s="18" t="n">
        <f aca="false">B8*(1-$B$15)</f>
        <v>15.4641259848155</v>
      </c>
      <c r="C16" s="18" t="n">
        <f aca="false">C8*(1-$B$15)</f>
        <v>14.0351632571496</v>
      </c>
      <c r="D16" s="18" t="n">
        <f aca="false">D8*(1-$B$15)</f>
        <v>12.205753706023</v>
      </c>
    </row>
    <row r="17" customFormat="false" ht="15" hidden="false" customHeight="false" outlineLevel="0" collapsed="false">
      <c r="A17" s="0" t="s">
        <v>467</v>
      </c>
      <c r="B17" s="18" t="n">
        <f aca="false">B9*(1-$B$15)</f>
        <v>22.6399954146347</v>
      </c>
      <c r="C17" s="18" t="n">
        <f aca="false">C9*(1-$B$15)</f>
        <v>15.7302196719901</v>
      </c>
      <c r="D17" s="18" t="n">
        <f aca="false">D9*(1-$B$15)</f>
        <v>10.2582440402723</v>
      </c>
    </row>
    <row r="18" customFormat="false" ht="15" hidden="false" customHeight="false" outlineLevel="0" collapsed="false">
      <c r="A18" s="0" t="s">
        <v>468</v>
      </c>
      <c r="B18" s="18" t="n">
        <f aca="false">B10*(1-$B$15)</f>
        <v>28.147640823872</v>
      </c>
      <c r="C18" s="18" t="n">
        <f aca="false">C10*(1-$B$15)</f>
        <v>19.2466100933472</v>
      </c>
      <c r="D18" s="18" t="n">
        <f aca="false">D10*(1-$B$15)</f>
        <v>11.1097406218834</v>
      </c>
    </row>
    <row r="19" customFormat="false" ht="15" hidden="false" customHeight="false" outlineLevel="0" collapsed="false">
      <c r="A19" s="0" t="s">
        <v>469</v>
      </c>
      <c r="B19" s="18" t="n">
        <f aca="false">B11*(1-$B$15)</f>
        <v>31.9674909517109</v>
      </c>
      <c r="C19" s="18" t="n">
        <f aca="false">C11*(1-$B$15)</f>
        <v>19.5854128042811</v>
      </c>
      <c r="D19" s="18" t="n">
        <f aca="false">D11*(1-$B$15)</f>
        <v>9.93735526250219</v>
      </c>
    </row>
    <row r="20" customFormat="false" ht="15" hidden="false" customHeight="false" outlineLevel="0" collapsed="false">
      <c r="A20" s="0" t="s">
        <v>470</v>
      </c>
      <c r="B20" s="18" t="n">
        <f aca="false">B12*(1-$B$15)</f>
        <v>35.0956321821151</v>
      </c>
      <c r="C20" s="18" t="n">
        <f aca="false">C12*(1-$B$15)</f>
        <v>18.9851708424504</v>
      </c>
      <c r="D20" s="18" t="n">
        <f aca="false">D12*(1-$B$15)</f>
        <v>8.46589290908275</v>
      </c>
    </row>
    <row r="21" customFormat="false" ht="15" hidden="false" customHeight="false" outlineLevel="0" collapsed="false">
      <c r="A21" s="0" t="s">
        <v>471</v>
      </c>
      <c r="B21" s="18" t="n">
        <f aca="false">B13*(1-$B$15)</f>
        <v>37.201370113042</v>
      </c>
      <c r="C21" s="18" t="n">
        <f aca="false">C13*(1-$B$15)</f>
        <v>17.4580690133222</v>
      </c>
      <c r="D21" s="18" t="n">
        <f aca="false">D13*(1-$B$15)</f>
        <v>6.75842660789282</v>
      </c>
    </row>
    <row r="22" customFormat="false" ht="17.15" hidden="false" customHeight="false" outlineLevel="0" collapsed="false">
      <c r="A22" s="0" t="s">
        <v>475</v>
      </c>
      <c r="B22" s="18" t="n">
        <f aca="false">MAX(0,SUMPRODUCT(B16:B21,1/(1+tp_r)^{1;2;3;4;5;6})+B21*(1+tp_g)/(tp_r-tp_g)/(1+tp_r)^6)</f>
        <v>482.528027515816</v>
      </c>
      <c r="C22" s="18" t="n">
        <f aca="false">MAX(0,SUMPRODUCT(C16:C21,1/(1+tp_r)^{1;2;3;4;5;6})+C21*(1+tp_g)/(tp_r-tp_g)/(1+tp_r)^6)</f>
        <v>246.053203604463</v>
      </c>
      <c r="D22" s="18" t="n">
        <f aca="false">MAX(0,SUMPRODUCT(D16:D21,1/(1+tp_r)^{1;2;3;4;5;6})+D21*(1+tp_g)/(tp_r-tp_g)/(1+tp_r)^6)</f>
        <v>109.905793899935</v>
      </c>
      <c r="E22" s="8" t="s">
        <v>476</v>
      </c>
    </row>
    <row r="23" customFormat="false" ht="17.15" hidden="false" customHeight="false" outlineLevel="0" collapsed="false">
      <c r="A23" s="0" t="s">
        <v>477</v>
      </c>
      <c r="B23" s="18" t="n">
        <f aca="false">B22*(1+tp_r)</f>
        <v>530.780830267397</v>
      </c>
      <c r="C23" s="18" t="n">
        <f aca="false">C22*(1+tp_r)</f>
        <v>270.65852396491</v>
      </c>
      <c r="D23" s="18" t="n">
        <f aca="false">D22*(1+tp_r)</f>
        <v>120.896373289929</v>
      </c>
    </row>
    <row r="24" customFormat="false" ht="17.15" hidden="false" customHeight="false" outlineLevel="0" collapsed="false">
      <c r="A24" s="0" t="s">
        <v>478</v>
      </c>
      <c r="B24" s="30" t="n">
        <f aca="false">tp_wA*B23+tp_wB*C23+tp_wC*D23</f>
        <v>318.74278572066</v>
      </c>
      <c r="E24" s="8" t="s">
        <v>479</v>
      </c>
    </row>
    <row r="26" customFormat="false" ht="17.15" hidden="false" customHeight="false" outlineLevel="0" collapsed="false">
      <c r="A26" s="6" t="s">
        <v>480</v>
      </c>
    </row>
    <row r="27" customFormat="false" ht="17.15" hidden="false" customHeight="false" outlineLevel="0" collapsed="false">
      <c r="A27" s="5" t="s">
        <v>481</v>
      </c>
      <c r="B27" s="5" t="s">
        <v>482</v>
      </c>
      <c r="C27" s="5" t="s">
        <v>483</v>
      </c>
      <c r="D27" s="5" t="s">
        <v>484</v>
      </c>
      <c r="E27" s="5" t="s">
        <v>485</v>
      </c>
      <c r="F27" s="5" t="s">
        <v>23</v>
      </c>
    </row>
    <row r="28" customFormat="false" ht="17.15" hidden="false" customHeight="false" outlineLevel="0" collapsed="false">
      <c r="A28" s="4" t="s">
        <v>486</v>
      </c>
      <c r="B28" s="0" t="s">
        <v>487</v>
      </c>
      <c r="C28" s="31" t="n">
        <v>30.51</v>
      </c>
      <c r="D28" s="8" t="s">
        <v>488</v>
      </c>
      <c r="E28" s="8" t="s">
        <v>489</v>
      </c>
      <c r="F28" s="8" t="s">
        <v>50</v>
      </c>
    </row>
    <row r="29" customFormat="false" ht="17.15" hidden="false" customHeight="false" outlineLevel="0" collapsed="false">
      <c r="A29" s="0" t="s">
        <v>490</v>
      </c>
      <c r="B29" s="0" t="s">
        <v>491</v>
      </c>
      <c r="C29" s="31" t="n">
        <v>24.53</v>
      </c>
      <c r="D29" s="8" t="s">
        <v>492</v>
      </c>
      <c r="E29" s="8" t="s">
        <v>489</v>
      </c>
      <c r="F29" s="8" t="s">
        <v>50</v>
      </c>
    </row>
    <row r="30" customFormat="false" ht="17.15" hidden="false" customHeight="false" outlineLevel="0" collapsed="false">
      <c r="A30" s="0" t="s">
        <v>493</v>
      </c>
      <c r="B30" s="0" t="s">
        <v>494</v>
      </c>
      <c r="C30" s="31" t="n">
        <v>24.17</v>
      </c>
      <c r="D30" s="8" t="s">
        <v>492</v>
      </c>
      <c r="E30" s="8" t="s">
        <v>489</v>
      </c>
      <c r="F30" s="8" t="s">
        <v>50</v>
      </c>
    </row>
    <row r="31" customFormat="false" ht="17.15" hidden="false" customHeight="false" outlineLevel="0" collapsed="false">
      <c r="A31" s="0" t="s">
        <v>495</v>
      </c>
      <c r="B31" s="0" t="s">
        <v>496</v>
      </c>
      <c r="C31" s="31" t="n">
        <v>14.74</v>
      </c>
      <c r="D31" s="8" t="s">
        <v>492</v>
      </c>
      <c r="E31" s="8" t="s">
        <v>489</v>
      </c>
      <c r="F31" s="8" t="s">
        <v>50</v>
      </c>
    </row>
    <row r="33" customFormat="false" ht="17.15" hidden="false" customHeight="false" outlineLevel="0" collapsed="false">
      <c r="A33" s="4" t="s">
        <v>497</v>
      </c>
    </row>
    <row r="34" customFormat="false" ht="17.15" hidden="false" customHeight="false" outlineLevel="0" collapsed="false">
      <c r="A34" s="4" t="s">
        <v>498</v>
      </c>
      <c r="B34" s="20" t="n">
        <f aca="false">MEDIAN(C28:C31)</f>
        <v>24.35</v>
      </c>
      <c r="E34" s="8" t="s">
        <v>499</v>
      </c>
    </row>
    <row r="35" customFormat="false" ht="17.15" hidden="false" customHeight="false" outlineLevel="0" collapsed="false">
      <c r="A35" s="0" t="s">
        <v>500</v>
      </c>
      <c r="B35" s="18" t="n">
        <f aca="false">tp_wA*(2/12*B8+10/12*B9)+tp_wB*(2/12*C8+10/12*C9)+tp_wC*(2/12*D8+10/12*D9)</f>
        <v>21.7315219206479</v>
      </c>
      <c r="E35" s="4" t="s">
        <v>501</v>
      </c>
    </row>
    <row r="36" customFormat="false" ht="17.15" hidden="false" customHeight="false" outlineLevel="0" collapsed="false">
      <c r="A36" s="0" t="s">
        <v>502</v>
      </c>
      <c r="B36" s="30" t="n">
        <f aca="false">B34*B35</f>
        <v>529.162558767778</v>
      </c>
      <c r="E36" s="4" t="s">
        <v>503</v>
      </c>
    </row>
    <row r="38" customFormat="false" ht="17.15" hidden="false" customHeight="false" outlineLevel="0" collapsed="false">
      <c r="A38" s="6" t="s">
        <v>504</v>
      </c>
    </row>
    <row r="39" customFormat="false" ht="15" hidden="false" customHeight="false" outlineLevel="0" collapsed="false">
      <c r="A39" s="5" t="s">
        <v>18</v>
      </c>
      <c r="B39" s="5" t="s">
        <v>505</v>
      </c>
      <c r="C39" s="5"/>
      <c r="D39" s="5"/>
      <c r="E39" s="5" t="s">
        <v>380</v>
      </c>
    </row>
    <row r="40" customFormat="false" ht="17.15" hidden="false" customHeight="false" outlineLevel="0" collapsed="false">
      <c r="A40" s="4" t="s">
        <v>506</v>
      </c>
      <c r="B40" s="30" t="n">
        <f aca="false">tp_w_dcf*B24+(1-tp_w_dcf)*B36</f>
        <v>423.952672244219</v>
      </c>
      <c r="E40" s="8" t="s">
        <v>507</v>
      </c>
    </row>
    <row r="41" customFormat="false" ht="17.15" hidden="false" customHeight="false" outlineLevel="0" collapsed="false">
      <c r="A41" s="0" t="s">
        <v>508</v>
      </c>
      <c r="B41" s="18" t="n">
        <f aca="false">B36</f>
        <v>529.162558767778</v>
      </c>
    </row>
    <row r="42" customFormat="false" ht="17.15" hidden="false" customHeight="false" outlineLevel="0" collapsed="false">
      <c r="A42" s="4" t="s">
        <v>509</v>
      </c>
      <c r="B42" s="18" t="n">
        <f aca="false">cons_tp</f>
        <v>314.25</v>
      </c>
      <c r="E42" s="8" t="s">
        <v>510</v>
      </c>
    </row>
    <row r="43" customFormat="false" ht="17.15" hidden="false" customHeight="false" outlineLevel="0" collapsed="false">
      <c r="A43" s="4" t="s">
        <v>511</v>
      </c>
      <c r="B43" s="17" t="n">
        <f aca="false">B40/px-1</f>
        <v>0.659305957903009</v>
      </c>
      <c r="E43" s="4" t="s">
        <v>512</v>
      </c>
    </row>
    <row r="44" customFormat="false" ht="17.15" hidden="false" customHeight="false" outlineLevel="0" collapsed="false">
      <c r="A44" s="4" t="s">
        <v>513</v>
      </c>
      <c r="B44" s="17" t="n">
        <f aca="false">B41/px-1</f>
        <v>1.07108633568602</v>
      </c>
    </row>
    <row r="45" customFormat="false" ht="17.15" hidden="false" customHeight="false" outlineLevel="0" collapsed="false">
      <c r="A45" s="4" t="s">
        <v>514</v>
      </c>
      <c r="B45" s="17" t="n">
        <f aca="false">B35/cons_feps-1</f>
        <v>0.675581142218257</v>
      </c>
      <c r="E45" s="4" t="s">
        <v>515</v>
      </c>
    </row>
    <row r="46" customFormat="false" ht="17.15" hidden="false" customHeight="false" outlineLevel="0" collapsed="false">
      <c r="A46" s="4" t="s">
        <v>516</v>
      </c>
      <c r="B46" s="17" t="n">
        <f aca="false">(cons_tp/cons_feps)/B34-1</f>
        <v>-0.0049345608120327</v>
      </c>
      <c r="E46" s="0" t="str">
        <f aca="false">"共識目標價隱含 "&amp;TEXT(cons_tp/cons_feps,"0.0")&amp;"x，同業中位數 "&amp;TEXT(B34,"0.0")&amp;"x"</f>
        <v>共識目標價隱含 24.2x，同業中位數 24.4x</v>
      </c>
    </row>
    <row r="47" customFormat="false" ht="17.15" hidden="false" customHeight="false" outlineLevel="0" collapsed="false">
      <c r="A47" s="4" t="s">
        <v>517</v>
      </c>
      <c r="B47" s="32" t="str">
        <f aca="false">TEXT(D23,"0.00")&amp;"～"&amp;TEXT(B23,"0.00")</f>
        <v>120.90～530.78</v>
      </c>
      <c r="E47" s="8" t="s">
        <v>518</v>
      </c>
    </row>
    <row r="48" customFormat="false" ht="17.15" hidden="false" customHeight="false" outlineLevel="0" collapsed="false">
      <c r="A48" s="4" t="s">
        <v>519</v>
      </c>
      <c r="B48" s="33" t="n">
        <f aca="false">IF(px/B9&lt;MIN($B$90:$B$99),0,IF(px/B9&gt;MAX($B$90:$B$99),1,PERCENTRANK($B$90:$B$99,px/B9)))</f>
        <v>0</v>
      </c>
      <c r="C48" s="33" t="n">
        <f aca="false">IF(px/C9&lt;MIN($B$90:$B$99),0,IF(px/C9&gt;MAX($B$90:$B$99),1,PERCENTRANK($B$90:$B$99,px/C9)))</f>
        <v>0.518</v>
      </c>
      <c r="D48" s="33" t="n">
        <f aca="false">IF(px/D9&lt;MIN($B$90:$B$99),0,IF(px/D9&gt;MAX($B$90:$B$99),1,PERCENTRANK($B$90:$B$99,px/D9)))</f>
        <v>0.707</v>
      </c>
      <c r="E48" s="4" t="s">
        <v>520</v>
      </c>
    </row>
    <row r="49" customFormat="false" ht="17.15" hidden="false" customHeight="false" outlineLevel="0" collapsed="false">
      <c r="A49" s="4" t="s">
        <v>521</v>
      </c>
      <c r="B49" s="0" t="s">
        <v>522</v>
      </c>
    </row>
    <row r="51" customFormat="false" ht="17.15" hidden="false" customHeight="false" outlineLevel="0" collapsed="false">
      <c r="A51" s="6" t="s">
        <v>523</v>
      </c>
    </row>
    <row r="52" customFormat="false" ht="15" hidden="false" customHeight="false" outlineLevel="0" collapsed="false">
      <c r="A52" s="5" t="s">
        <v>18</v>
      </c>
      <c r="B52" s="14" t="s">
        <v>524</v>
      </c>
      <c r="C52" s="14" t="s">
        <v>525</v>
      </c>
      <c r="D52" s="14" t="s">
        <v>526</v>
      </c>
      <c r="E52" s="5" t="s">
        <v>380</v>
      </c>
    </row>
    <row r="53" customFormat="false" ht="17.15" hidden="false" customHeight="false" outlineLevel="0" collapsed="false">
      <c r="A53" s="4" t="s">
        <v>527</v>
      </c>
      <c r="B53" s="18" t="n">
        <f aca="false">px</f>
        <v>255.5</v>
      </c>
    </row>
    <row r="54" customFormat="false" ht="17.15" hidden="false" customHeight="false" outlineLevel="0" collapsed="false">
      <c r="A54" s="4" t="s">
        <v>528</v>
      </c>
      <c r="B54" s="20" t="n">
        <f aca="false">px/PL!D14</f>
        <v>23.3434351463444</v>
      </c>
      <c r="C54" s="20" t="n">
        <f aca="false">px/PL!D27</f>
        <v>23.3434351463444</v>
      </c>
      <c r="D54" s="20" t="n">
        <f aca="false">px/PL!D40</f>
        <v>23.3434351463444</v>
      </c>
      <c r="E54" s="8" t="s">
        <v>529</v>
      </c>
    </row>
    <row r="55" customFormat="false" ht="17.15" hidden="false" customHeight="false" outlineLevel="0" collapsed="false">
      <c r="A55" s="4" t="s">
        <v>530</v>
      </c>
      <c r="B55" s="20" t="n">
        <f aca="false">px/PL!E14</f>
        <v>12.3725642027431</v>
      </c>
      <c r="C55" s="20" t="n">
        <f aca="false">px/PL!E27</f>
        <v>13.6322526557696</v>
      </c>
      <c r="D55" s="20" t="n">
        <f aca="false">px/PL!E40</f>
        <v>15.6754671767647</v>
      </c>
      <c r="E55" s="8" t="s">
        <v>531</v>
      </c>
    </row>
    <row r="56" customFormat="false" ht="17.15" hidden="false" customHeight="false" outlineLevel="0" collapsed="false">
      <c r="A56" s="4" t="s">
        <v>532</v>
      </c>
      <c r="B56" s="20" t="n">
        <f aca="false">px/PL!F14</f>
        <v>8.45101282409093</v>
      </c>
      <c r="C56" s="20" t="n">
        <f aca="false">px/PL!F27</f>
        <v>12.1632688910969</v>
      </c>
      <c r="D56" s="20" t="n">
        <f aca="false">px/PL!F40</f>
        <v>18.6514271677786</v>
      </c>
    </row>
    <row r="57" customFormat="false" ht="17.15" hidden="false" customHeight="false" outlineLevel="0" collapsed="false">
      <c r="A57" s="4" t="s">
        <v>533</v>
      </c>
      <c r="B57" s="20" t="n">
        <f aca="false">px/PL!G14</f>
        <v>6.79740418686067</v>
      </c>
      <c r="C57" s="20" t="n">
        <f aca="false">px/PL!G27</f>
        <v>9.9410176991414</v>
      </c>
      <c r="D57" s="20" t="n">
        <f aca="false">px/PL!G40</f>
        <v>17.2219044618885</v>
      </c>
    </row>
    <row r="58" customFormat="false" ht="17.15" hidden="false" customHeight="false" outlineLevel="0" collapsed="false">
      <c r="A58" s="4" t="s">
        <v>534</v>
      </c>
      <c r="B58" s="18" t="n">
        <f aca="false">0.2*PL!D27+0.8*PL!E27</f>
        <v>17.1829058420002</v>
      </c>
    </row>
    <row r="59" customFormat="false" ht="17.15" hidden="false" customHeight="false" outlineLevel="0" collapsed="false">
      <c r="A59" s="4" t="s">
        <v>535</v>
      </c>
      <c r="B59" s="20" t="n">
        <f aca="false">px/B58</f>
        <v>14.8694290912938</v>
      </c>
    </row>
    <row r="60" customFormat="false" ht="17.15" hidden="false" customHeight="false" outlineLevel="0" collapsed="false">
      <c r="A60" s="4" t="s">
        <v>261</v>
      </c>
      <c r="B60" s="20" t="n">
        <f aca="false">pe_ttm</f>
        <v>30.09</v>
      </c>
    </row>
    <row r="61" customFormat="false" ht="17.15" hidden="false" customHeight="false" outlineLevel="0" collapsed="false">
      <c r="A61" s="4" t="s">
        <v>265</v>
      </c>
      <c r="B61" s="20" t="n">
        <f aca="false">fpe</f>
        <v>19.7</v>
      </c>
    </row>
    <row r="63" customFormat="false" ht="17.15" hidden="false" customHeight="false" outlineLevel="0" collapsed="false">
      <c r="A63" s="6" t="s">
        <v>536</v>
      </c>
    </row>
    <row r="64" customFormat="false" ht="17.15" hidden="false" customHeight="false" outlineLevel="0" collapsed="false">
      <c r="A64" s="5" t="s">
        <v>537</v>
      </c>
      <c r="B64" s="5" t="s">
        <v>538</v>
      </c>
      <c r="C64" s="14" t="s">
        <v>539</v>
      </c>
      <c r="D64" s="5" t="s">
        <v>540</v>
      </c>
      <c r="E64" s="5" t="s">
        <v>541</v>
      </c>
      <c r="F64" s="5" t="s">
        <v>380</v>
      </c>
    </row>
    <row r="65" customFormat="false" ht="17.15" hidden="false" customHeight="false" outlineLevel="0" collapsed="false">
      <c r="A65" s="0" t="s">
        <v>524</v>
      </c>
      <c r="B65" s="0" t="n">
        <f aca="false">INDEX({2026,2027,2028,2029},MATCH(MAX(PL!D76:G76),PL!D76:G76,0))</f>
        <v>2029</v>
      </c>
      <c r="C65" s="0" t="str">
        <f aca="false">IF(B65=2029,"中段",IF(2027&lt;B65,"中段",IF(2027=B65,"見頂","谷底")))</f>
        <v>中段</v>
      </c>
      <c r="D65" s="20" t="n">
        <f aca="false">IF(C65="見頂",pe_peak,IF(C65="谷底",pe_trough,pe_mid))</f>
        <v>12.12</v>
      </c>
      <c r="E65" s="0" t="str">
        <f aca="false">IF(B65=2029,"是：營收到觀測期末仍在增加","否")</f>
        <v>是：營收到觀測期末仍在增加</v>
      </c>
      <c r="F65" s="8" t="s">
        <v>542</v>
      </c>
    </row>
    <row r="66" customFormat="false" ht="15" hidden="false" customHeight="false" outlineLevel="0" collapsed="false">
      <c r="A66" s="0" t="s">
        <v>525</v>
      </c>
      <c r="B66" s="0" t="n">
        <f aca="false">INDEX({2026,2027,2028,2029},MATCH(MAX(PL!D114:G114),PL!D114:G114,0))</f>
        <v>2029</v>
      </c>
      <c r="C66" s="0" t="str">
        <f aca="false">IF(B66=2029,"中段",IF(2027&lt;B66,"中段",IF(2027=B66,"見頂","谷底")))</f>
        <v>中段</v>
      </c>
      <c r="D66" s="20" t="n">
        <f aca="false">IF(C66="見頂",pe_peak,IF(C66="谷底",pe_trough,pe_mid))</f>
        <v>12.12</v>
      </c>
      <c r="E66" s="0" t="str">
        <f aca="false">IF(B66=2029,"是：營收到觀測期末仍在增加","否")</f>
        <v>是：營收到觀測期末仍在增加</v>
      </c>
      <c r="F66" s="4" t="s">
        <v>35</v>
      </c>
    </row>
    <row r="67" customFormat="false" ht="15" hidden="false" customHeight="false" outlineLevel="0" collapsed="false">
      <c r="A67" s="0" t="s">
        <v>526</v>
      </c>
      <c r="B67" s="0" t="n">
        <f aca="false">INDEX({2026,2027,2028,2029},MATCH(MAX(PL!D152:G152),PL!D152:G152,0))</f>
        <v>2027</v>
      </c>
      <c r="C67" s="0" t="str">
        <f aca="false">IF(B67=2029,"中段",IF(2027&lt;B67,"中段",IF(2027=B67,"見頂","谷底")))</f>
        <v>見頂</v>
      </c>
      <c r="D67" s="20" t="n">
        <f aca="false">IF(C67="見頂",pe_peak,IF(C67="谷底",pe_trough,pe_mid))</f>
        <v>11.63</v>
      </c>
      <c r="E67" s="0" t="str">
        <f aca="false">IF(B67=2029,"是：營收到觀測期末仍在增加","否")</f>
        <v>否</v>
      </c>
      <c r="F67" s="4" t="s">
        <v>35</v>
      </c>
    </row>
    <row r="69" customFormat="false" ht="17.15" hidden="false" customHeight="false" outlineLevel="0" collapsed="false">
      <c r="A69" s="6" t="s">
        <v>543</v>
      </c>
    </row>
    <row r="70" customFormat="false" ht="17.15" hidden="false" customHeight="false" outlineLevel="0" collapsed="false">
      <c r="A70" s="5" t="s">
        <v>537</v>
      </c>
      <c r="B70" s="14" t="s">
        <v>544</v>
      </c>
      <c r="C70" s="5" t="s">
        <v>545</v>
      </c>
      <c r="D70" s="5" t="s">
        <v>546</v>
      </c>
      <c r="E70" s="5" t="s">
        <v>547</v>
      </c>
      <c r="F70" s="5" t="s">
        <v>548</v>
      </c>
      <c r="G70" s="5" t="s">
        <v>549</v>
      </c>
    </row>
    <row r="71" customFormat="false" ht="15" hidden="false" customHeight="false" outlineLevel="0" collapsed="false">
      <c r="A71" s="9" t="s">
        <v>524</v>
      </c>
      <c r="B71" s="30" t="n">
        <f aca="false">PL!E14</f>
        <v>20.6505293335518</v>
      </c>
      <c r="C71" s="30" t="n">
        <f aca="false">B71</f>
        <v>20.6505293335518</v>
      </c>
      <c r="D71" s="34" t="n">
        <f aca="false">D65</f>
        <v>12.12</v>
      </c>
      <c r="E71" s="30" t="n">
        <f aca="false">C71*D71</f>
        <v>250.284415522648</v>
      </c>
      <c r="F71" s="35" t="n">
        <f aca="false">E71/px-1</f>
        <v>-0.0204132464867003</v>
      </c>
      <c r="G71" s="34" t="n">
        <f aca="false">px/C71</f>
        <v>12.3725642027431</v>
      </c>
    </row>
    <row r="72" customFormat="false" ht="15" hidden="false" customHeight="false" outlineLevel="0" collapsed="false">
      <c r="A72" s="9" t="s">
        <v>525</v>
      </c>
      <c r="B72" s="30" t="n">
        <f aca="false">PL!E27</f>
        <v>18.7423169487593</v>
      </c>
      <c r="C72" s="30" t="n">
        <f aca="false">B72</f>
        <v>18.7423169487593</v>
      </c>
      <c r="D72" s="34" t="n">
        <f aca="false">D66</f>
        <v>12.12</v>
      </c>
      <c r="E72" s="30" t="n">
        <f aca="false">C72*D72</f>
        <v>227.156881418962</v>
      </c>
      <c r="F72" s="35" t="n">
        <f aca="false">E72/px-1</f>
        <v>-0.110931970962965</v>
      </c>
      <c r="G72" s="34" t="n">
        <f aca="false">px/C72</f>
        <v>13.6322526557696</v>
      </c>
    </row>
    <row r="73" customFormat="false" ht="15" hidden="false" customHeight="false" outlineLevel="0" collapsed="false">
      <c r="A73" s="9" t="s">
        <v>526</v>
      </c>
      <c r="B73" s="30" t="n">
        <f aca="false">PL!E40</f>
        <v>16.2993547253712</v>
      </c>
      <c r="C73" s="30" t="n">
        <f aca="false">B73</f>
        <v>16.2993547253712</v>
      </c>
      <c r="D73" s="34" t="n">
        <f aca="false">D67</f>
        <v>11.63</v>
      </c>
      <c r="E73" s="30" t="n">
        <f aca="false">C73*D73</f>
        <v>189.561495456067</v>
      </c>
      <c r="F73" s="35" t="n">
        <f aca="false">E73/px-1</f>
        <v>-0.258076338723809</v>
      </c>
      <c r="G73" s="34" t="n">
        <f aca="false">px/C73</f>
        <v>15.6754671767647</v>
      </c>
    </row>
    <row r="75" customFormat="false" ht="17.15" hidden="false" customHeight="false" outlineLevel="0" collapsed="false">
      <c r="A75" s="6" t="s">
        <v>550</v>
      </c>
    </row>
    <row r="76" customFormat="false" ht="17.15" hidden="false" customHeight="false" outlineLevel="0" collapsed="false">
      <c r="A76" s="14" t="s">
        <v>551</v>
      </c>
      <c r="B76" s="5" t="s">
        <v>552</v>
      </c>
      <c r="C76" s="5" t="s">
        <v>553</v>
      </c>
      <c r="D76" s="5" t="s">
        <v>554</v>
      </c>
      <c r="E76" s="5" t="s">
        <v>555</v>
      </c>
    </row>
    <row r="77" customFormat="false" ht="15" hidden="false" customHeight="false" outlineLevel="0" collapsed="false">
      <c r="A77" s="19" t="n">
        <v>1</v>
      </c>
      <c r="B77" s="20" t="n">
        <f aca="false">px*A77/PL!F14</f>
        <v>8.45101282409093</v>
      </c>
      <c r="C77" s="20" t="n">
        <f aca="false">px*A77/PL!F27</f>
        <v>12.1632688910969</v>
      </c>
      <c r="D77" s="20" t="n">
        <f aca="false">px*A77/PL!F40</f>
        <v>18.6514271677786</v>
      </c>
      <c r="E77" s="20" t="n">
        <f aca="false">pe_mid</f>
        <v>12.12</v>
      </c>
    </row>
    <row r="78" customFormat="false" ht="15" hidden="false" customHeight="false" outlineLevel="0" collapsed="false">
      <c r="A78" s="19" t="n">
        <v>1.1</v>
      </c>
      <c r="B78" s="20" t="n">
        <f aca="false">px*A78/PL!F14</f>
        <v>9.29611410650002</v>
      </c>
      <c r="C78" s="20" t="n">
        <f aca="false">px*A78/PL!F27</f>
        <v>13.3795957802066</v>
      </c>
      <c r="D78" s="20" t="n">
        <f aca="false">px*A78/PL!F40</f>
        <v>20.5165698845565</v>
      </c>
      <c r="E78" s="20" t="n">
        <f aca="false">pe_mid</f>
        <v>12.12</v>
      </c>
    </row>
    <row r="79" customFormat="false" ht="15" hidden="false" customHeight="false" outlineLevel="0" collapsed="false">
      <c r="A79" s="19" t="n">
        <v>1.21</v>
      </c>
      <c r="B79" s="20" t="n">
        <f aca="false">px*A79/PL!F14</f>
        <v>10.22572551715</v>
      </c>
      <c r="C79" s="20" t="n">
        <f aca="false">px*A79/PL!F27</f>
        <v>14.7175553582273</v>
      </c>
      <c r="D79" s="20" t="n">
        <f aca="false">px*A79/PL!F40</f>
        <v>22.5682268730121</v>
      </c>
      <c r="E79" s="20" t="n">
        <f aca="false">pe_mid</f>
        <v>12.12</v>
      </c>
    </row>
    <row r="80" customFormat="false" ht="15" hidden="false" customHeight="false" outlineLevel="0" collapsed="false">
      <c r="A80" s="19" t="n">
        <v>1.5</v>
      </c>
      <c r="B80" s="20" t="n">
        <f aca="false">px*A80/PL!F14</f>
        <v>12.6765192361364</v>
      </c>
      <c r="C80" s="20" t="n">
        <f aca="false">px*A80/PL!F27</f>
        <v>18.2449033366454</v>
      </c>
      <c r="D80" s="20" t="n">
        <f aca="false">px*A80/PL!F40</f>
        <v>27.9771407516679</v>
      </c>
      <c r="E80" s="20" t="n">
        <f aca="false">pe_mid</f>
        <v>12.12</v>
      </c>
    </row>
    <row r="81" customFormat="false" ht="15" hidden="false" customHeight="false" outlineLevel="0" collapsed="false">
      <c r="A81" s="19" t="n">
        <v>2</v>
      </c>
      <c r="B81" s="20" t="n">
        <f aca="false">px*A81/PL!F14</f>
        <v>16.9020256481819</v>
      </c>
      <c r="C81" s="20" t="n">
        <f aca="false">px*A81/PL!F27</f>
        <v>24.3265377821939</v>
      </c>
      <c r="D81" s="20" t="n">
        <f aca="false">px*A81/PL!F40</f>
        <v>37.3028543355572</v>
      </c>
      <c r="E81" s="20" t="n">
        <f aca="false">pe_mid</f>
        <v>12.12</v>
      </c>
    </row>
    <row r="82" customFormat="false" ht="17.15" hidden="false" customHeight="false" outlineLevel="0" collapsed="false">
      <c r="A82" s="4" t="s">
        <v>556</v>
      </c>
    </row>
    <row r="85" customFormat="false" ht="17.15" hidden="false" customHeight="false" outlineLevel="0" collapsed="false">
      <c r="A85" s="6" t="s">
        <v>557</v>
      </c>
    </row>
    <row r="86" customFormat="false" ht="17.15" hidden="false" customHeight="false" outlineLevel="0" collapsed="false">
      <c r="A86" s="4" t="s">
        <v>558</v>
      </c>
    </row>
    <row r="88" customFormat="false" ht="17.15" hidden="false" customHeight="false" outlineLevel="0" collapsed="false">
      <c r="A88" s="6" t="s">
        <v>559</v>
      </c>
    </row>
    <row r="89" customFormat="false" ht="17.15" hidden="false" customHeight="false" outlineLevel="0" collapsed="false">
      <c r="A89" s="5" t="s">
        <v>560</v>
      </c>
      <c r="B89" s="5" t="s">
        <v>561</v>
      </c>
      <c r="C89" s="14" t="s">
        <v>562</v>
      </c>
      <c r="D89" s="5" t="s">
        <v>563</v>
      </c>
    </row>
    <row r="90" customFormat="false" ht="17.15" hidden="false" customHeight="false" outlineLevel="0" collapsed="false">
      <c r="A90" s="0" t="s">
        <v>564</v>
      </c>
      <c r="B90" s="18" t="n">
        <f aca="false">48.6/4.05</f>
        <v>12</v>
      </c>
      <c r="D90" s="4" t="s">
        <v>565</v>
      </c>
    </row>
    <row r="91" customFormat="false" ht="15" hidden="false" customHeight="false" outlineLevel="0" collapsed="false">
      <c r="A91" s="0" t="s">
        <v>566</v>
      </c>
      <c r="B91" s="18" t="n">
        <f aca="false">40.6/1.13</f>
        <v>35.929203539823</v>
      </c>
    </row>
    <row r="92" customFormat="false" ht="15" hidden="false" customHeight="false" outlineLevel="0" collapsed="false">
      <c r="A92" s="0" t="s">
        <v>567</v>
      </c>
      <c r="B92" s="18" t="n">
        <f aca="false">40.6/3.42</f>
        <v>11.8713450292398</v>
      </c>
    </row>
    <row r="93" customFormat="false" ht="15" hidden="false" customHeight="false" outlineLevel="0" collapsed="false">
      <c r="A93" s="0" t="s">
        <v>568</v>
      </c>
      <c r="B93" s="18" t="n">
        <f aca="false">49.35/4.03</f>
        <v>12.2456575682382</v>
      </c>
    </row>
    <row r="94" customFormat="false" ht="15" hidden="false" customHeight="false" outlineLevel="0" collapsed="false">
      <c r="A94" s="0" t="s">
        <v>569</v>
      </c>
      <c r="B94" s="18" t="n">
        <f aca="false">49.8/4.31</f>
        <v>11.554524361949</v>
      </c>
    </row>
    <row r="95" customFormat="false" ht="15" hidden="false" customHeight="false" outlineLevel="0" collapsed="false">
      <c r="A95" s="0" t="s">
        <v>570</v>
      </c>
      <c r="B95" s="18" t="n">
        <f aca="false">63.8/6.01</f>
        <v>10.6156405990017</v>
      </c>
      <c r="C95" s="19" t="n">
        <v>10.89</v>
      </c>
    </row>
    <row r="96" customFormat="false" ht="15" hidden="false" customHeight="false" outlineLevel="0" collapsed="false">
      <c r="A96" s="0" t="s">
        <v>571</v>
      </c>
      <c r="B96" s="18" t="n">
        <f aca="false">63.8/6.19</f>
        <v>10.3069466882068</v>
      </c>
      <c r="C96" s="19" t="n">
        <v>11.39</v>
      </c>
    </row>
    <row r="97" customFormat="false" ht="15" hidden="false" customHeight="false" outlineLevel="0" collapsed="false">
      <c r="A97" s="0" t="s">
        <v>572</v>
      </c>
      <c r="B97" s="18" t="n">
        <f aca="false">117/6.36</f>
        <v>18.3962264150943</v>
      </c>
      <c r="C97" s="19" t="n">
        <v>18.03</v>
      </c>
    </row>
    <row r="98" customFormat="false" ht="15" hidden="false" customHeight="false" outlineLevel="0" collapsed="false">
      <c r="A98" s="0" t="s">
        <v>573</v>
      </c>
      <c r="B98" s="18" t="n">
        <f aca="false">99.5/5.21</f>
        <v>19.0978886756238</v>
      </c>
      <c r="C98" s="19" t="n">
        <v>18.53</v>
      </c>
    </row>
    <row r="99" customFormat="false" ht="15" hidden="false" customHeight="false" outlineLevel="0" collapsed="false">
      <c r="A99" s="0" t="s">
        <v>574</v>
      </c>
      <c r="B99" s="18" t="n">
        <f aca="false">163.5/6.64</f>
        <v>24.6234939759036</v>
      </c>
      <c r="C99" s="19" t="n">
        <v>25.95</v>
      </c>
    </row>
    <row r="100" customFormat="false" ht="17.15" hidden="false" customHeight="false" outlineLevel="0" collapsed="false">
      <c r="A100" s="0" t="s">
        <v>575</v>
      </c>
      <c r="B100" s="18" t="n">
        <f aca="false">PERCENTILE(B90:B99,0.25)</f>
        <v>11.6337295287717</v>
      </c>
      <c r="C100" s="18" t="n">
        <f aca="false">PERCENTILE(C90:C99,0.25)</f>
        <v>11.39</v>
      </c>
    </row>
    <row r="101" customFormat="false" ht="15" hidden="false" customHeight="false" outlineLevel="0" collapsed="false">
      <c r="A101" s="4" t="s">
        <v>576</v>
      </c>
      <c r="B101" s="18" t="n">
        <f aca="false">MEDIAN(B90:B99)</f>
        <v>12.1228287841191</v>
      </c>
      <c r="C101" s="18" t="n">
        <f aca="false">MEDIAN(C90:C99)</f>
        <v>18.03</v>
      </c>
    </row>
    <row r="102" customFormat="false" ht="17.15" hidden="false" customHeight="false" outlineLevel="0" collapsed="false">
      <c r="A102" s="0" t="s">
        <v>577</v>
      </c>
      <c r="B102" s="18" t="n">
        <f aca="false">PERCENTILE(B90:B99,0.75)</f>
        <v>18.9224731104914</v>
      </c>
      <c r="C102" s="18" t="n">
        <f aca="false">PERCENTILE(C90:C99,0.75)</f>
        <v>18.53</v>
      </c>
    </row>
    <row r="103" customFormat="false" ht="15" hidden="false" customHeight="false" outlineLevel="0" collapsed="false">
      <c r="A103" s="4" t="s">
        <v>578</v>
      </c>
      <c r="B103" s="18" t="n">
        <f aca="false">MIN(B90:B99)</f>
        <v>10.3069466882068</v>
      </c>
      <c r="C103" s="18" t="n">
        <f aca="false">MIN(C90:C99)</f>
        <v>10.89</v>
      </c>
    </row>
    <row r="104" customFormat="false" ht="15" hidden="false" customHeight="false" outlineLevel="0" collapsed="false">
      <c r="A104" s="4" t="s">
        <v>579</v>
      </c>
      <c r="B104" s="18" t="n">
        <f aca="false">MAX(B90:B99)</f>
        <v>35.929203539823</v>
      </c>
      <c r="C104" s="18" t="n">
        <f aca="false">MAX(C90:C99)</f>
        <v>25.95</v>
      </c>
    </row>
    <row r="105" customFormat="false" ht="17.15" hidden="false" customHeight="false" outlineLevel="0" collapsed="false">
      <c r="A105" s="1" t="s">
        <v>580</v>
      </c>
      <c r="B105" s="18" t="n">
        <f aca="false">ROUND(AVERAGE(B100),2)</f>
        <v>11.63</v>
      </c>
    </row>
    <row r="106" customFormat="false" ht="17.15" hidden="false" customHeight="false" outlineLevel="0" collapsed="false">
      <c r="A106" s="1" t="s">
        <v>581</v>
      </c>
      <c r="B106" s="18" t="n">
        <f aca="false">ROUND(AVERAGE(B101),2)</f>
        <v>12.12</v>
      </c>
    </row>
    <row r="107" customFormat="false" ht="17.15" hidden="false" customHeight="false" outlineLevel="0" collapsed="false">
      <c r="A107" s="1" t="s">
        <v>582</v>
      </c>
      <c r="B107" s="18" t="n">
        <f aca="false">ROUND(AVERAGE(B102),2)</f>
        <v>18.92</v>
      </c>
    </row>
    <row r="108" customFormat="false" ht="17.15" hidden="false" customHeight="false" outlineLevel="0" collapsed="false">
      <c r="A108" s="1" t="s">
        <v>583</v>
      </c>
      <c r="B108" s="18" t="n">
        <f aca="false">ROUND(MIN(B103),2)</f>
        <v>10.31</v>
      </c>
    </row>
    <row r="109" customFormat="false" ht="17.15" hidden="false" customHeight="false" outlineLevel="0" collapsed="false">
      <c r="A109" s="1" t="s">
        <v>584</v>
      </c>
      <c r="B109" s="18" t="n">
        <f aca="false">ROUND(MAX(B104),2)</f>
        <v>35.93</v>
      </c>
    </row>
    <row r="111" customFormat="false" ht="17.15" hidden="false" customHeight="false" outlineLevel="0" collapsed="false">
      <c r="A111" s="6" t="s">
        <v>585</v>
      </c>
    </row>
    <row r="112" customFormat="false" ht="17.15" hidden="false" customHeight="false" outlineLevel="0" collapsed="false">
      <c r="A112" s="5" t="s">
        <v>586</v>
      </c>
      <c r="B112" s="5" t="s">
        <v>587</v>
      </c>
      <c r="C112" s="5" t="s">
        <v>588</v>
      </c>
      <c r="D112" s="5" t="s">
        <v>21</v>
      </c>
      <c r="E112" s="5" t="s">
        <v>589</v>
      </c>
      <c r="F112" s="5" t="s">
        <v>547</v>
      </c>
      <c r="G112" s="5" t="s">
        <v>590</v>
      </c>
      <c r="H112" s="5" t="s">
        <v>591</v>
      </c>
    </row>
    <row r="113" customFormat="false" ht="17.15" hidden="false" customHeight="false" outlineLevel="0" collapsed="false">
      <c r="A113" s="4" t="s">
        <v>592</v>
      </c>
      <c r="B113" s="0" t="s">
        <v>593</v>
      </c>
      <c r="C113" s="18" t="n">
        <f aca="false">B105</f>
        <v>11.63</v>
      </c>
      <c r="D113" s="8" t="s">
        <v>594</v>
      </c>
      <c r="E113" s="18" t="n">
        <f aca="false">C72</f>
        <v>18.7423169487593</v>
      </c>
      <c r="F113" s="22" t="n">
        <f aca="false">C113*E113</f>
        <v>217.97314611407</v>
      </c>
      <c r="G113" s="17" t="n">
        <f aca="false">F113/px-1</f>
        <v>-0.146876140453736</v>
      </c>
      <c r="H113" s="18" t="n">
        <f aca="false">px/E113</f>
        <v>13.6322526557696</v>
      </c>
    </row>
    <row r="114" customFormat="false" ht="17.15" hidden="false" customHeight="false" outlineLevel="0" collapsed="false">
      <c r="A114" s="4" t="s">
        <v>595</v>
      </c>
      <c r="B114" s="4" t="s">
        <v>596</v>
      </c>
      <c r="C114" s="18" t="n">
        <f aca="false">B106</f>
        <v>12.12</v>
      </c>
      <c r="D114" s="8" t="s">
        <v>594</v>
      </c>
      <c r="E114" s="18" t="n">
        <f aca="false">C72</f>
        <v>18.7423169487593</v>
      </c>
      <c r="F114" s="22" t="n">
        <f aca="false">C114*E114</f>
        <v>227.156881418962</v>
      </c>
      <c r="G114" s="17" t="n">
        <f aca="false">F114/px-1</f>
        <v>-0.110931970962965</v>
      </c>
      <c r="H114" s="18" t="n">
        <f aca="false">px/E114</f>
        <v>13.6322526557696</v>
      </c>
    </row>
    <row r="115" customFormat="false" ht="17.15" hidden="false" customHeight="false" outlineLevel="0" collapsed="false">
      <c r="A115" s="4" t="s">
        <v>597</v>
      </c>
      <c r="B115" s="0" t="s">
        <v>598</v>
      </c>
      <c r="C115" s="18" t="n">
        <f aca="false">B107</f>
        <v>18.92</v>
      </c>
      <c r="D115" s="8" t="s">
        <v>594</v>
      </c>
      <c r="E115" s="18" t="n">
        <f aca="false">C72</f>
        <v>18.7423169487593</v>
      </c>
      <c r="F115" s="22" t="n">
        <f aca="false">C115*E115</f>
        <v>354.604636670526</v>
      </c>
      <c r="G115" s="17" t="n">
        <f aca="false">F115/px-1</f>
        <v>0.387885075031411</v>
      </c>
      <c r="H115" s="18" t="n">
        <f aca="false">px/E115</f>
        <v>13.6322526557696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599</v>
      </c>
    </row>
    <row r="3" customFormat="false" ht="17.15" hidden="false" customHeight="false" outlineLevel="0" collapsed="false">
      <c r="A3" s="5" t="s">
        <v>18</v>
      </c>
      <c r="B3" s="5" t="s">
        <v>600</v>
      </c>
      <c r="C3" s="5" t="s">
        <v>601</v>
      </c>
      <c r="D3" s="5" t="s">
        <v>602</v>
      </c>
      <c r="E3" s="5" t="s">
        <v>603</v>
      </c>
      <c r="F3" s="5" t="s">
        <v>604</v>
      </c>
      <c r="G3" s="5" t="s">
        <v>605</v>
      </c>
      <c r="H3" s="5" t="s">
        <v>606</v>
      </c>
      <c r="I3" s="5" t="s">
        <v>607</v>
      </c>
      <c r="J3" s="5" t="s">
        <v>380</v>
      </c>
    </row>
    <row r="4" customFormat="false" ht="17.15" hidden="false" customHeight="false" outlineLevel="0" collapsed="false">
      <c r="A4" s="6" t="s">
        <v>608</v>
      </c>
    </row>
    <row r="5" customFormat="false" ht="17.15" hidden="false" customHeight="false" outlineLevel="0" collapsed="false">
      <c r="A5" s="0" t="s">
        <v>609</v>
      </c>
      <c r="B5" s="22" t="n">
        <f aca="false">cons_rev26</f>
        <v>219.778</v>
      </c>
      <c r="C5" s="22" t="n">
        <f aca="false">PL!D76</f>
        <v>212.73147</v>
      </c>
      <c r="D5" s="17" t="n">
        <f aca="false">C5/B5-1</f>
        <v>-0.0320620353265567</v>
      </c>
      <c r="E5" s="22" t="n">
        <f aca="false">PL!D114</f>
        <v>212.73147</v>
      </c>
      <c r="F5" s="17" t="n">
        <f aca="false">E5/B5-1</f>
        <v>-0.0320620353265567</v>
      </c>
      <c r="G5" s="22" t="n">
        <f aca="false">PL!D152</f>
        <v>212.73147</v>
      </c>
      <c r="H5" s="17" t="n">
        <f aca="false">G5/B5-1</f>
        <v>-0.0320620353265567</v>
      </c>
      <c r="I5" s="8" t="s">
        <v>610</v>
      </c>
      <c r="J5" s="8" t="s">
        <v>611</v>
      </c>
    </row>
    <row r="6" customFormat="false" ht="17.15" hidden="false" customHeight="false" outlineLevel="0" collapsed="false">
      <c r="A6" s="0" t="s">
        <v>612</v>
      </c>
      <c r="B6" s="23" t="n">
        <f aca="false">cons_eps26</f>
        <v>10.81</v>
      </c>
      <c r="C6" s="23" t="n">
        <f aca="false">PL!D93</f>
        <v>10.9452614149641</v>
      </c>
      <c r="D6" s="17" t="n">
        <f aca="false">C6/B6-1</f>
        <v>0.0125126193306282</v>
      </c>
      <c r="E6" s="23" t="n">
        <f aca="false">PL!D131</f>
        <v>10.9452614149641</v>
      </c>
      <c r="F6" s="17" t="n">
        <f aca="false">E6/B6-1</f>
        <v>0.0125126193306282</v>
      </c>
      <c r="G6" s="23" t="n">
        <f aca="false">PL!D169</f>
        <v>10.9452614149641</v>
      </c>
      <c r="H6" s="17" t="n">
        <f aca="false">G6/B6-1</f>
        <v>0.0125126193306282</v>
      </c>
      <c r="I6" s="8" t="s">
        <v>613</v>
      </c>
      <c r="J6" s="8" t="s">
        <v>614</v>
      </c>
    </row>
    <row r="7" customFormat="false" ht="17.15" hidden="false" customHeight="false" outlineLevel="0" collapsed="false">
      <c r="A7" s="0" t="s">
        <v>615</v>
      </c>
      <c r="B7" s="22" t="n">
        <f aca="false">cons_rev27</f>
        <v>292.383</v>
      </c>
      <c r="C7" s="22" t="n">
        <f aca="false">PL!E76</f>
        <v>323.33501608289</v>
      </c>
      <c r="D7" s="17" t="n">
        <f aca="false">C7/B7-1</f>
        <v>0.105861202884197</v>
      </c>
      <c r="E7" s="22" t="n">
        <f aca="false">PL!E114</f>
        <v>307.685310596173</v>
      </c>
      <c r="F7" s="17" t="n">
        <f aca="false">E7/B7-1</f>
        <v>0.0523365263923441</v>
      </c>
      <c r="G7" s="22" t="n">
        <f aca="false">PL!E152</f>
        <v>284.210752366097</v>
      </c>
      <c r="H7" s="17" t="n">
        <f aca="false">G7/B7-1</f>
        <v>-0.0279504883454345</v>
      </c>
      <c r="I7" s="8" t="s">
        <v>613</v>
      </c>
    </row>
    <row r="8" customFormat="false" ht="17.15" hidden="false" customHeight="false" outlineLevel="0" collapsed="false">
      <c r="A8" s="0" t="s">
        <v>616</v>
      </c>
      <c r="B8" s="23" t="n">
        <f aca="false">cons_eps27</f>
        <v>14.99</v>
      </c>
      <c r="C8" s="23" t="n">
        <f aca="false">PL!E93</f>
        <v>20.6505293335518</v>
      </c>
      <c r="D8" s="17" t="n">
        <f aca="false">C8/B8-1</f>
        <v>0.377620369149555</v>
      </c>
      <c r="E8" s="23" t="n">
        <f aca="false">PL!E131</f>
        <v>18.7423169487593</v>
      </c>
      <c r="F8" s="17" t="n">
        <f aca="false">E8/B8-1</f>
        <v>0.250321344146716</v>
      </c>
      <c r="G8" s="23" t="n">
        <f aca="false">PL!E169</f>
        <v>16.2993547253712</v>
      </c>
      <c r="H8" s="17" t="n">
        <f aca="false">G8/B8-1</f>
        <v>0.0873485473896711</v>
      </c>
      <c r="I8" s="8" t="s">
        <v>613</v>
      </c>
      <c r="J8" s="4" t="s">
        <v>617</v>
      </c>
    </row>
    <row r="9" customFormat="false" ht="17.15" hidden="false" customHeight="false" outlineLevel="0" collapsed="false">
      <c r="A9" s="0" t="s">
        <v>618</v>
      </c>
      <c r="B9" s="22" t="n">
        <f aca="false">cons_rev28</f>
        <v>366.11</v>
      </c>
      <c r="C9" s="22" t="n">
        <f aca="false">PL!F76</f>
        <v>425.518376444558</v>
      </c>
      <c r="D9" s="17" t="n">
        <f aca="false">C9/B9-1</f>
        <v>0.162269198996361</v>
      </c>
      <c r="E9" s="22" t="n">
        <f aca="false">PL!F114</f>
        <v>335.586885429995</v>
      </c>
      <c r="F9" s="17" t="n">
        <f aca="false">E9/B9-1</f>
        <v>-0.0833714309087569</v>
      </c>
      <c r="G9" s="22" t="n">
        <f aca="false">PL!F152</f>
        <v>263.641692618345</v>
      </c>
      <c r="H9" s="17" t="n">
        <f aca="false">G9/B9-1</f>
        <v>-0.279883934832851</v>
      </c>
      <c r="I9" s="8" t="s">
        <v>613</v>
      </c>
    </row>
    <row r="10" customFormat="false" ht="17.15" hidden="false" customHeight="false" outlineLevel="0" collapsed="false">
      <c r="A10" s="0" t="s">
        <v>619</v>
      </c>
      <c r="B10" s="23" t="n">
        <f aca="false">cons_eps28</f>
        <v>20.74</v>
      </c>
      <c r="C10" s="23" t="n">
        <f aca="false">PL!F93</f>
        <v>30.2330626302752</v>
      </c>
      <c r="D10" s="17" t="n">
        <f aca="false">C10/B10-1</f>
        <v>0.457717581016162</v>
      </c>
      <c r="E10" s="23" t="n">
        <f aca="false">PL!F131</f>
        <v>21.0058662919979</v>
      </c>
      <c r="F10" s="17" t="n">
        <f aca="false">E10/B10-1</f>
        <v>0.0128190111860143</v>
      </c>
      <c r="G10" s="23" t="n">
        <f aca="false">PL!F169</f>
        <v>13.6986836289606</v>
      </c>
      <c r="H10" s="17" t="n">
        <f aca="false">G10/B10-1</f>
        <v>-0.339504164466702</v>
      </c>
      <c r="I10" s="8" t="s">
        <v>613</v>
      </c>
    </row>
    <row r="11" customFormat="false" ht="17.15" hidden="false" customHeight="false" outlineLevel="0" collapsed="false">
      <c r="A11" s="6" t="s">
        <v>620</v>
      </c>
    </row>
    <row r="12" customFormat="false" ht="17.15" hidden="false" customHeight="false" outlineLevel="0" collapsed="false">
      <c r="A12" s="0" t="s">
        <v>621</v>
      </c>
      <c r="B12" s="22" t="n">
        <f aca="false">d_pmk26</f>
        <v>10.5297921189288</v>
      </c>
      <c r="C12" s="22" t="n">
        <f aca="false">PL!D67</f>
        <v>10.5297921189288</v>
      </c>
      <c r="D12" s="17" t="n">
        <f aca="false">C12/B12-1</f>
        <v>-3.5527136788005E-015</v>
      </c>
      <c r="E12" s="22" t="n">
        <f aca="false">PL!D105</f>
        <v>10.5297921189288</v>
      </c>
      <c r="F12" s="17" t="n">
        <f aca="false">E12/B12-1</f>
        <v>-3.5527136788005E-015</v>
      </c>
      <c r="G12" s="22" t="n">
        <f aca="false">PL!D143</f>
        <v>10.5297921189288</v>
      </c>
      <c r="H12" s="17" t="n">
        <f aca="false">G12/B12-1</f>
        <v>-3.5527136788005E-015</v>
      </c>
      <c r="I12" s="8" t="s">
        <v>622</v>
      </c>
      <c r="J12" s="4" t="s">
        <v>623</v>
      </c>
    </row>
    <row r="13" customFormat="false" ht="17.15" hidden="false" customHeight="false" outlineLevel="0" collapsed="false">
      <c r="A13" s="0" t="s">
        <v>624</v>
      </c>
      <c r="B13" s="22" t="n">
        <f aca="false">d_pmk27</f>
        <v>24.9880594956382</v>
      </c>
      <c r="C13" s="22" t="n">
        <f aca="false">PL!E67</f>
        <v>24.9880594956382</v>
      </c>
      <c r="D13" s="17" t="n">
        <f aca="false">C13/B13-1</f>
        <v>0</v>
      </c>
      <c r="E13" s="22" t="n">
        <f aca="false">PL!E105</f>
        <v>24.9880594956382</v>
      </c>
      <c r="F13" s="17" t="n">
        <f aca="false">E13/B13-1</f>
        <v>0</v>
      </c>
      <c r="G13" s="22" t="n">
        <f aca="false">PL!E143</f>
        <v>24.9880594956382</v>
      </c>
      <c r="H13" s="17" t="n">
        <f aca="false">G13/B13-1</f>
        <v>0</v>
      </c>
      <c r="I13" s="4" t="s">
        <v>35</v>
      </c>
    </row>
    <row r="14" customFormat="false" ht="17.15" hidden="false" customHeight="false" outlineLevel="0" collapsed="false">
      <c r="A14" s="0" t="s">
        <v>625</v>
      </c>
      <c r="B14" s="22" t="n">
        <f aca="false">d_pmk28</f>
        <v>35.8986539700486</v>
      </c>
      <c r="C14" s="22" t="n">
        <f aca="false">PL!F67</f>
        <v>35.8986539700486</v>
      </c>
      <c r="D14" s="17" t="n">
        <f aca="false">C14/B14-1</f>
        <v>0</v>
      </c>
      <c r="E14" s="22" t="n">
        <f aca="false">PL!F105</f>
        <v>28.7189231760389</v>
      </c>
      <c r="F14" s="17" t="n">
        <f aca="false">E14/B14-1</f>
        <v>-0.199999999999999</v>
      </c>
      <c r="G14" s="22" t="n">
        <f aca="false">PL!F143</f>
        <v>21.5391923820292</v>
      </c>
      <c r="H14" s="17" t="n">
        <f aca="false">G14/B14-1</f>
        <v>-0.399999999999999</v>
      </c>
      <c r="I14" s="4" t="s">
        <v>35</v>
      </c>
      <c r="J14" s="4" t="s">
        <v>626</v>
      </c>
    </row>
    <row r="15" customFormat="false" ht="17.15" hidden="false" customHeight="false" outlineLevel="0" collapsed="false">
      <c r="A15" s="0" t="s">
        <v>627</v>
      </c>
      <c r="C15" s="17" t="n">
        <f aca="false">PL!D71+d_sh26</f>
        <v>0.759815255723818</v>
      </c>
      <c r="E15" s="17" t="n">
        <f aca="false">PL!D109+d_sh26</f>
        <v>0.759815255723818</v>
      </c>
      <c r="G15" s="17" t="n">
        <f aca="false">PL!D147+d_sh26</f>
        <v>0.759815255723818</v>
      </c>
      <c r="I15" s="4" t="s">
        <v>628</v>
      </c>
      <c r="J15" s="4" t="s">
        <v>395</v>
      </c>
    </row>
    <row r="16" customFormat="false" ht="17.15" hidden="false" customHeight="false" outlineLevel="0" collapsed="false">
      <c r="A16" s="0" t="s">
        <v>629</v>
      </c>
      <c r="C16" s="17" t="n">
        <f aca="false">PL!E71+d_sh27</f>
        <v>0.748245990386684</v>
      </c>
      <c r="E16" s="17" t="n">
        <f aca="false">PL!E109+d_sh27</f>
        <v>0.73063165875398</v>
      </c>
      <c r="G16" s="17" t="n">
        <f aca="false">PL!E147+d_sh27</f>
        <v>0.704210161304923</v>
      </c>
      <c r="I16" s="4" t="s">
        <v>628</v>
      </c>
      <c r="J16" s="8" t="s">
        <v>52</v>
      </c>
    </row>
    <row r="17" customFormat="false" ht="17.15" hidden="false" customHeight="false" outlineLevel="0" collapsed="false">
      <c r="A17" s="0" t="s">
        <v>630</v>
      </c>
      <c r="C17" s="17" t="n">
        <f aca="false">PL!F71+d_sh28</f>
        <v>0.73667672504955</v>
      </c>
      <c r="E17" s="17" t="n">
        <f aca="false">PL!F109+d_sh28</f>
        <v>0.701448061784141</v>
      </c>
      <c r="G17" s="17" t="n">
        <f aca="false">PL!F147+d_sh28</f>
        <v>0.666219398518732</v>
      </c>
      <c r="I17" s="4" t="s">
        <v>628</v>
      </c>
      <c r="J17" s="8" t="s">
        <v>52</v>
      </c>
    </row>
    <row r="18" customFormat="false" ht="17.15" hidden="false" customHeight="false" outlineLevel="0" collapsed="false">
      <c r="A18" s="0" t="s">
        <v>631</v>
      </c>
      <c r="C18" s="17" t="n">
        <f aca="false">PL!G71+d_sh29</f>
        <v>0.716300293896064</v>
      </c>
      <c r="E18" s="17" t="n">
        <f aca="false">PL!G109+d_sh29</f>
        <v>0.672264464814303</v>
      </c>
      <c r="G18" s="17" t="n">
        <f aca="false">PL!G147+d_sh29</f>
        <v>0.628228635732541</v>
      </c>
      <c r="I18" s="4" t="s">
        <v>628</v>
      </c>
      <c r="J18" s="8" t="s">
        <v>52</v>
      </c>
    </row>
    <row r="19" customFormat="false" ht="17.15" hidden="false" customHeight="false" outlineLevel="0" collapsed="false">
      <c r="A19" s="0" t="s">
        <v>632</v>
      </c>
      <c r="B19" s="17" t="n">
        <f aca="false">kgi_dsh</f>
        <v>0.625</v>
      </c>
      <c r="C19" s="17" t="n">
        <f aca="false">d_sh26</f>
        <v>0.583671939396772</v>
      </c>
      <c r="D19" s="17" t="n">
        <f aca="false">C19-B19</f>
        <v>-0.041328060603228</v>
      </c>
      <c r="E19" s="17" t="n">
        <f aca="false">d_sh26</f>
        <v>0.583671939396772</v>
      </c>
      <c r="F19" s="17" t="n">
        <f aca="false">E19-B19</f>
        <v>-0.041328060603228</v>
      </c>
      <c r="G19" s="17" t="n">
        <f aca="false">d_sh26</f>
        <v>0.583671939396772</v>
      </c>
      <c r="H19" s="17" t="n">
        <f aca="false">G19-B19</f>
        <v>-0.041328060603228</v>
      </c>
      <c r="I19" s="4" t="s">
        <v>633</v>
      </c>
      <c r="J19" s="4" t="s">
        <v>634</v>
      </c>
    </row>
    <row r="20" customFormat="false" ht="17.15" hidden="false" customHeight="false" outlineLevel="0" collapsed="false">
      <c r="A20" s="0" t="s">
        <v>635</v>
      </c>
      <c r="C20" s="18" t="n">
        <f aca="false">PL!E71/d_sh27</f>
        <v>0.349435025291414</v>
      </c>
      <c r="E20" s="18" t="n">
        <f aca="false">PL!E109/d_sh27</f>
        <v>0.317668204810377</v>
      </c>
      <c r="G20" s="18" t="n">
        <f aca="false">PL!E147/d_sh27</f>
        <v>0.27001797408882</v>
      </c>
      <c r="I20" s="4" t="s">
        <v>636</v>
      </c>
      <c r="J20" s="4" t="s">
        <v>637</v>
      </c>
    </row>
    <row r="21" customFormat="false" ht="17.15" hidden="false" customHeight="false" outlineLevel="0" collapsed="false">
      <c r="A21" s="0" t="s">
        <v>638</v>
      </c>
      <c r="C21" s="21" t="n">
        <f aca="false">PL!E79</f>
        <v>129.1717653065</v>
      </c>
      <c r="E21" s="21" t="n">
        <f aca="false">PL!E117</f>
        <v>117.428877551364</v>
      </c>
      <c r="G21" s="21" t="n">
        <f aca="false">PL!E155</f>
        <v>99.8145459186591</v>
      </c>
      <c r="I21" s="8" t="s">
        <v>52</v>
      </c>
      <c r="J21" s="4" t="s">
        <v>639</v>
      </c>
    </row>
    <row r="22" customFormat="false" ht="17.15" hidden="false" customHeight="false" outlineLevel="0" collapsed="false">
      <c r="A22" s="6" t="s">
        <v>640</v>
      </c>
    </row>
    <row r="23" customFormat="false" ht="17.15" hidden="false" customHeight="false" outlineLevel="0" collapsed="false">
      <c r="A23" s="4" t="s">
        <v>641</v>
      </c>
      <c r="C23" s="17" t="n">
        <f aca="false">PL!D81</f>
        <v>0.216982337009188</v>
      </c>
      <c r="E23" s="17" t="n">
        <f aca="false">PL!D119</f>
        <v>0.216982337009188</v>
      </c>
      <c r="G23" s="17" t="n">
        <f aca="false">PL!D157</f>
        <v>0.216982337009188</v>
      </c>
      <c r="I23" s="8" t="s">
        <v>642</v>
      </c>
      <c r="J23" s="8" t="s">
        <v>643</v>
      </c>
    </row>
    <row r="24" customFormat="false" ht="17.15" hidden="false" customHeight="false" outlineLevel="0" collapsed="false">
      <c r="A24" s="0" t="s">
        <v>644</v>
      </c>
      <c r="B24" s="17" t="n">
        <f aca="false">a26_gp/a26_rev</f>
        <v>0.254182337009188</v>
      </c>
      <c r="C24" s="17" t="n">
        <f aca="false">PL!E84</f>
        <v>0.286195622712425</v>
      </c>
      <c r="D24" s="17" t="n">
        <f aca="false">C24-B24</f>
        <v>0.0320132857032367</v>
      </c>
      <c r="E24" s="17" t="n">
        <f aca="false">PL!E122</f>
        <v>0.278017576383058</v>
      </c>
      <c r="F24" s="17" t="n">
        <f aca="false">E24-B24</f>
        <v>0.0238352393738693</v>
      </c>
      <c r="G24" s="17" t="n">
        <f aca="false">PL!E160</f>
        <v>0.268466929017981</v>
      </c>
      <c r="H24" s="17" t="n">
        <f aca="false">G24-B24</f>
        <v>0.0142845920087932</v>
      </c>
      <c r="I24" s="4" t="s">
        <v>645</v>
      </c>
      <c r="J24" s="8" t="s">
        <v>646</v>
      </c>
    </row>
    <row r="25" customFormat="false" ht="17.15" hidden="false" customHeight="false" outlineLevel="0" collapsed="false">
      <c r="A25" s="0" t="s">
        <v>647</v>
      </c>
      <c r="B25" s="17" t="n">
        <f aca="false">8.203/52.703</f>
        <v>0.155645788664782</v>
      </c>
      <c r="C25" s="17" t="n">
        <f aca="false">PL!E88</f>
        <v>0.179849269988068</v>
      </c>
      <c r="D25" s="17" t="n">
        <f aca="false">C25-B25</f>
        <v>0.024203481323286</v>
      </c>
      <c r="E25" s="17" t="n">
        <f aca="false">PL!E126</f>
        <v>0.170481498867934</v>
      </c>
      <c r="F25" s="17" t="n">
        <f aca="false">E25-B25</f>
        <v>0.0148357102031526</v>
      </c>
      <c r="G25" s="17" t="n">
        <f aca="false">PL!E164</f>
        <v>0.158900599227985</v>
      </c>
      <c r="H25" s="17" t="n">
        <f aca="false">G25-B25</f>
        <v>0.00325481056320284</v>
      </c>
      <c r="I25" s="8" t="s">
        <v>648</v>
      </c>
    </row>
    <row r="26" customFormat="false" ht="17.15" hidden="false" customHeight="false" outlineLevel="0" collapsed="false">
      <c r="A26" s="0" t="s">
        <v>649</v>
      </c>
      <c r="C26" s="18" t="n">
        <f aca="false">Q!E15</f>
        <v>3.11358730576668</v>
      </c>
      <c r="E26" s="18" t="n">
        <f aca="false">Q!E15</f>
        <v>3.11358730576668</v>
      </c>
      <c r="G26" s="18" t="n">
        <f aca="false">Q!E15</f>
        <v>3.11358730576668</v>
      </c>
      <c r="I26" s="8" t="s">
        <v>52</v>
      </c>
      <c r="J26" s="8" t="s">
        <v>650</v>
      </c>
    </row>
    <row r="27" customFormat="false" ht="17.15" hidden="false" customHeight="false" outlineLevel="0" collapsed="false">
      <c r="A27" s="6" t="s">
        <v>651</v>
      </c>
    </row>
    <row r="28" customFormat="false" ht="17.15" hidden="false" customHeight="false" outlineLevel="0" collapsed="false">
      <c r="A28" s="0" t="s">
        <v>652</v>
      </c>
      <c r="J28" s="4" t="s">
        <v>653</v>
      </c>
    </row>
    <row r="29" customFormat="false" ht="17.15" hidden="false" customHeight="false" outlineLevel="0" collapsed="false">
      <c r="A29" s="6" t="s">
        <v>654</v>
      </c>
    </row>
    <row r="30" customFormat="false" ht="17.15" hidden="false" customHeight="false" outlineLevel="0" collapsed="false">
      <c r="A30" s="0" t="s">
        <v>655</v>
      </c>
      <c r="B30" s="18" t="n">
        <f aca="false">cons_feps</f>
        <v>12.9695431472081</v>
      </c>
      <c r="C30" s="18" t="n">
        <f aca="false">Val!B35</f>
        <v>21.7315219206479</v>
      </c>
      <c r="D30" s="17" t="n">
        <f aca="false">C30/B30-1</f>
        <v>0.675581142218257</v>
      </c>
      <c r="I30" s="8" t="s">
        <v>656</v>
      </c>
      <c r="J30" s="4" t="s">
        <v>657</v>
      </c>
    </row>
    <row r="31" customFormat="false" ht="17.15" hidden="false" customHeight="false" outlineLevel="0" collapsed="false">
      <c r="A31" s="4" t="s">
        <v>658</v>
      </c>
      <c r="B31" s="18" t="n">
        <f aca="false">cons_tp</f>
        <v>314.25</v>
      </c>
      <c r="C31" s="18" t="n">
        <f aca="false">Val!B40</f>
        <v>423.952672244219</v>
      </c>
      <c r="D31" s="17" t="n">
        <f aca="false">C31/B31-1</f>
        <v>0.349093626871022</v>
      </c>
      <c r="I31" s="8" t="s">
        <v>659</v>
      </c>
      <c r="J31" s="4" t="s">
        <v>657</v>
      </c>
    </row>
    <row r="32" customFormat="false" ht="17.15" hidden="false" customHeight="false" outlineLevel="0" collapsed="false">
      <c r="A32" s="0" t="s">
        <v>660</v>
      </c>
      <c r="B32" s="18" t="n">
        <f aca="false">cons_tp</f>
        <v>314.25</v>
      </c>
      <c r="C32" s="18" t="n">
        <f aca="false">Val!B36</f>
        <v>529.162558767778</v>
      </c>
      <c r="D32" s="17" t="n">
        <f aca="false">C32/B32-1</f>
        <v>0.68389040180677</v>
      </c>
      <c r="I32" s="4" t="s">
        <v>35</v>
      </c>
      <c r="J32" s="4" t="s">
        <v>657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661</v>
      </c>
    </row>
    <row r="3" customFormat="false" ht="17.15" hidden="false" customHeight="false" outlineLevel="0" collapsed="false">
      <c r="A3" s="5" t="s">
        <v>662</v>
      </c>
      <c r="B3" s="5" t="s">
        <v>663</v>
      </c>
      <c r="C3" s="14" t="s">
        <v>664</v>
      </c>
      <c r="D3" s="14" t="s">
        <v>665</v>
      </c>
      <c r="E3" s="14" t="s">
        <v>666</v>
      </c>
      <c r="F3" s="14" t="s">
        <v>544</v>
      </c>
      <c r="G3" s="14" t="s">
        <v>667</v>
      </c>
      <c r="H3" s="14" t="s">
        <v>668</v>
      </c>
      <c r="I3" s="14" t="s">
        <v>669</v>
      </c>
      <c r="J3" s="14" t="s">
        <v>670</v>
      </c>
      <c r="K3" s="14" t="s">
        <v>671</v>
      </c>
      <c r="L3" s="14" t="s">
        <v>672</v>
      </c>
    </row>
    <row r="4" customFormat="false" ht="17.15" hidden="false" customHeight="false" outlineLevel="0" collapsed="false">
      <c r="A4" s="4" t="s">
        <v>673</v>
      </c>
      <c r="B4" s="0" t="s">
        <v>674</v>
      </c>
      <c r="C4" s="22" t="n">
        <f aca="false">PL!E114</f>
        <v>307.685310596173</v>
      </c>
      <c r="D4" s="22" t="n">
        <f aca="false">PL!E111</f>
        <v>156.497054867173</v>
      </c>
      <c r="E4" s="17" t="n">
        <f aca="false">PL!E122</f>
        <v>0.278017576383058</v>
      </c>
      <c r="F4" s="18" t="n">
        <f aca="false">PL!E131</f>
        <v>18.7423169487593</v>
      </c>
      <c r="G4" s="17" t="n">
        <f aca="false">F4/F$4-1</f>
        <v>0</v>
      </c>
      <c r="H4" s="22" t="n">
        <f aca="false">PL!F114</f>
        <v>335.586885429995</v>
      </c>
      <c r="I4" s="22" t="n">
        <f aca="false">PL!F111</f>
        <v>179.862982029125</v>
      </c>
      <c r="J4" s="17" t="n">
        <f aca="false">PL!F122</f>
        <v>0.281298193142361</v>
      </c>
      <c r="K4" s="18" t="n">
        <f aca="false">PL!F131</f>
        <v>21.0058662919979</v>
      </c>
      <c r="L4" s="17" t="n">
        <f aca="false">K4/K$4-1</f>
        <v>0</v>
      </c>
    </row>
    <row r="5" customFormat="false" ht="17.15" hidden="false" customHeight="false" outlineLevel="0" collapsed="false">
      <c r="A5" s="4" t="s">
        <v>675</v>
      </c>
      <c r="B5" s="4" t="s">
        <v>676</v>
      </c>
      <c r="C5" s="22" t="n">
        <f aca="false">E66</f>
        <v>284.210752366097</v>
      </c>
      <c r="D5" s="22" t="n">
        <f aca="false">E63</f>
        <v>133.022496637097</v>
      </c>
      <c r="E5" s="17" t="n">
        <f aca="false">E74</f>
        <v>0.273147346473326</v>
      </c>
      <c r="F5" s="18" t="n">
        <f aca="false">E83</f>
        <v>16.7449208512844</v>
      </c>
      <c r="G5" s="17" t="n">
        <f aca="false">F5/F$4-1</f>
        <v>-0.106571460878377</v>
      </c>
      <c r="H5" s="22" t="n">
        <f aca="false">F66</f>
        <v>299.61428902417</v>
      </c>
      <c r="I5" s="22" t="n">
        <f aca="false">F63</f>
        <v>143.8903856233</v>
      </c>
      <c r="J5" s="17" t="n">
        <f aca="false">F74</f>
        <v>0.274612586657939</v>
      </c>
      <c r="K5" s="18" t="n">
        <f aca="false">F83</f>
        <v>17.9055568803382</v>
      </c>
      <c r="L5" s="17" t="n">
        <f aca="false">K5/K$4-1</f>
        <v>-0.147592551935873</v>
      </c>
    </row>
    <row r="6" customFormat="false" ht="17.15" hidden="false" customHeight="false" outlineLevel="0" collapsed="false">
      <c r="A6" s="4" t="s">
        <v>677</v>
      </c>
      <c r="B6" s="4" t="s">
        <v>678</v>
      </c>
      <c r="C6" s="22" t="n">
        <f aca="false">E104</f>
        <v>323.33501608289</v>
      </c>
      <c r="D6" s="22" t="n">
        <f aca="false">E101</f>
        <v>172.14676035389</v>
      </c>
      <c r="E6" s="17" t="n">
        <f aca="false">E112</f>
        <v>0.280871523812176</v>
      </c>
      <c r="F6" s="18" t="n">
        <f aca="false">E121</f>
        <v>20.0739143470758</v>
      </c>
      <c r="G6" s="17" t="n">
        <f aca="false">F6/F$4-1</f>
        <v>0.0710476405855849</v>
      </c>
      <c r="H6" s="22" t="n">
        <f aca="false">F104</f>
        <v>371.55948183582</v>
      </c>
      <c r="I6" s="22" t="n">
        <f aca="false">F101</f>
        <v>215.83557843495</v>
      </c>
      <c r="J6" s="17" t="n">
        <f aca="false">F112</f>
        <v>0.28668926329788</v>
      </c>
      <c r="K6" s="18" t="n">
        <f aca="false">F121</f>
        <v>24.1324251230069</v>
      </c>
      <c r="L6" s="17" t="n">
        <f aca="false">K6/K$4-1</f>
        <v>0.148842175207029</v>
      </c>
    </row>
    <row r="7" customFormat="false" ht="17.15" hidden="false" customHeight="false" outlineLevel="0" collapsed="false">
      <c r="A7" s="4" t="s">
        <v>679</v>
      </c>
      <c r="B7" s="4" t="s">
        <v>680</v>
      </c>
      <c r="C7" s="22" t="n">
        <f aca="false">E142</f>
        <v>305.626138821605</v>
      </c>
      <c r="D7" s="22" t="n">
        <f aca="false">E139</f>
        <v>154.437883092605</v>
      </c>
      <c r="E7" s="17" t="n">
        <f aca="false">E150</f>
        <v>0.277620298286218</v>
      </c>
      <c r="F7" s="18" t="n">
        <f aca="false">E159</f>
        <v>18.5671067647703</v>
      </c>
      <c r="G7" s="17" t="n">
        <f aca="false">F7/F$4-1</f>
        <v>-0.00934837376126119</v>
      </c>
      <c r="H7" s="22" t="n">
        <f aca="false">F142</f>
        <v>327.999785955856</v>
      </c>
      <c r="I7" s="22" t="n">
        <f aca="false">F139</f>
        <v>172.275882554986</v>
      </c>
      <c r="J7" s="17" t="n">
        <f aca="false">F150</f>
        <v>0.28001014004983</v>
      </c>
      <c r="K7" s="18" t="n">
        <f aca="false">F159</f>
        <v>20.3452079644403</v>
      </c>
      <c r="L7" s="17" t="n">
        <f aca="false">K7/K$4-1</f>
        <v>-0.0314511345723139</v>
      </c>
    </row>
    <row r="8" customFormat="false" ht="17.15" hidden="false" customHeight="false" outlineLevel="0" collapsed="false">
      <c r="A8" s="4" t="s">
        <v>681</v>
      </c>
      <c r="B8" s="4" t="s">
        <v>682</v>
      </c>
      <c r="C8" s="22" t="n">
        <f aca="false">E180</f>
        <v>309.190089969896</v>
      </c>
      <c r="D8" s="22" t="n">
        <f aca="false">E177</f>
        <v>158.001834240896</v>
      </c>
      <c r="E8" s="17" t="n">
        <f aca="false">E188</f>
        <v>0.27830454856763</v>
      </c>
      <c r="F8" s="18" t="n">
        <f aca="false">E197</f>
        <v>18.8703551601359</v>
      </c>
      <c r="G8" s="17" t="n">
        <f aca="false">F8/F$4-1</f>
        <v>0.00683150390246046</v>
      </c>
      <c r="H8" s="22" t="n">
        <f aca="false">F180</f>
        <v>338.842324018758</v>
      </c>
      <c r="I8" s="22" t="n">
        <f aca="false">F177</f>
        <v>183.118420617887</v>
      </c>
      <c r="J8" s="17" t="n">
        <f aca="false">F188</f>
        <v>0.281833180355812</v>
      </c>
      <c r="K8" s="18" t="n">
        <f aca="false">F197</f>
        <v>21.2881994033698</v>
      </c>
      <c r="L8" s="17" t="n">
        <f aca="false">K8/K$4-1</f>
        <v>0.0134406792582233</v>
      </c>
    </row>
    <row r="9" customFormat="false" ht="17.15" hidden="false" customHeight="false" outlineLevel="0" collapsed="false">
      <c r="A9" s="0" t="s">
        <v>683</v>
      </c>
      <c r="B9" s="0" t="s">
        <v>684</v>
      </c>
      <c r="C9" s="22" t="n">
        <f aca="false">E218</f>
        <v>276.385899622738</v>
      </c>
      <c r="D9" s="22" t="n">
        <f aca="false">E215</f>
        <v>125.197643893738</v>
      </c>
      <c r="E9" s="17" t="n">
        <f aca="false">E226</f>
        <v>0.271340092914087</v>
      </c>
      <c r="F9" s="18" t="n">
        <f aca="false">E235</f>
        <v>16.0791221521261</v>
      </c>
      <c r="G9" s="17" t="n">
        <f aca="false">F9/F$4-1</f>
        <v>-0.14209528117117</v>
      </c>
      <c r="H9" s="22" t="n">
        <f aca="false">F218</f>
        <v>299.61428902417</v>
      </c>
      <c r="I9" s="22" t="n">
        <f aca="false">F215</f>
        <v>143.8903856233</v>
      </c>
      <c r="J9" s="17" t="n">
        <f aca="false">F226</f>
        <v>0.274612586657939</v>
      </c>
      <c r="K9" s="18" t="n">
        <f aca="false">F235</f>
        <v>17.9178583987181</v>
      </c>
      <c r="L9" s="17" t="n">
        <f aca="false">K9/K$4-1</f>
        <v>-0.14700692893852</v>
      </c>
    </row>
    <row r="10" customFormat="false" ht="17.15" hidden="false" customHeight="false" outlineLevel="0" collapsed="false">
      <c r="A10" s="0" t="s">
        <v>685</v>
      </c>
      <c r="B10" s="0" t="s">
        <v>686</v>
      </c>
      <c r="C10" s="22" t="n">
        <f aca="false">E256</f>
        <v>338.984721569607</v>
      </c>
      <c r="D10" s="22" t="n">
        <f aca="false">E253</f>
        <v>187.796465840607</v>
      </c>
      <c r="E10" s="17" t="n">
        <f aca="false">E264</f>
        <v>0.283461958263285</v>
      </c>
      <c r="F10" s="18" t="n">
        <f aca="false">E273</f>
        <v>21.4055117453924</v>
      </c>
      <c r="G10" s="17" t="n">
        <f aca="false">F10/F$4-1</f>
        <v>0.14209528117117</v>
      </c>
      <c r="H10" s="22" t="n">
        <f aca="false">F256</f>
        <v>371.55948183582</v>
      </c>
      <c r="I10" s="22" t="n">
        <f aca="false">F253</f>
        <v>215.83557843495</v>
      </c>
      <c r="J10" s="17" t="n">
        <f aca="false">F264</f>
        <v>0.28668926329788</v>
      </c>
      <c r="K10" s="18" t="n">
        <f aca="false">F273</f>
        <v>24.0960482093006</v>
      </c>
      <c r="L10" s="17" t="n">
        <f aca="false">K10/K$4-1</f>
        <v>0.147110424980655</v>
      </c>
    </row>
    <row r="11" customFormat="false" ht="17.15" hidden="false" customHeight="false" outlineLevel="0" collapsed="false">
      <c r="A11" s="0" t="s">
        <v>687</v>
      </c>
      <c r="B11" s="0" t="s">
        <v>688</v>
      </c>
      <c r="C11" s="22" t="n">
        <f aca="false">E294</f>
        <v>307.685310596173</v>
      </c>
      <c r="D11" s="22" t="n">
        <f aca="false">E291</f>
        <v>156.497054867173</v>
      </c>
      <c r="E11" s="17" t="n">
        <f aca="false">E302</f>
        <v>0.270072496591768</v>
      </c>
      <c r="F11" s="18" t="n">
        <f aca="false">E311</f>
        <v>17.9234900564319</v>
      </c>
      <c r="G11" s="17" t="n">
        <f aca="false">F11/F$4-1</f>
        <v>-0.0436886695794363</v>
      </c>
      <c r="H11" s="22" t="n">
        <f aca="false">F294</f>
        <v>335.586885429995</v>
      </c>
      <c r="I11" s="22" t="n">
        <f aca="false">F291</f>
        <v>179.862982029125</v>
      </c>
      <c r="J11" s="17" t="n">
        <f aca="false">F302</f>
        <v>0.272259574431303</v>
      </c>
      <c r="K11" s="18" t="n">
        <f aca="false">F311</f>
        <v>19.9898653317659</v>
      </c>
      <c r="L11" s="17" t="n">
        <f aca="false">K11/K$4-1</f>
        <v>-0.0483674867824453</v>
      </c>
    </row>
    <row r="12" customFormat="false" ht="17.15" hidden="false" customHeight="false" outlineLevel="0" collapsed="false">
      <c r="A12" s="0" t="s">
        <v>689</v>
      </c>
      <c r="B12" s="4" t="s">
        <v>690</v>
      </c>
      <c r="C12" s="22" t="n">
        <f aca="false">E332</f>
        <v>307.685310596173</v>
      </c>
      <c r="D12" s="22" t="n">
        <f aca="false">E329</f>
        <v>156.497054867173</v>
      </c>
      <c r="E12" s="17" t="n">
        <f aca="false">E340</f>
        <v>0.285962656174347</v>
      </c>
      <c r="F12" s="18" t="n">
        <f aca="false">E349</f>
        <v>19.5611438410867</v>
      </c>
      <c r="G12" s="17" t="n">
        <f aca="false">F12/F$4-1</f>
        <v>0.0436886695794363</v>
      </c>
      <c r="H12" s="22" t="n">
        <f aca="false">F332</f>
        <v>335.586885429995</v>
      </c>
      <c r="I12" s="22" t="n">
        <f aca="false">F329</f>
        <v>179.862982029125</v>
      </c>
      <c r="J12" s="17" t="n">
        <f aca="false">F340</f>
        <v>0.290336811853418</v>
      </c>
      <c r="K12" s="18" t="n">
        <f aca="false">F349</f>
        <v>22.02186725223</v>
      </c>
      <c r="L12" s="17" t="n">
        <f aca="false">K12/K$4-1</f>
        <v>0.0483674867824457</v>
      </c>
    </row>
    <row r="13" customFormat="false" ht="17.15" hidden="false" customHeight="false" outlineLevel="0" collapsed="false">
      <c r="A13" s="0" t="s">
        <v>691</v>
      </c>
      <c r="B13" s="0" t="s">
        <v>692</v>
      </c>
      <c r="C13" s="22" t="n">
        <f aca="false">E370</f>
        <v>307.685310596173</v>
      </c>
      <c r="D13" s="22" t="n">
        <f aca="false">E367</f>
        <v>156.497054867173</v>
      </c>
      <c r="E13" s="17" t="n">
        <f aca="false">E378</f>
        <v>0.272931306435235</v>
      </c>
      <c r="F13" s="18" t="n">
        <f aca="false">E387</f>
        <v>18.2181215065084</v>
      </c>
      <c r="G13" s="17" t="n">
        <f aca="false">F13/F$4-1</f>
        <v>-0.027968550723159</v>
      </c>
      <c r="H13" s="22" t="n">
        <f aca="false">F370</f>
        <v>335.586885429995</v>
      </c>
      <c r="I13" s="22" t="n">
        <f aca="false">F367</f>
        <v>179.862982029125</v>
      </c>
      <c r="J13" s="17" t="n">
        <f aca="false">F378</f>
        <v>0.273258711125714</v>
      </c>
      <c r="K13" s="18" t="n">
        <f aca="false">F387</f>
        <v>20.1021749526688</v>
      </c>
      <c r="L13" s="17" t="n">
        <f aca="false">K13/K$4-1</f>
        <v>-0.0430209031499647</v>
      </c>
    </row>
    <row r="14" customFormat="false" ht="17.15" hidden="false" customHeight="false" outlineLevel="0" collapsed="false">
      <c r="A14" s="0" t="s">
        <v>693</v>
      </c>
      <c r="B14" s="0" t="s">
        <v>694</v>
      </c>
      <c r="C14" s="22" t="n">
        <f aca="false">E408</f>
        <v>307.685310596173</v>
      </c>
      <c r="D14" s="22" t="n">
        <f aca="false">E405</f>
        <v>156.497054867173</v>
      </c>
      <c r="E14" s="17" t="n">
        <f aca="false">E416</f>
        <v>0.28310384633088</v>
      </c>
      <c r="F14" s="18" t="n">
        <f aca="false">E425</f>
        <v>19.2665123910102</v>
      </c>
      <c r="G14" s="17" t="n">
        <f aca="false">F14/F$4-1</f>
        <v>0.0279685507231588</v>
      </c>
      <c r="H14" s="22" t="n">
        <f aca="false">F408</f>
        <v>335.586885429995</v>
      </c>
      <c r="I14" s="22" t="n">
        <f aca="false">F405</f>
        <v>179.862982029125</v>
      </c>
      <c r="J14" s="17" t="n">
        <f aca="false">F416</f>
        <v>0.289337675159007</v>
      </c>
      <c r="K14" s="18" t="n">
        <f aca="false">F425</f>
        <v>21.9095576313271</v>
      </c>
      <c r="L14" s="17" t="n">
        <f aca="false">K14/K$4-1</f>
        <v>0.0430209031499647</v>
      </c>
    </row>
    <row r="15" customFormat="false" ht="17.15" hidden="false" customHeight="false" outlineLevel="0" collapsed="false">
      <c r="A15" s="4" t="s">
        <v>695</v>
      </c>
      <c r="B15" s="0" t="s">
        <v>696</v>
      </c>
      <c r="C15" s="22" t="n">
        <f aca="false">E446</f>
        <v>298.878227738173</v>
      </c>
      <c r="D15" s="22" t="n">
        <f aca="false">E443</f>
        <v>156.497054867173</v>
      </c>
      <c r="E15" s="17" t="n">
        <f aca="false">E454</f>
        <v>0.279816109566594</v>
      </c>
      <c r="F15" s="18" t="n">
        <f aca="false">E463</f>
        <v>18.3469402182965</v>
      </c>
      <c r="G15" s="17" t="n">
        <f aca="false">F15/F$4-1</f>
        <v>-0.0210954030680264</v>
      </c>
      <c r="H15" s="22" t="n">
        <f aca="false">F446</f>
        <v>317.972719713995</v>
      </c>
      <c r="I15" s="22" t="n">
        <f aca="false">F443</f>
        <v>179.862982029125</v>
      </c>
      <c r="J15" s="17" t="n">
        <f aca="false">F454</f>
        <v>0.284860983526124</v>
      </c>
      <c r="K15" s="18" t="n">
        <f aca="false">F463</f>
        <v>20.1892135929587</v>
      </c>
      <c r="L15" s="17" t="n">
        <f aca="false">K15/K$4-1</f>
        <v>-0.0388773634796622</v>
      </c>
    </row>
    <row r="16" customFormat="false" ht="17.15" hidden="false" customHeight="false" outlineLevel="0" collapsed="false">
      <c r="A16" s="4" t="s">
        <v>697</v>
      </c>
      <c r="B16" s="0" t="s">
        <v>698</v>
      </c>
      <c r="C16" s="22" t="n">
        <f aca="false">E484</f>
        <v>312.088852025173</v>
      </c>
      <c r="D16" s="22" t="n">
        <f aca="false">E481</f>
        <v>156.497054867173</v>
      </c>
      <c r="E16" s="17" t="n">
        <f aca="false">E492</f>
        <v>0.27715637546714</v>
      </c>
      <c r="F16" s="18" t="n">
        <f aca="false">E501</f>
        <v>18.9400053139907</v>
      </c>
      <c r="G16" s="17" t="n">
        <f aca="false">F16/F$4-1</f>
        <v>0.0105477015340134</v>
      </c>
      <c r="H16" s="22" t="n">
        <f aca="false">F484</f>
        <v>344.790287016605</v>
      </c>
      <c r="I16" s="22" t="n">
        <f aca="false">F481</f>
        <v>179.862982029125</v>
      </c>
      <c r="J16" s="17" t="n">
        <f aca="false">F492</f>
        <v>0.279581425951782</v>
      </c>
      <c r="K16" s="18" t="n">
        <f aca="false">F501</f>
        <v>21.4340420272631</v>
      </c>
      <c r="L16" s="17" t="n">
        <f aca="false">K16/K$4-1</f>
        <v>0.0203836266171169</v>
      </c>
    </row>
    <row r="17" customFormat="false" ht="17.15" hidden="false" customHeight="false" outlineLevel="0" collapsed="false">
      <c r="A17" s="4" t="s">
        <v>699</v>
      </c>
      <c r="B17" s="4" t="s">
        <v>700</v>
      </c>
      <c r="C17" s="22" t="n">
        <f aca="false">E522</f>
        <v>307.685310596173</v>
      </c>
      <c r="D17" s="22" t="n">
        <f aca="false">E519</f>
        <v>156.497054867173</v>
      </c>
      <c r="E17" s="17" t="n">
        <f aca="false">E530</f>
        <v>0.278017576383058</v>
      </c>
      <c r="F17" s="18" t="n">
        <f aca="false">E539</f>
        <v>17.7117081772462</v>
      </c>
      <c r="G17" s="17" t="n">
        <f aca="false">F17/F$4-1</f>
        <v>-0.0549883333170957</v>
      </c>
      <c r="H17" s="22" t="n">
        <f aca="false">F522</f>
        <v>335.586885429995</v>
      </c>
      <c r="I17" s="22" t="n">
        <f aca="false">F519</f>
        <v>179.862982029125</v>
      </c>
      <c r="J17" s="17" t="n">
        <f aca="false">F530</f>
        <v>0.281298193142361</v>
      </c>
      <c r="K17" s="18" t="n">
        <f aca="false">F539</f>
        <v>19.8817996699718</v>
      </c>
      <c r="L17" s="17" t="n">
        <f aca="false">K17/K$4-1</f>
        <v>-0.0535120335624676</v>
      </c>
    </row>
    <row r="18" customFormat="false" ht="17.15" hidden="false" customHeight="false" outlineLevel="0" collapsed="false">
      <c r="A18" s="4" t="s">
        <v>701</v>
      </c>
      <c r="B18" s="4" t="s">
        <v>702</v>
      </c>
      <c r="C18" s="22" t="n">
        <f aca="false">E560</f>
        <v>307.685310596173</v>
      </c>
      <c r="D18" s="22" t="n">
        <f aca="false">E557</f>
        <v>156.497054867173</v>
      </c>
      <c r="E18" s="17" t="n">
        <f aca="false">E568</f>
        <v>0.278017576383058</v>
      </c>
      <c r="F18" s="18" t="n">
        <f aca="false">E577</f>
        <v>17.6115640475348</v>
      </c>
      <c r="G18" s="17" t="n">
        <f aca="false">F18/F$4-1</f>
        <v>-0.0603315430165827</v>
      </c>
      <c r="H18" s="22" t="n">
        <f aca="false">F560</f>
        <v>335.586885429995</v>
      </c>
      <c r="I18" s="22" t="n">
        <f aca="false">F557</f>
        <v>179.862982029125</v>
      </c>
      <c r="J18" s="17" t="n">
        <f aca="false">F568</f>
        <v>0.281298193142361</v>
      </c>
      <c r="K18" s="18" t="n">
        <f aca="false">F577</f>
        <v>19.4710715325114</v>
      </c>
      <c r="L18" s="17" t="n">
        <f aca="false">K18/K$4-1</f>
        <v>-0.0730650542163649</v>
      </c>
    </row>
    <row r="19" customFormat="false" ht="17.15" hidden="false" customHeight="false" outlineLevel="0" collapsed="false">
      <c r="A19" s="4" t="s">
        <v>703</v>
      </c>
      <c r="B19" s="4" t="s">
        <v>704</v>
      </c>
      <c r="C19" s="22" t="n">
        <f aca="false">E598</f>
        <v>307.685310596173</v>
      </c>
      <c r="D19" s="22" t="n">
        <f aca="false">E595</f>
        <v>156.497054867173</v>
      </c>
      <c r="E19" s="17" t="n">
        <f aca="false">E606</f>
        <v>0.278017576383058</v>
      </c>
      <c r="F19" s="18" t="n">
        <f aca="false">E615</f>
        <v>18.0024886481504</v>
      </c>
      <c r="G19" s="17" t="n">
        <f aca="false">F19/F$4-1</f>
        <v>-0.0394736842105264</v>
      </c>
      <c r="H19" s="22" t="n">
        <f aca="false">F598</f>
        <v>335.586885429995</v>
      </c>
      <c r="I19" s="22" t="n">
        <f aca="false">F595</f>
        <v>179.862982029125</v>
      </c>
      <c r="J19" s="17" t="n">
        <f aca="false">F606</f>
        <v>0.281298193142361</v>
      </c>
      <c r="K19" s="18" t="n">
        <f aca="false">F615</f>
        <v>20.1766873594191</v>
      </c>
      <c r="L19" s="17" t="n">
        <f aca="false">K19/K$4-1</f>
        <v>-0.0394736842105266</v>
      </c>
    </row>
    <row r="20" customFormat="false" ht="17.15" hidden="false" customHeight="false" outlineLevel="0" collapsed="false">
      <c r="A20" s="4" t="s">
        <v>705</v>
      </c>
      <c r="C20" s="22" t="n">
        <f aca="false">E636</f>
        <v>307.685310596173</v>
      </c>
      <c r="D20" s="22" t="n">
        <f aca="false">E633</f>
        <v>156.497054867173</v>
      </c>
      <c r="E20" s="17" t="n">
        <f aca="false">E644</f>
        <v>0.278017576383058</v>
      </c>
      <c r="F20" s="18" t="n">
        <f aca="false">E653</f>
        <v>19.2355358158319</v>
      </c>
      <c r="G20" s="17" t="n">
        <f aca="false">F20/F$4-1</f>
        <v>0.0263157894736843</v>
      </c>
      <c r="H20" s="22" t="n">
        <f aca="false">F636</f>
        <v>335.586885429995</v>
      </c>
      <c r="I20" s="22" t="n">
        <f aca="false">F633</f>
        <v>179.862982029125</v>
      </c>
      <c r="J20" s="17" t="n">
        <f aca="false">F644</f>
        <v>0.281298193142361</v>
      </c>
      <c r="K20" s="18" t="n">
        <f aca="false">F653</f>
        <v>21.5586522470505</v>
      </c>
      <c r="L20" s="17" t="n">
        <f aca="false">K20/K$4-1</f>
        <v>0.0263157894736841</v>
      </c>
    </row>
    <row r="21" customFormat="false" ht="17.15" hidden="false" customHeight="false" outlineLevel="0" collapsed="false">
      <c r="A21" s="4" t="s">
        <v>706</v>
      </c>
      <c r="B21" s="4" t="s">
        <v>707</v>
      </c>
      <c r="C21" s="22" t="n">
        <f aca="false">PL!E76</f>
        <v>323.33501608289</v>
      </c>
      <c r="D21" s="22" t="n">
        <f aca="false">PL!E73</f>
        <v>172.14676035389</v>
      </c>
      <c r="E21" s="17" t="n">
        <f aca="false">PL!E84</f>
        <v>0.286195622712425</v>
      </c>
      <c r="F21" s="18" t="n">
        <f aca="false">PL!E93</f>
        <v>20.6505293335518</v>
      </c>
      <c r="G21" s="17" t="n">
        <f aca="false">F21/F$4-1</f>
        <v>0.10181304638106</v>
      </c>
      <c r="H21" s="22" t="n">
        <f aca="false">PL!F76</f>
        <v>425.518376444558</v>
      </c>
      <c r="I21" s="22" t="n">
        <f aca="false">PL!F73</f>
        <v>269.794473043688</v>
      </c>
      <c r="J21" s="17" t="n">
        <f aca="false">PL!F84</f>
        <v>0.302577356818264</v>
      </c>
      <c r="K21" s="18" t="n">
        <f aca="false">PL!F93</f>
        <v>30.2330626302752</v>
      </c>
      <c r="L21" s="17" t="n">
        <f aca="false">K21/K$4-1</f>
        <v>0.439267593633704</v>
      </c>
    </row>
    <row r="22" customFormat="false" ht="17.15" hidden="false" customHeight="false" outlineLevel="0" collapsed="false">
      <c r="A22" s="4" t="s">
        <v>708</v>
      </c>
      <c r="B22" s="4" t="s">
        <v>709</v>
      </c>
      <c r="C22" s="22" t="n">
        <f aca="false">PL!E152</f>
        <v>284.210752366097</v>
      </c>
      <c r="D22" s="22" t="n">
        <f aca="false">PL!E149</f>
        <v>133.022496637097</v>
      </c>
      <c r="E22" s="17" t="n">
        <f aca="false">PL!E160</f>
        <v>0.268466929017981</v>
      </c>
      <c r="F22" s="18" t="n">
        <f aca="false">PL!E169</f>
        <v>16.2993547253712</v>
      </c>
      <c r="G22" s="17" t="n">
        <f aca="false">F22/F$4-1</f>
        <v>-0.130344728993062</v>
      </c>
      <c r="H22" s="22" t="n">
        <f aca="false">PL!F152</f>
        <v>263.641692618345</v>
      </c>
      <c r="I22" s="22" t="n">
        <f aca="false">PL!F149</f>
        <v>107.917789217475</v>
      </c>
      <c r="J22" s="17" t="n">
        <f aca="false">PL!F160</f>
        <v>0.259962518767612</v>
      </c>
      <c r="K22" s="18" t="n">
        <f aca="false">PL!F169</f>
        <v>13.6986836289606</v>
      </c>
      <c r="L22" s="17" t="n">
        <f aca="false">K22/K$4-1</f>
        <v>-0.347863904371369</v>
      </c>
    </row>
    <row r="24" customFormat="false" ht="17.15" hidden="false" customHeight="false" outlineLevel="0" collapsed="false">
      <c r="A24" s="4" t="s">
        <v>710</v>
      </c>
    </row>
    <row r="26" customFormat="false" ht="17.15" hidden="false" customHeight="false" outlineLevel="0" collapsed="false">
      <c r="A26" s="1" t="s">
        <v>711</v>
      </c>
    </row>
    <row r="27" customFormat="false" ht="17.15" hidden="false" customHeight="false" outlineLevel="0" collapsed="false">
      <c r="A27" s="5" t="s">
        <v>662</v>
      </c>
      <c r="B27" s="5" t="s">
        <v>663</v>
      </c>
      <c r="C27" s="14" t="s">
        <v>712</v>
      </c>
      <c r="D27" s="14" t="s">
        <v>713</v>
      </c>
      <c r="E27" s="5" t="s">
        <v>714</v>
      </c>
      <c r="F27" s="5" t="s">
        <v>715</v>
      </c>
    </row>
    <row r="28" customFormat="false" ht="17.15" hidden="false" customHeight="false" outlineLevel="0" collapsed="false">
      <c r="A28" s="4" t="s">
        <v>21</v>
      </c>
      <c r="B28" s="0" t="s">
        <v>716</v>
      </c>
      <c r="C28" s="18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318.74278572066</v>
      </c>
      <c r="D28" s="18" t="n">
        <f aca="false">Val!B36</f>
        <v>529.162558767778</v>
      </c>
      <c r="E28" s="18" t="n">
        <f aca="false">tp_w_dcf*C28+(1-tp_w_dcf)*D28</f>
        <v>423.952672244219</v>
      </c>
      <c r="F28" s="17" t="n">
        <f aca="false">E28/E$28-1</f>
        <v>0</v>
      </c>
    </row>
    <row r="29" customFormat="false" ht="17.15" hidden="false" customHeight="false" outlineLevel="0" collapsed="false">
      <c r="A29" s="4" t="s">
        <v>717</v>
      </c>
      <c r="B29" s="0" t="s">
        <v>718</v>
      </c>
      <c r="C29" s="18" t="n">
        <f aca="false">(tp_wA*MAX(0,Val!B8*(1-MIN(tp_g/tp_roe,0.8))/(1+(tp_r+0.01))^1+Val!B9*(1-MIN(tp_g/tp_roe,0.8))/(1+(tp_r+0.01))^2+Val!B10*(1-MIN(tp_g/tp_roe,0.8))/(1+(tp_r+0.01))^3+Val!B11*(1-MIN(tp_g/tp_roe,0.8))/(1+(tp_r+0.01))^4+Val!B12*(1-MIN(tp_g/tp_roe,0.8))/(1+(tp_r+0.01))^5+Val!B13*(1-MIN(tp_g/tp_roe,0.8))/(1+(tp_r+0.01))^6+Val!B13*(1-MIN(tp_g/tp_roe,0.8))*(1+tp_g)/((tp_r+0.01)-tp_g)/(1+(tp_r+0.01))^6)+tp_wB*MAX(0,Val!C8*(1-MIN(tp_g/tp_roe,0.8))/(1+(tp_r+0.01))^1+Val!C9*(1-MIN(tp_g/tp_roe,0.8))/(1+(tp_r+0.01))^2+Val!C10*(1-MIN(tp_g/tp_roe,0.8))/(1+(tp_r+0.01))^3+Val!C11*(1-MIN(tp_g/tp_roe,0.8))/(1+(tp_r+0.01))^4+Val!C12*(1-MIN(tp_g/tp_roe,0.8))/(1+(tp_r+0.01))^5+Val!C13*(1-MIN(tp_g/tp_roe,0.8))/(1+(tp_r+0.01))^6+Val!C13*(1-MIN(tp_g/tp_roe,0.8))*(1+tp_g)/((tp_r+0.01)-tp_g)/(1+(tp_r+0.01))^6)+tp_wC*MAX(0,Val!D8*(1-MIN(tp_g/tp_roe,0.8))/(1+(tp_r+0.01))^1+Val!D9*(1-MIN(tp_g/tp_roe,0.8))/(1+(tp_r+0.01))^2+Val!D10*(1-MIN(tp_g/tp_roe,0.8))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275.436648812544</v>
      </c>
      <c r="D29" s="18" t="n">
        <f aca="false">Val!B36</f>
        <v>529.162558767778</v>
      </c>
      <c r="E29" s="18" t="n">
        <f aca="false">tp_w_dcf*C29+(1-tp_w_dcf)*D29</f>
        <v>402.299603790161</v>
      </c>
      <c r="F29" s="17" t="n">
        <f aca="false">E29/E$28-1</f>
        <v>-0.0510742586889148</v>
      </c>
    </row>
    <row r="30" customFormat="false" ht="17.15" hidden="false" customHeight="false" outlineLevel="0" collapsed="false">
      <c r="A30" s="4" t="s">
        <v>719</v>
      </c>
      <c r="B30" s="0" t="s">
        <v>720</v>
      </c>
      <c r="C30" s="18" t="n">
        <f aca="false">(tp_wA*MAX(0,Val!B8*(1-MIN(tp_g/tp_roe,0.8))/(1+(tp_r-0.01))^1+Val!B9*(1-MIN(tp_g/tp_roe,0.8))/(1+(tp_r-0.01))^2+Val!B10*(1-MIN(tp_g/tp_roe,0.8))/(1+(tp_r-0.01))^3+Val!B11*(1-MIN(tp_g/tp_roe,0.8))/(1+(tp_r-0.01))^4+Val!B12*(1-MIN(tp_g/tp_roe,0.8))/(1+(tp_r-0.01))^5+Val!B13*(1-MIN(tp_g/tp_roe,0.8))/(1+(tp_r-0.01))^6+Val!B13*(1-MIN(tp_g/tp_roe,0.8))*(1+tp_g)/((tp_r-0.01)-tp_g)/(1+(tp_r-0.01))^6)+tp_wB*MAX(0,Val!C8*(1-MIN(tp_g/tp_roe,0.8))/(1+(tp_r-0.01))^1+Val!C9*(1-MIN(tp_g/tp_roe,0.8))/(1+(tp_r-0.01))^2+Val!C10*(1-MIN(tp_g/tp_roe,0.8))/(1+(tp_r-0.01))^3+Val!C11*(1-MIN(tp_g/tp_roe,0.8))/(1+(tp_r-0.01))^4+Val!C12*(1-MIN(tp_g/tp_roe,0.8))/(1+(tp_r-0.01))^5+Val!C13*(1-MIN(tp_g/tp_roe,0.8))/(1+(tp_r-0.01))^6+Val!C13*(1-MIN(tp_g/tp_roe,0.8))*(1+tp_g)/((tp_r-0.01)-tp_g)/(1+(tp_r-0.01))^6)+tp_wC*MAX(0,Val!D8*(1-MIN(tp_g/tp_roe,0.8))/(1+(tp_r-0.01))^1+Val!D9*(1-MIN(tp_g/tp_roe,0.8))/(1+(tp_r-0.01))^2+Val!D10*(1-MIN(tp_g/tp_roe,0.8))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379.34441737238</v>
      </c>
      <c r="D30" s="18" t="n">
        <f aca="false">Val!B36</f>
        <v>529.162558767778</v>
      </c>
      <c r="E30" s="18" t="n">
        <f aca="false">tp_w_dcf*C30+(1-tp_w_dcf)*D30</f>
        <v>454.253488070079</v>
      </c>
      <c r="F30" s="17" t="n">
        <f aca="false">E30/E$28-1</f>
        <v>0.07147216613935</v>
      </c>
    </row>
    <row r="31" customFormat="false" ht="17.15" hidden="false" customHeight="false" outlineLevel="0" collapsed="false">
      <c r="A31" s="4" t="s">
        <v>721</v>
      </c>
      <c r="B31" s="0" t="s">
        <v>722</v>
      </c>
      <c r="C31" s="18" t="n">
        <f aca="false">(tp_wA*MAX(0,Val!B8*(1-MIN((tp_g+0.01)/tp_roe,0.8))/(1+tp_r)^1+Val!B9*(1-MIN((tp_g+0.01)/tp_roe,0.8))/(1+tp_r)^2+Val!B10*(1-MIN((tp_g+0.01)/tp_roe,0.8))/(1+tp_r)^3+Val!B11*(1-MIN((tp_g+0.01)/tp_roe,0.8))/(1+tp_r)^4+Val!B12*(1-MIN((tp_g+0.01)/tp_roe,0.8))/(1+tp_r)^5+Val!B13*(1-MIN((tp_g+0.01)/tp_roe,0.8))/(1+tp_r)^6+Val!B13*(1-MIN((tp_g+0.01)/tp_roe,0.8))*(1+(tp_g+0.01))/(tp_r-(tp_g+0.01))/(1+tp_r)^6)+tp_wB*MAX(0,Val!C8*(1-MIN((tp_g+0.01)/tp_roe,0.8))/(1+tp_r)^1+Val!C9*(1-MIN((tp_g+0.01)/tp_roe,0.8))/(1+tp_r)^2+Val!C10*(1-MIN((tp_g+0.01)/tp_roe,0.8))/(1+tp_r)^3+Val!C11*(1-MIN((tp_g+0.01)/tp_roe,0.8))/(1+tp_r)^4+Val!C12*(1-MIN((tp_g+0.01)/tp_roe,0.8))/(1+tp_r)^5+Val!C13*(1-MIN((tp_g+0.01)/tp_roe,0.8))/(1+tp_r)^6+Val!C13*(1-MIN((tp_g+0.01)/tp_roe,0.8))*(1+(tp_g+0.01))/(tp_r-(tp_g+0.01))/(1+tp_r)^6)+tp_wC*MAX(0,Val!D8*(1-MIN((tp_g+0.01)/tp_roe,0.8))/(1+tp_r)^1+Val!D9*(1-MIN((tp_g+0.01)/tp_roe,0.8))/(1+tp_r)^2+Val!D10*(1-MIN((tp_g+0.01)/tp_roe,0.8))/(1+tp_r)^3+Val!D11*(1-MIN((tp_g+0.01)/tp_roe,0.8))/(1+tp_r)^4+Val!D12*(1-MIN((tp_g+0.01)/tp_roe,0.8))/(1+tp_r)^5+Val!D13*(1-MIN((tp_g+0.01)/tp_roe,0.8))/(1+tp_r)^6+Val!D13*(1-MIN((tp_g+0.01)/tp_roe,0.8))*(1+(tp_g+0.01))/(tp_r-(tp_g+0.01))/(1+tp_r)^6))*(1+tp_r)</f>
        <v>336.322720301352</v>
      </c>
      <c r="D31" s="18" t="n">
        <f aca="false">Val!B36</f>
        <v>529.162558767778</v>
      </c>
      <c r="E31" s="18" t="n">
        <f aca="false">tp_w_dcf*C31+(1-tp_w_dcf)*D31</f>
        <v>432.742639534565</v>
      </c>
      <c r="F31" s="17" t="n">
        <f aca="false">E31/E$28-1</f>
        <v>0.0207333692315606</v>
      </c>
    </row>
    <row r="32" customFormat="false" ht="17.15" hidden="false" customHeight="false" outlineLevel="0" collapsed="false">
      <c r="A32" s="4" t="s">
        <v>723</v>
      </c>
      <c r="B32" s="0" t="s">
        <v>724</v>
      </c>
      <c r="C32" s="18" t="n">
        <f aca="false">(tp_wA*MAX(0,Val!B8*(1-MIN((tp_g-0.01)/tp_roe,0.8))/(1+tp_r)^1+Val!B9*(1-MIN((tp_g-0.01)/tp_roe,0.8))/(1+tp_r)^2+Val!B10*(1-MIN((tp_g-0.01)/tp_roe,0.8))/(1+tp_r)^3+Val!B11*(1-MIN((tp_g-0.01)/tp_roe,0.8))/(1+tp_r)^4+Val!B12*(1-MIN((tp_g-0.01)/tp_roe,0.8))/(1+tp_r)^5+Val!B13*(1-MIN((tp_g-0.01)/tp_roe,0.8))/(1+tp_r)^6+Val!B13*(1-MIN((tp_g-0.01)/tp_roe,0.8))*(1+(tp_g-0.01))/(tp_r-(tp_g-0.01))/(1+tp_r)^6)+tp_wB*MAX(0,Val!C8*(1-MIN((tp_g-0.01)/tp_roe,0.8))/(1+tp_r)^1+Val!C9*(1-MIN((tp_g-0.01)/tp_roe,0.8))/(1+tp_r)^2+Val!C10*(1-MIN((tp_g-0.01)/tp_roe,0.8))/(1+tp_r)^3+Val!C11*(1-MIN((tp_g-0.01)/tp_roe,0.8))/(1+tp_r)^4+Val!C12*(1-MIN((tp_g-0.01)/tp_roe,0.8))/(1+tp_r)^5+Val!C13*(1-MIN((tp_g-0.01)/tp_roe,0.8))/(1+tp_r)^6+Val!C13*(1-MIN((tp_g-0.01)/tp_roe,0.8))*(1+(tp_g-0.01))/(tp_r-(tp_g-0.01))/(1+tp_r)^6)+tp_wC*MAX(0,Val!D8*(1-MIN((tp_g-0.01)/tp_roe,0.8))/(1+tp_r)^1+Val!D9*(1-MIN((tp_g-0.01)/tp_roe,0.8))/(1+tp_r)^2+Val!D10*(1-MIN((tp_g-0.01)/tp_roe,0.8))/(1+tp_r)^3+Val!D11*(1-MIN((tp_g-0.01)/tp_roe,0.8))/(1+tp_r)^4+Val!D12*(1-MIN((tp_g-0.01)/tp_roe,0.8))/(1+tp_r)^5+Val!D13*(1-MIN((tp_g-0.01)/tp_roe,0.8))/(1+tp_r)^6+Val!D13*(1-MIN((tp_g-0.01)/tp_roe,0.8))*(1+(tp_g-0.01))/(tp_r-(tp_g-0.01))/(1+tp_r)^6))*(1+tp_r)</f>
        <v>308.028933605496</v>
      </c>
      <c r="D32" s="18" t="n">
        <f aca="false">Val!B36</f>
        <v>529.162558767778</v>
      </c>
      <c r="E32" s="18" t="n">
        <f aca="false">tp_w_dcf*C32+(1-tp_w_dcf)*D32</f>
        <v>418.595746186637</v>
      </c>
      <c r="F32" s="17" t="n">
        <f aca="false">E32/E$28-1</f>
        <v>-0.012635669989352</v>
      </c>
    </row>
    <row r="33" customFormat="false" ht="17.15" hidden="false" customHeight="false" outlineLevel="0" collapsed="false">
      <c r="A33" s="0" t="s">
        <v>725</v>
      </c>
      <c r="C33" s="18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318.74278572066</v>
      </c>
      <c r="D33" s="18" t="n">
        <f aca="false">Val!B36</f>
        <v>529.162558767778</v>
      </c>
      <c r="E33" s="18" t="n">
        <f aca="false">0.3*C33+(1-0.3)*D33</f>
        <v>466.036626853642</v>
      </c>
      <c r="F33" s="17" t="n">
        <f aca="false">E33/E$28-1</f>
        <v>0.0992656901692579</v>
      </c>
    </row>
    <row r="34" customFormat="false" ht="17.15" hidden="false" customHeight="false" outlineLevel="0" collapsed="false">
      <c r="A34" s="0" t="s">
        <v>726</v>
      </c>
      <c r="C34" s="18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318.74278572066</v>
      </c>
      <c r="D34" s="18" t="n">
        <f aca="false">Val!B36</f>
        <v>529.162558767778</v>
      </c>
      <c r="E34" s="18" t="n">
        <f aca="false">0.7*C34+(1-0.7)*D34</f>
        <v>381.868717634795</v>
      </c>
      <c r="F34" s="17" t="n">
        <f aca="false">E34/E$28-1</f>
        <v>-0.0992656901692578</v>
      </c>
    </row>
    <row r="50" customFormat="false" ht="17.15" hidden="false" customHeight="false" outlineLevel="0" collapsed="false">
      <c r="A50" s="1" t="s">
        <v>727</v>
      </c>
    </row>
    <row r="51" customFormat="false" ht="17.15" hidden="false" customHeight="false" outlineLevel="0" collapsed="false">
      <c r="A51" s="5" t="s">
        <v>18</v>
      </c>
      <c r="B51" s="5" t="s">
        <v>19</v>
      </c>
      <c r="C51" s="14" t="s">
        <v>323</v>
      </c>
      <c r="D51" s="14" t="s">
        <v>407</v>
      </c>
      <c r="E51" s="14" t="s">
        <v>408</v>
      </c>
      <c r="F51" s="14" t="s">
        <v>409</v>
      </c>
      <c r="G51" s="14" t="s">
        <v>410</v>
      </c>
      <c r="H51" s="14" t="s">
        <v>411</v>
      </c>
      <c r="I51" s="14" t="s">
        <v>412</v>
      </c>
      <c r="J51" s="14" t="s">
        <v>413</v>
      </c>
      <c r="K51" s="5" t="s">
        <v>380</v>
      </c>
    </row>
    <row r="52" customFormat="false" ht="17.15" hidden="false" customHeight="false" outlineLevel="0" collapsed="false">
      <c r="A52" s="6" t="s">
        <v>428</v>
      </c>
    </row>
    <row r="53" customFormat="false" ht="17.15" hidden="false" customHeight="false" outlineLevel="0" collapsed="false">
      <c r="A53" s="0" t="s">
        <v>429</v>
      </c>
      <c r="B53" s="0" t="s">
        <v>29</v>
      </c>
      <c r="D53" s="23" t="n">
        <f aca="false">itc_26*1</f>
        <v>781.872916666667</v>
      </c>
      <c r="E53" s="23" t="n">
        <f aca="false">itc_27*1*1</f>
        <v>1565.35</v>
      </c>
      <c r="F53" s="23" t="n">
        <f aca="false">itc_28*um28_B*1</f>
        <v>1587.41111111111</v>
      </c>
      <c r="G53" s="23" t="n">
        <f aca="false">itc_29*um29_B*1</f>
        <v>1921.33173611111</v>
      </c>
    </row>
    <row r="54" customFormat="false" ht="17.15" hidden="false" customHeight="false" outlineLevel="0" collapsed="false">
      <c r="A54" s="4" t="s">
        <v>430</v>
      </c>
      <c r="B54" s="0" t="s">
        <v>29</v>
      </c>
      <c r="D54" s="23" t="n">
        <f aca="false">itpg_gb*(1-vr26)+itpg_vr*vr26</f>
        <v>33.41403216</v>
      </c>
      <c r="E54" s="23" t="n">
        <f aca="false">itpg_vr</f>
        <v>37.586352</v>
      </c>
      <c r="F54" s="23" t="n">
        <f aca="false">itpg_vr</f>
        <v>37.586352</v>
      </c>
      <c r="G54" s="23" t="n">
        <f aca="false">itpg_vr</f>
        <v>37.586352</v>
      </c>
    </row>
    <row r="55" customFormat="false" ht="17.15" hidden="false" customHeight="false" outlineLevel="0" collapsed="false">
      <c r="A55" s="4" t="s">
        <v>431</v>
      </c>
      <c r="B55" s="0" t="s">
        <v>382</v>
      </c>
      <c r="D55" s="20" t="n">
        <f aca="false">D53/D54</f>
        <v>23.3995380420639</v>
      </c>
      <c r="E55" s="20" t="n">
        <f aca="false">E53/E54</f>
        <v>41.6467658260637</v>
      </c>
      <c r="F55" s="20" t="n">
        <f aca="false">F53/F54</f>
        <v>42.2337105529984</v>
      </c>
      <c r="G55" s="20" t="n">
        <f aca="false">G53/G54</f>
        <v>51.1178029756948</v>
      </c>
    </row>
    <row r="56" customFormat="false" ht="17.15" hidden="false" customHeight="false" outlineLevel="0" collapsed="false">
      <c r="A56" s="0" t="s">
        <v>384</v>
      </c>
      <c r="B56" s="0" t="s">
        <v>87</v>
      </c>
      <c r="D56" s="21" t="n">
        <f aca="false">pkw_26</f>
        <v>450</v>
      </c>
      <c r="E56" s="21" t="n">
        <f aca="false">pkw_27</f>
        <v>600</v>
      </c>
      <c r="F56" s="21" t="n">
        <f aca="false">pkw_28</f>
        <v>680</v>
      </c>
      <c r="G56" s="21" t="n">
        <f aca="false">pkw_29</f>
        <v>720</v>
      </c>
    </row>
    <row r="57" customFormat="false" ht="17.15" hidden="false" customHeight="false" outlineLevel="0" collapsed="false">
      <c r="A57" s="0" t="s">
        <v>432</v>
      </c>
      <c r="B57" s="0" t="s">
        <v>29</v>
      </c>
      <c r="D57" s="23" t="n">
        <f aca="false">D55*D56/1000</f>
        <v>10.5297921189288</v>
      </c>
      <c r="E57" s="23" t="n">
        <f aca="false">E55*E56/1000</f>
        <v>24.9880594956382</v>
      </c>
      <c r="F57" s="23" t="n">
        <f aca="false">F55*F56/1000</f>
        <v>28.7189231760389</v>
      </c>
      <c r="G57" s="23" t="n">
        <f aca="false">G55*G56/1000</f>
        <v>36.8048181425003</v>
      </c>
    </row>
    <row r="58" customFormat="false" ht="17.15" hidden="false" customHeight="false" outlineLevel="0" collapsed="false">
      <c r="A58" s="0" t="s">
        <v>433</v>
      </c>
      <c r="B58" s="0" t="s">
        <v>146</v>
      </c>
      <c r="D58" s="22" t="n">
        <f aca="false">D57*fx</f>
        <v>336.95334780572</v>
      </c>
      <c r="E58" s="22" t="n">
        <f aca="false">E57*fx</f>
        <v>799.617903860422</v>
      </c>
      <c r="F58" s="22" t="n">
        <f aca="false">F57*fx</f>
        <v>919.005541633245</v>
      </c>
      <c r="G58" s="22" t="n">
        <f aca="false">G57*fx</f>
        <v>1177.75418056001</v>
      </c>
    </row>
    <row r="59" customFormat="false" ht="17.15" hidden="false" customHeight="false" outlineLevel="0" collapsed="false">
      <c r="A59" s="4" t="s">
        <v>434</v>
      </c>
      <c r="B59" s="0" t="s">
        <v>49</v>
      </c>
      <c r="D59" s="17" t="n">
        <f aca="false">a26_aip/D58</f>
        <v>0.176143316327046</v>
      </c>
      <c r="K59" s="8" t="s">
        <v>435</v>
      </c>
    </row>
    <row r="60" customFormat="false" ht="17.15" hidden="false" customHeight="false" outlineLevel="0" collapsed="false">
      <c r="A60" s="4" t="s">
        <v>436</v>
      </c>
      <c r="B60" s="0" t="s">
        <v>60</v>
      </c>
      <c r="D60" s="18" t="n">
        <f aca="false">1</f>
        <v>1</v>
      </c>
      <c r="E60" s="18" t="n">
        <f aca="false">RLO_27</f>
        <v>0.85</v>
      </c>
      <c r="F60" s="18" t="n">
        <f aca="false">RLO_28</f>
        <v>0.8</v>
      </c>
      <c r="G60" s="18" t="n">
        <f aca="false">RLO_29</f>
        <v>0.75</v>
      </c>
    </row>
    <row r="61" customFormat="false" ht="15" hidden="false" customHeight="false" outlineLevel="0" collapsed="false">
      <c r="A61" s="4" t="s">
        <v>390</v>
      </c>
      <c r="B61" s="0" t="s">
        <v>49</v>
      </c>
      <c r="D61" s="17" t="n">
        <f aca="false">$D$59*D60</f>
        <v>0.176143316327046</v>
      </c>
      <c r="E61" s="17" t="n">
        <f aca="false">$D$59*E60</f>
        <v>0.149721818877989</v>
      </c>
      <c r="F61" s="17" t="n">
        <f aca="false">$D$59*F60</f>
        <v>0.140914653061636</v>
      </c>
      <c r="G61" s="17" t="n">
        <f aca="false">$D$59*G60</f>
        <v>0.132107487245284</v>
      </c>
    </row>
    <row r="62" customFormat="false" ht="17.15" hidden="false" customHeight="false" outlineLevel="0" collapsed="false">
      <c r="A62" s="0" t="s">
        <v>437</v>
      </c>
      <c r="B62" s="0" t="s">
        <v>146</v>
      </c>
      <c r="C62" s="22" t="n">
        <f aca="false">a25_aip</f>
        <v>31.390065</v>
      </c>
      <c r="D62" s="22" t="n">
        <f aca="false">D58*D61</f>
        <v>59.35208013</v>
      </c>
      <c r="E62" s="22" t="n">
        <f aca="false">E58*E61</f>
        <v>119.720246973387</v>
      </c>
      <c r="F62" s="22" t="n">
        <f aca="false">F58*F61</f>
        <v>129.50134706097</v>
      </c>
      <c r="G62" s="22" t="n">
        <f aca="false">G58*G61</f>
        <v>155.590145386411</v>
      </c>
    </row>
    <row r="63" customFormat="false" ht="17.15" hidden="false" customHeight="false" outlineLevel="0" collapsed="false">
      <c r="A63" s="0" t="s">
        <v>438</v>
      </c>
      <c r="B63" s="0" t="s">
        <v>146</v>
      </c>
      <c r="C63" s="22" t="n">
        <f aca="false">a25_ai</f>
        <v>34.87785</v>
      </c>
      <c r="D63" s="22" t="n">
        <f aca="false">D62/(1-x_np)</f>
        <v>65.9467557</v>
      </c>
      <c r="E63" s="22" t="n">
        <f aca="false">E62/(1-x_np)</f>
        <v>133.022496637097</v>
      </c>
      <c r="F63" s="22" t="n">
        <f aca="false">F62/(1-x_np)</f>
        <v>143.8903856233</v>
      </c>
      <c r="G63" s="22" t="n">
        <f aca="false">G62/(1-x_np)</f>
        <v>172.877939318235</v>
      </c>
      <c r="K63" s="4" t="s">
        <v>439</v>
      </c>
    </row>
    <row r="64" customFormat="false" ht="17.15" hidden="false" customHeight="false" outlineLevel="0" collapsed="false">
      <c r="A64" s="6" t="s">
        <v>440</v>
      </c>
    </row>
    <row r="65" customFormat="false" ht="17.15" hidden="false" customHeight="false" outlineLevel="0" collapsed="false">
      <c r="A65" s="4" t="s">
        <v>441</v>
      </c>
      <c r="B65" s="0" t="s">
        <v>146</v>
      </c>
      <c r="C65" s="22" t="n">
        <f aca="false">a25_nai</f>
        <v>131.20715</v>
      </c>
      <c r="D65" s="22" t="n">
        <f aca="false">a26_nai</f>
        <v>146.7847143</v>
      </c>
      <c r="E65" s="22" t="n">
        <f aca="false">D65*(1+g_nai27)</f>
        <v>151.188255729</v>
      </c>
      <c r="F65" s="22" t="n">
        <f aca="false">E65*(1+g_nai28)</f>
        <v>155.72390340087</v>
      </c>
      <c r="G65" s="22" t="n">
        <f aca="false">F65*(1+g_nai29)</f>
        <v>160.395620502896</v>
      </c>
    </row>
    <row r="66" customFormat="false" ht="17.15" hidden="false" customHeight="false" outlineLevel="0" collapsed="false">
      <c r="A66" s="4" t="s">
        <v>328</v>
      </c>
      <c r="B66" s="0" t="s">
        <v>146</v>
      </c>
      <c r="C66" s="22" t="n">
        <f aca="false">C63+C65</f>
        <v>166.085</v>
      </c>
      <c r="D66" s="22" t="n">
        <f aca="false">D63+D65</f>
        <v>212.73147</v>
      </c>
      <c r="E66" s="22" t="n">
        <f aca="false">E63+E65</f>
        <v>284.210752366097</v>
      </c>
      <c r="F66" s="22" t="n">
        <f aca="false">F63+F65</f>
        <v>299.61428902417</v>
      </c>
      <c r="G66" s="22" t="n">
        <f aca="false">G63+G65</f>
        <v>333.273559821131</v>
      </c>
      <c r="H66" s="24" t="n">
        <f aca="false">G66*(1+H67)</f>
        <v>362.677621191844</v>
      </c>
      <c r="I66" s="24" t="n">
        <f aca="false">H66*(1+I67)</f>
        <v>385.930335140875</v>
      </c>
      <c r="J66" s="24" t="n">
        <f aca="false">I66*(1+J67)</f>
        <v>401.36754854651</v>
      </c>
      <c r="K66" s="8" t="s">
        <v>442</v>
      </c>
    </row>
    <row r="67" customFormat="false" ht="15" hidden="false" customHeight="false" outlineLevel="0" collapsed="false">
      <c r="A67" s="4" t="s">
        <v>443</v>
      </c>
      <c r="B67" s="0" t="s">
        <v>49</v>
      </c>
      <c r="D67" s="17" t="n">
        <f aca="false">D66/C66-1</f>
        <v>0.280859017972725</v>
      </c>
      <c r="E67" s="17" t="n">
        <f aca="false">E66/D66-1</f>
        <v>0.336007090846017</v>
      </c>
      <c r="F67" s="17" t="n">
        <f aca="false">F66/E66-1</f>
        <v>0.0541975858753987</v>
      </c>
      <c r="G67" s="17" t="n">
        <f aca="false">G66/F66-1</f>
        <v>0.112342007808064</v>
      </c>
      <c r="H67" s="25" t="n">
        <f aca="false">$G67+(fade_gB-$G67)*1/3</f>
        <v>0.0882280052053762</v>
      </c>
      <c r="I67" s="25" t="n">
        <f aca="false">$G67+(fade_gB-$G67)*2/3</f>
        <v>0.0641140026026881</v>
      </c>
      <c r="J67" s="25" t="n">
        <f aca="false">$G67+(fade_gB-$G67)*3/3</f>
        <v>0.04</v>
      </c>
    </row>
    <row r="68" customFormat="false" ht="17.15" hidden="false" customHeight="false" outlineLevel="0" collapsed="false">
      <c r="A68" s="0" t="s">
        <v>444</v>
      </c>
      <c r="B68" s="0" t="s">
        <v>49</v>
      </c>
      <c r="C68" s="17" t="n">
        <f aca="false">C63/C66</f>
        <v>0.21</v>
      </c>
      <c r="D68" s="17" t="n">
        <f aca="false">D63/D66</f>
        <v>0.31</v>
      </c>
      <c r="E68" s="17" t="n">
        <f aca="false">E63/E66</f>
        <v>0.468041745534484</v>
      </c>
      <c r="F68" s="17" t="n">
        <f aca="false">F63/F66</f>
        <v>0.48025208040626</v>
      </c>
      <c r="G68" s="17" t="n">
        <f aca="false">G63/G66</f>
        <v>0.518726836329348</v>
      </c>
    </row>
    <row r="69" customFormat="false" ht="17.15" hidden="false" customHeight="false" outlineLevel="0" collapsed="false">
      <c r="A69" s="4" t="s">
        <v>401</v>
      </c>
      <c r="B69" s="0" t="s">
        <v>402</v>
      </c>
      <c r="D69" s="21" t="n">
        <f aca="false">D63/fx/D55*1000</f>
        <v>88.0716581635228</v>
      </c>
      <c r="E69" s="21" t="n">
        <f aca="false">E63/fx/E55*1000</f>
        <v>99.8145459186591</v>
      </c>
      <c r="F69" s="21" t="n">
        <f aca="false">F63/fx/F55*1000</f>
        <v>106.468848979903</v>
      </c>
      <c r="G69" s="21" t="n">
        <f aca="false">G63/fx/G55*1000</f>
        <v>105.685989796227</v>
      </c>
    </row>
    <row r="70" customFormat="false" ht="17.15" hidden="false" customHeight="false" outlineLevel="0" collapsed="false">
      <c r="A70" s="6" t="s">
        <v>445</v>
      </c>
    </row>
    <row r="71" customFormat="false" ht="17.15" hidden="false" customHeight="false" outlineLevel="0" collapsed="false">
      <c r="A71" s="4" t="s">
        <v>446</v>
      </c>
      <c r="B71" s="0" t="s">
        <v>49</v>
      </c>
      <c r="D71" s="17" t="n">
        <f aca="false">a26_gp/D66-d_ai*D68</f>
        <v>0.216982337009188</v>
      </c>
      <c r="K71" s="8" t="s">
        <v>447</v>
      </c>
    </row>
    <row r="72" customFormat="false" ht="17.15" hidden="false" customHeight="false" outlineLevel="0" collapsed="false">
      <c r="A72" s="0" t="s">
        <v>448</v>
      </c>
      <c r="B72" s="0" t="s">
        <v>49</v>
      </c>
      <c r="D72" s="17" t="n">
        <f aca="false">D71+d_ai</f>
        <v>0.336982337009188</v>
      </c>
      <c r="E72" s="17" t="n">
        <f aca="false">$D$72+gmu_27</f>
        <v>0.336982337009188</v>
      </c>
      <c r="F72" s="17" t="n">
        <f aca="false">$D$72+gmu_28</f>
        <v>0.336982337009188</v>
      </c>
      <c r="G72" s="17" t="n">
        <f aca="false">$D$72+gmu_29</f>
        <v>0.336982337009188</v>
      </c>
      <c r="K72" s="4" t="s">
        <v>449</v>
      </c>
    </row>
    <row r="73" customFormat="false" ht="15" hidden="false" customHeight="false" outlineLevel="0" collapsed="false">
      <c r="A73" s="4" t="s">
        <v>332</v>
      </c>
      <c r="B73" s="0" t="s">
        <v>146</v>
      </c>
      <c r="C73" s="22" t="n">
        <f aca="false">a25_gp</f>
        <v>38.039</v>
      </c>
      <c r="D73" s="22" t="n">
        <f aca="false">a26_gp</f>
        <v>54.0725822</v>
      </c>
      <c r="E73" s="22" t="n">
        <f aca="false">E63*E72+E65*$D$71</f>
        <v>77.631412847987</v>
      </c>
      <c r="F73" s="22" t="n">
        <f aca="false">F63*F72+F65*$D$71</f>
        <v>82.2778549086068</v>
      </c>
      <c r="G73" s="22" t="n">
        <f aca="false">G63*G72+G65*$D$71</f>
        <v>93.0598285915487</v>
      </c>
    </row>
    <row r="74" customFormat="false" ht="15" hidden="false" customHeight="false" outlineLevel="0" collapsed="false">
      <c r="A74" s="4" t="s">
        <v>335</v>
      </c>
      <c r="B74" s="0" t="s">
        <v>49</v>
      </c>
      <c r="C74" s="17" t="n">
        <f aca="false">C73/C66</f>
        <v>0.229033326308818</v>
      </c>
      <c r="D74" s="17" t="n">
        <f aca="false">D73/D66</f>
        <v>0.254182337009188</v>
      </c>
      <c r="E74" s="17" t="n">
        <f aca="false">E73/E66</f>
        <v>0.273147346473326</v>
      </c>
      <c r="F74" s="17" t="n">
        <f aca="false">F73/F66</f>
        <v>0.274612586657939</v>
      </c>
      <c r="G74" s="17" t="n">
        <f aca="false">G73/G66</f>
        <v>0.27922955736871</v>
      </c>
    </row>
    <row r="75" customFormat="false" ht="15" hidden="false" customHeight="false" outlineLevel="0" collapsed="false">
      <c r="A75" s="4" t="s">
        <v>450</v>
      </c>
      <c r="B75" s="0" t="s">
        <v>146</v>
      </c>
      <c r="C75" s="22" t="n">
        <f aca="false">a25_opx</f>
        <v>21.301</v>
      </c>
      <c r="D75" s="22" t="n">
        <f aca="false">a26_opx</f>
        <v>25.21033346</v>
      </c>
      <c r="E75" s="22" t="n">
        <f aca="false">D75*(1+MAX(0,phi*E67))</f>
        <v>31.1399290236068</v>
      </c>
      <c r="F75" s="22" t="n">
        <f aca="false">E75*(1+MAX(0,phi*F67))</f>
        <v>32.3213253077944</v>
      </c>
      <c r="G75" s="22" t="n">
        <f aca="false">F75*(1+MAX(0,phi*G67))</f>
        <v>34.863055113861</v>
      </c>
    </row>
    <row r="76" customFormat="false" ht="15" hidden="false" customHeight="false" outlineLevel="0" collapsed="false">
      <c r="A76" s="4" t="s">
        <v>337</v>
      </c>
      <c r="B76" s="0" t="s">
        <v>146</v>
      </c>
      <c r="C76" s="22" t="n">
        <f aca="false">C75</f>
        <v>21.301</v>
      </c>
      <c r="D76" s="22" t="n">
        <f aca="false">D75</f>
        <v>25.21033346</v>
      </c>
      <c r="E76" s="22" t="n">
        <f aca="false">E75+0*E66</f>
        <v>31.1399290236068</v>
      </c>
      <c r="F76" s="22" t="n">
        <f aca="false">F75+0*F66</f>
        <v>32.3213253077944</v>
      </c>
      <c r="G76" s="22" t="n">
        <f aca="false">G75+0*G66</f>
        <v>34.863055113861</v>
      </c>
    </row>
    <row r="77" customFormat="false" ht="15" hidden="false" customHeight="false" outlineLevel="0" collapsed="false">
      <c r="A77" s="4" t="s">
        <v>340</v>
      </c>
      <c r="B77" s="0" t="s">
        <v>146</v>
      </c>
      <c r="C77" s="22" t="n">
        <f aca="false">C73-C76</f>
        <v>16.738</v>
      </c>
      <c r="D77" s="22" t="n">
        <f aca="false">D73-D76</f>
        <v>28.86224874</v>
      </c>
      <c r="E77" s="22" t="n">
        <f aca="false">E73-E76</f>
        <v>46.4914838243801</v>
      </c>
      <c r="F77" s="22" t="n">
        <f aca="false">F73-F76</f>
        <v>49.9565296008124</v>
      </c>
      <c r="G77" s="22" t="n">
        <f aca="false">G73-G76</f>
        <v>58.1967734776877</v>
      </c>
    </row>
    <row r="78" customFormat="false" ht="15" hidden="false" customHeight="false" outlineLevel="0" collapsed="false">
      <c r="A78" s="4" t="s">
        <v>342</v>
      </c>
      <c r="B78" s="0" t="s">
        <v>49</v>
      </c>
      <c r="C78" s="17" t="n">
        <f aca="false">C77/C66</f>
        <v>0.100779721227083</v>
      </c>
      <c r="D78" s="17" t="n">
        <f aca="false">D77/D66</f>
        <v>0.135674560703219</v>
      </c>
      <c r="E78" s="17" t="n">
        <f aca="false">E77/E66</f>
        <v>0.16358101668333</v>
      </c>
      <c r="F78" s="17" t="n">
        <f aca="false">F77/F66</f>
        <v>0.166736138531705</v>
      </c>
      <c r="G78" s="17" t="n">
        <f aca="false">G77/G66</f>
        <v>0.174621633678117</v>
      </c>
    </row>
    <row r="79" customFormat="false" ht="15" hidden="false" customHeight="false" outlineLevel="0" collapsed="false">
      <c r="A79" s="4" t="s">
        <v>344</v>
      </c>
      <c r="B79" s="0" t="s">
        <v>146</v>
      </c>
      <c r="C79" s="22" t="n">
        <f aca="false">a25_nop</f>
        <v>2.9762895</v>
      </c>
      <c r="D79" s="22" t="n">
        <f aca="false">a26_nop</f>
        <v>3.839</v>
      </c>
      <c r="E79" s="22" t="n">
        <f aca="false">nop_f</f>
        <v>3.5</v>
      </c>
      <c r="F79" s="22" t="n">
        <f aca="false">nop_f</f>
        <v>3.5</v>
      </c>
      <c r="G79" s="22" t="n">
        <f aca="false">nop_f</f>
        <v>3.5</v>
      </c>
    </row>
    <row r="80" customFormat="false" ht="17.15" hidden="false" customHeight="false" outlineLevel="0" collapsed="false">
      <c r="A80" s="4" t="s">
        <v>451</v>
      </c>
      <c r="B80" s="0" t="s">
        <v>49</v>
      </c>
      <c r="C80" s="17" t="n">
        <f aca="false">a25_ni/a25_pt</f>
        <v>0.766753475949514</v>
      </c>
      <c r="D80" s="17" t="n">
        <f aca="false">a26_ni/a26_pt</f>
        <v>0.759431002022174</v>
      </c>
      <c r="E80" s="17" t="n">
        <f aca="false">nir_f</f>
        <v>0.76</v>
      </c>
      <c r="F80" s="17" t="n">
        <f aca="false">nir_f</f>
        <v>0.76</v>
      </c>
      <c r="G80" s="17" t="n">
        <f aca="false">nir_f</f>
        <v>0.76</v>
      </c>
    </row>
    <row r="81" customFormat="false" ht="15" hidden="false" customHeight="false" outlineLevel="0" collapsed="false">
      <c r="A81" s="4" t="s">
        <v>349</v>
      </c>
      <c r="B81" s="0" t="s">
        <v>146</v>
      </c>
      <c r="C81" s="22" t="n">
        <f aca="false">a25_ni</f>
        <v>15.116</v>
      </c>
      <c r="D81" s="22" t="n">
        <f aca="false">a26_ni</f>
        <v>24.8343420979946</v>
      </c>
      <c r="E81" s="22" t="n">
        <f aca="false">(E77+E79)*E80</f>
        <v>37.9935277065289</v>
      </c>
      <c r="F81" s="22" t="n">
        <f aca="false">(F77+F79)*F80</f>
        <v>40.6269624966174</v>
      </c>
      <c r="G81" s="22" t="n">
        <f aca="false">(G77+G79)*G80</f>
        <v>46.8895478430426</v>
      </c>
      <c r="H81" s="24" t="n">
        <f aca="false">H66*H85</f>
        <v>46.9654950723429</v>
      </c>
      <c r="I81" s="24" t="n">
        <f aca="false">I66*I85</f>
        <v>45.655248397784</v>
      </c>
      <c r="J81" s="24" t="n">
        <f aca="false">J66*J85</f>
        <v>42.9872100839171</v>
      </c>
    </row>
    <row r="82" customFormat="false" ht="15" hidden="false" customHeight="false" outlineLevel="0" collapsed="false">
      <c r="A82" s="4" t="s">
        <v>452</v>
      </c>
      <c r="B82" s="4" t="s">
        <v>176</v>
      </c>
      <c r="C82" s="27" t="n">
        <f aca="false">a25_sh</f>
        <v>2.27650602409639</v>
      </c>
      <c r="D82" s="27" t="n">
        <f aca="false">a26_sh</f>
        <v>2.26895833333333</v>
      </c>
      <c r="E82" s="27" t="n">
        <f aca="false">D82*(1+sh_g)</f>
        <v>2.26895833333333</v>
      </c>
      <c r="F82" s="27" t="n">
        <f aca="false">E82*(1+sh_g)</f>
        <v>2.26895833333333</v>
      </c>
      <c r="G82" s="27" t="n">
        <f aca="false">F82*(1+sh_g)</f>
        <v>2.26895833333333</v>
      </c>
      <c r="H82" s="28" t="n">
        <f aca="false">G82*(1+sh_g)</f>
        <v>2.26895833333333</v>
      </c>
      <c r="I82" s="28" t="n">
        <f aca="false">H82*(1+sh_g)</f>
        <v>2.26895833333333</v>
      </c>
      <c r="J82" s="28" t="n">
        <f aca="false">I82*(1+sh_g)</f>
        <v>2.26895833333333</v>
      </c>
    </row>
    <row r="83" customFormat="false" ht="15" hidden="false" customHeight="false" outlineLevel="0" collapsed="false">
      <c r="A83" s="0" t="s">
        <v>355</v>
      </c>
      <c r="B83" s="0" t="s">
        <v>209</v>
      </c>
      <c r="C83" s="23" t="n">
        <f aca="false">C81/C82</f>
        <v>6.64</v>
      </c>
      <c r="D83" s="23" t="n">
        <f aca="false">D81/D82</f>
        <v>10.9452614149641</v>
      </c>
      <c r="E83" s="23" t="n">
        <f aca="false">E81/E82</f>
        <v>16.7449208512844</v>
      </c>
      <c r="F83" s="23" t="n">
        <f aca="false">F81/F82</f>
        <v>17.9055568803382</v>
      </c>
      <c r="G83" s="23" t="n">
        <f aca="false">G81/G82</f>
        <v>20.665671623047</v>
      </c>
      <c r="H83" s="29" t="n">
        <f aca="false">H81/H82</f>
        <v>20.6991439121519</v>
      </c>
      <c r="I83" s="29" t="n">
        <f aca="false">I81/I82</f>
        <v>20.1216777439503</v>
      </c>
      <c r="J83" s="29" t="n">
        <f aca="false">J81/J82</f>
        <v>18.9457908734553</v>
      </c>
    </row>
    <row r="84" customFormat="false" ht="17.15" hidden="false" customHeight="false" outlineLevel="0" collapsed="false">
      <c r="A84" s="0" t="s">
        <v>453</v>
      </c>
      <c r="B84" s="0" t="s">
        <v>49</v>
      </c>
      <c r="D84" s="17" t="n">
        <f aca="false">D83/C83-1</f>
        <v>0.648382743217484</v>
      </c>
      <c r="E84" s="17" t="n">
        <f aca="false">E83/D83-1</f>
        <v>0.529878567211852</v>
      </c>
      <c r="F84" s="17" t="n">
        <f aca="false">F83/E83-1</f>
        <v>0.0693127211147595</v>
      </c>
      <c r="G84" s="17" t="n">
        <f aca="false">G83/F83-1</f>
        <v>0.154148500443434</v>
      </c>
      <c r="H84" s="25" t="n">
        <f aca="false">H83/G83-1</f>
        <v>0.00161970487654362</v>
      </c>
      <c r="I84" s="25" t="n">
        <f aca="false">I83/H83-1</f>
        <v>-0.0278980701159588</v>
      </c>
      <c r="J84" s="25" t="n">
        <f aca="false">J83/I83-1</f>
        <v>-0.0584388084064473</v>
      </c>
    </row>
    <row r="85" customFormat="false" ht="17.15" hidden="false" customHeight="false" outlineLevel="0" collapsed="false">
      <c r="A85" s="4" t="s">
        <v>454</v>
      </c>
      <c r="B85" s="0" t="s">
        <v>49</v>
      </c>
      <c r="C85" s="17" t="n">
        <f aca="false">C81/C66</f>
        <v>0.0910136375952073</v>
      </c>
      <c r="D85" s="17" t="n">
        <f aca="false">D81/D66</f>
        <v>0.116740330417472</v>
      </c>
      <c r="E85" s="17" t="n">
        <f aca="false">E81/E66</f>
        <v>0.133680824494595</v>
      </c>
      <c r="F85" s="17" t="n">
        <f aca="false">F81/F66</f>
        <v>0.135597546528697</v>
      </c>
      <c r="G85" s="17" t="n">
        <f aca="false">G81/G66</f>
        <v>0.140693872829901</v>
      </c>
      <c r="H85" s="25" t="n">
        <f aca="false">$G85+(fade_mB-$G85)*1/3</f>
        <v>0.12949653446497</v>
      </c>
      <c r="I85" s="25" t="n">
        <f aca="false">$G85+(fade_mB-$G85)*2/3</f>
        <v>0.118299196100039</v>
      </c>
      <c r="J85" s="25" t="n">
        <f aca="false">$G85+(fade_mB-$G85)*3/3</f>
        <v>0.107101857735107</v>
      </c>
    </row>
    <row r="88" customFormat="false" ht="17.15" hidden="false" customHeight="false" outlineLevel="0" collapsed="false">
      <c r="A88" s="1" t="s">
        <v>728</v>
      </c>
    </row>
    <row r="89" customFormat="false" ht="17.15" hidden="false" customHeight="false" outlineLevel="0" collapsed="false">
      <c r="A89" s="5" t="s">
        <v>18</v>
      </c>
      <c r="B89" s="5" t="s">
        <v>19</v>
      </c>
      <c r="C89" s="14" t="s">
        <v>323</v>
      </c>
      <c r="D89" s="14" t="s">
        <v>407</v>
      </c>
      <c r="E89" s="14" t="s">
        <v>408</v>
      </c>
      <c r="F89" s="14" t="s">
        <v>409</v>
      </c>
      <c r="G89" s="14" t="s">
        <v>410</v>
      </c>
      <c r="H89" s="14" t="s">
        <v>411</v>
      </c>
      <c r="I89" s="14" t="s">
        <v>412</v>
      </c>
      <c r="J89" s="14" t="s">
        <v>413</v>
      </c>
      <c r="K89" s="5" t="s">
        <v>380</v>
      </c>
    </row>
    <row r="90" customFormat="false" ht="17.15" hidden="false" customHeight="false" outlineLevel="0" collapsed="false">
      <c r="A90" s="6" t="s">
        <v>428</v>
      </c>
    </row>
    <row r="91" customFormat="false" ht="17.15" hidden="false" customHeight="false" outlineLevel="0" collapsed="false">
      <c r="A91" s="0" t="s">
        <v>429</v>
      </c>
      <c r="B91" s="0" t="s">
        <v>29</v>
      </c>
      <c r="D91" s="23" t="n">
        <f aca="false">itc_26*1</f>
        <v>781.872916666667</v>
      </c>
      <c r="E91" s="23" t="n">
        <f aca="false">itc_27*1*1</f>
        <v>1565.35</v>
      </c>
      <c r="F91" s="23" t="n">
        <f aca="false">itc_28*um28_B*1</f>
        <v>1587.41111111111</v>
      </c>
      <c r="G91" s="23" t="n">
        <f aca="false">itc_29*um29_B*1</f>
        <v>1921.33173611111</v>
      </c>
    </row>
    <row r="92" customFormat="false" ht="17.15" hidden="false" customHeight="false" outlineLevel="0" collapsed="false">
      <c r="A92" s="4" t="s">
        <v>430</v>
      </c>
      <c r="B92" s="0" t="s">
        <v>29</v>
      </c>
      <c r="D92" s="23" t="n">
        <f aca="false">itpg_gb*(1-vr26)+itpg_vr*vr26</f>
        <v>33.41403216</v>
      </c>
      <c r="E92" s="23" t="n">
        <f aca="false">itpg_vr</f>
        <v>37.586352</v>
      </c>
      <c r="F92" s="23" t="n">
        <f aca="false">itpg_vr</f>
        <v>37.586352</v>
      </c>
      <c r="G92" s="23" t="n">
        <f aca="false">itpg_vr</f>
        <v>37.586352</v>
      </c>
    </row>
    <row r="93" customFormat="false" ht="17.15" hidden="false" customHeight="false" outlineLevel="0" collapsed="false">
      <c r="A93" s="4" t="s">
        <v>431</v>
      </c>
      <c r="B93" s="0" t="s">
        <v>382</v>
      </c>
      <c r="D93" s="20" t="n">
        <f aca="false">D91/D92</f>
        <v>23.3995380420639</v>
      </c>
      <c r="E93" s="20" t="n">
        <f aca="false">E91/E92</f>
        <v>41.6467658260637</v>
      </c>
      <c r="F93" s="20" t="n">
        <f aca="false">F91/F92</f>
        <v>42.2337105529984</v>
      </c>
      <c r="G93" s="20" t="n">
        <f aca="false">G91/G92</f>
        <v>51.1178029756948</v>
      </c>
    </row>
    <row r="94" customFormat="false" ht="17.15" hidden="false" customHeight="false" outlineLevel="0" collapsed="false">
      <c r="A94" s="0" t="s">
        <v>384</v>
      </c>
      <c r="B94" s="0" t="s">
        <v>87</v>
      </c>
      <c r="D94" s="21" t="n">
        <f aca="false">pkw_26</f>
        <v>450</v>
      </c>
      <c r="E94" s="21" t="n">
        <f aca="false">pkw_27</f>
        <v>600</v>
      </c>
      <c r="F94" s="21" t="n">
        <f aca="false">pkw_28</f>
        <v>680</v>
      </c>
      <c r="G94" s="21" t="n">
        <f aca="false">pkw_29</f>
        <v>720</v>
      </c>
    </row>
    <row r="95" customFormat="false" ht="17.15" hidden="false" customHeight="false" outlineLevel="0" collapsed="false">
      <c r="A95" s="0" t="s">
        <v>432</v>
      </c>
      <c r="B95" s="0" t="s">
        <v>29</v>
      </c>
      <c r="D95" s="23" t="n">
        <f aca="false">D93*D94/1000</f>
        <v>10.5297921189288</v>
      </c>
      <c r="E95" s="23" t="n">
        <f aca="false">E93*E94/1000</f>
        <v>24.9880594956382</v>
      </c>
      <c r="F95" s="23" t="n">
        <f aca="false">F93*F94/1000</f>
        <v>28.7189231760389</v>
      </c>
      <c r="G95" s="23" t="n">
        <f aca="false">G93*G94/1000</f>
        <v>36.8048181425003</v>
      </c>
    </row>
    <row r="96" customFormat="false" ht="17.15" hidden="false" customHeight="false" outlineLevel="0" collapsed="false">
      <c r="A96" s="0" t="s">
        <v>433</v>
      </c>
      <c r="B96" s="0" t="s">
        <v>146</v>
      </c>
      <c r="D96" s="22" t="n">
        <f aca="false">D95*fx</f>
        <v>336.95334780572</v>
      </c>
      <c r="E96" s="22" t="n">
        <f aca="false">E95*fx</f>
        <v>799.617903860422</v>
      </c>
      <c r="F96" s="22" t="n">
        <f aca="false">F95*fx</f>
        <v>919.005541633245</v>
      </c>
      <c r="G96" s="22" t="n">
        <f aca="false">G95*fx</f>
        <v>1177.75418056001</v>
      </c>
    </row>
    <row r="97" customFormat="false" ht="17.15" hidden="false" customHeight="false" outlineLevel="0" collapsed="false">
      <c r="A97" s="4" t="s">
        <v>434</v>
      </c>
      <c r="B97" s="0" t="s">
        <v>49</v>
      </c>
      <c r="D97" s="17" t="n">
        <f aca="false">a26_aip/D96</f>
        <v>0.176143316327046</v>
      </c>
      <c r="K97" s="8" t="s">
        <v>435</v>
      </c>
    </row>
    <row r="98" customFormat="false" ht="17.15" hidden="false" customHeight="false" outlineLevel="0" collapsed="false">
      <c r="A98" s="4" t="s">
        <v>436</v>
      </c>
      <c r="B98" s="0" t="s">
        <v>60</v>
      </c>
      <c r="D98" s="18" t="n">
        <f aca="false">1</f>
        <v>1</v>
      </c>
      <c r="E98" s="18" t="n">
        <f aca="false">RHI_27</f>
        <v>1.1</v>
      </c>
      <c r="F98" s="18" t="n">
        <f aca="false">RHI_28</f>
        <v>1.2</v>
      </c>
      <c r="G98" s="18" t="n">
        <f aca="false">RHI_29</f>
        <v>1.25</v>
      </c>
    </row>
    <row r="99" customFormat="false" ht="15" hidden="false" customHeight="false" outlineLevel="0" collapsed="false">
      <c r="A99" s="4" t="s">
        <v>390</v>
      </c>
      <c r="B99" s="0" t="s">
        <v>49</v>
      </c>
      <c r="D99" s="17" t="n">
        <f aca="false">$D$97*D98</f>
        <v>0.176143316327046</v>
      </c>
      <c r="E99" s="17" t="n">
        <f aca="false">$D$97*E98</f>
        <v>0.19375764795975</v>
      </c>
      <c r="F99" s="17" t="n">
        <f aca="false">$D$97*F98</f>
        <v>0.211371979592455</v>
      </c>
      <c r="G99" s="17" t="n">
        <f aca="false">$D$97*G98</f>
        <v>0.220179145408807</v>
      </c>
    </row>
    <row r="100" customFormat="false" ht="17.15" hidden="false" customHeight="false" outlineLevel="0" collapsed="false">
      <c r="A100" s="0" t="s">
        <v>437</v>
      </c>
      <c r="B100" s="0" t="s">
        <v>146</v>
      </c>
      <c r="C100" s="22" t="n">
        <f aca="false">a25_aip</f>
        <v>31.390065</v>
      </c>
      <c r="D100" s="22" t="n">
        <f aca="false">D96*D99</f>
        <v>59.35208013</v>
      </c>
      <c r="E100" s="22" t="n">
        <f aca="false">E96*E99</f>
        <v>154.932084318501</v>
      </c>
      <c r="F100" s="22" t="n">
        <f aca="false">F96*F99</f>
        <v>194.252020591455</v>
      </c>
      <c r="G100" s="22" t="n">
        <f aca="false">G96*G99</f>
        <v>259.316908977352</v>
      </c>
    </row>
    <row r="101" customFormat="false" ht="17.15" hidden="false" customHeight="false" outlineLevel="0" collapsed="false">
      <c r="A101" s="0" t="s">
        <v>438</v>
      </c>
      <c r="B101" s="0" t="s">
        <v>146</v>
      </c>
      <c r="C101" s="22" t="n">
        <f aca="false">a25_ai</f>
        <v>34.87785</v>
      </c>
      <c r="D101" s="22" t="n">
        <f aca="false">D100/(1-x_np)</f>
        <v>65.9467557</v>
      </c>
      <c r="E101" s="22" t="n">
        <f aca="false">E100/(1-x_np)</f>
        <v>172.14676035389</v>
      </c>
      <c r="F101" s="22" t="n">
        <f aca="false">F100/(1-x_np)</f>
        <v>215.83557843495</v>
      </c>
      <c r="G101" s="22" t="n">
        <f aca="false">G100/(1-x_np)</f>
        <v>288.129898863725</v>
      </c>
      <c r="K101" s="4" t="s">
        <v>439</v>
      </c>
    </row>
    <row r="102" customFormat="false" ht="17.15" hidden="false" customHeight="false" outlineLevel="0" collapsed="false">
      <c r="A102" s="6" t="s">
        <v>440</v>
      </c>
    </row>
    <row r="103" customFormat="false" ht="17.15" hidden="false" customHeight="false" outlineLevel="0" collapsed="false">
      <c r="A103" s="4" t="s">
        <v>441</v>
      </c>
      <c r="B103" s="0" t="s">
        <v>146</v>
      </c>
      <c r="C103" s="22" t="n">
        <f aca="false">a25_nai</f>
        <v>131.20715</v>
      </c>
      <c r="D103" s="22" t="n">
        <f aca="false">a26_nai</f>
        <v>146.7847143</v>
      </c>
      <c r="E103" s="22" t="n">
        <f aca="false">D103*(1+g_nai27)</f>
        <v>151.188255729</v>
      </c>
      <c r="F103" s="22" t="n">
        <f aca="false">E103*(1+g_nai28)</f>
        <v>155.72390340087</v>
      </c>
      <c r="G103" s="22" t="n">
        <f aca="false">F103*(1+g_nai29)</f>
        <v>160.395620502896</v>
      </c>
    </row>
    <row r="104" customFormat="false" ht="17.15" hidden="false" customHeight="false" outlineLevel="0" collapsed="false">
      <c r="A104" s="4" t="s">
        <v>328</v>
      </c>
      <c r="B104" s="0" t="s">
        <v>146</v>
      </c>
      <c r="C104" s="22" t="n">
        <f aca="false">C101+C103</f>
        <v>166.085</v>
      </c>
      <c r="D104" s="22" t="n">
        <f aca="false">D101+D103</f>
        <v>212.73147</v>
      </c>
      <c r="E104" s="22" t="n">
        <f aca="false">E101+E103</f>
        <v>323.33501608289</v>
      </c>
      <c r="F104" s="22" t="n">
        <f aca="false">F101+F103</f>
        <v>371.55948183582</v>
      </c>
      <c r="G104" s="22" t="n">
        <f aca="false">G101+G103</f>
        <v>448.525519366621</v>
      </c>
      <c r="H104" s="24" t="n">
        <f aca="false">G104*(1+H105)</f>
        <v>516.445214595284</v>
      </c>
      <c r="I104" s="24" t="n">
        <f aca="false">H104*(1+I105)</f>
        <v>565.876466538608</v>
      </c>
      <c r="J104" s="24" t="n">
        <f aca="false">I104*(1+J105)</f>
        <v>588.511525200153</v>
      </c>
      <c r="K104" s="8" t="s">
        <v>442</v>
      </c>
    </row>
    <row r="105" customFormat="false" ht="15" hidden="false" customHeight="false" outlineLevel="0" collapsed="false">
      <c r="A105" s="4" t="s">
        <v>443</v>
      </c>
      <c r="B105" s="0" t="s">
        <v>49</v>
      </c>
      <c r="D105" s="17" t="n">
        <f aca="false">D104/C104-1</f>
        <v>0.280859017972725</v>
      </c>
      <c r="E105" s="17" t="n">
        <f aca="false">E104/D104-1</f>
        <v>0.519920941094846</v>
      </c>
      <c r="F105" s="17" t="n">
        <f aca="false">F104/E104-1</f>
        <v>0.14914705600759</v>
      </c>
      <c r="G105" s="17" t="n">
        <f aca="false">G104/F104-1</f>
        <v>0.207143247026084</v>
      </c>
      <c r="H105" s="25" t="n">
        <f aca="false">$G105+(fade_gB-$G105)*1/3</f>
        <v>0.151428831350722</v>
      </c>
      <c r="I105" s="25" t="n">
        <f aca="false">$G105+(fade_gB-$G105)*2/3</f>
        <v>0.0957144156753612</v>
      </c>
      <c r="J105" s="25" t="n">
        <f aca="false">$G105+(fade_gB-$G105)*3/3</f>
        <v>0.04</v>
      </c>
    </row>
    <row r="106" customFormat="false" ht="17.15" hidden="false" customHeight="false" outlineLevel="0" collapsed="false">
      <c r="A106" s="0" t="s">
        <v>444</v>
      </c>
      <c r="B106" s="0" t="s">
        <v>49</v>
      </c>
      <c r="C106" s="17" t="n">
        <f aca="false">C101/C104</f>
        <v>0.21</v>
      </c>
      <c r="D106" s="17" t="n">
        <f aca="false">D101/D104</f>
        <v>0.31</v>
      </c>
      <c r="E106" s="17" t="n">
        <f aca="false">E101/E104</f>
        <v>0.532409890024898</v>
      </c>
      <c r="F106" s="17" t="n">
        <f aca="false">F101/F104</f>
        <v>0.580891052405764</v>
      </c>
      <c r="G106" s="17" t="n">
        <f aca="false">G101/G104</f>
        <v>0.642393546014067</v>
      </c>
    </row>
    <row r="107" customFormat="false" ht="17.15" hidden="false" customHeight="false" outlineLevel="0" collapsed="false">
      <c r="A107" s="4" t="s">
        <v>401</v>
      </c>
      <c r="B107" s="0" t="s">
        <v>402</v>
      </c>
      <c r="D107" s="21" t="n">
        <f aca="false">D101/fx/D93*1000</f>
        <v>88.0716581635228</v>
      </c>
      <c r="E107" s="21" t="n">
        <f aca="false">E101/fx/E93*1000</f>
        <v>129.1717653065</v>
      </c>
      <c r="F107" s="21" t="n">
        <f aca="false">F101/fx/F93*1000</f>
        <v>159.703273469855</v>
      </c>
      <c r="G107" s="21" t="n">
        <f aca="false">G101/fx/G93*1000</f>
        <v>176.143316327045</v>
      </c>
    </row>
    <row r="108" customFormat="false" ht="17.15" hidden="false" customHeight="false" outlineLevel="0" collapsed="false">
      <c r="A108" s="6" t="s">
        <v>445</v>
      </c>
    </row>
    <row r="109" customFormat="false" ht="17.15" hidden="false" customHeight="false" outlineLevel="0" collapsed="false">
      <c r="A109" s="4" t="s">
        <v>446</v>
      </c>
      <c r="B109" s="0" t="s">
        <v>49</v>
      </c>
      <c r="D109" s="17" t="n">
        <f aca="false">a26_gp/D104-d_ai*D106</f>
        <v>0.216982337009188</v>
      </c>
      <c r="K109" s="8" t="s">
        <v>447</v>
      </c>
    </row>
    <row r="110" customFormat="false" ht="17.15" hidden="false" customHeight="false" outlineLevel="0" collapsed="false">
      <c r="A110" s="0" t="s">
        <v>448</v>
      </c>
      <c r="B110" s="0" t="s">
        <v>49</v>
      </c>
      <c r="D110" s="17" t="n">
        <f aca="false">D109+d_ai</f>
        <v>0.336982337009188</v>
      </c>
      <c r="E110" s="17" t="n">
        <f aca="false">$D$110+gmu_27</f>
        <v>0.336982337009188</v>
      </c>
      <c r="F110" s="17" t="n">
        <f aca="false">$D$110+gmu_28</f>
        <v>0.336982337009188</v>
      </c>
      <c r="G110" s="17" t="n">
        <f aca="false">$D$110+gmu_29</f>
        <v>0.336982337009188</v>
      </c>
      <c r="K110" s="4" t="s">
        <v>449</v>
      </c>
    </row>
    <row r="111" customFormat="false" ht="15" hidden="false" customHeight="false" outlineLevel="0" collapsed="false">
      <c r="A111" s="4" t="s">
        <v>332</v>
      </c>
      <c r="B111" s="0" t="s">
        <v>146</v>
      </c>
      <c r="C111" s="22" t="n">
        <f aca="false">a25_gp</f>
        <v>38.039</v>
      </c>
      <c r="D111" s="22" t="n">
        <f aca="false">a26_gp</f>
        <v>54.0725822</v>
      </c>
      <c r="E111" s="22" t="n">
        <f aca="false">E101*E110+E103*$D$109</f>
        <v>90.8155986690357</v>
      </c>
      <c r="F111" s="22" t="n">
        <f aca="false">F101*F110+F103*$D$109</f>
        <v>106.522114118853</v>
      </c>
      <c r="G111" s="22" t="n">
        <f aca="false">G101*G110+G103*$D$109</f>
        <v>131.897703264076</v>
      </c>
    </row>
    <row r="112" customFormat="false" ht="15" hidden="false" customHeight="false" outlineLevel="0" collapsed="false">
      <c r="A112" s="4" t="s">
        <v>335</v>
      </c>
      <c r="B112" s="0" t="s">
        <v>49</v>
      </c>
      <c r="C112" s="17" t="n">
        <f aca="false">C111/C104</f>
        <v>0.229033326308818</v>
      </c>
      <c r="D112" s="17" t="n">
        <f aca="false">D111/D104</f>
        <v>0.254182337009188</v>
      </c>
      <c r="E112" s="17" t="n">
        <f aca="false">E111/E104</f>
        <v>0.280871523812176</v>
      </c>
      <c r="F112" s="17" t="n">
        <f aca="false">F111/F104</f>
        <v>0.28668926329788</v>
      </c>
      <c r="G112" s="17" t="n">
        <f aca="false">G111/G104</f>
        <v>0.294069562530876</v>
      </c>
    </row>
    <row r="113" customFormat="false" ht="15" hidden="false" customHeight="false" outlineLevel="0" collapsed="false">
      <c r="A113" s="4" t="s">
        <v>450</v>
      </c>
      <c r="B113" s="0" t="s">
        <v>146</v>
      </c>
      <c r="C113" s="22" t="n">
        <f aca="false">a25_opx</f>
        <v>21.301</v>
      </c>
      <c r="D113" s="22" t="n">
        <f aca="false">a26_opx</f>
        <v>25.21033346</v>
      </c>
      <c r="E113" s="22" t="n">
        <f aca="false">D113*(1+MAX(0,phi*E105))</f>
        <v>34.3854996684867</v>
      </c>
      <c r="F113" s="22" t="n">
        <f aca="false">E113*(1+MAX(0,phi*F105))</f>
        <v>37.97544689992</v>
      </c>
      <c r="G113" s="22" t="n">
        <f aca="false">F113*(1+MAX(0,phi*G105))</f>
        <v>43.4818970646012</v>
      </c>
    </row>
    <row r="114" customFormat="false" ht="15" hidden="false" customHeight="false" outlineLevel="0" collapsed="false">
      <c r="A114" s="4" t="s">
        <v>337</v>
      </c>
      <c r="B114" s="0" t="s">
        <v>146</v>
      </c>
      <c r="C114" s="22" t="n">
        <f aca="false">C113</f>
        <v>21.301</v>
      </c>
      <c r="D114" s="22" t="n">
        <f aca="false">D113</f>
        <v>25.21033346</v>
      </c>
      <c r="E114" s="22" t="n">
        <f aca="false">E113+0*E104</f>
        <v>34.3854996684867</v>
      </c>
      <c r="F114" s="22" t="n">
        <f aca="false">F113+0*F104</f>
        <v>37.97544689992</v>
      </c>
      <c r="G114" s="22" t="n">
        <f aca="false">G113+0*G104</f>
        <v>43.4818970646012</v>
      </c>
    </row>
    <row r="115" customFormat="false" ht="15" hidden="false" customHeight="false" outlineLevel="0" collapsed="false">
      <c r="A115" s="4" t="s">
        <v>340</v>
      </c>
      <c r="B115" s="0" t="s">
        <v>146</v>
      </c>
      <c r="C115" s="22" t="n">
        <f aca="false">C111-C114</f>
        <v>16.738</v>
      </c>
      <c r="D115" s="22" t="n">
        <f aca="false">D111-D114</f>
        <v>28.86224874</v>
      </c>
      <c r="E115" s="22" t="n">
        <f aca="false">E111-E114</f>
        <v>56.4300990005491</v>
      </c>
      <c r="F115" s="22" t="n">
        <f aca="false">F111-F114</f>
        <v>68.5466672189332</v>
      </c>
      <c r="G115" s="22" t="n">
        <f aca="false">G111-G114</f>
        <v>88.415806199475</v>
      </c>
    </row>
    <row r="116" customFormat="false" ht="15" hidden="false" customHeight="false" outlineLevel="0" collapsed="false">
      <c r="A116" s="4" t="s">
        <v>342</v>
      </c>
      <c r="B116" s="0" t="s">
        <v>49</v>
      </c>
      <c r="C116" s="17" t="n">
        <f aca="false">C115/C104</f>
        <v>0.100779721227083</v>
      </c>
      <c r="D116" s="17" t="n">
        <f aca="false">D115/D104</f>
        <v>0.135674560703219</v>
      </c>
      <c r="E116" s="17" t="n">
        <f aca="false">E115/E104</f>
        <v>0.174525171087819</v>
      </c>
      <c r="F116" s="17" t="n">
        <f aca="false">F115/F104</f>
        <v>0.184483697953971</v>
      </c>
      <c r="G116" s="17" t="n">
        <f aca="false">G115/G104</f>
        <v>0.197125475322631</v>
      </c>
    </row>
    <row r="117" customFormat="false" ht="15" hidden="false" customHeight="false" outlineLevel="0" collapsed="false">
      <c r="A117" s="4" t="s">
        <v>344</v>
      </c>
      <c r="B117" s="0" t="s">
        <v>146</v>
      </c>
      <c r="C117" s="22" t="n">
        <f aca="false">a25_nop</f>
        <v>2.9762895</v>
      </c>
      <c r="D117" s="22" t="n">
        <f aca="false">a26_nop</f>
        <v>3.839</v>
      </c>
      <c r="E117" s="22" t="n">
        <f aca="false">nop_f</f>
        <v>3.5</v>
      </c>
      <c r="F117" s="22" t="n">
        <f aca="false">nop_f</f>
        <v>3.5</v>
      </c>
      <c r="G117" s="22" t="n">
        <f aca="false">nop_f</f>
        <v>3.5</v>
      </c>
    </row>
    <row r="118" customFormat="false" ht="17.15" hidden="false" customHeight="false" outlineLevel="0" collapsed="false">
      <c r="A118" s="4" t="s">
        <v>451</v>
      </c>
      <c r="B118" s="0" t="s">
        <v>49</v>
      </c>
      <c r="C118" s="17" t="n">
        <f aca="false">a25_ni/a25_pt</f>
        <v>0.766753475949514</v>
      </c>
      <c r="D118" s="17" t="n">
        <f aca="false">a26_ni/a26_pt</f>
        <v>0.759431002022174</v>
      </c>
      <c r="E118" s="17" t="n">
        <f aca="false">nir_f</f>
        <v>0.76</v>
      </c>
      <c r="F118" s="17" t="n">
        <f aca="false">nir_f</f>
        <v>0.76</v>
      </c>
      <c r="G118" s="17" t="n">
        <f aca="false">nir_f</f>
        <v>0.76</v>
      </c>
    </row>
    <row r="119" customFormat="false" ht="15" hidden="false" customHeight="false" outlineLevel="0" collapsed="false">
      <c r="A119" s="4" t="s">
        <v>349</v>
      </c>
      <c r="B119" s="0" t="s">
        <v>146</v>
      </c>
      <c r="C119" s="22" t="n">
        <f aca="false">a25_ni</f>
        <v>15.116</v>
      </c>
      <c r="D119" s="22" t="n">
        <f aca="false">a26_ni</f>
        <v>24.8343420979946</v>
      </c>
      <c r="E119" s="22" t="n">
        <f aca="false">(E115+E117)*E118</f>
        <v>45.5468752404173</v>
      </c>
      <c r="F119" s="22" t="n">
        <f aca="false">(F115+F117)*F118</f>
        <v>54.7554670863893</v>
      </c>
      <c r="G119" s="22" t="n">
        <f aca="false">(G115+G117)*G118</f>
        <v>69.856012711601</v>
      </c>
      <c r="H119" s="24" t="n">
        <f aca="false">H104*H123</f>
        <v>72.0602320200804</v>
      </c>
      <c r="I119" s="24" t="n">
        <f aca="false">I104*I123</f>
        <v>69.7819279180883</v>
      </c>
      <c r="J119" s="24" t="n">
        <f aca="false">J104*J123</f>
        <v>63.0306776474579</v>
      </c>
    </row>
    <row r="120" customFormat="false" ht="15" hidden="false" customHeight="false" outlineLevel="0" collapsed="false">
      <c r="A120" s="4" t="s">
        <v>452</v>
      </c>
      <c r="B120" s="4" t="s">
        <v>176</v>
      </c>
      <c r="C120" s="27" t="n">
        <f aca="false">a25_sh</f>
        <v>2.27650602409639</v>
      </c>
      <c r="D120" s="27" t="n">
        <f aca="false">a26_sh</f>
        <v>2.26895833333333</v>
      </c>
      <c r="E120" s="27" t="n">
        <f aca="false">D120*(1+sh_g)</f>
        <v>2.26895833333333</v>
      </c>
      <c r="F120" s="27" t="n">
        <f aca="false">E120*(1+sh_g)</f>
        <v>2.26895833333333</v>
      </c>
      <c r="G120" s="27" t="n">
        <f aca="false">F120*(1+sh_g)</f>
        <v>2.26895833333333</v>
      </c>
      <c r="H120" s="28" t="n">
        <f aca="false">G120*(1+sh_g)</f>
        <v>2.26895833333333</v>
      </c>
      <c r="I120" s="28" t="n">
        <f aca="false">H120*(1+sh_g)</f>
        <v>2.26895833333333</v>
      </c>
      <c r="J120" s="28" t="n">
        <f aca="false">I120*(1+sh_g)</f>
        <v>2.26895833333333</v>
      </c>
    </row>
    <row r="121" customFormat="false" ht="15" hidden="false" customHeight="false" outlineLevel="0" collapsed="false">
      <c r="A121" s="0" t="s">
        <v>355</v>
      </c>
      <c r="B121" s="0" t="s">
        <v>209</v>
      </c>
      <c r="C121" s="23" t="n">
        <f aca="false">C119/C120</f>
        <v>6.64</v>
      </c>
      <c r="D121" s="23" t="n">
        <f aca="false">D119/D120</f>
        <v>10.9452614149641</v>
      </c>
      <c r="E121" s="23" t="n">
        <f aca="false">E119/E120</f>
        <v>20.0739143470758</v>
      </c>
      <c r="F121" s="23" t="n">
        <f aca="false">F119/F120</f>
        <v>24.1324251230069</v>
      </c>
      <c r="G121" s="23" t="n">
        <f aca="false">G119/G120</f>
        <v>30.7877018653645</v>
      </c>
      <c r="H121" s="29" t="n">
        <f aca="false">H119/H120</f>
        <v>31.759169378054</v>
      </c>
      <c r="I121" s="29" t="n">
        <f aca="false">I119/I120</f>
        <v>30.7550504092208</v>
      </c>
      <c r="J121" s="29" t="n">
        <f aca="false">J119/J120</f>
        <v>27.7795659450737</v>
      </c>
    </row>
    <row r="122" customFormat="false" ht="17.15" hidden="false" customHeight="false" outlineLevel="0" collapsed="false">
      <c r="A122" s="0" t="s">
        <v>453</v>
      </c>
      <c r="B122" s="0" t="s">
        <v>49</v>
      </c>
      <c r="D122" s="17" t="n">
        <f aca="false">D121/C121-1</f>
        <v>0.648382743217484</v>
      </c>
      <c r="E122" s="17" t="n">
        <f aca="false">E121/D121-1</f>
        <v>0.834027857903081</v>
      </c>
      <c r="F122" s="17" t="n">
        <f aca="false">F121/E121-1</f>
        <v>0.202178344779193</v>
      </c>
      <c r="G122" s="17" t="n">
        <f aca="false">G121/F121-1</f>
        <v>0.275781514225552</v>
      </c>
      <c r="H122" s="25" t="n">
        <f aca="false">H121/G121-1</f>
        <v>0.031553752109778</v>
      </c>
      <c r="I122" s="25" t="n">
        <f aca="false">I121/H121-1</f>
        <v>-0.0316166634234145</v>
      </c>
      <c r="J122" s="25" t="n">
        <f aca="false">J121/I121-1</f>
        <v>-0.0967478324553494</v>
      </c>
    </row>
    <row r="123" customFormat="false" ht="17.15" hidden="false" customHeight="false" outlineLevel="0" collapsed="false">
      <c r="A123" s="4" t="s">
        <v>454</v>
      </c>
      <c r="B123" s="0" t="s">
        <v>49</v>
      </c>
      <c r="C123" s="17" t="n">
        <f aca="false">C119/C104</f>
        <v>0.0910136375952073</v>
      </c>
      <c r="D123" s="17" t="n">
        <f aca="false">D119/D104</f>
        <v>0.116740330417472</v>
      </c>
      <c r="E123" s="17" t="n">
        <f aca="false">E119/E104</f>
        <v>0.140865891335261</v>
      </c>
      <c r="F123" s="17" t="n">
        <f aca="false">F119/F104</f>
        <v>0.147366625703779</v>
      </c>
      <c r="G123" s="17" t="n">
        <f aca="false">G119/G104</f>
        <v>0.155745904514524</v>
      </c>
      <c r="H123" s="25" t="n">
        <f aca="false">$G123+(fade_mB-$G123)*1/3</f>
        <v>0.139531222254719</v>
      </c>
      <c r="I123" s="25" t="n">
        <f aca="false">$G123+(fade_mB-$G123)*2/3</f>
        <v>0.123316539994913</v>
      </c>
      <c r="J123" s="25" t="n">
        <f aca="false">$G123+(fade_mB-$G123)*3/3</f>
        <v>0.107101857735107</v>
      </c>
    </row>
    <row r="126" customFormat="false" ht="17.15" hidden="false" customHeight="false" outlineLevel="0" collapsed="false">
      <c r="A126" s="1" t="s">
        <v>729</v>
      </c>
    </row>
    <row r="127" customFormat="false" ht="17.15" hidden="false" customHeight="false" outlineLevel="0" collapsed="false">
      <c r="A127" s="5" t="s">
        <v>18</v>
      </c>
      <c r="B127" s="5" t="s">
        <v>19</v>
      </c>
      <c r="C127" s="14" t="s">
        <v>323</v>
      </c>
      <c r="D127" s="14" t="s">
        <v>407</v>
      </c>
      <c r="E127" s="14" t="s">
        <v>408</v>
      </c>
      <c r="F127" s="14" t="s">
        <v>409</v>
      </c>
      <c r="G127" s="14" t="s">
        <v>410</v>
      </c>
      <c r="H127" s="14" t="s">
        <v>411</v>
      </c>
      <c r="I127" s="14" t="s">
        <v>412</v>
      </c>
      <c r="J127" s="14" t="s">
        <v>413</v>
      </c>
      <c r="K127" s="5" t="s">
        <v>380</v>
      </c>
    </row>
    <row r="128" customFormat="false" ht="17.15" hidden="false" customHeight="false" outlineLevel="0" collapsed="false">
      <c r="A128" s="6" t="s">
        <v>428</v>
      </c>
    </row>
    <row r="129" customFormat="false" ht="17.15" hidden="false" customHeight="false" outlineLevel="0" collapsed="false">
      <c r="A129" s="0" t="s">
        <v>429</v>
      </c>
      <c r="B129" s="0" t="s">
        <v>29</v>
      </c>
      <c r="D129" s="23" t="n">
        <f aca="false">itc_26*1</f>
        <v>781.872916666667</v>
      </c>
      <c r="E129" s="23" t="n">
        <f aca="false">itc_27*1*1</f>
        <v>1565.35</v>
      </c>
      <c r="F129" s="23" t="n">
        <f aca="false">itc_28*um28_B*1</f>
        <v>1587.41111111111</v>
      </c>
      <c r="G129" s="23" t="n">
        <f aca="false">itc_29*um29_B*1</f>
        <v>1921.33173611111</v>
      </c>
    </row>
    <row r="130" customFormat="false" ht="17.15" hidden="false" customHeight="false" outlineLevel="0" collapsed="false">
      <c r="A130" s="4" t="s">
        <v>430</v>
      </c>
      <c r="B130" s="0" t="s">
        <v>29</v>
      </c>
      <c r="D130" s="23" t="n">
        <f aca="false">itpg_gb*(1-vr26)+itpg_vr*vr26</f>
        <v>33.41403216</v>
      </c>
      <c r="E130" s="23" t="n">
        <f aca="false">itpg_vr</f>
        <v>37.586352</v>
      </c>
      <c r="F130" s="23" t="n">
        <f aca="false">itpg_vr</f>
        <v>37.586352</v>
      </c>
      <c r="G130" s="23" t="n">
        <f aca="false">itpg_vr</f>
        <v>37.586352</v>
      </c>
    </row>
    <row r="131" customFormat="false" ht="17.15" hidden="false" customHeight="false" outlineLevel="0" collapsed="false">
      <c r="A131" s="4" t="s">
        <v>431</v>
      </c>
      <c r="B131" s="0" t="s">
        <v>382</v>
      </c>
      <c r="D131" s="20" t="n">
        <f aca="false">D129/D130</f>
        <v>23.3995380420639</v>
      </c>
      <c r="E131" s="20" t="n">
        <f aca="false">E129/E130</f>
        <v>41.6467658260637</v>
      </c>
      <c r="F131" s="20" t="n">
        <f aca="false">F129/F130</f>
        <v>42.2337105529984</v>
      </c>
      <c r="G131" s="20" t="n">
        <f aca="false">G129/G130</f>
        <v>51.1178029756948</v>
      </c>
    </row>
    <row r="132" customFormat="false" ht="17.15" hidden="false" customHeight="false" outlineLevel="0" collapsed="false">
      <c r="A132" s="0" t="s">
        <v>384</v>
      </c>
      <c r="B132" s="0" t="s">
        <v>87</v>
      </c>
      <c r="D132" s="21" t="n">
        <f aca="false">PKLO_26</f>
        <v>380</v>
      </c>
      <c r="E132" s="21" t="n">
        <f aca="false">PKLO_27</f>
        <v>500</v>
      </c>
      <c r="F132" s="21" t="n">
        <f aca="false">PKLO_28</f>
        <v>550</v>
      </c>
      <c r="G132" s="21" t="n">
        <f aca="false">PKLO_29</f>
        <v>550</v>
      </c>
    </row>
    <row r="133" customFormat="false" ht="17.15" hidden="false" customHeight="false" outlineLevel="0" collapsed="false">
      <c r="A133" s="0" t="s">
        <v>432</v>
      </c>
      <c r="B133" s="0" t="s">
        <v>29</v>
      </c>
      <c r="D133" s="23" t="n">
        <f aca="false">D131*D132/1000</f>
        <v>8.89182445598429</v>
      </c>
      <c r="E133" s="23" t="n">
        <f aca="false">E131*E132/1000</f>
        <v>20.8233829130318</v>
      </c>
      <c r="F133" s="23" t="n">
        <f aca="false">F131*F132/1000</f>
        <v>23.2285408041491</v>
      </c>
      <c r="G133" s="23" t="n">
        <f aca="false">G131*G132/1000</f>
        <v>28.1147916366322</v>
      </c>
    </row>
    <row r="134" customFormat="false" ht="17.15" hidden="false" customHeight="false" outlineLevel="0" collapsed="false">
      <c r="A134" s="0" t="s">
        <v>433</v>
      </c>
      <c r="B134" s="0" t="s">
        <v>146</v>
      </c>
      <c r="D134" s="22" t="n">
        <f aca="false">D133*fx</f>
        <v>284.538382591497</v>
      </c>
      <c r="E134" s="22" t="n">
        <f aca="false">E133*fx</f>
        <v>666.348253217019</v>
      </c>
      <c r="F134" s="22" t="n">
        <f aca="false">F133*fx</f>
        <v>743.313305732772</v>
      </c>
      <c r="G134" s="22" t="n">
        <f aca="false">G133*fx</f>
        <v>899.673332372229</v>
      </c>
    </row>
    <row r="135" customFormat="false" ht="17.15" hidden="false" customHeight="false" outlineLevel="0" collapsed="false">
      <c r="A135" s="4" t="s">
        <v>434</v>
      </c>
      <c r="B135" s="0" t="s">
        <v>49</v>
      </c>
      <c r="D135" s="17" t="n">
        <f aca="false">a26_aip/D134</f>
        <v>0.208590769334659</v>
      </c>
      <c r="K135" s="8" t="s">
        <v>435</v>
      </c>
    </row>
    <row r="136" customFormat="false" ht="17.15" hidden="false" customHeight="false" outlineLevel="0" collapsed="false">
      <c r="A136" s="4" t="s">
        <v>436</v>
      </c>
      <c r="B136" s="0" t="s">
        <v>60</v>
      </c>
      <c r="D136" s="18" t="n">
        <f aca="false">1</f>
        <v>1</v>
      </c>
      <c r="E136" s="18" t="n">
        <f aca="false">rel_27</f>
        <v>1</v>
      </c>
      <c r="F136" s="18" t="n">
        <f aca="false">rel_28</f>
        <v>1</v>
      </c>
      <c r="G136" s="18" t="n">
        <f aca="false">rel_29</f>
        <v>1</v>
      </c>
    </row>
    <row r="137" customFormat="false" ht="15" hidden="false" customHeight="false" outlineLevel="0" collapsed="false">
      <c r="A137" s="4" t="s">
        <v>390</v>
      </c>
      <c r="B137" s="0" t="s">
        <v>49</v>
      </c>
      <c r="D137" s="17" t="n">
        <f aca="false">$D$135*D136</f>
        <v>0.208590769334659</v>
      </c>
      <c r="E137" s="17" t="n">
        <f aca="false">$D$135*E136</f>
        <v>0.208590769334659</v>
      </c>
      <c r="F137" s="17" t="n">
        <f aca="false">$D$135*F136</f>
        <v>0.208590769334659</v>
      </c>
      <c r="G137" s="17" t="n">
        <f aca="false">$D$135*G136</f>
        <v>0.208590769334659</v>
      </c>
    </row>
    <row r="138" customFormat="false" ht="17.15" hidden="false" customHeight="false" outlineLevel="0" collapsed="false">
      <c r="A138" s="0" t="s">
        <v>437</v>
      </c>
      <c r="B138" s="0" t="s">
        <v>146</v>
      </c>
      <c r="C138" s="22" t="n">
        <f aca="false">a25_aip</f>
        <v>31.390065</v>
      </c>
      <c r="D138" s="22" t="n">
        <f aca="false">D134*D137</f>
        <v>59.35208013</v>
      </c>
      <c r="E138" s="22" t="n">
        <f aca="false">E134*E137</f>
        <v>138.994094783344</v>
      </c>
      <c r="F138" s="22" t="n">
        <f aca="false">F134*F137</f>
        <v>155.048294299488</v>
      </c>
      <c r="G138" s="22" t="n">
        <f aca="false">G134*G137</f>
        <v>187.6635525494</v>
      </c>
    </row>
    <row r="139" customFormat="false" ht="17.15" hidden="false" customHeight="false" outlineLevel="0" collapsed="false">
      <c r="A139" s="0" t="s">
        <v>438</v>
      </c>
      <c r="B139" s="0" t="s">
        <v>146</v>
      </c>
      <c r="C139" s="22" t="n">
        <f aca="false">a25_ai</f>
        <v>34.87785</v>
      </c>
      <c r="D139" s="22" t="n">
        <f aca="false">D138/(1-x_np)</f>
        <v>65.9467557</v>
      </c>
      <c r="E139" s="22" t="n">
        <f aca="false">E138/(1-x_np)</f>
        <v>154.437883092605</v>
      </c>
      <c r="F139" s="22" t="n">
        <f aca="false">F138/(1-x_np)</f>
        <v>172.275882554986</v>
      </c>
      <c r="G139" s="22" t="n">
        <f aca="false">G138/(1-x_np)</f>
        <v>208.515058388222</v>
      </c>
      <c r="K139" s="4" t="s">
        <v>439</v>
      </c>
    </row>
    <row r="140" customFormat="false" ht="17.15" hidden="false" customHeight="false" outlineLevel="0" collapsed="false">
      <c r="A140" s="6" t="s">
        <v>440</v>
      </c>
    </row>
    <row r="141" customFormat="false" ht="17.15" hidden="false" customHeight="false" outlineLevel="0" collapsed="false">
      <c r="A141" s="4" t="s">
        <v>441</v>
      </c>
      <c r="B141" s="0" t="s">
        <v>146</v>
      </c>
      <c r="C141" s="22" t="n">
        <f aca="false">a25_nai</f>
        <v>131.20715</v>
      </c>
      <c r="D141" s="22" t="n">
        <f aca="false">a26_nai</f>
        <v>146.7847143</v>
      </c>
      <c r="E141" s="22" t="n">
        <f aca="false">D141*(1+g_nai27)</f>
        <v>151.188255729</v>
      </c>
      <c r="F141" s="22" t="n">
        <f aca="false">E141*(1+g_nai28)</f>
        <v>155.72390340087</v>
      </c>
      <c r="G141" s="22" t="n">
        <f aca="false">F141*(1+g_nai29)</f>
        <v>160.395620502896</v>
      </c>
    </row>
    <row r="142" customFormat="false" ht="17.15" hidden="false" customHeight="false" outlineLevel="0" collapsed="false">
      <c r="A142" s="4" t="s">
        <v>328</v>
      </c>
      <c r="B142" s="0" t="s">
        <v>146</v>
      </c>
      <c r="C142" s="22" t="n">
        <f aca="false">C139+C141</f>
        <v>166.085</v>
      </c>
      <c r="D142" s="22" t="n">
        <f aca="false">D139+D141</f>
        <v>212.73147</v>
      </c>
      <c r="E142" s="22" t="n">
        <f aca="false">E139+E141</f>
        <v>305.626138821605</v>
      </c>
      <c r="F142" s="22" t="n">
        <f aca="false">F139+F141</f>
        <v>327.999785955856</v>
      </c>
      <c r="G142" s="22" t="n">
        <f aca="false">G139+G141</f>
        <v>368.910678891118</v>
      </c>
      <c r="H142" s="24" t="n">
        <f aca="false">G142*(1+H143)</f>
        <v>404.505250414017</v>
      </c>
      <c r="I142" s="24" t="n">
        <f aca="false">H142*(1+I143)</f>
        <v>432.109823139155</v>
      </c>
      <c r="J142" s="24" t="n">
        <f aca="false">I142*(1+J143)</f>
        <v>449.394216064721</v>
      </c>
      <c r="K142" s="8" t="s">
        <v>442</v>
      </c>
    </row>
    <row r="143" customFormat="false" ht="15" hidden="false" customHeight="false" outlineLevel="0" collapsed="false">
      <c r="A143" s="4" t="s">
        <v>443</v>
      </c>
      <c r="B143" s="0" t="s">
        <v>49</v>
      </c>
      <c r="D143" s="17" t="n">
        <f aca="false">D142/C142-1</f>
        <v>0.280859017972725</v>
      </c>
      <c r="E143" s="17" t="n">
        <f aca="false">E142/D142-1</f>
        <v>0.436675724666429</v>
      </c>
      <c r="F143" s="17" t="n">
        <f aca="false">F142/E142-1</f>
        <v>0.0732059346118659</v>
      </c>
      <c r="G143" s="17" t="n">
        <f aca="false">G142/F142-1</f>
        <v>0.124728413514172</v>
      </c>
      <c r="H143" s="25" t="n">
        <f aca="false">$G143+(fade_gB-$G143)*1/3</f>
        <v>0.096485609009448</v>
      </c>
      <c r="I143" s="25" t="n">
        <f aca="false">$G143+(fade_gB-$G143)*2/3</f>
        <v>0.068242804504724</v>
      </c>
      <c r="J143" s="25" t="n">
        <f aca="false">$G143+(fade_gB-$G143)*3/3</f>
        <v>0.04</v>
      </c>
    </row>
    <row r="144" customFormat="false" ht="17.15" hidden="false" customHeight="false" outlineLevel="0" collapsed="false">
      <c r="A144" s="0" t="s">
        <v>444</v>
      </c>
      <c r="B144" s="0" t="s">
        <v>49</v>
      </c>
      <c r="C144" s="17" t="n">
        <f aca="false">C139/C142</f>
        <v>0.21</v>
      </c>
      <c r="D144" s="17" t="n">
        <f aca="false">D139/D142</f>
        <v>0.31</v>
      </c>
      <c r="E144" s="17" t="n">
        <f aca="false">E139/E142</f>
        <v>0.505316343975247</v>
      </c>
      <c r="F144" s="17" t="n">
        <f aca="false">F139/F142</f>
        <v>0.525231692005348</v>
      </c>
      <c r="G144" s="17" t="n">
        <f aca="false">G139/G142</f>
        <v>0.565218277266959</v>
      </c>
    </row>
    <row r="145" customFormat="false" ht="17.15" hidden="false" customHeight="false" outlineLevel="0" collapsed="false">
      <c r="A145" s="4" t="s">
        <v>401</v>
      </c>
      <c r="B145" s="0" t="s">
        <v>402</v>
      </c>
      <c r="D145" s="21" t="n">
        <f aca="false">D139/fx/D131*1000</f>
        <v>88.0716581635228</v>
      </c>
      <c r="E145" s="21" t="n">
        <f aca="false">E139/fx/E131*1000</f>
        <v>115.883760741477</v>
      </c>
      <c r="F145" s="21" t="n">
        <f aca="false">F139/fx/F131*1000</f>
        <v>127.472136815625</v>
      </c>
      <c r="G145" s="21" t="n">
        <f aca="false">G139/fx/G131*1000</f>
        <v>127.472136815625</v>
      </c>
    </row>
    <row r="146" customFormat="false" ht="17.15" hidden="false" customHeight="false" outlineLevel="0" collapsed="false">
      <c r="A146" s="6" t="s">
        <v>445</v>
      </c>
    </row>
    <row r="147" customFormat="false" ht="17.15" hidden="false" customHeight="false" outlineLevel="0" collapsed="false">
      <c r="A147" s="4" t="s">
        <v>446</v>
      </c>
      <c r="B147" s="0" t="s">
        <v>49</v>
      </c>
      <c r="D147" s="17" t="n">
        <f aca="false">a26_gp/D142-d_ai*D144</f>
        <v>0.216982337009188</v>
      </c>
      <c r="K147" s="8" t="s">
        <v>447</v>
      </c>
    </row>
    <row r="148" customFormat="false" ht="17.15" hidden="false" customHeight="false" outlineLevel="0" collapsed="false">
      <c r="A148" s="0" t="s">
        <v>448</v>
      </c>
      <c r="B148" s="0" t="s">
        <v>49</v>
      </c>
      <c r="D148" s="17" t="n">
        <f aca="false">D147+d_ai</f>
        <v>0.336982337009188</v>
      </c>
      <c r="E148" s="17" t="n">
        <f aca="false">$D$148+gmu_27</f>
        <v>0.336982337009188</v>
      </c>
      <c r="F148" s="17" t="n">
        <f aca="false">$D$148+gmu_28</f>
        <v>0.336982337009188</v>
      </c>
      <c r="G148" s="17" t="n">
        <f aca="false">$D$148+gmu_29</f>
        <v>0.336982337009188</v>
      </c>
      <c r="K148" s="4" t="s">
        <v>449</v>
      </c>
    </row>
    <row r="149" customFormat="false" ht="15" hidden="false" customHeight="false" outlineLevel="0" collapsed="false">
      <c r="A149" s="4" t="s">
        <v>332</v>
      </c>
      <c r="B149" s="0" t="s">
        <v>146</v>
      </c>
      <c r="C149" s="22" t="n">
        <f aca="false">a25_gp</f>
        <v>38.039</v>
      </c>
      <c r="D149" s="22" t="n">
        <f aca="false">a26_gp</f>
        <v>54.0725822</v>
      </c>
      <c r="E149" s="22" t="n">
        <f aca="false">E139*E148+E141*$D$147</f>
        <v>84.8480198237189</v>
      </c>
      <c r="F149" s="22" t="n">
        <f aca="false">F139*F148+F141*$D$147</f>
        <v>91.8432660018135</v>
      </c>
      <c r="G149" s="22" t="n">
        <f aca="false">G139*G148+G141*$D$147</f>
        <v>105.068908260028</v>
      </c>
    </row>
    <row r="150" customFormat="false" ht="15" hidden="false" customHeight="false" outlineLevel="0" collapsed="false">
      <c r="A150" s="4" t="s">
        <v>335</v>
      </c>
      <c r="B150" s="0" t="s">
        <v>49</v>
      </c>
      <c r="C150" s="17" t="n">
        <f aca="false">C149/C142</f>
        <v>0.229033326308818</v>
      </c>
      <c r="D150" s="17" t="n">
        <f aca="false">D149/D142</f>
        <v>0.254182337009188</v>
      </c>
      <c r="E150" s="17" t="n">
        <f aca="false">E149/E142</f>
        <v>0.277620298286218</v>
      </c>
      <c r="F150" s="17" t="n">
        <f aca="false">F149/F142</f>
        <v>0.28001014004983</v>
      </c>
      <c r="G150" s="17" t="n">
        <f aca="false">G149/G142</f>
        <v>0.284808530281223</v>
      </c>
    </row>
    <row r="151" customFormat="false" ht="15" hidden="false" customHeight="false" outlineLevel="0" collapsed="false">
      <c r="A151" s="4" t="s">
        <v>450</v>
      </c>
      <c r="B151" s="0" t="s">
        <v>146</v>
      </c>
      <c r="C151" s="22" t="n">
        <f aca="false">a25_opx</f>
        <v>21.301</v>
      </c>
      <c r="D151" s="22" t="n">
        <f aca="false">a26_opx</f>
        <v>25.21033346</v>
      </c>
      <c r="E151" s="22" t="n">
        <f aca="false">D151*(1+MAX(0,phi*E143))</f>
        <v>32.9164519029095</v>
      </c>
      <c r="F151" s="22" t="n">
        <f aca="false">E151*(1+MAX(0,phi*F143))</f>
        <v>34.6032276408708</v>
      </c>
      <c r="G151" s="22" t="n">
        <f aca="false">F151*(1+MAX(0,phi*G143))</f>
        <v>37.6244316211517</v>
      </c>
    </row>
    <row r="152" customFormat="false" ht="15" hidden="false" customHeight="false" outlineLevel="0" collapsed="false">
      <c r="A152" s="4" t="s">
        <v>337</v>
      </c>
      <c r="B152" s="0" t="s">
        <v>146</v>
      </c>
      <c r="C152" s="22" t="n">
        <f aca="false">C151</f>
        <v>21.301</v>
      </c>
      <c r="D152" s="22" t="n">
        <f aca="false">D151</f>
        <v>25.21033346</v>
      </c>
      <c r="E152" s="22" t="n">
        <f aca="false">E151+0*E142</f>
        <v>32.9164519029095</v>
      </c>
      <c r="F152" s="22" t="n">
        <f aca="false">F151+0*F142</f>
        <v>34.6032276408708</v>
      </c>
      <c r="G152" s="22" t="n">
        <f aca="false">G151+0*G142</f>
        <v>37.6244316211517</v>
      </c>
    </row>
    <row r="153" customFormat="false" ht="15" hidden="false" customHeight="false" outlineLevel="0" collapsed="false">
      <c r="A153" s="4" t="s">
        <v>340</v>
      </c>
      <c r="B153" s="0" t="s">
        <v>146</v>
      </c>
      <c r="C153" s="22" t="n">
        <f aca="false">C149-C152</f>
        <v>16.738</v>
      </c>
      <c r="D153" s="22" t="n">
        <f aca="false">D149-D152</f>
        <v>28.86224874</v>
      </c>
      <c r="E153" s="22" t="n">
        <f aca="false">E149-E152</f>
        <v>51.9315679208094</v>
      </c>
      <c r="F153" s="22" t="n">
        <f aca="false">F149-F152</f>
        <v>57.2400383609427</v>
      </c>
      <c r="G153" s="22" t="n">
        <f aca="false">G149-G152</f>
        <v>67.4444766388759</v>
      </c>
    </row>
    <row r="154" customFormat="false" ht="15" hidden="false" customHeight="false" outlineLevel="0" collapsed="false">
      <c r="A154" s="4" t="s">
        <v>342</v>
      </c>
      <c r="B154" s="0" t="s">
        <v>49</v>
      </c>
      <c r="C154" s="17" t="n">
        <f aca="false">C153/C142</f>
        <v>0.100779721227083</v>
      </c>
      <c r="D154" s="17" t="n">
        <f aca="false">D153/D142</f>
        <v>0.135674560703219</v>
      </c>
      <c r="E154" s="17" t="n">
        <f aca="false">E153/E142</f>
        <v>0.169918607489008</v>
      </c>
      <c r="F154" s="17" t="n">
        <f aca="false">F153/F142</f>
        <v>0.174512425958249</v>
      </c>
      <c r="G154" s="17" t="n">
        <f aca="false">G153/G142</f>
        <v>0.182820613492682</v>
      </c>
    </row>
    <row r="155" customFormat="false" ht="15" hidden="false" customHeight="false" outlineLevel="0" collapsed="false">
      <c r="A155" s="4" t="s">
        <v>344</v>
      </c>
      <c r="B155" s="0" t="s">
        <v>146</v>
      </c>
      <c r="C155" s="22" t="n">
        <f aca="false">a25_nop</f>
        <v>2.9762895</v>
      </c>
      <c r="D155" s="22" t="n">
        <f aca="false">a26_nop</f>
        <v>3.839</v>
      </c>
      <c r="E155" s="22" t="n">
        <f aca="false">nop_f</f>
        <v>3.5</v>
      </c>
      <c r="F155" s="22" t="n">
        <f aca="false">nop_f</f>
        <v>3.5</v>
      </c>
      <c r="G155" s="22" t="n">
        <f aca="false">nop_f</f>
        <v>3.5</v>
      </c>
    </row>
    <row r="156" customFormat="false" ht="17.15" hidden="false" customHeight="false" outlineLevel="0" collapsed="false">
      <c r="A156" s="4" t="s">
        <v>451</v>
      </c>
      <c r="B156" s="0" t="s">
        <v>49</v>
      </c>
      <c r="C156" s="17" t="n">
        <f aca="false">a25_ni/a25_pt</f>
        <v>0.766753475949514</v>
      </c>
      <c r="D156" s="17" t="n">
        <f aca="false">a26_ni/a26_pt</f>
        <v>0.759431002022174</v>
      </c>
      <c r="E156" s="17" t="n">
        <f aca="false">nir_f</f>
        <v>0.76</v>
      </c>
      <c r="F156" s="17" t="n">
        <f aca="false">nir_f</f>
        <v>0.76</v>
      </c>
      <c r="G156" s="17" t="n">
        <f aca="false">nir_f</f>
        <v>0.76</v>
      </c>
    </row>
    <row r="157" customFormat="false" ht="15" hidden="false" customHeight="false" outlineLevel="0" collapsed="false">
      <c r="A157" s="4" t="s">
        <v>349</v>
      </c>
      <c r="B157" s="0" t="s">
        <v>146</v>
      </c>
      <c r="C157" s="22" t="n">
        <f aca="false">a25_ni</f>
        <v>15.116</v>
      </c>
      <c r="D157" s="22" t="n">
        <f aca="false">a26_ni</f>
        <v>24.8343420979946</v>
      </c>
      <c r="E157" s="22" t="n">
        <f aca="false">(E153+E155)*E156</f>
        <v>42.1279916198152</v>
      </c>
      <c r="F157" s="22" t="n">
        <f aca="false">(F153+F155)*F156</f>
        <v>46.1624291543165</v>
      </c>
      <c r="G157" s="22" t="n">
        <f aca="false">(G153+G155)*G156</f>
        <v>53.9178022455457</v>
      </c>
      <c r="H157" s="24" t="n">
        <f aca="false">H142*H161</f>
        <v>53.8544840820874</v>
      </c>
      <c r="I157" s="24" t="n">
        <f aca="false">I142*I161</f>
        <v>51.9047149573982</v>
      </c>
      <c r="J157" s="24" t="n">
        <f aca="false">J142*J161</f>
        <v>48.1309553959439</v>
      </c>
    </row>
    <row r="158" customFormat="false" ht="15" hidden="false" customHeight="false" outlineLevel="0" collapsed="false">
      <c r="A158" s="4" t="s">
        <v>452</v>
      </c>
      <c r="B158" s="4" t="s">
        <v>176</v>
      </c>
      <c r="C158" s="27" t="n">
        <f aca="false">a25_sh</f>
        <v>2.27650602409639</v>
      </c>
      <c r="D158" s="27" t="n">
        <f aca="false">a26_sh</f>
        <v>2.26895833333333</v>
      </c>
      <c r="E158" s="27" t="n">
        <f aca="false">D158*(1+sh_g)</f>
        <v>2.26895833333333</v>
      </c>
      <c r="F158" s="27" t="n">
        <f aca="false">E158*(1+sh_g)</f>
        <v>2.26895833333333</v>
      </c>
      <c r="G158" s="27" t="n">
        <f aca="false">F158*(1+sh_g)</f>
        <v>2.26895833333333</v>
      </c>
      <c r="H158" s="28" t="n">
        <f aca="false">G158*(1+sh_g)</f>
        <v>2.26895833333333</v>
      </c>
      <c r="I158" s="28" t="n">
        <f aca="false">H158*(1+sh_g)</f>
        <v>2.26895833333333</v>
      </c>
      <c r="J158" s="28" t="n">
        <f aca="false">I158*(1+sh_g)</f>
        <v>2.26895833333333</v>
      </c>
    </row>
    <row r="159" customFormat="false" ht="15" hidden="false" customHeight="false" outlineLevel="0" collapsed="false">
      <c r="A159" s="0" t="s">
        <v>355</v>
      </c>
      <c r="B159" s="0" t="s">
        <v>209</v>
      </c>
      <c r="C159" s="23" t="n">
        <f aca="false">C157/C158</f>
        <v>6.64</v>
      </c>
      <c r="D159" s="23" t="n">
        <f aca="false">D157/D158</f>
        <v>10.9452614149641</v>
      </c>
      <c r="E159" s="23" t="n">
        <f aca="false">E157/E158</f>
        <v>18.5671067647703</v>
      </c>
      <c r="F159" s="23" t="n">
        <f aca="false">F157/F158</f>
        <v>20.3452079644403</v>
      </c>
      <c r="G159" s="23" t="n">
        <f aca="false">G157/G158</f>
        <v>23.7632403616398</v>
      </c>
      <c r="H159" s="29" t="n">
        <f aca="false">H157/H158</f>
        <v>23.7353340918207</v>
      </c>
      <c r="I159" s="29" t="n">
        <f aca="false">I157/I158</f>
        <v>22.8760106322203</v>
      </c>
      <c r="J159" s="29" t="n">
        <f aca="false">J157/J158</f>
        <v>21.2127982646709</v>
      </c>
    </row>
    <row r="160" customFormat="false" ht="17.15" hidden="false" customHeight="false" outlineLevel="0" collapsed="false">
      <c r="A160" s="0" t="s">
        <v>453</v>
      </c>
      <c r="B160" s="0" t="s">
        <v>49</v>
      </c>
      <c r="D160" s="17" t="n">
        <f aca="false">D159/C159-1</f>
        <v>0.648382743217484</v>
      </c>
      <c r="E160" s="17" t="n">
        <f aca="false">E159/D159-1</f>
        <v>0.696360284221788</v>
      </c>
      <c r="F160" s="17" t="n">
        <f aca="false">F159/E159-1</f>
        <v>0.095766196758444</v>
      </c>
      <c r="G160" s="17" t="n">
        <f aca="false">G159/F159-1</f>
        <v>0.168001841179193</v>
      </c>
      <c r="H160" s="25" t="n">
        <f aca="false">H159/G159-1</f>
        <v>-0.00117434614953149</v>
      </c>
      <c r="I160" s="25" t="n">
        <f aca="false">I159/H159-1</f>
        <v>-0.036204397051086</v>
      </c>
      <c r="J160" s="25" t="n">
        <f aca="false">J159/I159-1</f>
        <v>-0.0727055252023185</v>
      </c>
    </row>
    <row r="161" customFormat="false" ht="17.15" hidden="false" customHeight="false" outlineLevel="0" collapsed="false">
      <c r="A161" s="4" t="s">
        <v>454</v>
      </c>
      <c r="B161" s="0" t="s">
        <v>49</v>
      </c>
      <c r="C161" s="17" t="n">
        <f aca="false">C157/C142</f>
        <v>0.0910136375952073</v>
      </c>
      <c r="D161" s="17" t="n">
        <f aca="false">D157/D142</f>
        <v>0.116740330417472</v>
      </c>
      <c r="E161" s="17" t="n">
        <f aca="false">E157/E142</f>
        <v>0.137841585743441</v>
      </c>
      <c r="F161" s="17" t="n">
        <f aca="false">F157/F142</f>
        <v>0.140739205118046</v>
      </c>
      <c r="G161" s="17" t="n">
        <f aca="false">G157/G142</f>
        <v>0.146154083713742</v>
      </c>
      <c r="H161" s="25" t="n">
        <f aca="false">$G161+(fade_mB-$G161)*1/3</f>
        <v>0.133136675054197</v>
      </c>
      <c r="I161" s="25" t="n">
        <f aca="false">$G161+(fade_mB-$G161)*2/3</f>
        <v>0.120119266394652</v>
      </c>
      <c r="J161" s="25" t="n">
        <f aca="false">$G161+(fade_mB-$G161)*3/3</f>
        <v>0.107101857735107</v>
      </c>
    </row>
    <row r="164" customFormat="false" ht="17.15" hidden="false" customHeight="false" outlineLevel="0" collapsed="false">
      <c r="A164" s="1" t="s">
        <v>730</v>
      </c>
    </row>
    <row r="165" customFormat="false" ht="17.15" hidden="false" customHeight="false" outlineLevel="0" collapsed="false">
      <c r="A165" s="5" t="s">
        <v>18</v>
      </c>
      <c r="B165" s="5" t="s">
        <v>19</v>
      </c>
      <c r="C165" s="14" t="s">
        <v>323</v>
      </c>
      <c r="D165" s="14" t="s">
        <v>407</v>
      </c>
      <c r="E165" s="14" t="s">
        <v>408</v>
      </c>
      <c r="F165" s="14" t="s">
        <v>409</v>
      </c>
      <c r="G165" s="14" t="s">
        <v>410</v>
      </c>
      <c r="H165" s="14" t="s">
        <v>411</v>
      </c>
      <c r="I165" s="14" t="s">
        <v>412</v>
      </c>
      <c r="J165" s="14" t="s">
        <v>413</v>
      </c>
      <c r="K165" s="5" t="s">
        <v>380</v>
      </c>
    </row>
    <row r="166" customFormat="false" ht="17.15" hidden="false" customHeight="false" outlineLevel="0" collapsed="false">
      <c r="A166" s="6" t="s">
        <v>428</v>
      </c>
    </row>
    <row r="167" customFormat="false" ht="17.15" hidden="false" customHeight="false" outlineLevel="0" collapsed="false">
      <c r="A167" s="0" t="s">
        <v>429</v>
      </c>
      <c r="B167" s="0" t="s">
        <v>29</v>
      </c>
      <c r="D167" s="23" t="n">
        <f aca="false">itc_26*1</f>
        <v>781.872916666667</v>
      </c>
      <c r="E167" s="23" t="n">
        <f aca="false">itc_27*1*1</f>
        <v>1565.35</v>
      </c>
      <c r="F167" s="23" t="n">
        <f aca="false">itc_28*um28_B*1</f>
        <v>1587.41111111111</v>
      </c>
      <c r="G167" s="23" t="n">
        <f aca="false">itc_29*um29_B*1</f>
        <v>1921.33173611111</v>
      </c>
    </row>
    <row r="168" customFormat="false" ht="17.15" hidden="false" customHeight="false" outlineLevel="0" collapsed="false">
      <c r="A168" s="4" t="s">
        <v>430</v>
      </c>
      <c r="B168" s="0" t="s">
        <v>29</v>
      </c>
      <c r="D168" s="23" t="n">
        <f aca="false">itpg_gb*(1-vr26)+itpg_vr*vr26</f>
        <v>33.41403216</v>
      </c>
      <c r="E168" s="23" t="n">
        <f aca="false">itpg_vr</f>
        <v>37.586352</v>
      </c>
      <c r="F168" s="23" t="n">
        <f aca="false">itpg_vr</f>
        <v>37.586352</v>
      </c>
      <c r="G168" s="23" t="n">
        <f aca="false">itpg_vr</f>
        <v>37.586352</v>
      </c>
    </row>
    <row r="169" customFormat="false" ht="17.15" hidden="false" customHeight="false" outlineLevel="0" collapsed="false">
      <c r="A169" s="4" t="s">
        <v>431</v>
      </c>
      <c r="B169" s="0" t="s">
        <v>382</v>
      </c>
      <c r="D169" s="20" t="n">
        <f aca="false">D167/D168</f>
        <v>23.3995380420639</v>
      </c>
      <c r="E169" s="20" t="n">
        <f aca="false">E167/E168</f>
        <v>41.6467658260637</v>
      </c>
      <c r="F169" s="20" t="n">
        <f aca="false">F167/F168</f>
        <v>42.2337105529984</v>
      </c>
      <c r="G169" s="20" t="n">
        <f aca="false">G167/G168</f>
        <v>51.1178029756948</v>
      </c>
    </row>
    <row r="170" customFormat="false" ht="17.15" hidden="false" customHeight="false" outlineLevel="0" collapsed="false">
      <c r="A170" s="0" t="s">
        <v>384</v>
      </c>
      <c r="B170" s="0" t="s">
        <v>87</v>
      </c>
      <c r="D170" s="21" t="n">
        <f aca="false">PKHI_26</f>
        <v>520</v>
      </c>
      <c r="E170" s="21" t="n">
        <f aca="false">PKHI_27</f>
        <v>700</v>
      </c>
      <c r="F170" s="21" t="n">
        <f aca="false">PKHI_28</f>
        <v>800</v>
      </c>
      <c r="G170" s="21" t="n">
        <f aca="false">PKHI_29</f>
        <v>850</v>
      </c>
    </row>
    <row r="171" customFormat="false" ht="17.15" hidden="false" customHeight="false" outlineLevel="0" collapsed="false">
      <c r="A171" s="0" t="s">
        <v>432</v>
      </c>
      <c r="B171" s="0" t="s">
        <v>29</v>
      </c>
      <c r="D171" s="23" t="n">
        <f aca="false">D169*D170/1000</f>
        <v>12.1677597818732</v>
      </c>
      <c r="E171" s="23" t="n">
        <f aca="false">E169*E170/1000</f>
        <v>29.1527360782446</v>
      </c>
      <c r="F171" s="23" t="n">
        <f aca="false">F169*F170/1000</f>
        <v>33.7869684423987</v>
      </c>
      <c r="G171" s="23" t="n">
        <f aca="false">G169*G170/1000</f>
        <v>43.4501325293406</v>
      </c>
    </row>
    <row r="172" customFormat="false" ht="17.15" hidden="false" customHeight="false" outlineLevel="0" collapsed="false">
      <c r="A172" s="0" t="s">
        <v>433</v>
      </c>
      <c r="B172" s="0" t="s">
        <v>146</v>
      </c>
      <c r="D172" s="22" t="n">
        <f aca="false">D171*fx</f>
        <v>389.368313019944</v>
      </c>
      <c r="E172" s="22" t="n">
        <f aca="false">E171*fx</f>
        <v>932.887554503826</v>
      </c>
      <c r="F172" s="22" t="n">
        <f aca="false">F171*fx</f>
        <v>1081.18299015676</v>
      </c>
      <c r="G172" s="22" t="n">
        <f aca="false">G171*fx</f>
        <v>1390.4042409389</v>
      </c>
    </row>
    <row r="173" customFormat="false" ht="17.15" hidden="false" customHeight="false" outlineLevel="0" collapsed="false">
      <c r="A173" s="4" t="s">
        <v>434</v>
      </c>
      <c r="B173" s="0" t="s">
        <v>49</v>
      </c>
      <c r="D173" s="17" t="n">
        <f aca="false">a26_aip/D172</f>
        <v>0.152431716052251</v>
      </c>
      <c r="K173" s="8" t="s">
        <v>435</v>
      </c>
    </row>
    <row r="174" customFormat="false" ht="17.15" hidden="false" customHeight="false" outlineLevel="0" collapsed="false">
      <c r="A174" s="4" t="s">
        <v>436</v>
      </c>
      <c r="B174" s="0" t="s">
        <v>60</v>
      </c>
      <c r="D174" s="18" t="n">
        <f aca="false">1</f>
        <v>1</v>
      </c>
      <c r="E174" s="18" t="n">
        <f aca="false">rel_27</f>
        <v>1</v>
      </c>
      <c r="F174" s="18" t="n">
        <f aca="false">rel_28</f>
        <v>1</v>
      </c>
      <c r="G174" s="18" t="n">
        <f aca="false">rel_29</f>
        <v>1</v>
      </c>
    </row>
    <row r="175" customFormat="false" ht="15" hidden="false" customHeight="false" outlineLevel="0" collapsed="false">
      <c r="A175" s="4" t="s">
        <v>390</v>
      </c>
      <c r="B175" s="0" t="s">
        <v>49</v>
      </c>
      <c r="D175" s="17" t="n">
        <f aca="false">$D$173*D174</f>
        <v>0.152431716052251</v>
      </c>
      <c r="E175" s="17" t="n">
        <f aca="false">$D$173*E174</f>
        <v>0.152431716052251</v>
      </c>
      <c r="F175" s="17" t="n">
        <f aca="false">$D$173*F174</f>
        <v>0.152431716052251</v>
      </c>
      <c r="G175" s="17" t="n">
        <f aca="false">$D$173*G174</f>
        <v>0.152431716052251</v>
      </c>
    </row>
    <row r="176" customFormat="false" ht="17.15" hidden="false" customHeight="false" outlineLevel="0" collapsed="false">
      <c r="A176" s="0" t="s">
        <v>437</v>
      </c>
      <c r="B176" s="0" t="s">
        <v>146</v>
      </c>
      <c r="C176" s="22" t="n">
        <f aca="false">a25_aip</f>
        <v>31.390065</v>
      </c>
      <c r="D176" s="22" t="n">
        <f aca="false">D172*D175</f>
        <v>59.35208013</v>
      </c>
      <c r="E176" s="22" t="n">
        <f aca="false">E172*E175</f>
        <v>142.201650816806</v>
      </c>
      <c r="F176" s="22" t="n">
        <f aca="false">F172*F175</f>
        <v>164.806578556099</v>
      </c>
      <c r="G176" s="22" t="n">
        <f aca="false">G172*G175</f>
        <v>211.941704452644</v>
      </c>
    </row>
    <row r="177" customFormat="false" ht="17.15" hidden="false" customHeight="false" outlineLevel="0" collapsed="false">
      <c r="A177" s="0" t="s">
        <v>438</v>
      </c>
      <c r="B177" s="0" t="s">
        <v>146</v>
      </c>
      <c r="C177" s="22" t="n">
        <f aca="false">a25_ai</f>
        <v>34.87785</v>
      </c>
      <c r="D177" s="22" t="n">
        <f aca="false">D176/(1-x_np)</f>
        <v>65.9467557</v>
      </c>
      <c r="E177" s="22" t="n">
        <f aca="false">E176/(1-x_np)</f>
        <v>158.001834240896</v>
      </c>
      <c r="F177" s="22" t="n">
        <f aca="false">F176/(1-x_np)</f>
        <v>183.118420617887</v>
      </c>
      <c r="G177" s="22" t="n">
        <f aca="false">G176/(1-x_np)</f>
        <v>235.49078272516</v>
      </c>
      <c r="K177" s="4" t="s">
        <v>439</v>
      </c>
    </row>
    <row r="178" customFormat="false" ht="17.15" hidden="false" customHeight="false" outlineLevel="0" collapsed="false">
      <c r="A178" s="6" t="s">
        <v>440</v>
      </c>
    </row>
    <row r="179" customFormat="false" ht="17.15" hidden="false" customHeight="false" outlineLevel="0" collapsed="false">
      <c r="A179" s="4" t="s">
        <v>441</v>
      </c>
      <c r="B179" s="0" t="s">
        <v>146</v>
      </c>
      <c r="C179" s="22" t="n">
        <f aca="false">a25_nai</f>
        <v>131.20715</v>
      </c>
      <c r="D179" s="22" t="n">
        <f aca="false">a26_nai</f>
        <v>146.7847143</v>
      </c>
      <c r="E179" s="22" t="n">
        <f aca="false">D179*(1+g_nai27)</f>
        <v>151.188255729</v>
      </c>
      <c r="F179" s="22" t="n">
        <f aca="false">E179*(1+g_nai28)</f>
        <v>155.72390340087</v>
      </c>
      <c r="G179" s="22" t="n">
        <f aca="false">F179*(1+g_nai29)</f>
        <v>160.395620502896</v>
      </c>
    </row>
    <row r="180" customFormat="false" ht="17.15" hidden="false" customHeight="false" outlineLevel="0" collapsed="false">
      <c r="A180" s="4" t="s">
        <v>328</v>
      </c>
      <c r="B180" s="0" t="s">
        <v>146</v>
      </c>
      <c r="C180" s="22" t="n">
        <f aca="false">C177+C179</f>
        <v>166.085</v>
      </c>
      <c r="D180" s="22" t="n">
        <f aca="false">D177+D179</f>
        <v>212.73147</v>
      </c>
      <c r="E180" s="22" t="n">
        <f aca="false">E177+E179</f>
        <v>309.190089969896</v>
      </c>
      <c r="F180" s="22" t="n">
        <f aca="false">F177+F179</f>
        <v>338.842324018758</v>
      </c>
      <c r="G180" s="22" t="n">
        <f aca="false">G177+G179</f>
        <v>395.886403228056</v>
      </c>
      <c r="H180" s="24" t="n">
        <f aca="false">G180*(1+H181)</f>
        <v>445.596518978081</v>
      </c>
      <c r="I180" s="24" t="n">
        <f aca="false">H180*(1+I181)</f>
        <v>482.484472726458</v>
      </c>
      <c r="J180" s="24" t="n">
        <f aca="false">I180*(1+J181)</f>
        <v>501.783851635516</v>
      </c>
      <c r="K180" s="8" t="s">
        <v>442</v>
      </c>
    </row>
    <row r="181" customFormat="false" ht="15" hidden="false" customHeight="false" outlineLevel="0" collapsed="false">
      <c r="A181" s="4" t="s">
        <v>443</v>
      </c>
      <c r="B181" s="0" t="s">
        <v>49</v>
      </c>
      <c r="D181" s="17" t="n">
        <f aca="false">D180/C180-1</f>
        <v>0.280859017972725</v>
      </c>
      <c r="E181" s="17" t="n">
        <f aca="false">E180/D180-1</f>
        <v>0.45342901062027</v>
      </c>
      <c r="F181" s="17" t="n">
        <f aca="false">F180/E180-1</f>
        <v>0.0959029251285157</v>
      </c>
      <c r="G181" s="17" t="n">
        <f aca="false">G180/F180-1</f>
        <v>0.168349923152282</v>
      </c>
      <c r="H181" s="25" t="n">
        <f aca="false">$G181+(fade_gB-$G181)*1/3</f>
        <v>0.125566615434855</v>
      </c>
      <c r="I181" s="25" t="n">
        <f aca="false">$G181+(fade_gB-$G181)*2/3</f>
        <v>0.0827833077174273</v>
      </c>
      <c r="J181" s="25" t="n">
        <f aca="false">$G181+(fade_gB-$G181)*3/3</f>
        <v>0.04</v>
      </c>
    </row>
    <row r="182" customFormat="false" ht="17.15" hidden="false" customHeight="false" outlineLevel="0" collapsed="false">
      <c r="A182" s="0" t="s">
        <v>444</v>
      </c>
      <c r="B182" s="0" t="s">
        <v>49</v>
      </c>
      <c r="C182" s="17" t="n">
        <f aca="false">C177/C180</f>
        <v>0.21</v>
      </c>
      <c r="D182" s="17" t="n">
        <f aca="false">D177/D180</f>
        <v>0.31</v>
      </c>
      <c r="E182" s="17" t="n">
        <f aca="false">E177/E180</f>
        <v>0.511018429653678</v>
      </c>
      <c r="F182" s="17" t="n">
        <f aca="false">F177/F180</f>
        <v>0.540423694555201</v>
      </c>
      <c r="G182" s="17" t="n">
        <f aca="false">G177/G180</f>
        <v>0.594844331113595</v>
      </c>
    </row>
    <row r="183" customFormat="false" ht="17.15" hidden="false" customHeight="false" outlineLevel="0" collapsed="false">
      <c r="A183" s="4" t="s">
        <v>401</v>
      </c>
      <c r="B183" s="0" t="s">
        <v>402</v>
      </c>
      <c r="D183" s="21" t="n">
        <f aca="false">D177/fx/D169*1000</f>
        <v>88.0716581635227</v>
      </c>
      <c r="E183" s="21" t="n">
        <f aca="false">E177/fx/E169*1000</f>
        <v>118.558001373973</v>
      </c>
      <c r="F183" s="21" t="n">
        <f aca="false">F177/fx/F169*1000</f>
        <v>135.494858713112</v>
      </c>
      <c r="G183" s="21" t="n">
        <f aca="false">G177/fx/G169*1000</f>
        <v>143.963287382681</v>
      </c>
    </row>
    <row r="184" customFormat="false" ht="17.15" hidden="false" customHeight="false" outlineLevel="0" collapsed="false">
      <c r="A184" s="6" t="s">
        <v>445</v>
      </c>
    </row>
    <row r="185" customFormat="false" ht="17.15" hidden="false" customHeight="false" outlineLevel="0" collapsed="false">
      <c r="A185" s="4" t="s">
        <v>446</v>
      </c>
      <c r="B185" s="0" t="s">
        <v>49</v>
      </c>
      <c r="D185" s="17" t="n">
        <f aca="false">a26_gp/D180-d_ai*D182</f>
        <v>0.216982337009188</v>
      </c>
      <c r="K185" s="8" t="s">
        <v>447</v>
      </c>
    </row>
    <row r="186" customFormat="false" ht="17.15" hidden="false" customHeight="false" outlineLevel="0" collapsed="false">
      <c r="A186" s="0" t="s">
        <v>448</v>
      </c>
      <c r="B186" s="0" t="s">
        <v>49</v>
      </c>
      <c r="D186" s="17" t="n">
        <f aca="false">D185+d_ai</f>
        <v>0.336982337009188</v>
      </c>
      <c r="E186" s="17" t="n">
        <f aca="false">$D$186+gmu_27</f>
        <v>0.336982337009188</v>
      </c>
      <c r="F186" s="17" t="n">
        <f aca="false">$D$186+gmu_28</f>
        <v>0.336982337009188</v>
      </c>
      <c r="G186" s="17" t="n">
        <f aca="false">$D$186+gmu_29</f>
        <v>0.336982337009188</v>
      </c>
      <c r="K186" s="4" t="s">
        <v>449</v>
      </c>
    </row>
    <row r="187" customFormat="false" ht="15" hidden="false" customHeight="false" outlineLevel="0" collapsed="false">
      <c r="A187" s="4" t="s">
        <v>332</v>
      </c>
      <c r="B187" s="0" t="s">
        <v>146</v>
      </c>
      <c r="C187" s="22" t="n">
        <f aca="false">a25_gp</f>
        <v>38.039</v>
      </c>
      <c r="D187" s="22" t="n">
        <f aca="false">a26_gp</f>
        <v>54.0725822</v>
      </c>
      <c r="E187" s="22" t="n">
        <f aca="false">E177*E186+E179*$D$185</f>
        <v>86.0490084106566</v>
      </c>
      <c r="F187" s="22" t="n">
        <f aca="false">F177*F186+F179*$D$185</f>
        <v>95.4970098173611</v>
      </c>
      <c r="G187" s="22" t="n">
        <f aca="false">G177*G186+G179*$D$185</f>
        <v>114.159250889605</v>
      </c>
    </row>
    <row r="188" customFormat="false" ht="15" hidden="false" customHeight="false" outlineLevel="0" collapsed="false">
      <c r="A188" s="4" t="s">
        <v>335</v>
      </c>
      <c r="B188" s="0" t="s">
        <v>49</v>
      </c>
      <c r="C188" s="17" t="n">
        <f aca="false">C187/C180</f>
        <v>0.229033326308818</v>
      </c>
      <c r="D188" s="17" t="n">
        <f aca="false">D187/D180</f>
        <v>0.254182337009188</v>
      </c>
      <c r="E188" s="17" t="n">
        <f aca="false">E187/E180</f>
        <v>0.27830454856763</v>
      </c>
      <c r="F188" s="17" t="n">
        <f aca="false">F187/F180</f>
        <v>0.281833180355812</v>
      </c>
      <c r="G188" s="17" t="n">
        <f aca="false">G187/G180</f>
        <v>0.28836365674282</v>
      </c>
    </row>
    <row r="189" customFormat="false" ht="15" hidden="false" customHeight="false" outlineLevel="0" collapsed="false">
      <c r="A189" s="4" t="s">
        <v>450</v>
      </c>
      <c r="B189" s="0" t="s">
        <v>146</v>
      </c>
      <c r="C189" s="22" t="n">
        <f aca="false">a25_opx</f>
        <v>21.301</v>
      </c>
      <c r="D189" s="22" t="n">
        <f aca="false">a26_opx</f>
        <v>25.21033346</v>
      </c>
      <c r="E189" s="22" t="n">
        <f aca="false">D189*(1+MAX(0,phi*E181))</f>
        <v>33.2121010507224</v>
      </c>
      <c r="F189" s="22" t="n">
        <f aca="false">E189*(1+MAX(0,phi*F181))</f>
        <v>35.4416973990221</v>
      </c>
      <c r="G189" s="22" t="n">
        <f aca="false">F189*(1+MAX(0,phi*G181))</f>
        <v>39.6183223224804</v>
      </c>
    </row>
    <row r="190" customFormat="false" ht="15" hidden="false" customHeight="false" outlineLevel="0" collapsed="false">
      <c r="A190" s="4" t="s">
        <v>337</v>
      </c>
      <c r="B190" s="0" t="s">
        <v>146</v>
      </c>
      <c r="C190" s="22" t="n">
        <f aca="false">C189</f>
        <v>21.301</v>
      </c>
      <c r="D190" s="22" t="n">
        <f aca="false">D189</f>
        <v>25.21033346</v>
      </c>
      <c r="E190" s="22" t="n">
        <f aca="false">E189+0*E180</f>
        <v>33.2121010507224</v>
      </c>
      <c r="F190" s="22" t="n">
        <f aca="false">F189+0*F180</f>
        <v>35.4416973990221</v>
      </c>
      <c r="G190" s="22" t="n">
        <f aca="false">G189+0*G180</f>
        <v>39.6183223224804</v>
      </c>
    </row>
    <row r="191" customFormat="false" ht="15" hidden="false" customHeight="false" outlineLevel="0" collapsed="false">
      <c r="A191" s="4" t="s">
        <v>340</v>
      </c>
      <c r="B191" s="0" t="s">
        <v>146</v>
      </c>
      <c r="C191" s="22" t="n">
        <f aca="false">C187-C190</f>
        <v>16.738</v>
      </c>
      <c r="D191" s="22" t="n">
        <f aca="false">D187-D190</f>
        <v>28.86224874</v>
      </c>
      <c r="E191" s="22" t="n">
        <f aca="false">E187-E190</f>
        <v>52.8369073599342</v>
      </c>
      <c r="F191" s="22" t="n">
        <f aca="false">F187-F190</f>
        <v>60.055312418339</v>
      </c>
      <c r="G191" s="22" t="n">
        <f aca="false">G187-G190</f>
        <v>74.5409285671242</v>
      </c>
    </row>
    <row r="192" customFormat="false" ht="15" hidden="false" customHeight="false" outlineLevel="0" collapsed="false">
      <c r="A192" s="4" t="s">
        <v>342</v>
      </c>
      <c r="B192" s="0" t="s">
        <v>49</v>
      </c>
      <c r="C192" s="17" t="n">
        <f aca="false">C191/C180</f>
        <v>0.100779721227083</v>
      </c>
      <c r="D192" s="17" t="n">
        <f aca="false">D191/D180</f>
        <v>0.135674560703219</v>
      </c>
      <c r="E192" s="17" t="n">
        <f aca="false">E191/E180</f>
        <v>0.170888101119537</v>
      </c>
      <c r="F192" s="17" t="n">
        <f aca="false">F191/F180</f>
        <v>0.177236750433262</v>
      </c>
      <c r="G192" s="17" t="n">
        <f aca="false">G191/G180</f>
        <v>0.188288680690516</v>
      </c>
    </row>
    <row r="193" customFormat="false" ht="15" hidden="false" customHeight="false" outlineLevel="0" collapsed="false">
      <c r="A193" s="4" t="s">
        <v>344</v>
      </c>
      <c r="B193" s="0" t="s">
        <v>146</v>
      </c>
      <c r="C193" s="22" t="n">
        <f aca="false">a25_nop</f>
        <v>2.9762895</v>
      </c>
      <c r="D193" s="22" t="n">
        <f aca="false">a26_nop</f>
        <v>3.839</v>
      </c>
      <c r="E193" s="22" t="n">
        <f aca="false">nop_f</f>
        <v>3.5</v>
      </c>
      <c r="F193" s="22" t="n">
        <f aca="false">nop_f</f>
        <v>3.5</v>
      </c>
      <c r="G193" s="22" t="n">
        <f aca="false">nop_f</f>
        <v>3.5</v>
      </c>
    </row>
    <row r="194" customFormat="false" ht="17.15" hidden="false" customHeight="false" outlineLevel="0" collapsed="false">
      <c r="A194" s="4" t="s">
        <v>451</v>
      </c>
      <c r="B194" s="0" t="s">
        <v>49</v>
      </c>
      <c r="C194" s="17" t="n">
        <f aca="false">a25_ni/a25_pt</f>
        <v>0.766753475949514</v>
      </c>
      <c r="D194" s="17" t="n">
        <f aca="false">a26_ni/a26_pt</f>
        <v>0.759431002022174</v>
      </c>
      <c r="E194" s="17" t="n">
        <f aca="false">nir_f</f>
        <v>0.76</v>
      </c>
      <c r="F194" s="17" t="n">
        <f aca="false">nir_f</f>
        <v>0.76</v>
      </c>
      <c r="G194" s="17" t="n">
        <f aca="false">nir_f</f>
        <v>0.76</v>
      </c>
    </row>
    <row r="195" customFormat="false" ht="15" hidden="false" customHeight="false" outlineLevel="0" collapsed="false">
      <c r="A195" s="4" t="s">
        <v>349</v>
      </c>
      <c r="B195" s="0" t="s">
        <v>146</v>
      </c>
      <c r="C195" s="22" t="n">
        <f aca="false">a25_ni</f>
        <v>15.116</v>
      </c>
      <c r="D195" s="22" t="n">
        <f aca="false">a26_ni</f>
        <v>24.8343420979946</v>
      </c>
      <c r="E195" s="22" t="n">
        <f aca="false">(E191+E193)*E194</f>
        <v>42.81604959355</v>
      </c>
      <c r="F195" s="22" t="n">
        <f aca="false">(F191+F193)*F194</f>
        <v>48.3020374379376</v>
      </c>
      <c r="G195" s="22" t="n">
        <f aca="false">(G191+G193)*G194</f>
        <v>59.3111057110144</v>
      </c>
      <c r="H195" s="24" t="n">
        <f aca="false">H180*H199</f>
        <v>60.4138053361801</v>
      </c>
      <c r="I195" s="24" t="n">
        <f aca="false">I180*I199</f>
        <v>58.5450216655266</v>
      </c>
      <c r="J195" s="24" t="n">
        <f aca="false">J180*J199</f>
        <v>53.7419826916413</v>
      </c>
    </row>
    <row r="196" customFormat="false" ht="15" hidden="false" customHeight="false" outlineLevel="0" collapsed="false">
      <c r="A196" s="4" t="s">
        <v>452</v>
      </c>
      <c r="B196" s="4" t="s">
        <v>176</v>
      </c>
      <c r="C196" s="27" t="n">
        <f aca="false">a25_sh</f>
        <v>2.27650602409639</v>
      </c>
      <c r="D196" s="27" t="n">
        <f aca="false">a26_sh</f>
        <v>2.26895833333333</v>
      </c>
      <c r="E196" s="27" t="n">
        <f aca="false">D196*(1+sh_g)</f>
        <v>2.26895833333333</v>
      </c>
      <c r="F196" s="27" t="n">
        <f aca="false">E196*(1+sh_g)</f>
        <v>2.26895833333333</v>
      </c>
      <c r="G196" s="27" t="n">
        <f aca="false">F196*(1+sh_g)</f>
        <v>2.26895833333333</v>
      </c>
      <c r="H196" s="28" t="n">
        <f aca="false">G196*(1+sh_g)</f>
        <v>2.26895833333333</v>
      </c>
      <c r="I196" s="28" t="n">
        <f aca="false">H196*(1+sh_g)</f>
        <v>2.26895833333333</v>
      </c>
      <c r="J196" s="28" t="n">
        <f aca="false">I196*(1+sh_g)</f>
        <v>2.26895833333333</v>
      </c>
    </row>
    <row r="197" customFormat="false" ht="15" hidden="false" customHeight="false" outlineLevel="0" collapsed="false">
      <c r="A197" s="0" t="s">
        <v>355</v>
      </c>
      <c r="B197" s="0" t="s">
        <v>209</v>
      </c>
      <c r="C197" s="23" t="n">
        <f aca="false">C195/C196</f>
        <v>6.64</v>
      </c>
      <c r="D197" s="23" t="n">
        <f aca="false">D195/D196</f>
        <v>10.9452614149641</v>
      </c>
      <c r="E197" s="23" t="n">
        <f aca="false">E195/E196</f>
        <v>18.8703551601359</v>
      </c>
      <c r="F197" s="23" t="n">
        <f aca="false">F195/F196</f>
        <v>21.2881994033698</v>
      </c>
      <c r="G197" s="23" t="n">
        <f aca="false">G195/G196</f>
        <v>26.1402357371104</v>
      </c>
      <c r="H197" s="29" t="n">
        <f aca="false">H195/H196</f>
        <v>26.6262295118597</v>
      </c>
      <c r="I197" s="29" t="n">
        <f aca="false">I195/I196</f>
        <v>25.802598842579</v>
      </c>
      <c r="J197" s="29" t="n">
        <f aca="false">J195/J196</f>
        <v>23.6857512551536</v>
      </c>
    </row>
    <row r="198" customFormat="false" ht="17.15" hidden="false" customHeight="false" outlineLevel="0" collapsed="false">
      <c r="A198" s="0" t="s">
        <v>453</v>
      </c>
      <c r="B198" s="0" t="s">
        <v>49</v>
      </c>
      <c r="D198" s="17" t="n">
        <f aca="false">D197/C197-1</f>
        <v>0.648382743217484</v>
      </c>
      <c r="E198" s="17" t="n">
        <f aca="false">E197/D197-1</f>
        <v>0.72406619126856</v>
      </c>
      <c r="F198" s="17" t="n">
        <f aca="false">F197/E197-1</f>
        <v>0.128129238836039</v>
      </c>
      <c r="G198" s="17" t="n">
        <f aca="false">G197/F197-1</f>
        <v>0.2279214057424</v>
      </c>
      <c r="H198" s="25" t="n">
        <f aca="false">H197/G197-1</f>
        <v>0.018591790052582</v>
      </c>
      <c r="I198" s="25" t="n">
        <f aca="false">I197/H197-1</f>
        <v>-0.0309330567782373</v>
      </c>
      <c r="J198" s="25" t="n">
        <f aca="false">J197/I197-1</f>
        <v>-0.0820400921759926</v>
      </c>
    </row>
    <row r="199" customFormat="false" ht="17.15" hidden="false" customHeight="false" outlineLevel="0" collapsed="false">
      <c r="A199" s="4" t="s">
        <v>454</v>
      </c>
      <c r="B199" s="0" t="s">
        <v>49</v>
      </c>
      <c r="C199" s="17" t="n">
        <f aca="false">C195/C180</f>
        <v>0.0910136375952073</v>
      </c>
      <c r="D199" s="17" t="n">
        <f aca="false">D195/D180</f>
        <v>0.116740330417472</v>
      </c>
      <c r="E199" s="17" t="n">
        <f aca="false">E195/E180</f>
        <v>0.138478078639968</v>
      </c>
      <c r="F199" s="17" t="n">
        <f aca="false">F195/F180</f>
        <v>0.142550189318332</v>
      </c>
      <c r="G199" s="17" t="n">
        <f aca="false">G195/G180</f>
        <v>0.149818496486345</v>
      </c>
      <c r="H199" s="25" t="n">
        <f aca="false">$G199+(fade_mB-$G199)*1/3</f>
        <v>0.135579616902599</v>
      </c>
      <c r="I199" s="25" t="n">
        <f aca="false">$G199+(fade_mB-$G199)*2/3</f>
        <v>0.121340737318853</v>
      </c>
      <c r="J199" s="25" t="n">
        <f aca="false">$G199+(fade_mB-$G199)*3/3</f>
        <v>0.107101857735107</v>
      </c>
    </row>
    <row r="202" customFormat="false" ht="17.15" hidden="false" customHeight="false" outlineLevel="0" collapsed="false">
      <c r="A202" s="1" t="s">
        <v>731</v>
      </c>
    </row>
    <row r="203" customFormat="false" ht="17.15" hidden="false" customHeight="false" outlineLevel="0" collapsed="false">
      <c r="A203" s="5" t="s">
        <v>18</v>
      </c>
      <c r="B203" s="5" t="s">
        <v>19</v>
      </c>
      <c r="C203" s="14" t="s">
        <v>323</v>
      </c>
      <c r="D203" s="14" t="s">
        <v>407</v>
      </c>
      <c r="E203" s="14" t="s">
        <v>408</v>
      </c>
      <c r="F203" s="14" t="s">
        <v>409</v>
      </c>
      <c r="G203" s="14" t="s">
        <v>410</v>
      </c>
      <c r="H203" s="14" t="s">
        <v>411</v>
      </c>
      <c r="I203" s="14" t="s">
        <v>412</v>
      </c>
      <c r="J203" s="14" t="s">
        <v>413</v>
      </c>
      <c r="K203" s="5" t="s">
        <v>380</v>
      </c>
    </row>
    <row r="204" customFormat="false" ht="17.15" hidden="false" customHeight="false" outlineLevel="0" collapsed="false">
      <c r="A204" s="6" t="s">
        <v>428</v>
      </c>
    </row>
    <row r="205" customFormat="false" ht="17.15" hidden="false" customHeight="false" outlineLevel="0" collapsed="false">
      <c r="A205" s="0" t="s">
        <v>429</v>
      </c>
      <c r="B205" s="0" t="s">
        <v>29</v>
      </c>
      <c r="D205" s="23" t="n">
        <f aca="false">itc_26*1</f>
        <v>781.872916666667</v>
      </c>
      <c r="E205" s="23" t="n">
        <f aca="false">itc_27*1*mf_lo</f>
        <v>1252.28</v>
      </c>
      <c r="F205" s="23" t="n">
        <f aca="false">itc_28*um28_B*mf_lo</f>
        <v>1269.92888888889</v>
      </c>
      <c r="G205" s="23" t="n">
        <f aca="false">itc_29*um29_B*mf_lo</f>
        <v>1537.06538888889</v>
      </c>
    </row>
    <row r="206" customFormat="false" ht="17.15" hidden="false" customHeight="false" outlineLevel="0" collapsed="false">
      <c r="A206" s="4" t="s">
        <v>430</v>
      </c>
      <c r="B206" s="0" t="s">
        <v>29</v>
      </c>
      <c r="D206" s="23" t="n">
        <f aca="false">itpg_gb*(1-vr26)+itpg_vr*vr26</f>
        <v>33.41403216</v>
      </c>
      <c r="E206" s="23" t="n">
        <f aca="false">itpg_vr</f>
        <v>37.586352</v>
      </c>
      <c r="F206" s="23" t="n">
        <f aca="false">itpg_vr</f>
        <v>37.586352</v>
      </c>
      <c r="G206" s="23" t="n">
        <f aca="false">itpg_vr</f>
        <v>37.586352</v>
      </c>
    </row>
    <row r="207" customFormat="false" ht="17.15" hidden="false" customHeight="false" outlineLevel="0" collapsed="false">
      <c r="A207" s="4" t="s">
        <v>431</v>
      </c>
      <c r="B207" s="0" t="s">
        <v>382</v>
      </c>
      <c r="D207" s="20" t="n">
        <f aca="false">D205/D206</f>
        <v>23.3995380420639</v>
      </c>
      <c r="E207" s="20" t="n">
        <f aca="false">E205/E206</f>
        <v>33.3174126608509</v>
      </c>
      <c r="F207" s="20" t="n">
        <f aca="false">F205/F206</f>
        <v>33.7869684423987</v>
      </c>
      <c r="G207" s="20" t="n">
        <f aca="false">G205/G206</f>
        <v>40.8942423805559</v>
      </c>
    </row>
    <row r="208" customFormat="false" ht="17.15" hidden="false" customHeight="false" outlineLevel="0" collapsed="false">
      <c r="A208" s="0" t="s">
        <v>384</v>
      </c>
      <c r="B208" s="0" t="s">
        <v>87</v>
      </c>
      <c r="D208" s="21" t="n">
        <f aca="false">pkw_26</f>
        <v>450</v>
      </c>
      <c r="E208" s="21" t="n">
        <f aca="false">pkw_27</f>
        <v>600</v>
      </c>
      <c r="F208" s="21" t="n">
        <f aca="false">pkw_28</f>
        <v>680</v>
      </c>
      <c r="G208" s="21" t="n">
        <f aca="false">pkw_29</f>
        <v>720</v>
      </c>
    </row>
    <row r="209" customFormat="false" ht="17.15" hidden="false" customHeight="false" outlineLevel="0" collapsed="false">
      <c r="A209" s="0" t="s">
        <v>432</v>
      </c>
      <c r="B209" s="0" t="s">
        <v>29</v>
      </c>
      <c r="D209" s="23" t="n">
        <f aca="false">D207*D208/1000</f>
        <v>10.5297921189288</v>
      </c>
      <c r="E209" s="23" t="n">
        <f aca="false">E207*E208/1000</f>
        <v>19.9904475965106</v>
      </c>
      <c r="F209" s="23" t="n">
        <f aca="false">F207*F208/1000</f>
        <v>22.9751385408311</v>
      </c>
      <c r="G209" s="23" t="n">
        <f aca="false">G207*G208/1000</f>
        <v>29.4438545140002</v>
      </c>
    </row>
    <row r="210" customFormat="false" ht="17.15" hidden="false" customHeight="false" outlineLevel="0" collapsed="false">
      <c r="A210" s="0" t="s">
        <v>433</v>
      </c>
      <c r="B210" s="0" t="s">
        <v>146</v>
      </c>
      <c r="D210" s="22" t="n">
        <f aca="false">D209*fx</f>
        <v>336.95334780572</v>
      </c>
      <c r="E210" s="22" t="n">
        <f aca="false">E209*fx</f>
        <v>639.694323088338</v>
      </c>
      <c r="F210" s="22" t="n">
        <f aca="false">F209*fx</f>
        <v>735.204433306596</v>
      </c>
      <c r="G210" s="22" t="n">
        <f aca="false">G209*fx</f>
        <v>942.203344448007</v>
      </c>
    </row>
    <row r="211" customFormat="false" ht="17.15" hidden="false" customHeight="false" outlineLevel="0" collapsed="false">
      <c r="A211" s="4" t="s">
        <v>434</v>
      </c>
      <c r="B211" s="0" t="s">
        <v>49</v>
      </c>
      <c r="D211" s="17" t="n">
        <f aca="false">a26_aip/D210</f>
        <v>0.176143316327046</v>
      </c>
      <c r="K211" s="8" t="s">
        <v>435</v>
      </c>
    </row>
    <row r="212" customFormat="false" ht="17.15" hidden="false" customHeight="false" outlineLevel="0" collapsed="false">
      <c r="A212" s="4" t="s">
        <v>436</v>
      </c>
      <c r="B212" s="0" t="s">
        <v>60</v>
      </c>
      <c r="D212" s="18" t="n">
        <f aca="false">1</f>
        <v>1</v>
      </c>
      <c r="E212" s="18" t="n">
        <f aca="false">rel_27</f>
        <v>1</v>
      </c>
      <c r="F212" s="18" t="n">
        <f aca="false">rel_28</f>
        <v>1</v>
      </c>
      <c r="G212" s="18" t="n">
        <f aca="false">rel_29</f>
        <v>1</v>
      </c>
    </row>
    <row r="213" customFormat="false" ht="15" hidden="false" customHeight="false" outlineLevel="0" collapsed="false">
      <c r="A213" s="4" t="s">
        <v>390</v>
      </c>
      <c r="B213" s="0" t="s">
        <v>49</v>
      </c>
      <c r="D213" s="17" t="n">
        <f aca="false">$D$211*D212</f>
        <v>0.176143316327046</v>
      </c>
      <c r="E213" s="17" t="n">
        <f aca="false">$D$211*E212</f>
        <v>0.176143316327046</v>
      </c>
      <c r="F213" s="17" t="n">
        <f aca="false">$D$211*F212</f>
        <v>0.176143316327046</v>
      </c>
      <c r="G213" s="17" t="n">
        <f aca="false">$D$211*G212</f>
        <v>0.176143316327046</v>
      </c>
    </row>
    <row r="214" customFormat="false" ht="17.15" hidden="false" customHeight="false" outlineLevel="0" collapsed="false">
      <c r="A214" s="0" t="s">
        <v>437</v>
      </c>
      <c r="B214" s="0" t="s">
        <v>146</v>
      </c>
      <c r="C214" s="22" t="n">
        <f aca="false">a25_aip</f>
        <v>31.390065</v>
      </c>
      <c r="D214" s="22" t="n">
        <f aca="false">D210*D213</f>
        <v>59.35208013</v>
      </c>
      <c r="E214" s="22" t="n">
        <f aca="false">E210*E213</f>
        <v>112.677879504364</v>
      </c>
      <c r="F214" s="22" t="n">
        <f aca="false">F210*F213</f>
        <v>129.50134706097</v>
      </c>
      <c r="G214" s="22" t="n">
        <f aca="false">G210*G213</f>
        <v>165.962821745506</v>
      </c>
    </row>
    <row r="215" customFormat="false" ht="17.15" hidden="false" customHeight="false" outlineLevel="0" collapsed="false">
      <c r="A215" s="0" t="s">
        <v>438</v>
      </c>
      <c r="B215" s="0" t="s">
        <v>146</v>
      </c>
      <c r="C215" s="22" t="n">
        <f aca="false">a25_ai</f>
        <v>34.87785</v>
      </c>
      <c r="D215" s="22" t="n">
        <f aca="false">D214/(1-x_np)</f>
        <v>65.9467557</v>
      </c>
      <c r="E215" s="22" t="n">
        <f aca="false">E214/(1-x_np)</f>
        <v>125.197643893738</v>
      </c>
      <c r="F215" s="22" t="n">
        <f aca="false">F214/(1-x_np)</f>
        <v>143.8903856233</v>
      </c>
      <c r="G215" s="22" t="n">
        <f aca="false">G214/(1-x_np)</f>
        <v>184.403135272784</v>
      </c>
      <c r="K215" s="4" t="s">
        <v>439</v>
      </c>
    </row>
    <row r="216" customFormat="false" ht="17.15" hidden="false" customHeight="false" outlineLevel="0" collapsed="false">
      <c r="A216" s="6" t="s">
        <v>440</v>
      </c>
    </row>
    <row r="217" customFormat="false" ht="17.15" hidden="false" customHeight="false" outlineLevel="0" collapsed="false">
      <c r="A217" s="4" t="s">
        <v>441</v>
      </c>
      <c r="B217" s="0" t="s">
        <v>146</v>
      </c>
      <c r="C217" s="22" t="n">
        <f aca="false">a25_nai</f>
        <v>131.20715</v>
      </c>
      <c r="D217" s="22" t="n">
        <f aca="false">a26_nai</f>
        <v>146.7847143</v>
      </c>
      <c r="E217" s="22" t="n">
        <f aca="false">D217*(1+g_nai27)</f>
        <v>151.188255729</v>
      </c>
      <c r="F217" s="22" t="n">
        <f aca="false">E217*(1+g_nai28)</f>
        <v>155.72390340087</v>
      </c>
      <c r="G217" s="22" t="n">
        <f aca="false">F217*(1+g_nai29)</f>
        <v>160.395620502896</v>
      </c>
    </row>
    <row r="218" customFormat="false" ht="17.15" hidden="false" customHeight="false" outlineLevel="0" collapsed="false">
      <c r="A218" s="4" t="s">
        <v>328</v>
      </c>
      <c r="B218" s="0" t="s">
        <v>146</v>
      </c>
      <c r="C218" s="22" t="n">
        <f aca="false">C215+C217</f>
        <v>166.085</v>
      </c>
      <c r="D218" s="22" t="n">
        <f aca="false">D215+D217</f>
        <v>212.73147</v>
      </c>
      <c r="E218" s="22" t="n">
        <f aca="false">E215+E217</f>
        <v>276.385899622738</v>
      </c>
      <c r="F218" s="22" t="n">
        <f aca="false">F215+F217</f>
        <v>299.61428902417</v>
      </c>
      <c r="G218" s="22" t="n">
        <f aca="false">G215+G217</f>
        <v>344.79875577568</v>
      </c>
      <c r="H218" s="24" t="n">
        <f aca="false">G218*(1+H219)</f>
        <v>384.06186002691</v>
      </c>
      <c r="I218" s="24" t="n">
        <f aca="false">H218*(1+I219)</f>
        <v>413.610143724229</v>
      </c>
      <c r="J218" s="24" t="n">
        <f aca="false">I218*(1+J219)</f>
        <v>430.154549473198</v>
      </c>
      <c r="K218" s="8" t="s">
        <v>442</v>
      </c>
    </row>
    <row r="219" customFormat="false" ht="15" hidden="false" customHeight="false" outlineLevel="0" collapsed="false">
      <c r="A219" s="4" t="s">
        <v>443</v>
      </c>
      <c r="B219" s="0" t="s">
        <v>49</v>
      </c>
      <c r="D219" s="17" t="n">
        <f aca="false">D218/C218-1</f>
        <v>0.280859017972725</v>
      </c>
      <c r="E219" s="17" t="n">
        <f aca="false">E218/D218-1</f>
        <v>0.299224320796252</v>
      </c>
      <c r="F219" s="17" t="n">
        <f aca="false">F218/E218-1</f>
        <v>0.0840433228798507</v>
      </c>
      <c r="G219" s="17" t="n">
        <f aca="false">G218/F218-1</f>
        <v>0.150808784516499</v>
      </c>
      <c r="H219" s="25" t="n">
        <f aca="false">$G219+(fade_gB-$G219)*1/3</f>
        <v>0.113872523010999</v>
      </c>
      <c r="I219" s="25" t="n">
        <f aca="false">$G219+(fade_gB-$G219)*2/3</f>
        <v>0.0769362615054996</v>
      </c>
      <c r="J219" s="25" t="n">
        <f aca="false">$G219+(fade_gB-$G219)*3/3</f>
        <v>0.04</v>
      </c>
    </row>
    <row r="220" customFormat="false" ht="17.15" hidden="false" customHeight="false" outlineLevel="0" collapsed="false">
      <c r="A220" s="0" t="s">
        <v>444</v>
      </c>
      <c r="B220" s="0" t="s">
        <v>49</v>
      </c>
      <c r="C220" s="17" t="n">
        <f aca="false">C215/C218</f>
        <v>0.21</v>
      </c>
      <c r="D220" s="17" t="n">
        <f aca="false">D215/D218</f>
        <v>0.31</v>
      </c>
      <c r="E220" s="17" t="n">
        <f aca="false">E215/E218</f>
        <v>0.452981299207488</v>
      </c>
      <c r="F220" s="17" t="n">
        <f aca="false">F215/F218</f>
        <v>0.48025208040626</v>
      </c>
      <c r="G220" s="17" t="n">
        <f aca="false">G215/G218</f>
        <v>0.534813807137846</v>
      </c>
    </row>
    <row r="221" customFormat="false" ht="17.15" hidden="false" customHeight="false" outlineLevel="0" collapsed="false">
      <c r="A221" s="4" t="s">
        <v>401</v>
      </c>
      <c r="B221" s="0" t="s">
        <v>402</v>
      </c>
      <c r="D221" s="21" t="n">
        <f aca="false">D215/fx/D207*1000</f>
        <v>88.0716581635228</v>
      </c>
      <c r="E221" s="21" t="n">
        <f aca="false">E215/fx/E207*1000</f>
        <v>117.428877551364</v>
      </c>
      <c r="F221" s="21" t="n">
        <f aca="false">F215/fx/F207*1000</f>
        <v>133.086061224879</v>
      </c>
      <c r="G221" s="21" t="n">
        <f aca="false">G215/fx/G207*1000</f>
        <v>140.914653061636</v>
      </c>
    </row>
    <row r="222" customFormat="false" ht="17.15" hidden="false" customHeight="false" outlineLevel="0" collapsed="false">
      <c r="A222" s="6" t="s">
        <v>445</v>
      </c>
    </row>
    <row r="223" customFormat="false" ht="17.15" hidden="false" customHeight="false" outlineLevel="0" collapsed="false">
      <c r="A223" s="4" t="s">
        <v>446</v>
      </c>
      <c r="B223" s="0" t="s">
        <v>49</v>
      </c>
      <c r="D223" s="17" t="n">
        <f aca="false">a26_gp/D218-d_ai*D220</f>
        <v>0.216982337009188</v>
      </c>
      <c r="K223" s="8" t="s">
        <v>447</v>
      </c>
    </row>
    <row r="224" customFormat="false" ht="17.15" hidden="false" customHeight="false" outlineLevel="0" collapsed="false">
      <c r="A224" s="0" t="s">
        <v>448</v>
      </c>
      <c r="B224" s="0" t="s">
        <v>49</v>
      </c>
      <c r="D224" s="17" t="n">
        <f aca="false">D223+d_ai</f>
        <v>0.336982337009188</v>
      </c>
      <c r="E224" s="17" t="n">
        <f aca="false">$D$224+gmu_27</f>
        <v>0.336982337009188</v>
      </c>
      <c r="F224" s="17" t="n">
        <f aca="false">$D$224+gmu_28</f>
        <v>0.336982337009188</v>
      </c>
      <c r="G224" s="17" t="n">
        <f aca="false">$D$224+gmu_29</f>
        <v>0.336982337009188</v>
      </c>
      <c r="K224" s="4" t="s">
        <v>449</v>
      </c>
    </row>
    <row r="225" customFormat="false" ht="15" hidden="false" customHeight="false" outlineLevel="0" collapsed="false">
      <c r="A225" s="4" t="s">
        <v>332</v>
      </c>
      <c r="B225" s="0" t="s">
        <v>146</v>
      </c>
      <c r="C225" s="22" t="n">
        <f aca="false">a25_gp</f>
        <v>38.039</v>
      </c>
      <c r="D225" s="22" t="n">
        <f aca="false">a26_gp</f>
        <v>54.0725822</v>
      </c>
      <c r="E225" s="22" t="n">
        <f aca="false">E215*E224+E217*$D$223</f>
        <v>74.9945756837772</v>
      </c>
      <c r="F225" s="22" t="n">
        <f aca="false">F215*F224+F217*$D$223</f>
        <v>82.2778549086068</v>
      </c>
      <c r="G225" s="22" t="n">
        <f aca="false">G215*G224+G217*$D$223</f>
        <v>96.9436160588014</v>
      </c>
    </row>
    <row r="226" customFormat="false" ht="15" hidden="false" customHeight="false" outlineLevel="0" collapsed="false">
      <c r="A226" s="4" t="s">
        <v>335</v>
      </c>
      <c r="B226" s="0" t="s">
        <v>49</v>
      </c>
      <c r="C226" s="17" t="n">
        <f aca="false">C225/C218</f>
        <v>0.229033326308818</v>
      </c>
      <c r="D226" s="17" t="n">
        <f aca="false">D225/D218</f>
        <v>0.254182337009188</v>
      </c>
      <c r="E226" s="17" t="n">
        <f aca="false">E225/E218</f>
        <v>0.271340092914087</v>
      </c>
      <c r="F226" s="17" t="n">
        <f aca="false">F225/F218</f>
        <v>0.274612586657939</v>
      </c>
      <c r="G226" s="17" t="n">
        <f aca="false">G225/G218</f>
        <v>0.28115999386573</v>
      </c>
    </row>
    <row r="227" customFormat="false" ht="15" hidden="false" customHeight="false" outlineLevel="0" collapsed="false">
      <c r="A227" s="4" t="s">
        <v>450</v>
      </c>
      <c r="B227" s="0" t="s">
        <v>146</v>
      </c>
      <c r="C227" s="22" t="n">
        <f aca="false">a25_opx</f>
        <v>21.301</v>
      </c>
      <c r="D227" s="22" t="n">
        <f aca="false">a26_opx</f>
        <v>25.21033346</v>
      </c>
      <c r="E227" s="22" t="n">
        <f aca="false">D227*(1+MAX(0,phi*E219))</f>
        <v>30.4908148946309</v>
      </c>
      <c r="F227" s="22" t="n">
        <f aca="false">E227*(1+MAX(0,phi*F219))</f>
        <v>32.2845994753723</v>
      </c>
      <c r="G227" s="22" t="n">
        <f aca="false">F227*(1+MAX(0,phi*G219))</f>
        <v>35.6927603192104</v>
      </c>
    </row>
    <row r="228" customFormat="false" ht="15" hidden="false" customHeight="false" outlineLevel="0" collapsed="false">
      <c r="A228" s="4" t="s">
        <v>337</v>
      </c>
      <c r="B228" s="0" t="s">
        <v>146</v>
      </c>
      <c r="C228" s="22" t="n">
        <f aca="false">C227</f>
        <v>21.301</v>
      </c>
      <c r="D228" s="22" t="n">
        <f aca="false">D227</f>
        <v>25.21033346</v>
      </c>
      <c r="E228" s="22" t="n">
        <f aca="false">E227+0*E218</f>
        <v>30.4908148946309</v>
      </c>
      <c r="F228" s="22" t="n">
        <f aca="false">F227+0*F218</f>
        <v>32.2845994753723</v>
      </c>
      <c r="G228" s="22" t="n">
        <f aca="false">G227+0*G218</f>
        <v>35.6927603192104</v>
      </c>
    </row>
    <row r="229" customFormat="false" ht="15" hidden="false" customHeight="false" outlineLevel="0" collapsed="false">
      <c r="A229" s="4" t="s">
        <v>340</v>
      </c>
      <c r="B229" s="0" t="s">
        <v>146</v>
      </c>
      <c r="C229" s="22" t="n">
        <f aca="false">C225-C228</f>
        <v>16.738</v>
      </c>
      <c r="D229" s="22" t="n">
        <f aca="false">D225-D228</f>
        <v>28.86224874</v>
      </c>
      <c r="E229" s="22" t="n">
        <f aca="false">E225-E228</f>
        <v>44.5037607891463</v>
      </c>
      <c r="F229" s="22" t="n">
        <f aca="false">F225-F228</f>
        <v>49.9932554332344</v>
      </c>
      <c r="G229" s="22" t="n">
        <f aca="false">G225-G228</f>
        <v>61.2508557395911</v>
      </c>
    </row>
    <row r="230" customFormat="false" ht="15" hidden="false" customHeight="false" outlineLevel="0" collapsed="false">
      <c r="A230" s="4" t="s">
        <v>342</v>
      </c>
      <c r="B230" s="0" t="s">
        <v>49</v>
      </c>
      <c r="C230" s="17" t="n">
        <f aca="false">C229/C218</f>
        <v>0.100779721227083</v>
      </c>
      <c r="D230" s="17" t="n">
        <f aca="false">D229/D218</f>
        <v>0.135674560703219</v>
      </c>
      <c r="E230" s="17" t="n">
        <f aca="false">E229/E218</f>
        <v>0.161020373506366</v>
      </c>
      <c r="F230" s="17" t="n">
        <f aca="false">F229/F218</f>
        <v>0.16685871557081</v>
      </c>
      <c r="G230" s="17" t="n">
        <f aca="false">G229/G218</f>
        <v>0.17764233400958</v>
      </c>
    </row>
    <row r="231" customFormat="false" ht="15" hidden="false" customHeight="false" outlineLevel="0" collapsed="false">
      <c r="A231" s="4" t="s">
        <v>344</v>
      </c>
      <c r="B231" s="0" t="s">
        <v>146</v>
      </c>
      <c r="C231" s="22" t="n">
        <f aca="false">a25_nop</f>
        <v>2.9762895</v>
      </c>
      <c r="D231" s="22" t="n">
        <f aca="false">a26_nop</f>
        <v>3.839</v>
      </c>
      <c r="E231" s="22" t="n">
        <f aca="false">nop_f</f>
        <v>3.5</v>
      </c>
      <c r="F231" s="22" t="n">
        <f aca="false">nop_f</f>
        <v>3.5</v>
      </c>
      <c r="G231" s="22" t="n">
        <f aca="false">nop_f</f>
        <v>3.5</v>
      </c>
    </row>
    <row r="232" customFormat="false" ht="17.15" hidden="false" customHeight="false" outlineLevel="0" collapsed="false">
      <c r="A232" s="4" t="s">
        <v>451</v>
      </c>
      <c r="B232" s="0" t="s">
        <v>49</v>
      </c>
      <c r="C232" s="17" t="n">
        <f aca="false">a25_ni/a25_pt</f>
        <v>0.766753475949514</v>
      </c>
      <c r="D232" s="17" t="n">
        <f aca="false">a26_ni/a26_pt</f>
        <v>0.759431002022174</v>
      </c>
      <c r="E232" s="17" t="n">
        <f aca="false">nir_f</f>
        <v>0.76</v>
      </c>
      <c r="F232" s="17" t="n">
        <f aca="false">nir_f</f>
        <v>0.76</v>
      </c>
      <c r="G232" s="17" t="n">
        <f aca="false">nir_f</f>
        <v>0.76</v>
      </c>
    </row>
    <row r="233" customFormat="false" ht="15" hidden="false" customHeight="false" outlineLevel="0" collapsed="false">
      <c r="A233" s="4" t="s">
        <v>349</v>
      </c>
      <c r="B233" s="0" t="s">
        <v>146</v>
      </c>
      <c r="C233" s="22" t="n">
        <f aca="false">a25_ni</f>
        <v>15.116</v>
      </c>
      <c r="D233" s="22" t="n">
        <f aca="false">a26_ni</f>
        <v>24.8343420979946</v>
      </c>
      <c r="E233" s="22" t="n">
        <f aca="false">(E229+E231)*E232</f>
        <v>36.4828581997512</v>
      </c>
      <c r="F233" s="22" t="n">
        <f aca="false">(F229+F231)*F232</f>
        <v>40.6548741292582</v>
      </c>
      <c r="G233" s="22" t="n">
        <f aca="false">(G229+G231)*G232</f>
        <v>49.2106503620892</v>
      </c>
      <c r="H233" s="24" t="n">
        <f aca="false">H218*H237</f>
        <v>50.2541737499159</v>
      </c>
      <c r="I233" s="24" t="n">
        <f aca="false">I218*I237</f>
        <v>49.209478387116</v>
      </c>
      <c r="J233" s="24" t="n">
        <f aca="false">J218*J237</f>
        <v>46.0703513617877</v>
      </c>
    </row>
    <row r="234" customFormat="false" ht="15" hidden="false" customHeight="false" outlineLevel="0" collapsed="false">
      <c r="A234" s="4" t="s">
        <v>452</v>
      </c>
      <c r="B234" s="4" t="s">
        <v>176</v>
      </c>
      <c r="C234" s="27" t="n">
        <f aca="false">a25_sh</f>
        <v>2.27650602409639</v>
      </c>
      <c r="D234" s="27" t="n">
        <f aca="false">a26_sh</f>
        <v>2.26895833333333</v>
      </c>
      <c r="E234" s="27" t="n">
        <f aca="false">D234*(1+sh_g)</f>
        <v>2.26895833333333</v>
      </c>
      <c r="F234" s="27" t="n">
        <f aca="false">E234*(1+sh_g)</f>
        <v>2.26895833333333</v>
      </c>
      <c r="G234" s="27" t="n">
        <f aca="false">F234*(1+sh_g)</f>
        <v>2.26895833333333</v>
      </c>
      <c r="H234" s="28" t="n">
        <f aca="false">G234*(1+sh_g)</f>
        <v>2.26895833333333</v>
      </c>
      <c r="I234" s="28" t="n">
        <f aca="false">H234*(1+sh_g)</f>
        <v>2.26895833333333</v>
      </c>
      <c r="J234" s="28" t="n">
        <f aca="false">I234*(1+sh_g)</f>
        <v>2.26895833333333</v>
      </c>
    </row>
    <row r="235" customFormat="false" ht="15" hidden="false" customHeight="false" outlineLevel="0" collapsed="false">
      <c r="A235" s="0" t="s">
        <v>355</v>
      </c>
      <c r="B235" s="0" t="s">
        <v>209</v>
      </c>
      <c r="C235" s="23" t="n">
        <f aca="false">C233/C234</f>
        <v>6.64</v>
      </c>
      <c r="D235" s="23" t="n">
        <f aca="false">D233/D234</f>
        <v>10.9452614149641</v>
      </c>
      <c r="E235" s="23" t="n">
        <f aca="false">E233/E234</f>
        <v>16.0791221521261</v>
      </c>
      <c r="F235" s="23" t="n">
        <f aca="false">F233/F234</f>
        <v>17.9178583987181</v>
      </c>
      <c r="G235" s="23" t="n">
        <f aca="false">G233/G234</f>
        <v>21.6886531758359</v>
      </c>
      <c r="H235" s="29" t="n">
        <f aca="false">H233/H234</f>
        <v>22.1485661555042</v>
      </c>
      <c r="I235" s="29" t="n">
        <f aca="false">I233/I234</f>
        <v>21.6881366502761</v>
      </c>
      <c r="J235" s="29" t="n">
        <f aca="false">J233/J234</f>
        <v>20.3046264380297</v>
      </c>
    </row>
    <row r="236" customFormat="false" ht="17.15" hidden="false" customHeight="false" outlineLevel="0" collapsed="false">
      <c r="A236" s="0" t="s">
        <v>453</v>
      </c>
      <c r="B236" s="0" t="s">
        <v>49</v>
      </c>
      <c r="D236" s="17" t="n">
        <f aca="false">D235/C235-1</f>
        <v>0.648382743217484</v>
      </c>
      <c r="E236" s="17" t="n">
        <f aca="false">E235/D235-1</f>
        <v>0.469048709073606</v>
      </c>
      <c r="F236" s="17" t="n">
        <f aca="false">F235/E235-1</f>
        <v>0.114355512023326</v>
      </c>
      <c r="G236" s="17" t="n">
        <f aca="false">G235/F235-1</f>
        <v>0.2104489662329</v>
      </c>
      <c r="H236" s="25" t="n">
        <f aca="false">H235/G235-1</f>
        <v>0.021205234642268</v>
      </c>
      <c r="I236" s="25" t="n">
        <f aca="false">I235/H235-1</f>
        <v>-0.020788230804445</v>
      </c>
      <c r="J236" s="25" t="n">
        <f aca="false">J235/I235-1</f>
        <v>-0.0637911054580528</v>
      </c>
    </row>
    <row r="237" customFormat="false" ht="17.15" hidden="false" customHeight="false" outlineLevel="0" collapsed="false">
      <c r="A237" s="4" t="s">
        <v>454</v>
      </c>
      <c r="B237" s="0" t="s">
        <v>49</v>
      </c>
      <c r="C237" s="17" t="n">
        <f aca="false">C233/C218</f>
        <v>0.0910136375952073</v>
      </c>
      <c r="D237" s="17" t="n">
        <f aca="false">D233/D218</f>
        <v>0.116740330417472</v>
      </c>
      <c r="E237" s="17" t="n">
        <f aca="false">E233/E218</f>
        <v>0.131999708558033</v>
      </c>
      <c r="F237" s="17" t="n">
        <f aca="false">F233/F218</f>
        <v>0.135690705078417</v>
      </c>
      <c r="G237" s="17" t="n">
        <f aca="false">G233/G218</f>
        <v>0.142722818855254</v>
      </c>
      <c r="H237" s="25" t="n">
        <f aca="false">$G237+(fade_mB-$G237)*1/3</f>
        <v>0.130849165148538</v>
      </c>
      <c r="I237" s="25" t="n">
        <f aca="false">$G237+(fade_mB-$G237)*2/3</f>
        <v>0.118975511441823</v>
      </c>
      <c r="J237" s="25" t="n">
        <f aca="false">$G237+(fade_mB-$G237)*3/3</f>
        <v>0.107101857735107</v>
      </c>
    </row>
    <row r="240" customFormat="false" ht="17.15" hidden="false" customHeight="false" outlineLevel="0" collapsed="false">
      <c r="A240" s="1" t="s">
        <v>732</v>
      </c>
    </row>
    <row r="241" customFormat="false" ht="17.15" hidden="false" customHeight="false" outlineLevel="0" collapsed="false">
      <c r="A241" s="5" t="s">
        <v>18</v>
      </c>
      <c r="B241" s="5" t="s">
        <v>19</v>
      </c>
      <c r="C241" s="14" t="s">
        <v>323</v>
      </c>
      <c r="D241" s="14" t="s">
        <v>407</v>
      </c>
      <c r="E241" s="14" t="s">
        <v>408</v>
      </c>
      <c r="F241" s="14" t="s">
        <v>409</v>
      </c>
      <c r="G241" s="14" t="s">
        <v>410</v>
      </c>
      <c r="H241" s="14" t="s">
        <v>411</v>
      </c>
      <c r="I241" s="14" t="s">
        <v>412</v>
      </c>
      <c r="J241" s="14" t="s">
        <v>413</v>
      </c>
      <c r="K241" s="5" t="s">
        <v>380</v>
      </c>
    </row>
    <row r="242" customFormat="false" ht="17.15" hidden="false" customHeight="false" outlineLevel="0" collapsed="false">
      <c r="A242" s="6" t="s">
        <v>428</v>
      </c>
    </row>
    <row r="243" customFormat="false" ht="17.15" hidden="false" customHeight="false" outlineLevel="0" collapsed="false">
      <c r="A243" s="0" t="s">
        <v>429</v>
      </c>
      <c r="B243" s="0" t="s">
        <v>29</v>
      </c>
      <c r="D243" s="23" t="n">
        <f aca="false">itc_26*1</f>
        <v>781.872916666667</v>
      </c>
      <c r="E243" s="23" t="n">
        <f aca="false">itc_27*1*mf_hi</f>
        <v>1878.42</v>
      </c>
      <c r="F243" s="23" t="n">
        <f aca="false">itc_28*um28_B*mf_hi</f>
        <v>1904.89333333333</v>
      </c>
      <c r="G243" s="23" t="n">
        <f aca="false">itc_29*um29_B*mf_hi</f>
        <v>2305.59808333334</v>
      </c>
    </row>
    <row r="244" customFormat="false" ht="17.15" hidden="false" customHeight="false" outlineLevel="0" collapsed="false">
      <c r="A244" s="4" t="s">
        <v>430</v>
      </c>
      <c r="B244" s="0" t="s">
        <v>29</v>
      </c>
      <c r="D244" s="23" t="n">
        <f aca="false">itpg_gb*(1-vr26)+itpg_vr*vr26</f>
        <v>33.41403216</v>
      </c>
      <c r="E244" s="23" t="n">
        <f aca="false">itpg_vr</f>
        <v>37.586352</v>
      </c>
      <c r="F244" s="23" t="n">
        <f aca="false">itpg_vr</f>
        <v>37.586352</v>
      </c>
      <c r="G244" s="23" t="n">
        <f aca="false">itpg_vr</f>
        <v>37.586352</v>
      </c>
    </row>
    <row r="245" customFormat="false" ht="17.15" hidden="false" customHeight="false" outlineLevel="0" collapsed="false">
      <c r="A245" s="4" t="s">
        <v>431</v>
      </c>
      <c r="B245" s="0" t="s">
        <v>382</v>
      </c>
      <c r="D245" s="20" t="n">
        <f aca="false">D243/D244</f>
        <v>23.3995380420639</v>
      </c>
      <c r="E245" s="20" t="n">
        <f aca="false">E243/E244</f>
        <v>49.9761189912764</v>
      </c>
      <c r="F245" s="20" t="n">
        <f aca="false">F243/F244</f>
        <v>50.6804526635981</v>
      </c>
      <c r="G245" s="20" t="n">
        <f aca="false">G243/G244</f>
        <v>61.3413635708338</v>
      </c>
    </row>
    <row r="246" customFormat="false" ht="17.15" hidden="false" customHeight="false" outlineLevel="0" collapsed="false">
      <c r="A246" s="0" t="s">
        <v>384</v>
      </c>
      <c r="B246" s="0" t="s">
        <v>87</v>
      </c>
      <c r="D246" s="21" t="n">
        <f aca="false">pkw_26</f>
        <v>450</v>
      </c>
      <c r="E246" s="21" t="n">
        <f aca="false">pkw_27</f>
        <v>600</v>
      </c>
      <c r="F246" s="21" t="n">
        <f aca="false">pkw_28</f>
        <v>680</v>
      </c>
      <c r="G246" s="21" t="n">
        <f aca="false">pkw_29</f>
        <v>720</v>
      </c>
    </row>
    <row r="247" customFormat="false" ht="17.15" hidden="false" customHeight="false" outlineLevel="0" collapsed="false">
      <c r="A247" s="0" t="s">
        <v>432</v>
      </c>
      <c r="B247" s="0" t="s">
        <v>29</v>
      </c>
      <c r="D247" s="23" t="n">
        <f aca="false">D245*D246/1000</f>
        <v>10.5297921189288</v>
      </c>
      <c r="E247" s="23" t="n">
        <f aca="false">E245*E246/1000</f>
        <v>29.9856713947658</v>
      </c>
      <c r="F247" s="23" t="n">
        <f aca="false">F245*F246/1000</f>
        <v>34.4627078112467</v>
      </c>
      <c r="G247" s="23" t="n">
        <f aca="false">G245*G246/1000</f>
        <v>44.1657817710003</v>
      </c>
    </row>
    <row r="248" customFormat="false" ht="17.15" hidden="false" customHeight="false" outlineLevel="0" collapsed="false">
      <c r="A248" s="0" t="s">
        <v>433</v>
      </c>
      <c r="B248" s="0" t="s">
        <v>146</v>
      </c>
      <c r="D248" s="22" t="n">
        <f aca="false">D247*fx</f>
        <v>336.95334780572</v>
      </c>
      <c r="E248" s="22" t="n">
        <f aca="false">E247*fx</f>
        <v>959.541484632507</v>
      </c>
      <c r="F248" s="22" t="n">
        <f aca="false">F247*fx</f>
        <v>1102.80664995989</v>
      </c>
      <c r="G248" s="22" t="n">
        <f aca="false">G247*fx</f>
        <v>1413.30501667201</v>
      </c>
    </row>
    <row r="249" customFormat="false" ht="17.15" hidden="false" customHeight="false" outlineLevel="0" collapsed="false">
      <c r="A249" s="4" t="s">
        <v>434</v>
      </c>
      <c r="B249" s="0" t="s">
        <v>49</v>
      </c>
      <c r="D249" s="17" t="n">
        <f aca="false">a26_aip/D248</f>
        <v>0.176143316327046</v>
      </c>
      <c r="K249" s="8" t="s">
        <v>435</v>
      </c>
    </row>
    <row r="250" customFormat="false" ht="17.15" hidden="false" customHeight="false" outlineLevel="0" collapsed="false">
      <c r="A250" s="4" t="s">
        <v>436</v>
      </c>
      <c r="B250" s="0" t="s">
        <v>60</v>
      </c>
      <c r="D250" s="18" t="n">
        <f aca="false">1</f>
        <v>1</v>
      </c>
      <c r="E250" s="18" t="n">
        <f aca="false">rel_27</f>
        <v>1</v>
      </c>
      <c r="F250" s="18" t="n">
        <f aca="false">rel_28</f>
        <v>1</v>
      </c>
      <c r="G250" s="18" t="n">
        <f aca="false">rel_29</f>
        <v>1</v>
      </c>
    </row>
    <row r="251" customFormat="false" ht="15" hidden="false" customHeight="false" outlineLevel="0" collapsed="false">
      <c r="A251" s="4" t="s">
        <v>390</v>
      </c>
      <c r="B251" s="0" t="s">
        <v>49</v>
      </c>
      <c r="D251" s="17" t="n">
        <f aca="false">$D$249*D250</f>
        <v>0.176143316327046</v>
      </c>
      <c r="E251" s="17" t="n">
        <f aca="false">$D$249*E250</f>
        <v>0.176143316327046</v>
      </c>
      <c r="F251" s="17" t="n">
        <f aca="false">$D$249*F250</f>
        <v>0.176143316327046</v>
      </c>
      <c r="G251" s="17" t="n">
        <f aca="false">$D$249*G250</f>
        <v>0.176143316327046</v>
      </c>
    </row>
    <row r="252" customFormat="false" ht="17.15" hidden="false" customHeight="false" outlineLevel="0" collapsed="false">
      <c r="A252" s="0" t="s">
        <v>437</v>
      </c>
      <c r="B252" s="0" t="s">
        <v>146</v>
      </c>
      <c r="C252" s="22" t="n">
        <f aca="false">a25_aip</f>
        <v>31.390065</v>
      </c>
      <c r="D252" s="22" t="n">
        <f aca="false">D248*D251</f>
        <v>59.35208013</v>
      </c>
      <c r="E252" s="22" t="n">
        <f aca="false">E248*E251</f>
        <v>169.016819256547</v>
      </c>
      <c r="F252" s="22" t="n">
        <f aca="false">F248*F251</f>
        <v>194.252020591455</v>
      </c>
      <c r="G252" s="22" t="n">
        <f aca="false">G248*G251</f>
        <v>248.944232618258</v>
      </c>
    </row>
    <row r="253" customFormat="false" ht="17.15" hidden="false" customHeight="false" outlineLevel="0" collapsed="false">
      <c r="A253" s="0" t="s">
        <v>438</v>
      </c>
      <c r="B253" s="0" t="s">
        <v>146</v>
      </c>
      <c r="C253" s="22" t="n">
        <f aca="false">a25_ai</f>
        <v>34.87785</v>
      </c>
      <c r="D253" s="22" t="n">
        <f aca="false">D252/(1-x_np)</f>
        <v>65.9467557</v>
      </c>
      <c r="E253" s="22" t="n">
        <f aca="false">E252/(1-x_np)</f>
        <v>187.796465840607</v>
      </c>
      <c r="F253" s="22" t="n">
        <f aca="false">F252/(1-x_np)</f>
        <v>215.83557843495</v>
      </c>
      <c r="G253" s="22" t="n">
        <f aca="false">G252/(1-x_np)</f>
        <v>276.604702909176</v>
      </c>
      <c r="K253" s="4" t="s">
        <v>439</v>
      </c>
    </row>
    <row r="254" customFormat="false" ht="17.15" hidden="false" customHeight="false" outlineLevel="0" collapsed="false">
      <c r="A254" s="6" t="s">
        <v>440</v>
      </c>
    </row>
    <row r="255" customFormat="false" ht="17.15" hidden="false" customHeight="false" outlineLevel="0" collapsed="false">
      <c r="A255" s="4" t="s">
        <v>441</v>
      </c>
      <c r="B255" s="0" t="s">
        <v>146</v>
      </c>
      <c r="C255" s="22" t="n">
        <f aca="false">a25_nai</f>
        <v>131.20715</v>
      </c>
      <c r="D255" s="22" t="n">
        <f aca="false">a26_nai</f>
        <v>146.7847143</v>
      </c>
      <c r="E255" s="22" t="n">
        <f aca="false">D255*(1+g_nai27)</f>
        <v>151.188255729</v>
      </c>
      <c r="F255" s="22" t="n">
        <f aca="false">E255*(1+g_nai28)</f>
        <v>155.72390340087</v>
      </c>
      <c r="G255" s="22" t="n">
        <f aca="false">F255*(1+g_nai29)</f>
        <v>160.395620502896</v>
      </c>
    </row>
    <row r="256" customFormat="false" ht="17.15" hidden="false" customHeight="false" outlineLevel="0" collapsed="false">
      <c r="A256" s="4" t="s">
        <v>328</v>
      </c>
      <c r="B256" s="0" t="s">
        <v>146</v>
      </c>
      <c r="C256" s="22" t="n">
        <f aca="false">C253+C255</f>
        <v>166.085</v>
      </c>
      <c r="D256" s="22" t="n">
        <f aca="false">D253+D255</f>
        <v>212.73147</v>
      </c>
      <c r="E256" s="22" t="n">
        <f aca="false">E253+E255</f>
        <v>338.984721569607</v>
      </c>
      <c r="F256" s="22" t="n">
        <f aca="false">F253+F255</f>
        <v>371.55948183582</v>
      </c>
      <c r="G256" s="22" t="n">
        <f aca="false">G253+G255</f>
        <v>437.000323412072</v>
      </c>
      <c r="H256" s="24" t="n">
        <f aca="false">G256*(1+H257)</f>
        <v>494.138059117124</v>
      </c>
      <c r="I256" s="24" t="n">
        <f aca="false">H256*(1+I257)</f>
        <v>536.325063924726</v>
      </c>
      <c r="J256" s="24" t="n">
        <f aca="false">I256*(1+J257)</f>
        <v>557.778066481715</v>
      </c>
      <c r="K256" s="8" t="s">
        <v>442</v>
      </c>
    </row>
    <row r="257" customFormat="false" ht="15" hidden="false" customHeight="false" outlineLevel="0" collapsed="false">
      <c r="A257" s="4" t="s">
        <v>443</v>
      </c>
      <c r="B257" s="0" t="s">
        <v>49</v>
      </c>
      <c r="D257" s="17" t="n">
        <f aca="false">D256/C256-1</f>
        <v>0.280859017972725</v>
      </c>
      <c r="E257" s="17" t="n">
        <f aca="false">E256/D256-1</f>
        <v>0.593486481194378</v>
      </c>
      <c r="F257" s="17" t="n">
        <f aca="false">F256/E256-1</f>
        <v>0.0960950691682538</v>
      </c>
      <c r="G257" s="17" t="n">
        <f aca="false">G256/F256-1</f>
        <v>0.176124805785923</v>
      </c>
      <c r="H257" s="25" t="n">
        <f aca="false">$G257+(fade_gB-$G257)*1/3</f>
        <v>0.130749870523949</v>
      </c>
      <c r="I257" s="25" t="n">
        <f aca="false">$G257+(fade_gB-$G257)*2/3</f>
        <v>0.0853749352619744</v>
      </c>
      <c r="J257" s="25" t="n">
        <f aca="false">$G257+(fade_gB-$G257)*3/3</f>
        <v>0.04</v>
      </c>
    </row>
    <row r="258" customFormat="false" ht="17.15" hidden="false" customHeight="false" outlineLevel="0" collapsed="false">
      <c r="A258" s="0" t="s">
        <v>444</v>
      </c>
      <c r="B258" s="0" t="s">
        <v>49</v>
      </c>
      <c r="C258" s="17" t="n">
        <f aca="false">C253/C256</f>
        <v>0.21</v>
      </c>
      <c r="D258" s="17" t="n">
        <f aca="false">D253/D256</f>
        <v>0.31</v>
      </c>
      <c r="E258" s="17" t="n">
        <f aca="false">E253/E256</f>
        <v>0.553996843784138</v>
      </c>
      <c r="F258" s="17" t="n">
        <f aca="false">F253/F256</f>
        <v>0.580891052405764</v>
      </c>
      <c r="G258" s="17" t="n">
        <f aca="false">G253/G256</f>
        <v>0.632962238447476</v>
      </c>
    </row>
    <row r="259" customFormat="false" ht="17.15" hidden="false" customHeight="false" outlineLevel="0" collapsed="false">
      <c r="A259" s="4" t="s">
        <v>401</v>
      </c>
      <c r="B259" s="0" t="s">
        <v>402</v>
      </c>
      <c r="D259" s="21" t="n">
        <f aca="false">D253/fx/D245*1000</f>
        <v>88.0716581635228</v>
      </c>
      <c r="E259" s="21" t="n">
        <f aca="false">E253/fx/E245*1000</f>
        <v>117.428877551364</v>
      </c>
      <c r="F259" s="21" t="n">
        <f aca="false">F253/fx/F245*1000</f>
        <v>133.086061224879</v>
      </c>
      <c r="G259" s="21" t="n">
        <f aca="false">G253/fx/G245*1000</f>
        <v>140.914653061636</v>
      </c>
    </row>
    <row r="260" customFormat="false" ht="17.15" hidden="false" customHeight="false" outlineLevel="0" collapsed="false">
      <c r="A260" s="6" t="s">
        <v>445</v>
      </c>
    </row>
    <row r="261" customFormat="false" ht="17.15" hidden="false" customHeight="false" outlineLevel="0" collapsed="false">
      <c r="A261" s="4" t="s">
        <v>446</v>
      </c>
      <c r="B261" s="0" t="s">
        <v>49</v>
      </c>
      <c r="D261" s="17" t="n">
        <f aca="false">a26_gp/D256-d_ai*D258</f>
        <v>0.216982337009188</v>
      </c>
      <c r="K261" s="8" t="s">
        <v>447</v>
      </c>
    </row>
    <row r="262" customFormat="false" ht="17.15" hidden="false" customHeight="false" outlineLevel="0" collapsed="false">
      <c r="A262" s="0" t="s">
        <v>448</v>
      </c>
      <c r="B262" s="0" t="s">
        <v>49</v>
      </c>
      <c r="D262" s="17" t="n">
        <f aca="false">D261+d_ai</f>
        <v>0.336982337009188</v>
      </c>
      <c r="E262" s="17" t="n">
        <f aca="false">$D$262+gmu_27</f>
        <v>0.336982337009188</v>
      </c>
      <c r="F262" s="17" t="n">
        <f aca="false">$D$262+gmu_28</f>
        <v>0.336982337009188</v>
      </c>
      <c r="G262" s="17" t="n">
        <f aca="false">$D$262+gmu_29</f>
        <v>0.336982337009188</v>
      </c>
      <c r="K262" s="4" t="s">
        <v>449</v>
      </c>
    </row>
    <row r="263" customFormat="false" ht="15" hidden="false" customHeight="false" outlineLevel="0" collapsed="false">
      <c r="A263" s="4" t="s">
        <v>332</v>
      </c>
      <c r="B263" s="0" t="s">
        <v>146</v>
      </c>
      <c r="C263" s="22" t="n">
        <f aca="false">a25_gp</f>
        <v>38.039</v>
      </c>
      <c r="D263" s="22" t="n">
        <f aca="false">a26_gp</f>
        <v>54.0725822</v>
      </c>
      <c r="E263" s="22" t="n">
        <f aca="false">E253*E262+E255*$D$261</f>
        <v>96.0892729974552</v>
      </c>
      <c r="F263" s="22" t="n">
        <f aca="false">F253*F262+F255*$D$261</f>
        <v>106.522114118853</v>
      </c>
      <c r="G263" s="22" t="n">
        <f aca="false">G253*G262+G255*$D$261</f>
        <v>128.013915796824</v>
      </c>
    </row>
    <row r="264" customFormat="false" ht="15" hidden="false" customHeight="false" outlineLevel="0" collapsed="false">
      <c r="A264" s="4" t="s">
        <v>335</v>
      </c>
      <c r="B264" s="0" t="s">
        <v>49</v>
      </c>
      <c r="C264" s="17" t="n">
        <f aca="false">C263/C256</f>
        <v>0.229033326308818</v>
      </c>
      <c r="D264" s="17" t="n">
        <f aca="false">D263/D256</f>
        <v>0.254182337009188</v>
      </c>
      <c r="E264" s="17" t="n">
        <f aca="false">E263/E256</f>
        <v>0.283461958263285</v>
      </c>
      <c r="F264" s="17" t="n">
        <f aca="false">F263/F256</f>
        <v>0.28668926329788</v>
      </c>
      <c r="G264" s="17" t="n">
        <f aca="false">G263/G256</f>
        <v>0.292937805622885</v>
      </c>
    </row>
    <row r="265" customFormat="false" ht="15" hidden="false" customHeight="false" outlineLevel="0" collapsed="false">
      <c r="A265" s="4" t="s">
        <v>450</v>
      </c>
      <c r="B265" s="0" t="s">
        <v>146</v>
      </c>
      <c r="C265" s="22" t="n">
        <f aca="false">a25_opx</f>
        <v>21.301</v>
      </c>
      <c r="D265" s="22" t="n">
        <f aca="false">a26_opx</f>
        <v>25.21033346</v>
      </c>
      <c r="E265" s="22" t="n">
        <f aca="false">D265*(1+MAX(0,phi*E257))</f>
        <v>35.6837279264386</v>
      </c>
      <c r="F265" s="22" t="n">
        <f aca="false">E265*(1+MAX(0,phi*F257))</f>
        <v>38.0840491387292</v>
      </c>
      <c r="G265" s="22" t="n">
        <f aca="false">F265*(1+MAX(0,phi*G257))</f>
        <v>42.7793311693993</v>
      </c>
    </row>
    <row r="266" customFormat="false" ht="15" hidden="false" customHeight="false" outlineLevel="0" collapsed="false">
      <c r="A266" s="4" t="s">
        <v>337</v>
      </c>
      <c r="B266" s="0" t="s">
        <v>146</v>
      </c>
      <c r="C266" s="22" t="n">
        <f aca="false">C265</f>
        <v>21.301</v>
      </c>
      <c r="D266" s="22" t="n">
        <f aca="false">D265</f>
        <v>25.21033346</v>
      </c>
      <c r="E266" s="22" t="n">
        <f aca="false">E265+0*E256</f>
        <v>35.6837279264386</v>
      </c>
      <c r="F266" s="22" t="n">
        <f aca="false">F265+0*F256</f>
        <v>38.0840491387292</v>
      </c>
      <c r="G266" s="22" t="n">
        <f aca="false">G265+0*G256</f>
        <v>42.7793311693993</v>
      </c>
    </row>
    <row r="267" customFormat="false" ht="15" hidden="false" customHeight="false" outlineLevel="0" collapsed="false">
      <c r="A267" s="4" t="s">
        <v>340</v>
      </c>
      <c r="B267" s="0" t="s">
        <v>146</v>
      </c>
      <c r="C267" s="22" t="n">
        <f aca="false">C263-C266</f>
        <v>16.738</v>
      </c>
      <c r="D267" s="22" t="n">
        <f aca="false">D263-D266</f>
        <v>28.86224874</v>
      </c>
      <c r="E267" s="22" t="n">
        <f aca="false">E263-E266</f>
        <v>60.4055450710166</v>
      </c>
      <c r="F267" s="22" t="n">
        <f aca="false">F263-F266</f>
        <v>68.438064980124</v>
      </c>
      <c r="G267" s="22" t="n">
        <f aca="false">G263-G266</f>
        <v>85.2345846274242</v>
      </c>
    </row>
    <row r="268" customFormat="false" ht="15" hidden="false" customHeight="false" outlineLevel="0" collapsed="false">
      <c r="A268" s="4" t="s">
        <v>342</v>
      </c>
      <c r="B268" s="0" t="s">
        <v>49</v>
      </c>
      <c r="C268" s="17" t="n">
        <f aca="false">C267/C256</f>
        <v>0.100779721227083</v>
      </c>
      <c r="D268" s="17" t="n">
        <f aca="false">D267/D256</f>
        <v>0.135674560703219</v>
      </c>
      <c r="E268" s="17" t="n">
        <f aca="false">E267/E256</f>
        <v>0.178195479699851</v>
      </c>
      <c r="F268" s="17" t="n">
        <f aca="false">F267/F256</f>
        <v>0.184191410328117</v>
      </c>
      <c r="G268" s="17" t="n">
        <f aca="false">G267/G256</f>
        <v>0.195044671733691</v>
      </c>
    </row>
    <row r="269" customFormat="false" ht="15" hidden="false" customHeight="false" outlineLevel="0" collapsed="false">
      <c r="A269" s="4" t="s">
        <v>344</v>
      </c>
      <c r="B269" s="0" t="s">
        <v>146</v>
      </c>
      <c r="C269" s="22" t="n">
        <f aca="false">a25_nop</f>
        <v>2.9762895</v>
      </c>
      <c r="D269" s="22" t="n">
        <f aca="false">a26_nop</f>
        <v>3.839</v>
      </c>
      <c r="E269" s="22" t="n">
        <f aca="false">nop_f</f>
        <v>3.5</v>
      </c>
      <c r="F269" s="22" t="n">
        <f aca="false">nop_f</f>
        <v>3.5</v>
      </c>
      <c r="G269" s="22" t="n">
        <f aca="false">nop_f</f>
        <v>3.5</v>
      </c>
    </row>
    <row r="270" customFormat="false" ht="17.15" hidden="false" customHeight="false" outlineLevel="0" collapsed="false">
      <c r="A270" s="4" t="s">
        <v>451</v>
      </c>
      <c r="B270" s="0" t="s">
        <v>49</v>
      </c>
      <c r="C270" s="17" t="n">
        <f aca="false">a25_ni/a25_pt</f>
        <v>0.766753475949514</v>
      </c>
      <c r="D270" s="17" t="n">
        <f aca="false">a26_ni/a26_pt</f>
        <v>0.759431002022174</v>
      </c>
      <c r="E270" s="17" t="n">
        <f aca="false">nir_f</f>
        <v>0.76</v>
      </c>
      <c r="F270" s="17" t="n">
        <f aca="false">nir_f</f>
        <v>0.76</v>
      </c>
      <c r="G270" s="17" t="n">
        <f aca="false">nir_f</f>
        <v>0.76</v>
      </c>
    </row>
    <row r="271" customFormat="false" ht="15" hidden="false" customHeight="false" outlineLevel="0" collapsed="false">
      <c r="A271" s="4" t="s">
        <v>349</v>
      </c>
      <c r="B271" s="0" t="s">
        <v>146</v>
      </c>
      <c r="C271" s="22" t="n">
        <f aca="false">a25_ni</f>
        <v>15.116</v>
      </c>
      <c r="D271" s="22" t="n">
        <f aca="false">a26_ni</f>
        <v>24.8343420979946</v>
      </c>
      <c r="E271" s="22" t="n">
        <f aca="false">(E267+E269)*E270</f>
        <v>48.5682142539726</v>
      </c>
      <c r="F271" s="22" t="n">
        <f aca="false">(F267+F269)*F270</f>
        <v>54.6729293848943</v>
      </c>
      <c r="G271" s="22" t="n">
        <f aca="false">(G267+G269)*G270</f>
        <v>67.4382843168424</v>
      </c>
      <c r="H271" s="24" t="n">
        <f aca="false">H256*H275</f>
        <v>68.4782555427726</v>
      </c>
      <c r="I271" s="24" t="n">
        <f aca="false">I256*I275</f>
        <v>65.8829964364141</v>
      </c>
      <c r="J271" s="24" t="n">
        <f aca="false">J256*J275</f>
        <v>59.739067124088</v>
      </c>
    </row>
    <row r="272" customFormat="false" ht="15" hidden="false" customHeight="false" outlineLevel="0" collapsed="false">
      <c r="A272" s="4" t="s">
        <v>452</v>
      </c>
      <c r="B272" s="4" t="s">
        <v>176</v>
      </c>
      <c r="C272" s="27" t="n">
        <f aca="false">a25_sh</f>
        <v>2.27650602409639</v>
      </c>
      <c r="D272" s="27" t="n">
        <f aca="false">a26_sh</f>
        <v>2.26895833333333</v>
      </c>
      <c r="E272" s="27" t="n">
        <f aca="false">D272*(1+sh_g)</f>
        <v>2.26895833333333</v>
      </c>
      <c r="F272" s="27" t="n">
        <f aca="false">E272*(1+sh_g)</f>
        <v>2.26895833333333</v>
      </c>
      <c r="G272" s="27" t="n">
        <f aca="false">F272*(1+sh_g)</f>
        <v>2.26895833333333</v>
      </c>
      <c r="H272" s="28" t="n">
        <f aca="false">G272*(1+sh_g)</f>
        <v>2.26895833333333</v>
      </c>
      <c r="I272" s="28" t="n">
        <f aca="false">H272*(1+sh_g)</f>
        <v>2.26895833333333</v>
      </c>
      <c r="J272" s="28" t="n">
        <f aca="false">I272*(1+sh_g)</f>
        <v>2.26895833333333</v>
      </c>
    </row>
    <row r="273" customFormat="false" ht="15" hidden="false" customHeight="false" outlineLevel="0" collapsed="false">
      <c r="A273" s="0" t="s">
        <v>355</v>
      </c>
      <c r="B273" s="0" t="s">
        <v>209</v>
      </c>
      <c r="C273" s="23" t="n">
        <f aca="false">C271/C272</f>
        <v>6.64</v>
      </c>
      <c r="D273" s="23" t="n">
        <f aca="false">D271/D272</f>
        <v>10.9452614149641</v>
      </c>
      <c r="E273" s="23" t="n">
        <f aca="false">E271/E272</f>
        <v>21.4055117453924</v>
      </c>
      <c r="F273" s="23" t="n">
        <f aca="false">F271/F272</f>
        <v>24.0960482093006</v>
      </c>
      <c r="G273" s="23" t="n">
        <f aca="false">G271/G272</f>
        <v>29.7221343054672</v>
      </c>
      <c r="H273" s="29" t="n">
        <f aca="false">H271/H272</f>
        <v>30.1804817377016</v>
      </c>
      <c r="I273" s="29" t="n">
        <f aca="false">I271/I272</f>
        <v>29.0366709112834</v>
      </c>
      <c r="J273" s="29" t="n">
        <f aca="false">J271/J272</f>
        <v>26.3288515467471</v>
      </c>
    </row>
    <row r="274" customFormat="false" ht="17.15" hidden="false" customHeight="false" outlineLevel="0" collapsed="false">
      <c r="A274" s="0" t="s">
        <v>453</v>
      </c>
      <c r="B274" s="0" t="s">
        <v>49</v>
      </c>
      <c r="D274" s="17" t="n">
        <f aca="false">D273/C273-1</f>
        <v>0.648382743217484</v>
      </c>
      <c r="E274" s="17" t="n">
        <f aca="false">E273/D273-1</f>
        <v>0.955687574179573</v>
      </c>
      <c r="F274" s="17" t="n">
        <f aca="false">F273/E273-1</f>
        <v>0.125693629561896</v>
      </c>
      <c r="G274" s="17" t="n">
        <f aca="false">G273/F273-1</f>
        <v>0.233485841632533</v>
      </c>
      <c r="H274" s="25" t="n">
        <f aca="false">H273/G273-1</f>
        <v>0.0154210807179522</v>
      </c>
      <c r="I274" s="25" t="n">
        <f aca="false">I273/H273-1</f>
        <v>-0.0378990248187244</v>
      </c>
      <c r="J274" s="25" t="n">
        <f aca="false">J273/I273-1</f>
        <v>-0.0932551590645371</v>
      </c>
    </row>
    <row r="275" customFormat="false" ht="17.15" hidden="false" customHeight="false" outlineLevel="0" collapsed="false">
      <c r="A275" s="4" t="s">
        <v>454</v>
      </c>
      <c r="B275" s="0" t="s">
        <v>49</v>
      </c>
      <c r="C275" s="17" t="n">
        <f aca="false">C271/C256</f>
        <v>0.0910136375952073</v>
      </c>
      <c r="D275" s="17" t="n">
        <f aca="false">D271/D256</f>
        <v>0.116740330417472</v>
      </c>
      <c r="E275" s="17" t="n">
        <f aca="false">E271/E256</f>
        <v>0.143275525897115</v>
      </c>
      <c r="F275" s="17" t="n">
        <f aca="false">F271/F256</f>
        <v>0.14714448710813</v>
      </c>
      <c r="G275" s="17" t="n">
        <f aca="false">G271/G256</f>
        <v>0.154320902534553</v>
      </c>
      <c r="H275" s="25" t="n">
        <f aca="false">$G275+(fade_mB-$G275)*1/3</f>
        <v>0.138581220934738</v>
      </c>
      <c r="I275" s="25" t="n">
        <f aca="false">$G275+(fade_mB-$G275)*2/3</f>
        <v>0.122841539334923</v>
      </c>
      <c r="J275" s="25" t="n">
        <f aca="false">$G275+(fade_mB-$G275)*3/3</f>
        <v>0.107101857735107</v>
      </c>
    </row>
    <row r="278" customFormat="false" ht="17.15" hidden="false" customHeight="false" outlineLevel="0" collapsed="false">
      <c r="A278" s="1" t="s">
        <v>733</v>
      </c>
    </row>
    <row r="279" customFormat="false" ht="17.15" hidden="false" customHeight="false" outlineLevel="0" collapsed="false">
      <c r="A279" s="5" t="s">
        <v>18</v>
      </c>
      <c r="B279" s="5" t="s">
        <v>19</v>
      </c>
      <c r="C279" s="14" t="s">
        <v>323</v>
      </c>
      <c r="D279" s="14" t="s">
        <v>407</v>
      </c>
      <c r="E279" s="14" t="s">
        <v>408</v>
      </c>
      <c r="F279" s="14" t="s">
        <v>409</v>
      </c>
      <c r="G279" s="14" t="s">
        <v>410</v>
      </c>
      <c r="H279" s="14" t="s">
        <v>411</v>
      </c>
      <c r="I279" s="14" t="s">
        <v>412</v>
      </c>
      <c r="J279" s="14" t="s">
        <v>413</v>
      </c>
      <c r="K279" s="5" t="s">
        <v>380</v>
      </c>
    </row>
    <row r="280" customFormat="false" ht="17.15" hidden="false" customHeight="false" outlineLevel="0" collapsed="false">
      <c r="A280" s="6" t="s">
        <v>428</v>
      </c>
    </row>
    <row r="281" customFormat="false" ht="17.15" hidden="false" customHeight="false" outlineLevel="0" collapsed="false">
      <c r="A281" s="0" t="s">
        <v>429</v>
      </c>
      <c r="B281" s="0" t="s">
        <v>29</v>
      </c>
      <c r="D281" s="23" t="n">
        <f aca="false">itc_26*1</f>
        <v>781.872916666667</v>
      </c>
      <c r="E281" s="23" t="n">
        <f aca="false">itc_27*1*1</f>
        <v>1565.35</v>
      </c>
      <c r="F281" s="23" t="n">
        <f aca="false">itc_28*um28_B*1</f>
        <v>1587.41111111111</v>
      </c>
      <c r="G281" s="23" t="n">
        <f aca="false">itc_29*um29_B*1</f>
        <v>1921.33173611111</v>
      </c>
    </row>
    <row r="282" customFormat="false" ht="17.15" hidden="false" customHeight="false" outlineLevel="0" collapsed="false">
      <c r="A282" s="4" t="s">
        <v>430</v>
      </c>
      <c r="B282" s="0" t="s">
        <v>29</v>
      </c>
      <c r="D282" s="23" t="n">
        <f aca="false">itpg_gb*(1-vr26)+itpg_vr*vr26</f>
        <v>33.41403216</v>
      </c>
      <c r="E282" s="23" t="n">
        <f aca="false">itpg_vr</f>
        <v>37.586352</v>
      </c>
      <c r="F282" s="23" t="n">
        <f aca="false">itpg_vr</f>
        <v>37.586352</v>
      </c>
      <c r="G282" s="23" t="n">
        <f aca="false">itpg_vr</f>
        <v>37.586352</v>
      </c>
    </row>
    <row r="283" customFormat="false" ht="17.15" hidden="false" customHeight="false" outlineLevel="0" collapsed="false">
      <c r="A283" s="4" t="s">
        <v>431</v>
      </c>
      <c r="B283" s="0" t="s">
        <v>382</v>
      </c>
      <c r="D283" s="20" t="n">
        <f aca="false">D281/D282</f>
        <v>23.3995380420639</v>
      </c>
      <c r="E283" s="20" t="n">
        <f aca="false">E281/E282</f>
        <v>41.6467658260637</v>
      </c>
      <c r="F283" s="20" t="n">
        <f aca="false">F281/F282</f>
        <v>42.2337105529984</v>
      </c>
      <c r="G283" s="20" t="n">
        <f aca="false">G281/G282</f>
        <v>51.1178029756948</v>
      </c>
    </row>
    <row r="284" customFormat="false" ht="17.15" hidden="false" customHeight="false" outlineLevel="0" collapsed="false">
      <c r="A284" s="0" t="s">
        <v>384</v>
      </c>
      <c r="B284" s="0" t="s">
        <v>87</v>
      </c>
      <c r="D284" s="21" t="n">
        <f aca="false">pkw_26</f>
        <v>450</v>
      </c>
      <c r="E284" s="21" t="n">
        <f aca="false">pkw_27</f>
        <v>600</v>
      </c>
      <c r="F284" s="21" t="n">
        <f aca="false">pkw_28</f>
        <v>680</v>
      </c>
      <c r="G284" s="21" t="n">
        <f aca="false">pkw_29</f>
        <v>720</v>
      </c>
    </row>
    <row r="285" customFormat="false" ht="17.15" hidden="false" customHeight="false" outlineLevel="0" collapsed="false">
      <c r="A285" s="0" t="s">
        <v>432</v>
      </c>
      <c r="B285" s="0" t="s">
        <v>29</v>
      </c>
      <c r="D285" s="23" t="n">
        <f aca="false">D283*D284/1000</f>
        <v>10.5297921189288</v>
      </c>
      <c r="E285" s="23" t="n">
        <f aca="false">E283*E284/1000</f>
        <v>24.9880594956382</v>
      </c>
      <c r="F285" s="23" t="n">
        <f aca="false">F283*F284/1000</f>
        <v>28.7189231760389</v>
      </c>
      <c r="G285" s="23" t="n">
        <f aca="false">G283*G284/1000</f>
        <v>36.8048181425003</v>
      </c>
    </row>
    <row r="286" customFormat="false" ht="17.15" hidden="false" customHeight="false" outlineLevel="0" collapsed="false">
      <c r="A286" s="0" t="s">
        <v>433</v>
      </c>
      <c r="B286" s="0" t="s">
        <v>146</v>
      </c>
      <c r="D286" s="22" t="n">
        <f aca="false">D285*fx</f>
        <v>336.95334780572</v>
      </c>
      <c r="E286" s="22" t="n">
        <f aca="false">E285*fx</f>
        <v>799.617903860422</v>
      </c>
      <c r="F286" s="22" t="n">
        <f aca="false">F285*fx</f>
        <v>919.005541633245</v>
      </c>
      <c r="G286" s="22" t="n">
        <f aca="false">G285*fx</f>
        <v>1177.75418056001</v>
      </c>
    </row>
    <row r="287" customFormat="false" ht="17.15" hidden="false" customHeight="false" outlineLevel="0" collapsed="false">
      <c r="A287" s="4" t="s">
        <v>434</v>
      </c>
      <c r="B287" s="0" t="s">
        <v>49</v>
      </c>
      <c r="D287" s="17" t="n">
        <f aca="false">a26_aip/D286</f>
        <v>0.176143316327046</v>
      </c>
      <c r="K287" s="8" t="s">
        <v>435</v>
      </c>
    </row>
    <row r="288" customFormat="false" ht="17.15" hidden="false" customHeight="false" outlineLevel="0" collapsed="false">
      <c r="A288" s="4" t="s">
        <v>436</v>
      </c>
      <c r="B288" s="0" t="s">
        <v>60</v>
      </c>
      <c r="D288" s="18" t="n">
        <f aca="false">1</f>
        <v>1</v>
      </c>
      <c r="E288" s="18" t="n">
        <f aca="false">rel_27</f>
        <v>1</v>
      </c>
      <c r="F288" s="18" t="n">
        <f aca="false">rel_28</f>
        <v>1</v>
      </c>
      <c r="G288" s="18" t="n">
        <f aca="false">rel_29</f>
        <v>1</v>
      </c>
    </row>
    <row r="289" customFormat="false" ht="15" hidden="false" customHeight="false" outlineLevel="0" collapsed="false">
      <c r="A289" s="4" t="s">
        <v>390</v>
      </c>
      <c r="B289" s="0" t="s">
        <v>49</v>
      </c>
      <c r="D289" s="17" t="n">
        <f aca="false">$D$287*D288</f>
        <v>0.176143316327046</v>
      </c>
      <c r="E289" s="17" t="n">
        <f aca="false">$D$287*E288</f>
        <v>0.176143316327046</v>
      </c>
      <c r="F289" s="17" t="n">
        <f aca="false">$D$287*F288</f>
        <v>0.176143316327046</v>
      </c>
      <c r="G289" s="17" t="n">
        <f aca="false">$D$287*G288</f>
        <v>0.176143316327046</v>
      </c>
    </row>
    <row r="290" customFormat="false" ht="17.15" hidden="false" customHeight="false" outlineLevel="0" collapsed="false">
      <c r="A290" s="0" t="s">
        <v>437</v>
      </c>
      <c r="B290" s="0" t="s">
        <v>146</v>
      </c>
      <c r="C290" s="22" t="n">
        <f aca="false">a25_aip</f>
        <v>31.390065</v>
      </c>
      <c r="D290" s="22" t="n">
        <f aca="false">D286*D289</f>
        <v>59.35208013</v>
      </c>
      <c r="E290" s="22" t="n">
        <f aca="false">E286*E289</f>
        <v>140.847349380455</v>
      </c>
      <c r="F290" s="22" t="n">
        <f aca="false">F286*F289</f>
        <v>161.876683826213</v>
      </c>
      <c r="G290" s="22" t="n">
        <f aca="false">G286*G289</f>
        <v>207.453527181882</v>
      </c>
    </row>
    <row r="291" customFormat="false" ht="17.15" hidden="false" customHeight="false" outlineLevel="0" collapsed="false">
      <c r="A291" s="0" t="s">
        <v>438</v>
      </c>
      <c r="B291" s="0" t="s">
        <v>146</v>
      </c>
      <c r="C291" s="22" t="n">
        <f aca="false">a25_ai</f>
        <v>34.87785</v>
      </c>
      <c r="D291" s="22" t="n">
        <f aca="false">D290/(1-x_np)</f>
        <v>65.9467557</v>
      </c>
      <c r="E291" s="22" t="n">
        <f aca="false">E290/(1-x_np)</f>
        <v>156.497054867173</v>
      </c>
      <c r="F291" s="22" t="n">
        <f aca="false">F290/(1-x_np)</f>
        <v>179.862982029125</v>
      </c>
      <c r="G291" s="22" t="n">
        <f aca="false">G290/(1-x_np)</f>
        <v>230.50391909098</v>
      </c>
      <c r="K291" s="4" t="s">
        <v>439</v>
      </c>
    </row>
    <row r="292" customFormat="false" ht="17.15" hidden="false" customHeight="false" outlineLevel="0" collapsed="false">
      <c r="A292" s="6" t="s">
        <v>440</v>
      </c>
    </row>
    <row r="293" customFormat="false" ht="17.15" hidden="false" customHeight="false" outlineLevel="0" collapsed="false">
      <c r="A293" s="4" t="s">
        <v>441</v>
      </c>
      <c r="B293" s="0" t="s">
        <v>146</v>
      </c>
      <c r="C293" s="22" t="n">
        <f aca="false">a25_nai</f>
        <v>131.20715</v>
      </c>
      <c r="D293" s="22" t="n">
        <f aca="false">a26_nai</f>
        <v>146.7847143</v>
      </c>
      <c r="E293" s="22" t="n">
        <f aca="false">D293*(1+g_nai27)</f>
        <v>151.188255729</v>
      </c>
      <c r="F293" s="22" t="n">
        <f aca="false">E293*(1+g_nai28)</f>
        <v>155.72390340087</v>
      </c>
      <c r="G293" s="22" t="n">
        <f aca="false">F293*(1+g_nai29)</f>
        <v>160.395620502896</v>
      </c>
    </row>
    <row r="294" customFormat="false" ht="17.15" hidden="false" customHeight="false" outlineLevel="0" collapsed="false">
      <c r="A294" s="4" t="s">
        <v>328</v>
      </c>
      <c r="B294" s="0" t="s">
        <v>146</v>
      </c>
      <c r="C294" s="22" t="n">
        <f aca="false">C291+C293</f>
        <v>166.085</v>
      </c>
      <c r="D294" s="22" t="n">
        <f aca="false">D291+D293</f>
        <v>212.73147</v>
      </c>
      <c r="E294" s="22" t="n">
        <f aca="false">E291+E293</f>
        <v>307.685310596173</v>
      </c>
      <c r="F294" s="22" t="n">
        <f aca="false">F291+F293</f>
        <v>335.586885429995</v>
      </c>
      <c r="G294" s="22" t="n">
        <f aca="false">G291+G293</f>
        <v>390.899539593876</v>
      </c>
      <c r="H294" s="24" t="n">
        <f aca="false">G294*(1+H295)</f>
        <v>439.064525134509</v>
      </c>
      <c r="I294" s="24" t="n">
        <f aca="false">H294*(1+I295)</f>
        <v>474.895651160772</v>
      </c>
      <c r="J294" s="24" t="n">
        <f aca="false">I294*(1+J295)</f>
        <v>493.891477207202</v>
      </c>
      <c r="K294" s="8" t="s">
        <v>442</v>
      </c>
    </row>
    <row r="295" customFormat="false" ht="15" hidden="false" customHeight="false" outlineLevel="0" collapsed="false">
      <c r="A295" s="4" t="s">
        <v>443</v>
      </c>
      <c r="B295" s="0" t="s">
        <v>49</v>
      </c>
      <c r="D295" s="17" t="n">
        <f aca="false">D294/C294-1</f>
        <v>0.280859017972725</v>
      </c>
      <c r="E295" s="17" t="n">
        <f aca="false">E294/D294-1</f>
        <v>0.446355400995315</v>
      </c>
      <c r="F295" s="17" t="n">
        <f aca="false">F294/E294-1</f>
        <v>0.0906821803737075</v>
      </c>
      <c r="G295" s="17" t="n">
        <f aca="false">G294/F294-1</f>
        <v>0.164823646469401</v>
      </c>
      <c r="H295" s="25" t="n">
        <f aca="false">$G295+(fade_gB-$G295)*1/3</f>
        <v>0.123215764312934</v>
      </c>
      <c r="I295" s="25" t="n">
        <f aca="false">$G295+(fade_gB-$G295)*2/3</f>
        <v>0.081607882156467</v>
      </c>
      <c r="J295" s="25" t="n">
        <f aca="false">$G295+(fade_gB-$G295)*3/3</f>
        <v>0.04</v>
      </c>
    </row>
    <row r="296" customFormat="false" ht="17.15" hidden="false" customHeight="false" outlineLevel="0" collapsed="false">
      <c r="A296" s="0" t="s">
        <v>444</v>
      </c>
      <c r="B296" s="0" t="s">
        <v>49</v>
      </c>
      <c r="C296" s="17" t="n">
        <f aca="false">C291/C294</f>
        <v>0.21</v>
      </c>
      <c r="D296" s="17" t="n">
        <f aca="false">D291/D294</f>
        <v>0.31</v>
      </c>
      <c r="E296" s="17" t="n">
        <f aca="false">E291/E294</f>
        <v>0.508626994782244</v>
      </c>
      <c r="F296" s="17" t="n">
        <f aca="false">F291/F294</f>
        <v>0.535965467776438</v>
      </c>
      <c r="G296" s="17" t="n">
        <f aca="false">G291/G294</f>
        <v>0.58967559626819</v>
      </c>
    </row>
    <row r="297" customFormat="false" ht="17.15" hidden="false" customHeight="false" outlineLevel="0" collapsed="false">
      <c r="A297" s="4" t="s">
        <v>401</v>
      </c>
      <c r="B297" s="0" t="s">
        <v>402</v>
      </c>
      <c r="D297" s="21" t="n">
        <f aca="false">D291/fx/D283*1000</f>
        <v>88.0716581635228</v>
      </c>
      <c r="E297" s="21" t="n">
        <f aca="false">E291/fx/E283*1000</f>
        <v>117.428877551364</v>
      </c>
      <c r="F297" s="21" t="n">
        <f aca="false">F291/fx/F283*1000</f>
        <v>133.086061224879</v>
      </c>
      <c r="G297" s="21" t="n">
        <f aca="false">G291/fx/G283*1000</f>
        <v>140.914653061636</v>
      </c>
    </row>
    <row r="298" customFormat="false" ht="17.15" hidden="false" customHeight="false" outlineLevel="0" collapsed="false">
      <c r="A298" s="6" t="s">
        <v>445</v>
      </c>
    </row>
    <row r="299" customFormat="false" ht="17.15" hidden="false" customHeight="false" outlineLevel="0" collapsed="false">
      <c r="A299" s="4" t="s">
        <v>446</v>
      </c>
      <c r="B299" s="0" t="s">
        <v>49</v>
      </c>
      <c r="D299" s="17" t="n">
        <f aca="false">a26_gp/D294-d_ai_lo*D296</f>
        <v>0.229382337009188</v>
      </c>
      <c r="K299" s="8" t="s">
        <v>447</v>
      </c>
    </row>
    <row r="300" customFormat="false" ht="17.15" hidden="false" customHeight="false" outlineLevel="0" collapsed="false">
      <c r="A300" s="0" t="s">
        <v>448</v>
      </c>
      <c r="B300" s="0" t="s">
        <v>49</v>
      </c>
      <c r="D300" s="17" t="n">
        <f aca="false">D299+d_ai_lo</f>
        <v>0.309382337009188</v>
      </c>
      <c r="E300" s="17" t="n">
        <f aca="false">$D$300+gmu_27</f>
        <v>0.309382337009188</v>
      </c>
      <c r="F300" s="17" t="n">
        <f aca="false">$D$300+gmu_28</f>
        <v>0.309382337009188</v>
      </c>
      <c r="G300" s="17" t="n">
        <f aca="false">$D$300+gmu_29</f>
        <v>0.309382337009188</v>
      </c>
      <c r="K300" s="4" t="s">
        <v>449</v>
      </c>
    </row>
    <row r="301" customFormat="false" ht="15" hidden="false" customHeight="false" outlineLevel="0" collapsed="false">
      <c r="A301" s="4" t="s">
        <v>332</v>
      </c>
      <c r="B301" s="0" t="s">
        <v>146</v>
      </c>
      <c r="C301" s="22" t="n">
        <f aca="false">a25_gp</f>
        <v>38.039</v>
      </c>
      <c r="D301" s="22" t="n">
        <f aca="false">a26_gp</f>
        <v>54.0725822</v>
      </c>
      <c r="E301" s="22" t="n">
        <f aca="false">E291*E300+E293*$D$299</f>
        <v>83.0973399973219</v>
      </c>
      <c r="F301" s="22" t="n">
        <f aca="false">F291*F300+F293*$D$299</f>
        <v>91.366742611897</v>
      </c>
      <c r="G301" s="22" t="n">
        <f aca="false">G291*G300+G293*$D$299</f>
        <v>108.105763455137</v>
      </c>
    </row>
    <row r="302" customFormat="false" ht="15" hidden="false" customHeight="false" outlineLevel="0" collapsed="false">
      <c r="A302" s="4" t="s">
        <v>335</v>
      </c>
      <c r="B302" s="0" t="s">
        <v>49</v>
      </c>
      <c r="C302" s="17" t="n">
        <f aca="false">C301/C294</f>
        <v>0.229033326308818</v>
      </c>
      <c r="D302" s="17" t="n">
        <f aca="false">D301/D294</f>
        <v>0.254182337009188</v>
      </c>
      <c r="E302" s="17" t="n">
        <f aca="false">E301/E294</f>
        <v>0.270072496591768</v>
      </c>
      <c r="F302" s="17" t="n">
        <f aca="false">F301/F294</f>
        <v>0.272259574431303</v>
      </c>
      <c r="G302" s="17" t="n">
        <f aca="false">G301/G294</f>
        <v>0.276556384710644</v>
      </c>
    </row>
    <row r="303" customFormat="false" ht="15" hidden="false" customHeight="false" outlineLevel="0" collapsed="false">
      <c r="A303" s="4" t="s">
        <v>450</v>
      </c>
      <c r="B303" s="0" t="s">
        <v>146</v>
      </c>
      <c r="C303" s="22" t="n">
        <f aca="false">a25_opx</f>
        <v>21.301</v>
      </c>
      <c r="D303" s="22" t="n">
        <f aca="false">a26_opx</f>
        <v>25.21033346</v>
      </c>
      <c r="E303" s="22" t="n">
        <f aca="false">D303*(1+MAX(0,phi*E295))</f>
        <v>33.0872714105347</v>
      </c>
      <c r="F303" s="22" t="n">
        <f aca="false">E303*(1+MAX(0,phi*F295))</f>
        <v>35.1875695504215</v>
      </c>
      <c r="G303" s="22" t="n">
        <f aca="false">F303*(1+MAX(0,phi*G295))</f>
        <v>39.2473900170088</v>
      </c>
    </row>
    <row r="304" customFormat="false" ht="15" hidden="false" customHeight="false" outlineLevel="0" collapsed="false">
      <c r="A304" s="4" t="s">
        <v>337</v>
      </c>
      <c r="B304" s="0" t="s">
        <v>146</v>
      </c>
      <c r="C304" s="22" t="n">
        <f aca="false">C303</f>
        <v>21.301</v>
      </c>
      <c r="D304" s="22" t="n">
        <f aca="false">D303</f>
        <v>25.21033346</v>
      </c>
      <c r="E304" s="22" t="n">
        <f aca="false">E303+0*E294</f>
        <v>33.0872714105347</v>
      </c>
      <c r="F304" s="22" t="n">
        <f aca="false">F303+0*F294</f>
        <v>35.1875695504215</v>
      </c>
      <c r="G304" s="22" t="n">
        <f aca="false">G303+0*G294</f>
        <v>39.2473900170088</v>
      </c>
    </row>
    <row r="305" customFormat="false" ht="15" hidden="false" customHeight="false" outlineLevel="0" collapsed="false">
      <c r="A305" s="4" t="s">
        <v>340</v>
      </c>
      <c r="B305" s="0" t="s">
        <v>146</v>
      </c>
      <c r="C305" s="22" t="n">
        <f aca="false">C301-C304</f>
        <v>16.738</v>
      </c>
      <c r="D305" s="22" t="n">
        <f aca="false">D301-D304</f>
        <v>28.86224874</v>
      </c>
      <c r="E305" s="22" t="n">
        <f aca="false">E301-E304</f>
        <v>50.0100685867871</v>
      </c>
      <c r="F305" s="22" t="n">
        <f aca="false">F301-F304</f>
        <v>56.1791730614755</v>
      </c>
      <c r="G305" s="22" t="n">
        <f aca="false">G301-G304</f>
        <v>68.8583734381286</v>
      </c>
    </row>
    <row r="306" customFormat="false" ht="15" hidden="false" customHeight="false" outlineLevel="0" collapsed="false">
      <c r="A306" s="4" t="s">
        <v>342</v>
      </c>
      <c r="B306" s="0" t="s">
        <v>49</v>
      </c>
      <c r="C306" s="17" t="n">
        <f aca="false">C305/C294</f>
        <v>0.100779721227083</v>
      </c>
      <c r="D306" s="17" t="n">
        <f aca="false">D305/D294</f>
        <v>0.135674560703219</v>
      </c>
      <c r="E306" s="17" t="n">
        <f aca="false">E305/E294</f>
        <v>0.162536419076645</v>
      </c>
      <c r="F306" s="17" t="n">
        <f aca="false">F305/F294</f>
        <v>0.167405746471564</v>
      </c>
      <c r="G306" s="17" t="n">
        <f aca="false">G305/G294</f>
        <v>0.176153631466716</v>
      </c>
    </row>
    <row r="307" customFormat="false" ht="15" hidden="false" customHeight="false" outlineLevel="0" collapsed="false">
      <c r="A307" s="4" t="s">
        <v>344</v>
      </c>
      <c r="B307" s="0" t="s">
        <v>146</v>
      </c>
      <c r="C307" s="22" t="n">
        <f aca="false">a25_nop</f>
        <v>2.9762895</v>
      </c>
      <c r="D307" s="22" t="n">
        <f aca="false">a26_nop</f>
        <v>3.839</v>
      </c>
      <c r="E307" s="22" t="n">
        <f aca="false">nop_f</f>
        <v>3.5</v>
      </c>
      <c r="F307" s="22" t="n">
        <f aca="false">nop_f</f>
        <v>3.5</v>
      </c>
      <c r="G307" s="22" t="n">
        <f aca="false">nop_f</f>
        <v>3.5</v>
      </c>
    </row>
    <row r="308" customFormat="false" ht="17.15" hidden="false" customHeight="false" outlineLevel="0" collapsed="false">
      <c r="A308" s="4" t="s">
        <v>451</v>
      </c>
      <c r="B308" s="0" t="s">
        <v>49</v>
      </c>
      <c r="C308" s="17" t="n">
        <f aca="false">a25_ni/a25_pt</f>
        <v>0.766753475949514</v>
      </c>
      <c r="D308" s="17" t="n">
        <f aca="false">a26_ni/a26_pt</f>
        <v>0.759431002022174</v>
      </c>
      <c r="E308" s="17" t="n">
        <f aca="false">nir_f</f>
        <v>0.76</v>
      </c>
      <c r="F308" s="17" t="n">
        <f aca="false">nir_f</f>
        <v>0.76</v>
      </c>
      <c r="G308" s="17" t="n">
        <f aca="false">nir_f</f>
        <v>0.76</v>
      </c>
    </row>
    <row r="309" customFormat="false" ht="15" hidden="false" customHeight="false" outlineLevel="0" collapsed="false">
      <c r="A309" s="4" t="s">
        <v>349</v>
      </c>
      <c r="B309" s="0" t="s">
        <v>146</v>
      </c>
      <c r="C309" s="22" t="n">
        <f aca="false">a25_ni</f>
        <v>15.116</v>
      </c>
      <c r="D309" s="22" t="n">
        <f aca="false">a26_ni</f>
        <v>24.8343420979946</v>
      </c>
      <c r="E309" s="22" t="n">
        <f aca="false">(E305+E307)*E308</f>
        <v>40.6676521259582</v>
      </c>
      <c r="F309" s="22" t="n">
        <f aca="false">(F305+F307)*F308</f>
        <v>45.3561715267214</v>
      </c>
      <c r="G309" s="22" t="n">
        <f aca="false">(G305+G307)*G308</f>
        <v>54.9923638129777</v>
      </c>
      <c r="H309" s="24" t="n">
        <f aca="false">H294*H313</f>
        <v>56.8537354035421</v>
      </c>
      <c r="I309" s="24" t="n">
        <f aca="false">I294*I313</f>
        <v>56.1778274060757</v>
      </c>
      <c r="J309" s="24" t="n">
        <f aca="false">J294*J313</f>
        <v>52.8966947284279</v>
      </c>
    </row>
    <row r="310" customFormat="false" ht="15" hidden="false" customHeight="false" outlineLevel="0" collapsed="false">
      <c r="A310" s="4" t="s">
        <v>452</v>
      </c>
      <c r="B310" s="4" t="s">
        <v>176</v>
      </c>
      <c r="C310" s="27" t="n">
        <f aca="false">a25_sh</f>
        <v>2.27650602409639</v>
      </c>
      <c r="D310" s="27" t="n">
        <f aca="false">a26_sh</f>
        <v>2.26895833333333</v>
      </c>
      <c r="E310" s="27" t="n">
        <f aca="false">D310*(1+sh_g)</f>
        <v>2.26895833333333</v>
      </c>
      <c r="F310" s="27" t="n">
        <f aca="false">E310*(1+sh_g)</f>
        <v>2.26895833333333</v>
      </c>
      <c r="G310" s="27" t="n">
        <f aca="false">F310*(1+sh_g)</f>
        <v>2.26895833333333</v>
      </c>
      <c r="H310" s="28" t="n">
        <f aca="false">G310*(1+sh_g)</f>
        <v>2.26895833333333</v>
      </c>
      <c r="I310" s="28" t="n">
        <f aca="false">H310*(1+sh_g)</f>
        <v>2.26895833333333</v>
      </c>
      <c r="J310" s="28" t="n">
        <f aca="false">I310*(1+sh_g)</f>
        <v>2.26895833333333</v>
      </c>
    </row>
    <row r="311" customFormat="false" ht="15" hidden="false" customHeight="false" outlineLevel="0" collapsed="false">
      <c r="A311" s="0" t="s">
        <v>355</v>
      </c>
      <c r="B311" s="0" t="s">
        <v>209</v>
      </c>
      <c r="C311" s="23" t="n">
        <f aca="false">C309/C310</f>
        <v>6.64</v>
      </c>
      <c r="D311" s="23" t="n">
        <f aca="false">D309/D310</f>
        <v>10.9452614149641</v>
      </c>
      <c r="E311" s="23" t="n">
        <f aca="false">E309/E310</f>
        <v>17.9234900564319</v>
      </c>
      <c r="F311" s="23" t="n">
        <f aca="false">F309/F310</f>
        <v>19.9898653317659</v>
      </c>
      <c r="G311" s="23" t="n">
        <f aca="false">G309/G310</f>
        <v>24.2368328254791</v>
      </c>
      <c r="H311" s="29" t="n">
        <f aca="false">H309/H310</f>
        <v>25.0571967621891</v>
      </c>
      <c r="I311" s="29" t="n">
        <f aca="false">I309/I310</f>
        <v>24.7593032365406</v>
      </c>
      <c r="J311" s="29" t="n">
        <f aca="false">J309/J310</f>
        <v>23.313206748366</v>
      </c>
    </row>
    <row r="312" customFormat="false" ht="17.15" hidden="false" customHeight="false" outlineLevel="0" collapsed="false">
      <c r="A312" s="0" t="s">
        <v>453</v>
      </c>
      <c r="B312" s="0" t="s">
        <v>49</v>
      </c>
      <c r="D312" s="17" t="n">
        <f aca="false">D311/C311-1</f>
        <v>0.648382743217484</v>
      </c>
      <c r="E312" s="17" t="n">
        <f aca="false">E311/D311-1</f>
        <v>0.637557055688712</v>
      </c>
      <c r="F312" s="17" t="n">
        <f aca="false">F311/E311-1</f>
        <v>0.115288666929716</v>
      </c>
      <c r="G312" s="17" t="n">
        <f aca="false">G311/F311-1</f>
        <v>0.212456033256229</v>
      </c>
      <c r="H312" s="25" t="n">
        <f aca="false">H311/G311-1</f>
        <v>0.0338478192516807</v>
      </c>
      <c r="I312" s="25" t="n">
        <f aca="false">I311/H311-1</f>
        <v>-0.0118885415825153</v>
      </c>
      <c r="J312" s="25" t="n">
        <f aca="false">J311/I311-1</f>
        <v>-0.0584061867314755</v>
      </c>
    </row>
    <row r="313" customFormat="false" ht="17.15" hidden="false" customHeight="false" outlineLevel="0" collapsed="false">
      <c r="A313" s="4" t="s">
        <v>454</v>
      </c>
      <c r="B313" s="0" t="s">
        <v>49</v>
      </c>
      <c r="C313" s="17" t="n">
        <f aca="false">C309/C294</f>
        <v>0.0910136375952073</v>
      </c>
      <c r="D313" s="17" t="n">
        <f aca="false">D309/D294</f>
        <v>0.116740330417472</v>
      </c>
      <c r="E313" s="17" t="n">
        <f aca="false">E309/E294</f>
        <v>0.132172875094883</v>
      </c>
      <c r="F313" s="17" t="n">
        <f aca="false">F309/F294</f>
        <v>0.135154779569546</v>
      </c>
      <c r="G313" s="17" t="n">
        <f aca="false">G309/G294</f>
        <v>0.140681577343662</v>
      </c>
      <c r="H313" s="25" t="n">
        <f aca="false">$G313+(fade_mB-$G313)*1/3</f>
        <v>0.129488337474144</v>
      </c>
      <c r="I313" s="25" t="n">
        <f aca="false">$G313+(fade_mB-$G313)*2/3</f>
        <v>0.118295097604626</v>
      </c>
      <c r="J313" s="25" t="n">
        <f aca="false">$G313+(fade_mB-$G313)*3/3</f>
        <v>0.107101857735107</v>
      </c>
    </row>
    <row r="316" customFormat="false" ht="17.15" hidden="false" customHeight="false" outlineLevel="0" collapsed="false">
      <c r="A316" s="1" t="s">
        <v>734</v>
      </c>
    </row>
    <row r="317" customFormat="false" ht="17.15" hidden="false" customHeight="false" outlineLevel="0" collapsed="false">
      <c r="A317" s="5" t="s">
        <v>18</v>
      </c>
      <c r="B317" s="5" t="s">
        <v>19</v>
      </c>
      <c r="C317" s="14" t="s">
        <v>323</v>
      </c>
      <c r="D317" s="14" t="s">
        <v>407</v>
      </c>
      <c r="E317" s="14" t="s">
        <v>408</v>
      </c>
      <c r="F317" s="14" t="s">
        <v>409</v>
      </c>
      <c r="G317" s="14" t="s">
        <v>410</v>
      </c>
      <c r="H317" s="14" t="s">
        <v>411</v>
      </c>
      <c r="I317" s="14" t="s">
        <v>412</v>
      </c>
      <c r="J317" s="14" t="s">
        <v>413</v>
      </c>
      <c r="K317" s="5" t="s">
        <v>380</v>
      </c>
    </row>
    <row r="318" customFormat="false" ht="17.15" hidden="false" customHeight="false" outlineLevel="0" collapsed="false">
      <c r="A318" s="6" t="s">
        <v>428</v>
      </c>
    </row>
    <row r="319" customFormat="false" ht="17.15" hidden="false" customHeight="false" outlineLevel="0" collapsed="false">
      <c r="A319" s="0" t="s">
        <v>429</v>
      </c>
      <c r="B319" s="0" t="s">
        <v>29</v>
      </c>
      <c r="D319" s="23" t="n">
        <f aca="false">itc_26*1</f>
        <v>781.872916666667</v>
      </c>
      <c r="E319" s="23" t="n">
        <f aca="false">itc_27*1*1</f>
        <v>1565.35</v>
      </c>
      <c r="F319" s="23" t="n">
        <f aca="false">itc_28*um28_B*1</f>
        <v>1587.41111111111</v>
      </c>
      <c r="G319" s="23" t="n">
        <f aca="false">itc_29*um29_B*1</f>
        <v>1921.33173611111</v>
      </c>
    </row>
    <row r="320" customFormat="false" ht="17.15" hidden="false" customHeight="false" outlineLevel="0" collapsed="false">
      <c r="A320" s="4" t="s">
        <v>430</v>
      </c>
      <c r="B320" s="0" t="s">
        <v>29</v>
      </c>
      <c r="D320" s="23" t="n">
        <f aca="false">itpg_gb*(1-vr26)+itpg_vr*vr26</f>
        <v>33.41403216</v>
      </c>
      <c r="E320" s="23" t="n">
        <f aca="false">itpg_vr</f>
        <v>37.586352</v>
      </c>
      <c r="F320" s="23" t="n">
        <f aca="false">itpg_vr</f>
        <v>37.586352</v>
      </c>
      <c r="G320" s="23" t="n">
        <f aca="false">itpg_vr</f>
        <v>37.586352</v>
      </c>
    </row>
    <row r="321" customFormat="false" ht="17.15" hidden="false" customHeight="false" outlineLevel="0" collapsed="false">
      <c r="A321" s="4" t="s">
        <v>431</v>
      </c>
      <c r="B321" s="0" t="s">
        <v>382</v>
      </c>
      <c r="D321" s="20" t="n">
        <f aca="false">D319/D320</f>
        <v>23.3995380420639</v>
      </c>
      <c r="E321" s="20" t="n">
        <f aca="false">E319/E320</f>
        <v>41.6467658260637</v>
      </c>
      <c r="F321" s="20" t="n">
        <f aca="false">F319/F320</f>
        <v>42.2337105529984</v>
      </c>
      <c r="G321" s="20" t="n">
        <f aca="false">G319/G320</f>
        <v>51.1178029756948</v>
      </c>
    </row>
    <row r="322" customFormat="false" ht="17.15" hidden="false" customHeight="false" outlineLevel="0" collapsed="false">
      <c r="A322" s="0" t="s">
        <v>384</v>
      </c>
      <c r="B322" s="0" t="s">
        <v>87</v>
      </c>
      <c r="D322" s="21" t="n">
        <f aca="false">pkw_26</f>
        <v>450</v>
      </c>
      <c r="E322" s="21" t="n">
        <f aca="false">pkw_27</f>
        <v>600</v>
      </c>
      <c r="F322" s="21" t="n">
        <f aca="false">pkw_28</f>
        <v>680</v>
      </c>
      <c r="G322" s="21" t="n">
        <f aca="false">pkw_29</f>
        <v>720</v>
      </c>
    </row>
    <row r="323" customFormat="false" ht="17.15" hidden="false" customHeight="false" outlineLevel="0" collapsed="false">
      <c r="A323" s="0" t="s">
        <v>432</v>
      </c>
      <c r="B323" s="0" t="s">
        <v>29</v>
      </c>
      <c r="D323" s="23" t="n">
        <f aca="false">D321*D322/1000</f>
        <v>10.5297921189288</v>
      </c>
      <c r="E323" s="23" t="n">
        <f aca="false">E321*E322/1000</f>
        <v>24.9880594956382</v>
      </c>
      <c r="F323" s="23" t="n">
        <f aca="false">F321*F322/1000</f>
        <v>28.7189231760389</v>
      </c>
      <c r="G323" s="23" t="n">
        <f aca="false">G321*G322/1000</f>
        <v>36.8048181425003</v>
      </c>
    </row>
    <row r="324" customFormat="false" ht="17.15" hidden="false" customHeight="false" outlineLevel="0" collapsed="false">
      <c r="A324" s="0" t="s">
        <v>433</v>
      </c>
      <c r="B324" s="0" t="s">
        <v>146</v>
      </c>
      <c r="D324" s="22" t="n">
        <f aca="false">D323*fx</f>
        <v>336.95334780572</v>
      </c>
      <c r="E324" s="22" t="n">
        <f aca="false">E323*fx</f>
        <v>799.617903860422</v>
      </c>
      <c r="F324" s="22" t="n">
        <f aca="false">F323*fx</f>
        <v>919.005541633245</v>
      </c>
      <c r="G324" s="22" t="n">
        <f aca="false">G323*fx</f>
        <v>1177.75418056001</v>
      </c>
    </row>
    <row r="325" customFormat="false" ht="17.15" hidden="false" customHeight="false" outlineLevel="0" collapsed="false">
      <c r="A325" s="4" t="s">
        <v>434</v>
      </c>
      <c r="B325" s="0" t="s">
        <v>49</v>
      </c>
      <c r="D325" s="17" t="n">
        <f aca="false">a26_aip/D324</f>
        <v>0.176143316327046</v>
      </c>
      <c r="K325" s="8" t="s">
        <v>435</v>
      </c>
    </row>
    <row r="326" customFormat="false" ht="17.15" hidden="false" customHeight="false" outlineLevel="0" collapsed="false">
      <c r="A326" s="4" t="s">
        <v>436</v>
      </c>
      <c r="B326" s="0" t="s">
        <v>60</v>
      </c>
      <c r="D326" s="18" t="n">
        <f aca="false">1</f>
        <v>1</v>
      </c>
      <c r="E326" s="18" t="n">
        <f aca="false">rel_27</f>
        <v>1</v>
      </c>
      <c r="F326" s="18" t="n">
        <f aca="false">rel_28</f>
        <v>1</v>
      </c>
      <c r="G326" s="18" t="n">
        <f aca="false">rel_29</f>
        <v>1</v>
      </c>
    </row>
    <row r="327" customFormat="false" ht="15" hidden="false" customHeight="false" outlineLevel="0" collapsed="false">
      <c r="A327" s="4" t="s">
        <v>390</v>
      </c>
      <c r="B327" s="0" t="s">
        <v>49</v>
      </c>
      <c r="D327" s="17" t="n">
        <f aca="false">$D$325*D326</f>
        <v>0.176143316327046</v>
      </c>
      <c r="E327" s="17" t="n">
        <f aca="false">$D$325*E326</f>
        <v>0.176143316327046</v>
      </c>
      <c r="F327" s="17" t="n">
        <f aca="false">$D$325*F326</f>
        <v>0.176143316327046</v>
      </c>
      <c r="G327" s="17" t="n">
        <f aca="false">$D$325*G326</f>
        <v>0.176143316327046</v>
      </c>
    </row>
    <row r="328" customFormat="false" ht="17.15" hidden="false" customHeight="false" outlineLevel="0" collapsed="false">
      <c r="A328" s="0" t="s">
        <v>437</v>
      </c>
      <c r="B328" s="0" t="s">
        <v>146</v>
      </c>
      <c r="C328" s="22" t="n">
        <f aca="false">a25_aip</f>
        <v>31.390065</v>
      </c>
      <c r="D328" s="22" t="n">
        <f aca="false">D324*D327</f>
        <v>59.35208013</v>
      </c>
      <c r="E328" s="22" t="n">
        <f aca="false">E324*E327</f>
        <v>140.847349380455</v>
      </c>
      <c r="F328" s="22" t="n">
        <f aca="false">F324*F327</f>
        <v>161.876683826213</v>
      </c>
      <c r="G328" s="22" t="n">
        <f aca="false">G324*G327</f>
        <v>207.453527181882</v>
      </c>
    </row>
    <row r="329" customFormat="false" ht="17.15" hidden="false" customHeight="false" outlineLevel="0" collapsed="false">
      <c r="A329" s="0" t="s">
        <v>438</v>
      </c>
      <c r="B329" s="0" t="s">
        <v>146</v>
      </c>
      <c r="C329" s="22" t="n">
        <f aca="false">a25_ai</f>
        <v>34.87785</v>
      </c>
      <c r="D329" s="22" t="n">
        <f aca="false">D328/(1-x_np)</f>
        <v>65.9467557</v>
      </c>
      <c r="E329" s="22" t="n">
        <f aca="false">E328/(1-x_np)</f>
        <v>156.497054867173</v>
      </c>
      <c r="F329" s="22" t="n">
        <f aca="false">F328/(1-x_np)</f>
        <v>179.862982029125</v>
      </c>
      <c r="G329" s="22" t="n">
        <f aca="false">G328/(1-x_np)</f>
        <v>230.50391909098</v>
      </c>
      <c r="K329" s="4" t="s">
        <v>439</v>
      </c>
    </row>
    <row r="330" customFormat="false" ht="17.15" hidden="false" customHeight="false" outlineLevel="0" collapsed="false">
      <c r="A330" s="6" t="s">
        <v>440</v>
      </c>
    </row>
    <row r="331" customFormat="false" ht="17.15" hidden="false" customHeight="false" outlineLevel="0" collapsed="false">
      <c r="A331" s="4" t="s">
        <v>441</v>
      </c>
      <c r="B331" s="0" t="s">
        <v>146</v>
      </c>
      <c r="C331" s="22" t="n">
        <f aca="false">a25_nai</f>
        <v>131.20715</v>
      </c>
      <c r="D331" s="22" t="n">
        <f aca="false">a26_nai</f>
        <v>146.7847143</v>
      </c>
      <c r="E331" s="22" t="n">
        <f aca="false">D331*(1+g_nai27)</f>
        <v>151.188255729</v>
      </c>
      <c r="F331" s="22" t="n">
        <f aca="false">E331*(1+g_nai28)</f>
        <v>155.72390340087</v>
      </c>
      <c r="G331" s="22" t="n">
        <f aca="false">F331*(1+g_nai29)</f>
        <v>160.395620502896</v>
      </c>
    </row>
    <row r="332" customFormat="false" ht="17.15" hidden="false" customHeight="false" outlineLevel="0" collapsed="false">
      <c r="A332" s="4" t="s">
        <v>328</v>
      </c>
      <c r="B332" s="0" t="s">
        <v>146</v>
      </c>
      <c r="C332" s="22" t="n">
        <f aca="false">C329+C331</f>
        <v>166.085</v>
      </c>
      <c r="D332" s="22" t="n">
        <f aca="false">D329+D331</f>
        <v>212.73147</v>
      </c>
      <c r="E332" s="22" t="n">
        <f aca="false">E329+E331</f>
        <v>307.685310596173</v>
      </c>
      <c r="F332" s="22" t="n">
        <f aca="false">F329+F331</f>
        <v>335.586885429995</v>
      </c>
      <c r="G332" s="22" t="n">
        <f aca="false">G329+G331</f>
        <v>390.899539593876</v>
      </c>
      <c r="H332" s="24" t="n">
        <f aca="false">G332*(1+H333)</f>
        <v>439.064525134509</v>
      </c>
      <c r="I332" s="24" t="n">
        <f aca="false">H332*(1+I333)</f>
        <v>474.895651160772</v>
      </c>
      <c r="J332" s="24" t="n">
        <f aca="false">I332*(1+J333)</f>
        <v>493.891477207202</v>
      </c>
      <c r="K332" s="8" t="s">
        <v>442</v>
      </c>
    </row>
    <row r="333" customFormat="false" ht="15" hidden="false" customHeight="false" outlineLevel="0" collapsed="false">
      <c r="A333" s="4" t="s">
        <v>443</v>
      </c>
      <c r="B333" s="0" t="s">
        <v>49</v>
      </c>
      <c r="D333" s="17" t="n">
        <f aca="false">D332/C332-1</f>
        <v>0.280859017972725</v>
      </c>
      <c r="E333" s="17" t="n">
        <f aca="false">E332/D332-1</f>
        <v>0.446355400995315</v>
      </c>
      <c r="F333" s="17" t="n">
        <f aca="false">F332/E332-1</f>
        <v>0.0906821803737075</v>
      </c>
      <c r="G333" s="17" t="n">
        <f aca="false">G332/F332-1</f>
        <v>0.164823646469401</v>
      </c>
      <c r="H333" s="25" t="n">
        <f aca="false">$G333+(fade_gB-$G333)*1/3</f>
        <v>0.123215764312934</v>
      </c>
      <c r="I333" s="25" t="n">
        <f aca="false">$G333+(fade_gB-$G333)*2/3</f>
        <v>0.081607882156467</v>
      </c>
      <c r="J333" s="25" t="n">
        <f aca="false">$G333+(fade_gB-$G333)*3/3</f>
        <v>0.04</v>
      </c>
    </row>
    <row r="334" customFormat="false" ht="17.15" hidden="false" customHeight="false" outlineLevel="0" collapsed="false">
      <c r="A334" s="0" t="s">
        <v>444</v>
      </c>
      <c r="B334" s="0" t="s">
        <v>49</v>
      </c>
      <c r="C334" s="17" t="n">
        <f aca="false">C329/C332</f>
        <v>0.21</v>
      </c>
      <c r="D334" s="17" t="n">
        <f aca="false">D329/D332</f>
        <v>0.31</v>
      </c>
      <c r="E334" s="17" t="n">
        <f aca="false">E329/E332</f>
        <v>0.508626994782244</v>
      </c>
      <c r="F334" s="17" t="n">
        <f aca="false">F329/F332</f>
        <v>0.535965467776438</v>
      </c>
      <c r="G334" s="17" t="n">
        <f aca="false">G329/G332</f>
        <v>0.58967559626819</v>
      </c>
    </row>
    <row r="335" customFormat="false" ht="17.15" hidden="false" customHeight="false" outlineLevel="0" collapsed="false">
      <c r="A335" s="4" t="s">
        <v>401</v>
      </c>
      <c r="B335" s="0" t="s">
        <v>402</v>
      </c>
      <c r="D335" s="21" t="n">
        <f aca="false">D329/fx/D321*1000</f>
        <v>88.0716581635228</v>
      </c>
      <c r="E335" s="21" t="n">
        <f aca="false">E329/fx/E321*1000</f>
        <v>117.428877551364</v>
      </c>
      <c r="F335" s="21" t="n">
        <f aca="false">F329/fx/F321*1000</f>
        <v>133.086061224879</v>
      </c>
      <c r="G335" s="21" t="n">
        <f aca="false">G329/fx/G321*1000</f>
        <v>140.914653061636</v>
      </c>
    </row>
    <row r="336" customFormat="false" ht="17.15" hidden="false" customHeight="false" outlineLevel="0" collapsed="false">
      <c r="A336" s="6" t="s">
        <v>445</v>
      </c>
    </row>
    <row r="337" customFormat="false" ht="17.15" hidden="false" customHeight="false" outlineLevel="0" collapsed="false">
      <c r="A337" s="4" t="s">
        <v>446</v>
      </c>
      <c r="B337" s="0" t="s">
        <v>49</v>
      </c>
      <c r="D337" s="17" t="n">
        <f aca="false">a26_gp/D332-d_ai_hi*D334</f>
        <v>0.204582337009188</v>
      </c>
      <c r="K337" s="8" t="s">
        <v>447</v>
      </c>
    </row>
    <row r="338" customFormat="false" ht="17.15" hidden="false" customHeight="false" outlineLevel="0" collapsed="false">
      <c r="A338" s="0" t="s">
        <v>448</v>
      </c>
      <c r="B338" s="0" t="s">
        <v>49</v>
      </c>
      <c r="D338" s="17" t="n">
        <f aca="false">D337+d_ai_hi</f>
        <v>0.364582337009188</v>
      </c>
      <c r="E338" s="17" t="n">
        <f aca="false">$D$338+gmu_27</f>
        <v>0.364582337009188</v>
      </c>
      <c r="F338" s="17" t="n">
        <f aca="false">$D$338+gmu_28</f>
        <v>0.364582337009188</v>
      </c>
      <c r="G338" s="17" t="n">
        <f aca="false">$D$338+gmu_29</f>
        <v>0.364582337009188</v>
      </c>
      <c r="K338" s="4" t="s">
        <v>449</v>
      </c>
    </row>
    <row r="339" customFormat="false" ht="15" hidden="false" customHeight="false" outlineLevel="0" collapsed="false">
      <c r="A339" s="4" t="s">
        <v>332</v>
      </c>
      <c r="B339" s="0" t="s">
        <v>146</v>
      </c>
      <c r="C339" s="22" t="n">
        <f aca="false">a25_gp</f>
        <v>38.039</v>
      </c>
      <c r="D339" s="22" t="n">
        <f aca="false">a26_gp</f>
        <v>54.0725822</v>
      </c>
      <c r="E339" s="22" t="n">
        <f aca="false">E329*E338+E331*$D$337</f>
        <v>87.9865086839106</v>
      </c>
      <c r="F339" s="22" t="n">
        <f aca="false">F329*F338+F331*$D$337</f>
        <v>97.4332264155631</v>
      </c>
      <c r="G339" s="22" t="n">
        <f aca="false">G329*G338+G331*$D$337</f>
        <v>116.851768400488</v>
      </c>
    </row>
    <row r="340" customFormat="false" ht="15" hidden="false" customHeight="false" outlineLevel="0" collapsed="false">
      <c r="A340" s="4" t="s">
        <v>335</v>
      </c>
      <c r="B340" s="0" t="s">
        <v>49</v>
      </c>
      <c r="C340" s="17" t="n">
        <f aca="false">C339/C332</f>
        <v>0.229033326308818</v>
      </c>
      <c r="D340" s="17" t="n">
        <f aca="false">D339/D332</f>
        <v>0.254182337009188</v>
      </c>
      <c r="E340" s="17" t="n">
        <f aca="false">E339/E332</f>
        <v>0.285962656174347</v>
      </c>
      <c r="F340" s="17" t="n">
        <f aca="false">F339/F332</f>
        <v>0.290336811853418</v>
      </c>
      <c r="G340" s="17" t="n">
        <f aca="false">G339/G332</f>
        <v>0.298930432412099</v>
      </c>
    </row>
    <row r="341" customFormat="false" ht="15" hidden="false" customHeight="false" outlineLevel="0" collapsed="false">
      <c r="A341" s="4" t="s">
        <v>450</v>
      </c>
      <c r="B341" s="0" t="s">
        <v>146</v>
      </c>
      <c r="C341" s="22" t="n">
        <f aca="false">a25_opx</f>
        <v>21.301</v>
      </c>
      <c r="D341" s="22" t="n">
        <f aca="false">a26_opx</f>
        <v>25.21033346</v>
      </c>
      <c r="E341" s="22" t="n">
        <f aca="false">D341*(1+MAX(0,phi*E333))</f>
        <v>33.0872714105347</v>
      </c>
      <c r="F341" s="22" t="n">
        <f aca="false">E341*(1+MAX(0,phi*F333))</f>
        <v>35.1875695504215</v>
      </c>
      <c r="G341" s="22" t="n">
        <f aca="false">F341*(1+MAX(0,phi*G333))</f>
        <v>39.2473900170088</v>
      </c>
    </row>
    <row r="342" customFormat="false" ht="15" hidden="false" customHeight="false" outlineLevel="0" collapsed="false">
      <c r="A342" s="4" t="s">
        <v>337</v>
      </c>
      <c r="B342" s="0" t="s">
        <v>146</v>
      </c>
      <c r="C342" s="22" t="n">
        <f aca="false">C341</f>
        <v>21.301</v>
      </c>
      <c r="D342" s="22" t="n">
        <f aca="false">D341</f>
        <v>25.21033346</v>
      </c>
      <c r="E342" s="22" t="n">
        <f aca="false">E341+0*E332</f>
        <v>33.0872714105347</v>
      </c>
      <c r="F342" s="22" t="n">
        <f aca="false">F341+0*F332</f>
        <v>35.1875695504215</v>
      </c>
      <c r="G342" s="22" t="n">
        <f aca="false">G341+0*G332</f>
        <v>39.2473900170088</v>
      </c>
    </row>
    <row r="343" customFormat="false" ht="15" hidden="false" customHeight="false" outlineLevel="0" collapsed="false">
      <c r="A343" s="4" t="s">
        <v>340</v>
      </c>
      <c r="B343" s="0" t="s">
        <v>146</v>
      </c>
      <c r="C343" s="22" t="n">
        <f aca="false">C339-C342</f>
        <v>16.738</v>
      </c>
      <c r="D343" s="22" t="n">
        <f aca="false">D339-D342</f>
        <v>28.86224874</v>
      </c>
      <c r="E343" s="22" t="n">
        <f aca="false">E339-E342</f>
        <v>54.8992372733759</v>
      </c>
      <c r="F343" s="22" t="n">
        <f aca="false">F339-F342</f>
        <v>62.2456568651416</v>
      </c>
      <c r="G343" s="22" t="n">
        <f aca="false">G339-G342</f>
        <v>77.6043783834788</v>
      </c>
    </row>
    <row r="344" customFormat="false" ht="15" hidden="false" customHeight="false" outlineLevel="0" collapsed="false">
      <c r="A344" s="4" t="s">
        <v>342</v>
      </c>
      <c r="B344" s="0" t="s">
        <v>49</v>
      </c>
      <c r="C344" s="17" t="n">
        <f aca="false">C343/C332</f>
        <v>0.100779721227083</v>
      </c>
      <c r="D344" s="17" t="n">
        <f aca="false">D343/D332</f>
        <v>0.135674560703219</v>
      </c>
      <c r="E344" s="17" t="n">
        <f aca="false">E343/E332</f>
        <v>0.178426578659224</v>
      </c>
      <c r="F344" s="17" t="n">
        <f aca="false">F343/F332</f>
        <v>0.185482983893679</v>
      </c>
      <c r="G344" s="17" t="n">
        <f aca="false">G343/G332</f>
        <v>0.198527679168171</v>
      </c>
    </row>
    <row r="345" customFormat="false" ht="15" hidden="false" customHeight="false" outlineLevel="0" collapsed="false">
      <c r="A345" s="4" t="s">
        <v>344</v>
      </c>
      <c r="B345" s="0" t="s">
        <v>146</v>
      </c>
      <c r="C345" s="22" t="n">
        <f aca="false">a25_nop</f>
        <v>2.9762895</v>
      </c>
      <c r="D345" s="22" t="n">
        <f aca="false">a26_nop</f>
        <v>3.839</v>
      </c>
      <c r="E345" s="22" t="n">
        <f aca="false">nop_f</f>
        <v>3.5</v>
      </c>
      <c r="F345" s="22" t="n">
        <f aca="false">nop_f</f>
        <v>3.5</v>
      </c>
      <c r="G345" s="22" t="n">
        <f aca="false">nop_f</f>
        <v>3.5</v>
      </c>
    </row>
    <row r="346" customFormat="false" ht="17.15" hidden="false" customHeight="false" outlineLevel="0" collapsed="false">
      <c r="A346" s="4" t="s">
        <v>451</v>
      </c>
      <c r="B346" s="0" t="s">
        <v>49</v>
      </c>
      <c r="C346" s="17" t="n">
        <f aca="false">a25_ni/a25_pt</f>
        <v>0.766753475949514</v>
      </c>
      <c r="D346" s="17" t="n">
        <f aca="false">a26_ni/a26_pt</f>
        <v>0.759431002022174</v>
      </c>
      <c r="E346" s="17" t="n">
        <f aca="false">nir_f</f>
        <v>0.76</v>
      </c>
      <c r="F346" s="17" t="n">
        <f aca="false">nir_f</f>
        <v>0.76</v>
      </c>
      <c r="G346" s="17" t="n">
        <f aca="false">nir_f</f>
        <v>0.76</v>
      </c>
    </row>
    <row r="347" customFormat="false" ht="15" hidden="false" customHeight="false" outlineLevel="0" collapsed="false">
      <c r="A347" s="4" t="s">
        <v>349</v>
      </c>
      <c r="B347" s="0" t="s">
        <v>146</v>
      </c>
      <c r="C347" s="22" t="n">
        <f aca="false">a25_ni</f>
        <v>15.116</v>
      </c>
      <c r="D347" s="22" t="n">
        <f aca="false">a26_ni</f>
        <v>24.8343420979946</v>
      </c>
      <c r="E347" s="22" t="n">
        <f aca="false">(E343+E345)*E346</f>
        <v>44.3834203277657</v>
      </c>
      <c r="F347" s="22" t="n">
        <f aca="false">(F343+F345)*F346</f>
        <v>49.9666992175076</v>
      </c>
      <c r="G347" s="22" t="n">
        <f aca="false">(G343+G345)*G346</f>
        <v>61.6393275714439</v>
      </c>
      <c r="H347" s="24" t="n">
        <f aca="false">H332*H351</f>
        <v>61.8310517224261</v>
      </c>
      <c r="I347" s="24" t="n">
        <f aca="false">I332*I351</f>
        <v>58.8695796873212</v>
      </c>
      <c r="J347" s="24" t="n">
        <f aca="false">J332*J351</f>
        <v>52.8966947284279</v>
      </c>
    </row>
    <row r="348" customFormat="false" ht="15" hidden="false" customHeight="false" outlineLevel="0" collapsed="false">
      <c r="A348" s="4" t="s">
        <v>452</v>
      </c>
      <c r="B348" s="4" t="s">
        <v>176</v>
      </c>
      <c r="C348" s="27" t="n">
        <f aca="false">a25_sh</f>
        <v>2.27650602409639</v>
      </c>
      <c r="D348" s="27" t="n">
        <f aca="false">a26_sh</f>
        <v>2.26895833333333</v>
      </c>
      <c r="E348" s="27" t="n">
        <f aca="false">D348*(1+sh_g)</f>
        <v>2.26895833333333</v>
      </c>
      <c r="F348" s="27" t="n">
        <f aca="false">E348*(1+sh_g)</f>
        <v>2.26895833333333</v>
      </c>
      <c r="G348" s="27" t="n">
        <f aca="false">F348*(1+sh_g)</f>
        <v>2.26895833333333</v>
      </c>
      <c r="H348" s="28" t="n">
        <f aca="false">G348*(1+sh_g)</f>
        <v>2.26895833333333</v>
      </c>
      <c r="I348" s="28" t="n">
        <f aca="false">H348*(1+sh_g)</f>
        <v>2.26895833333333</v>
      </c>
      <c r="J348" s="28" t="n">
        <f aca="false">I348*(1+sh_g)</f>
        <v>2.26895833333333</v>
      </c>
    </row>
    <row r="349" customFormat="false" ht="15" hidden="false" customHeight="false" outlineLevel="0" collapsed="false">
      <c r="A349" s="0" t="s">
        <v>355</v>
      </c>
      <c r="B349" s="0" t="s">
        <v>209</v>
      </c>
      <c r="C349" s="23" t="n">
        <f aca="false">C347/C348</f>
        <v>6.64</v>
      </c>
      <c r="D349" s="23" t="n">
        <f aca="false">D347/D348</f>
        <v>10.9452614149641</v>
      </c>
      <c r="E349" s="23" t="n">
        <f aca="false">E347/E348</f>
        <v>19.5611438410867</v>
      </c>
      <c r="F349" s="23" t="n">
        <f aca="false">F347/F348</f>
        <v>22.02186725223</v>
      </c>
      <c r="G349" s="23" t="n">
        <f aca="false">G347/G348</f>
        <v>27.1663550034828</v>
      </c>
      <c r="H349" s="29" t="n">
        <f aca="false">H347/H348</f>
        <v>27.2508537570145</v>
      </c>
      <c r="I349" s="29" t="n">
        <f aca="false">I347/I348</f>
        <v>25.945641584716</v>
      </c>
      <c r="J349" s="29" t="n">
        <f aca="false">J347/J348</f>
        <v>23.313206748366</v>
      </c>
    </row>
    <row r="350" customFormat="false" ht="17.15" hidden="false" customHeight="false" outlineLevel="0" collapsed="false">
      <c r="A350" s="0" t="s">
        <v>453</v>
      </c>
      <c r="B350" s="0" t="s">
        <v>49</v>
      </c>
      <c r="D350" s="17" t="n">
        <f aca="false">D349/C349-1</f>
        <v>0.648382743217484</v>
      </c>
      <c r="E350" s="17" t="n">
        <f aca="false">E349/D349-1</f>
        <v>0.787179227564467</v>
      </c>
      <c r="F350" s="17" t="n">
        <f aca="false">F349/E349-1</f>
        <v>0.125796498974396</v>
      </c>
      <c r="G350" s="17" t="n">
        <f aca="false">G349/F349-1</f>
        <v>0.233608153765065</v>
      </c>
      <c r="H350" s="25" t="n">
        <f aca="false">H349/G349-1</f>
        <v>0.0031104192491378</v>
      </c>
      <c r="I350" s="25" t="n">
        <f aca="false">I349/H349-1</f>
        <v>-0.0478961937830137</v>
      </c>
      <c r="J350" s="25" t="n">
        <f aca="false">J349/I349-1</f>
        <v>-0.101459616165388</v>
      </c>
    </row>
    <row r="351" customFormat="false" ht="17.15" hidden="false" customHeight="false" outlineLevel="0" collapsed="false">
      <c r="A351" s="4" t="s">
        <v>454</v>
      </c>
      <c r="B351" s="0" t="s">
        <v>49</v>
      </c>
      <c r="C351" s="17" t="n">
        <f aca="false">C347/C332</f>
        <v>0.0910136375952073</v>
      </c>
      <c r="D351" s="17" t="n">
        <f aca="false">D347/D332</f>
        <v>0.116740330417472</v>
      </c>
      <c r="E351" s="17" t="n">
        <f aca="false">E347/E332</f>
        <v>0.144249396377643</v>
      </c>
      <c r="F351" s="17" t="n">
        <f aca="false">F347/F332</f>
        <v>0.148893480010353</v>
      </c>
      <c r="G351" s="17" t="n">
        <f aca="false">G347/G332</f>
        <v>0.157685853596768</v>
      </c>
      <c r="H351" s="25" t="n">
        <f aca="false">$G351+(fade_mB-$G351)*1/3</f>
        <v>0.140824521642881</v>
      </c>
      <c r="I351" s="25" t="n">
        <f aca="false">$G351+(fade_mB-$G351)*2/3</f>
        <v>0.123963189688994</v>
      </c>
      <c r="J351" s="25" t="n">
        <f aca="false">$G351+(fade_mB-$G351)*3/3</f>
        <v>0.107101857735107</v>
      </c>
    </row>
    <row r="354" customFormat="false" ht="17.15" hidden="false" customHeight="false" outlineLevel="0" collapsed="false">
      <c r="A354" s="1" t="s">
        <v>735</v>
      </c>
    </row>
    <row r="355" customFormat="false" ht="17.15" hidden="false" customHeight="false" outlineLevel="0" collapsed="false">
      <c r="A355" s="5" t="s">
        <v>18</v>
      </c>
      <c r="B355" s="5" t="s">
        <v>19</v>
      </c>
      <c r="C355" s="14" t="s">
        <v>323</v>
      </c>
      <c r="D355" s="14" t="s">
        <v>407</v>
      </c>
      <c r="E355" s="14" t="s">
        <v>408</v>
      </c>
      <c r="F355" s="14" t="s">
        <v>409</v>
      </c>
      <c r="G355" s="14" t="s">
        <v>410</v>
      </c>
      <c r="H355" s="14" t="s">
        <v>411</v>
      </c>
      <c r="I355" s="14" t="s">
        <v>412</v>
      </c>
      <c r="J355" s="14" t="s">
        <v>413</v>
      </c>
      <c r="K355" s="5" t="s">
        <v>380</v>
      </c>
    </row>
    <row r="356" customFormat="false" ht="17.15" hidden="false" customHeight="false" outlineLevel="0" collapsed="false">
      <c r="A356" s="6" t="s">
        <v>428</v>
      </c>
    </row>
    <row r="357" customFormat="false" ht="17.15" hidden="false" customHeight="false" outlineLevel="0" collapsed="false">
      <c r="A357" s="0" t="s">
        <v>429</v>
      </c>
      <c r="B357" s="0" t="s">
        <v>29</v>
      </c>
      <c r="D357" s="23" t="n">
        <f aca="false">itc_26*1</f>
        <v>781.872916666667</v>
      </c>
      <c r="E357" s="23" t="n">
        <f aca="false">itc_27*1*1</f>
        <v>1565.35</v>
      </c>
      <c r="F357" s="23" t="n">
        <f aca="false">itc_28*um28_B*1</f>
        <v>1587.41111111111</v>
      </c>
      <c r="G357" s="23" t="n">
        <f aca="false">itc_29*um29_B*1</f>
        <v>1921.33173611111</v>
      </c>
    </row>
    <row r="358" customFormat="false" ht="17.15" hidden="false" customHeight="false" outlineLevel="0" collapsed="false">
      <c r="A358" s="4" t="s">
        <v>430</v>
      </c>
      <c r="B358" s="0" t="s">
        <v>29</v>
      </c>
      <c r="D358" s="23" t="n">
        <f aca="false">itpg_gb*(1-vr26)+itpg_vr*vr26</f>
        <v>33.41403216</v>
      </c>
      <c r="E358" s="23" t="n">
        <f aca="false">itpg_vr</f>
        <v>37.586352</v>
      </c>
      <c r="F358" s="23" t="n">
        <f aca="false">itpg_vr</f>
        <v>37.586352</v>
      </c>
      <c r="G358" s="23" t="n">
        <f aca="false">itpg_vr</f>
        <v>37.586352</v>
      </c>
    </row>
    <row r="359" customFormat="false" ht="17.15" hidden="false" customHeight="false" outlineLevel="0" collapsed="false">
      <c r="A359" s="4" t="s">
        <v>431</v>
      </c>
      <c r="B359" s="0" t="s">
        <v>382</v>
      </c>
      <c r="D359" s="20" t="n">
        <f aca="false">D357/D358</f>
        <v>23.3995380420639</v>
      </c>
      <c r="E359" s="20" t="n">
        <f aca="false">E357/E358</f>
        <v>41.6467658260637</v>
      </c>
      <c r="F359" s="20" t="n">
        <f aca="false">F357/F358</f>
        <v>42.2337105529984</v>
      </c>
      <c r="G359" s="20" t="n">
        <f aca="false">G357/G358</f>
        <v>51.1178029756948</v>
      </c>
    </row>
    <row r="360" customFormat="false" ht="17.15" hidden="false" customHeight="false" outlineLevel="0" collapsed="false">
      <c r="A360" s="0" t="s">
        <v>384</v>
      </c>
      <c r="B360" s="0" t="s">
        <v>87</v>
      </c>
      <c r="D360" s="21" t="n">
        <f aca="false">pkw_26</f>
        <v>450</v>
      </c>
      <c r="E360" s="21" t="n">
        <f aca="false">pkw_27</f>
        <v>600</v>
      </c>
      <c r="F360" s="21" t="n">
        <f aca="false">pkw_28</f>
        <v>680</v>
      </c>
      <c r="G360" s="21" t="n">
        <f aca="false">pkw_29</f>
        <v>720</v>
      </c>
    </row>
    <row r="361" customFormat="false" ht="17.15" hidden="false" customHeight="false" outlineLevel="0" collapsed="false">
      <c r="A361" s="0" t="s">
        <v>432</v>
      </c>
      <c r="B361" s="0" t="s">
        <v>29</v>
      </c>
      <c r="D361" s="23" t="n">
        <f aca="false">D359*D360/1000</f>
        <v>10.5297921189288</v>
      </c>
      <c r="E361" s="23" t="n">
        <f aca="false">E359*E360/1000</f>
        <v>24.9880594956382</v>
      </c>
      <c r="F361" s="23" t="n">
        <f aca="false">F359*F360/1000</f>
        <v>28.7189231760389</v>
      </c>
      <c r="G361" s="23" t="n">
        <f aca="false">G359*G360/1000</f>
        <v>36.8048181425003</v>
      </c>
    </row>
    <row r="362" customFormat="false" ht="17.15" hidden="false" customHeight="false" outlineLevel="0" collapsed="false">
      <c r="A362" s="0" t="s">
        <v>433</v>
      </c>
      <c r="B362" s="0" t="s">
        <v>146</v>
      </c>
      <c r="D362" s="22" t="n">
        <f aca="false">D361*fx</f>
        <v>336.95334780572</v>
      </c>
      <c r="E362" s="22" t="n">
        <f aca="false">E361*fx</f>
        <v>799.617903860422</v>
      </c>
      <c r="F362" s="22" t="n">
        <f aca="false">F361*fx</f>
        <v>919.005541633245</v>
      </c>
      <c r="G362" s="22" t="n">
        <f aca="false">G361*fx</f>
        <v>1177.75418056001</v>
      </c>
    </row>
    <row r="363" customFormat="false" ht="17.15" hidden="false" customHeight="false" outlineLevel="0" collapsed="false">
      <c r="A363" s="4" t="s">
        <v>434</v>
      </c>
      <c r="B363" s="0" t="s">
        <v>49</v>
      </c>
      <c r="D363" s="17" t="n">
        <f aca="false">a26_aip/D362</f>
        <v>0.176143316327046</v>
      </c>
      <c r="K363" s="8" t="s">
        <v>435</v>
      </c>
    </row>
    <row r="364" customFormat="false" ht="17.15" hidden="false" customHeight="false" outlineLevel="0" collapsed="false">
      <c r="A364" s="4" t="s">
        <v>436</v>
      </c>
      <c r="B364" s="0" t="s">
        <v>60</v>
      </c>
      <c r="D364" s="18" t="n">
        <f aca="false">1</f>
        <v>1</v>
      </c>
      <c r="E364" s="18" t="n">
        <f aca="false">rel_27</f>
        <v>1</v>
      </c>
      <c r="F364" s="18" t="n">
        <f aca="false">rel_28</f>
        <v>1</v>
      </c>
      <c r="G364" s="18" t="n">
        <f aca="false">rel_29</f>
        <v>1</v>
      </c>
    </row>
    <row r="365" customFormat="false" ht="15" hidden="false" customHeight="false" outlineLevel="0" collapsed="false">
      <c r="A365" s="4" t="s">
        <v>390</v>
      </c>
      <c r="B365" s="0" t="s">
        <v>49</v>
      </c>
      <c r="D365" s="17" t="n">
        <f aca="false">$D$363*D364</f>
        <v>0.176143316327046</v>
      </c>
      <c r="E365" s="17" t="n">
        <f aca="false">$D$363*E364</f>
        <v>0.176143316327046</v>
      </c>
      <c r="F365" s="17" t="n">
        <f aca="false">$D$363*F364</f>
        <v>0.176143316327046</v>
      </c>
      <c r="G365" s="17" t="n">
        <f aca="false">$D$363*G364</f>
        <v>0.176143316327046</v>
      </c>
    </row>
    <row r="366" customFormat="false" ht="17.15" hidden="false" customHeight="false" outlineLevel="0" collapsed="false">
      <c r="A366" s="0" t="s">
        <v>437</v>
      </c>
      <c r="B366" s="0" t="s">
        <v>146</v>
      </c>
      <c r="C366" s="22" t="n">
        <f aca="false">a25_aip</f>
        <v>31.390065</v>
      </c>
      <c r="D366" s="22" t="n">
        <f aca="false">D362*D365</f>
        <v>59.35208013</v>
      </c>
      <c r="E366" s="22" t="n">
        <f aca="false">E362*E365</f>
        <v>140.847349380455</v>
      </c>
      <c r="F366" s="22" t="n">
        <f aca="false">F362*F365</f>
        <v>161.876683826213</v>
      </c>
      <c r="G366" s="22" t="n">
        <f aca="false">G362*G365</f>
        <v>207.453527181882</v>
      </c>
    </row>
    <row r="367" customFormat="false" ht="17.15" hidden="false" customHeight="false" outlineLevel="0" collapsed="false">
      <c r="A367" s="0" t="s">
        <v>438</v>
      </c>
      <c r="B367" s="0" t="s">
        <v>146</v>
      </c>
      <c r="C367" s="22" t="n">
        <f aca="false">a25_ai</f>
        <v>34.87785</v>
      </c>
      <c r="D367" s="22" t="n">
        <f aca="false">D366/(1-x_np)</f>
        <v>65.9467557</v>
      </c>
      <c r="E367" s="22" t="n">
        <f aca="false">E366/(1-x_np)</f>
        <v>156.497054867173</v>
      </c>
      <c r="F367" s="22" t="n">
        <f aca="false">F366/(1-x_np)</f>
        <v>179.862982029125</v>
      </c>
      <c r="G367" s="22" t="n">
        <f aca="false">G366/(1-x_np)</f>
        <v>230.50391909098</v>
      </c>
      <c r="K367" s="4" t="s">
        <v>439</v>
      </c>
    </row>
    <row r="368" customFormat="false" ht="17.15" hidden="false" customHeight="false" outlineLevel="0" collapsed="false">
      <c r="A368" s="6" t="s">
        <v>440</v>
      </c>
    </row>
    <row r="369" customFormat="false" ht="17.15" hidden="false" customHeight="false" outlineLevel="0" collapsed="false">
      <c r="A369" s="4" t="s">
        <v>441</v>
      </c>
      <c r="B369" s="0" t="s">
        <v>146</v>
      </c>
      <c r="C369" s="22" t="n">
        <f aca="false">a25_nai</f>
        <v>131.20715</v>
      </c>
      <c r="D369" s="22" t="n">
        <f aca="false">a26_nai</f>
        <v>146.7847143</v>
      </c>
      <c r="E369" s="22" t="n">
        <f aca="false">D369*(1+g_nai27)</f>
        <v>151.188255729</v>
      </c>
      <c r="F369" s="22" t="n">
        <f aca="false">E369*(1+g_nai28)</f>
        <v>155.72390340087</v>
      </c>
      <c r="G369" s="22" t="n">
        <f aca="false">F369*(1+g_nai29)</f>
        <v>160.395620502896</v>
      </c>
    </row>
    <row r="370" customFormat="false" ht="17.15" hidden="false" customHeight="false" outlineLevel="0" collapsed="false">
      <c r="A370" s="4" t="s">
        <v>328</v>
      </c>
      <c r="B370" s="0" t="s">
        <v>146</v>
      </c>
      <c r="C370" s="22" t="n">
        <f aca="false">C367+C369</f>
        <v>166.085</v>
      </c>
      <c r="D370" s="22" t="n">
        <f aca="false">D367+D369</f>
        <v>212.73147</v>
      </c>
      <c r="E370" s="22" t="n">
        <f aca="false">E367+E369</f>
        <v>307.685310596173</v>
      </c>
      <c r="F370" s="22" t="n">
        <f aca="false">F367+F369</f>
        <v>335.586885429995</v>
      </c>
      <c r="G370" s="22" t="n">
        <f aca="false">G367+G369</f>
        <v>390.899539593876</v>
      </c>
      <c r="H370" s="24" t="n">
        <f aca="false">G370*(1+H371)</f>
        <v>439.064525134509</v>
      </c>
      <c r="I370" s="24" t="n">
        <f aca="false">H370*(1+I371)</f>
        <v>474.895651160772</v>
      </c>
      <c r="J370" s="24" t="n">
        <f aca="false">I370*(1+J371)</f>
        <v>493.891477207202</v>
      </c>
      <c r="K370" s="8" t="s">
        <v>442</v>
      </c>
    </row>
    <row r="371" customFormat="false" ht="15" hidden="false" customHeight="false" outlineLevel="0" collapsed="false">
      <c r="A371" s="4" t="s">
        <v>443</v>
      </c>
      <c r="B371" s="0" t="s">
        <v>49</v>
      </c>
      <c r="D371" s="17" t="n">
        <f aca="false">D370/C370-1</f>
        <v>0.280859017972725</v>
      </c>
      <c r="E371" s="17" t="n">
        <f aca="false">E370/D370-1</f>
        <v>0.446355400995315</v>
      </c>
      <c r="F371" s="17" t="n">
        <f aca="false">F370/E370-1</f>
        <v>0.0906821803737075</v>
      </c>
      <c r="G371" s="17" t="n">
        <f aca="false">G370/F370-1</f>
        <v>0.164823646469401</v>
      </c>
      <c r="H371" s="25" t="n">
        <f aca="false">$G371+(fade_gB-$G371)*1/3</f>
        <v>0.123215764312934</v>
      </c>
      <c r="I371" s="25" t="n">
        <f aca="false">$G371+(fade_gB-$G371)*2/3</f>
        <v>0.081607882156467</v>
      </c>
      <c r="J371" s="25" t="n">
        <f aca="false">$G371+(fade_gB-$G371)*3/3</f>
        <v>0.04</v>
      </c>
    </row>
    <row r="372" customFormat="false" ht="17.15" hidden="false" customHeight="false" outlineLevel="0" collapsed="false">
      <c r="A372" s="0" t="s">
        <v>444</v>
      </c>
      <c r="B372" s="0" t="s">
        <v>49</v>
      </c>
      <c r="C372" s="17" t="n">
        <f aca="false">C367/C370</f>
        <v>0.21</v>
      </c>
      <c r="D372" s="17" t="n">
        <f aca="false">D367/D370</f>
        <v>0.31</v>
      </c>
      <c r="E372" s="17" t="n">
        <f aca="false">E367/E370</f>
        <v>0.508626994782244</v>
      </c>
      <c r="F372" s="17" t="n">
        <f aca="false">F367/F370</f>
        <v>0.535965467776438</v>
      </c>
      <c r="G372" s="17" t="n">
        <f aca="false">G367/G370</f>
        <v>0.58967559626819</v>
      </c>
    </row>
    <row r="373" customFormat="false" ht="17.15" hidden="false" customHeight="false" outlineLevel="0" collapsed="false">
      <c r="A373" s="4" t="s">
        <v>401</v>
      </c>
      <c r="B373" s="0" t="s">
        <v>402</v>
      </c>
      <c r="D373" s="21" t="n">
        <f aca="false">D367/fx/D359*1000</f>
        <v>88.0716581635228</v>
      </c>
      <c r="E373" s="21" t="n">
        <f aca="false">E367/fx/E359*1000</f>
        <v>117.428877551364</v>
      </c>
      <c r="F373" s="21" t="n">
        <f aca="false">F367/fx/F359*1000</f>
        <v>133.086061224879</v>
      </c>
      <c r="G373" s="21" t="n">
        <f aca="false">G367/fx/G359*1000</f>
        <v>140.914653061636</v>
      </c>
    </row>
    <row r="374" customFormat="false" ht="17.15" hidden="false" customHeight="false" outlineLevel="0" collapsed="false">
      <c r="A374" s="6" t="s">
        <v>445</v>
      </c>
    </row>
    <row r="375" customFormat="false" ht="17.15" hidden="false" customHeight="false" outlineLevel="0" collapsed="false">
      <c r="A375" s="4" t="s">
        <v>446</v>
      </c>
      <c r="B375" s="0" t="s">
        <v>49</v>
      </c>
      <c r="D375" s="17" t="n">
        <f aca="false">a26_gp/D370-d_ai*D372</f>
        <v>0.216982337009188</v>
      </c>
      <c r="K375" s="8" t="s">
        <v>447</v>
      </c>
    </row>
    <row r="376" customFormat="false" ht="17.15" hidden="false" customHeight="false" outlineLevel="0" collapsed="false">
      <c r="A376" s="0" t="s">
        <v>448</v>
      </c>
      <c r="B376" s="0" t="s">
        <v>49</v>
      </c>
      <c r="D376" s="17" t="n">
        <f aca="false">D375+d_ai</f>
        <v>0.336982337009188</v>
      </c>
      <c r="E376" s="17" t="n">
        <f aca="false">$D$376+GULO_27</f>
        <v>0.326982337009188</v>
      </c>
      <c r="F376" s="17" t="n">
        <f aca="false">$D$376+GULO_28</f>
        <v>0.321982337009188</v>
      </c>
      <c r="G376" s="17" t="n">
        <f aca="false">$D$376+GULO_29</f>
        <v>0.316982337009188</v>
      </c>
      <c r="K376" s="4" t="s">
        <v>449</v>
      </c>
    </row>
    <row r="377" customFormat="false" ht="15" hidden="false" customHeight="false" outlineLevel="0" collapsed="false">
      <c r="A377" s="4" t="s">
        <v>332</v>
      </c>
      <c r="B377" s="0" t="s">
        <v>146</v>
      </c>
      <c r="C377" s="22" t="n">
        <f aca="false">a25_gp</f>
        <v>38.039</v>
      </c>
      <c r="D377" s="22" t="n">
        <f aca="false">a26_gp</f>
        <v>54.0725822</v>
      </c>
      <c r="E377" s="22" t="n">
        <f aca="false">E367*E376+E369*$D$375</f>
        <v>83.9769537919445</v>
      </c>
      <c r="F377" s="22" t="n">
        <f aca="false">F367*F376+F369*$D$375</f>
        <v>91.7020397832931</v>
      </c>
      <c r="G377" s="22" t="n">
        <f aca="false">G367*G376+G369*$D$375</f>
        <v>107.868687545993</v>
      </c>
    </row>
    <row r="378" customFormat="false" ht="15" hidden="false" customHeight="false" outlineLevel="0" collapsed="false">
      <c r="A378" s="4" t="s">
        <v>335</v>
      </c>
      <c r="B378" s="0" t="s">
        <v>49</v>
      </c>
      <c r="C378" s="17" t="n">
        <f aca="false">C377/C370</f>
        <v>0.229033326308818</v>
      </c>
      <c r="D378" s="17" t="n">
        <f aca="false">D377/D370</f>
        <v>0.254182337009188</v>
      </c>
      <c r="E378" s="17" t="n">
        <f aca="false">E377/E370</f>
        <v>0.272931306435235</v>
      </c>
      <c r="F378" s="17" t="n">
        <f aca="false">F377/F370</f>
        <v>0.273258711125714</v>
      </c>
      <c r="G378" s="17" t="n">
        <f aca="false">G377/G370</f>
        <v>0.275949896636007</v>
      </c>
    </row>
    <row r="379" customFormat="false" ht="15" hidden="false" customHeight="false" outlineLevel="0" collapsed="false">
      <c r="A379" s="4" t="s">
        <v>450</v>
      </c>
      <c r="B379" s="0" t="s">
        <v>146</v>
      </c>
      <c r="C379" s="22" t="n">
        <f aca="false">a25_opx</f>
        <v>21.301</v>
      </c>
      <c r="D379" s="22" t="n">
        <f aca="false">a26_opx</f>
        <v>25.21033346</v>
      </c>
      <c r="E379" s="22" t="n">
        <f aca="false">D379*(1+MAX(0,phi*E371))</f>
        <v>33.0872714105347</v>
      </c>
      <c r="F379" s="22" t="n">
        <f aca="false">E379*(1+MAX(0,phi*F371))</f>
        <v>35.1875695504215</v>
      </c>
      <c r="G379" s="22" t="n">
        <f aca="false">F379*(1+MAX(0,phi*G371))</f>
        <v>39.2473900170088</v>
      </c>
    </row>
    <row r="380" customFormat="false" ht="15" hidden="false" customHeight="false" outlineLevel="0" collapsed="false">
      <c r="A380" s="4" t="s">
        <v>337</v>
      </c>
      <c r="B380" s="0" t="s">
        <v>146</v>
      </c>
      <c r="C380" s="22" t="n">
        <f aca="false">C379</f>
        <v>21.301</v>
      </c>
      <c r="D380" s="22" t="n">
        <f aca="false">D379</f>
        <v>25.21033346</v>
      </c>
      <c r="E380" s="22" t="n">
        <f aca="false">E379+0*E370</f>
        <v>33.0872714105347</v>
      </c>
      <c r="F380" s="22" t="n">
        <f aca="false">F379+0*F370</f>
        <v>35.1875695504215</v>
      </c>
      <c r="G380" s="22" t="n">
        <f aca="false">G379+0*G370</f>
        <v>39.2473900170088</v>
      </c>
    </row>
    <row r="381" customFormat="false" ht="15" hidden="false" customHeight="false" outlineLevel="0" collapsed="false">
      <c r="A381" s="4" t="s">
        <v>340</v>
      </c>
      <c r="B381" s="0" t="s">
        <v>146</v>
      </c>
      <c r="C381" s="22" t="n">
        <f aca="false">C377-C380</f>
        <v>16.738</v>
      </c>
      <c r="D381" s="22" t="n">
        <f aca="false">D377-D380</f>
        <v>28.86224874</v>
      </c>
      <c r="E381" s="22" t="n">
        <f aca="false">E377-E380</f>
        <v>50.8896823814098</v>
      </c>
      <c r="F381" s="22" t="n">
        <f aca="false">F377-F380</f>
        <v>56.5144702328717</v>
      </c>
      <c r="G381" s="22" t="n">
        <f aca="false">G377-G380</f>
        <v>68.6212975289841</v>
      </c>
    </row>
    <row r="382" customFormat="false" ht="15" hidden="false" customHeight="false" outlineLevel="0" collapsed="false">
      <c r="A382" s="4" t="s">
        <v>342</v>
      </c>
      <c r="B382" s="0" t="s">
        <v>49</v>
      </c>
      <c r="C382" s="17" t="n">
        <f aca="false">C381/C370</f>
        <v>0.100779721227083</v>
      </c>
      <c r="D382" s="17" t="n">
        <f aca="false">D381/D370</f>
        <v>0.135674560703219</v>
      </c>
      <c r="E382" s="17" t="n">
        <f aca="false">E381/E370</f>
        <v>0.165395228920112</v>
      </c>
      <c r="F382" s="17" t="n">
        <f aca="false">F381/F370</f>
        <v>0.168404883165975</v>
      </c>
      <c r="G382" s="17" t="n">
        <f aca="false">G381/G370</f>
        <v>0.17554714339208</v>
      </c>
    </row>
    <row r="383" customFormat="false" ht="15" hidden="false" customHeight="false" outlineLevel="0" collapsed="false">
      <c r="A383" s="4" t="s">
        <v>344</v>
      </c>
      <c r="B383" s="0" t="s">
        <v>146</v>
      </c>
      <c r="C383" s="22" t="n">
        <f aca="false">a25_nop</f>
        <v>2.9762895</v>
      </c>
      <c r="D383" s="22" t="n">
        <f aca="false">a26_nop</f>
        <v>3.839</v>
      </c>
      <c r="E383" s="22" t="n">
        <f aca="false">nop_f</f>
        <v>3.5</v>
      </c>
      <c r="F383" s="22" t="n">
        <f aca="false">nop_f</f>
        <v>3.5</v>
      </c>
      <c r="G383" s="22" t="n">
        <f aca="false">nop_f</f>
        <v>3.5</v>
      </c>
    </row>
    <row r="384" customFormat="false" ht="17.15" hidden="false" customHeight="false" outlineLevel="0" collapsed="false">
      <c r="A384" s="4" t="s">
        <v>451</v>
      </c>
      <c r="B384" s="0" t="s">
        <v>49</v>
      </c>
      <c r="C384" s="17" t="n">
        <f aca="false">a25_ni/a25_pt</f>
        <v>0.766753475949514</v>
      </c>
      <c r="D384" s="17" t="n">
        <f aca="false">a26_ni/a26_pt</f>
        <v>0.759431002022174</v>
      </c>
      <c r="E384" s="17" t="n">
        <f aca="false">nir_f</f>
        <v>0.76</v>
      </c>
      <c r="F384" s="17" t="n">
        <f aca="false">nir_f</f>
        <v>0.76</v>
      </c>
      <c r="G384" s="17" t="n">
        <f aca="false">nir_f</f>
        <v>0.76</v>
      </c>
    </row>
    <row r="385" customFormat="false" ht="15" hidden="false" customHeight="false" outlineLevel="0" collapsed="false">
      <c r="A385" s="4" t="s">
        <v>349</v>
      </c>
      <c r="B385" s="0" t="s">
        <v>146</v>
      </c>
      <c r="C385" s="22" t="n">
        <f aca="false">a25_ni</f>
        <v>15.116</v>
      </c>
      <c r="D385" s="22" t="n">
        <f aca="false">a26_ni</f>
        <v>24.8343420979946</v>
      </c>
      <c r="E385" s="22" t="n">
        <f aca="false">(E381+E383)*E384</f>
        <v>41.3361586098714</v>
      </c>
      <c r="F385" s="22" t="n">
        <f aca="false">(F381+F383)*F384</f>
        <v>45.6109973769825</v>
      </c>
      <c r="G385" s="22" t="n">
        <f aca="false">(G381+G383)*G384</f>
        <v>54.8121861220279</v>
      </c>
      <c r="H385" s="24" t="n">
        <f aca="false">H370*H389</f>
        <v>56.7188164549739</v>
      </c>
      <c r="I385" s="24" t="n">
        <f aca="false">I370*I389</f>
        <v>56.1048627069639</v>
      </c>
      <c r="J385" s="24" t="n">
        <f aca="false">J370*J389</f>
        <v>52.8966947284279</v>
      </c>
    </row>
    <row r="386" customFormat="false" ht="15" hidden="false" customHeight="false" outlineLevel="0" collapsed="false">
      <c r="A386" s="4" t="s">
        <v>452</v>
      </c>
      <c r="B386" s="4" t="s">
        <v>176</v>
      </c>
      <c r="C386" s="27" t="n">
        <f aca="false">a25_sh</f>
        <v>2.27650602409639</v>
      </c>
      <c r="D386" s="27" t="n">
        <f aca="false">a26_sh</f>
        <v>2.26895833333333</v>
      </c>
      <c r="E386" s="27" t="n">
        <f aca="false">D386*(1+sh_g)</f>
        <v>2.26895833333333</v>
      </c>
      <c r="F386" s="27" t="n">
        <f aca="false">E386*(1+sh_g)</f>
        <v>2.26895833333333</v>
      </c>
      <c r="G386" s="27" t="n">
        <f aca="false">F386*(1+sh_g)</f>
        <v>2.26895833333333</v>
      </c>
      <c r="H386" s="28" t="n">
        <f aca="false">G386*(1+sh_g)</f>
        <v>2.26895833333333</v>
      </c>
      <c r="I386" s="28" t="n">
        <f aca="false">H386*(1+sh_g)</f>
        <v>2.26895833333333</v>
      </c>
      <c r="J386" s="28" t="n">
        <f aca="false">I386*(1+sh_g)</f>
        <v>2.26895833333333</v>
      </c>
    </row>
    <row r="387" customFormat="false" ht="15" hidden="false" customHeight="false" outlineLevel="0" collapsed="false">
      <c r="A387" s="0" t="s">
        <v>355</v>
      </c>
      <c r="B387" s="0" t="s">
        <v>209</v>
      </c>
      <c r="C387" s="23" t="n">
        <f aca="false">C385/C386</f>
        <v>6.64</v>
      </c>
      <c r="D387" s="23" t="n">
        <f aca="false">D385/D386</f>
        <v>10.9452614149641</v>
      </c>
      <c r="E387" s="23" t="n">
        <f aca="false">E385/E386</f>
        <v>18.2181215065084</v>
      </c>
      <c r="F387" s="23" t="n">
        <f aca="false">F385/F386</f>
        <v>20.1021749526688</v>
      </c>
      <c r="G387" s="23" t="n">
        <f aca="false">G385/G386</f>
        <v>24.1574229534234</v>
      </c>
      <c r="H387" s="29" t="n">
        <f aca="false">H385/H386</f>
        <v>24.9977338154324</v>
      </c>
      <c r="I387" s="29" t="n">
        <f aca="false">I385/I386</f>
        <v>24.7271454405864</v>
      </c>
      <c r="J387" s="29" t="n">
        <f aca="false">J385/J386</f>
        <v>23.313206748366</v>
      </c>
    </row>
    <row r="388" customFormat="false" ht="17.15" hidden="false" customHeight="false" outlineLevel="0" collapsed="false">
      <c r="A388" s="0" t="s">
        <v>453</v>
      </c>
      <c r="B388" s="0" t="s">
        <v>49</v>
      </c>
      <c r="D388" s="17" t="n">
        <f aca="false">D387/C387-1</f>
        <v>0.648382743217484</v>
      </c>
      <c r="E388" s="17" t="n">
        <f aca="false">E387/D387-1</f>
        <v>0.664475686400785</v>
      </c>
      <c r="F388" s="17" t="n">
        <f aca="false">F387/E387-1</f>
        <v>0.103416449686502</v>
      </c>
      <c r="G388" s="17" t="n">
        <f aca="false">G387/F387-1</f>
        <v>0.201731803165717</v>
      </c>
      <c r="H388" s="25" t="n">
        <f aca="false">H387/G387-1</f>
        <v>0.0347847890741158</v>
      </c>
      <c r="I388" s="25" t="n">
        <f aca="false">I387/H387-1</f>
        <v>-0.0108245162079031</v>
      </c>
      <c r="J388" s="25" t="n">
        <f aca="false">J387/I387-1</f>
        <v>-0.0571816385202174</v>
      </c>
    </row>
    <row r="389" customFormat="false" ht="17.15" hidden="false" customHeight="false" outlineLevel="0" collapsed="false">
      <c r="A389" s="4" t="s">
        <v>454</v>
      </c>
      <c r="B389" s="0" t="s">
        <v>49</v>
      </c>
      <c r="C389" s="17" t="n">
        <f aca="false">C385/C370</f>
        <v>0.0910136375952073</v>
      </c>
      <c r="D389" s="17" t="n">
        <f aca="false">D385/D370</f>
        <v>0.116740330417472</v>
      </c>
      <c r="E389" s="17" t="n">
        <f aca="false">E385/E370</f>
        <v>0.134345570575918</v>
      </c>
      <c r="F389" s="17" t="n">
        <f aca="false">F385/F370</f>
        <v>0.135914123457298</v>
      </c>
      <c r="G389" s="17" t="n">
        <f aca="false">G385/G370</f>
        <v>0.140220646406939</v>
      </c>
      <c r="H389" s="25" t="n">
        <f aca="false">$G389+(fade_mB-$G389)*1/3</f>
        <v>0.129181050182995</v>
      </c>
      <c r="I389" s="25" t="n">
        <f aca="false">$G389+(fade_mB-$G389)*2/3</f>
        <v>0.118141453959051</v>
      </c>
      <c r="J389" s="25" t="n">
        <f aca="false">$G389+(fade_mB-$G389)*3/3</f>
        <v>0.107101857735107</v>
      </c>
    </row>
    <row r="392" customFormat="false" ht="17.15" hidden="false" customHeight="false" outlineLevel="0" collapsed="false">
      <c r="A392" s="1" t="s">
        <v>736</v>
      </c>
    </row>
    <row r="393" customFormat="false" ht="17.15" hidden="false" customHeight="false" outlineLevel="0" collapsed="false">
      <c r="A393" s="5" t="s">
        <v>18</v>
      </c>
      <c r="B393" s="5" t="s">
        <v>19</v>
      </c>
      <c r="C393" s="14" t="s">
        <v>323</v>
      </c>
      <c r="D393" s="14" t="s">
        <v>407</v>
      </c>
      <c r="E393" s="14" t="s">
        <v>408</v>
      </c>
      <c r="F393" s="14" t="s">
        <v>409</v>
      </c>
      <c r="G393" s="14" t="s">
        <v>410</v>
      </c>
      <c r="H393" s="14" t="s">
        <v>411</v>
      </c>
      <c r="I393" s="14" t="s">
        <v>412</v>
      </c>
      <c r="J393" s="14" t="s">
        <v>413</v>
      </c>
      <c r="K393" s="5" t="s">
        <v>380</v>
      </c>
    </row>
    <row r="394" customFormat="false" ht="17.15" hidden="false" customHeight="false" outlineLevel="0" collapsed="false">
      <c r="A394" s="6" t="s">
        <v>428</v>
      </c>
    </row>
    <row r="395" customFormat="false" ht="17.15" hidden="false" customHeight="false" outlineLevel="0" collapsed="false">
      <c r="A395" s="0" t="s">
        <v>429</v>
      </c>
      <c r="B395" s="0" t="s">
        <v>29</v>
      </c>
      <c r="D395" s="23" t="n">
        <f aca="false">itc_26*1</f>
        <v>781.872916666667</v>
      </c>
      <c r="E395" s="23" t="n">
        <f aca="false">itc_27*1*1</f>
        <v>1565.35</v>
      </c>
      <c r="F395" s="23" t="n">
        <f aca="false">itc_28*um28_B*1</f>
        <v>1587.41111111111</v>
      </c>
      <c r="G395" s="23" t="n">
        <f aca="false">itc_29*um29_B*1</f>
        <v>1921.33173611111</v>
      </c>
    </row>
    <row r="396" customFormat="false" ht="17.15" hidden="false" customHeight="false" outlineLevel="0" collapsed="false">
      <c r="A396" s="4" t="s">
        <v>430</v>
      </c>
      <c r="B396" s="0" t="s">
        <v>29</v>
      </c>
      <c r="D396" s="23" t="n">
        <f aca="false">itpg_gb*(1-vr26)+itpg_vr*vr26</f>
        <v>33.41403216</v>
      </c>
      <c r="E396" s="23" t="n">
        <f aca="false">itpg_vr</f>
        <v>37.586352</v>
      </c>
      <c r="F396" s="23" t="n">
        <f aca="false">itpg_vr</f>
        <v>37.586352</v>
      </c>
      <c r="G396" s="23" t="n">
        <f aca="false">itpg_vr</f>
        <v>37.586352</v>
      </c>
    </row>
    <row r="397" customFormat="false" ht="17.15" hidden="false" customHeight="false" outlineLevel="0" collapsed="false">
      <c r="A397" s="4" t="s">
        <v>431</v>
      </c>
      <c r="B397" s="0" t="s">
        <v>382</v>
      </c>
      <c r="D397" s="20" t="n">
        <f aca="false">D395/D396</f>
        <v>23.3995380420639</v>
      </c>
      <c r="E397" s="20" t="n">
        <f aca="false">E395/E396</f>
        <v>41.6467658260637</v>
      </c>
      <c r="F397" s="20" t="n">
        <f aca="false">F395/F396</f>
        <v>42.2337105529984</v>
      </c>
      <c r="G397" s="20" t="n">
        <f aca="false">G395/G396</f>
        <v>51.1178029756948</v>
      </c>
    </row>
    <row r="398" customFormat="false" ht="17.15" hidden="false" customHeight="false" outlineLevel="0" collapsed="false">
      <c r="A398" s="0" t="s">
        <v>384</v>
      </c>
      <c r="B398" s="0" t="s">
        <v>87</v>
      </c>
      <c r="D398" s="21" t="n">
        <f aca="false">pkw_26</f>
        <v>450</v>
      </c>
      <c r="E398" s="21" t="n">
        <f aca="false">pkw_27</f>
        <v>600</v>
      </c>
      <c r="F398" s="21" t="n">
        <f aca="false">pkw_28</f>
        <v>680</v>
      </c>
      <c r="G398" s="21" t="n">
        <f aca="false">pkw_29</f>
        <v>720</v>
      </c>
    </row>
    <row r="399" customFormat="false" ht="17.15" hidden="false" customHeight="false" outlineLevel="0" collapsed="false">
      <c r="A399" s="0" t="s">
        <v>432</v>
      </c>
      <c r="B399" s="0" t="s">
        <v>29</v>
      </c>
      <c r="D399" s="23" t="n">
        <f aca="false">D397*D398/1000</f>
        <v>10.5297921189288</v>
      </c>
      <c r="E399" s="23" t="n">
        <f aca="false">E397*E398/1000</f>
        <v>24.9880594956382</v>
      </c>
      <c r="F399" s="23" t="n">
        <f aca="false">F397*F398/1000</f>
        <v>28.7189231760389</v>
      </c>
      <c r="G399" s="23" t="n">
        <f aca="false">G397*G398/1000</f>
        <v>36.8048181425003</v>
      </c>
    </row>
    <row r="400" customFormat="false" ht="17.15" hidden="false" customHeight="false" outlineLevel="0" collapsed="false">
      <c r="A400" s="0" t="s">
        <v>433</v>
      </c>
      <c r="B400" s="0" t="s">
        <v>146</v>
      </c>
      <c r="D400" s="22" t="n">
        <f aca="false">D399*fx</f>
        <v>336.95334780572</v>
      </c>
      <c r="E400" s="22" t="n">
        <f aca="false">E399*fx</f>
        <v>799.617903860422</v>
      </c>
      <c r="F400" s="22" t="n">
        <f aca="false">F399*fx</f>
        <v>919.005541633245</v>
      </c>
      <c r="G400" s="22" t="n">
        <f aca="false">G399*fx</f>
        <v>1177.75418056001</v>
      </c>
    </row>
    <row r="401" customFormat="false" ht="17.15" hidden="false" customHeight="false" outlineLevel="0" collapsed="false">
      <c r="A401" s="4" t="s">
        <v>434</v>
      </c>
      <c r="B401" s="0" t="s">
        <v>49</v>
      </c>
      <c r="D401" s="17" t="n">
        <f aca="false">a26_aip/D400</f>
        <v>0.176143316327046</v>
      </c>
      <c r="K401" s="8" t="s">
        <v>435</v>
      </c>
    </row>
    <row r="402" customFormat="false" ht="17.15" hidden="false" customHeight="false" outlineLevel="0" collapsed="false">
      <c r="A402" s="4" t="s">
        <v>436</v>
      </c>
      <c r="B402" s="0" t="s">
        <v>60</v>
      </c>
      <c r="D402" s="18" t="n">
        <f aca="false">1</f>
        <v>1</v>
      </c>
      <c r="E402" s="18" t="n">
        <f aca="false">rel_27</f>
        <v>1</v>
      </c>
      <c r="F402" s="18" t="n">
        <f aca="false">rel_28</f>
        <v>1</v>
      </c>
      <c r="G402" s="18" t="n">
        <f aca="false">rel_29</f>
        <v>1</v>
      </c>
    </row>
    <row r="403" customFormat="false" ht="15" hidden="false" customHeight="false" outlineLevel="0" collapsed="false">
      <c r="A403" s="4" t="s">
        <v>390</v>
      </c>
      <c r="B403" s="0" t="s">
        <v>49</v>
      </c>
      <c r="D403" s="17" t="n">
        <f aca="false">$D$401*D402</f>
        <v>0.176143316327046</v>
      </c>
      <c r="E403" s="17" t="n">
        <f aca="false">$D$401*E402</f>
        <v>0.176143316327046</v>
      </c>
      <c r="F403" s="17" t="n">
        <f aca="false">$D$401*F402</f>
        <v>0.176143316327046</v>
      </c>
      <c r="G403" s="17" t="n">
        <f aca="false">$D$401*G402</f>
        <v>0.176143316327046</v>
      </c>
    </row>
    <row r="404" customFormat="false" ht="17.15" hidden="false" customHeight="false" outlineLevel="0" collapsed="false">
      <c r="A404" s="0" t="s">
        <v>437</v>
      </c>
      <c r="B404" s="0" t="s">
        <v>146</v>
      </c>
      <c r="C404" s="22" t="n">
        <f aca="false">a25_aip</f>
        <v>31.390065</v>
      </c>
      <c r="D404" s="22" t="n">
        <f aca="false">D400*D403</f>
        <v>59.35208013</v>
      </c>
      <c r="E404" s="22" t="n">
        <f aca="false">E400*E403</f>
        <v>140.847349380455</v>
      </c>
      <c r="F404" s="22" t="n">
        <f aca="false">F400*F403</f>
        <v>161.876683826213</v>
      </c>
      <c r="G404" s="22" t="n">
        <f aca="false">G400*G403</f>
        <v>207.453527181882</v>
      </c>
    </row>
    <row r="405" customFormat="false" ht="17.15" hidden="false" customHeight="false" outlineLevel="0" collapsed="false">
      <c r="A405" s="0" t="s">
        <v>438</v>
      </c>
      <c r="B405" s="0" t="s">
        <v>146</v>
      </c>
      <c r="C405" s="22" t="n">
        <f aca="false">a25_ai</f>
        <v>34.87785</v>
      </c>
      <c r="D405" s="22" t="n">
        <f aca="false">D404/(1-x_np)</f>
        <v>65.9467557</v>
      </c>
      <c r="E405" s="22" t="n">
        <f aca="false">E404/(1-x_np)</f>
        <v>156.497054867173</v>
      </c>
      <c r="F405" s="22" t="n">
        <f aca="false">F404/(1-x_np)</f>
        <v>179.862982029125</v>
      </c>
      <c r="G405" s="22" t="n">
        <f aca="false">G404/(1-x_np)</f>
        <v>230.50391909098</v>
      </c>
      <c r="K405" s="4" t="s">
        <v>439</v>
      </c>
    </row>
    <row r="406" customFormat="false" ht="17.15" hidden="false" customHeight="false" outlineLevel="0" collapsed="false">
      <c r="A406" s="6" t="s">
        <v>440</v>
      </c>
    </row>
    <row r="407" customFormat="false" ht="17.15" hidden="false" customHeight="false" outlineLevel="0" collapsed="false">
      <c r="A407" s="4" t="s">
        <v>441</v>
      </c>
      <c r="B407" s="0" t="s">
        <v>146</v>
      </c>
      <c r="C407" s="22" t="n">
        <f aca="false">a25_nai</f>
        <v>131.20715</v>
      </c>
      <c r="D407" s="22" t="n">
        <f aca="false">a26_nai</f>
        <v>146.7847143</v>
      </c>
      <c r="E407" s="22" t="n">
        <f aca="false">D407*(1+g_nai27)</f>
        <v>151.188255729</v>
      </c>
      <c r="F407" s="22" t="n">
        <f aca="false">E407*(1+g_nai28)</f>
        <v>155.72390340087</v>
      </c>
      <c r="G407" s="22" t="n">
        <f aca="false">F407*(1+g_nai29)</f>
        <v>160.395620502896</v>
      </c>
    </row>
    <row r="408" customFormat="false" ht="17.15" hidden="false" customHeight="false" outlineLevel="0" collapsed="false">
      <c r="A408" s="4" t="s">
        <v>328</v>
      </c>
      <c r="B408" s="0" t="s">
        <v>146</v>
      </c>
      <c r="C408" s="22" t="n">
        <f aca="false">C405+C407</f>
        <v>166.085</v>
      </c>
      <c r="D408" s="22" t="n">
        <f aca="false">D405+D407</f>
        <v>212.73147</v>
      </c>
      <c r="E408" s="22" t="n">
        <f aca="false">E405+E407</f>
        <v>307.685310596173</v>
      </c>
      <c r="F408" s="22" t="n">
        <f aca="false">F405+F407</f>
        <v>335.586885429995</v>
      </c>
      <c r="G408" s="22" t="n">
        <f aca="false">G405+G407</f>
        <v>390.899539593876</v>
      </c>
      <c r="H408" s="24" t="n">
        <f aca="false">G408*(1+H409)</f>
        <v>439.064525134509</v>
      </c>
      <c r="I408" s="24" t="n">
        <f aca="false">H408*(1+I409)</f>
        <v>474.895651160772</v>
      </c>
      <c r="J408" s="24" t="n">
        <f aca="false">I408*(1+J409)</f>
        <v>493.891477207202</v>
      </c>
      <c r="K408" s="8" t="s">
        <v>442</v>
      </c>
    </row>
    <row r="409" customFormat="false" ht="15" hidden="false" customHeight="false" outlineLevel="0" collapsed="false">
      <c r="A409" s="4" t="s">
        <v>443</v>
      </c>
      <c r="B409" s="0" t="s">
        <v>49</v>
      </c>
      <c r="D409" s="17" t="n">
        <f aca="false">D408/C408-1</f>
        <v>0.280859017972725</v>
      </c>
      <c r="E409" s="17" t="n">
        <f aca="false">E408/D408-1</f>
        <v>0.446355400995315</v>
      </c>
      <c r="F409" s="17" t="n">
        <f aca="false">F408/E408-1</f>
        <v>0.0906821803737075</v>
      </c>
      <c r="G409" s="17" t="n">
        <f aca="false">G408/F408-1</f>
        <v>0.164823646469401</v>
      </c>
      <c r="H409" s="25" t="n">
        <f aca="false">$G409+(fade_gB-$G409)*1/3</f>
        <v>0.123215764312934</v>
      </c>
      <c r="I409" s="25" t="n">
        <f aca="false">$G409+(fade_gB-$G409)*2/3</f>
        <v>0.081607882156467</v>
      </c>
      <c r="J409" s="25" t="n">
        <f aca="false">$G409+(fade_gB-$G409)*3/3</f>
        <v>0.04</v>
      </c>
    </row>
    <row r="410" customFormat="false" ht="17.15" hidden="false" customHeight="false" outlineLevel="0" collapsed="false">
      <c r="A410" s="0" t="s">
        <v>444</v>
      </c>
      <c r="B410" s="0" t="s">
        <v>49</v>
      </c>
      <c r="C410" s="17" t="n">
        <f aca="false">C405/C408</f>
        <v>0.21</v>
      </c>
      <c r="D410" s="17" t="n">
        <f aca="false">D405/D408</f>
        <v>0.31</v>
      </c>
      <c r="E410" s="17" t="n">
        <f aca="false">E405/E408</f>
        <v>0.508626994782244</v>
      </c>
      <c r="F410" s="17" t="n">
        <f aca="false">F405/F408</f>
        <v>0.535965467776438</v>
      </c>
      <c r="G410" s="17" t="n">
        <f aca="false">G405/G408</f>
        <v>0.58967559626819</v>
      </c>
    </row>
    <row r="411" customFormat="false" ht="17.15" hidden="false" customHeight="false" outlineLevel="0" collapsed="false">
      <c r="A411" s="4" t="s">
        <v>401</v>
      </c>
      <c r="B411" s="0" t="s">
        <v>402</v>
      </c>
      <c r="D411" s="21" t="n">
        <f aca="false">D405/fx/D397*1000</f>
        <v>88.0716581635228</v>
      </c>
      <c r="E411" s="21" t="n">
        <f aca="false">E405/fx/E397*1000</f>
        <v>117.428877551364</v>
      </c>
      <c r="F411" s="21" t="n">
        <f aca="false">F405/fx/F397*1000</f>
        <v>133.086061224879</v>
      </c>
      <c r="G411" s="21" t="n">
        <f aca="false">G405/fx/G397*1000</f>
        <v>140.914653061636</v>
      </c>
    </row>
    <row r="412" customFormat="false" ht="17.15" hidden="false" customHeight="false" outlineLevel="0" collapsed="false">
      <c r="A412" s="6" t="s">
        <v>445</v>
      </c>
    </row>
    <row r="413" customFormat="false" ht="17.15" hidden="false" customHeight="false" outlineLevel="0" collapsed="false">
      <c r="A413" s="4" t="s">
        <v>446</v>
      </c>
      <c r="B413" s="0" t="s">
        <v>49</v>
      </c>
      <c r="D413" s="17" t="n">
        <f aca="false">a26_gp/D408-d_ai*D410</f>
        <v>0.216982337009188</v>
      </c>
      <c r="K413" s="8" t="s">
        <v>447</v>
      </c>
    </row>
    <row r="414" customFormat="false" ht="17.15" hidden="false" customHeight="false" outlineLevel="0" collapsed="false">
      <c r="A414" s="0" t="s">
        <v>448</v>
      </c>
      <c r="B414" s="0" t="s">
        <v>49</v>
      </c>
      <c r="D414" s="17" t="n">
        <f aca="false">D413+d_ai</f>
        <v>0.336982337009188</v>
      </c>
      <c r="E414" s="17" t="n">
        <f aca="false">$D$414+GUHI_27</f>
        <v>0.346982337009188</v>
      </c>
      <c r="F414" s="17" t="n">
        <f aca="false">$D$414+GUHI_28</f>
        <v>0.351982337009188</v>
      </c>
      <c r="G414" s="17" t="n">
        <f aca="false">$D$414+GUHI_29</f>
        <v>0.356982337009188</v>
      </c>
      <c r="K414" s="4" t="s">
        <v>449</v>
      </c>
    </row>
    <row r="415" customFormat="false" ht="15" hidden="false" customHeight="false" outlineLevel="0" collapsed="false">
      <c r="A415" s="4" t="s">
        <v>332</v>
      </c>
      <c r="B415" s="0" t="s">
        <v>146</v>
      </c>
      <c r="C415" s="22" t="n">
        <f aca="false">a25_gp</f>
        <v>38.039</v>
      </c>
      <c r="D415" s="22" t="n">
        <f aca="false">a26_gp</f>
        <v>54.0725822</v>
      </c>
      <c r="E415" s="22" t="n">
        <f aca="false">E405*E414+E407*$D$413</f>
        <v>87.1068948892879</v>
      </c>
      <c r="F415" s="22" t="n">
        <f aca="false">F405*F414+F407*$D$413</f>
        <v>97.0979292441669</v>
      </c>
      <c r="G415" s="22" t="n">
        <f aca="false">G405*G414+G407*$D$413</f>
        <v>117.088844309632</v>
      </c>
    </row>
    <row r="416" customFormat="false" ht="15" hidden="false" customHeight="false" outlineLevel="0" collapsed="false">
      <c r="A416" s="4" t="s">
        <v>335</v>
      </c>
      <c r="B416" s="0" t="s">
        <v>49</v>
      </c>
      <c r="C416" s="17" t="n">
        <f aca="false">C415/C408</f>
        <v>0.229033326308818</v>
      </c>
      <c r="D416" s="17" t="n">
        <f aca="false">D415/D408</f>
        <v>0.254182337009188</v>
      </c>
      <c r="E416" s="17" t="n">
        <f aca="false">E415/E408</f>
        <v>0.28310384633088</v>
      </c>
      <c r="F416" s="17" t="n">
        <f aca="false">F415/F408</f>
        <v>0.289337675159007</v>
      </c>
      <c r="G416" s="17" t="n">
        <f aca="false">G415/G408</f>
        <v>0.299536920486735</v>
      </c>
    </row>
    <row r="417" customFormat="false" ht="15" hidden="false" customHeight="false" outlineLevel="0" collapsed="false">
      <c r="A417" s="4" t="s">
        <v>450</v>
      </c>
      <c r="B417" s="0" t="s">
        <v>146</v>
      </c>
      <c r="C417" s="22" t="n">
        <f aca="false">a25_opx</f>
        <v>21.301</v>
      </c>
      <c r="D417" s="22" t="n">
        <f aca="false">a26_opx</f>
        <v>25.21033346</v>
      </c>
      <c r="E417" s="22" t="n">
        <f aca="false">D417*(1+MAX(0,phi*E409))</f>
        <v>33.0872714105347</v>
      </c>
      <c r="F417" s="22" t="n">
        <f aca="false">E417*(1+MAX(0,phi*F409))</f>
        <v>35.1875695504215</v>
      </c>
      <c r="G417" s="22" t="n">
        <f aca="false">F417*(1+MAX(0,phi*G409))</f>
        <v>39.2473900170088</v>
      </c>
    </row>
    <row r="418" customFormat="false" ht="15" hidden="false" customHeight="false" outlineLevel="0" collapsed="false">
      <c r="A418" s="4" t="s">
        <v>337</v>
      </c>
      <c r="B418" s="0" t="s">
        <v>146</v>
      </c>
      <c r="C418" s="22" t="n">
        <f aca="false">C417</f>
        <v>21.301</v>
      </c>
      <c r="D418" s="22" t="n">
        <f aca="false">D417</f>
        <v>25.21033346</v>
      </c>
      <c r="E418" s="22" t="n">
        <f aca="false">E417+0*E408</f>
        <v>33.0872714105347</v>
      </c>
      <c r="F418" s="22" t="n">
        <f aca="false">F417+0*F408</f>
        <v>35.1875695504215</v>
      </c>
      <c r="G418" s="22" t="n">
        <f aca="false">G417+0*G408</f>
        <v>39.2473900170088</v>
      </c>
    </row>
    <row r="419" customFormat="false" ht="15" hidden="false" customHeight="false" outlineLevel="0" collapsed="false">
      <c r="A419" s="4" t="s">
        <v>340</v>
      </c>
      <c r="B419" s="0" t="s">
        <v>146</v>
      </c>
      <c r="C419" s="22" t="n">
        <f aca="false">C415-C418</f>
        <v>16.738</v>
      </c>
      <c r="D419" s="22" t="n">
        <f aca="false">D415-D418</f>
        <v>28.86224874</v>
      </c>
      <c r="E419" s="22" t="n">
        <f aca="false">E415-E418</f>
        <v>54.0196234787532</v>
      </c>
      <c r="F419" s="22" t="n">
        <f aca="false">F415-F418</f>
        <v>61.9103596937454</v>
      </c>
      <c r="G419" s="22" t="n">
        <f aca="false">G415-G418</f>
        <v>77.8414542926233</v>
      </c>
    </row>
    <row r="420" customFormat="false" ht="15" hidden="false" customHeight="false" outlineLevel="0" collapsed="false">
      <c r="A420" s="4" t="s">
        <v>342</v>
      </c>
      <c r="B420" s="0" t="s">
        <v>49</v>
      </c>
      <c r="C420" s="17" t="n">
        <f aca="false">C419/C408</f>
        <v>0.100779721227083</v>
      </c>
      <c r="D420" s="17" t="n">
        <f aca="false">D419/D408</f>
        <v>0.135674560703219</v>
      </c>
      <c r="E420" s="17" t="n">
        <f aca="false">E419/E408</f>
        <v>0.175567768815757</v>
      </c>
      <c r="F420" s="17" t="n">
        <f aca="false">F419/F408</f>
        <v>0.184483847199268</v>
      </c>
      <c r="G420" s="17" t="n">
        <f aca="false">G419/G408</f>
        <v>0.199134167242807</v>
      </c>
    </row>
    <row r="421" customFormat="false" ht="15" hidden="false" customHeight="false" outlineLevel="0" collapsed="false">
      <c r="A421" s="4" t="s">
        <v>344</v>
      </c>
      <c r="B421" s="0" t="s">
        <v>146</v>
      </c>
      <c r="C421" s="22" t="n">
        <f aca="false">a25_nop</f>
        <v>2.9762895</v>
      </c>
      <c r="D421" s="22" t="n">
        <f aca="false">a26_nop</f>
        <v>3.839</v>
      </c>
      <c r="E421" s="22" t="n">
        <f aca="false">nop_f</f>
        <v>3.5</v>
      </c>
      <c r="F421" s="22" t="n">
        <f aca="false">nop_f</f>
        <v>3.5</v>
      </c>
      <c r="G421" s="22" t="n">
        <f aca="false">nop_f</f>
        <v>3.5</v>
      </c>
    </row>
    <row r="422" customFormat="false" ht="17.15" hidden="false" customHeight="false" outlineLevel="0" collapsed="false">
      <c r="A422" s="4" t="s">
        <v>451</v>
      </c>
      <c r="B422" s="0" t="s">
        <v>49</v>
      </c>
      <c r="C422" s="17" t="n">
        <f aca="false">a25_ni/a25_pt</f>
        <v>0.766753475949514</v>
      </c>
      <c r="D422" s="17" t="n">
        <f aca="false">a26_ni/a26_pt</f>
        <v>0.759431002022174</v>
      </c>
      <c r="E422" s="17" t="n">
        <f aca="false">nir_f</f>
        <v>0.76</v>
      </c>
      <c r="F422" s="17" t="n">
        <f aca="false">nir_f</f>
        <v>0.76</v>
      </c>
      <c r="G422" s="17" t="n">
        <f aca="false">nir_f</f>
        <v>0.76</v>
      </c>
    </row>
    <row r="423" customFormat="false" ht="15" hidden="false" customHeight="false" outlineLevel="0" collapsed="false">
      <c r="A423" s="4" t="s">
        <v>349</v>
      </c>
      <c r="B423" s="0" t="s">
        <v>146</v>
      </c>
      <c r="C423" s="22" t="n">
        <f aca="false">a25_ni</f>
        <v>15.116</v>
      </c>
      <c r="D423" s="22" t="n">
        <f aca="false">a26_ni</f>
        <v>24.8343420979946</v>
      </c>
      <c r="E423" s="22" t="n">
        <f aca="false">(E419+E421)*E422</f>
        <v>43.7149138438524</v>
      </c>
      <c r="F423" s="22" t="n">
        <f aca="false">(F419+F421)*F422</f>
        <v>49.7118733672465</v>
      </c>
      <c r="G423" s="22" t="n">
        <f aca="false">(G419+G421)*G422</f>
        <v>61.8195052623937</v>
      </c>
      <c r="H423" s="24" t="n">
        <f aca="false">H408*H427</f>
        <v>61.9659706709942</v>
      </c>
      <c r="I423" s="24" t="n">
        <f aca="false">I408*I427</f>
        <v>58.942544386433</v>
      </c>
      <c r="J423" s="24" t="n">
        <f aca="false">J408*J427</f>
        <v>52.8966947284279</v>
      </c>
    </row>
    <row r="424" customFormat="false" ht="15" hidden="false" customHeight="false" outlineLevel="0" collapsed="false">
      <c r="A424" s="4" t="s">
        <v>452</v>
      </c>
      <c r="B424" s="4" t="s">
        <v>176</v>
      </c>
      <c r="C424" s="27" t="n">
        <f aca="false">a25_sh</f>
        <v>2.27650602409639</v>
      </c>
      <c r="D424" s="27" t="n">
        <f aca="false">a26_sh</f>
        <v>2.26895833333333</v>
      </c>
      <c r="E424" s="27" t="n">
        <f aca="false">D424*(1+sh_g)</f>
        <v>2.26895833333333</v>
      </c>
      <c r="F424" s="27" t="n">
        <f aca="false">E424*(1+sh_g)</f>
        <v>2.26895833333333</v>
      </c>
      <c r="G424" s="27" t="n">
        <f aca="false">F424*(1+sh_g)</f>
        <v>2.26895833333333</v>
      </c>
      <c r="H424" s="28" t="n">
        <f aca="false">G424*(1+sh_g)</f>
        <v>2.26895833333333</v>
      </c>
      <c r="I424" s="28" t="n">
        <f aca="false">H424*(1+sh_g)</f>
        <v>2.26895833333333</v>
      </c>
      <c r="J424" s="28" t="n">
        <f aca="false">I424*(1+sh_g)</f>
        <v>2.26895833333333</v>
      </c>
    </row>
    <row r="425" customFormat="false" ht="15" hidden="false" customHeight="false" outlineLevel="0" collapsed="false">
      <c r="A425" s="0" t="s">
        <v>355</v>
      </c>
      <c r="B425" s="0" t="s">
        <v>209</v>
      </c>
      <c r="C425" s="23" t="n">
        <f aca="false">C423/C424</f>
        <v>6.64</v>
      </c>
      <c r="D425" s="23" t="n">
        <f aca="false">D423/D424</f>
        <v>10.9452614149641</v>
      </c>
      <c r="E425" s="23" t="n">
        <f aca="false">E423/E424</f>
        <v>19.2665123910102</v>
      </c>
      <c r="F425" s="23" t="n">
        <f aca="false">F423/F424</f>
        <v>21.9095576313271</v>
      </c>
      <c r="G425" s="23" t="n">
        <f aca="false">G423/G424</f>
        <v>27.2457648755385</v>
      </c>
      <c r="H425" s="29" t="n">
        <f aca="false">H423/H424</f>
        <v>27.3103167037712</v>
      </c>
      <c r="I425" s="29" t="n">
        <f aca="false">I423/I424</f>
        <v>25.9777993806701</v>
      </c>
      <c r="J425" s="29" t="n">
        <f aca="false">J423/J424</f>
        <v>23.313206748366</v>
      </c>
    </row>
    <row r="426" customFormat="false" ht="17.15" hidden="false" customHeight="false" outlineLevel="0" collapsed="false">
      <c r="A426" s="0" t="s">
        <v>453</v>
      </c>
      <c r="B426" s="0" t="s">
        <v>49</v>
      </c>
      <c r="D426" s="17" t="n">
        <f aca="false">D425/C425-1</f>
        <v>0.648382743217484</v>
      </c>
      <c r="E426" s="17" t="n">
        <f aca="false">E425/D425-1</f>
        <v>0.760260596852394</v>
      </c>
      <c r="F426" s="17" t="n">
        <f aca="false">F425/E425-1</f>
        <v>0.137183377389577</v>
      </c>
      <c r="G426" s="17" t="n">
        <f aca="false">G425/F425-1</f>
        <v>0.2435561381021</v>
      </c>
      <c r="H426" s="25" t="n">
        <f aca="false">H425/G425-1</f>
        <v>0.00236924265211869</v>
      </c>
      <c r="I426" s="25" t="n">
        <f aca="false">I425/H425-1</f>
        <v>-0.0487917199040421</v>
      </c>
      <c r="J426" s="25" t="n">
        <f aca="false">J425/I425-1</f>
        <v>-0.102571915090193</v>
      </c>
    </row>
    <row r="427" customFormat="false" ht="17.15" hidden="false" customHeight="false" outlineLevel="0" collapsed="false">
      <c r="A427" s="4" t="s">
        <v>454</v>
      </c>
      <c r="B427" s="0" t="s">
        <v>49</v>
      </c>
      <c r="C427" s="17" t="n">
        <f aca="false">C423/C408</f>
        <v>0.0910136375952073</v>
      </c>
      <c r="D427" s="17" t="n">
        <f aca="false">D423/D408</f>
        <v>0.116740330417472</v>
      </c>
      <c r="E427" s="17" t="n">
        <f aca="false">E423/E408</f>
        <v>0.142076700896608</v>
      </c>
      <c r="F427" s="17" t="n">
        <f aca="false">F423/F408</f>
        <v>0.148134136122601</v>
      </c>
      <c r="G427" s="17" t="n">
        <f aca="false">G423/G408</f>
        <v>0.158146784533491</v>
      </c>
      <c r="H427" s="25" t="n">
        <f aca="false">$G427+(fade_mB-$G427)*1/3</f>
        <v>0.14113180893403</v>
      </c>
      <c r="I427" s="25" t="n">
        <f aca="false">$G427+(fade_mB-$G427)*2/3</f>
        <v>0.124116833334569</v>
      </c>
      <c r="J427" s="25" t="n">
        <f aca="false">$G427+(fade_mB-$G427)*3/3</f>
        <v>0.107101857735107</v>
      </c>
    </row>
    <row r="430" customFormat="false" ht="17.15" hidden="false" customHeight="false" outlineLevel="0" collapsed="false">
      <c r="A430" s="1" t="s">
        <v>737</v>
      </c>
    </row>
    <row r="431" customFormat="false" ht="17.15" hidden="false" customHeight="false" outlineLevel="0" collapsed="false">
      <c r="A431" s="5" t="s">
        <v>18</v>
      </c>
      <c r="B431" s="5" t="s">
        <v>19</v>
      </c>
      <c r="C431" s="14" t="s">
        <v>323</v>
      </c>
      <c r="D431" s="14" t="s">
        <v>407</v>
      </c>
      <c r="E431" s="14" t="s">
        <v>408</v>
      </c>
      <c r="F431" s="14" t="s">
        <v>409</v>
      </c>
      <c r="G431" s="14" t="s">
        <v>410</v>
      </c>
      <c r="H431" s="14" t="s">
        <v>411</v>
      </c>
      <c r="I431" s="14" t="s">
        <v>412</v>
      </c>
      <c r="J431" s="14" t="s">
        <v>413</v>
      </c>
      <c r="K431" s="5" t="s">
        <v>380</v>
      </c>
    </row>
    <row r="432" customFormat="false" ht="17.15" hidden="false" customHeight="false" outlineLevel="0" collapsed="false">
      <c r="A432" s="6" t="s">
        <v>428</v>
      </c>
    </row>
    <row r="433" customFormat="false" ht="17.15" hidden="false" customHeight="false" outlineLevel="0" collapsed="false">
      <c r="A433" s="0" t="s">
        <v>429</v>
      </c>
      <c r="B433" s="0" t="s">
        <v>29</v>
      </c>
      <c r="D433" s="23" t="n">
        <f aca="false">itc_26*1</f>
        <v>781.872916666667</v>
      </c>
      <c r="E433" s="23" t="n">
        <f aca="false">itc_27*1*1</f>
        <v>1565.35</v>
      </c>
      <c r="F433" s="23" t="n">
        <f aca="false">itc_28*um28_B*1</f>
        <v>1587.41111111111</v>
      </c>
      <c r="G433" s="23" t="n">
        <f aca="false">itc_29*um29_B*1</f>
        <v>1921.33173611111</v>
      </c>
    </row>
    <row r="434" customFormat="false" ht="17.15" hidden="false" customHeight="false" outlineLevel="0" collapsed="false">
      <c r="A434" s="4" t="s">
        <v>430</v>
      </c>
      <c r="B434" s="0" t="s">
        <v>29</v>
      </c>
      <c r="D434" s="23" t="n">
        <f aca="false">itpg_gb*(1-vr26)+itpg_vr*vr26</f>
        <v>33.41403216</v>
      </c>
      <c r="E434" s="23" t="n">
        <f aca="false">itpg_vr</f>
        <v>37.586352</v>
      </c>
      <c r="F434" s="23" t="n">
        <f aca="false">itpg_vr</f>
        <v>37.586352</v>
      </c>
      <c r="G434" s="23" t="n">
        <f aca="false">itpg_vr</f>
        <v>37.586352</v>
      </c>
    </row>
    <row r="435" customFormat="false" ht="17.15" hidden="false" customHeight="false" outlineLevel="0" collapsed="false">
      <c r="A435" s="4" t="s">
        <v>431</v>
      </c>
      <c r="B435" s="0" t="s">
        <v>382</v>
      </c>
      <c r="D435" s="20" t="n">
        <f aca="false">D433/D434</f>
        <v>23.3995380420639</v>
      </c>
      <c r="E435" s="20" t="n">
        <f aca="false">E433/E434</f>
        <v>41.6467658260637</v>
      </c>
      <c r="F435" s="20" t="n">
        <f aca="false">F433/F434</f>
        <v>42.2337105529984</v>
      </c>
      <c r="G435" s="20" t="n">
        <f aca="false">G433/G434</f>
        <v>51.1178029756948</v>
      </c>
    </row>
    <row r="436" customFormat="false" ht="17.15" hidden="false" customHeight="false" outlineLevel="0" collapsed="false">
      <c r="A436" s="0" t="s">
        <v>384</v>
      </c>
      <c r="B436" s="0" t="s">
        <v>87</v>
      </c>
      <c r="D436" s="21" t="n">
        <f aca="false">pkw_26</f>
        <v>450</v>
      </c>
      <c r="E436" s="21" t="n">
        <f aca="false">pkw_27</f>
        <v>600</v>
      </c>
      <c r="F436" s="21" t="n">
        <f aca="false">pkw_28</f>
        <v>680</v>
      </c>
      <c r="G436" s="21" t="n">
        <f aca="false">pkw_29</f>
        <v>720</v>
      </c>
    </row>
    <row r="437" customFormat="false" ht="17.15" hidden="false" customHeight="false" outlineLevel="0" collapsed="false">
      <c r="A437" s="0" t="s">
        <v>432</v>
      </c>
      <c r="B437" s="0" t="s">
        <v>29</v>
      </c>
      <c r="D437" s="23" t="n">
        <f aca="false">D435*D436/1000</f>
        <v>10.5297921189288</v>
      </c>
      <c r="E437" s="23" t="n">
        <f aca="false">E435*E436/1000</f>
        <v>24.9880594956382</v>
      </c>
      <c r="F437" s="23" t="n">
        <f aca="false">F435*F436/1000</f>
        <v>28.7189231760389</v>
      </c>
      <c r="G437" s="23" t="n">
        <f aca="false">G435*G436/1000</f>
        <v>36.8048181425003</v>
      </c>
    </row>
    <row r="438" customFormat="false" ht="17.15" hidden="false" customHeight="false" outlineLevel="0" collapsed="false">
      <c r="A438" s="0" t="s">
        <v>433</v>
      </c>
      <c r="B438" s="0" t="s">
        <v>146</v>
      </c>
      <c r="D438" s="22" t="n">
        <f aca="false">D437*fx</f>
        <v>336.95334780572</v>
      </c>
      <c r="E438" s="22" t="n">
        <f aca="false">E437*fx</f>
        <v>799.617903860422</v>
      </c>
      <c r="F438" s="22" t="n">
        <f aca="false">F437*fx</f>
        <v>919.005541633245</v>
      </c>
      <c r="G438" s="22" t="n">
        <f aca="false">G437*fx</f>
        <v>1177.75418056001</v>
      </c>
    </row>
    <row r="439" customFormat="false" ht="17.15" hidden="false" customHeight="false" outlineLevel="0" collapsed="false">
      <c r="A439" s="4" t="s">
        <v>434</v>
      </c>
      <c r="B439" s="0" t="s">
        <v>49</v>
      </c>
      <c r="D439" s="17" t="n">
        <f aca="false">a26_aip/D438</f>
        <v>0.176143316327046</v>
      </c>
      <c r="K439" s="8" t="s">
        <v>435</v>
      </c>
    </row>
    <row r="440" customFormat="false" ht="17.15" hidden="false" customHeight="false" outlineLevel="0" collapsed="false">
      <c r="A440" s="4" t="s">
        <v>436</v>
      </c>
      <c r="B440" s="0" t="s">
        <v>60</v>
      </c>
      <c r="D440" s="18" t="n">
        <f aca="false">1</f>
        <v>1</v>
      </c>
      <c r="E440" s="18" t="n">
        <f aca="false">rel_27</f>
        <v>1</v>
      </c>
      <c r="F440" s="18" t="n">
        <f aca="false">rel_28</f>
        <v>1</v>
      </c>
      <c r="G440" s="18" t="n">
        <f aca="false">rel_29</f>
        <v>1</v>
      </c>
    </row>
    <row r="441" customFormat="false" ht="15" hidden="false" customHeight="false" outlineLevel="0" collapsed="false">
      <c r="A441" s="4" t="s">
        <v>390</v>
      </c>
      <c r="B441" s="0" t="s">
        <v>49</v>
      </c>
      <c r="D441" s="17" t="n">
        <f aca="false">$D$439*D440</f>
        <v>0.176143316327046</v>
      </c>
      <c r="E441" s="17" t="n">
        <f aca="false">$D$439*E440</f>
        <v>0.176143316327046</v>
      </c>
      <c r="F441" s="17" t="n">
        <f aca="false">$D$439*F440</f>
        <v>0.176143316327046</v>
      </c>
      <c r="G441" s="17" t="n">
        <f aca="false">$D$439*G440</f>
        <v>0.176143316327046</v>
      </c>
    </row>
    <row r="442" customFormat="false" ht="17.15" hidden="false" customHeight="false" outlineLevel="0" collapsed="false">
      <c r="A442" s="0" t="s">
        <v>437</v>
      </c>
      <c r="B442" s="0" t="s">
        <v>146</v>
      </c>
      <c r="C442" s="22" t="n">
        <f aca="false">a25_aip</f>
        <v>31.390065</v>
      </c>
      <c r="D442" s="22" t="n">
        <f aca="false">D438*D441</f>
        <v>59.35208013</v>
      </c>
      <c r="E442" s="22" t="n">
        <f aca="false">E438*E441</f>
        <v>140.847349380455</v>
      </c>
      <c r="F442" s="22" t="n">
        <f aca="false">F438*F441</f>
        <v>161.876683826213</v>
      </c>
      <c r="G442" s="22" t="n">
        <f aca="false">G438*G441</f>
        <v>207.453527181882</v>
      </c>
    </row>
    <row r="443" customFormat="false" ht="17.15" hidden="false" customHeight="false" outlineLevel="0" collapsed="false">
      <c r="A443" s="0" t="s">
        <v>438</v>
      </c>
      <c r="B443" s="0" t="s">
        <v>146</v>
      </c>
      <c r="C443" s="22" t="n">
        <f aca="false">a25_ai</f>
        <v>34.87785</v>
      </c>
      <c r="D443" s="22" t="n">
        <f aca="false">D442/(1-x_np)</f>
        <v>65.9467557</v>
      </c>
      <c r="E443" s="22" t="n">
        <f aca="false">E442/(1-x_np)</f>
        <v>156.497054867173</v>
      </c>
      <c r="F443" s="22" t="n">
        <f aca="false">F442/(1-x_np)</f>
        <v>179.862982029125</v>
      </c>
      <c r="G443" s="22" t="n">
        <f aca="false">G442/(1-x_np)</f>
        <v>230.50391909098</v>
      </c>
      <c r="K443" s="4" t="s">
        <v>439</v>
      </c>
    </row>
    <row r="444" customFormat="false" ht="17.15" hidden="false" customHeight="false" outlineLevel="0" collapsed="false">
      <c r="A444" s="6" t="s">
        <v>440</v>
      </c>
    </row>
    <row r="445" customFormat="false" ht="17.15" hidden="false" customHeight="false" outlineLevel="0" collapsed="false">
      <c r="A445" s="4" t="s">
        <v>441</v>
      </c>
      <c r="B445" s="0" t="s">
        <v>146</v>
      </c>
      <c r="C445" s="22" t="n">
        <f aca="false">a25_nai</f>
        <v>131.20715</v>
      </c>
      <c r="D445" s="22" t="n">
        <f aca="false">a26_nai</f>
        <v>146.7847143</v>
      </c>
      <c r="E445" s="22" t="n">
        <f aca="false">D445*(1+GNLO27)</f>
        <v>142.381172871</v>
      </c>
      <c r="F445" s="22" t="n">
        <f aca="false">E445*(1+GNLO28)</f>
        <v>138.10973768487</v>
      </c>
      <c r="G445" s="22" t="n">
        <f aca="false">F445*(1+GNLO29)</f>
        <v>133.966445554324</v>
      </c>
    </row>
    <row r="446" customFormat="false" ht="17.15" hidden="false" customHeight="false" outlineLevel="0" collapsed="false">
      <c r="A446" s="4" t="s">
        <v>328</v>
      </c>
      <c r="B446" s="0" t="s">
        <v>146</v>
      </c>
      <c r="C446" s="22" t="n">
        <f aca="false">C443+C445</f>
        <v>166.085</v>
      </c>
      <c r="D446" s="22" t="n">
        <f aca="false">D443+D445</f>
        <v>212.73147</v>
      </c>
      <c r="E446" s="22" t="n">
        <f aca="false">E443+E445</f>
        <v>298.878227738173</v>
      </c>
      <c r="F446" s="22" t="n">
        <f aca="false">F443+F445</f>
        <v>317.972719713995</v>
      </c>
      <c r="G446" s="22" t="n">
        <f aca="false">G443+G445</f>
        <v>364.470364645304</v>
      </c>
      <c r="H446" s="24" t="n">
        <f aca="false">G446*(1+H447)</f>
        <v>404.861348045008</v>
      </c>
      <c r="I446" s="24" t="n">
        <f aca="false">H446*(1+I447)</f>
        <v>435.39215201838</v>
      </c>
      <c r="J446" s="24" t="n">
        <f aca="false">I446*(1+J447)</f>
        <v>452.807838099115</v>
      </c>
      <c r="K446" s="8" t="s">
        <v>442</v>
      </c>
    </row>
    <row r="447" customFormat="false" ht="15" hidden="false" customHeight="false" outlineLevel="0" collapsed="false">
      <c r="A447" s="4" t="s">
        <v>443</v>
      </c>
      <c r="B447" s="0" t="s">
        <v>49</v>
      </c>
      <c r="D447" s="17" t="n">
        <f aca="false">D446/C446-1</f>
        <v>0.280859017972725</v>
      </c>
      <c r="E447" s="17" t="n">
        <f aca="false">E446/D446-1</f>
        <v>0.404955400995315</v>
      </c>
      <c r="F447" s="17" t="n">
        <f aca="false">F446/E446-1</f>
        <v>0.0638871962013563</v>
      </c>
      <c r="G447" s="17" t="n">
        <f aca="false">G446/F446-1</f>
        <v>0.146231553993474</v>
      </c>
      <c r="H447" s="25" t="n">
        <f aca="false">$G447+(fade_gB-$G447)*1/3</f>
        <v>0.110821035995649</v>
      </c>
      <c r="I447" s="25" t="n">
        <f aca="false">$G447+(fade_gB-$G447)*2/3</f>
        <v>0.0754105179978246</v>
      </c>
      <c r="J447" s="25" t="n">
        <f aca="false">$G447+(fade_gB-$G447)*3/3</f>
        <v>0.04</v>
      </c>
    </row>
    <row r="448" customFormat="false" ht="17.15" hidden="false" customHeight="false" outlineLevel="0" collapsed="false">
      <c r="A448" s="0" t="s">
        <v>444</v>
      </c>
      <c r="B448" s="0" t="s">
        <v>49</v>
      </c>
      <c r="C448" s="17" t="n">
        <f aca="false">C443/C446</f>
        <v>0.21</v>
      </c>
      <c r="D448" s="17" t="n">
        <f aca="false">D443/D446</f>
        <v>0.31</v>
      </c>
      <c r="E448" s="17" t="n">
        <f aca="false">E443/E446</f>
        <v>0.523614771311711</v>
      </c>
      <c r="F448" s="17" t="n">
        <f aca="false">F443/F446</f>
        <v>0.565655387641132</v>
      </c>
      <c r="G448" s="17" t="n">
        <f aca="false">G443/G446</f>
        <v>0.632435285418342</v>
      </c>
    </row>
    <row r="449" customFormat="false" ht="17.15" hidden="false" customHeight="false" outlineLevel="0" collapsed="false">
      <c r="A449" s="4" t="s">
        <v>401</v>
      </c>
      <c r="B449" s="0" t="s">
        <v>402</v>
      </c>
      <c r="D449" s="21" t="n">
        <f aca="false">D443/fx/D435*1000</f>
        <v>88.0716581635228</v>
      </c>
      <c r="E449" s="21" t="n">
        <f aca="false">E443/fx/E435*1000</f>
        <v>117.428877551364</v>
      </c>
      <c r="F449" s="21" t="n">
        <f aca="false">F443/fx/F435*1000</f>
        <v>133.086061224879</v>
      </c>
      <c r="G449" s="21" t="n">
        <f aca="false">G443/fx/G435*1000</f>
        <v>140.914653061636</v>
      </c>
    </row>
    <row r="450" customFormat="false" ht="17.15" hidden="false" customHeight="false" outlineLevel="0" collapsed="false">
      <c r="A450" s="6" t="s">
        <v>445</v>
      </c>
    </row>
    <row r="451" customFormat="false" ht="17.15" hidden="false" customHeight="false" outlineLevel="0" collapsed="false">
      <c r="A451" s="4" t="s">
        <v>446</v>
      </c>
      <c r="B451" s="0" t="s">
        <v>49</v>
      </c>
      <c r="D451" s="17" t="n">
        <f aca="false">a26_gp/D446-d_ai*D448</f>
        <v>0.216982337009188</v>
      </c>
      <c r="K451" s="8" t="s">
        <v>447</v>
      </c>
    </row>
    <row r="452" customFormat="false" ht="17.15" hidden="false" customHeight="false" outlineLevel="0" collapsed="false">
      <c r="A452" s="0" t="s">
        <v>448</v>
      </c>
      <c r="B452" s="0" t="s">
        <v>49</v>
      </c>
      <c r="D452" s="17" t="n">
        <f aca="false">D451+d_ai</f>
        <v>0.336982337009188</v>
      </c>
      <c r="E452" s="17" t="n">
        <f aca="false">$D$452+gmu_27</f>
        <v>0.336982337009188</v>
      </c>
      <c r="F452" s="17" t="n">
        <f aca="false">$D$452+gmu_28</f>
        <v>0.336982337009188</v>
      </c>
      <c r="G452" s="17" t="n">
        <f aca="false">$D$452+gmu_29</f>
        <v>0.336982337009188</v>
      </c>
      <c r="K452" s="4" t="s">
        <v>449</v>
      </c>
    </row>
    <row r="453" customFormat="false" ht="15" hidden="false" customHeight="false" outlineLevel="0" collapsed="false">
      <c r="A453" s="4" t="s">
        <v>332</v>
      </c>
      <c r="B453" s="0" t="s">
        <v>146</v>
      </c>
      <c r="C453" s="22" t="n">
        <f aca="false">a25_gp</f>
        <v>38.039</v>
      </c>
      <c r="D453" s="22" t="n">
        <f aca="false">a26_gp</f>
        <v>54.0725822</v>
      </c>
      <c r="E453" s="22" t="n">
        <f aca="false">E443*E452+E445*$D$451</f>
        <v>83.6309429198538</v>
      </c>
      <c r="F453" s="22" t="n">
        <f aca="false">F443*F452+F445*$D$451</f>
        <v>90.5780216722052</v>
      </c>
      <c r="G453" s="22" t="n">
        <f aca="false">G443*G452+G445*$D$451</f>
        <v>106.744101782247</v>
      </c>
    </row>
    <row r="454" customFormat="false" ht="15" hidden="false" customHeight="false" outlineLevel="0" collapsed="false">
      <c r="A454" s="4" t="s">
        <v>335</v>
      </c>
      <c r="B454" s="0" t="s">
        <v>49</v>
      </c>
      <c r="C454" s="17" t="n">
        <f aca="false">C453/C446</f>
        <v>0.229033326308818</v>
      </c>
      <c r="D454" s="17" t="n">
        <f aca="false">D453/D446</f>
        <v>0.254182337009188</v>
      </c>
      <c r="E454" s="17" t="n">
        <f aca="false">E453/E446</f>
        <v>0.279816109566594</v>
      </c>
      <c r="F454" s="17" t="n">
        <f aca="false">F453/F446</f>
        <v>0.284860983526124</v>
      </c>
      <c r="G454" s="17" t="n">
        <f aca="false">G453/G446</f>
        <v>0.292874571259389</v>
      </c>
    </row>
    <row r="455" customFormat="false" ht="15" hidden="false" customHeight="false" outlineLevel="0" collapsed="false">
      <c r="A455" s="4" t="s">
        <v>450</v>
      </c>
      <c r="B455" s="0" t="s">
        <v>146</v>
      </c>
      <c r="C455" s="22" t="n">
        <f aca="false">a25_opx</f>
        <v>21.301</v>
      </c>
      <c r="D455" s="22" t="n">
        <f aca="false">a26_opx</f>
        <v>25.21033346</v>
      </c>
      <c r="E455" s="22" t="n">
        <f aca="false">D455*(1+MAX(0,phi*E447))</f>
        <v>32.3566759468639</v>
      </c>
      <c r="F455" s="22" t="n">
        <f aca="false">E455*(1+MAX(0,phi*F447))</f>
        <v>33.8037000601126</v>
      </c>
      <c r="G455" s="22" t="n">
        <f aca="false">F455*(1+MAX(0,phi*G447))</f>
        <v>37.2639173734763</v>
      </c>
    </row>
    <row r="456" customFormat="false" ht="15" hidden="false" customHeight="false" outlineLevel="0" collapsed="false">
      <c r="A456" s="4" t="s">
        <v>337</v>
      </c>
      <c r="B456" s="0" t="s">
        <v>146</v>
      </c>
      <c r="C456" s="22" t="n">
        <f aca="false">C455</f>
        <v>21.301</v>
      </c>
      <c r="D456" s="22" t="n">
        <f aca="false">D455</f>
        <v>25.21033346</v>
      </c>
      <c r="E456" s="22" t="n">
        <f aca="false">E455+0*E446</f>
        <v>32.3566759468639</v>
      </c>
      <c r="F456" s="22" t="n">
        <f aca="false">F455+0*F446</f>
        <v>33.8037000601126</v>
      </c>
      <c r="G456" s="22" t="n">
        <f aca="false">G455+0*G446</f>
        <v>37.2639173734763</v>
      </c>
    </row>
    <row r="457" customFormat="false" ht="15" hidden="false" customHeight="false" outlineLevel="0" collapsed="false">
      <c r="A457" s="4" t="s">
        <v>340</v>
      </c>
      <c r="B457" s="0" t="s">
        <v>146</v>
      </c>
      <c r="C457" s="22" t="n">
        <f aca="false">C453-C456</f>
        <v>16.738</v>
      </c>
      <c r="D457" s="22" t="n">
        <f aca="false">D453-D456</f>
        <v>28.86224874</v>
      </c>
      <c r="E457" s="22" t="n">
        <f aca="false">E453-E456</f>
        <v>51.2742669729899</v>
      </c>
      <c r="F457" s="22" t="n">
        <f aca="false">F453-F456</f>
        <v>56.7743216120926</v>
      </c>
      <c r="G457" s="22" t="n">
        <f aca="false">G453-G456</f>
        <v>69.4801844087703</v>
      </c>
    </row>
    <row r="458" customFormat="false" ht="15" hidden="false" customHeight="false" outlineLevel="0" collapsed="false">
      <c r="A458" s="4" t="s">
        <v>342</v>
      </c>
      <c r="B458" s="0" t="s">
        <v>49</v>
      </c>
      <c r="C458" s="17" t="n">
        <f aca="false">C457/C446</f>
        <v>0.100779721227083</v>
      </c>
      <c r="D458" s="17" t="n">
        <f aca="false">D457/D446</f>
        <v>0.135674560703219</v>
      </c>
      <c r="E458" s="17" t="n">
        <f aca="false">E457/E446</f>
        <v>0.171555711371214</v>
      </c>
      <c r="F458" s="17" t="n">
        <f aca="false">F457/F446</f>
        <v>0.178550919912749</v>
      </c>
      <c r="G458" s="17" t="n">
        <f aca="false">G457/G446</f>
        <v>0.190633289146532</v>
      </c>
    </row>
    <row r="459" customFormat="false" ht="15" hidden="false" customHeight="false" outlineLevel="0" collapsed="false">
      <c r="A459" s="4" t="s">
        <v>344</v>
      </c>
      <c r="B459" s="0" t="s">
        <v>146</v>
      </c>
      <c r="C459" s="22" t="n">
        <f aca="false">a25_nop</f>
        <v>2.9762895</v>
      </c>
      <c r="D459" s="22" t="n">
        <f aca="false">a26_nop</f>
        <v>3.839</v>
      </c>
      <c r="E459" s="22" t="n">
        <f aca="false">nop_f</f>
        <v>3.5</v>
      </c>
      <c r="F459" s="22" t="n">
        <f aca="false">nop_f</f>
        <v>3.5</v>
      </c>
      <c r="G459" s="22" t="n">
        <f aca="false">nop_f</f>
        <v>3.5</v>
      </c>
    </row>
    <row r="460" customFormat="false" ht="17.15" hidden="false" customHeight="false" outlineLevel="0" collapsed="false">
      <c r="A460" s="4" t="s">
        <v>451</v>
      </c>
      <c r="B460" s="0" t="s">
        <v>49</v>
      </c>
      <c r="C460" s="17" t="n">
        <f aca="false">a25_ni/a25_pt</f>
        <v>0.766753475949514</v>
      </c>
      <c r="D460" s="17" t="n">
        <f aca="false">a26_ni/a26_pt</f>
        <v>0.759431002022174</v>
      </c>
      <c r="E460" s="17" t="n">
        <f aca="false">nir_f</f>
        <v>0.76</v>
      </c>
      <c r="F460" s="17" t="n">
        <f aca="false">nir_f</f>
        <v>0.76</v>
      </c>
      <c r="G460" s="17" t="n">
        <f aca="false">nir_f</f>
        <v>0.76</v>
      </c>
    </row>
    <row r="461" customFormat="false" ht="15" hidden="false" customHeight="false" outlineLevel="0" collapsed="false">
      <c r="A461" s="4" t="s">
        <v>349</v>
      </c>
      <c r="B461" s="0" t="s">
        <v>146</v>
      </c>
      <c r="C461" s="22" t="n">
        <f aca="false">a25_ni</f>
        <v>15.116</v>
      </c>
      <c r="D461" s="22" t="n">
        <f aca="false">a26_ni</f>
        <v>24.8343420979946</v>
      </c>
      <c r="E461" s="22" t="n">
        <f aca="false">(E457+E459)*E460</f>
        <v>41.6284428994723</v>
      </c>
      <c r="F461" s="22" t="n">
        <f aca="false">(F457+F459)*F460</f>
        <v>45.8084844251904</v>
      </c>
      <c r="G461" s="22" t="n">
        <f aca="false">(G457+G459)*G460</f>
        <v>55.4649401506654</v>
      </c>
      <c r="H461" s="24" t="n">
        <f aca="false">H446*H465</f>
        <v>55.5282156866527</v>
      </c>
      <c r="I461" s="24" t="n">
        <f aca="false">I446*I465</f>
        <v>53.1734677597664</v>
      </c>
      <c r="J461" s="24" t="n">
        <f aca="false">J446*J465</f>
        <v>48.496560657433</v>
      </c>
    </row>
    <row r="462" customFormat="false" ht="15" hidden="false" customHeight="false" outlineLevel="0" collapsed="false">
      <c r="A462" s="4" t="s">
        <v>452</v>
      </c>
      <c r="B462" s="4" t="s">
        <v>176</v>
      </c>
      <c r="C462" s="27" t="n">
        <f aca="false">a25_sh</f>
        <v>2.27650602409639</v>
      </c>
      <c r="D462" s="27" t="n">
        <f aca="false">a26_sh</f>
        <v>2.26895833333333</v>
      </c>
      <c r="E462" s="27" t="n">
        <f aca="false">D462*(1+sh_g)</f>
        <v>2.26895833333333</v>
      </c>
      <c r="F462" s="27" t="n">
        <f aca="false">E462*(1+sh_g)</f>
        <v>2.26895833333333</v>
      </c>
      <c r="G462" s="27" t="n">
        <f aca="false">F462*(1+sh_g)</f>
        <v>2.26895833333333</v>
      </c>
      <c r="H462" s="28" t="n">
        <f aca="false">G462*(1+sh_g)</f>
        <v>2.26895833333333</v>
      </c>
      <c r="I462" s="28" t="n">
        <f aca="false">H462*(1+sh_g)</f>
        <v>2.26895833333333</v>
      </c>
      <c r="J462" s="28" t="n">
        <f aca="false">I462*(1+sh_g)</f>
        <v>2.26895833333333</v>
      </c>
    </row>
    <row r="463" customFormat="false" ht="15" hidden="false" customHeight="false" outlineLevel="0" collapsed="false">
      <c r="A463" s="0" t="s">
        <v>355</v>
      </c>
      <c r="B463" s="0" t="s">
        <v>209</v>
      </c>
      <c r="C463" s="23" t="n">
        <f aca="false">C461/C462</f>
        <v>6.64</v>
      </c>
      <c r="D463" s="23" t="n">
        <f aca="false">D461/D462</f>
        <v>10.9452614149641</v>
      </c>
      <c r="E463" s="23" t="n">
        <f aca="false">E461/E462</f>
        <v>18.3469402182965</v>
      </c>
      <c r="F463" s="23" t="n">
        <f aca="false">F461/F462</f>
        <v>20.1892135929587</v>
      </c>
      <c r="G463" s="23" t="n">
        <f aca="false">G461/G462</f>
        <v>24.4451118100444</v>
      </c>
      <c r="H463" s="29" t="n">
        <f aca="false">H461/H462</f>
        <v>24.4729992926208</v>
      </c>
      <c r="I463" s="29" t="n">
        <f aca="false">I461/I462</f>
        <v>23.4351891696703</v>
      </c>
      <c r="J463" s="29" t="n">
        <f aca="false">J461/J462</f>
        <v>21.373931792827</v>
      </c>
    </row>
    <row r="464" customFormat="false" ht="17.15" hidden="false" customHeight="false" outlineLevel="0" collapsed="false">
      <c r="A464" s="0" t="s">
        <v>453</v>
      </c>
      <c r="B464" s="0" t="s">
        <v>49</v>
      </c>
      <c r="D464" s="17" t="n">
        <f aca="false">D463/C463-1</f>
        <v>0.648382743217484</v>
      </c>
      <c r="E464" s="17" t="n">
        <f aca="false">E463/D463-1</f>
        <v>0.676245045478129</v>
      </c>
      <c r="F464" s="17" t="n">
        <f aca="false">F463/E463-1</f>
        <v>0.100413112635809</v>
      </c>
      <c r="G464" s="17" t="n">
        <f aca="false">G463/F463-1</f>
        <v>0.210800593965185</v>
      </c>
      <c r="H464" s="25" t="n">
        <f aca="false">H463/G463-1</f>
        <v>0.00114082041403774</v>
      </c>
      <c r="I464" s="25" t="n">
        <f aca="false">I463/H463-1</f>
        <v>-0.0424063315877845</v>
      </c>
      <c r="J464" s="25" t="n">
        <f aca="false">J463/I463-1</f>
        <v>-0.087955653437224</v>
      </c>
    </row>
    <row r="465" customFormat="false" ht="17.15" hidden="false" customHeight="false" outlineLevel="0" collapsed="false">
      <c r="A465" s="4" t="s">
        <v>454</v>
      </c>
      <c r="B465" s="0" t="s">
        <v>49</v>
      </c>
      <c r="C465" s="17" t="n">
        <f aca="false">C461/C446</f>
        <v>0.0910136375952073</v>
      </c>
      <c r="D465" s="17" t="n">
        <f aca="false">D461/D446</f>
        <v>0.116740330417472</v>
      </c>
      <c r="E465" s="17" t="n">
        <f aca="false">E461/E446</f>
        <v>0.139282286349544</v>
      </c>
      <c r="F465" s="17" t="n">
        <f aca="false">F461/F446</f>
        <v>0.144064196659366</v>
      </c>
      <c r="G465" s="17" t="n">
        <f aca="false">G461/G446</f>
        <v>0.152179561168555</v>
      </c>
      <c r="H465" s="25" t="n">
        <f aca="false">$G465+(fade_mB-$G465)*1/3</f>
        <v>0.137153660024072</v>
      </c>
      <c r="I465" s="25" t="n">
        <f aca="false">$G465+(fade_mB-$G465)*2/3</f>
        <v>0.12212775887959</v>
      </c>
      <c r="J465" s="25" t="n">
        <f aca="false">$G465+(fade_mB-$G465)*3/3</f>
        <v>0.107101857735107</v>
      </c>
    </row>
    <row r="468" customFormat="false" ht="17.15" hidden="false" customHeight="false" outlineLevel="0" collapsed="false">
      <c r="A468" s="1" t="s">
        <v>738</v>
      </c>
    </row>
    <row r="469" customFormat="false" ht="17.15" hidden="false" customHeight="false" outlineLevel="0" collapsed="false">
      <c r="A469" s="5" t="s">
        <v>18</v>
      </c>
      <c r="B469" s="5" t="s">
        <v>19</v>
      </c>
      <c r="C469" s="14" t="s">
        <v>323</v>
      </c>
      <c r="D469" s="14" t="s">
        <v>407</v>
      </c>
      <c r="E469" s="14" t="s">
        <v>408</v>
      </c>
      <c r="F469" s="14" t="s">
        <v>409</v>
      </c>
      <c r="G469" s="14" t="s">
        <v>410</v>
      </c>
      <c r="H469" s="14" t="s">
        <v>411</v>
      </c>
      <c r="I469" s="14" t="s">
        <v>412</v>
      </c>
      <c r="J469" s="14" t="s">
        <v>413</v>
      </c>
      <c r="K469" s="5" t="s">
        <v>380</v>
      </c>
    </row>
    <row r="470" customFormat="false" ht="17.15" hidden="false" customHeight="false" outlineLevel="0" collapsed="false">
      <c r="A470" s="6" t="s">
        <v>428</v>
      </c>
    </row>
    <row r="471" customFormat="false" ht="17.15" hidden="false" customHeight="false" outlineLevel="0" collapsed="false">
      <c r="A471" s="0" t="s">
        <v>429</v>
      </c>
      <c r="B471" s="0" t="s">
        <v>29</v>
      </c>
      <c r="D471" s="23" t="n">
        <f aca="false">itc_26*1</f>
        <v>781.872916666667</v>
      </c>
      <c r="E471" s="23" t="n">
        <f aca="false">itc_27*1*1</f>
        <v>1565.35</v>
      </c>
      <c r="F471" s="23" t="n">
        <f aca="false">itc_28*um28_B*1</f>
        <v>1587.41111111111</v>
      </c>
      <c r="G471" s="23" t="n">
        <f aca="false">itc_29*um29_B*1</f>
        <v>1921.33173611111</v>
      </c>
    </row>
    <row r="472" customFormat="false" ht="17.15" hidden="false" customHeight="false" outlineLevel="0" collapsed="false">
      <c r="A472" s="4" t="s">
        <v>430</v>
      </c>
      <c r="B472" s="0" t="s">
        <v>29</v>
      </c>
      <c r="D472" s="23" t="n">
        <f aca="false">itpg_gb*(1-vr26)+itpg_vr*vr26</f>
        <v>33.41403216</v>
      </c>
      <c r="E472" s="23" t="n">
        <f aca="false">itpg_vr</f>
        <v>37.586352</v>
      </c>
      <c r="F472" s="23" t="n">
        <f aca="false">itpg_vr</f>
        <v>37.586352</v>
      </c>
      <c r="G472" s="23" t="n">
        <f aca="false">itpg_vr</f>
        <v>37.586352</v>
      </c>
    </row>
    <row r="473" customFormat="false" ht="17.15" hidden="false" customHeight="false" outlineLevel="0" collapsed="false">
      <c r="A473" s="4" t="s">
        <v>431</v>
      </c>
      <c r="B473" s="0" t="s">
        <v>382</v>
      </c>
      <c r="D473" s="20" t="n">
        <f aca="false">D471/D472</f>
        <v>23.3995380420639</v>
      </c>
      <c r="E473" s="20" t="n">
        <f aca="false">E471/E472</f>
        <v>41.6467658260637</v>
      </c>
      <c r="F473" s="20" t="n">
        <f aca="false">F471/F472</f>
        <v>42.2337105529984</v>
      </c>
      <c r="G473" s="20" t="n">
        <f aca="false">G471/G472</f>
        <v>51.1178029756948</v>
      </c>
    </row>
    <row r="474" customFormat="false" ht="17.15" hidden="false" customHeight="false" outlineLevel="0" collapsed="false">
      <c r="A474" s="0" t="s">
        <v>384</v>
      </c>
      <c r="B474" s="0" t="s">
        <v>87</v>
      </c>
      <c r="D474" s="21" t="n">
        <f aca="false">pkw_26</f>
        <v>450</v>
      </c>
      <c r="E474" s="21" t="n">
        <f aca="false">pkw_27</f>
        <v>600</v>
      </c>
      <c r="F474" s="21" t="n">
        <f aca="false">pkw_28</f>
        <v>680</v>
      </c>
      <c r="G474" s="21" t="n">
        <f aca="false">pkw_29</f>
        <v>720</v>
      </c>
    </row>
    <row r="475" customFormat="false" ht="17.15" hidden="false" customHeight="false" outlineLevel="0" collapsed="false">
      <c r="A475" s="0" t="s">
        <v>432</v>
      </c>
      <c r="B475" s="0" t="s">
        <v>29</v>
      </c>
      <c r="D475" s="23" t="n">
        <f aca="false">D473*D474/1000</f>
        <v>10.5297921189288</v>
      </c>
      <c r="E475" s="23" t="n">
        <f aca="false">E473*E474/1000</f>
        <v>24.9880594956382</v>
      </c>
      <c r="F475" s="23" t="n">
        <f aca="false">F473*F474/1000</f>
        <v>28.7189231760389</v>
      </c>
      <c r="G475" s="23" t="n">
        <f aca="false">G473*G474/1000</f>
        <v>36.8048181425003</v>
      </c>
    </row>
    <row r="476" customFormat="false" ht="17.15" hidden="false" customHeight="false" outlineLevel="0" collapsed="false">
      <c r="A476" s="0" t="s">
        <v>433</v>
      </c>
      <c r="B476" s="0" t="s">
        <v>146</v>
      </c>
      <c r="D476" s="22" t="n">
        <f aca="false">D475*fx</f>
        <v>336.95334780572</v>
      </c>
      <c r="E476" s="22" t="n">
        <f aca="false">E475*fx</f>
        <v>799.617903860422</v>
      </c>
      <c r="F476" s="22" t="n">
        <f aca="false">F475*fx</f>
        <v>919.005541633245</v>
      </c>
      <c r="G476" s="22" t="n">
        <f aca="false">G475*fx</f>
        <v>1177.75418056001</v>
      </c>
    </row>
    <row r="477" customFormat="false" ht="17.15" hidden="false" customHeight="false" outlineLevel="0" collapsed="false">
      <c r="A477" s="4" t="s">
        <v>434</v>
      </c>
      <c r="B477" s="0" t="s">
        <v>49</v>
      </c>
      <c r="D477" s="17" t="n">
        <f aca="false">a26_aip/D476</f>
        <v>0.176143316327046</v>
      </c>
      <c r="K477" s="8" t="s">
        <v>435</v>
      </c>
    </row>
    <row r="478" customFormat="false" ht="17.15" hidden="false" customHeight="false" outlineLevel="0" collapsed="false">
      <c r="A478" s="4" t="s">
        <v>436</v>
      </c>
      <c r="B478" s="0" t="s">
        <v>60</v>
      </c>
      <c r="D478" s="18" t="n">
        <f aca="false">1</f>
        <v>1</v>
      </c>
      <c r="E478" s="18" t="n">
        <f aca="false">rel_27</f>
        <v>1</v>
      </c>
      <c r="F478" s="18" t="n">
        <f aca="false">rel_28</f>
        <v>1</v>
      </c>
      <c r="G478" s="18" t="n">
        <f aca="false">rel_29</f>
        <v>1</v>
      </c>
    </row>
    <row r="479" customFormat="false" ht="15" hidden="false" customHeight="false" outlineLevel="0" collapsed="false">
      <c r="A479" s="4" t="s">
        <v>390</v>
      </c>
      <c r="B479" s="0" t="s">
        <v>49</v>
      </c>
      <c r="D479" s="17" t="n">
        <f aca="false">$D$477*D478</f>
        <v>0.176143316327046</v>
      </c>
      <c r="E479" s="17" t="n">
        <f aca="false">$D$477*E478</f>
        <v>0.176143316327046</v>
      </c>
      <c r="F479" s="17" t="n">
        <f aca="false">$D$477*F478</f>
        <v>0.176143316327046</v>
      </c>
      <c r="G479" s="17" t="n">
        <f aca="false">$D$477*G478</f>
        <v>0.176143316327046</v>
      </c>
    </row>
    <row r="480" customFormat="false" ht="17.15" hidden="false" customHeight="false" outlineLevel="0" collapsed="false">
      <c r="A480" s="0" t="s">
        <v>437</v>
      </c>
      <c r="B480" s="0" t="s">
        <v>146</v>
      </c>
      <c r="C480" s="22" t="n">
        <f aca="false">a25_aip</f>
        <v>31.390065</v>
      </c>
      <c r="D480" s="22" t="n">
        <f aca="false">D476*D479</f>
        <v>59.35208013</v>
      </c>
      <c r="E480" s="22" t="n">
        <f aca="false">E476*E479</f>
        <v>140.847349380455</v>
      </c>
      <c r="F480" s="22" t="n">
        <f aca="false">F476*F479</f>
        <v>161.876683826213</v>
      </c>
      <c r="G480" s="22" t="n">
        <f aca="false">G476*G479</f>
        <v>207.453527181882</v>
      </c>
    </row>
    <row r="481" customFormat="false" ht="17.15" hidden="false" customHeight="false" outlineLevel="0" collapsed="false">
      <c r="A481" s="0" t="s">
        <v>438</v>
      </c>
      <c r="B481" s="0" t="s">
        <v>146</v>
      </c>
      <c r="C481" s="22" t="n">
        <f aca="false">a25_ai</f>
        <v>34.87785</v>
      </c>
      <c r="D481" s="22" t="n">
        <f aca="false">D480/(1-x_np)</f>
        <v>65.9467557</v>
      </c>
      <c r="E481" s="22" t="n">
        <f aca="false">E480/(1-x_np)</f>
        <v>156.497054867173</v>
      </c>
      <c r="F481" s="22" t="n">
        <f aca="false">F480/(1-x_np)</f>
        <v>179.862982029125</v>
      </c>
      <c r="G481" s="22" t="n">
        <f aca="false">G480/(1-x_np)</f>
        <v>230.50391909098</v>
      </c>
      <c r="K481" s="4" t="s">
        <v>439</v>
      </c>
    </row>
    <row r="482" customFormat="false" ht="17.15" hidden="false" customHeight="false" outlineLevel="0" collapsed="false">
      <c r="A482" s="6" t="s">
        <v>440</v>
      </c>
    </row>
    <row r="483" customFormat="false" ht="17.15" hidden="false" customHeight="false" outlineLevel="0" collapsed="false">
      <c r="A483" s="4" t="s">
        <v>441</v>
      </c>
      <c r="B483" s="0" t="s">
        <v>146</v>
      </c>
      <c r="C483" s="22" t="n">
        <f aca="false">a25_nai</f>
        <v>131.20715</v>
      </c>
      <c r="D483" s="22" t="n">
        <f aca="false">a26_nai</f>
        <v>146.7847143</v>
      </c>
      <c r="E483" s="22" t="n">
        <f aca="false">D483*(1+GNHI27)</f>
        <v>155.591797158</v>
      </c>
      <c r="F483" s="22" t="n">
        <f aca="false">E483*(1+GNHI28)</f>
        <v>164.92730498748</v>
      </c>
      <c r="G483" s="22" t="n">
        <f aca="false">F483*(1+GNHI29)</f>
        <v>174.822943286729</v>
      </c>
    </row>
    <row r="484" customFormat="false" ht="17.15" hidden="false" customHeight="false" outlineLevel="0" collapsed="false">
      <c r="A484" s="4" t="s">
        <v>328</v>
      </c>
      <c r="B484" s="0" t="s">
        <v>146</v>
      </c>
      <c r="C484" s="22" t="n">
        <f aca="false">C481+C483</f>
        <v>166.085</v>
      </c>
      <c r="D484" s="22" t="n">
        <f aca="false">D481+D483</f>
        <v>212.73147</v>
      </c>
      <c r="E484" s="22" t="n">
        <f aca="false">E481+E483</f>
        <v>312.088852025173</v>
      </c>
      <c r="F484" s="22" t="n">
        <f aca="false">F481+F483</f>
        <v>344.790287016605</v>
      </c>
      <c r="G484" s="22" t="n">
        <f aca="false">G481+G483</f>
        <v>405.326862377709</v>
      </c>
      <c r="H484" s="24" t="n">
        <f aca="false">G484*(1+H485)</f>
        <v>458.174746021226</v>
      </c>
      <c r="I484" s="24" t="n">
        <f aca="false">H484*(1+I485)</f>
        <v>497.207425436465</v>
      </c>
      <c r="J484" s="24" t="n">
        <f aca="false">I484*(1+J485)</f>
        <v>517.095722453924</v>
      </c>
      <c r="K484" s="8" t="s">
        <v>442</v>
      </c>
    </row>
    <row r="485" customFormat="false" ht="15" hidden="false" customHeight="false" outlineLevel="0" collapsed="false">
      <c r="A485" s="4" t="s">
        <v>443</v>
      </c>
      <c r="B485" s="0" t="s">
        <v>49</v>
      </c>
      <c r="D485" s="17" t="n">
        <f aca="false">D484/C484-1</f>
        <v>0.280859017972725</v>
      </c>
      <c r="E485" s="17" t="n">
        <f aca="false">E484/D484-1</f>
        <v>0.467055400995315</v>
      </c>
      <c r="F485" s="17" t="n">
        <f aca="false">F484/E484-1</f>
        <v>0.104782451469284</v>
      </c>
      <c r="G485" s="17" t="n">
        <f aca="false">G484/F484-1</f>
        <v>0.175575060089173</v>
      </c>
      <c r="H485" s="25" t="n">
        <f aca="false">$G485+(fade_gB-$G485)*1/3</f>
        <v>0.130383373392782</v>
      </c>
      <c r="I485" s="25" t="n">
        <f aca="false">$G485+(fade_gB-$G485)*2/3</f>
        <v>0.0851916866963911</v>
      </c>
      <c r="J485" s="25" t="n">
        <f aca="false">$G485+(fade_gB-$G485)*3/3</f>
        <v>0.04</v>
      </c>
    </row>
    <row r="486" customFormat="false" ht="17.15" hidden="false" customHeight="false" outlineLevel="0" collapsed="false">
      <c r="A486" s="0" t="s">
        <v>444</v>
      </c>
      <c r="B486" s="0" t="s">
        <v>49</v>
      </c>
      <c r="C486" s="17" t="n">
        <f aca="false">C481/C484</f>
        <v>0.21</v>
      </c>
      <c r="D486" s="17" t="n">
        <f aca="false">D481/D484</f>
        <v>0.31</v>
      </c>
      <c r="E486" s="17" t="n">
        <f aca="false">E481/E484</f>
        <v>0.501450320482931</v>
      </c>
      <c r="F486" s="17" t="n">
        <f aca="false">F481/F484</f>
        <v>0.521659074521617</v>
      </c>
      <c r="G486" s="17" t="n">
        <f aca="false">G481/G484</f>
        <v>0.568686510779989</v>
      </c>
    </row>
    <row r="487" customFormat="false" ht="17.15" hidden="false" customHeight="false" outlineLevel="0" collapsed="false">
      <c r="A487" s="4" t="s">
        <v>401</v>
      </c>
      <c r="B487" s="0" t="s">
        <v>402</v>
      </c>
      <c r="D487" s="21" t="n">
        <f aca="false">D481/fx/D473*1000</f>
        <v>88.0716581635228</v>
      </c>
      <c r="E487" s="21" t="n">
        <f aca="false">E481/fx/E473*1000</f>
        <v>117.428877551364</v>
      </c>
      <c r="F487" s="21" t="n">
        <f aca="false">F481/fx/F473*1000</f>
        <v>133.086061224879</v>
      </c>
      <c r="G487" s="21" t="n">
        <f aca="false">G481/fx/G473*1000</f>
        <v>140.914653061636</v>
      </c>
    </row>
    <row r="488" customFormat="false" ht="17.15" hidden="false" customHeight="false" outlineLevel="0" collapsed="false">
      <c r="A488" s="6" t="s">
        <v>445</v>
      </c>
    </row>
    <row r="489" customFormat="false" ht="17.15" hidden="false" customHeight="false" outlineLevel="0" collapsed="false">
      <c r="A489" s="4" t="s">
        <v>446</v>
      </c>
      <c r="B489" s="0" t="s">
        <v>49</v>
      </c>
      <c r="D489" s="17" t="n">
        <f aca="false">a26_gp/D484-d_ai*D486</f>
        <v>0.216982337009188</v>
      </c>
      <c r="K489" s="8" t="s">
        <v>447</v>
      </c>
    </row>
    <row r="490" customFormat="false" ht="17.15" hidden="false" customHeight="false" outlineLevel="0" collapsed="false">
      <c r="A490" s="0" t="s">
        <v>448</v>
      </c>
      <c r="B490" s="0" t="s">
        <v>49</v>
      </c>
      <c r="D490" s="17" t="n">
        <f aca="false">D489+d_ai</f>
        <v>0.336982337009188</v>
      </c>
      <c r="E490" s="17" t="n">
        <f aca="false">$D$490+gmu_27</f>
        <v>0.336982337009188</v>
      </c>
      <c r="F490" s="17" t="n">
        <f aca="false">$D$490+gmu_28</f>
        <v>0.336982337009188</v>
      </c>
      <c r="G490" s="17" t="n">
        <f aca="false">$D$490+gmu_29</f>
        <v>0.336982337009188</v>
      </c>
      <c r="K490" s="4" t="s">
        <v>449</v>
      </c>
    </row>
    <row r="491" customFormat="false" ht="15" hidden="false" customHeight="false" outlineLevel="0" collapsed="false">
      <c r="A491" s="4" t="s">
        <v>332</v>
      </c>
      <c r="B491" s="0" t="s">
        <v>146</v>
      </c>
      <c r="C491" s="22" t="n">
        <f aca="false">a25_gp</f>
        <v>38.039</v>
      </c>
      <c r="D491" s="22" t="n">
        <f aca="false">a26_gp</f>
        <v>54.0725822</v>
      </c>
      <c r="E491" s="22" t="n">
        <f aca="false">E481*E490+E483*$D$489</f>
        <v>86.4974150509974</v>
      </c>
      <c r="F491" s="22" t="n">
        <f aca="false">F481*F490+F483*$D$489</f>
        <v>96.3969600984267</v>
      </c>
      <c r="G491" s="22" t="n">
        <f aca="false">G481*G490+G483*$D$489</f>
        <v>115.609240142234</v>
      </c>
    </row>
    <row r="492" customFormat="false" ht="15" hidden="false" customHeight="false" outlineLevel="0" collapsed="false">
      <c r="A492" s="4" t="s">
        <v>335</v>
      </c>
      <c r="B492" s="0" t="s">
        <v>49</v>
      </c>
      <c r="C492" s="17" t="n">
        <f aca="false">C491/C484</f>
        <v>0.229033326308818</v>
      </c>
      <c r="D492" s="17" t="n">
        <f aca="false">D491/D484</f>
        <v>0.254182337009188</v>
      </c>
      <c r="E492" s="17" t="n">
        <f aca="false">E491/E484</f>
        <v>0.27715637546714</v>
      </c>
      <c r="F492" s="17" t="n">
        <f aca="false">F491/F484</f>
        <v>0.279581425951782</v>
      </c>
      <c r="G492" s="17" t="n">
        <f aca="false">G491/G484</f>
        <v>0.285224718302787</v>
      </c>
    </row>
    <row r="493" customFormat="false" ht="15" hidden="false" customHeight="false" outlineLevel="0" collapsed="false">
      <c r="A493" s="4" t="s">
        <v>450</v>
      </c>
      <c r="B493" s="0" t="s">
        <v>146</v>
      </c>
      <c r="C493" s="22" t="n">
        <f aca="false">a25_opx</f>
        <v>21.301</v>
      </c>
      <c r="D493" s="22" t="n">
        <f aca="false">a26_opx</f>
        <v>25.21033346</v>
      </c>
      <c r="E493" s="22" t="n">
        <f aca="false">D493*(1+MAX(0,phi*E485))</f>
        <v>33.4525691423701</v>
      </c>
      <c r="F493" s="22" t="n">
        <f aca="false">E493*(1+MAX(0,phi*F485))</f>
        <v>35.9062386842484</v>
      </c>
      <c r="G493" s="22" t="n">
        <f aca="false">F493*(1+MAX(0,phi*G485))</f>
        <v>40.3192066944426</v>
      </c>
    </row>
    <row r="494" customFormat="false" ht="15" hidden="false" customHeight="false" outlineLevel="0" collapsed="false">
      <c r="A494" s="4" t="s">
        <v>337</v>
      </c>
      <c r="B494" s="0" t="s">
        <v>146</v>
      </c>
      <c r="C494" s="22" t="n">
        <f aca="false">C493</f>
        <v>21.301</v>
      </c>
      <c r="D494" s="22" t="n">
        <f aca="false">D493</f>
        <v>25.21033346</v>
      </c>
      <c r="E494" s="22" t="n">
        <f aca="false">E493+0*E484</f>
        <v>33.4525691423701</v>
      </c>
      <c r="F494" s="22" t="n">
        <f aca="false">F493+0*F484</f>
        <v>35.9062386842484</v>
      </c>
      <c r="G494" s="22" t="n">
        <f aca="false">G493+0*G484</f>
        <v>40.3192066944426</v>
      </c>
    </row>
    <row r="495" customFormat="false" ht="15" hidden="false" customHeight="false" outlineLevel="0" collapsed="false">
      <c r="A495" s="4" t="s">
        <v>340</v>
      </c>
      <c r="B495" s="0" t="s">
        <v>146</v>
      </c>
      <c r="C495" s="22" t="n">
        <f aca="false">C491-C494</f>
        <v>16.738</v>
      </c>
      <c r="D495" s="22" t="n">
        <f aca="false">D491-D494</f>
        <v>28.86224874</v>
      </c>
      <c r="E495" s="22" t="n">
        <f aca="false">E491-E494</f>
        <v>53.0448459086273</v>
      </c>
      <c r="F495" s="22" t="n">
        <f aca="false">F491-F494</f>
        <v>60.4907214141783</v>
      </c>
      <c r="G495" s="22" t="n">
        <f aca="false">G491-G494</f>
        <v>75.2900334477918</v>
      </c>
    </row>
    <row r="496" customFormat="false" ht="15" hidden="false" customHeight="false" outlineLevel="0" collapsed="false">
      <c r="A496" s="4" t="s">
        <v>342</v>
      </c>
      <c r="B496" s="0" t="s">
        <v>49</v>
      </c>
      <c r="C496" s="17" t="n">
        <f aca="false">C495/C484</f>
        <v>0.100779721227083</v>
      </c>
      <c r="D496" s="17" t="n">
        <f aca="false">D495/D484</f>
        <v>0.135674560703219</v>
      </c>
      <c r="E496" s="17" t="n">
        <f aca="false">E495/E484</f>
        <v>0.1699671281573</v>
      </c>
      <c r="F496" s="17" t="n">
        <f aca="false">F495/F484</f>
        <v>0.175442069257784</v>
      </c>
      <c r="G496" s="17" t="n">
        <f aca="false">G495/G484</f>
        <v>0.185751403215985</v>
      </c>
    </row>
    <row r="497" customFormat="false" ht="15" hidden="false" customHeight="false" outlineLevel="0" collapsed="false">
      <c r="A497" s="4" t="s">
        <v>344</v>
      </c>
      <c r="B497" s="0" t="s">
        <v>146</v>
      </c>
      <c r="C497" s="22" t="n">
        <f aca="false">a25_nop</f>
        <v>2.9762895</v>
      </c>
      <c r="D497" s="22" t="n">
        <f aca="false">a26_nop</f>
        <v>3.839</v>
      </c>
      <c r="E497" s="22" t="n">
        <f aca="false">nop_f</f>
        <v>3.5</v>
      </c>
      <c r="F497" s="22" t="n">
        <f aca="false">nop_f</f>
        <v>3.5</v>
      </c>
      <c r="G497" s="22" t="n">
        <f aca="false">nop_f</f>
        <v>3.5</v>
      </c>
    </row>
    <row r="498" customFormat="false" ht="17.15" hidden="false" customHeight="false" outlineLevel="0" collapsed="false">
      <c r="A498" s="4" t="s">
        <v>451</v>
      </c>
      <c r="B498" s="0" t="s">
        <v>49</v>
      </c>
      <c r="C498" s="17" t="n">
        <f aca="false">a25_ni/a25_pt</f>
        <v>0.766753475949514</v>
      </c>
      <c r="D498" s="17" t="n">
        <f aca="false">a26_ni/a26_pt</f>
        <v>0.759431002022174</v>
      </c>
      <c r="E498" s="17" t="n">
        <f aca="false">nir_f</f>
        <v>0.76</v>
      </c>
      <c r="F498" s="17" t="n">
        <f aca="false">nir_f</f>
        <v>0.76</v>
      </c>
      <c r="G498" s="17" t="n">
        <f aca="false">nir_f</f>
        <v>0.76</v>
      </c>
    </row>
    <row r="499" customFormat="false" ht="15" hidden="false" customHeight="false" outlineLevel="0" collapsed="false">
      <c r="A499" s="4" t="s">
        <v>349</v>
      </c>
      <c r="B499" s="0" t="s">
        <v>146</v>
      </c>
      <c r="C499" s="22" t="n">
        <f aca="false">a25_ni</f>
        <v>15.116</v>
      </c>
      <c r="D499" s="22" t="n">
        <f aca="false">a26_ni</f>
        <v>24.8343420979946</v>
      </c>
      <c r="E499" s="22" t="n">
        <f aca="false">(E495+E497)*E498</f>
        <v>42.9740828905567</v>
      </c>
      <c r="F499" s="22" t="n">
        <f aca="false">(F495+F497)*F498</f>
        <v>48.6329482747755</v>
      </c>
      <c r="G499" s="22" t="n">
        <f aca="false">(G495+G497)*G498</f>
        <v>59.8804254203218</v>
      </c>
      <c r="H499" s="24" t="n">
        <f aca="false">H484*H503</f>
        <v>61.4823470132736</v>
      </c>
      <c r="I499" s="24" t="n">
        <f aca="false">I484*I503</f>
        <v>59.9859854006613</v>
      </c>
      <c r="J499" s="24" t="n">
        <f aca="false">J484*J503</f>
        <v>55.3819125016928</v>
      </c>
    </row>
    <row r="500" customFormat="false" ht="15" hidden="false" customHeight="false" outlineLevel="0" collapsed="false">
      <c r="A500" s="4" t="s">
        <v>452</v>
      </c>
      <c r="B500" s="4" t="s">
        <v>176</v>
      </c>
      <c r="C500" s="27" t="n">
        <f aca="false">a25_sh</f>
        <v>2.27650602409639</v>
      </c>
      <c r="D500" s="27" t="n">
        <f aca="false">a26_sh</f>
        <v>2.26895833333333</v>
      </c>
      <c r="E500" s="27" t="n">
        <f aca="false">D500*(1+sh_g)</f>
        <v>2.26895833333333</v>
      </c>
      <c r="F500" s="27" t="n">
        <f aca="false">E500*(1+sh_g)</f>
        <v>2.26895833333333</v>
      </c>
      <c r="G500" s="27" t="n">
        <f aca="false">F500*(1+sh_g)</f>
        <v>2.26895833333333</v>
      </c>
      <c r="H500" s="28" t="n">
        <f aca="false">G500*(1+sh_g)</f>
        <v>2.26895833333333</v>
      </c>
      <c r="I500" s="28" t="n">
        <f aca="false">H500*(1+sh_g)</f>
        <v>2.26895833333333</v>
      </c>
      <c r="J500" s="28" t="n">
        <f aca="false">I500*(1+sh_g)</f>
        <v>2.26895833333333</v>
      </c>
    </row>
    <row r="501" customFormat="false" ht="15" hidden="false" customHeight="false" outlineLevel="0" collapsed="false">
      <c r="A501" s="0" t="s">
        <v>355</v>
      </c>
      <c r="B501" s="0" t="s">
        <v>209</v>
      </c>
      <c r="C501" s="23" t="n">
        <f aca="false">C499/C500</f>
        <v>6.64</v>
      </c>
      <c r="D501" s="23" t="n">
        <f aca="false">D499/D500</f>
        <v>10.9452614149641</v>
      </c>
      <c r="E501" s="23" t="n">
        <f aca="false">E499/E500</f>
        <v>18.9400053139907</v>
      </c>
      <c r="F501" s="23" t="n">
        <f aca="false">F499/F500</f>
        <v>21.4340420272631</v>
      </c>
      <c r="G501" s="23" t="n">
        <f aca="false">G499/G500</f>
        <v>26.3911525128587</v>
      </c>
      <c r="H501" s="29" t="n">
        <f aca="false">H499/H500</f>
        <v>27.0971688241404</v>
      </c>
      <c r="I501" s="29" t="n">
        <f aca="false">I499/I500</f>
        <v>26.4376760557501</v>
      </c>
      <c r="J501" s="29" t="n">
        <f aca="false">J499/J500</f>
        <v>24.4085189613557</v>
      </c>
    </row>
    <row r="502" customFormat="false" ht="17.15" hidden="false" customHeight="false" outlineLevel="0" collapsed="false">
      <c r="A502" s="0" t="s">
        <v>453</v>
      </c>
      <c r="B502" s="0" t="s">
        <v>49</v>
      </c>
      <c r="D502" s="17" t="n">
        <f aca="false">D501/C501-1</f>
        <v>0.648382743217484</v>
      </c>
      <c r="E502" s="17" t="n">
        <f aca="false">E501/D501-1</f>
        <v>0.73042968970082</v>
      </c>
      <c r="F502" s="17" t="n">
        <f aca="false">F501/E501-1</f>
        <v>0.131680887725524</v>
      </c>
      <c r="G502" s="17" t="n">
        <f aca="false">G501/F501-1</f>
        <v>0.231272779967979</v>
      </c>
      <c r="H502" s="25" t="n">
        <f aca="false">H501/G501-1</f>
        <v>0.0267520075501699</v>
      </c>
      <c r="I502" s="25" t="n">
        <f aca="false">I501/H501-1</f>
        <v>-0.024338069141851</v>
      </c>
      <c r="J502" s="25" t="n">
        <f aca="false">J501/I501-1</f>
        <v>-0.0767524759027758</v>
      </c>
    </row>
    <row r="503" customFormat="false" ht="17.15" hidden="false" customHeight="false" outlineLevel="0" collapsed="false">
      <c r="A503" s="4" t="s">
        <v>454</v>
      </c>
      <c r="B503" s="0" t="s">
        <v>49</v>
      </c>
      <c r="C503" s="17" t="n">
        <f aca="false">C499/C484</f>
        <v>0.0910136375952073</v>
      </c>
      <c r="D503" s="17" t="n">
        <f aca="false">D499/D484</f>
        <v>0.116740330417472</v>
      </c>
      <c r="E503" s="17" t="n">
        <f aca="false">E499/E484</f>
        <v>0.137698231166202</v>
      </c>
      <c r="F503" s="17" t="n">
        <f aca="false">F499/F484</f>
        <v>0.141050807131447</v>
      </c>
      <c r="G503" s="17" t="n">
        <f aca="false">G499/G484</f>
        <v>0.147733671213041</v>
      </c>
      <c r="H503" s="25" t="n">
        <f aca="false">$G503+(fade_mB-$G503)*1/3</f>
        <v>0.134189733387063</v>
      </c>
      <c r="I503" s="25" t="n">
        <f aca="false">$G503+(fade_mB-$G503)*2/3</f>
        <v>0.120645795561085</v>
      </c>
      <c r="J503" s="25" t="n">
        <f aca="false">$G503+(fade_mB-$G503)*3/3</f>
        <v>0.107101857735107</v>
      </c>
    </row>
    <row r="506" customFormat="false" ht="17.15" hidden="false" customHeight="false" outlineLevel="0" collapsed="false">
      <c r="A506" s="1" t="s">
        <v>739</v>
      </c>
    </row>
    <row r="507" customFormat="false" ht="17.15" hidden="false" customHeight="false" outlineLevel="0" collapsed="false">
      <c r="A507" s="5" t="s">
        <v>18</v>
      </c>
      <c r="B507" s="5" t="s">
        <v>19</v>
      </c>
      <c r="C507" s="14" t="s">
        <v>323</v>
      </c>
      <c r="D507" s="14" t="s">
        <v>407</v>
      </c>
      <c r="E507" s="14" t="s">
        <v>408</v>
      </c>
      <c r="F507" s="14" t="s">
        <v>409</v>
      </c>
      <c r="G507" s="14" t="s">
        <v>410</v>
      </c>
      <c r="H507" s="14" t="s">
        <v>411</v>
      </c>
      <c r="I507" s="14" t="s">
        <v>412</v>
      </c>
      <c r="J507" s="14" t="s">
        <v>413</v>
      </c>
      <c r="K507" s="5" t="s">
        <v>380</v>
      </c>
    </row>
    <row r="508" customFormat="false" ht="17.15" hidden="false" customHeight="false" outlineLevel="0" collapsed="false">
      <c r="A508" s="6" t="s">
        <v>428</v>
      </c>
    </row>
    <row r="509" customFormat="false" ht="17.15" hidden="false" customHeight="false" outlineLevel="0" collapsed="false">
      <c r="A509" s="0" t="s">
        <v>429</v>
      </c>
      <c r="B509" s="0" t="s">
        <v>29</v>
      </c>
      <c r="D509" s="23" t="n">
        <f aca="false">itc_26*1</f>
        <v>781.872916666667</v>
      </c>
      <c r="E509" s="23" t="n">
        <f aca="false">itc_27*1*1</f>
        <v>1565.35</v>
      </c>
      <c r="F509" s="23" t="n">
        <f aca="false">itc_28*um28_B*1</f>
        <v>1587.41111111111</v>
      </c>
      <c r="G509" s="23" t="n">
        <f aca="false">itc_29*um29_B*1</f>
        <v>1921.33173611111</v>
      </c>
    </row>
    <row r="510" customFormat="false" ht="17.15" hidden="false" customHeight="false" outlineLevel="0" collapsed="false">
      <c r="A510" s="4" t="s">
        <v>430</v>
      </c>
      <c r="B510" s="0" t="s">
        <v>29</v>
      </c>
      <c r="D510" s="23" t="n">
        <f aca="false">itpg_gb*(1-vr26)+itpg_vr*vr26</f>
        <v>33.41403216</v>
      </c>
      <c r="E510" s="23" t="n">
        <f aca="false">itpg_vr</f>
        <v>37.586352</v>
      </c>
      <c r="F510" s="23" t="n">
        <f aca="false">itpg_vr</f>
        <v>37.586352</v>
      </c>
      <c r="G510" s="23" t="n">
        <f aca="false">itpg_vr</f>
        <v>37.586352</v>
      </c>
    </row>
    <row r="511" customFormat="false" ht="17.15" hidden="false" customHeight="false" outlineLevel="0" collapsed="false">
      <c r="A511" s="4" t="s">
        <v>431</v>
      </c>
      <c r="B511" s="0" t="s">
        <v>382</v>
      </c>
      <c r="D511" s="20" t="n">
        <f aca="false">D509/D510</f>
        <v>23.3995380420639</v>
      </c>
      <c r="E511" s="20" t="n">
        <f aca="false">E509/E510</f>
        <v>41.6467658260637</v>
      </c>
      <c r="F511" s="20" t="n">
        <f aca="false">F509/F510</f>
        <v>42.2337105529984</v>
      </c>
      <c r="G511" s="20" t="n">
        <f aca="false">G509/G510</f>
        <v>51.1178029756948</v>
      </c>
    </row>
    <row r="512" customFormat="false" ht="17.15" hidden="false" customHeight="false" outlineLevel="0" collapsed="false">
      <c r="A512" s="0" t="s">
        <v>384</v>
      </c>
      <c r="B512" s="0" t="s">
        <v>87</v>
      </c>
      <c r="D512" s="21" t="n">
        <f aca="false">pkw_26</f>
        <v>450</v>
      </c>
      <c r="E512" s="21" t="n">
        <f aca="false">pkw_27</f>
        <v>600</v>
      </c>
      <c r="F512" s="21" t="n">
        <f aca="false">pkw_28</f>
        <v>680</v>
      </c>
      <c r="G512" s="21" t="n">
        <f aca="false">pkw_29</f>
        <v>720</v>
      </c>
    </row>
    <row r="513" customFormat="false" ht="17.15" hidden="false" customHeight="false" outlineLevel="0" collapsed="false">
      <c r="A513" s="0" t="s">
        <v>432</v>
      </c>
      <c r="B513" s="0" t="s">
        <v>29</v>
      </c>
      <c r="D513" s="23" t="n">
        <f aca="false">D511*D512/1000</f>
        <v>10.5297921189288</v>
      </c>
      <c r="E513" s="23" t="n">
        <f aca="false">E511*E512/1000</f>
        <v>24.9880594956382</v>
      </c>
      <c r="F513" s="23" t="n">
        <f aca="false">F511*F512/1000</f>
        <v>28.7189231760389</v>
      </c>
      <c r="G513" s="23" t="n">
        <f aca="false">G511*G512/1000</f>
        <v>36.8048181425003</v>
      </c>
    </row>
    <row r="514" customFormat="false" ht="17.15" hidden="false" customHeight="false" outlineLevel="0" collapsed="false">
      <c r="A514" s="0" t="s">
        <v>433</v>
      </c>
      <c r="B514" s="0" t="s">
        <v>146</v>
      </c>
      <c r="D514" s="22" t="n">
        <f aca="false">D513*fx</f>
        <v>336.95334780572</v>
      </c>
      <c r="E514" s="22" t="n">
        <f aca="false">E513*fx</f>
        <v>799.617903860422</v>
      </c>
      <c r="F514" s="22" t="n">
        <f aca="false">F513*fx</f>
        <v>919.005541633245</v>
      </c>
      <c r="G514" s="22" t="n">
        <f aca="false">G513*fx</f>
        <v>1177.75418056001</v>
      </c>
    </row>
    <row r="515" customFormat="false" ht="17.15" hidden="false" customHeight="false" outlineLevel="0" collapsed="false">
      <c r="A515" s="4" t="s">
        <v>434</v>
      </c>
      <c r="B515" s="0" t="s">
        <v>49</v>
      </c>
      <c r="D515" s="17" t="n">
        <f aca="false">a26_aip/D514</f>
        <v>0.176143316327046</v>
      </c>
      <c r="K515" s="8" t="s">
        <v>435</v>
      </c>
    </row>
    <row r="516" customFormat="false" ht="17.15" hidden="false" customHeight="false" outlineLevel="0" collapsed="false">
      <c r="A516" s="4" t="s">
        <v>436</v>
      </c>
      <c r="B516" s="0" t="s">
        <v>60</v>
      </c>
      <c r="D516" s="18" t="n">
        <f aca="false">1</f>
        <v>1</v>
      </c>
      <c r="E516" s="18" t="n">
        <f aca="false">rel_27</f>
        <v>1</v>
      </c>
      <c r="F516" s="18" t="n">
        <f aca="false">rel_28</f>
        <v>1</v>
      </c>
      <c r="G516" s="18" t="n">
        <f aca="false">rel_29</f>
        <v>1</v>
      </c>
    </row>
    <row r="517" customFormat="false" ht="15" hidden="false" customHeight="false" outlineLevel="0" collapsed="false">
      <c r="A517" s="4" t="s">
        <v>390</v>
      </c>
      <c r="B517" s="0" t="s">
        <v>49</v>
      </c>
      <c r="D517" s="17" t="n">
        <f aca="false">$D$515*D516</f>
        <v>0.176143316327046</v>
      </c>
      <c r="E517" s="17" t="n">
        <f aca="false">$D$515*E516</f>
        <v>0.176143316327046</v>
      </c>
      <c r="F517" s="17" t="n">
        <f aca="false">$D$515*F516</f>
        <v>0.176143316327046</v>
      </c>
      <c r="G517" s="17" t="n">
        <f aca="false">$D$515*G516</f>
        <v>0.176143316327046</v>
      </c>
    </row>
    <row r="518" customFormat="false" ht="17.15" hidden="false" customHeight="false" outlineLevel="0" collapsed="false">
      <c r="A518" s="0" t="s">
        <v>437</v>
      </c>
      <c r="B518" s="0" t="s">
        <v>146</v>
      </c>
      <c r="C518" s="22" t="n">
        <f aca="false">a25_aip</f>
        <v>31.390065</v>
      </c>
      <c r="D518" s="22" t="n">
        <f aca="false">D514*D517</f>
        <v>59.35208013</v>
      </c>
      <c r="E518" s="22" t="n">
        <f aca="false">E514*E517</f>
        <v>140.847349380455</v>
      </c>
      <c r="F518" s="22" t="n">
        <f aca="false">F514*F517</f>
        <v>161.876683826213</v>
      </c>
      <c r="G518" s="22" t="n">
        <f aca="false">G514*G517</f>
        <v>207.453527181882</v>
      </c>
    </row>
    <row r="519" customFormat="false" ht="17.15" hidden="false" customHeight="false" outlineLevel="0" collapsed="false">
      <c r="A519" s="0" t="s">
        <v>438</v>
      </c>
      <c r="B519" s="0" t="s">
        <v>146</v>
      </c>
      <c r="C519" s="22" t="n">
        <f aca="false">a25_ai</f>
        <v>34.87785</v>
      </c>
      <c r="D519" s="22" t="n">
        <f aca="false">D518/(1-x_np)</f>
        <v>65.9467557</v>
      </c>
      <c r="E519" s="22" t="n">
        <f aca="false">E518/(1-x_np)</f>
        <v>156.497054867173</v>
      </c>
      <c r="F519" s="22" t="n">
        <f aca="false">F518/(1-x_np)</f>
        <v>179.862982029125</v>
      </c>
      <c r="G519" s="22" t="n">
        <f aca="false">G518/(1-x_np)</f>
        <v>230.50391909098</v>
      </c>
      <c r="K519" s="4" t="s">
        <v>439</v>
      </c>
    </row>
    <row r="520" customFormat="false" ht="17.15" hidden="false" customHeight="false" outlineLevel="0" collapsed="false">
      <c r="A520" s="6" t="s">
        <v>440</v>
      </c>
    </row>
    <row r="521" customFormat="false" ht="17.15" hidden="false" customHeight="false" outlineLevel="0" collapsed="false">
      <c r="A521" s="4" t="s">
        <v>441</v>
      </c>
      <c r="B521" s="0" t="s">
        <v>146</v>
      </c>
      <c r="C521" s="22" t="n">
        <f aca="false">a25_nai</f>
        <v>131.20715</v>
      </c>
      <c r="D521" s="22" t="n">
        <f aca="false">a26_nai</f>
        <v>146.7847143</v>
      </c>
      <c r="E521" s="22" t="n">
        <f aca="false">D521*(1+g_nai27)</f>
        <v>151.188255729</v>
      </c>
      <c r="F521" s="22" t="n">
        <f aca="false">E521*(1+g_nai28)</f>
        <v>155.72390340087</v>
      </c>
      <c r="G521" s="22" t="n">
        <f aca="false">F521*(1+g_nai29)</f>
        <v>160.395620502896</v>
      </c>
    </row>
    <row r="522" customFormat="false" ht="17.15" hidden="false" customHeight="false" outlineLevel="0" collapsed="false">
      <c r="A522" s="4" t="s">
        <v>328</v>
      </c>
      <c r="B522" s="0" t="s">
        <v>146</v>
      </c>
      <c r="C522" s="22" t="n">
        <f aca="false">C519+C521</f>
        <v>166.085</v>
      </c>
      <c r="D522" s="22" t="n">
        <f aca="false">D519+D521</f>
        <v>212.73147</v>
      </c>
      <c r="E522" s="22" t="n">
        <f aca="false">E519+E521</f>
        <v>307.685310596173</v>
      </c>
      <c r="F522" s="22" t="n">
        <f aca="false">F519+F521</f>
        <v>335.586885429995</v>
      </c>
      <c r="G522" s="22" t="n">
        <f aca="false">G519+G521</f>
        <v>390.899539593876</v>
      </c>
      <c r="H522" s="24" t="n">
        <f aca="false">G522*(1+H523)</f>
        <v>439.064525134509</v>
      </c>
      <c r="I522" s="24" t="n">
        <f aca="false">H522*(1+I523)</f>
        <v>474.895651160772</v>
      </c>
      <c r="J522" s="24" t="n">
        <f aca="false">I522*(1+J523)</f>
        <v>493.891477207202</v>
      </c>
      <c r="K522" s="8" t="s">
        <v>442</v>
      </c>
    </row>
    <row r="523" customFormat="false" ht="15" hidden="false" customHeight="false" outlineLevel="0" collapsed="false">
      <c r="A523" s="4" t="s">
        <v>443</v>
      </c>
      <c r="B523" s="0" t="s">
        <v>49</v>
      </c>
      <c r="D523" s="17" t="n">
        <f aca="false">D522/C522-1</f>
        <v>0.280859017972725</v>
      </c>
      <c r="E523" s="17" t="n">
        <f aca="false">E522/D522-1</f>
        <v>0.446355400995315</v>
      </c>
      <c r="F523" s="17" t="n">
        <f aca="false">F522/E522-1</f>
        <v>0.0906821803737075</v>
      </c>
      <c r="G523" s="17" t="n">
        <f aca="false">G522/F522-1</f>
        <v>0.164823646469401</v>
      </c>
      <c r="H523" s="25" t="n">
        <f aca="false">$G523+(fade_gB-$G523)*1/3</f>
        <v>0.123215764312934</v>
      </c>
      <c r="I523" s="25" t="n">
        <f aca="false">$G523+(fade_gB-$G523)*2/3</f>
        <v>0.081607882156467</v>
      </c>
      <c r="J523" s="25" t="n">
        <f aca="false">$G523+(fade_gB-$G523)*3/3</f>
        <v>0.04</v>
      </c>
    </row>
    <row r="524" customFormat="false" ht="17.15" hidden="false" customHeight="false" outlineLevel="0" collapsed="false">
      <c r="A524" s="0" t="s">
        <v>444</v>
      </c>
      <c r="B524" s="0" t="s">
        <v>49</v>
      </c>
      <c r="C524" s="17" t="n">
        <f aca="false">C519/C522</f>
        <v>0.21</v>
      </c>
      <c r="D524" s="17" t="n">
        <f aca="false">D519/D522</f>
        <v>0.31</v>
      </c>
      <c r="E524" s="17" t="n">
        <f aca="false">E519/E522</f>
        <v>0.508626994782244</v>
      </c>
      <c r="F524" s="17" t="n">
        <f aca="false">F519/F522</f>
        <v>0.535965467776438</v>
      </c>
      <c r="G524" s="17" t="n">
        <f aca="false">G519/G522</f>
        <v>0.58967559626819</v>
      </c>
    </row>
    <row r="525" customFormat="false" ht="17.15" hidden="false" customHeight="false" outlineLevel="0" collapsed="false">
      <c r="A525" s="4" t="s">
        <v>401</v>
      </c>
      <c r="B525" s="0" t="s">
        <v>402</v>
      </c>
      <c r="D525" s="21" t="n">
        <f aca="false">D519/fx/D511*1000</f>
        <v>88.0716581635228</v>
      </c>
      <c r="E525" s="21" t="n">
        <f aca="false">E519/fx/E511*1000</f>
        <v>117.428877551364</v>
      </c>
      <c r="F525" s="21" t="n">
        <f aca="false">F519/fx/F511*1000</f>
        <v>133.086061224879</v>
      </c>
      <c r="G525" s="21" t="n">
        <f aca="false">G519/fx/G511*1000</f>
        <v>140.914653061636</v>
      </c>
    </row>
    <row r="526" customFormat="false" ht="17.15" hidden="false" customHeight="false" outlineLevel="0" collapsed="false">
      <c r="A526" s="6" t="s">
        <v>445</v>
      </c>
    </row>
    <row r="527" customFormat="false" ht="17.15" hidden="false" customHeight="false" outlineLevel="0" collapsed="false">
      <c r="A527" s="4" t="s">
        <v>446</v>
      </c>
      <c r="B527" s="0" t="s">
        <v>49</v>
      </c>
      <c r="D527" s="17" t="n">
        <f aca="false">a26_gp/D522-d_ai*D524</f>
        <v>0.216982337009188</v>
      </c>
      <c r="K527" s="8" t="s">
        <v>447</v>
      </c>
    </row>
    <row r="528" customFormat="false" ht="17.15" hidden="false" customHeight="false" outlineLevel="0" collapsed="false">
      <c r="A528" s="0" t="s">
        <v>448</v>
      </c>
      <c r="B528" s="0" t="s">
        <v>49</v>
      </c>
      <c r="D528" s="17" t="n">
        <f aca="false">D527+d_ai</f>
        <v>0.336982337009188</v>
      </c>
      <c r="E528" s="17" t="n">
        <f aca="false">$D$528+gmu_27</f>
        <v>0.336982337009188</v>
      </c>
      <c r="F528" s="17" t="n">
        <f aca="false">$D$528+gmu_28</f>
        <v>0.336982337009188</v>
      </c>
      <c r="G528" s="17" t="n">
        <f aca="false">$D$528+gmu_29</f>
        <v>0.336982337009188</v>
      </c>
      <c r="K528" s="4" t="s">
        <v>449</v>
      </c>
    </row>
    <row r="529" customFormat="false" ht="15" hidden="false" customHeight="false" outlineLevel="0" collapsed="false">
      <c r="A529" s="4" t="s">
        <v>332</v>
      </c>
      <c r="B529" s="0" t="s">
        <v>146</v>
      </c>
      <c r="C529" s="22" t="n">
        <f aca="false">a25_gp</f>
        <v>38.039</v>
      </c>
      <c r="D529" s="22" t="n">
        <f aca="false">a26_gp</f>
        <v>54.0725822</v>
      </c>
      <c r="E529" s="22" t="n">
        <f aca="false">E519*E528+E521*$D$527</f>
        <v>85.5419243406162</v>
      </c>
      <c r="F529" s="22" t="n">
        <f aca="false">F519*F528+F521*$D$527</f>
        <v>94.39998451373</v>
      </c>
      <c r="G529" s="22" t="n">
        <f aca="false">G519*G528+G521*$D$527</f>
        <v>112.478765927812</v>
      </c>
    </row>
    <row r="530" customFormat="false" ht="15" hidden="false" customHeight="false" outlineLevel="0" collapsed="false">
      <c r="A530" s="4" t="s">
        <v>335</v>
      </c>
      <c r="B530" s="0" t="s">
        <v>49</v>
      </c>
      <c r="C530" s="17" t="n">
        <f aca="false">C529/C522</f>
        <v>0.229033326308818</v>
      </c>
      <c r="D530" s="17" t="n">
        <f aca="false">D529/D522</f>
        <v>0.254182337009188</v>
      </c>
      <c r="E530" s="17" t="n">
        <f aca="false">E529/E522</f>
        <v>0.278017576383058</v>
      </c>
      <c r="F530" s="17" t="n">
        <f aca="false">F529/F522</f>
        <v>0.281298193142361</v>
      </c>
      <c r="G530" s="17" t="n">
        <f aca="false">G529/G522</f>
        <v>0.287743408561371</v>
      </c>
    </row>
    <row r="531" customFormat="false" ht="15" hidden="false" customHeight="false" outlineLevel="0" collapsed="false">
      <c r="A531" s="4" t="s">
        <v>450</v>
      </c>
      <c r="B531" s="0" t="s">
        <v>146</v>
      </c>
      <c r="C531" s="22" t="n">
        <f aca="false">a25_opx</f>
        <v>21.301</v>
      </c>
      <c r="D531" s="22" t="n">
        <f aca="false">a26_opx</f>
        <v>25.21033346</v>
      </c>
      <c r="E531" s="22" t="n">
        <f aca="false">D531*(1+MAX(0,phi*E523))</f>
        <v>33.0872714105347</v>
      </c>
      <c r="F531" s="22" t="n">
        <f aca="false">E531*(1+MAX(0,phi*F523))</f>
        <v>35.1875695504215</v>
      </c>
      <c r="G531" s="22" t="n">
        <f aca="false">F531*(1+MAX(0,phi*G523))</f>
        <v>39.2473900170088</v>
      </c>
    </row>
    <row r="532" customFormat="false" ht="15" hidden="false" customHeight="false" outlineLevel="0" collapsed="false">
      <c r="A532" s="4" t="s">
        <v>337</v>
      </c>
      <c r="B532" s="0" t="s">
        <v>146</v>
      </c>
      <c r="C532" s="22" t="n">
        <f aca="false">C531</f>
        <v>21.301</v>
      </c>
      <c r="D532" s="22" t="n">
        <f aca="false">D531</f>
        <v>25.21033346</v>
      </c>
      <c r="E532" s="22" t="n">
        <f aca="false">E531+opx_adj_hi*E522</f>
        <v>36.1641245164965</v>
      </c>
      <c r="F532" s="22" t="n">
        <f aca="false">F531+opx_adj_hi*F522</f>
        <v>38.5434384047214</v>
      </c>
      <c r="G532" s="22" t="n">
        <f aca="false">G531+opx_adj_hi*G522</f>
        <v>43.1563854129475</v>
      </c>
    </row>
    <row r="533" customFormat="false" ht="15" hidden="false" customHeight="false" outlineLevel="0" collapsed="false">
      <c r="A533" s="4" t="s">
        <v>340</v>
      </c>
      <c r="B533" s="0" t="s">
        <v>146</v>
      </c>
      <c r="C533" s="22" t="n">
        <f aca="false">C529-C532</f>
        <v>16.738</v>
      </c>
      <c r="D533" s="22" t="n">
        <f aca="false">D529-D532</f>
        <v>28.86224874</v>
      </c>
      <c r="E533" s="22" t="n">
        <f aca="false">E529-E532</f>
        <v>49.3777998241198</v>
      </c>
      <c r="F533" s="22" t="n">
        <f aca="false">F529-F532</f>
        <v>55.8565461090086</v>
      </c>
      <c r="G533" s="22" t="n">
        <f aca="false">G529-G532</f>
        <v>69.3223805148649</v>
      </c>
    </row>
    <row r="534" customFormat="false" ht="15" hidden="false" customHeight="false" outlineLevel="0" collapsed="false">
      <c r="A534" s="4" t="s">
        <v>342</v>
      </c>
      <c r="B534" s="0" t="s">
        <v>49</v>
      </c>
      <c r="C534" s="17" t="n">
        <f aca="false">C533/C522</f>
        <v>0.100779721227083</v>
      </c>
      <c r="D534" s="17" t="n">
        <f aca="false">D533/D522</f>
        <v>0.135674560703219</v>
      </c>
      <c r="E534" s="17" t="n">
        <f aca="false">E533/E522</f>
        <v>0.160481498867934</v>
      </c>
      <c r="F534" s="17" t="n">
        <f aca="false">F533/F522</f>
        <v>0.166444365182621</v>
      </c>
      <c r="G534" s="17" t="n">
        <f aca="false">G533/G522</f>
        <v>0.177340655317444</v>
      </c>
    </row>
    <row r="535" customFormat="false" ht="15" hidden="false" customHeight="false" outlineLevel="0" collapsed="false">
      <c r="A535" s="4" t="s">
        <v>344</v>
      </c>
      <c r="B535" s="0" t="s">
        <v>146</v>
      </c>
      <c r="C535" s="22" t="n">
        <f aca="false">a25_nop</f>
        <v>2.9762895</v>
      </c>
      <c r="D535" s="22" t="n">
        <f aca="false">a26_nop</f>
        <v>3.839</v>
      </c>
      <c r="E535" s="22" t="n">
        <f aca="false">nop_f</f>
        <v>3.5</v>
      </c>
      <c r="F535" s="22" t="n">
        <f aca="false">nop_f</f>
        <v>3.5</v>
      </c>
      <c r="G535" s="22" t="n">
        <f aca="false">nop_f</f>
        <v>3.5</v>
      </c>
    </row>
    <row r="536" customFormat="false" ht="17.15" hidden="false" customHeight="false" outlineLevel="0" collapsed="false">
      <c r="A536" s="4" t="s">
        <v>451</v>
      </c>
      <c r="B536" s="0" t="s">
        <v>49</v>
      </c>
      <c r="C536" s="17" t="n">
        <f aca="false">a25_ni/a25_pt</f>
        <v>0.766753475949514</v>
      </c>
      <c r="D536" s="17" t="n">
        <f aca="false">a26_ni/a26_pt</f>
        <v>0.759431002022174</v>
      </c>
      <c r="E536" s="17" t="n">
        <f aca="false">nir_f</f>
        <v>0.76</v>
      </c>
      <c r="F536" s="17" t="n">
        <f aca="false">nir_f</f>
        <v>0.76</v>
      </c>
      <c r="G536" s="17" t="n">
        <f aca="false">nir_f</f>
        <v>0.76</v>
      </c>
    </row>
    <row r="537" customFormat="false" ht="15" hidden="false" customHeight="false" outlineLevel="0" collapsed="false">
      <c r="A537" s="4" t="s">
        <v>349</v>
      </c>
      <c r="B537" s="0" t="s">
        <v>146</v>
      </c>
      <c r="C537" s="22" t="n">
        <f aca="false">a25_ni</f>
        <v>15.116</v>
      </c>
      <c r="D537" s="22" t="n">
        <f aca="false">a26_ni</f>
        <v>24.8343420979946</v>
      </c>
      <c r="E537" s="22" t="n">
        <f aca="false">(E533+E535)*E536</f>
        <v>40.187127866331</v>
      </c>
      <c r="F537" s="22" t="n">
        <f aca="false">(F533+F535)*F536</f>
        <v>45.1109750428465</v>
      </c>
      <c r="G537" s="22" t="n">
        <f aca="false">(G533+G535)*G536</f>
        <v>55.3450091912974</v>
      </c>
      <c r="H537" s="24" t="n">
        <f aca="false">H522*H541</f>
        <v>57.1177999689692</v>
      </c>
      <c r="I537" s="24" t="n">
        <f aca="false">I522*I541</f>
        <v>56.3206345637578</v>
      </c>
      <c r="J537" s="24" t="n">
        <f aca="false">J522*J541</f>
        <v>52.8966947284279</v>
      </c>
    </row>
    <row r="538" customFormat="false" ht="15" hidden="false" customHeight="false" outlineLevel="0" collapsed="false">
      <c r="A538" s="4" t="s">
        <v>452</v>
      </c>
      <c r="B538" s="4" t="s">
        <v>176</v>
      </c>
      <c r="C538" s="27" t="n">
        <f aca="false">a25_sh</f>
        <v>2.27650602409639</v>
      </c>
      <c r="D538" s="27" t="n">
        <f aca="false">a26_sh</f>
        <v>2.26895833333333</v>
      </c>
      <c r="E538" s="27" t="n">
        <f aca="false">D538*(1+sh_g)</f>
        <v>2.26895833333333</v>
      </c>
      <c r="F538" s="27" t="n">
        <f aca="false">E538*(1+sh_g)</f>
        <v>2.26895833333333</v>
      </c>
      <c r="G538" s="27" t="n">
        <f aca="false">F538*(1+sh_g)</f>
        <v>2.26895833333333</v>
      </c>
      <c r="H538" s="28" t="n">
        <f aca="false">G538*(1+sh_g)</f>
        <v>2.26895833333333</v>
      </c>
      <c r="I538" s="28" t="n">
        <f aca="false">H538*(1+sh_g)</f>
        <v>2.26895833333333</v>
      </c>
      <c r="J538" s="28" t="n">
        <f aca="false">I538*(1+sh_g)</f>
        <v>2.26895833333333</v>
      </c>
    </row>
    <row r="539" customFormat="false" ht="15" hidden="false" customHeight="false" outlineLevel="0" collapsed="false">
      <c r="A539" s="0" t="s">
        <v>355</v>
      </c>
      <c r="B539" s="0" t="s">
        <v>209</v>
      </c>
      <c r="C539" s="23" t="n">
        <f aca="false">C537/C538</f>
        <v>6.64</v>
      </c>
      <c r="D539" s="23" t="n">
        <f aca="false">D537/D538</f>
        <v>10.9452614149641</v>
      </c>
      <c r="E539" s="23" t="n">
        <f aca="false">E537/E538</f>
        <v>17.7117081772462</v>
      </c>
      <c r="F539" s="23" t="n">
        <f aca="false">F537/F538</f>
        <v>19.8817996699718</v>
      </c>
      <c r="G539" s="23" t="n">
        <f aca="false">G537/G538</f>
        <v>24.392254532938</v>
      </c>
      <c r="H539" s="29" t="n">
        <f aca="false">H537/H538</f>
        <v>25.1735781701453</v>
      </c>
      <c r="I539" s="29" t="n">
        <f aca="false">I537/I538</f>
        <v>24.8222427606315</v>
      </c>
      <c r="J539" s="29" t="n">
        <f aca="false">J537/J538</f>
        <v>23.313206748366</v>
      </c>
    </row>
    <row r="540" customFormat="false" ht="17.15" hidden="false" customHeight="false" outlineLevel="0" collapsed="false">
      <c r="A540" s="0" t="s">
        <v>453</v>
      </c>
      <c r="B540" s="0" t="s">
        <v>49</v>
      </c>
      <c r="D540" s="17" t="n">
        <f aca="false">D539/C539-1</f>
        <v>0.648382743217484</v>
      </c>
      <c r="E540" s="17" t="n">
        <f aca="false">E539/D539-1</f>
        <v>0.618207871493251</v>
      </c>
      <c r="F540" s="17" t="n">
        <f aca="false">F539/E539-1</f>
        <v>0.122522992757607</v>
      </c>
      <c r="G540" s="17" t="n">
        <f aca="false">G539/F539-1</f>
        <v>0.226863510237376</v>
      </c>
      <c r="H540" s="25" t="n">
        <f aca="false">H539/G539-1</f>
        <v>0.0320316285709572</v>
      </c>
      <c r="I540" s="25" t="n">
        <f aca="false">I539/H539-1</f>
        <v>-0.0139565145303995</v>
      </c>
      <c r="J540" s="25" t="n">
        <f aca="false">J539/I539-1</f>
        <v>-0.0607937013112644</v>
      </c>
    </row>
    <row r="541" customFormat="false" ht="17.15" hidden="false" customHeight="false" outlineLevel="0" collapsed="false">
      <c r="A541" s="4" t="s">
        <v>454</v>
      </c>
      <c r="B541" s="0" t="s">
        <v>49</v>
      </c>
      <c r="C541" s="17" t="n">
        <f aca="false">C537/C522</f>
        <v>0.0910136375952073</v>
      </c>
      <c r="D541" s="17" t="n">
        <f aca="false">D537/D522</f>
        <v>0.116740330417472</v>
      </c>
      <c r="E541" s="17" t="n">
        <f aca="false">E537/E522</f>
        <v>0.130611135736263</v>
      </c>
      <c r="F541" s="17" t="n">
        <f aca="false">F537/F522</f>
        <v>0.134424129789949</v>
      </c>
      <c r="G541" s="17" t="n">
        <f aca="false">G537/G522</f>
        <v>0.141583715470215</v>
      </c>
      <c r="H541" s="25" t="n">
        <f aca="false">$G541+(fade_mB-$G541)*1/3</f>
        <v>0.130089762891846</v>
      </c>
      <c r="I541" s="25" t="n">
        <f aca="false">$G541+(fade_mB-$G541)*2/3</f>
        <v>0.118595810313477</v>
      </c>
      <c r="J541" s="25" t="n">
        <f aca="false">$G541+(fade_mB-$G541)*3/3</f>
        <v>0.107101857735107</v>
      </c>
    </row>
    <row r="544" customFormat="false" ht="17.15" hidden="false" customHeight="false" outlineLevel="0" collapsed="false">
      <c r="A544" s="1" t="s">
        <v>740</v>
      </c>
    </row>
    <row r="545" customFormat="false" ht="17.15" hidden="false" customHeight="false" outlineLevel="0" collapsed="false">
      <c r="A545" s="5" t="s">
        <v>18</v>
      </c>
      <c r="B545" s="5" t="s">
        <v>19</v>
      </c>
      <c r="C545" s="14" t="s">
        <v>323</v>
      </c>
      <c r="D545" s="14" t="s">
        <v>407</v>
      </c>
      <c r="E545" s="14" t="s">
        <v>408</v>
      </c>
      <c r="F545" s="14" t="s">
        <v>409</v>
      </c>
      <c r="G545" s="14" t="s">
        <v>410</v>
      </c>
      <c r="H545" s="14" t="s">
        <v>411</v>
      </c>
      <c r="I545" s="14" t="s">
        <v>412</v>
      </c>
      <c r="J545" s="14" t="s">
        <v>413</v>
      </c>
      <c r="K545" s="5" t="s">
        <v>380</v>
      </c>
    </row>
    <row r="546" customFormat="false" ht="17.15" hidden="false" customHeight="false" outlineLevel="0" collapsed="false">
      <c r="A546" s="6" t="s">
        <v>428</v>
      </c>
    </row>
    <row r="547" customFormat="false" ht="17.15" hidden="false" customHeight="false" outlineLevel="0" collapsed="false">
      <c r="A547" s="0" t="s">
        <v>429</v>
      </c>
      <c r="B547" s="0" t="s">
        <v>29</v>
      </c>
      <c r="D547" s="23" t="n">
        <f aca="false">itc_26*1</f>
        <v>781.872916666667</v>
      </c>
      <c r="E547" s="23" t="n">
        <f aca="false">itc_27*1*1</f>
        <v>1565.35</v>
      </c>
      <c r="F547" s="23" t="n">
        <f aca="false">itc_28*um28_B*1</f>
        <v>1587.41111111111</v>
      </c>
      <c r="G547" s="23" t="n">
        <f aca="false">itc_29*um29_B*1</f>
        <v>1921.33173611111</v>
      </c>
    </row>
    <row r="548" customFormat="false" ht="17.15" hidden="false" customHeight="false" outlineLevel="0" collapsed="false">
      <c r="A548" s="4" t="s">
        <v>430</v>
      </c>
      <c r="B548" s="0" t="s">
        <v>29</v>
      </c>
      <c r="D548" s="23" t="n">
        <f aca="false">itpg_gb*(1-vr26)+itpg_vr*vr26</f>
        <v>33.41403216</v>
      </c>
      <c r="E548" s="23" t="n">
        <f aca="false">itpg_vr</f>
        <v>37.586352</v>
      </c>
      <c r="F548" s="23" t="n">
        <f aca="false">itpg_vr</f>
        <v>37.586352</v>
      </c>
      <c r="G548" s="23" t="n">
        <f aca="false">itpg_vr</f>
        <v>37.586352</v>
      </c>
    </row>
    <row r="549" customFormat="false" ht="17.15" hidden="false" customHeight="false" outlineLevel="0" collapsed="false">
      <c r="A549" s="4" t="s">
        <v>431</v>
      </c>
      <c r="B549" s="0" t="s">
        <v>382</v>
      </c>
      <c r="D549" s="20" t="n">
        <f aca="false">D547/D548</f>
        <v>23.3995380420639</v>
      </c>
      <c r="E549" s="20" t="n">
        <f aca="false">E547/E548</f>
        <v>41.6467658260637</v>
      </c>
      <c r="F549" s="20" t="n">
        <f aca="false">F547/F548</f>
        <v>42.2337105529984</v>
      </c>
      <c r="G549" s="20" t="n">
        <f aca="false">G547/G548</f>
        <v>51.1178029756948</v>
      </c>
    </row>
    <row r="550" customFormat="false" ht="17.15" hidden="false" customHeight="false" outlineLevel="0" collapsed="false">
      <c r="A550" s="0" t="s">
        <v>384</v>
      </c>
      <c r="B550" s="0" t="s">
        <v>87</v>
      </c>
      <c r="D550" s="21" t="n">
        <f aca="false">pkw_26</f>
        <v>450</v>
      </c>
      <c r="E550" s="21" t="n">
        <f aca="false">pkw_27</f>
        <v>600</v>
      </c>
      <c r="F550" s="21" t="n">
        <f aca="false">pkw_28</f>
        <v>680</v>
      </c>
      <c r="G550" s="21" t="n">
        <f aca="false">pkw_29</f>
        <v>720</v>
      </c>
    </row>
    <row r="551" customFormat="false" ht="17.15" hidden="false" customHeight="false" outlineLevel="0" collapsed="false">
      <c r="A551" s="0" t="s">
        <v>432</v>
      </c>
      <c r="B551" s="0" t="s">
        <v>29</v>
      </c>
      <c r="D551" s="23" t="n">
        <f aca="false">D549*D550/1000</f>
        <v>10.5297921189288</v>
      </c>
      <c r="E551" s="23" t="n">
        <f aca="false">E549*E550/1000</f>
        <v>24.9880594956382</v>
      </c>
      <c r="F551" s="23" t="n">
        <f aca="false">F549*F550/1000</f>
        <v>28.7189231760389</v>
      </c>
      <c r="G551" s="23" t="n">
        <f aca="false">G549*G550/1000</f>
        <v>36.8048181425003</v>
      </c>
    </row>
    <row r="552" customFormat="false" ht="17.15" hidden="false" customHeight="false" outlineLevel="0" collapsed="false">
      <c r="A552" s="0" t="s">
        <v>433</v>
      </c>
      <c r="B552" s="0" t="s">
        <v>146</v>
      </c>
      <c r="D552" s="22" t="n">
        <f aca="false">D551*fx</f>
        <v>336.95334780572</v>
      </c>
      <c r="E552" s="22" t="n">
        <f aca="false">E551*fx</f>
        <v>799.617903860422</v>
      </c>
      <c r="F552" s="22" t="n">
        <f aca="false">F551*fx</f>
        <v>919.005541633245</v>
      </c>
      <c r="G552" s="22" t="n">
        <f aca="false">G551*fx</f>
        <v>1177.75418056001</v>
      </c>
    </row>
    <row r="553" customFormat="false" ht="17.15" hidden="false" customHeight="false" outlineLevel="0" collapsed="false">
      <c r="A553" s="4" t="s">
        <v>434</v>
      </c>
      <c r="B553" s="0" t="s">
        <v>49</v>
      </c>
      <c r="D553" s="17" t="n">
        <f aca="false">a26_aip/D552</f>
        <v>0.176143316327046</v>
      </c>
      <c r="K553" s="8" t="s">
        <v>435</v>
      </c>
    </row>
    <row r="554" customFormat="false" ht="17.15" hidden="false" customHeight="false" outlineLevel="0" collapsed="false">
      <c r="A554" s="4" t="s">
        <v>436</v>
      </c>
      <c r="B554" s="0" t="s">
        <v>60</v>
      </c>
      <c r="D554" s="18" t="n">
        <f aca="false">1</f>
        <v>1</v>
      </c>
      <c r="E554" s="18" t="n">
        <f aca="false">rel_27</f>
        <v>1</v>
      </c>
      <c r="F554" s="18" t="n">
        <f aca="false">rel_28</f>
        <v>1</v>
      </c>
      <c r="G554" s="18" t="n">
        <f aca="false">rel_29</f>
        <v>1</v>
      </c>
    </row>
    <row r="555" customFormat="false" ht="15" hidden="false" customHeight="false" outlineLevel="0" collapsed="false">
      <c r="A555" s="4" t="s">
        <v>390</v>
      </c>
      <c r="B555" s="0" t="s">
        <v>49</v>
      </c>
      <c r="D555" s="17" t="n">
        <f aca="false">$D$553*D554</f>
        <v>0.176143316327046</v>
      </c>
      <c r="E555" s="17" t="n">
        <f aca="false">$D$553*E554</f>
        <v>0.176143316327046</v>
      </c>
      <c r="F555" s="17" t="n">
        <f aca="false">$D$553*F554</f>
        <v>0.176143316327046</v>
      </c>
      <c r="G555" s="17" t="n">
        <f aca="false">$D$553*G554</f>
        <v>0.176143316327046</v>
      </c>
    </row>
    <row r="556" customFormat="false" ht="17.15" hidden="false" customHeight="false" outlineLevel="0" collapsed="false">
      <c r="A556" s="0" t="s">
        <v>437</v>
      </c>
      <c r="B556" s="0" t="s">
        <v>146</v>
      </c>
      <c r="C556" s="22" t="n">
        <f aca="false">a25_aip</f>
        <v>31.390065</v>
      </c>
      <c r="D556" s="22" t="n">
        <f aca="false">D552*D555</f>
        <v>59.35208013</v>
      </c>
      <c r="E556" s="22" t="n">
        <f aca="false">E552*E555</f>
        <v>140.847349380455</v>
      </c>
      <c r="F556" s="22" t="n">
        <f aca="false">F552*F555</f>
        <v>161.876683826213</v>
      </c>
      <c r="G556" s="22" t="n">
        <f aca="false">G552*G555</f>
        <v>207.453527181882</v>
      </c>
    </row>
    <row r="557" customFormat="false" ht="17.15" hidden="false" customHeight="false" outlineLevel="0" collapsed="false">
      <c r="A557" s="0" t="s">
        <v>438</v>
      </c>
      <c r="B557" s="0" t="s">
        <v>146</v>
      </c>
      <c r="C557" s="22" t="n">
        <f aca="false">a25_ai</f>
        <v>34.87785</v>
      </c>
      <c r="D557" s="22" t="n">
        <f aca="false">D556/(1-x_np)</f>
        <v>65.9467557</v>
      </c>
      <c r="E557" s="22" t="n">
        <f aca="false">E556/(1-x_np)</f>
        <v>156.497054867173</v>
      </c>
      <c r="F557" s="22" t="n">
        <f aca="false">F556/(1-x_np)</f>
        <v>179.862982029125</v>
      </c>
      <c r="G557" s="22" t="n">
        <f aca="false">G556/(1-x_np)</f>
        <v>230.50391909098</v>
      </c>
      <c r="K557" s="4" t="s">
        <v>439</v>
      </c>
    </row>
    <row r="558" customFormat="false" ht="17.15" hidden="false" customHeight="false" outlineLevel="0" collapsed="false">
      <c r="A558" s="6" t="s">
        <v>440</v>
      </c>
    </row>
    <row r="559" customFormat="false" ht="17.15" hidden="false" customHeight="false" outlineLevel="0" collapsed="false">
      <c r="A559" s="4" t="s">
        <v>441</v>
      </c>
      <c r="B559" s="0" t="s">
        <v>146</v>
      </c>
      <c r="C559" s="22" t="n">
        <f aca="false">a25_nai</f>
        <v>131.20715</v>
      </c>
      <c r="D559" s="22" t="n">
        <f aca="false">a26_nai</f>
        <v>146.7847143</v>
      </c>
      <c r="E559" s="22" t="n">
        <f aca="false">D559*(1+g_nai27)</f>
        <v>151.188255729</v>
      </c>
      <c r="F559" s="22" t="n">
        <f aca="false">E559*(1+g_nai28)</f>
        <v>155.72390340087</v>
      </c>
      <c r="G559" s="22" t="n">
        <f aca="false">F559*(1+g_nai29)</f>
        <v>160.395620502896</v>
      </c>
    </row>
    <row r="560" customFormat="false" ht="17.15" hidden="false" customHeight="false" outlineLevel="0" collapsed="false">
      <c r="A560" s="4" t="s">
        <v>328</v>
      </c>
      <c r="B560" s="0" t="s">
        <v>146</v>
      </c>
      <c r="C560" s="22" t="n">
        <f aca="false">C557+C559</f>
        <v>166.085</v>
      </c>
      <c r="D560" s="22" t="n">
        <f aca="false">D557+D559</f>
        <v>212.73147</v>
      </c>
      <c r="E560" s="22" t="n">
        <f aca="false">E557+E559</f>
        <v>307.685310596173</v>
      </c>
      <c r="F560" s="22" t="n">
        <f aca="false">F557+F559</f>
        <v>335.586885429995</v>
      </c>
      <c r="G560" s="22" t="n">
        <f aca="false">G557+G559</f>
        <v>390.899539593876</v>
      </c>
      <c r="H560" s="24" t="n">
        <f aca="false">G560*(1+H561)</f>
        <v>439.064525134509</v>
      </c>
      <c r="I560" s="24" t="n">
        <f aca="false">H560*(1+I561)</f>
        <v>474.895651160772</v>
      </c>
      <c r="J560" s="24" t="n">
        <f aca="false">I560*(1+J561)</f>
        <v>493.891477207202</v>
      </c>
      <c r="K560" s="8" t="s">
        <v>442</v>
      </c>
    </row>
    <row r="561" customFormat="false" ht="15" hidden="false" customHeight="false" outlineLevel="0" collapsed="false">
      <c r="A561" s="4" t="s">
        <v>443</v>
      </c>
      <c r="B561" s="0" t="s">
        <v>49</v>
      </c>
      <c r="D561" s="17" t="n">
        <f aca="false">D560/C560-1</f>
        <v>0.280859017972725</v>
      </c>
      <c r="E561" s="17" t="n">
        <f aca="false">E560/D560-1</f>
        <v>0.446355400995315</v>
      </c>
      <c r="F561" s="17" t="n">
        <f aca="false">F560/E560-1</f>
        <v>0.0906821803737075</v>
      </c>
      <c r="G561" s="17" t="n">
        <f aca="false">G560/F560-1</f>
        <v>0.164823646469401</v>
      </c>
      <c r="H561" s="25" t="n">
        <f aca="false">$G561+(fade_gB-$G561)*1/3</f>
        <v>0.123215764312934</v>
      </c>
      <c r="I561" s="25" t="n">
        <f aca="false">$G561+(fade_gB-$G561)*2/3</f>
        <v>0.081607882156467</v>
      </c>
      <c r="J561" s="25" t="n">
        <f aca="false">$G561+(fade_gB-$G561)*3/3</f>
        <v>0.04</v>
      </c>
    </row>
    <row r="562" customFormat="false" ht="17.15" hidden="false" customHeight="false" outlineLevel="0" collapsed="false">
      <c r="A562" s="0" t="s">
        <v>444</v>
      </c>
      <c r="B562" s="0" t="s">
        <v>49</v>
      </c>
      <c r="C562" s="17" t="n">
        <f aca="false">C557/C560</f>
        <v>0.21</v>
      </c>
      <c r="D562" s="17" t="n">
        <f aca="false">D557/D560</f>
        <v>0.31</v>
      </c>
      <c r="E562" s="17" t="n">
        <f aca="false">E557/E560</f>
        <v>0.508626994782244</v>
      </c>
      <c r="F562" s="17" t="n">
        <f aca="false">F557/F560</f>
        <v>0.535965467776438</v>
      </c>
      <c r="G562" s="17" t="n">
        <f aca="false">G557/G560</f>
        <v>0.58967559626819</v>
      </c>
    </row>
    <row r="563" customFormat="false" ht="17.15" hidden="false" customHeight="false" outlineLevel="0" collapsed="false">
      <c r="A563" s="4" t="s">
        <v>401</v>
      </c>
      <c r="B563" s="0" t="s">
        <v>402</v>
      </c>
      <c r="D563" s="21" t="n">
        <f aca="false">D557/fx/D549*1000</f>
        <v>88.0716581635228</v>
      </c>
      <c r="E563" s="21" t="n">
        <f aca="false">E557/fx/E549*1000</f>
        <v>117.428877551364</v>
      </c>
      <c r="F563" s="21" t="n">
        <f aca="false">F557/fx/F549*1000</f>
        <v>133.086061224879</v>
      </c>
      <c r="G563" s="21" t="n">
        <f aca="false">G557/fx/G549*1000</f>
        <v>140.914653061636</v>
      </c>
    </row>
    <row r="564" customFormat="false" ht="17.15" hidden="false" customHeight="false" outlineLevel="0" collapsed="false">
      <c r="A564" s="6" t="s">
        <v>445</v>
      </c>
    </row>
    <row r="565" customFormat="false" ht="17.15" hidden="false" customHeight="false" outlineLevel="0" collapsed="false">
      <c r="A565" s="4" t="s">
        <v>446</v>
      </c>
      <c r="B565" s="0" t="s">
        <v>49</v>
      </c>
      <c r="D565" s="17" t="n">
        <f aca="false">a26_gp/D560-d_ai*D562</f>
        <v>0.216982337009188</v>
      </c>
      <c r="K565" s="8" t="s">
        <v>447</v>
      </c>
    </row>
    <row r="566" customFormat="false" ht="17.15" hidden="false" customHeight="false" outlineLevel="0" collapsed="false">
      <c r="A566" s="0" t="s">
        <v>448</v>
      </c>
      <c r="B566" s="0" t="s">
        <v>49</v>
      </c>
      <c r="D566" s="17" t="n">
        <f aca="false">D565+d_ai</f>
        <v>0.336982337009188</v>
      </c>
      <c r="E566" s="17" t="n">
        <f aca="false">$D$566+gmu_27</f>
        <v>0.336982337009188</v>
      </c>
      <c r="F566" s="17" t="n">
        <f aca="false">$D$566+gmu_28</f>
        <v>0.336982337009188</v>
      </c>
      <c r="G566" s="17" t="n">
        <f aca="false">$D$566+gmu_29</f>
        <v>0.336982337009188</v>
      </c>
      <c r="K566" s="4" t="s">
        <v>449</v>
      </c>
    </row>
    <row r="567" customFormat="false" ht="15" hidden="false" customHeight="false" outlineLevel="0" collapsed="false">
      <c r="A567" s="4" t="s">
        <v>332</v>
      </c>
      <c r="B567" s="0" t="s">
        <v>146</v>
      </c>
      <c r="C567" s="22" t="n">
        <f aca="false">a25_gp</f>
        <v>38.039</v>
      </c>
      <c r="D567" s="22" t="n">
        <f aca="false">a26_gp</f>
        <v>54.0725822</v>
      </c>
      <c r="E567" s="22" t="n">
        <f aca="false">E557*E566+E559*$D$565</f>
        <v>85.5419243406162</v>
      </c>
      <c r="F567" s="22" t="n">
        <f aca="false">F557*F566+F559*$D$565</f>
        <v>94.39998451373</v>
      </c>
      <c r="G567" s="22" t="n">
        <f aca="false">G557*G566+G559*$D$565</f>
        <v>112.478765927812</v>
      </c>
    </row>
    <row r="568" customFormat="false" ht="15" hidden="false" customHeight="false" outlineLevel="0" collapsed="false">
      <c r="A568" s="4" t="s">
        <v>335</v>
      </c>
      <c r="B568" s="0" t="s">
        <v>49</v>
      </c>
      <c r="C568" s="17" t="n">
        <f aca="false">C567/C560</f>
        <v>0.229033326308818</v>
      </c>
      <c r="D568" s="17" t="n">
        <f aca="false">D567/D560</f>
        <v>0.254182337009188</v>
      </c>
      <c r="E568" s="17" t="n">
        <f aca="false">E567/E560</f>
        <v>0.278017576383058</v>
      </c>
      <c r="F568" s="17" t="n">
        <f aca="false">F567/F560</f>
        <v>0.281298193142361</v>
      </c>
      <c r="G568" s="17" t="n">
        <f aca="false">G567/G560</f>
        <v>0.287743408561371</v>
      </c>
    </row>
    <row r="569" customFormat="false" ht="15" hidden="false" customHeight="false" outlineLevel="0" collapsed="false">
      <c r="A569" s="4" t="s">
        <v>450</v>
      </c>
      <c r="B569" s="0" t="s">
        <v>146</v>
      </c>
      <c r="C569" s="22" t="n">
        <f aca="false">a25_opx</f>
        <v>21.301</v>
      </c>
      <c r="D569" s="22" t="n">
        <f aca="false">a26_opx</f>
        <v>25.21033346</v>
      </c>
      <c r="E569" s="22" t="n">
        <f aca="false">D569*(1+MAX(0,phi_hi*E561))</f>
        <v>36.4631019607639</v>
      </c>
      <c r="F569" s="22" t="n">
        <f aca="false">E569*(1+MAX(0,phi_hi*F561))</f>
        <v>39.7696555497548</v>
      </c>
      <c r="G569" s="22" t="n">
        <f aca="false">F569*(1+MAX(0,phi_hi*G561))</f>
        <v>46.3246351962974</v>
      </c>
    </row>
    <row r="570" customFormat="false" ht="15" hidden="false" customHeight="false" outlineLevel="0" collapsed="false">
      <c r="A570" s="4" t="s">
        <v>337</v>
      </c>
      <c r="B570" s="0" t="s">
        <v>146</v>
      </c>
      <c r="C570" s="22" t="n">
        <f aca="false">C569</f>
        <v>21.301</v>
      </c>
      <c r="D570" s="22" t="n">
        <f aca="false">D569</f>
        <v>25.21033346</v>
      </c>
      <c r="E570" s="22" t="n">
        <f aca="false">E569+0*E560</f>
        <v>36.4631019607639</v>
      </c>
      <c r="F570" s="22" t="n">
        <f aca="false">F569+0*F560</f>
        <v>39.7696555497548</v>
      </c>
      <c r="G570" s="22" t="n">
        <f aca="false">G569+0*G560</f>
        <v>46.3246351962974</v>
      </c>
    </row>
    <row r="571" customFormat="false" ht="15" hidden="false" customHeight="false" outlineLevel="0" collapsed="false">
      <c r="A571" s="4" t="s">
        <v>340</v>
      </c>
      <c r="B571" s="0" t="s">
        <v>146</v>
      </c>
      <c r="C571" s="22" t="n">
        <f aca="false">C567-C570</f>
        <v>16.738</v>
      </c>
      <c r="D571" s="22" t="n">
        <f aca="false">D567-D570</f>
        <v>28.86224874</v>
      </c>
      <c r="E571" s="22" t="n">
        <f aca="false">E567-E570</f>
        <v>49.0788223798523</v>
      </c>
      <c r="F571" s="22" t="n">
        <f aca="false">F567-F570</f>
        <v>54.6303289639752</v>
      </c>
      <c r="G571" s="22" t="n">
        <f aca="false">G567-G570</f>
        <v>66.1541307315151</v>
      </c>
    </row>
    <row r="572" customFormat="false" ht="15" hidden="false" customHeight="false" outlineLevel="0" collapsed="false">
      <c r="A572" s="4" t="s">
        <v>342</v>
      </c>
      <c r="B572" s="0" t="s">
        <v>49</v>
      </c>
      <c r="C572" s="17" t="n">
        <f aca="false">C571/C560</f>
        <v>0.100779721227083</v>
      </c>
      <c r="D572" s="17" t="n">
        <f aca="false">D571/D560</f>
        <v>0.135674560703219</v>
      </c>
      <c r="E572" s="17" t="n">
        <f aca="false">E571/E560</f>
        <v>0.159509800077088</v>
      </c>
      <c r="F572" s="17" t="n">
        <f aca="false">F571/F560</f>
        <v>0.162790416836391</v>
      </c>
      <c r="G572" s="17" t="n">
        <f aca="false">G571/G560</f>
        <v>0.169235632255402</v>
      </c>
    </row>
    <row r="573" customFormat="false" ht="15" hidden="false" customHeight="false" outlineLevel="0" collapsed="false">
      <c r="A573" s="4" t="s">
        <v>344</v>
      </c>
      <c r="B573" s="0" t="s">
        <v>146</v>
      </c>
      <c r="C573" s="22" t="n">
        <f aca="false">a25_nop</f>
        <v>2.9762895</v>
      </c>
      <c r="D573" s="22" t="n">
        <f aca="false">a26_nop</f>
        <v>3.839</v>
      </c>
      <c r="E573" s="22" t="n">
        <f aca="false">nop_f</f>
        <v>3.5</v>
      </c>
      <c r="F573" s="22" t="n">
        <f aca="false">nop_f</f>
        <v>3.5</v>
      </c>
      <c r="G573" s="22" t="n">
        <f aca="false">nop_f</f>
        <v>3.5</v>
      </c>
    </row>
    <row r="574" customFormat="false" ht="17.15" hidden="false" customHeight="false" outlineLevel="0" collapsed="false">
      <c r="A574" s="4" t="s">
        <v>451</v>
      </c>
      <c r="B574" s="0" t="s">
        <v>49</v>
      </c>
      <c r="C574" s="17" t="n">
        <f aca="false">a25_ni/a25_pt</f>
        <v>0.766753475949514</v>
      </c>
      <c r="D574" s="17" t="n">
        <f aca="false">a26_ni/a26_pt</f>
        <v>0.759431002022174</v>
      </c>
      <c r="E574" s="17" t="n">
        <f aca="false">nir_f</f>
        <v>0.76</v>
      </c>
      <c r="F574" s="17" t="n">
        <f aca="false">nir_f</f>
        <v>0.76</v>
      </c>
      <c r="G574" s="17" t="n">
        <f aca="false">nir_f</f>
        <v>0.76</v>
      </c>
    </row>
    <row r="575" customFormat="false" ht="15" hidden="false" customHeight="false" outlineLevel="0" collapsed="false">
      <c r="A575" s="4" t="s">
        <v>349</v>
      </c>
      <c r="B575" s="0" t="s">
        <v>146</v>
      </c>
      <c r="C575" s="22" t="n">
        <f aca="false">a25_ni</f>
        <v>15.116</v>
      </c>
      <c r="D575" s="22" t="n">
        <f aca="false">a26_ni</f>
        <v>24.8343420979946</v>
      </c>
      <c r="E575" s="22" t="n">
        <f aca="false">(E571+E573)*E574</f>
        <v>39.9599050086878</v>
      </c>
      <c r="F575" s="22" t="n">
        <f aca="false">(F571+F573)*F574</f>
        <v>44.1790500126212</v>
      </c>
      <c r="G575" s="22" t="n">
        <f aca="false">(G571+G573)*G574</f>
        <v>52.9371393559515</v>
      </c>
      <c r="H575" s="24" t="n">
        <f aca="false">H560*H579</f>
        <v>55.3147617306531</v>
      </c>
      <c r="I575" s="24" t="n">
        <f aca="false">I560*I579</f>
        <v>55.3455443785618</v>
      </c>
      <c r="J575" s="24" t="n">
        <f aca="false">J560*J579</f>
        <v>52.8966947284279</v>
      </c>
    </row>
    <row r="576" customFormat="false" ht="15" hidden="false" customHeight="false" outlineLevel="0" collapsed="false">
      <c r="A576" s="4" t="s">
        <v>452</v>
      </c>
      <c r="B576" s="4" t="s">
        <v>176</v>
      </c>
      <c r="C576" s="27" t="n">
        <f aca="false">a25_sh</f>
        <v>2.27650602409639</v>
      </c>
      <c r="D576" s="27" t="n">
        <f aca="false">a26_sh</f>
        <v>2.26895833333333</v>
      </c>
      <c r="E576" s="27" t="n">
        <f aca="false">D576*(1+sh_g)</f>
        <v>2.26895833333333</v>
      </c>
      <c r="F576" s="27" t="n">
        <f aca="false">E576*(1+sh_g)</f>
        <v>2.26895833333333</v>
      </c>
      <c r="G576" s="27" t="n">
        <f aca="false">F576*(1+sh_g)</f>
        <v>2.26895833333333</v>
      </c>
      <c r="H576" s="28" t="n">
        <f aca="false">G576*(1+sh_g)</f>
        <v>2.26895833333333</v>
      </c>
      <c r="I576" s="28" t="n">
        <f aca="false">H576*(1+sh_g)</f>
        <v>2.26895833333333</v>
      </c>
      <c r="J576" s="28" t="n">
        <f aca="false">I576*(1+sh_g)</f>
        <v>2.26895833333333</v>
      </c>
    </row>
    <row r="577" customFormat="false" ht="15" hidden="false" customHeight="false" outlineLevel="0" collapsed="false">
      <c r="A577" s="0" t="s">
        <v>355</v>
      </c>
      <c r="B577" s="0" t="s">
        <v>209</v>
      </c>
      <c r="C577" s="23" t="n">
        <f aca="false">C575/C576</f>
        <v>6.64</v>
      </c>
      <c r="D577" s="23" t="n">
        <f aca="false">D575/D576</f>
        <v>10.9452614149641</v>
      </c>
      <c r="E577" s="23" t="n">
        <f aca="false">E575/E576</f>
        <v>17.6115640475348</v>
      </c>
      <c r="F577" s="23" t="n">
        <f aca="false">F575/F576</f>
        <v>19.4710715325114</v>
      </c>
      <c r="G577" s="23" t="n">
        <f aca="false">G575/G576</f>
        <v>23.3310319445934</v>
      </c>
      <c r="H577" s="29" t="n">
        <f aca="false">H575/H576</f>
        <v>24.3789235430296</v>
      </c>
      <c r="I577" s="29" t="n">
        <f aca="false">I575/I576</f>
        <v>24.3924904064913</v>
      </c>
      <c r="J577" s="29" t="n">
        <f aca="false">J575/J576</f>
        <v>23.313206748366</v>
      </c>
    </row>
    <row r="578" customFormat="false" ht="17.15" hidden="false" customHeight="false" outlineLevel="0" collapsed="false">
      <c r="A578" s="0" t="s">
        <v>453</v>
      </c>
      <c r="B578" s="0" t="s">
        <v>49</v>
      </c>
      <c r="D578" s="17" t="n">
        <f aca="false">D577/C577-1</f>
        <v>0.648382743217484</v>
      </c>
      <c r="E578" s="17" t="n">
        <f aca="false">E577/D577-1</f>
        <v>0.609058329429819</v>
      </c>
      <c r="F578" s="17" t="n">
        <f aca="false">F577/E577-1</f>
        <v>0.105584460298795</v>
      </c>
      <c r="G578" s="17" t="n">
        <f aca="false">G577/F577-1</f>
        <v>0.198240780207548</v>
      </c>
      <c r="H578" s="25" t="n">
        <f aca="false">H577/G577-1</f>
        <v>0.0449140698501751</v>
      </c>
      <c r="I578" s="25" t="n">
        <f aca="false">I577/H577-1</f>
        <v>0.000556499692767831</v>
      </c>
      <c r="J578" s="25" t="n">
        <f aca="false">J577/I577-1</f>
        <v>-0.0442465545805065</v>
      </c>
    </row>
    <row r="579" customFormat="false" ht="17.15" hidden="false" customHeight="false" outlineLevel="0" collapsed="false">
      <c r="A579" s="4" t="s">
        <v>454</v>
      </c>
      <c r="B579" s="0" t="s">
        <v>49</v>
      </c>
      <c r="C579" s="17" t="n">
        <f aca="false">C575/C560</f>
        <v>0.0910136375952073</v>
      </c>
      <c r="D579" s="17" t="n">
        <f aca="false">D575/D560</f>
        <v>0.116740330417472</v>
      </c>
      <c r="E579" s="17" t="n">
        <f aca="false">E575/E560</f>
        <v>0.12987264465522</v>
      </c>
      <c r="F579" s="17" t="n">
        <f aca="false">F575/F560</f>
        <v>0.131647129046815</v>
      </c>
      <c r="G579" s="17" t="n">
        <f aca="false">G575/G560</f>
        <v>0.135423897943063</v>
      </c>
      <c r="H579" s="25" t="n">
        <f aca="false">$G579+(fade_mB-$G579)*1/3</f>
        <v>0.125983217873745</v>
      </c>
      <c r="I579" s="25" t="n">
        <f aca="false">$G579+(fade_mB-$G579)*2/3</f>
        <v>0.116542537804426</v>
      </c>
      <c r="J579" s="25" t="n">
        <f aca="false">$G579+(fade_mB-$G579)*3/3</f>
        <v>0.107101857735107</v>
      </c>
    </row>
    <row r="582" customFormat="false" ht="17.15" hidden="false" customHeight="false" outlineLevel="0" collapsed="false">
      <c r="A582" s="1" t="s">
        <v>741</v>
      </c>
    </row>
    <row r="583" customFormat="false" ht="17.15" hidden="false" customHeight="false" outlineLevel="0" collapsed="false">
      <c r="A583" s="5" t="s">
        <v>18</v>
      </c>
      <c r="B583" s="5" t="s">
        <v>19</v>
      </c>
      <c r="C583" s="14" t="s">
        <v>323</v>
      </c>
      <c r="D583" s="14" t="s">
        <v>407</v>
      </c>
      <c r="E583" s="14" t="s">
        <v>408</v>
      </c>
      <c r="F583" s="14" t="s">
        <v>409</v>
      </c>
      <c r="G583" s="14" t="s">
        <v>410</v>
      </c>
      <c r="H583" s="14" t="s">
        <v>411</v>
      </c>
      <c r="I583" s="14" t="s">
        <v>412</v>
      </c>
      <c r="J583" s="14" t="s">
        <v>413</v>
      </c>
      <c r="K583" s="5" t="s">
        <v>380</v>
      </c>
    </row>
    <row r="584" customFormat="false" ht="17.15" hidden="false" customHeight="false" outlineLevel="0" collapsed="false">
      <c r="A584" s="6" t="s">
        <v>428</v>
      </c>
    </row>
    <row r="585" customFormat="false" ht="17.15" hidden="false" customHeight="false" outlineLevel="0" collapsed="false">
      <c r="A585" s="0" t="s">
        <v>429</v>
      </c>
      <c r="B585" s="0" t="s">
        <v>29</v>
      </c>
      <c r="D585" s="23" t="n">
        <f aca="false">itc_26*1</f>
        <v>781.872916666667</v>
      </c>
      <c r="E585" s="23" t="n">
        <f aca="false">itc_27*1*1</f>
        <v>1565.35</v>
      </c>
      <c r="F585" s="23" t="n">
        <f aca="false">itc_28*um28_B*1</f>
        <v>1587.41111111111</v>
      </c>
      <c r="G585" s="23" t="n">
        <f aca="false">itc_29*um29_B*1</f>
        <v>1921.33173611111</v>
      </c>
    </row>
    <row r="586" customFormat="false" ht="17.15" hidden="false" customHeight="false" outlineLevel="0" collapsed="false">
      <c r="A586" s="4" t="s">
        <v>430</v>
      </c>
      <c r="B586" s="0" t="s">
        <v>29</v>
      </c>
      <c r="D586" s="23" t="n">
        <f aca="false">itpg_gb*(1-vr26)+itpg_vr*vr26</f>
        <v>33.41403216</v>
      </c>
      <c r="E586" s="23" t="n">
        <f aca="false">itpg_vr</f>
        <v>37.586352</v>
      </c>
      <c r="F586" s="23" t="n">
        <f aca="false">itpg_vr</f>
        <v>37.586352</v>
      </c>
      <c r="G586" s="23" t="n">
        <f aca="false">itpg_vr</f>
        <v>37.586352</v>
      </c>
    </row>
    <row r="587" customFormat="false" ht="17.15" hidden="false" customHeight="false" outlineLevel="0" collapsed="false">
      <c r="A587" s="4" t="s">
        <v>431</v>
      </c>
      <c r="B587" s="0" t="s">
        <v>382</v>
      </c>
      <c r="D587" s="20" t="n">
        <f aca="false">D585/D586</f>
        <v>23.3995380420639</v>
      </c>
      <c r="E587" s="20" t="n">
        <f aca="false">E585/E586</f>
        <v>41.6467658260637</v>
      </c>
      <c r="F587" s="20" t="n">
        <f aca="false">F585/F586</f>
        <v>42.2337105529984</v>
      </c>
      <c r="G587" s="20" t="n">
        <f aca="false">G585/G586</f>
        <v>51.1178029756948</v>
      </c>
    </row>
    <row r="588" customFormat="false" ht="17.15" hidden="false" customHeight="false" outlineLevel="0" collapsed="false">
      <c r="A588" s="0" t="s">
        <v>384</v>
      </c>
      <c r="B588" s="0" t="s">
        <v>87</v>
      </c>
      <c r="D588" s="21" t="n">
        <f aca="false">pkw_26</f>
        <v>450</v>
      </c>
      <c r="E588" s="21" t="n">
        <f aca="false">pkw_27</f>
        <v>600</v>
      </c>
      <c r="F588" s="21" t="n">
        <f aca="false">pkw_28</f>
        <v>680</v>
      </c>
      <c r="G588" s="21" t="n">
        <f aca="false">pkw_29</f>
        <v>720</v>
      </c>
    </row>
    <row r="589" customFormat="false" ht="17.15" hidden="false" customHeight="false" outlineLevel="0" collapsed="false">
      <c r="A589" s="0" t="s">
        <v>432</v>
      </c>
      <c r="B589" s="0" t="s">
        <v>29</v>
      </c>
      <c r="D589" s="23" t="n">
        <f aca="false">D587*D588/1000</f>
        <v>10.5297921189288</v>
      </c>
      <c r="E589" s="23" t="n">
        <f aca="false">E587*E588/1000</f>
        <v>24.9880594956382</v>
      </c>
      <c r="F589" s="23" t="n">
        <f aca="false">F587*F588/1000</f>
        <v>28.7189231760389</v>
      </c>
      <c r="G589" s="23" t="n">
        <f aca="false">G587*G588/1000</f>
        <v>36.8048181425003</v>
      </c>
    </row>
    <row r="590" customFormat="false" ht="17.15" hidden="false" customHeight="false" outlineLevel="0" collapsed="false">
      <c r="A590" s="0" t="s">
        <v>433</v>
      </c>
      <c r="B590" s="0" t="s">
        <v>146</v>
      </c>
      <c r="D590" s="22" t="n">
        <f aca="false">D589*fx</f>
        <v>336.95334780572</v>
      </c>
      <c r="E590" s="22" t="n">
        <f aca="false">E589*fx</f>
        <v>799.617903860422</v>
      </c>
      <c r="F590" s="22" t="n">
        <f aca="false">F589*fx</f>
        <v>919.005541633245</v>
      </c>
      <c r="G590" s="22" t="n">
        <f aca="false">G589*fx</f>
        <v>1177.75418056001</v>
      </c>
    </row>
    <row r="591" customFormat="false" ht="17.15" hidden="false" customHeight="false" outlineLevel="0" collapsed="false">
      <c r="A591" s="4" t="s">
        <v>434</v>
      </c>
      <c r="B591" s="0" t="s">
        <v>49</v>
      </c>
      <c r="D591" s="17" t="n">
        <f aca="false">a26_aip/D590</f>
        <v>0.176143316327046</v>
      </c>
      <c r="K591" s="8" t="s">
        <v>435</v>
      </c>
    </row>
    <row r="592" customFormat="false" ht="17.15" hidden="false" customHeight="false" outlineLevel="0" collapsed="false">
      <c r="A592" s="4" t="s">
        <v>436</v>
      </c>
      <c r="B592" s="0" t="s">
        <v>60</v>
      </c>
      <c r="D592" s="18" t="n">
        <f aca="false">1</f>
        <v>1</v>
      </c>
      <c r="E592" s="18" t="n">
        <f aca="false">rel_27</f>
        <v>1</v>
      </c>
      <c r="F592" s="18" t="n">
        <f aca="false">rel_28</f>
        <v>1</v>
      </c>
      <c r="G592" s="18" t="n">
        <f aca="false">rel_29</f>
        <v>1</v>
      </c>
    </row>
    <row r="593" customFormat="false" ht="15" hidden="false" customHeight="false" outlineLevel="0" collapsed="false">
      <c r="A593" s="4" t="s">
        <v>390</v>
      </c>
      <c r="B593" s="0" t="s">
        <v>49</v>
      </c>
      <c r="D593" s="17" t="n">
        <f aca="false">$D$591*D592</f>
        <v>0.176143316327046</v>
      </c>
      <c r="E593" s="17" t="n">
        <f aca="false">$D$591*E592</f>
        <v>0.176143316327046</v>
      </c>
      <c r="F593" s="17" t="n">
        <f aca="false">$D$591*F592</f>
        <v>0.176143316327046</v>
      </c>
      <c r="G593" s="17" t="n">
        <f aca="false">$D$591*G592</f>
        <v>0.176143316327046</v>
      </c>
    </row>
    <row r="594" customFormat="false" ht="17.15" hidden="false" customHeight="false" outlineLevel="0" collapsed="false">
      <c r="A594" s="0" t="s">
        <v>437</v>
      </c>
      <c r="B594" s="0" t="s">
        <v>146</v>
      </c>
      <c r="C594" s="22" t="n">
        <f aca="false">a25_aip</f>
        <v>31.390065</v>
      </c>
      <c r="D594" s="22" t="n">
        <f aca="false">D590*D593</f>
        <v>59.35208013</v>
      </c>
      <c r="E594" s="22" t="n">
        <f aca="false">E590*E593</f>
        <v>140.847349380455</v>
      </c>
      <c r="F594" s="22" t="n">
        <f aca="false">F590*F593</f>
        <v>161.876683826213</v>
      </c>
      <c r="G594" s="22" t="n">
        <f aca="false">G590*G593</f>
        <v>207.453527181882</v>
      </c>
    </row>
    <row r="595" customFormat="false" ht="17.15" hidden="false" customHeight="false" outlineLevel="0" collapsed="false">
      <c r="A595" s="0" t="s">
        <v>438</v>
      </c>
      <c r="B595" s="0" t="s">
        <v>146</v>
      </c>
      <c r="C595" s="22" t="n">
        <f aca="false">a25_ai</f>
        <v>34.87785</v>
      </c>
      <c r="D595" s="22" t="n">
        <f aca="false">D594/(1-x_np)</f>
        <v>65.9467557</v>
      </c>
      <c r="E595" s="22" t="n">
        <f aca="false">E594/(1-x_np)</f>
        <v>156.497054867173</v>
      </c>
      <c r="F595" s="22" t="n">
        <f aca="false">F594/(1-x_np)</f>
        <v>179.862982029125</v>
      </c>
      <c r="G595" s="22" t="n">
        <f aca="false">G594/(1-x_np)</f>
        <v>230.50391909098</v>
      </c>
      <c r="K595" s="4" t="s">
        <v>439</v>
      </c>
    </row>
    <row r="596" customFormat="false" ht="17.15" hidden="false" customHeight="false" outlineLevel="0" collapsed="false">
      <c r="A596" s="6" t="s">
        <v>440</v>
      </c>
    </row>
    <row r="597" customFormat="false" ht="17.15" hidden="false" customHeight="false" outlineLevel="0" collapsed="false">
      <c r="A597" s="4" t="s">
        <v>441</v>
      </c>
      <c r="B597" s="0" t="s">
        <v>146</v>
      </c>
      <c r="C597" s="22" t="n">
        <f aca="false">a25_nai</f>
        <v>131.20715</v>
      </c>
      <c r="D597" s="22" t="n">
        <f aca="false">a26_nai</f>
        <v>146.7847143</v>
      </c>
      <c r="E597" s="22" t="n">
        <f aca="false">D597*(1+g_nai27)</f>
        <v>151.188255729</v>
      </c>
      <c r="F597" s="22" t="n">
        <f aca="false">E597*(1+g_nai28)</f>
        <v>155.72390340087</v>
      </c>
      <c r="G597" s="22" t="n">
        <f aca="false">F597*(1+g_nai29)</f>
        <v>160.395620502896</v>
      </c>
    </row>
    <row r="598" customFormat="false" ht="17.15" hidden="false" customHeight="false" outlineLevel="0" collapsed="false">
      <c r="A598" s="4" t="s">
        <v>328</v>
      </c>
      <c r="B598" s="0" t="s">
        <v>146</v>
      </c>
      <c r="C598" s="22" t="n">
        <f aca="false">C595+C597</f>
        <v>166.085</v>
      </c>
      <c r="D598" s="22" t="n">
        <f aca="false">D595+D597</f>
        <v>212.73147</v>
      </c>
      <c r="E598" s="22" t="n">
        <f aca="false">E595+E597</f>
        <v>307.685310596173</v>
      </c>
      <c r="F598" s="22" t="n">
        <f aca="false">F595+F597</f>
        <v>335.586885429995</v>
      </c>
      <c r="G598" s="22" t="n">
        <f aca="false">G595+G597</f>
        <v>390.899539593876</v>
      </c>
      <c r="H598" s="24" t="n">
        <f aca="false">G598*(1+H599)</f>
        <v>439.064525134509</v>
      </c>
      <c r="I598" s="24" t="n">
        <f aca="false">H598*(1+I599)</f>
        <v>474.895651160772</v>
      </c>
      <c r="J598" s="24" t="n">
        <f aca="false">I598*(1+J599)</f>
        <v>493.891477207202</v>
      </c>
      <c r="K598" s="8" t="s">
        <v>442</v>
      </c>
    </row>
    <row r="599" customFormat="false" ht="15" hidden="false" customHeight="false" outlineLevel="0" collapsed="false">
      <c r="A599" s="4" t="s">
        <v>443</v>
      </c>
      <c r="B599" s="0" t="s">
        <v>49</v>
      </c>
      <c r="D599" s="17" t="n">
        <f aca="false">D598/C598-1</f>
        <v>0.280859017972725</v>
      </c>
      <c r="E599" s="17" t="n">
        <f aca="false">E598/D598-1</f>
        <v>0.446355400995315</v>
      </c>
      <c r="F599" s="17" t="n">
        <f aca="false">F598/E598-1</f>
        <v>0.0906821803737075</v>
      </c>
      <c r="G599" s="17" t="n">
        <f aca="false">G598/F598-1</f>
        <v>0.164823646469401</v>
      </c>
      <c r="H599" s="25" t="n">
        <f aca="false">$G599+(fade_gB-$G599)*1/3</f>
        <v>0.123215764312934</v>
      </c>
      <c r="I599" s="25" t="n">
        <f aca="false">$G599+(fade_gB-$G599)*2/3</f>
        <v>0.081607882156467</v>
      </c>
      <c r="J599" s="25" t="n">
        <f aca="false">$G599+(fade_gB-$G599)*3/3</f>
        <v>0.04</v>
      </c>
    </row>
    <row r="600" customFormat="false" ht="17.15" hidden="false" customHeight="false" outlineLevel="0" collapsed="false">
      <c r="A600" s="0" t="s">
        <v>444</v>
      </c>
      <c r="B600" s="0" t="s">
        <v>49</v>
      </c>
      <c r="C600" s="17" t="n">
        <f aca="false">C595/C598</f>
        <v>0.21</v>
      </c>
      <c r="D600" s="17" t="n">
        <f aca="false">D595/D598</f>
        <v>0.31</v>
      </c>
      <c r="E600" s="17" t="n">
        <f aca="false">E595/E598</f>
        <v>0.508626994782244</v>
      </c>
      <c r="F600" s="17" t="n">
        <f aca="false">F595/F598</f>
        <v>0.535965467776438</v>
      </c>
      <c r="G600" s="17" t="n">
        <f aca="false">G595/G598</f>
        <v>0.58967559626819</v>
      </c>
    </row>
    <row r="601" customFormat="false" ht="17.15" hidden="false" customHeight="false" outlineLevel="0" collapsed="false">
      <c r="A601" s="4" t="s">
        <v>401</v>
      </c>
      <c r="B601" s="0" t="s">
        <v>402</v>
      </c>
      <c r="D601" s="21" t="n">
        <f aca="false">D595/fx/D587*1000</f>
        <v>88.0716581635228</v>
      </c>
      <c r="E601" s="21" t="n">
        <f aca="false">E595/fx/E587*1000</f>
        <v>117.428877551364</v>
      </c>
      <c r="F601" s="21" t="n">
        <f aca="false">F595/fx/F587*1000</f>
        <v>133.086061224879</v>
      </c>
      <c r="G601" s="21" t="n">
        <f aca="false">G595/fx/G587*1000</f>
        <v>140.914653061636</v>
      </c>
    </row>
    <row r="602" customFormat="false" ht="17.15" hidden="false" customHeight="false" outlineLevel="0" collapsed="false">
      <c r="A602" s="6" t="s">
        <v>445</v>
      </c>
    </row>
    <row r="603" customFormat="false" ht="17.15" hidden="false" customHeight="false" outlineLevel="0" collapsed="false">
      <c r="A603" s="4" t="s">
        <v>446</v>
      </c>
      <c r="B603" s="0" t="s">
        <v>49</v>
      </c>
      <c r="D603" s="17" t="n">
        <f aca="false">a26_gp/D598-d_ai*D600</f>
        <v>0.216982337009188</v>
      </c>
      <c r="K603" s="8" t="s">
        <v>447</v>
      </c>
    </row>
    <row r="604" customFormat="false" ht="17.15" hidden="false" customHeight="false" outlineLevel="0" collapsed="false">
      <c r="A604" s="0" t="s">
        <v>448</v>
      </c>
      <c r="B604" s="0" t="s">
        <v>49</v>
      </c>
      <c r="D604" s="17" t="n">
        <f aca="false">D603+d_ai</f>
        <v>0.336982337009188</v>
      </c>
      <c r="E604" s="17" t="n">
        <f aca="false">$D$604+gmu_27</f>
        <v>0.336982337009188</v>
      </c>
      <c r="F604" s="17" t="n">
        <f aca="false">$D$604+gmu_28</f>
        <v>0.336982337009188</v>
      </c>
      <c r="G604" s="17" t="n">
        <f aca="false">$D$604+gmu_29</f>
        <v>0.336982337009188</v>
      </c>
      <c r="K604" s="4" t="s">
        <v>449</v>
      </c>
    </row>
    <row r="605" customFormat="false" ht="15" hidden="false" customHeight="false" outlineLevel="0" collapsed="false">
      <c r="A605" s="4" t="s">
        <v>332</v>
      </c>
      <c r="B605" s="0" t="s">
        <v>146</v>
      </c>
      <c r="C605" s="22" t="n">
        <f aca="false">a25_gp</f>
        <v>38.039</v>
      </c>
      <c r="D605" s="22" t="n">
        <f aca="false">a26_gp</f>
        <v>54.0725822</v>
      </c>
      <c r="E605" s="22" t="n">
        <f aca="false">E595*E604+E597*$D$603</f>
        <v>85.5419243406162</v>
      </c>
      <c r="F605" s="22" t="n">
        <f aca="false">F595*F604+F597*$D$603</f>
        <v>94.39998451373</v>
      </c>
      <c r="G605" s="22" t="n">
        <f aca="false">G595*G604+G597*$D$603</f>
        <v>112.478765927812</v>
      </c>
    </row>
    <row r="606" customFormat="false" ht="15" hidden="false" customHeight="false" outlineLevel="0" collapsed="false">
      <c r="A606" s="4" t="s">
        <v>335</v>
      </c>
      <c r="B606" s="0" t="s">
        <v>49</v>
      </c>
      <c r="C606" s="17" t="n">
        <f aca="false">C605/C598</f>
        <v>0.229033326308818</v>
      </c>
      <c r="D606" s="17" t="n">
        <f aca="false">D605/D598</f>
        <v>0.254182337009188</v>
      </c>
      <c r="E606" s="17" t="n">
        <f aca="false">E605/E598</f>
        <v>0.278017576383058</v>
      </c>
      <c r="F606" s="17" t="n">
        <f aca="false">F605/F598</f>
        <v>0.281298193142361</v>
      </c>
      <c r="G606" s="17" t="n">
        <f aca="false">G605/G598</f>
        <v>0.287743408561371</v>
      </c>
    </row>
    <row r="607" customFormat="false" ht="15" hidden="false" customHeight="false" outlineLevel="0" collapsed="false">
      <c r="A607" s="4" t="s">
        <v>450</v>
      </c>
      <c r="B607" s="0" t="s">
        <v>146</v>
      </c>
      <c r="C607" s="22" t="n">
        <f aca="false">a25_opx</f>
        <v>21.301</v>
      </c>
      <c r="D607" s="22" t="n">
        <f aca="false">a26_opx</f>
        <v>25.21033346</v>
      </c>
      <c r="E607" s="22" t="n">
        <f aca="false">D607*(1+MAX(0,phi*E599))</f>
        <v>33.0872714105347</v>
      </c>
      <c r="F607" s="22" t="n">
        <f aca="false">E607*(1+MAX(0,phi*F599))</f>
        <v>35.1875695504215</v>
      </c>
      <c r="G607" s="22" t="n">
        <f aca="false">F607*(1+MAX(0,phi*G599))</f>
        <v>39.2473900170088</v>
      </c>
    </row>
    <row r="608" customFormat="false" ht="15" hidden="false" customHeight="false" outlineLevel="0" collapsed="false">
      <c r="A608" s="4" t="s">
        <v>337</v>
      </c>
      <c r="B608" s="0" t="s">
        <v>146</v>
      </c>
      <c r="C608" s="22" t="n">
        <f aca="false">C607</f>
        <v>21.301</v>
      </c>
      <c r="D608" s="22" t="n">
        <f aca="false">D607</f>
        <v>25.21033346</v>
      </c>
      <c r="E608" s="22" t="n">
        <f aca="false">E607+0*E598</f>
        <v>33.0872714105347</v>
      </c>
      <c r="F608" s="22" t="n">
        <f aca="false">F607+0*F598</f>
        <v>35.1875695504215</v>
      </c>
      <c r="G608" s="22" t="n">
        <f aca="false">G607+0*G598</f>
        <v>39.2473900170088</v>
      </c>
    </row>
    <row r="609" customFormat="false" ht="15" hidden="false" customHeight="false" outlineLevel="0" collapsed="false">
      <c r="A609" s="4" t="s">
        <v>340</v>
      </c>
      <c r="B609" s="0" t="s">
        <v>146</v>
      </c>
      <c r="C609" s="22" t="n">
        <f aca="false">C605-C608</f>
        <v>16.738</v>
      </c>
      <c r="D609" s="22" t="n">
        <f aca="false">D605-D608</f>
        <v>28.86224874</v>
      </c>
      <c r="E609" s="22" t="n">
        <f aca="false">E605-E608</f>
        <v>52.4546529300815</v>
      </c>
      <c r="F609" s="22" t="n">
        <f aca="false">F605-F608</f>
        <v>59.2124149633085</v>
      </c>
      <c r="G609" s="22" t="n">
        <f aca="false">G605-G608</f>
        <v>73.2313759108037</v>
      </c>
    </row>
    <row r="610" customFormat="false" ht="15" hidden="false" customHeight="false" outlineLevel="0" collapsed="false">
      <c r="A610" s="4" t="s">
        <v>342</v>
      </c>
      <c r="B610" s="0" t="s">
        <v>49</v>
      </c>
      <c r="C610" s="17" t="n">
        <f aca="false">C609/C598</f>
        <v>0.100779721227083</v>
      </c>
      <c r="D610" s="17" t="n">
        <f aca="false">D609/D598</f>
        <v>0.135674560703219</v>
      </c>
      <c r="E610" s="17" t="n">
        <f aca="false">E609/E598</f>
        <v>0.170481498867934</v>
      </c>
      <c r="F610" s="17" t="n">
        <f aca="false">F609/F598</f>
        <v>0.176444365182621</v>
      </c>
      <c r="G610" s="17" t="n">
        <f aca="false">G609/G598</f>
        <v>0.187340655317444</v>
      </c>
    </row>
    <row r="611" customFormat="false" ht="15" hidden="false" customHeight="false" outlineLevel="0" collapsed="false">
      <c r="A611" s="4" t="s">
        <v>344</v>
      </c>
      <c r="B611" s="0" t="s">
        <v>146</v>
      </c>
      <c r="C611" s="22" t="n">
        <f aca="false">a25_nop</f>
        <v>2.9762895</v>
      </c>
      <c r="D611" s="22" t="n">
        <f aca="false">a26_nop</f>
        <v>3.839</v>
      </c>
      <c r="E611" s="22" t="n">
        <f aca="false">nop_f</f>
        <v>3.5</v>
      </c>
      <c r="F611" s="22" t="n">
        <f aca="false">nop_f</f>
        <v>3.5</v>
      </c>
      <c r="G611" s="22" t="n">
        <f aca="false">nop_f</f>
        <v>3.5</v>
      </c>
    </row>
    <row r="612" customFormat="false" ht="17.15" hidden="false" customHeight="false" outlineLevel="0" collapsed="false">
      <c r="A612" s="4" t="s">
        <v>451</v>
      </c>
      <c r="B612" s="0" t="s">
        <v>49</v>
      </c>
      <c r="C612" s="17" t="n">
        <f aca="false">a25_ni/a25_pt</f>
        <v>0.766753475949514</v>
      </c>
      <c r="D612" s="17" t="n">
        <f aca="false">a26_ni/a26_pt</f>
        <v>0.759431002022174</v>
      </c>
      <c r="E612" s="17" t="n">
        <f aca="false">nir_f_lo</f>
        <v>0.73</v>
      </c>
      <c r="F612" s="17" t="n">
        <f aca="false">nir_f_lo</f>
        <v>0.73</v>
      </c>
      <c r="G612" s="17" t="n">
        <f aca="false">nir_f_lo</f>
        <v>0.73</v>
      </c>
    </row>
    <row r="613" customFormat="false" ht="15" hidden="false" customHeight="false" outlineLevel="0" collapsed="false">
      <c r="A613" s="4" t="s">
        <v>349</v>
      </c>
      <c r="B613" s="0" t="s">
        <v>146</v>
      </c>
      <c r="C613" s="22" t="n">
        <f aca="false">a25_ni</f>
        <v>15.116</v>
      </c>
      <c r="D613" s="22" t="n">
        <f aca="false">a26_ni</f>
        <v>24.8343420979946</v>
      </c>
      <c r="E613" s="22" t="n">
        <f aca="false">(E609+E611)*E612</f>
        <v>40.8468966389595</v>
      </c>
      <c r="F613" s="22" t="n">
        <f aca="false">(F609+F611)*F612</f>
        <v>45.7800629232152</v>
      </c>
      <c r="G613" s="22" t="n">
        <f aca="false">(G609+G611)*G612</f>
        <v>56.0139044148867</v>
      </c>
      <c r="H613" s="24" t="n">
        <f aca="false">H598*H617</f>
        <v>57.6186757421753</v>
      </c>
      <c r="I613" s="24" t="n">
        <f aca="false">I598*I617</f>
        <v>56.5915101558983</v>
      </c>
      <c r="J613" s="24" t="n">
        <f aca="false">J598*J617</f>
        <v>52.8966947284279</v>
      </c>
    </row>
    <row r="614" customFormat="false" ht="15" hidden="false" customHeight="false" outlineLevel="0" collapsed="false">
      <c r="A614" s="4" t="s">
        <v>452</v>
      </c>
      <c r="B614" s="4" t="s">
        <v>176</v>
      </c>
      <c r="C614" s="27" t="n">
        <f aca="false">a25_sh</f>
        <v>2.27650602409639</v>
      </c>
      <c r="D614" s="27" t="n">
        <f aca="false">a26_sh</f>
        <v>2.26895833333333</v>
      </c>
      <c r="E614" s="27" t="n">
        <f aca="false">D614*(1+sh_g)</f>
        <v>2.26895833333333</v>
      </c>
      <c r="F614" s="27" t="n">
        <f aca="false">E614*(1+sh_g)</f>
        <v>2.26895833333333</v>
      </c>
      <c r="G614" s="27" t="n">
        <f aca="false">F614*(1+sh_g)</f>
        <v>2.26895833333333</v>
      </c>
      <c r="H614" s="28" t="n">
        <f aca="false">G614*(1+sh_g)</f>
        <v>2.26895833333333</v>
      </c>
      <c r="I614" s="28" t="n">
        <f aca="false">H614*(1+sh_g)</f>
        <v>2.26895833333333</v>
      </c>
      <c r="J614" s="28" t="n">
        <f aca="false">I614*(1+sh_g)</f>
        <v>2.26895833333333</v>
      </c>
    </row>
    <row r="615" customFormat="false" ht="15" hidden="false" customHeight="false" outlineLevel="0" collapsed="false">
      <c r="A615" s="0" t="s">
        <v>355</v>
      </c>
      <c r="B615" s="0" t="s">
        <v>209</v>
      </c>
      <c r="C615" s="23" t="n">
        <f aca="false">C613/C614</f>
        <v>6.64</v>
      </c>
      <c r="D615" s="23" t="n">
        <f aca="false">D613/D614</f>
        <v>10.9452614149641</v>
      </c>
      <c r="E615" s="23" t="n">
        <f aca="false">E613/E614</f>
        <v>18.0024886481504</v>
      </c>
      <c r="F615" s="23" t="n">
        <f aca="false">F613/F614</f>
        <v>20.1766873594191</v>
      </c>
      <c r="G615" s="23" t="n">
        <f aca="false">G613/G614</f>
        <v>24.6870573125935</v>
      </c>
      <c r="H615" s="29" t="n">
        <f aca="false">H613/H614</f>
        <v>25.3943295897935</v>
      </c>
      <c r="I615" s="29" t="n">
        <f aca="false">I613/I614</f>
        <v>24.9416259983759</v>
      </c>
      <c r="J615" s="29" t="n">
        <f aca="false">J613/J614</f>
        <v>23.313206748366</v>
      </c>
    </row>
    <row r="616" customFormat="false" ht="17.15" hidden="false" customHeight="false" outlineLevel="0" collapsed="false">
      <c r="A616" s="0" t="s">
        <v>453</v>
      </c>
      <c r="B616" s="0" t="s">
        <v>49</v>
      </c>
      <c r="D616" s="17" t="n">
        <f aca="false">D615/C615-1</f>
        <v>0.648382743217484</v>
      </c>
      <c r="E616" s="17" t="n">
        <f aca="false">E615/D615-1</f>
        <v>0.644774662351856</v>
      </c>
      <c r="F616" s="17" t="n">
        <f aca="false">F615/E615-1</f>
        <v>0.120772119553154</v>
      </c>
      <c r="G616" s="17" t="n">
        <f aca="false">G615/F615-1</f>
        <v>0.223543630965214</v>
      </c>
      <c r="H616" s="25" t="n">
        <f aca="false">H615/G615-1</f>
        <v>0.0286495173663006</v>
      </c>
      <c r="I616" s="25" t="n">
        <f aca="false">I615/H615-1</f>
        <v>-0.0178269558098354</v>
      </c>
      <c r="J616" s="25" t="n">
        <f aca="false">J615/I615-1</f>
        <v>-0.0652892177164378</v>
      </c>
    </row>
    <row r="617" customFormat="false" ht="17.15" hidden="false" customHeight="false" outlineLevel="0" collapsed="false">
      <c r="A617" s="4" t="s">
        <v>454</v>
      </c>
      <c r="B617" s="0" t="s">
        <v>49</v>
      </c>
      <c r="C617" s="17" t="n">
        <f aca="false">C613/C598</f>
        <v>0.0910136375952073</v>
      </c>
      <c r="D617" s="17" t="n">
        <f aca="false">D613/D598</f>
        <v>0.116740330417472</v>
      </c>
      <c r="E617" s="17" t="n">
        <f aca="false">E613/E598</f>
        <v>0.132755433009832</v>
      </c>
      <c r="F617" s="17" t="n">
        <f aca="false">F613/F598</f>
        <v>0.136417914140346</v>
      </c>
      <c r="G617" s="17" t="n">
        <f aca="false">G613/G598</f>
        <v>0.143294884596391</v>
      </c>
      <c r="H617" s="25" t="n">
        <f aca="false">$G617+(fade_mB-$G617)*1/3</f>
        <v>0.131230542309296</v>
      </c>
      <c r="I617" s="25" t="n">
        <f aca="false">$G617+(fade_mB-$G617)*2/3</f>
        <v>0.119166200022202</v>
      </c>
      <c r="J617" s="25" t="n">
        <f aca="false">$G617+(fade_mB-$G617)*3/3</f>
        <v>0.107101857735107</v>
      </c>
    </row>
    <row r="620" customFormat="false" ht="17.15" hidden="false" customHeight="false" outlineLevel="0" collapsed="false">
      <c r="A620" s="1" t="s">
        <v>742</v>
      </c>
    </row>
    <row r="621" customFormat="false" ht="17.15" hidden="false" customHeight="false" outlineLevel="0" collapsed="false">
      <c r="A621" s="5" t="s">
        <v>18</v>
      </c>
      <c r="B621" s="5" t="s">
        <v>19</v>
      </c>
      <c r="C621" s="14" t="s">
        <v>323</v>
      </c>
      <c r="D621" s="14" t="s">
        <v>407</v>
      </c>
      <c r="E621" s="14" t="s">
        <v>408</v>
      </c>
      <c r="F621" s="14" t="s">
        <v>409</v>
      </c>
      <c r="G621" s="14" t="s">
        <v>410</v>
      </c>
      <c r="H621" s="14" t="s">
        <v>411</v>
      </c>
      <c r="I621" s="14" t="s">
        <v>412</v>
      </c>
      <c r="J621" s="14" t="s">
        <v>413</v>
      </c>
      <c r="K621" s="5" t="s">
        <v>380</v>
      </c>
    </row>
    <row r="622" customFormat="false" ht="17.15" hidden="false" customHeight="false" outlineLevel="0" collapsed="false">
      <c r="A622" s="6" t="s">
        <v>428</v>
      </c>
    </row>
    <row r="623" customFormat="false" ht="17.15" hidden="false" customHeight="false" outlineLevel="0" collapsed="false">
      <c r="A623" s="0" t="s">
        <v>429</v>
      </c>
      <c r="B623" s="0" t="s">
        <v>29</v>
      </c>
      <c r="D623" s="23" t="n">
        <f aca="false">itc_26*1</f>
        <v>781.872916666667</v>
      </c>
      <c r="E623" s="23" t="n">
        <f aca="false">itc_27*1*1</f>
        <v>1565.35</v>
      </c>
      <c r="F623" s="23" t="n">
        <f aca="false">itc_28*um28_B*1</f>
        <v>1587.41111111111</v>
      </c>
      <c r="G623" s="23" t="n">
        <f aca="false">itc_29*um29_B*1</f>
        <v>1921.33173611111</v>
      </c>
    </row>
    <row r="624" customFormat="false" ht="17.15" hidden="false" customHeight="false" outlineLevel="0" collapsed="false">
      <c r="A624" s="4" t="s">
        <v>430</v>
      </c>
      <c r="B624" s="0" t="s">
        <v>29</v>
      </c>
      <c r="D624" s="23" t="n">
        <f aca="false">itpg_gb*(1-vr26)+itpg_vr*vr26</f>
        <v>33.41403216</v>
      </c>
      <c r="E624" s="23" t="n">
        <f aca="false">itpg_vr</f>
        <v>37.586352</v>
      </c>
      <c r="F624" s="23" t="n">
        <f aca="false">itpg_vr</f>
        <v>37.586352</v>
      </c>
      <c r="G624" s="23" t="n">
        <f aca="false">itpg_vr</f>
        <v>37.586352</v>
      </c>
    </row>
    <row r="625" customFormat="false" ht="17.15" hidden="false" customHeight="false" outlineLevel="0" collapsed="false">
      <c r="A625" s="4" t="s">
        <v>431</v>
      </c>
      <c r="B625" s="0" t="s">
        <v>382</v>
      </c>
      <c r="D625" s="20" t="n">
        <f aca="false">D623/D624</f>
        <v>23.3995380420639</v>
      </c>
      <c r="E625" s="20" t="n">
        <f aca="false">E623/E624</f>
        <v>41.6467658260637</v>
      </c>
      <c r="F625" s="20" t="n">
        <f aca="false">F623/F624</f>
        <v>42.2337105529984</v>
      </c>
      <c r="G625" s="20" t="n">
        <f aca="false">G623/G624</f>
        <v>51.1178029756948</v>
      </c>
    </row>
    <row r="626" customFormat="false" ht="17.15" hidden="false" customHeight="false" outlineLevel="0" collapsed="false">
      <c r="A626" s="0" t="s">
        <v>384</v>
      </c>
      <c r="B626" s="0" t="s">
        <v>87</v>
      </c>
      <c r="D626" s="21" t="n">
        <f aca="false">pkw_26</f>
        <v>450</v>
      </c>
      <c r="E626" s="21" t="n">
        <f aca="false">pkw_27</f>
        <v>600</v>
      </c>
      <c r="F626" s="21" t="n">
        <f aca="false">pkw_28</f>
        <v>680</v>
      </c>
      <c r="G626" s="21" t="n">
        <f aca="false">pkw_29</f>
        <v>720</v>
      </c>
    </row>
    <row r="627" customFormat="false" ht="17.15" hidden="false" customHeight="false" outlineLevel="0" collapsed="false">
      <c r="A627" s="0" t="s">
        <v>432</v>
      </c>
      <c r="B627" s="0" t="s">
        <v>29</v>
      </c>
      <c r="D627" s="23" t="n">
        <f aca="false">D625*D626/1000</f>
        <v>10.5297921189288</v>
      </c>
      <c r="E627" s="23" t="n">
        <f aca="false">E625*E626/1000</f>
        <v>24.9880594956382</v>
      </c>
      <c r="F627" s="23" t="n">
        <f aca="false">F625*F626/1000</f>
        <v>28.7189231760389</v>
      </c>
      <c r="G627" s="23" t="n">
        <f aca="false">G625*G626/1000</f>
        <v>36.8048181425003</v>
      </c>
    </row>
    <row r="628" customFormat="false" ht="17.15" hidden="false" customHeight="false" outlineLevel="0" collapsed="false">
      <c r="A628" s="0" t="s">
        <v>433</v>
      </c>
      <c r="B628" s="0" t="s">
        <v>146</v>
      </c>
      <c r="D628" s="22" t="n">
        <f aca="false">D627*fx</f>
        <v>336.95334780572</v>
      </c>
      <c r="E628" s="22" t="n">
        <f aca="false">E627*fx</f>
        <v>799.617903860422</v>
      </c>
      <c r="F628" s="22" t="n">
        <f aca="false">F627*fx</f>
        <v>919.005541633245</v>
      </c>
      <c r="G628" s="22" t="n">
        <f aca="false">G627*fx</f>
        <v>1177.75418056001</v>
      </c>
    </row>
    <row r="629" customFormat="false" ht="17.15" hidden="false" customHeight="false" outlineLevel="0" collapsed="false">
      <c r="A629" s="4" t="s">
        <v>434</v>
      </c>
      <c r="B629" s="0" t="s">
        <v>49</v>
      </c>
      <c r="D629" s="17" t="n">
        <f aca="false">a26_aip/D628</f>
        <v>0.176143316327046</v>
      </c>
      <c r="K629" s="8" t="s">
        <v>435</v>
      </c>
    </row>
    <row r="630" customFormat="false" ht="17.15" hidden="false" customHeight="false" outlineLevel="0" collapsed="false">
      <c r="A630" s="4" t="s">
        <v>436</v>
      </c>
      <c r="B630" s="0" t="s">
        <v>60</v>
      </c>
      <c r="D630" s="18" t="n">
        <f aca="false">1</f>
        <v>1</v>
      </c>
      <c r="E630" s="18" t="n">
        <f aca="false">rel_27</f>
        <v>1</v>
      </c>
      <c r="F630" s="18" t="n">
        <f aca="false">rel_28</f>
        <v>1</v>
      </c>
      <c r="G630" s="18" t="n">
        <f aca="false">rel_29</f>
        <v>1</v>
      </c>
    </row>
    <row r="631" customFormat="false" ht="15" hidden="false" customHeight="false" outlineLevel="0" collapsed="false">
      <c r="A631" s="4" t="s">
        <v>390</v>
      </c>
      <c r="B631" s="0" t="s">
        <v>49</v>
      </c>
      <c r="D631" s="17" t="n">
        <f aca="false">$D$629*D630</f>
        <v>0.176143316327046</v>
      </c>
      <c r="E631" s="17" t="n">
        <f aca="false">$D$629*E630</f>
        <v>0.176143316327046</v>
      </c>
      <c r="F631" s="17" t="n">
        <f aca="false">$D$629*F630</f>
        <v>0.176143316327046</v>
      </c>
      <c r="G631" s="17" t="n">
        <f aca="false">$D$629*G630</f>
        <v>0.176143316327046</v>
      </c>
    </row>
    <row r="632" customFormat="false" ht="17.15" hidden="false" customHeight="false" outlineLevel="0" collapsed="false">
      <c r="A632" s="0" t="s">
        <v>437</v>
      </c>
      <c r="B632" s="0" t="s">
        <v>146</v>
      </c>
      <c r="C632" s="22" t="n">
        <f aca="false">a25_aip</f>
        <v>31.390065</v>
      </c>
      <c r="D632" s="22" t="n">
        <f aca="false">D628*D631</f>
        <v>59.35208013</v>
      </c>
      <c r="E632" s="22" t="n">
        <f aca="false">E628*E631</f>
        <v>140.847349380455</v>
      </c>
      <c r="F632" s="22" t="n">
        <f aca="false">F628*F631</f>
        <v>161.876683826213</v>
      </c>
      <c r="G632" s="22" t="n">
        <f aca="false">G628*G631</f>
        <v>207.453527181882</v>
      </c>
    </row>
    <row r="633" customFormat="false" ht="17.15" hidden="false" customHeight="false" outlineLevel="0" collapsed="false">
      <c r="A633" s="0" t="s">
        <v>438</v>
      </c>
      <c r="B633" s="0" t="s">
        <v>146</v>
      </c>
      <c r="C633" s="22" t="n">
        <f aca="false">a25_ai</f>
        <v>34.87785</v>
      </c>
      <c r="D633" s="22" t="n">
        <f aca="false">D632/(1-x_np)</f>
        <v>65.9467557</v>
      </c>
      <c r="E633" s="22" t="n">
        <f aca="false">E632/(1-x_np)</f>
        <v>156.497054867173</v>
      </c>
      <c r="F633" s="22" t="n">
        <f aca="false">F632/(1-x_np)</f>
        <v>179.862982029125</v>
      </c>
      <c r="G633" s="22" t="n">
        <f aca="false">G632/(1-x_np)</f>
        <v>230.50391909098</v>
      </c>
      <c r="K633" s="4" t="s">
        <v>439</v>
      </c>
    </row>
    <row r="634" customFormat="false" ht="17.15" hidden="false" customHeight="false" outlineLevel="0" collapsed="false">
      <c r="A634" s="6" t="s">
        <v>440</v>
      </c>
    </row>
    <row r="635" customFormat="false" ht="17.15" hidden="false" customHeight="false" outlineLevel="0" collapsed="false">
      <c r="A635" s="4" t="s">
        <v>441</v>
      </c>
      <c r="B635" s="0" t="s">
        <v>146</v>
      </c>
      <c r="C635" s="22" t="n">
        <f aca="false">a25_nai</f>
        <v>131.20715</v>
      </c>
      <c r="D635" s="22" t="n">
        <f aca="false">a26_nai</f>
        <v>146.7847143</v>
      </c>
      <c r="E635" s="22" t="n">
        <f aca="false">D635*(1+g_nai27)</f>
        <v>151.188255729</v>
      </c>
      <c r="F635" s="22" t="n">
        <f aca="false">E635*(1+g_nai28)</f>
        <v>155.72390340087</v>
      </c>
      <c r="G635" s="22" t="n">
        <f aca="false">F635*(1+g_nai29)</f>
        <v>160.395620502896</v>
      </c>
    </row>
    <row r="636" customFormat="false" ht="17.15" hidden="false" customHeight="false" outlineLevel="0" collapsed="false">
      <c r="A636" s="4" t="s">
        <v>328</v>
      </c>
      <c r="B636" s="0" t="s">
        <v>146</v>
      </c>
      <c r="C636" s="22" t="n">
        <f aca="false">C633+C635</f>
        <v>166.085</v>
      </c>
      <c r="D636" s="22" t="n">
        <f aca="false">D633+D635</f>
        <v>212.73147</v>
      </c>
      <c r="E636" s="22" t="n">
        <f aca="false">E633+E635</f>
        <v>307.685310596173</v>
      </c>
      <c r="F636" s="22" t="n">
        <f aca="false">F633+F635</f>
        <v>335.586885429995</v>
      </c>
      <c r="G636" s="22" t="n">
        <f aca="false">G633+G635</f>
        <v>390.899539593876</v>
      </c>
      <c r="H636" s="24" t="n">
        <f aca="false">G636*(1+H637)</f>
        <v>439.064525134509</v>
      </c>
      <c r="I636" s="24" t="n">
        <f aca="false">H636*(1+I637)</f>
        <v>474.895651160772</v>
      </c>
      <c r="J636" s="24" t="n">
        <f aca="false">I636*(1+J637)</f>
        <v>493.891477207202</v>
      </c>
      <c r="K636" s="8" t="s">
        <v>442</v>
      </c>
    </row>
    <row r="637" customFormat="false" ht="15" hidden="false" customHeight="false" outlineLevel="0" collapsed="false">
      <c r="A637" s="4" t="s">
        <v>443</v>
      </c>
      <c r="B637" s="0" t="s">
        <v>49</v>
      </c>
      <c r="D637" s="17" t="n">
        <f aca="false">D636/C636-1</f>
        <v>0.280859017972725</v>
      </c>
      <c r="E637" s="17" t="n">
        <f aca="false">E636/D636-1</f>
        <v>0.446355400995315</v>
      </c>
      <c r="F637" s="17" t="n">
        <f aca="false">F636/E636-1</f>
        <v>0.0906821803737075</v>
      </c>
      <c r="G637" s="17" t="n">
        <f aca="false">G636/F636-1</f>
        <v>0.164823646469401</v>
      </c>
      <c r="H637" s="25" t="n">
        <f aca="false">$G637+(fade_gB-$G637)*1/3</f>
        <v>0.123215764312934</v>
      </c>
      <c r="I637" s="25" t="n">
        <f aca="false">$G637+(fade_gB-$G637)*2/3</f>
        <v>0.081607882156467</v>
      </c>
      <c r="J637" s="25" t="n">
        <f aca="false">$G637+(fade_gB-$G637)*3/3</f>
        <v>0.04</v>
      </c>
    </row>
    <row r="638" customFormat="false" ht="17.15" hidden="false" customHeight="false" outlineLevel="0" collapsed="false">
      <c r="A638" s="0" t="s">
        <v>444</v>
      </c>
      <c r="B638" s="0" t="s">
        <v>49</v>
      </c>
      <c r="C638" s="17" t="n">
        <f aca="false">C633/C636</f>
        <v>0.21</v>
      </c>
      <c r="D638" s="17" t="n">
        <f aca="false">D633/D636</f>
        <v>0.31</v>
      </c>
      <c r="E638" s="17" t="n">
        <f aca="false">E633/E636</f>
        <v>0.508626994782244</v>
      </c>
      <c r="F638" s="17" t="n">
        <f aca="false">F633/F636</f>
        <v>0.535965467776438</v>
      </c>
      <c r="G638" s="17" t="n">
        <f aca="false">G633/G636</f>
        <v>0.58967559626819</v>
      </c>
    </row>
    <row r="639" customFormat="false" ht="17.15" hidden="false" customHeight="false" outlineLevel="0" collapsed="false">
      <c r="A639" s="4" t="s">
        <v>401</v>
      </c>
      <c r="B639" s="0" t="s">
        <v>402</v>
      </c>
      <c r="D639" s="21" t="n">
        <f aca="false">D633/fx/D625*1000</f>
        <v>88.0716581635228</v>
      </c>
      <c r="E639" s="21" t="n">
        <f aca="false">E633/fx/E625*1000</f>
        <v>117.428877551364</v>
      </c>
      <c r="F639" s="21" t="n">
        <f aca="false">F633/fx/F625*1000</f>
        <v>133.086061224879</v>
      </c>
      <c r="G639" s="21" t="n">
        <f aca="false">G633/fx/G625*1000</f>
        <v>140.914653061636</v>
      </c>
    </row>
    <row r="640" customFormat="false" ht="17.15" hidden="false" customHeight="false" outlineLevel="0" collapsed="false">
      <c r="A640" s="6" t="s">
        <v>445</v>
      </c>
    </row>
    <row r="641" customFormat="false" ht="17.15" hidden="false" customHeight="false" outlineLevel="0" collapsed="false">
      <c r="A641" s="4" t="s">
        <v>446</v>
      </c>
      <c r="B641" s="0" t="s">
        <v>49</v>
      </c>
      <c r="D641" s="17" t="n">
        <f aca="false">a26_gp/D636-d_ai*D638</f>
        <v>0.216982337009188</v>
      </c>
      <c r="K641" s="8" t="s">
        <v>447</v>
      </c>
    </row>
    <row r="642" customFormat="false" ht="17.15" hidden="false" customHeight="false" outlineLevel="0" collapsed="false">
      <c r="A642" s="0" t="s">
        <v>448</v>
      </c>
      <c r="B642" s="0" t="s">
        <v>49</v>
      </c>
      <c r="D642" s="17" t="n">
        <f aca="false">D641+d_ai</f>
        <v>0.336982337009188</v>
      </c>
      <c r="E642" s="17" t="n">
        <f aca="false">$D$642+gmu_27</f>
        <v>0.336982337009188</v>
      </c>
      <c r="F642" s="17" t="n">
        <f aca="false">$D$642+gmu_28</f>
        <v>0.336982337009188</v>
      </c>
      <c r="G642" s="17" t="n">
        <f aca="false">$D$642+gmu_29</f>
        <v>0.336982337009188</v>
      </c>
      <c r="K642" s="4" t="s">
        <v>449</v>
      </c>
    </row>
    <row r="643" customFormat="false" ht="15" hidden="false" customHeight="false" outlineLevel="0" collapsed="false">
      <c r="A643" s="4" t="s">
        <v>332</v>
      </c>
      <c r="B643" s="0" t="s">
        <v>146</v>
      </c>
      <c r="C643" s="22" t="n">
        <f aca="false">a25_gp</f>
        <v>38.039</v>
      </c>
      <c r="D643" s="22" t="n">
        <f aca="false">a26_gp</f>
        <v>54.0725822</v>
      </c>
      <c r="E643" s="22" t="n">
        <f aca="false">E633*E642+E635*$D$641</f>
        <v>85.5419243406162</v>
      </c>
      <c r="F643" s="22" t="n">
        <f aca="false">F633*F642+F635*$D$641</f>
        <v>94.39998451373</v>
      </c>
      <c r="G643" s="22" t="n">
        <f aca="false">G633*G642+G635*$D$641</f>
        <v>112.478765927812</v>
      </c>
    </row>
    <row r="644" customFormat="false" ht="15" hidden="false" customHeight="false" outlineLevel="0" collapsed="false">
      <c r="A644" s="4" t="s">
        <v>335</v>
      </c>
      <c r="B644" s="0" t="s">
        <v>49</v>
      </c>
      <c r="C644" s="17" t="n">
        <f aca="false">C643/C636</f>
        <v>0.229033326308818</v>
      </c>
      <c r="D644" s="17" t="n">
        <f aca="false">D643/D636</f>
        <v>0.254182337009188</v>
      </c>
      <c r="E644" s="17" t="n">
        <f aca="false">E643/E636</f>
        <v>0.278017576383058</v>
      </c>
      <c r="F644" s="17" t="n">
        <f aca="false">F643/F636</f>
        <v>0.281298193142361</v>
      </c>
      <c r="G644" s="17" t="n">
        <f aca="false">G643/G636</f>
        <v>0.287743408561371</v>
      </c>
    </row>
    <row r="645" customFormat="false" ht="15" hidden="false" customHeight="false" outlineLevel="0" collapsed="false">
      <c r="A645" s="4" t="s">
        <v>450</v>
      </c>
      <c r="B645" s="0" t="s">
        <v>146</v>
      </c>
      <c r="C645" s="22" t="n">
        <f aca="false">a25_opx</f>
        <v>21.301</v>
      </c>
      <c r="D645" s="22" t="n">
        <f aca="false">a26_opx</f>
        <v>25.21033346</v>
      </c>
      <c r="E645" s="22" t="n">
        <f aca="false">D645*(1+MAX(0,phi*E637))</f>
        <v>33.0872714105347</v>
      </c>
      <c r="F645" s="22" t="n">
        <f aca="false">E645*(1+MAX(0,phi*F637))</f>
        <v>35.1875695504215</v>
      </c>
      <c r="G645" s="22" t="n">
        <f aca="false">F645*(1+MAX(0,phi*G637))</f>
        <v>39.2473900170088</v>
      </c>
    </row>
    <row r="646" customFormat="false" ht="15" hidden="false" customHeight="false" outlineLevel="0" collapsed="false">
      <c r="A646" s="4" t="s">
        <v>337</v>
      </c>
      <c r="B646" s="0" t="s">
        <v>146</v>
      </c>
      <c r="C646" s="22" t="n">
        <f aca="false">C645</f>
        <v>21.301</v>
      </c>
      <c r="D646" s="22" t="n">
        <f aca="false">D645</f>
        <v>25.21033346</v>
      </c>
      <c r="E646" s="22" t="n">
        <f aca="false">E645+0*E636</f>
        <v>33.0872714105347</v>
      </c>
      <c r="F646" s="22" t="n">
        <f aca="false">F645+0*F636</f>
        <v>35.1875695504215</v>
      </c>
      <c r="G646" s="22" t="n">
        <f aca="false">G645+0*G636</f>
        <v>39.2473900170088</v>
      </c>
    </row>
    <row r="647" customFormat="false" ht="15" hidden="false" customHeight="false" outlineLevel="0" collapsed="false">
      <c r="A647" s="4" t="s">
        <v>340</v>
      </c>
      <c r="B647" s="0" t="s">
        <v>146</v>
      </c>
      <c r="C647" s="22" t="n">
        <f aca="false">C643-C646</f>
        <v>16.738</v>
      </c>
      <c r="D647" s="22" t="n">
        <f aca="false">D643-D646</f>
        <v>28.86224874</v>
      </c>
      <c r="E647" s="22" t="n">
        <f aca="false">E643-E646</f>
        <v>52.4546529300815</v>
      </c>
      <c r="F647" s="22" t="n">
        <f aca="false">F643-F646</f>
        <v>59.2124149633085</v>
      </c>
      <c r="G647" s="22" t="n">
        <f aca="false">G643-G646</f>
        <v>73.2313759108037</v>
      </c>
    </row>
    <row r="648" customFormat="false" ht="15" hidden="false" customHeight="false" outlineLevel="0" collapsed="false">
      <c r="A648" s="4" t="s">
        <v>342</v>
      </c>
      <c r="B648" s="0" t="s">
        <v>49</v>
      </c>
      <c r="C648" s="17" t="n">
        <f aca="false">C647/C636</f>
        <v>0.100779721227083</v>
      </c>
      <c r="D648" s="17" t="n">
        <f aca="false">D647/D636</f>
        <v>0.135674560703219</v>
      </c>
      <c r="E648" s="17" t="n">
        <f aca="false">E647/E636</f>
        <v>0.170481498867934</v>
      </c>
      <c r="F648" s="17" t="n">
        <f aca="false">F647/F636</f>
        <v>0.176444365182621</v>
      </c>
      <c r="G648" s="17" t="n">
        <f aca="false">G647/G636</f>
        <v>0.187340655317444</v>
      </c>
    </row>
    <row r="649" customFormat="false" ht="15" hidden="false" customHeight="false" outlineLevel="0" collapsed="false">
      <c r="A649" s="4" t="s">
        <v>344</v>
      </c>
      <c r="B649" s="0" t="s">
        <v>146</v>
      </c>
      <c r="C649" s="22" t="n">
        <f aca="false">a25_nop</f>
        <v>2.9762895</v>
      </c>
      <c r="D649" s="22" t="n">
        <f aca="false">a26_nop</f>
        <v>3.839</v>
      </c>
      <c r="E649" s="22" t="n">
        <f aca="false">nop_f</f>
        <v>3.5</v>
      </c>
      <c r="F649" s="22" t="n">
        <f aca="false">nop_f</f>
        <v>3.5</v>
      </c>
      <c r="G649" s="22" t="n">
        <f aca="false">nop_f</f>
        <v>3.5</v>
      </c>
    </row>
    <row r="650" customFormat="false" ht="17.15" hidden="false" customHeight="false" outlineLevel="0" collapsed="false">
      <c r="A650" s="4" t="s">
        <v>451</v>
      </c>
      <c r="B650" s="0" t="s">
        <v>49</v>
      </c>
      <c r="C650" s="17" t="n">
        <f aca="false">a25_ni/a25_pt</f>
        <v>0.766753475949514</v>
      </c>
      <c r="D650" s="17" t="n">
        <f aca="false">a26_ni/a26_pt</f>
        <v>0.759431002022174</v>
      </c>
      <c r="E650" s="17" t="n">
        <f aca="false">nir_f_hi</f>
        <v>0.78</v>
      </c>
      <c r="F650" s="17" t="n">
        <f aca="false">nir_f_hi</f>
        <v>0.78</v>
      </c>
      <c r="G650" s="17" t="n">
        <f aca="false">nir_f_hi</f>
        <v>0.78</v>
      </c>
    </row>
    <row r="651" customFormat="false" ht="15" hidden="false" customHeight="false" outlineLevel="0" collapsed="false">
      <c r="A651" s="4" t="s">
        <v>349</v>
      </c>
      <c r="B651" s="0" t="s">
        <v>146</v>
      </c>
      <c r="C651" s="22" t="n">
        <f aca="false">a25_ni</f>
        <v>15.116</v>
      </c>
      <c r="D651" s="22" t="n">
        <f aca="false">a26_ni</f>
        <v>24.8343420979946</v>
      </c>
      <c r="E651" s="22" t="n">
        <f aca="false">(E647+E649)*E650</f>
        <v>43.6446292854636</v>
      </c>
      <c r="F651" s="22" t="n">
        <f aca="false">(F647+F649)*F650</f>
        <v>48.9156836713807</v>
      </c>
      <c r="G651" s="22" t="n">
        <f aca="false">(G647+G649)*G650</f>
        <v>59.8504732104269</v>
      </c>
      <c r="H651" s="24" t="n">
        <f aca="false">H636*H655</f>
        <v>60.4915387768565</v>
      </c>
      <c r="I651" s="24" t="n">
        <f aca="false">I636*I655</f>
        <v>58.1451658072319</v>
      </c>
      <c r="J651" s="24" t="n">
        <f aca="false">J636*J655</f>
        <v>52.8966947284279</v>
      </c>
    </row>
    <row r="652" customFormat="false" ht="15" hidden="false" customHeight="false" outlineLevel="0" collapsed="false">
      <c r="A652" s="4" t="s">
        <v>452</v>
      </c>
      <c r="B652" s="4" t="s">
        <v>176</v>
      </c>
      <c r="C652" s="27" t="n">
        <f aca="false">a25_sh</f>
        <v>2.27650602409639</v>
      </c>
      <c r="D652" s="27" t="n">
        <f aca="false">a26_sh</f>
        <v>2.26895833333333</v>
      </c>
      <c r="E652" s="27" t="n">
        <f aca="false">D652*(1+sh_g)</f>
        <v>2.26895833333333</v>
      </c>
      <c r="F652" s="27" t="n">
        <f aca="false">E652*(1+sh_g)</f>
        <v>2.26895833333333</v>
      </c>
      <c r="G652" s="27" t="n">
        <f aca="false">F652*(1+sh_g)</f>
        <v>2.26895833333333</v>
      </c>
      <c r="H652" s="28" t="n">
        <f aca="false">G652*(1+sh_g)</f>
        <v>2.26895833333333</v>
      </c>
      <c r="I652" s="28" t="n">
        <f aca="false">H652*(1+sh_g)</f>
        <v>2.26895833333333</v>
      </c>
      <c r="J652" s="28" t="n">
        <f aca="false">I652*(1+sh_g)</f>
        <v>2.26895833333333</v>
      </c>
    </row>
    <row r="653" customFormat="false" ht="15" hidden="false" customHeight="false" outlineLevel="0" collapsed="false">
      <c r="A653" s="0" t="s">
        <v>355</v>
      </c>
      <c r="B653" s="0" t="s">
        <v>209</v>
      </c>
      <c r="C653" s="23" t="n">
        <f aca="false">C651/C652</f>
        <v>6.64</v>
      </c>
      <c r="D653" s="23" t="n">
        <f aca="false">D651/D652</f>
        <v>10.9452614149641</v>
      </c>
      <c r="E653" s="23" t="n">
        <f aca="false">E651/E652</f>
        <v>19.2355358158319</v>
      </c>
      <c r="F653" s="23" t="n">
        <f aca="false">F651/F652</f>
        <v>21.5586522470505</v>
      </c>
      <c r="G653" s="23" t="n">
        <f aca="false">G651/G652</f>
        <v>26.3779516490725</v>
      </c>
      <c r="H653" s="29" t="n">
        <f aca="false">H651/H652</f>
        <v>26.660489039474</v>
      </c>
      <c r="I653" s="29" t="n">
        <f aca="false">I651/I652</f>
        <v>25.6263700187965</v>
      </c>
      <c r="J653" s="29" t="n">
        <f aca="false">J651/J652</f>
        <v>23.313206748366</v>
      </c>
    </row>
    <row r="654" customFormat="false" ht="17.15" hidden="false" customHeight="false" outlineLevel="0" collapsed="false">
      <c r="A654" s="0" t="s">
        <v>453</v>
      </c>
      <c r="B654" s="0" t="s">
        <v>49</v>
      </c>
      <c r="D654" s="17" t="n">
        <f aca="false">D653/C653-1</f>
        <v>0.648382743217484</v>
      </c>
      <c r="E654" s="17" t="n">
        <f aca="false">E653/D653-1</f>
        <v>0.757430461143079</v>
      </c>
      <c r="F654" s="17" t="n">
        <f aca="false">F653/E653-1</f>
        <v>0.120772119553154</v>
      </c>
      <c r="G654" s="17" t="n">
        <f aca="false">G653/F653-1</f>
        <v>0.223543630965214</v>
      </c>
      <c r="H654" s="25" t="n">
        <f aca="false">H653/G653-1</f>
        <v>0.010711119428843</v>
      </c>
      <c r="I654" s="25" t="n">
        <f aca="false">I653/H653-1</f>
        <v>-0.0387884490470649</v>
      </c>
      <c r="J654" s="25" t="n">
        <f aca="false">J653/I653-1</f>
        <v>-0.0902649602239373</v>
      </c>
    </row>
    <row r="655" customFormat="false" ht="17.15" hidden="false" customHeight="false" outlineLevel="0" collapsed="false">
      <c r="A655" s="4" t="s">
        <v>454</v>
      </c>
      <c r="B655" s="0" t="s">
        <v>49</v>
      </c>
      <c r="C655" s="17" t="n">
        <f aca="false">C651/C636</f>
        <v>0.0910136375952073</v>
      </c>
      <c r="D655" s="17" t="n">
        <f aca="false">D651/D636</f>
        <v>0.116740330417472</v>
      </c>
      <c r="E655" s="17" t="n">
        <f aca="false">E651/E636</f>
        <v>0.141848270887218</v>
      </c>
      <c r="F655" s="17" t="n">
        <f aca="false">F651/F636</f>
        <v>0.145761606889685</v>
      </c>
      <c r="G655" s="17" t="n">
        <f aca="false">G651/G636</f>
        <v>0.153109602719431</v>
      </c>
      <c r="H655" s="25" t="n">
        <f aca="false">$G655+(fade_mB-$G655)*1/3</f>
        <v>0.137773687724657</v>
      </c>
      <c r="I655" s="25" t="n">
        <f aca="false">$G655+(fade_mB-$G655)*2/3</f>
        <v>0.122437772729882</v>
      </c>
      <c r="J655" s="25" t="n">
        <f aca="false">$G655+(fade_mB-$G655)*3/3</f>
        <v>0.107101857735107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1" t="s">
        <v>743</v>
      </c>
    </row>
    <row r="2" customFormat="false" ht="17.15" hidden="false" customHeight="false" outlineLevel="0" collapsed="false">
      <c r="A2" s="4" t="s">
        <v>744</v>
      </c>
      <c r="B2" s="0" t="s">
        <v>745</v>
      </c>
    </row>
    <row r="3" customFormat="false" ht="17.15" hidden="false" customHeight="false" outlineLevel="0" collapsed="false">
      <c r="A3" s="4" t="s">
        <v>746</v>
      </c>
      <c r="B3" s="0" t="s">
        <v>747</v>
      </c>
    </row>
    <row r="4" customFormat="false" ht="17.15" hidden="false" customHeight="false" outlineLevel="0" collapsed="false">
      <c r="A4" s="4" t="s">
        <v>748</v>
      </c>
      <c r="B4" s="0" t="s">
        <v>749</v>
      </c>
    </row>
    <row r="5" customFormat="false" ht="17.15" hidden="false" customHeight="false" outlineLevel="0" collapsed="false">
      <c r="A5" s="4" t="s">
        <v>750</v>
      </c>
      <c r="B5" s="0" t="s">
        <v>751</v>
      </c>
    </row>
    <row r="6" customFormat="false" ht="17.15" hidden="false" customHeight="false" outlineLevel="0" collapsed="false">
      <c r="A6" s="4" t="s">
        <v>752</v>
      </c>
      <c r="B6" s="0" t="s">
        <v>753</v>
      </c>
    </row>
    <row r="7" customFormat="false" ht="17.15" hidden="false" customHeight="false" outlineLevel="0" collapsed="false">
      <c r="A7" s="4" t="s">
        <v>754</v>
      </c>
      <c r="B7" s="0" t="s">
        <v>755</v>
      </c>
    </row>
    <row r="8" customFormat="false" ht="17.15" hidden="false" customHeight="false" outlineLevel="0" collapsed="false">
      <c r="A8" s="4" t="s">
        <v>756</v>
      </c>
      <c r="B8" s="0" t="s">
        <v>262</v>
      </c>
    </row>
    <row r="9" customFormat="false" ht="17.15" hidden="false" customHeight="false" outlineLevel="0" collapsed="false">
      <c r="A9" s="4" t="s">
        <v>757</v>
      </c>
      <c r="B9" s="0" t="s">
        <v>758</v>
      </c>
    </row>
    <row r="10" customFormat="false" ht="17.15" hidden="false" customHeight="false" outlineLevel="0" collapsed="false">
      <c r="A10" s="4" t="s">
        <v>759</v>
      </c>
      <c r="B10" s="0" t="s">
        <v>760</v>
      </c>
    </row>
    <row r="11" customFormat="false" ht="17.15" hidden="false" customHeight="false" outlineLevel="0" collapsed="false">
      <c r="A11" s="4" t="s">
        <v>761</v>
      </c>
      <c r="B11" s="0" t="s">
        <v>210</v>
      </c>
    </row>
    <row r="12" customFormat="false" ht="17.15" hidden="false" customHeight="false" outlineLevel="0" collapsed="false">
      <c r="A12" s="4" t="s">
        <v>762</v>
      </c>
      <c r="B12" s="0" t="s">
        <v>763</v>
      </c>
    </row>
    <row r="13" customFormat="false" ht="17.15" hidden="false" customHeight="false" outlineLevel="0" collapsed="false">
      <c r="A13" s="4" t="s">
        <v>764</v>
      </c>
      <c r="B13" s="0" t="s">
        <v>765</v>
      </c>
    </row>
    <row r="14" customFormat="false" ht="17.15" hidden="false" customHeight="false" outlineLevel="0" collapsed="false">
      <c r="A14" s="4" t="s">
        <v>766</v>
      </c>
      <c r="B14" s="0" t="s">
        <v>767</v>
      </c>
    </row>
    <row r="15" customFormat="false" ht="17.15" hidden="false" customHeight="false" outlineLevel="0" collapsed="false">
      <c r="A15" s="4" t="s">
        <v>768</v>
      </c>
      <c r="B15" s="0" t="s">
        <v>769</v>
      </c>
    </row>
    <row r="16" customFormat="false" ht="17.15" hidden="false" customHeight="false" outlineLevel="0" collapsed="false">
      <c r="A16" s="4" t="s">
        <v>770</v>
      </c>
    </row>
    <row r="17" customFormat="false" ht="17.15" hidden="false" customHeight="false" outlineLevel="0" collapsed="false">
      <c r="A17" s="4" t="s">
        <v>771</v>
      </c>
      <c r="B17" s="4" t="s">
        <v>772</v>
      </c>
    </row>
    <row r="18" customFormat="false" ht="17.15" hidden="false" customHeight="false" outlineLevel="0" collapsed="false">
      <c r="A18" s="4" t="s">
        <v>773</v>
      </c>
      <c r="B18" s="4" t="s">
        <v>772</v>
      </c>
    </row>
    <row r="19" customFormat="false" ht="15" hidden="false" customHeight="false" outlineLevel="0" collapsed="false">
      <c r="A19" s="0" t="s">
        <v>774</v>
      </c>
      <c r="B19" s="4" t="s">
        <v>775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2026-10-25T05:48:37Z</dcterms:created>
  <dc:creator>openpyxl</dc:creator>
  <dc:description/>
  <dc:language>en-US</dc:language>
  <cp:lastModifiedBy/>
  <dcterms:modified xsi:type="dcterms:W3CDTF">2026-10-25T05:48:37Z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