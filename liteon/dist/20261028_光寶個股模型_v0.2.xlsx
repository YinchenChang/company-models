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cl" vbProcedure="false">Q!$B$32</definedName>
    <definedName function="false" hidden="false" name="a25_cn" vbProcedure="false">Q!$B$37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c" vbProcedure="false">Q!$B$34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" vbProcedure="false">Q!$B$33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cl" vbProcedure="false">Q!$F$32</definedName>
    <definedName function="false" hidden="false" name="a26_cn" vbProcedure="false">Q!$F$37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c" vbProcedure="false">Q!$F$34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" vbProcedure="false">Q!$F$33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In!$E$98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In!$E$99</definedName>
    <definedName function="false" hidden="false" name="d_ai" vbProcedure="false">In!$E$54</definedName>
    <definedName function="false" hidden="false" name="d_aip26" vbProcedure="false">In!$E$83</definedName>
    <definedName function="false" hidden="false" name="d_aip27" vbProcedure="false">In!$E$86</definedName>
    <definedName function="false" hidden="false" name="d_aip28" vbProcedure="false">In!$E$89</definedName>
    <definedName function="false" hidden="false" name="d_aip29" vbProcedure="false">In!$E$92</definedName>
    <definedName function="false" hidden="false" name="d_ai_hi" vbProcedure="false">In!$F$54</definedName>
    <definedName function="false" hidden="false" name="d_ai_lo" vbProcedure="false">In!$D$54</definedName>
    <definedName function="false" hidden="false" name="d_pmk26" vbProcedure="false">In!$E$82</definedName>
    <definedName function="false" hidden="false" name="d_pmk27" vbProcedure="false">In!$E$85</definedName>
    <definedName function="false" hidden="false" name="d_pmk28" vbProcedure="false">In!$E$88</definedName>
    <definedName function="false" hidden="false" name="d_pmk29" vbProcedure="false">In!$E$91</definedName>
    <definedName function="false" hidden="false" name="d_sh26" vbProcedure="false">In!$E$81</definedName>
    <definedName function="false" hidden="false" name="d_sh27" vbProcedure="false">In!$E$84</definedName>
    <definedName function="false" hidden="false" name="d_sh28" vbProcedure="false">In!$E$87</definedName>
    <definedName function="false" hidden="false" name="d_sh29" vbProcedure="false">In!$E$90</definedName>
    <definedName function="false" hidden="false" name="fade_gA" vbProcedure="false">In!$E$109</definedName>
    <definedName function="false" hidden="false" name="fade_gB" vbProcedure="false">In!$E$110</definedName>
    <definedName function="false" hidden="false" name="fade_gC" vbProcedure="false">In!$E$111</definedName>
    <definedName function="false" hidden="false" name="fade_mA" vbProcedure="false">In!$E$112</definedName>
    <definedName function="false" hidden="false" name="fade_mB" vbProcedure="false">In!$E$113</definedName>
    <definedName function="false" hidden="false" name="fade_mC" vbProcedure="false">In!$E$114</definedName>
    <definedName function="false" hidden="false" name="fpe" vbProcedure="false">In!$E$97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1_cl" vbProcedure="false">In!$E$39</definedName>
    <definedName function="false" hidden="false" name="g1_ic" vbProcedure="false">In!$E$41</definedName>
    <definedName function="false" hidden="false" name="g1_op" vbProcedure="false">In!$E$40</definedName>
    <definedName function="false" hidden="false" name="gmu_27" vbProcedure="false">In!$E$55</definedName>
    <definedName function="false" hidden="false" name="gmu_27_hi" vbProcedure="false">In!$F$55</definedName>
    <definedName function="false" hidden="false" name="gmu_27_lo" vbProcedure="false">In!$D$55</definedName>
    <definedName function="false" hidden="false" name="gmu_28" vbProcedure="false">In!$E$56</definedName>
    <definedName function="false" hidden="false" name="gmu_28_hi" vbProcedure="false">In!$F$56</definedName>
    <definedName function="false" hidden="false" name="gmu_28_lo" vbProcedure="false">In!$D$56</definedName>
    <definedName function="false" hidden="false" name="gmu_29" vbProcedure="false">In!$E$57</definedName>
    <definedName function="false" hidden="false" name="gmu_29_hi" vbProcedure="false">In!$F$57</definedName>
    <definedName function="false" hidden="false" name="gmu_29_lo" vbProcedure="false">In!$D$57</definedName>
    <definedName function="false" hidden="false" name="GUHI_27" vbProcedure="false">In!$F$55</definedName>
    <definedName function="false" hidden="false" name="GUHI_28" vbProcedure="false">In!$F$56</definedName>
    <definedName function="false" hidden="false" name="GUHI_29" vbProcedure="false">In!$F$57</definedName>
    <definedName function="false" hidden="false" name="GULO_27" vbProcedure="false">In!$D$55</definedName>
    <definedName function="false" hidden="false" name="GULO_28" vbProcedure="false">In!$D$56</definedName>
    <definedName function="false" hidden="false" name="GULO_29" vbProcedure="false">In!$D$57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nHI27" vbProcedure="false">In!$F$44</definedName>
    <definedName function="false" hidden="false" name="g_cnHI28" vbProcedure="false">In!$F$45</definedName>
    <definedName function="false" hidden="false" name="g_cnHI29" vbProcedure="false">In!$F$46</definedName>
    <definedName function="false" hidden="false" name="g_cnLO27" vbProcedure="false">In!$D$44</definedName>
    <definedName function="false" hidden="false" name="g_cnLO28" vbProcedure="false">In!$D$45</definedName>
    <definedName function="false" hidden="false" name="g_cnLO29" vbProcedure="false">In!$D$46</definedName>
    <definedName function="false" hidden="false" name="g_ic27" vbProcedure="false">In!$E$50</definedName>
    <definedName function="false" hidden="false" name="g_ic27_hi" vbProcedure="false">In!$F$50</definedName>
    <definedName function="false" hidden="false" name="g_ic27_lo" vbProcedure="false">In!$D$50</definedName>
    <definedName function="false" hidden="false" name="g_ic28" vbProcedure="false">In!$E$51</definedName>
    <definedName function="false" hidden="false" name="g_ic28_hi" vbProcedure="false">In!$F$51</definedName>
    <definedName function="false" hidden="false" name="g_ic28_lo" vbProcedure="false">In!$D$51</definedName>
    <definedName function="false" hidden="false" name="g_ic29" vbProcedure="false">In!$E$52</definedName>
    <definedName function="false" hidden="false" name="g_ic29_hi" vbProcedure="false">In!$F$52</definedName>
    <definedName function="false" hidden="false" name="g_ic29_lo" vbProcedure="false">In!$D$52</definedName>
    <definedName function="false" hidden="false" name="g_icHI27" vbProcedure="false">In!$F$50</definedName>
    <definedName function="false" hidden="false" name="g_icHI28" vbProcedure="false">In!$F$51</definedName>
    <definedName function="false" hidden="false" name="g_icHI29" vbProcedure="false">In!$F$52</definedName>
    <definedName function="false" hidden="false" name="g_icLO27" vbProcedure="false">In!$D$50</definedName>
    <definedName function="false" hidden="false" name="g_icLO28" vbProcedure="false">In!$D$51</definedName>
    <definedName function="false" hidden="false" name="g_icLO29" vbProcedure="false">In!$D$52</definedName>
    <definedName function="false" hidden="false" name="g_op27" vbProcedure="false">In!$E$47</definedName>
    <definedName function="false" hidden="false" name="g_op27_hi" vbProcedure="false">In!$F$47</definedName>
    <definedName function="false" hidden="false" name="g_op27_lo" vbProcedure="false">In!$D$47</definedName>
    <definedName function="false" hidden="false" name="g_op28" vbProcedure="false">In!$E$48</definedName>
    <definedName function="false" hidden="false" name="g_op28_hi" vbProcedure="false">In!$F$48</definedName>
    <definedName function="false" hidden="false" name="g_op28_lo" vbProcedure="false">In!$D$48</definedName>
    <definedName function="false" hidden="false" name="g_op29" vbProcedure="false">In!$E$49</definedName>
    <definedName function="false" hidden="false" name="g_op29_hi" vbProcedure="false">In!$F$49</definedName>
    <definedName function="false" hidden="false" name="g_op29_lo" vbProcedure="false">In!$D$49</definedName>
    <definedName function="false" hidden="false" name="g_opHI27" vbProcedure="false">In!$F$47</definedName>
    <definedName function="false" hidden="false" name="g_opHI28" vbProcedure="false">In!$F$48</definedName>
    <definedName function="false" hidden="false" name="g_opHI29" vbProcedure="false">In!$F$49</definedName>
    <definedName function="false" hidden="false" name="g_opLO27" vbProcedure="false">In!$D$47</definedName>
    <definedName function="false" hidden="false" name="g_opLO28" vbProcedure="false">In!$D$48</definedName>
    <definedName function="false" hidden="false" name="g_opLO29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In!$E$93</definedName>
    <definedName function="false" hidden="false" name="kgi_dsh_hi" vbProcedure="false">In!$F$93</definedName>
    <definedName function="false" hidden="false" name="kgi_dsh_lo" vbProcedure="false">In!$D$93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In!$E$100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In!$E$96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In!$E$95</definedName>
    <definedName function="false" hidden="false" name="q2_cl" vbProcedure="false">In!$E$36</definedName>
    <definedName function="false" hidden="false" name="q2_ic" vbProcedure="false">In!$E$38</definedName>
    <definedName function="false" hidden="false" name="q2_op" vbProcedure="false">In!$E$37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r" vbProcedure="false">In!$E$65</definedName>
    <definedName function="false" hidden="false" name="q_nir_hi" vbProcedure="false">In!$F$65</definedName>
    <definedName function="false" hidden="false" name="q_nir_lo" vbProcedure="false">In!$D$65</definedName>
    <definedName function="false" hidden="false" name="q_nop" vbProcedure="false">In!$E$64</definedName>
    <definedName function="false" hidden="false" name="q_nop_hi" vbProcedure="false">In!$F$64</definedName>
    <definedName function="false" hidden="false" name="q_nop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In!$E$66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rm_factor" vbProcedure="false">Val!$B$137</definedName>
    <definedName function="false" hidden="false" name="s25_cl" vbProcedure="false">In!$E$33</definedName>
    <definedName function="false" hidden="false" name="s25_ic" vbProcedure="false">In!$E$35</definedName>
    <definedName function="false" hidden="false" name="s25_op" vbProcedure="false">In!$E$34</definedName>
    <definedName function="false" hidden="false" name="s2h_cl" vbProcedure="false">In!$E$42</definedName>
    <definedName function="false" hidden="false" name="s2h_cl_hi" vbProcedure="false">In!$F$42</definedName>
    <definedName function="false" hidden="false" name="s2h_cl_lo" vbProcedure="false">In!$D$42</definedName>
    <definedName function="false" hidden="false" name="s2h_op" vbProcedure="false">In!$E$43</definedName>
    <definedName function="false" hidden="false" name="s2h_op_hi" vbProcedure="false">In!$F$43</definedName>
    <definedName function="false" hidden="false" name="s2h_op_lo" vbProcedure="false">In!$D$43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tp_comp_adj" vbProcedure="false">Val!$B$138</definedName>
    <definedName function="false" hidden="false" name="tp_g" vbProcedure="false">In!$E$106</definedName>
    <definedName function="false" hidden="false" name="tp_r" vbProcedure="false">In!$E$105</definedName>
    <definedName function="false" hidden="false" name="tp_roe" vbProcedure="false">In!$E$107</definedName>
    <definedName function="false" hidden="false" name="tp_wA" vbProcedure="false">In!$E$102</definedName>
    <definedName function="false" hidden="false" name="tp_wB" vbProcedure="false">In!$E$103</definedName>
    <definedName function="false" hidden="false" name="tp_wC" vbProcedure="false">In!$E$104</definedName>
    <definedName function="false" hidden="false" name="tp_w_dcf" vbProcedure="false">In!$E$108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<sst xmlns="http://schemas.openxmlformats.org/spreadsheetml/2006/main" count="3130" uniqueCount="909">
  <si>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</si>
  <si>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：依個股模型原則重建營收層——營收列改為官方三大事業群〔雲端及物聯網、光電、資訊及消費性電子〕，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相關為雲端及物聯網的子列，分部合計＝合併營收；非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單一成長率改為三條分部成長率；每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內容改讀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</si>
  <si>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</si>
  <si>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</si>
  <si>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</si>
  <si>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</si>
  <si>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</si>
  <si>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營收分部：雲端及物聯網＝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相關（命題模組）＋非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）；光電＝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）；資訊及消費性電子＝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資訊產品 −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、低軌衛星電源倍增）。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各事業群＝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簡報＋季增）＋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</si>
  <si>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</si>
  <si>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</si>
  <si>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</si>
  <si>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</si>
  <si>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</si>
  <si>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</si>
  <si>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</si>
  <si>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</si>
  <si>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毛利率全部）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34.8%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531</t>
    </r>
    <r>
      <rPr>
        <sz val="11"/>
        <color theme="1"/>
        <rFont val="Noto Sans CJK SC"/>
        <family val="2"/>
      </rPr>
      <t xml:space="preserve">；單一變數中份額流失 −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</si>
  <si>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前後）：本版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26%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相關營收只有年度占比（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），季度金額未揭露。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</si>
  <si>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</si>
  <si>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</si>
  <si>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</si>
  <si>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</si>
  <si>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</si>
  <si>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</si>
  <si>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</si>
  <si>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</si>
  <si>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</si>
  <si>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</si>
  <si>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</si>
  <si>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</si>
  <si>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</si>
  <si>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</si>
  <si>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</si>
  <si>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</si>
  <si>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</si>
  <si>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</si>
  <si>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</si>
  <si>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</si>
  <si>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</si>
  <si>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</si>
  <si>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</si>
  <si>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</si>
  <si>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</si>
  <si>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</si>
  <si>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</si>
  <si>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</si>
  <si>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</si>
  <si>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</si>
  <si>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</si>
  <si>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</si>
  <si>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</si>
  <si>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</si>
  <si>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</si>
  <si>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</si>
  <si>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</si>
  <si>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</si>
  <si>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</si>
  <si>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</si>
  <si>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</si>
  <si>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</si>
  <si>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</si>
  <si>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</si>
  <si>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</si>
  <si>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</si>
  <si>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</si>
  <si>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</si>
  <si>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</si>
  <si>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</si>
  <si>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</si>
  <si>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</si>
  <si>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</si>
  <si>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</si>
  <si>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</si>
  <si>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</si>
  <si>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</si>
  <si>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</si>
  <si>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</si>
  <si>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</si>
  <si>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</si>
  <si>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</si>
  <si>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</si>
  <si>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</si>
  <si>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</si>
  <si>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</si>
  <si>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</si>
  <si>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</si>
  <si>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delta/dist/20261028_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</si>
  <si>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</si>
  <si>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</si>
  <si>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</si>
  <si>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</si>
  <si>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</si>
  <si>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</si>
  <si>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內容唯一值；含機架電源櫃、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電源櫃；口徑與台達電模型相同）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</si>
  <si>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</si>
  <si>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</si>
  <si>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SIF_pwr_pkw_27</t>
    </r>
  </si>
  <si>
    <r>
      <rPr>
        <sz val="11"/>
        <color theme="1"/>
        <rFont val="Noto Sans CJK SC"/>
        <family val="2"/>
      </rPr>
      <t xml:space="preserve">同上；低／高亦取自本庫（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</si>
  <si>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</si>
  <si>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</si>
  <si>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SIF_pwr_pkw_28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</si>
  <si>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</si>
  <si>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</si>
  <si>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SIF_pwr_pkw_29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</si>
  <si>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</si>
  <si>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</si>
  <si>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</si>
  <si>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</si>
  <si>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</si>
  <si>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</si>
  <si>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</si>
  <si>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</si>
  <si>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</si>
  <si>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</si>
  <si>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</si>
  <si>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</si>
  <si>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</si>
  <si>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</si>
  <si>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</si>
  <si>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</si>
  <si>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</si>
  <si>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</si>
  <si>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</si>
  <si>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</si>
  <si>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</si>
  <si>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營收分部（官方三大事業群：雲端及物聯網、光電、資訊及消費性電子；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</si>
  <si>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s25_cl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</si>
  <si>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</si>
  <si>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</si>
  <si>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Noto Sans CJK SC"/>
        <family val="2"/>
      </rPr>
      <t xml:space="preserve">月營收新聞稿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：雲端及物聯網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、資訊及消費性電子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（單月，旺得富 </t>
    </r>
    <r>
      <rPr>
        <sz val="11"/>
        <color theme="1"/>
        <rFont val="Calibri"/>
        <family val="2"/>
        <charset val="1"/>
      </rPr>
      <t xml:space="preserve">2026-01-08</t>
    </r>
    <r>
      <rPr>
        <sz val="11"/>
        <color theme="1"/>
        <rFont val="Noto Sans CJK SC"/>
        <family val="2"/>
      </rPr>
      <t xml:space="preserve">）</t>
    </r>
  </si>
  <si>
    <t xml:space="preserve">s25_op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</si>
  <si>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</si>
  <si>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s25_ic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</si>
  <si>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年資訊及消費性電子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</si>
  <si>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雲端及物聯網 − 光電（公司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</si>
  <si>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公司比例為四捨五入值，合計 </t>
    </r>
    <r>
      <rPr>
        <sz val="11"/>
        <color theme="1"/>
        <rFont val="Calibri"/>
        <family val="2"/>
        <charset val="1"/>
      </rPr>
      <t xml:space="preserve">100%</t>
    </r>
  </si>
  <si>
    <t xml:space="preserve">q2_cl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</si>
  <si>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雲端及物聯網營收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</si>
  <si>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</si>
  <si>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</si>
  <si>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2Q26 Cloud and AIoT 289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，季增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Opto-electronics 80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IT and Consumer Electronics 158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</si>
  <si>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億，雲端及物聯網占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</si>
  <si>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q2_op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</si>
  <si>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光電營收</t>
    </r>
  </si>
  <si>
    <t xml:space="preserve">q2_ic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</si>
  <si>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資訊及消費性電子營收</t>
    </r>
  </si>
  <si>
    <r>
      <rPr>
        <sz val="11"/>
        <color theme="1"/>
        <rFont val="Noto Sans CJK SC"/>
        <family val="2"/>
      </rPr>
      <t xml:space="preserve">三事業群合計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億＝合併營收 </t>
    </r>
    <r>
      <rPr>
        <sz val="11"/>
        <color theme="1"/>
        <rFont val="Calibri"/>
        <family val="2"/>
        <charset val="1"/>
      </rPr>
      <t xml:space="preserve">52.703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</si>
  <si>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g1_cl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</si>
  <si>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雲端及物聯網季增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</si>
  <si>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</si>
  <si>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g1_op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</si>
  <si>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光電季增</t>
    </r>
  </si>
  <si>
    <t xml:space="preserve">g1_ic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</si>
  <si>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</si>
  <si>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434.7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434.07 </t>
    </r>
    <r>
      <rPr>
        <sz val="11"/>
        <color theme="1"/>
        <rFont val="Noto Sans CJK SC"/>
        <family val="2"/>
      </rPr>
      <t xml:space="preserve">億（季增四捨五入，差額併入資訊及消費性電子）</t>
    </r>
  </si>
  <si>
    <t xml:space="preserve">s2h_cl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</si>
  <si>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</si>
  <si>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各事業群營收：未找到（月營收新聞稿未取得）</t>
    </r>
  </si>
  <si>
    <r>
      <rPr>
        <sz val="11"/>
        <color theme="1"/>
        <rFont val="Noto Sans CJK SC"/>
        <family val="2"/>
      </rPr>
      <t xml:space="preserve">公司：雲端運算全年年增超過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</si>
  <si>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s2h_op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</si>
  <si>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</si>
  <si>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15.2%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 ÷ 527</t>
    </r>
    <r>
      <rPr>
        <sz val="11"/>
        <color theme="1"/>
        <rFont val="Noto Sans CJK SC"/>
        <family val="2"/>
      </rPr>
      <t xml:space="preserve">）</t>
    </r>
  </si>
  <si>
    <t xml:space="preserve">g_cn27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</si>
  <si>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</si>
  <si>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：工控、標準電源、邊緣運算擴充；車用電源（富果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</si>
  <si>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由錨點反推（雲端及物聯網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</si>
  <si>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g_cn28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</si>
  <si>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</si>
  <si>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g_cn29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</si>
  <si>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</si>
  <si>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g_op27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</si>
  <si>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</si>
  <si>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r>
      <rPr>
        <sz val="11"/>
        <color theme="1"/>
        <rFont val="Noto Sans CJK SC"/>
        <family val="2"/>
      </rPr>
      <t xml:space="preserve">公司：高階光耦合器用於工控、新能源與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電能（</t>
    </r>
    <r>
      <rPr>
        <sz val="11"/>
        <color theme="1"/>
        <rFont val="Calibri"/>
        <family val="2"/>
        <charset val="1"/>
      </rPr>
      <t xml:space="preserve">technews 2026-03-10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</si>
  <si>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，權益法）不併入營收</t>
    </r>
  </si>
  <si>
    <t xml:space="preserve">g_op28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</si>
  <si>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</si>
  <si>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g_op29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</si>
  <si>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</si>
  <si>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g_ic27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</si>
  <si>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</si>
  <si>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（記憶體短缺）；下半年持平（富果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</si>
  <si>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低軌衛星高階電源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年增一倍以上（</t>
    </r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</si>
  <si>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g_ic28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</si>
  <si>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</si>
  <si>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t xml:space="preserve">g_ic29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</si>
  <si>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</si>
  <si>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</si>
  <si>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</si>
  <si>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</si>
  <si>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</si>
  <si>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</si>
  <si>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</si>
  <si>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</si>
  <si>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</si>
  <si>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</si>
  <si>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</si>
  <si>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</si>
  <si>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</si>
  <si>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</si>
  <si>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</si>
  <si>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</si>
  <si>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</si>
  <si>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</si>
  <si>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</si>
  <si>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</si>
  <si>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</si>
  <si>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</si>
  <si>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</si>
  <si>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</si>
  <si>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</si>
  <si>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</si>
  <si>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</si>
  <si>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</si>
  <si>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</si>
  <si>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</si>
  <si>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</si>
  <si>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</si>
  <si>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</si>
  <si>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</si>
  <si>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</si>
  <si>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</si>
  <si>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</si>
  <si>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</si>
  <si>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</si>
  <si>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</si>
  <si>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</si>
  <si>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</si>
  <si>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</si>
  <si>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</si>
  <si>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</si>
  <si>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</si>
  <si>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</si>
  <si>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</si>
  <si>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</si>
  <si>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</si>
  <si>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</si>
  <si>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</si>
  <si>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</si>
  <si>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</si>
  <si>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</si>
  <si>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</si>
  <si>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</si>
  <si>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</si>
  <si>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</si>
  <si>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</si>
  <si>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</si>
  <si>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</si>
  <si>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</si>
  <si>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</si>
  <si>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</si>
  <si>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</si>
  <si>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</si>
  <si>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</si>
  <si>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</si>
  <si>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</si>
  <si>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</si>
  <si>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</si>
  <si>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</si>
  <si>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</si>
  <si>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</si>
  <si>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</si>
  <si>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</si>
  <si>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</si>
  <si>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</si>
  <si>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</si>
  <si>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</si>
  <si>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</si>
  <si>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</si>
  <si>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</si>
  <si>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</si>
  <si>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</si>
  <si>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</si>
  <si>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</si>
  <si>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</si>
  <si>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</si>
  <si>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</si>
  <si>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</si>
  <si>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</si>
  <si>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delta/dist/20261028_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</si>
  <si>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</si>
  <si>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</si>
  <si>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</si>
  <si>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delta/dist/20261028_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</si>
  <si>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</si>
  <si>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</si>
  <si>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</si>
  <si>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delta/dist/20261028_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</si>
  <si>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</si>
  <si>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</si>
  <si>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</si>
  <si>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</si>
  <si>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</si>
  <si>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</si>
  <si>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</si>
  <si>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</si>
  <si>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</si>
  <si>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</si>
  <si>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</si>
  <si>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</si>
  <si>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</si>
  <si>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</si>
  <si>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</si>
  <si>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</si>
  <si>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</si>
  <si>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</si>
  <si>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</si>
  <si>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</si>
  <si>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</si>
  <si>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</si>
  <si>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</si>
  <si>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</si>
  <si>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</si>
  <si>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</si>
  <si>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</si>
  <si>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</si>
  <si>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</si>
  <si>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</si>
  <si>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</si>
  <si>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</si>
  <si>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</si>
  <si>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</si>
  <si>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</si>
  <si>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</si>
  <si>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</si>
  <si>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</si>
  <si>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</si>
  <si>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</si>
  <si>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</si>
  <si>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</si>
  <si>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</si>
  <si>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</si>
  <si>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</si>
  <si>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</si>
  <si>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</si>
  <si>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</si>
  <si>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</si>
  <si>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</si>
  <si>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</si>
  <si>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</si>
  <si>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</si>
  <si>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</si>
  <si>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</si>
  <si>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</si>
  <si>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</si>
  <si>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</si>
  <si>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</si>
  <si>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</si>
  <si>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</si>
  <si>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</si>
  <si>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</si>
  <si>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</si>
  <si>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</si>
  <si>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</si>
  <si>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</si>
  <si>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</si>
  <si>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</si>
  <si>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</si>
  <si>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</si>
  <si>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</si>
  <si>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</si>
  <si>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</si>
  <si>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</si>
  <si>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</si>
  <si>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</si>
  <si>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</si>
  <si>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</si>
  <si>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</si>
  <si>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</si>
  <si>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</si>
  <si>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</si>
  <si>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</si>
  <si>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</si>
  <si>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</si>
  <si>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</si>
  <si>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</si>
  <si>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</si>
  <si>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</si>
  <si>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估計；公司公告日期：未找到），截至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</si>
  <si>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</si>
  <si>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</si>
  <si>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</si>
  <si>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</si>
  <si>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</si>
  <si>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</si>
  <si>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</si>
  <si>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</si>
  <si>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月月營收累計 − </t>
    </r>
    <r>
      <rPr>
        <sz val="11"/>
        <color theme="1"/>
        <rFont val="Calibri"/>
        <family val="2"/>
        <charset val="1"/>
      </rPr>
      <t xml:space="preserve">1H26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</si>
  <si>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</si>
  <si>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</si>
  <si>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</si>
  <si>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</si>
  <si>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</si>
  <si>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</si>
  <si>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</si>
  <si>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</si>
  <si>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</si>
  <si>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</si>
  <si>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</si>
  <si>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</si>
  <si>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</si>
  <si>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</si>
  <si>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</si>
  <si>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</si>
  <si>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</si>
  <si>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</si>
  <si>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</si>
  <si>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</si>
  <si>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</si>
  <si>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</si>
  <si>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</si>
  <si>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</si>
  <si>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</si>
  <si>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</si>
  <si>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</si>
  <si>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</si>
  <si>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</si>
  <si>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</si>
  <si>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</si>
  <si>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</si>
  <si>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</si>
  <si>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</si>
  <si>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</si>
  <si>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</si>
  <si>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</si>
  <si>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</si>
  <si>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</si>
  <si>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</si>
  <si>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</si>
  <si>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</si>
  <si>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</si>
  <si>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營收分部（官方三大事業群；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</si>
  <si>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t xml:space="preserve">雲端及物聯網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</si>
  <si>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</si>
  <si>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</si>
  <si>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s2h_cl</t>
    </r>
    <r>
      <rPr>
        <sz val="11"/>
        <color theme="1"/>
        <rFont val="Noto Sans CJK SC"/>
        <family val="2"/>
      </rPr>
      <t xml:space="preserve">）</t>
    </r>
  </si>
  <si>
    <t xml:space="preserve">光電</t>
  </si>
  <si>
    <t xml:space="preserve">資訊及消費性電子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</si>
  <si>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＝營收 − 其餘兩事業群（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公司值 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291.9 </t>
    </r>
    <r>
      <rPr>
        <sz val="11"/>
        <color theme="1"/>
        <rFont val="Noto Sans CJK SC"/>
        <family val="2"/>
      </rPr>
      <t xml:space="preserve">億，差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億為季增四捨五入）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</si>
  <si>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</si>
  <si>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</si>
  <si>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雲端及物聯網：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</si>
  <si>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相關全部歸雲端及物聯網（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光電金額小，未拆）</t>
    </r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</si>
  <si>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（＝雲端及物聯網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</si>
  <si>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</si>
  <si>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</si>
  <si>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</si>
  <si>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</si>
  <si>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</si>
  <si>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</si>
  <si>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</si>
  <si>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</si>
  <si>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</si>
  <si>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</si>
  <si>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</si>
  <si>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</si>
  <si>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</si>
  <si>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</si>
  <si>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</si>
  <si>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</si>
  <si>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</si>
  <si>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</si>
  <si>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</si>
  <si>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</si>
  <si>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</si>
  <si>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</si>
  <si>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</si>
  <si>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</si>
  <si>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</si>
  <si>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</si>
  <si>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</si>
  <si>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</si>
  <si>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</si>
  <si>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</si>
  <si>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</si>
  <si>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</si>
  <si>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</si>
  <si>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</si>
  <si>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</si>
  <si>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</si>
  <si>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</si>
  <si>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</si>
  <si>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</si>
  <si>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</si>
  <si>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</si>
  <si>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</si>
  <si>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</si>
  <si>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t xml:space="preserve">  雲端及物聯網</t>
  </si>
  <si>
    <r>
      <rPr>
        <sz val="11"/>
        <color theme="1"/>
        <rFont val="Noto Sans CJK SC"/>
        <family val="2"/>
      </rPr>
      <t xml:space="preserve">    其中非 </t>
    </r>
    <r>
      <rPr>
        <sz val="11"/>
        <color theme="1"/>
        <rFont val="Calibri"/>
        <family val="2"/>
        <charset val="1"/>
      </rPr>
      <t xml:space="preserve">AI</t>
    </r>
  </si>
  <si>
    <t xml:space="preserve">  光電</t>
  </si>
  <si>
    <t xml:space="preserve">  資訊及消費性電子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</si>
  <si>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</si>
  <si>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</si>
  <si>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</si>
  <si>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</si>
  <si>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</si>
  <si>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</si>
  <si>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</si>
  <si>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</si>
  <si>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</si>
  <si>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</si>
  <si>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</si>
  <si>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</si>
  <si>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</si>
  <si>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</si>
  <si>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</si>
  <si>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</si>
  <si>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</si>
  <si>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</si>
  <si>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</si>
  <si>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</si>
  <si>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</si>
  <si>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</si>
  <si>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</si>
  <si>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營收分部（官方三大事業群）與合計</t>
    </r>
  </si>
  <si>
    <r>
      <rPr>
        <sz val="11"/>
        <color theme="1"/>
        <rFont val="Noto Sans CJK SC"/>
        <family val="2"/>
      </rPr>
      <t xml:space="preserve">  雲端及物聯網：非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</si>
  <si>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相關（上列）為本分部的命題子列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</si>
  <si>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（子列合計＝分部）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</si>
  <si>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＋光電＋資訊及消費性電子）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</si>
  <si>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</si>
  <si>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</si>
  <si>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</si>
  <si>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</si>
  <si>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</si>
  <si>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</si>
  <si>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</si>
  <si>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</si>
  <si>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</si>
  <si>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</si>
  <si>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</si>
  <si>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</si>
  <si>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</si>
  <si>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</si>
  <si>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</si>
  <si>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</si>
  <si>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</si>
  <si>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</si>
  <si>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</si>
  <si>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</si>
  <si>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</si>
  <si>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</si>
  <si>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</si>
  <si>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</si>
  <si>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</si>
  <si>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</si>
  <si>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</si>
  <si>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</si>
  <si>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</si>
  <si>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</si>
  <si>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</si>
  <si>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</si>
  <si>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</si>
  <si>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</si>
  <si>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</si>
  <si>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</si>
  <si>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</si>
  <si>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</si>
  <si>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</si>
  <si>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</si>
  <si>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</si>
  <si>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</si>
  <si>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</si>
  <si>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</si>
  <si>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</si>
  <si>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</si>
  <si>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</si>
  <si>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</si>
  <si>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</si>
  <si>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</si>
  <si>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</si>
  <si>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</si>
  <si>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</si>
  <si>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</si>
  <si>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</si>
  <si>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</si>
  <si>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</si>
  <si>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</si>
  <si>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</si>
  <si>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</si>
  <si>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</si>
  <si>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</si>
  <si>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</si>
  <si>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</si>
  <si>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</si>
  <si>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</si>
  <si>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</si>
  <si>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</si>
  <si>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</si>
  <si>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</si>
  <si>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</si>
  <si>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</si>
  <si>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</si>
  <si>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</si>
  <si>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</si>
  <si>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</si>
  <si>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</si>
  <si>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</si>
  <si>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</si>
  <si>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</si>
  <si>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</si>
  <si>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</si>
  <si>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</si>
  <si>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</si>
  <si>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</si>
  <si>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</si>
  <si>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</si>
  <si>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</si>
  <si>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</si>
  <si>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</si>
  <si>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</si>
  <si>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</si>
  <si>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</si>
  <si>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</si>
  <si>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</si>
  <si>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</si>
  <si>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</si>
  <si>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</si>
  <si>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</si>
  <si>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</si>
  <si>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</si>
  <si>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</si>
  <si>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</si>
  <si>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</si>
  <si>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</si>
  <si>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</si>
  <si>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</si>
  <si>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</si>
  <si>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</si>
  <si>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</si>
  <si>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</si>
  <si>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</si>
  <si>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</si>
  <si>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</si>
  <si>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</si>
  <si>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</si>
  <si>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</si>
  <si>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</si>
  <si>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</si>
  <si>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</si>
  <si>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</si>
  <si>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</si>
  <si>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</si>
  <si>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</si>
  <si>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</si>
  <si>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</si>
  <si>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</si>
  <si>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</si>
  <si>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</si>
  <si>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</si>
  <si>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</si>
  <si>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</si>
  <si>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</si>
  <si>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</si>
  <si>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</si>
  <si>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</si>
  <si>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</si>
  <si>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</si>
  <si>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</si>
  <si>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</si>
  <si>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</si>
  <si>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</si>
  <si>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</si>
  <si>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</si>
  <si>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</si>
  <si>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</si>
  <si>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</si>
  <si>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</si>
  <si>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</si>
  <si>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</si>
  <si>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</si>
  <si>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</si>
  <si>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</si>
  <si>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</si>
  <si>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</si>
  <si>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</si>
  <si>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</si>
  <si>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</si>
  <si>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</si>
  <si>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</si>
  <si>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</si>
  <si>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</si>
  <si>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</si>
  <si>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</si>
  <si>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</si>
  <si>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</si>
  <si>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</si>
  <si>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</si>
  <si>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</si>
  <si>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</si>
  <si>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</si>
  <si>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</si>
  <si>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</si>
  <si>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</si>
  <si>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</si>
  <si>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</si>
  <si>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</si>
  <si>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</si>
  <si>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</si>
  <si>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光寶科</t>
  </si>
  <si>
    <t xml:space="preserve">2301.TW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</si>
  <si>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</si>
  <si>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</si>
  <si>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</si>
  <si>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</si>
  <si>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</si>
  <si>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ETN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</si>
  <si>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</si>
  <si>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</si>
  <si>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</si>
  <si>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</si>
  <si>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</si>
  <si>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</si>
  <si>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</si>
  <si>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</si>
  <si>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</si>
  <si>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</si>
  <si>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</si>
  <si>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</si>
  <si>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</si>
  <si>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</si>
  <si>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</si>
  <si>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</si>
  <si>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</si>
  <si>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</si>
  <si>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</si>
  <si>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</si>
  <si>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</si>
  <si>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</si>
  <si>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</si>
  <si>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</si>
  <si>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</si>
  <si>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</si>
  <si>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</si>
  <si>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</si>
  <si>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</si>
  <si>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</si>
  <si>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</si>
  <si>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</si>
  <si>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</si>
  <si>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</si>
  <si>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</si>
  <si>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</si>
  <si>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</si>
  <si>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</si>
  <si>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</si>
  <si>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</si>
  <si>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</si>
  <si>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</si>
  <si>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</si>
  <si>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</si>
  <si>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</si>
  <si>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</si>
  <si>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</si>
  <si>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</si>
  <si>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</si>
  <si>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</si>
  <si>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</si>
  <si>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</si>
  <si>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</si>
  <si>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</si>
  <si>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</si>
  <si>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</si>
  <si>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</si>
  <si>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</si>
  <si>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</si>
  <si>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</si>
  <si>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</si>
  <si>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</si>
  <si>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</si>
  <si>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</si>
  <si>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</si>
  <si>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</si>
  <si>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</si>
  <si>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</si>
  <si>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</si>
  <si>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</si>
  <si>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</si>
  <si>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</si>
  <si>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</si>
  <si>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</si>
  <si>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</si>
  <si>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</si>
  <si>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</si>
  <si>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：官方三大事業群；共識的分部預估：未找到）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</si>
  <si>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</si>
  <si>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</si>
  <si>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口徑不同：公司說的是雲端運算（雲端及物聯網的一部分）；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雲端及物聯網年增由錨點推得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</si>
  <si>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雲端及物聯網營業利益率（實績）</t>
    </r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</si>
  <si>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</si>
  <si>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102%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</si>
  <si>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</si>
  <si>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7.29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</si>
  <si>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</si>
  <si>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</si>
  <si>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三事業群營業利益合計 − 合併營業利益（未分攤，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</si>
  <si>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負向未分攤費用；本模型營業利益仍由合併毛利率與費用推導，分部利益只作對帳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</si>
  <si>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</si>
  <si>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</si>
  <si>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</si>
  <si>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</si>
  <si>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</si>
  <si>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</si>
  <si>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</si>
  <si>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</si>
  <si>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</si>
  <si>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</si>
  <si>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</si>
  <si>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</si>
  <si>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</si>
  <si>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</si>
  <si>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</si>
  <si>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</si>
  <si>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</si>
  <si>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</si>
  <si>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</si>
  <si>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</si>
  <si>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</si>
  <si>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</si>
  <si>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</si>
  <si>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</si>
  <si>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</si>
  <si>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</si>
  <si>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</si>
  <si>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</si>
  <si>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</si>
  <si>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</si>
  <si>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</si>
  <si>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</si>
  <si>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</si>
  <si>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</si>
  <si>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</si>
  <si>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；資訊及消費性電子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</si>
  <si>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</si>
  <si>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；資訊及消費性電子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</si>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</sst>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"投資建議："&amp;Val!B119&amp;"（依上檔空間固定規則）"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倍與共識目標價"&amp;" 314.25 隱含的 24.2 倍相當；差距來自 AI 電源份額與 800V 電源櫃放量假設（Assumed）。DCF 單獨也有 +24.8%。"</f>
        <v>重點觀察 1：目標價 NT$319.14（DCF 318.42、Comparable（相對倍數調整後）319.85；DCF 權重 50%），比現價 255.50（2026-10-22）高 24.9%，級距 0%–25%、投資建議 中立。相對倍數調整係數 0.60（本公司 10 年前瞻倍數中位數 ÷ 同業的中位數，夾在 0.5–2.0；Val 第 0.5 節），調整前加權上檔空間 +65.8%；Comparable 單獨（市場主流同業法、未調整）為 +106.9%。以下為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 314.25 隱含的 24.2 倍相當；差距來自 AI 電源份額與 800V 電源櫃放量假設（Assumed）。DCF 單獨也有 +24.8%。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4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54</v>
      </c>
      <c r="H11" s="8" t="s">
        <v>55</v>
      </c>
      <c r="I11" s="8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4" t="s">
        <v>59</v>
      </c>
      <c r="E12" s="7" t="n">
        <v>4052</v>
      </c>
      <c r="G12" s="8" t="s">
        <v>34</v>
      </c>
      <c r="H12" s="8" t="s">
        <v>60</v>
      </c>
      <c r="I12" s="8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0" t="s">
        <v>64</v>
      </c>
      <c r="E13" s="7" t="n">
        <v>1</v>
      </c>
      <c r="G13" s="8" t="s">
        <v>65</v>
      </c>
      <c r="H13" s="8" t="s">
        <v>66</v>
      </c>
      <c r="I13" s="8" t="s">
        <v>67</v>
      </c>
    </row>
    <row r="14" customFormat="false" ht="17.15" hidden="false" customHeight="false" outlineLevel="0" collapsed="false">
      <c r="A14" s="0" t="s">
        <v>68</v>
      </c>
      <c r="B14" s="4" t="s">
        <v>69</v>
      </c>
      <c r="C14" s="0" t="s">
        <v>64</v>
      </c>
      <c r="E14" s="7" t="n">
        <v>1</v>
      </c>
      <c r="G14" s="8" t="s">
        <v>65</v>
      </c>
      <c r="H14" s="8" t="s">
        <v>70</v>
      </c>
      <c r="I14" s="4" t="s">
        <v>39</v>
      </c>
    </row>
    <row r="15" customFormat="false" ht="17.15" hidden="false" customHeight="false" outlineLevel="0" collapsed="false">
      <c r="A15" s="0" t="s">
        <v>71</v>
      </c>
      <c r="B15" s="4" t="s">
        <v>72</v>
      </c>
      <c r="C15" s="0" t="s">
        <v>64</v>
      </c>
      <c r="E15" s="7" t="n">
        <v>0.8</v>
      </c>
      <c r="G15" s="8" t="s">
        <v>65</v>
      </c>
      <c r="H15" s="8" t="s">
        <v>73</v>
      </c>
      <c r="I15" s="8" t="s">
        <v>67</v>
      </c>
    </row>
    <row r="16" customFormat="false" ht="17.15" hidden="false" customHeight="false" outlineLevel="0" collapsed="false">
      <c r="A16" s="0" t="s">
        <v>74</v>
      </c>
      <c r="B16" s="4" t="s">
        <v>75</v>
      </c>
      <c r="C16" s="0" t="s">
        <v>64</v>
      </c>
      <c r="E16" s="7" t="n">
        <v>0.85</v>
      </c>
      <c r="G16" s="8" t="s">
        <v>65</v>
      </c>
      <c r="H16" s="8" t="s">
        <v>76</v>
      </c>
      <c r="I16" s="4" t="s">
        <v>39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64</v>
      </c>
      <c r="E17" s="7" t="n">
        <v>0.6</v>
      </c>
      <c r="G17" s="8" t="s">
        <v>65</v>
      </c>
      <c r="H17" s="8" t="s">
        <v>79</v>
      </c>
      <c r="I17" s="8" t="s">
        <v>67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64</v>
      </c>
      <c r="E18" s="7" t="n">
        <v>0.6</v>
      </c>
      <c r="G18" s="8" t="s">
        <v>65</v>
      </c>
      <c r="H18" s="8" t="s">
        <v>82</v>
      </c>
      <c r="I18" s="4" t="s">
        <v>39</v>
      </c>
    </row>
    <row r="19" customFormat="false" ht="17.15" hidden="false" customHeight="false" outlineLevel="0" collapsed="false">
      <c r="A19" s="0" t="s">
        <v>83</v>
      </c>
      <c r="B19" s="4" t="s">
        <v>84</v>
      </c>
      <c r="C19" s="0" t="s">
        <v>85</v>
      </c>
      <c r="D19" s="7" t="n">
        <v>30.5</v>
      </c>
      <c r="E19" s="7" t="n">
        <v>32</v>
      </c>
      <c r="F19" s="7" t="n">
        <v>33</v>
      </c>
      <c r="G19" s="8" t="s">
        <v>34</v>
      </c>
      <c r="H19" s="8" t="s">
        <v>86</v>
      </c>
      <c r="I19" s="4" t="s">
        <v>87</v>
      </c>
    </row>
    <row r="20" customFormat="false" ht="17.15" hidden="false" customHeight="false" outlineLevel="0" collapsed="false">
      <c r="A20" s="6" t="s">
        <v>88</v>
      </c>
    </row>
    <row r="21" customFormat="false" ht="17.15" hidden="false" customHeight="false" outlineLevel="0" collapsed="false">
      <c r="A21" s="0" t="s">
        <v>89</v>
      </c>
      <c r="B21" s="0" t="s">
        <v>90</v>
      </c>
      <c r="C21" s="0" t="s">
        <v>91</v>
      </c>
      <c r="D21" s="7" t="n">
        <v>380</v>
      </c>
      <c r="E21" s="7" t="n">
        <v>450</v>
      </c>
      <c r="F21" s="7" t="n">
        <v>520</v>
      </c>
      <c r="G21" s="8" t="s">
        <v>34</v>
      </c>
      <c r="H21" s="8" t="s">
        <v>92</v>
      </c>
      <c r="I21" s="8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91</v>
      </c>
      <c r="D22" s="7" t="n">
        <v>500</v>
      </c>
      <c r="E22" s="7" t="n">
        <v>600</v>
      </c>
      <c r="F22" s="7" t="n">
        <v>700</v>
      </c>
      <c r="G22" s="8" t="s">
        <v>34</v>
      </c>
      <c r="H22" s="8" t="s">
        <v>96</v>
      </c>
      <c r="I22" s="4" t="s">
        <v>97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91</v>
      </c>
      <c r="D23" s="7" t="n">
        <v>550</v>
      </c>
      <c r="E23" s="7" t="n">
        <v>680</v>
      </c>
      <c r="F23" s="7" t="n">
        <v>800</v>
      </c>
      <c r="G23" s="8" t="s">
        <v>65</v>
      </c>
      <c r="H23" s="8" t="s">
        <v>100</v>
      </c>
      <c r="I23" s="4" t="s">
        <v>97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91</v>
      </c>
      <c r="D24" s="7" t="n">
        <v>550</v>
      </c>
      <c r="E24" s="7" t="n">
        <v>720</v>
      </c>
      <c r="F24" s="7" t="n">
        <v>850</v>
      </c>
      <c r="G24" s="8" t="s">
        <v>65</v>
      </c>
      <c r="H24" s="8" t="s">
        <v>103</v>
      </c>
      <c r="I24" s="4" t="s">
        <v>97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53</v>
      </c>
      <c r="D25" s="7" t="n">
        <v>0</v>
      </c>
      <c r="E25" s="7" t="n">
        <v>0.1</v>
      </c>
      <c r="F25" s="7" t="n">
        <v>0.25</v>
      </c>
      <c r="G25" s="8" t="s">
        <v>65</v>
      </c>
      <c r="H25" s="4" t="s">
        <v>106</v>
      </c>
      <c r="I25" s="4" t="s">
        <v>107</v>
      </c>
    </row>
    <row r="26" customFormat="false" ht="17.15" hidden="false" customHeight="false" outlineLevel="0" collapsed="false">
      <c r="A26" s="0" t="s">
        <v>108</v>
      </c>
      <c r="B26" s="4" t="s">
        <v>109</v>
      </c>
      <c r="C26" s="0" t="s">
        <v>64</v>
      </c>
      <c r="D26" s="7" t="n">
        <v>0.85</v>
      </c>
      <c r="E26" s="7" t="n">
        <v>1</v>
      </c>
      <c r="F26" s="7" t="n">
        <v>1.1</v>
      </c>
      <c r="G26" s="8" t="s">
        <v>65</v>
      </c>
      <c r="H26" s="4" t="s">
        <v>110</v>
      </c>
      <c r="I26" s="4" t="s">
        <v>111</v>
      </c>
    </row>
    <row r="27" customFormat="false" ht="17.15" hidden="false" customHeight="false" outlineLevel="0" collapsed="false">
      <c r="A27" s="0" t="s">
        <v>112</v>
      </c>
      <c r="B27" s="4" t="s">
        <v>113</v>
      </c>
      <c r="C27" s="0" t="s">
        <v>64</v>
      </c>
      <c r="D27" s="7" t="n">
        <v>0.8</v>
      </c>
      <c r="E27" s="7" t="n">
        <v>1</v>
      </c>
      <c r="F27" s="7" t="n">
        <v>1.2</v>
      </c>
      <c r="G27" s="8" t="s">
        <v>65</v>
      </c>
      <c r="H27" s="4" t="s">
        <v>39</v>
      </c>
      <c r="I27" s="8" t="s">
        <v>56</v>
      </c>
    </row>
    <row r="28" customFormat="false" ht="17.15" hidden="false" customHeight="false" outlineLevel="0" collapsed="false">
      <c r="A28" s="0" t="s">
        <v>114</v>
      </c>
      <c r="B28" s="4" t="s">
        <v>115</v>
      </c>
      <c r="C28" s="0" t="s">
        <v>64</v>
      </c>
      <c r="D28" s="7" t="n">
        <v>0.75</v>
      </c>
      <c r="E28" s="7" t="n">
        <v>1</v>
      </c>
      <c r="F28" s="7" t="n">
        <v>1.25</v>
      </c>
      <c r="G28" s="8" t="s">
        <v>65</v>
      </c>
      <c r="H28" s="4" t="s">
        <v>39</v>
      </c>
      <c r="I28" s="8" t="s">
        <v>56</v>
      </c>
    </row>
    <row r="29" customFormat="false" ht="17.15" hidden="false" customHeight="false" outlineLevel="0" collapsed="false">
      <c r="A29" s="6" t="s">
        <v>116</v>
      </c>
    </row>
    <row r="30" customFormat="false" ht="17.15" hidden="false" customHeight="false" outlineLevel="0" collapsed="false">
      <c r="A30" s="0" t="s">
        <v>117</v>
      </c>
      <c r="B30" s="0" t="s">
        <v>118</v>
      </c>
      <c r="C30" s="0" t="s">
        <v>53</v>
      </c>
      <c r="D30" s="7" t="n">
        <v>0.2</v>
      </c>
      <c r="E30" s="7" t="n">
        <v>0.21</v>
      </c>
      <c r="F30" s="7" t="n">
        <v>0.23</v>
      </c>
      <c r="G30" s="8" t="s">
        <v>54</v>
      </c>
      <c r="H30" s="8" t="s">
        <v>119</v>
      </c>
      <c r="I30" s="8" t="s">
        <v>120</v>
      </c>
    </row>
    <row r="31" customFormat="false" ht="17.15" hidden="false" customHeight="false" outlineLevel="0" collapsed="false">
      <c r="A31" s="0" t="s">
        <v>121</v>
      </c>
      <c r="B31" s="0" t="s">
        <v>122</v>
      </c>
      <c r="C31" s="0" t="s">
        <v>53</v>
      </c>
      <c r="D31" s="7" t="n">
        <v>0.3</v>
      </c>
      <c r="E31" s="7" t="n">
        <v>0.31</v>
      </c>
      <c r="F31" s="7" t="n">
        <v>0.35</v>
      </c>
      <c r="G31" s="8" t="s">
        <v>54</v>
      </c>
      <c r="H31" s="8" t="s">
        <v>123</v>
      </c>
      <c r="I31" s="8" t="s">
        <v>124</v>
      </c>
    </row>
    <row r="32" customFormat="false" ht="17.15" hidden="false" customHeight="false" outlineLevel="0" collapsed="false">
      <c r="A32" s="6" t="s">
        <v>125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53</v>
      </c>
      <c r="E33" s="7" t="n">
        <v>0.45</v>
      </c>
      <c r="G33" s="8" t="s">
        <v>54</v>
      </c>
      <c r="H33" s="8" t="s">
        <v>128</v>
      </c>
      <c r="I33" s="4" t="s">
        <v>129</v>
      </c>
    </row>
    <row r="34" customFormat="false" ht="17.15" hidden="false" customHeight="false" outlineLevel="0" collapsed="false">
      <c r="A34" s="0" t="s">
        <v>130</v>
      </c>
      <c r="B34" s="0" t="s">
        <v>131</v>
      </c>
      <c r="C34" s="0" t="s">
        <v>53</v>
      </c>
      <c r="E34" s="7" t="n">
        <v>0.17</v>
      </c>
      <c r="G34" s="8" t="s">
        <v>54</v>
      </c>
      <c r="H34" s="4" t="s">
        <v>39</v>
      </c>
      <c r="I34" s="8" t="s">
        <v>56</v>
      </c>
    </row>
    <row r="35" customFormat="false" ht="17.15" hidden="false" customHeight="false" outlineLevel="0" collapsed="false">
      <c r="A35" s="0" t="s">
        <v>132</v>
      </c>
      <c r="B35" s="0" t="s">
        <v>133</v>
      </c>
      <c r="C35" s="0" t="s">
        <v>53</v>
      </c>
      <c r="E35" s="0" t="n">
        <f aca="false">1-s25_cl-s25_op</f>
        <v>0.38</v>
      </c>
      <c r="G35" s="0" t="s">
        <v>34</v>
      </c>
      <c r="H35" s="0" t="s">
        <v>134</v>
      </c>
      <c r="I35" s="4" t="s">
        <v>135</v>
      </c>
    </row>
    <row r="36" customFormat="false" ht="17.15" hidden="false" customHeight="false" outlineLevel="0" collapsed="false">
      <c r="A36" s="0" t="s">
        <v>136</v>
      </c>
      <c r="B36" s="0" t="s">
        <v>137</v>
      </c>
      <c r="C36" s="0" t="s">
        <v>138</v>
      </c>
      <c r="E36" s="7" t="n">
        <v>28.9</v>
      </c>
      <c r="G36" s="8" t="s">
        <v>139</v>
      </c>
      <c r="H36" s="8" t="s">
        <v>140</v>
      </c>
      <c r="I36" s="4" t="s">
        <v>141</v>
      </c>
    </row>
    <row r="37" customFormat="false" ht="17.15" hidden="false" customHeight="false" outlineLevel="0" collapsed="false">
      <c r="A37" s="0" t="s">
        <v>142</v>
      </c>
      <c r="B37" s="0" t="s">
        <v>143</v>
      </c>
      <c r="C37" s="0" t="s">
        <v>138</v>
      </c>
      <c r="E37" s="7" t="n">
        <v>8</v>
      </c>
      <c r="G37" s="8" t="s">
        <v>139</v>
      </c>
      <c r="H37" s="8" t="s">
        <v>140</v>
      </c>
      <c r="I37" s="8" t="s">
        <v>56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138</v>
      </c>
      <c r="E38" s="7" t="n">
        <v>15.8</v>
      </c>
      <c r="G38" s="8" t="s">
        <v>139</v>
      </c>
      <c r="H38" s="8" t="s">
        <v>140</v>
      </c>
      <c r="I38" s="4" t="s">
        <v>146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0" t="s">
        <v>53</v>
      </c>
      <c r="E39" s="7" t="n">
        <v>0.26</v>
      </c>
      <c r="G39" s="8" t="s">
        <v>139</v>
      </c>
      <c r="H39" s="8" t="s">
        <v>140</v>
      </c>
      <c r="I39" s="8" t="s">
        <v>149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53</v>
      </c>
      <c r="E40" s="7" t="n">
        <v>0.12</v>
      </c>
      <c r="G40" s="8" t="s">
        <v>139</v>
      </c>
      <c r="H40" s="8" t="s">
        <v>140</v>
      </c>
      <c r="I40" s="4" t="s">
        <v>39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53</v>
      </c>
      <c r="E41" s="7" t="n">
        <v>0.18</v>
      </c>
      <c r="G41" s="8" t="s">
        <v>139</v>
      </c>
      <c r="H41" s="8" t="s">
        <v>140</v>
      </c>
      <c r="I41" s="4" t="s">
        <v>154</v>
      </c>
    </row>
    <row r="42" customFormat="false" ht="17.15" hidden="false" customHeight="false" outlineLevel="0" collapsed="false">
      <c r="A42" s="0" t="s">
        <v>155</v>
      </c>
      <c r="B42" s="0" t="s">
        <v>156</v>
      </c>
      <c r="C42" s="0" t="s">
        <v>53</v>
      </c>
      <c r="D42" s="7" t="n">
        <v>0.53</v>
      </c>
      <c r="E42" s="7" t="n">
        <v>0.55</v>
      </c>
      <c r="F42" s="7" t="n">
        <v>0.58</v>
      </c>
      <c r="G42" s="8" t="s">
        <v>65</v>
      </c>
      <c r="H42" s="4" t="s">
        <v>157</v>
      </c>
      <c r="I42" s="4" t="s">
        <v>158</v>
      </c>
    </row>
    <row r="43" customFormat="false" ht="17.15" hidden="false" customHeight="false" outlineLevel="0" collapsed="false">
      <c r="A43" s="0" t="s">
        <v>159</v>
      </c>
      <c r="B43" s="0" t="s">
        <v>160</v>
      </c>
      <c r="C43" s="0" t="s">
        <v>53</v>
      </c>
      <c r="D43" s="7" t="n">
        <v>0.14</v>
      </c>
      <c r="E43" s="7" t="n">
        <v>0.152</v>
      </c>
      <c r="F43" s="7" t="n">
        <v>0.16</v>
      </c>
      <c r="G43" s="8" t="s">
        <v>65</v>
      </c>
      <c r="H43" s="4" t="s">
        <v>161</v>
      </c>
      <c r="I43" s="8" t="s">
        <v>56</v>
      </c>
    </row>
    <row r="44" customFormat="false" ht="17.15" hidden="false" customHeight="false" outlineLevel="0" collapsed="false">
      <c r="A44" s="0" t="s">
        <v>162</v>
      </c>
      <c r="B44" s="4" t="s">
        <v>163</v>
      </c>
      <c r="C44" s="0" t="s">
        <v>53</v>
      </c>
      <c r="D44" s="7" t="n">
        <v>0</v>
      </c>
      <c r="E44" s="7" t="n">
        <v>0.05</v>
      </c>
      <c r="F44" s="7" t="n">
        <v>0.1</v>
      </c>
      <c r="G44" s="8" t="s">
        <v>65</v>
      </c>
      <c r="H44" s="4" t="s">
        <v>164</v>
      </c>
      <c r="I44" s="8" t="s">
        <v>165</v>
      </c>
    </row>
    <row r="45" customFormat="false" ht="17.15" hidden="false" customHeight="false" outlineLevel="0" collapsed="false">
      <c r="A45" s="0" t="s">
        <v>166</v>
      </c>
      <c r="B45" s="4" t="s">
        <v>167</v>
      </c>
      <c r="C45" s="0" t="s">
        <v>53</v>
      </c>
      <c r="D45" s="7" t="n">
        <v>0</v>
      </c>
      <c r="E45" s="7" t="n">
        <v>0.05</v>
      </c>
      <c r="F45" s="7" t="n">
        <v>0.1</v>
      </c>
      <c r="G45" s="8" t="s">
        <v>65</v>
      </c>
      <c r="H45" s="4" t="s">
        <v>39</v>
      </c>
      <c r="I45" s="8" t="s">
        <v>56</v>
      </c>
    </row>
    <row r="46" customFormat="false" ht="17.15" hidden="false" customHeight="false" outlineLevel="0" collapsed="false">
      <c r="A46" s="0" t="s">
        <v>168</v>
      </c>
      <c r="B46" s="4" t="s">
        <v>169</v>
      </c>
      <c r="C46" s="0" t="s">
        <v>53</v>
      </c>
      <c r="D46" s="7" t="n">
        <v>0</v>
      </c>
      <c r="E46" s="7" t="n">
        <v>0.05</v>
      </c>
      <c r="F46" s="7" t="n">
        <v>0.1</v>
      </c>
      <c r="G46" s="8" t="s">
        <v>65</v>
      </c>
      <c r="H46" s="4" t="s">
        <v>39</v>
      </c>
      <c r="I46" s="8" t="s">
        <v>56</v>
      </c>
    </row>
    <row r="47" customFormat="false" ht="17.15" hidden="false" customHeight="false" outlineLevel="0" collapsed="false">
      <c r="A47" s="0" t="s">
        <v>170</v>
      </c>
      <c r="B47" s="4" t="s">
        <v>171</v>
      </c>
      <c r="C47" s="0" t="s">
        <v>53</v>
      </c>
      <c r="D47" s="7" t="n">
        <v>0</v>
      </c>
      <c r="E47" s="7" t="n">
        <v>0.05</v>
      </c>
      <c r="F47" s="7" t="n">
        <v>0.1</v>
      </c>
      <c r="G47" s="8" t="s">
        <v>65</v>
      </c>
      <c r="H47" s="4" t="s">
        <v>172</v>
      </c>
      <c r="I47" s="8" t="s">
        <v>173</v>
      </c>
    </row>
    <row r="48" customFormat="false" ht="17.15" hidden="false" customHeight="false" outlineLevel="0" collapsed="false">
      <c r="A48" s="0" t="s">
        <v>174</v>
      </c>
      <c r="B48" s="4" t="s">
        <v>175</v>
      </c>
      <c r="C48" s="0" t="s">
        <v>53</v>
      </c>
      <c r="D48" s="7" t="n">
        <v>0</v>
      </c>
      <c r="E48" s="7" t="n">
        <v>0.05</v>
      </c>
      <c r="F48" s="7" t="n">
        <v>0.1</v>
      </c>
      <c r="G48" s="8" t="s">
        <v>65</v>
      </c>
      <c r="H48" s="4" t="s">
        <v>39</v>
      </c>
      <c r="I48" s="8" t="s">
        <v>56</v>
      </c>
    </row>
    <row r="49" customFormat="false" ht="17.15" hidden="false" customHeight="false" outlineLevel="0" collapsed="false">
      <c r="A49" s="0" t="s">
        <v>176</v>
      </c>
      <c r="B49" s="4" t="s">
        <v>177</v>
      </c>
      <c r="C49" s="0" t="s">
        <v>53</v>
      </c>
      <c r="D49" s="7" t="n">
        <v>0</v>
      </c>
      <c r="E49" s="7" t="n">
        <v>0.05</v>
      </c>
      <c r="F49" s="7" t="n">
        <v>0.1</v>
      </c>
      <c r="G49" s="8" t="s">
        <v>65</v>
      </c>
      <c r="H49" s="4" t="s">
        <v>39</v>
      </c>
      <c r="I49" s="8" t="s">
        <v>56</v>
      </c>
    </row>
    <row r="50" customFormat="false" ht="17.15" hidden="false" customHeight="false" outlineLevel="0" collapsed="false">
      <c r="A50" s="0" t="s">
        <v>178</v>
      </c>
      <c r="B50" s="4" t="s">
        <v>179</v>
      </c>
      <c r="C50" s="0" t="s">
        <v>53</v>
      </c>
      <c r="D50" s="7" t="n">
        <v>-0.05</v>
      </c>
      <c r="E50" s="7" t="n">
        <v>0</v>
      </c>
      <c r="F50" s="7" t="n">
        <v>0.05</v>
      </c>
      <c r="G50" s="8" t="s">
        <v>65</v>
      </c>
      <c r="H50" s="4" t="s">
        <v>180</v>
      </c>
      <c r="I50" s="4" t="s">
        <v>181</v>
      </c>
    </row>
    <row r="51" customFormat="false" ht="17.15" hidden="false" customHeight="false" outlineLevel="0" collapsed="false">
      <c r="A51" s="0" t="s">
        <v>182</v>
      </c>
      <c r="B51" s="4" t="s">
        <v>183</v>
      </c>
      <c r="C51" s="0" t="s">
        <v>53</v>
      </c>
      <c r="D51" s="7" t="n">
        <v>-0.05</v>
      </c>
      <c r="E51" s="7" t="n">
        <v>0</v>
      </c>
      <c r="F51" s="7" t="n">
        <v>0.05</v>
      </c>
      <c r="G51" s="8" t="s">
        <v>65</v>
      </c>
      <c r="H51" s="4" t="s">
        <v>39</v>
      </c>
      <c r="I51" s="8" t="s">
        <v>56</v>
      </c>
    </row>
    <row r="52" customFormat="false" ht="17.15" hidden="false" customHeight="false" outlineLevel="0" collapsed="false">
      <c r="A52" s="0" t="s">
        <v>184</v>
      </c>
      <c r="B52" s="4" t="s">
        <v>185</v>
      </c>
      <c r="C52" s="0" t="s">
        <v>53</v>
      </c>
      <c r="D52" s="7" t="n">
        <v>-0.05</v>
      </c>
      <c r="E52" s="7" t="n">
        <v>0</v>
      </c>
      <c r="F52" s="7" t="n">
        <v>0.05</v>
      </c>
      <c r="G52" s="8" t="s">
        <v>65</v>
      </c>
      <c r="H52" s="4" t="s">
        <v>39</v>
      </c>
      <c r="I52" s="8" t="s">
        <v>56</v>
      </c>
    </row>
    <row r="53" customFormat="false" ht="17.15" hidden="false" customHeight="false" outlineLevel="0" collapsed="false">
      <c r="A53" s="6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189</v>
      </c>
      <c r="D54" s="7" t="n">
        <v>0.08</v>
      </c>
      <c r="E54" s="7" t="n">
        <v>0.12</v>
      </c>
      <c r="F54" s="7" t="n">
        <v>0.16</v>
      </c>
      <c r="G54" s="8" t="s">
        <v>65</v>
      </c>
      <c r="H54" s="8" t="s">
        <v>190</v>
      </c>
      <c r="I54" s="4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189</v>
      </c>
      <c r="D55" s="7" t="n">
        <v>-0.01</v>
      </c>
      <c r="E55" s="7" t="n">
        <v>0</v>
      </c>
      <c r="F55" s="7" t="n">
        <v>0.01</v>
      </c>
      <c r="G55" s="8" t="s">
        <v>65</v>
      </c>
      <c r="H55" s="4" t="s">
        <v>194</v>
      </c>
      <c r="I55" s="4" t="s">
        <v>195</v>
      </c>
    </row>
    <row r="56" customFormat="false" ht="17.15" hidden="false" customHeight="false" outlineLevel="0" collapsed="false">
      <c r="A56" s="0" t="s">
        <v>196</v>
      </c>
      <c r="B56" s="0" t="s">
        <v>197</v>
      </c>
      <c r="C56" s="0" t="s">
        <v>189</v>
      </c>
      <c r="D56" s="7" t="n">
        <v>-0.015</v>
      </c>
      <c r="E56" s="7" t="n">
        <v>0</v>
      </c>
      <c r="F56" s="7" t="n">
        <v>0.015</v>
      </c>
      <c r="G56" s="8" t="s">
        <v>65</v>
      </c>
      <c r="H56" s="4" t="s">
        <v>39</v>
      </c>
      <c r="I56" s="8" t="s">
        <v>56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189</v>
      </c>
      <c r="D57" s="7" t="n">
        <v>-0.02</v>
      </c>
      <c r="E57" s="7" t="n">
        <v>0</v>
      </c>
      <c r="F57" s="7" t="n">
        <v>0.02</v>
      </c>
      <c r="G57" s="8" t="s">
        <v>65</v>
      </c>
      <c r="H57" s="4" t="s">
        <v>39</v>
      </c>
      <c r="I57" s="8" t="s">
        <v>56</v>
      </c>
    </row>
    <row r="58" customFormat="false" ht="17.15" hidden="false" customHeight="false" outlineLevel="0" collapsed="false">
      <c r="A58" s="6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138</v>
      </c>
      <c r="E59" s="7" t="n">
        <v>153.559</v>
      </c>
      <c r="G59" s="8" t="s">
        <v>139</v>
      </c>
      <c r="H59" s="8" t="s">
        <v>203</v>
      </c>
      <c r="I59" s="8" t="s">
        <v>204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138</v>
      </c>
      <c r="E60" s="0" t="n">
        <f aca="false">ytd9-(43.407+52.703)</f>
        <v>57.449</v>
      </c>
      <c r="G60" s="0" t="s">
        <v>34</v>
      </c>
      <c r="H60" s="0" t="s">
        <v>207</v>
      </c>
      <c r="I60" s="0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53</v>
      </c>
      <c r="D61" s="7" t="n">
        <v>-0.03</v>
      </c>
      <c r="E61" s="7" t="n">
        <v>0.03</v>
      </c>
      <c r="F61" s="7" t="n">
        <v>0.08</v>
      </c>
      <c r="G61" s="8" t="s">
        <v>65</v>
      </c>
      <c r="H61" s="4" t="s">
        <v>211</v>
      </c>
      <c r="I61" s="8" t="s">
        <v>212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53</v>
      </c>
      <c r="D62" s="7" t="n">
        <v>0.25</v>
      </c>
      <c r="E62" s="7" t="n">
        <v>0.26</v>
      </c>
      <c r="F62" s="7" t="n">
        <v>0.275</v>
      </c>
      <c r="G62" s="8" t="s">
        <v>65</v>
      </c>
      <c r="H62" s="8" t="s">
        <v>215</v>
      </c>
      <c r="I62" s="4" t="s">
        <v>216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53</v>
      </c>
      <c r="D63" s="7" t="n">
        <v>0.112</v>
      </c>
      <c r="E63" s="7" t="n">
        <v>0.118</v>
      </c>
      <c r="F63" s="7" t="n">
        <v>0.125</v>
      </c>
      <c r="G63" s="8" t="s">
        <v>65</v>
      </c>
      <c r="H63" s="8" t="s">
        <v>219</v>
      </c>
      <c r="I63" s="8" t="s">
        <v>220</v>
      </c>
    </row>
    <row r="64" customFormat="false" ht="17.15" hidden="false" customHeight="false" outlineLevel="0" collapsed="false">
      <c r="A64" s="0" t="s">
        <v>221</v>
      </c>
      <c r="B64" s="0" t="s">
        <v>222</v>
      </c>
      <c r="C64" s="0" t="s">
        <v>138</v>
      </c>
      <c r="D64" s="7" t="n">
        <v>0.5</v>
      </c>
      <c r="E64" s="7" t="n">
        <v>0.9</v>
      </c>
      <c r="F64" s="7" t="n">
        <v>1.2</v>
      </c>
      <c r="G64" s="8" t="s">
        <v>65</v>
      </c>
      <c r="H64" s="8" t="s">
        <v>223</v>
      </c>
      <c r="I64" s="8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53</v>
      </c>
      <c r="D65" s="7" t="n">
        <v>0.73</v>
      </c>
      <c r="E65" s="8" t="n">
        <f aca="false">10.891/14.341</f>
        <v>0.759431002022174</v>
      </c>
      <c r="F65" s="7" t="n">
        <v>0.78</v>
      </c>
      <c r="G65" s="8" t="s">
        <v>34</v>
      </c>
      <c r="H65" s="8" t="s">
        <v>227</v>
      </c>
      <c r="I65" s="8" t="s">
        <v>228</v>
      </c>
    </row>
    <row r="66" customFormat="false" ht="17.15" hidden="false" customHeight="false" outlineLevel="0" collapsed="false">
      <c r="A66" s="0" t="s">
        <v>229</v>
      </c>
      <c r="B66" s="4" t="s">
        <v>230</v>
      </c>
      <c r="C66" s="4" t="s">
        <v>231</v>
      </c>
      <c r="E66" s="0" t="n">
        <f aca="false">10.891/4.8</f>
        <v>2.26895833333333</v>
      </c>
      <c r="G66" s="0" t="s">
        <v>34</v>
      </c>
      <c r="H66" s="0" t="s">
        <v>232</v>
      </c>
      <c r="I66" s="0" t="s">
        <v>233</v>
      </c>
    </row>
    <row r="67" customFormat="false" ht="17.15" hidden="false" customHeight="false" outlineLevel="0" collapsed="false">
      <c r="A67" s="6" t="s">
        <v>234</v>
      </c>
    </row>
    <row r="68" customFormat="false" ht="17.15" hidden="false" customHeight="false" outlineLevel="0" collapsed="false">
      <c r="A68" s="0" t="s">
        <v>235</v>
      </c>
      <c r="B68" s="4" t="s">
        <v>236</v>
      </c>
      <c r="C68" s="0" t="s">
        <v>64</v>
      </c>
      <c r="D68" s="7" t="n">
        <v>0.5</v>
      </c>
      <c r="E68" s="7" t="n">
        <v>0.7</v>
      </c>
      <c r="F68" s="7" t="n">
        <v>1</v>
      </c>
      <c r="G68" s="8" t="s">
        <v>65</v>
      </c>
      <c r="H68" s="8" t="s">
        <v>237</v>
      </c>
      <c r="I68" s="8" t="s">
        <v>238</v>
      </c>
    </row>
    <row r="69" customFormat="false" ht="17.15" hidden="false" customHeight="false" outlineLevel="0" collapsed="false">
      <c r="A69" s="0" t="s">
        <v>239</v>
      </c>
      <c r="B69" s="4" t="s">
        <v>240</v>
      </c>
      <c r="C69" s="0" t="s">
        <v>189</v>
      </c>
      <c r="D69" s="7" t="n">
        <v>-0.01</v>
      </c>
      <c r="E69" s="7" t="n">
        <v>0</v>
      </c>
      <c r="F69" s="7" t="n">
        <v>0.01</v>
      </c>
      <c r="G69" s="8" t="s">
        <v>65</v>
      </c>
      <c r="H69" s="4" t="s">
        <v>241</v>
      </c>
      <c r="I69" s="8" t="s">
        <v>242</v>
      </c>
    </row>
    <row r="70" customFormat="false" ht="17.15" hidden="false" customHeight="false" outlineLevel="0" collapsed="false">
      <c r="A70" s="0" t="s">
        <v>243</v>
      </c>
      <c r="B70" s="4" t="s">
        <v>244</v>
      </c>
      <c r="C70" s="0" t="s">
        <v>138</v>
      </c>
      <c r="D70" s="7" t="n">
        <v>2</v>
      </c>
      <c r="E70" s="7" t="n">
        <v>3.5</v>
      </c>
      <c r="F70" s="7" t="n">
        <v>5</v>
      </c>
      <c r="G70" s="8" t="s">
        <v>65</v>
      </c>
      <c r="H70" s="8" t="s">
        <v>245</v>
      </c>
      <c r="I70" s="4" t="s">
        <v>246</v>
      </c>
    </row>
    <row r="71" customFormat="false" ht="17.15" hidden="false" customHeight="false" outlineLevel="0" collapsed="false">
      <c r="A71" s="0" t="s">
        <v>247</v>
      </c>
      <c r="B71" s="4" t="s">
        <v>248</v>
      </c>
      <c r="C71" s="0" t="s">
        <v>53</v>
      </c>
      <c r="D71" s="7" t="n">
        <v>0.73</v>
      </c>
      <c r="E71" s="7" t="n">
        <v>0.76</v>
      </c>
      <c r="F71" s="7" t="n">
        <v>0.78</v>
      </c>
      <c r="G71" s="8" t="s">
        <v>34</v>
      </c>
      <c r="H71" s="4" t="s">
        <v>249</v>
      </c>
      <c r="I71" s="8" t="s">
        <v>56</v>
      </c>
    </row>
    <row r="72" customFormat="false" ht="17.15" hidden="false" customHeight="false" outlineLevel="0" collapsed="false">
      <c r="A72" s="0" t="s">
        <v>250</v>
      </c>
      <c r="B72" s="4" t="s">
        <v>251</v>
      </c>
      <c r="C72" s="0" t="s">
        <v>53</v>
      </c>
      <c r="D72" s="7" t="n">
        <v>0</v>
      </c>
      <c r="E72" s="7" t="n">
        <v>0</v>
      </c>
      <c r="F72" s="7" t="n">
        <v>0.005</v>
      </c>
      <c r="G72" s="8" t="s">
        <v>65</v>
      </c>
      <c r="H72" s="8" t="s">
        <v>252</v>
      </c>
      <c r="I72" s="8" t="s">
        <v>56</v>
      </c>
    </row>
    <row r="73" customFormat="false" ht="17.15" hidden="false" customHeight="false" outlineLevel="0" collapsed="false">
      <c r="A73" s="0" t="s">
        <v>253</v>
      </c>
      <c r="B73" s="0" t="s">
        <v>254</v>
      </c>
      <c r="C73" s="0" t="s">
        <v>64</v>
      </c>
      <c r="D73" s="7" t="n">
        <v>0.8</v>
      </c>
      <c r="E73" s="7" t="n">
        <v>1</v>
      </c>
      <c r="F73" s="7" t="n">
        <v>1.2</v>
      </c>
      <c r="G73" s="8" t="s">
        <v>65</v>
      </c>
      <c r="H73" s="4" t="s">
        <v>255</v>
      </c>
      <c r="I73" s="8" t="s">
        <v>256</v>
      </c>
    </row>
    <row r="74" customFormat="false" ht="17.15" hidden="false" customHeight="false" outlineLevel="0" collapsed="false">
      <c r="A74" s="6" t="s">
        <v>257</v>
      </c>
    </row>
    <row r="75" customFormat="false" ht="17.15" hidden="false" customHeight="false" outlineLevel="0" collapsed="false">
      <c r="A75" s="0" t="s">
        <v>258</v>
      </c>
      <c r="B75" s="4" t="s">
        <v>259</v>
      </c>
      <c r="C75" s="0" t="s">
        <v>138</v>
      </c>
      <c r="E75" s="7" t="n">
        <v>219.778</v>
      </c>
      <c r="G75" s="8" t="s">
        <v>54</v>
      </c>
      <c r="H75" s="8" t="s">
        <v>260</v>
      </c>
      <c r="I75" s="8" t="s">
        <v>261</v>
      </c>
    </row>
    <row r="76" customFormat="false" ht="17.15" hidden="false" customHeight="false" outlineLevel="0" collapsed="false">
      <c r="A76" s="0" t="s">
        <v>262</v>
      </c>
      <c r="B76" s="4" t="s">
        <v>263</v>
      </c>
      <c r="C76" s="0" t="s">
        <v>264</v>
      </c>
      <c r="E76" s="7" t="n">
        <v>10.81</v>
      </c>
      <c r="G76" s="8" t="s">
        <v>54</v>
      </c>
      <c r="H76" s="8" t="s">
        <v>265</v>
      </c>
      <c r="I76" s="8" t="s">
        <v>266</v>
      </c>
    </row>
    <row r="77" customFormat="false" ht="17.15" hidden="false" customHeight="false" outlineLevel="0" collapsed="false">
      <c r="A77" s="0" t="s">
        <v>267</v>
      </c>
      <c r="B77" s="4" t="s">
        <v>268</v>
      </c>
      <c r="C77" s="0" t="s">
        <v>138</v>
      </c>
      <c r="E77" s="7" t="n">
        <v>292.383</v>
      </c>
      <c r="G77" s="8" t="s">
        <v>54</v>
      </c>
      <c r="H77" s="8" t="s">
        <v>260</v>
      </c>
      <c r="I77" s="8" t="s">
        <v>56</v>
      </c>
    </row>
    <row r="78" customFormat="false" ht="17.15" hidden="false" customHeight="false" outlineLevel="0" collapsed="false">
      <c r="A78" s="0" t="s">
        <v>269</v>
      </c>
      <c r="B78" s="4" t="s">
        <v>270</v>
      </c>
      <c r="C78" s="0" t="s">
        <v>264</v>
      </c>
      <c r="E78" s="7" t="n">
        <v>14.99</v>
      </c>
      <c r="G78" s="8" t="s">
        <v>54</v>
      </c>
      <c r="H78" s="8" t="s">
        <v>265</v>
      </c>
      <c r="I78" s="8" t="s">
        <v>271</v>
      </c>
    </row>
    <row r="79" customFormat="false" ht="17.15" hidden="false" customHeight="false" outlineLevel="0" collapsed="false">
      <c r="A79" s="0" t="s">
        <v>272</v>
      </c>
      <c r="B79" s="4" t="s">
        <v>273</v>
      </c>
      <c r="C79" s="0" t="s">
        <v>138</v>
      </c>
      <c r="E79" s="7" t="n">
        <v>366.11</v>
      </c>
      <c r="G79" s="8" t="s">
        <v>54</v>
      </c>
      <c r="H79" s="8" t="s">
        <v>260</v>
      </c>
      <c r="I79" s="8" t="s">
        <v>56</v>
      </c>
    </row>
    <row r="80" customFormat="false" ht="17.15" hidden="false" customHeight="false" outlineLevel="0" collapsed="false">
      <c r="A80" s="0" t="s">
        <v>274</v>
      </c>
      <c r="B80" s="4" t="s">
        <v>275</v>
      </c>
      <c r="C80" s="0" t="s">
        <v>264</v>
      </c>
      <c r="E80" s="7" t="n">
        <v>20.74</v>
      </c>
      <c r="G80" s="8" t="s">
        <v>54</v>
      </c>
      <c r="H80" s="8" t="s">
        <v>265</v>
      </c>
      <c r="I80" s="8" t="s">
        <v>271</v>
      </c>
    </row>
    <row r="81" customFormat="false" ht="17.15" hidden="false" customHeight="false" outlineLevel="0" collapsed="false">
      <c r="A81" s="0" t="s">
        <v>276</v>
      </c>
      <c r="B81" s="4" t="s">
        <v>277</v>
      </c>
      <c r="C81" s="0" t="s">
        <v>53</v>
      </c>
      <c r="E81" s="7" t="n">
        <v>0.583671939396773</v>
      </c>
      <c r="G81" s="8" t="s">
        <v>34</v>
      </c>
      <c r="H81" s="8" t="s">
        <v>278</v>
      </c>
      <c r="I81" s="4" t="s">
        <v>279</v>
      </c>
    </row>
    <row r="82" customFormat="false" ht="17.15" hidden="false" customHeight="false" outlineLevel="0" collapsed="false">
      <c r="A82" s="0" t="s">
        <v>280</v>
      </c>
      <c r="B82" s="4" t="s">
        <v>281</v>
      </c>
      <c r="C82" s="0" t="s">
        <v>33</v>
      </c>
      <c r="E82" s="7" t="n">
        <v>10.5297921189287</v>
      </c>
      <c r="G82" s="8" t="s">
        <v>34</v>
      </c>
      <c r="H82" s="8" t="s">
        <v>282</v>
      </c>
      <c r="I82" s="4" t="s">
        <v>283</v>
      </c>
    </row>
    <row r="83" customFormat="false" ht="17.15" hidden="false" customHeight="false" outlineLevel="0" collapsed="false">
      <c r="A83" s="0" t="s">
        <v>284</v>
      </c>
      <c r="B83" s="4" t="s">
        <v>285</v>
      </c>
      <c r="C83" s="0" t="s">
        <v>33</v>
      </c>
      <c r="E83" s="7" t="n">
        <v>6.1459441875</v>
      </c>
      <c r="G83" s="8" t="s">
        <v>34</v>
      </c>
      <c r="H83" s="8" t="s">
        <v>286</v>
      </c>
      <c r="I83" s="4" t="s">
        <v>287</v>
      </c>
    </row>
    <row r="84" customFormat="false" ht="17.15" hidden="false" customHeight="false" outlineLevel="0" collapsed="false">
      <c r="A84" s="0" t="s">
        <v>288</v>
      </c>
      <c r="B84" s="4" t="s">
        <v>289</v>
      </c>
      <c r="C84" s="0" t="s">
        <v>53</v>
      </c>
      <c r="E84" s="7" t="n">
        <v>0.554488342426935</v>
      </c>
      <c r="G84" s="8" t="s">
        <v>34</v>
      </c>
      <c r="H84" s="8" t="s">
        <v>278</v>
      </c>
      <c r="I84" s="4" t="s">
        <v>39</v>
      </c>
    </row>
    <row r="85" customFormat="false" ht="17.15" hidden="false" customHeight="false" outlineLevel="0" collapsed="false">
      <c r="A85" s="0" t="s">
        <v>290</v>
      </c>
      <c r="B85" s="4" t="s">
        <v>291</v>
      </c>
      <c r="C85" s="0" t="s">
        <v>33</v>
      </c>
      <c r="E85" s="7" t="n">
        <v>24.9880594956382</v>
      </c>
      <c r="G85" s="8" t="s">
        <v>34</v>
      </c>
      <c r="H85" s="8" t="s">
        <v>282</v>
      </c>
      <c r="I85" s="4" t="s">
        <v>39</v>
      </c>
    </row>
    <row r="86" customFormat="false" ht="17.15" hidden="false" customHeight="false" outlineLevel="0" collapsed="false">
      <c r="A86" s="0" t="s">
        <v>292</v>
      </c>
      <c r="B86" s="4" t="s">
        <v>293</v>
      </c>
      <c r="C86" s="0" t="s">
        <v>33</v>
      </c>
      <c r="E86" s="7" t="n">
        <v>13.855587690202</v>
      </c>
      <c r="G86" s="8" t="s">
        <v>34</v>
      </c>
      <c r="H86" s="8" t="s">
        <v>286</v>
      </c>
      <c r="I86" s="4" t="s">
        <v>39</v>
      </c>
    </row>
    <row r="87" customFormat="false" ht="17.15" hidden="false" customHeight="false" outlineLevel="0" collapsed="false">
      <c r="A87" s="0" t="s">
        <v>294</v>
      </c>
      <c r="B87" s="4" t="s">
        <v>295</v>
      </c>
      <c r="C87" s="0" t="s">
        <v>53</v>
      </c>
      <c r="E87" s="7" t="n">
        <v>0.525304745457096</v>
      </c>
      <c r="G87" s="8" t="s">
        <v>34</v>
      </c>
      <c r="H87" s="8" t="s">
        <v>278</v>
      </c>
      <c r="I87" s="4" t="s">
        <v>39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33</v>
      </c>
      <c r="E88" s="7" t="n">
        <v>35.8986539700486</v>
      </c>
      <c r="G88" s="8" t="s">
        <v>34</v>
      </c>
      <c r="H88" s="8" t="s">
        <v>282</v>
      </c>
      <c r="I88" s="4" t="s">
        <v>39</v>
      </c>
    </row>
    <row r="89" customFormat="false" ht="17.15" hidden="false" customHeight="false" outlineLevel="0" collapsed="false">
      <c r="A89" s="0" t="s">
        <v>298</v>
      </c>
      <c r="B89" s="4" t="s">
        <v>299</v>
      </c>
      <c r="C89" s="0" t="s">
        <v>33</v>
      </c>
      <c r="E89" s="7" t="n">
        <v>18.8577332859888</v>
      </c>
      <c r="G89" s="8" t="s">
        <v>34</v>
      </c>
      <c r="H89" s="8" t="s">
        <v>286</v>
      </c>
      <c r="I89" s="4" t="s">
        <v>39</v>
      </c>
    </row>
    <row r="90" customFormat="false" ht="17.15" hidden="false" customHeight="false" outlineLevel="0" collapsed="false">
      <c r="A90" s="0" t="s">
        <v>300</v>
      </c>
      <c r="B90" s="4" t="s">
        <v>301</v>
      </c>
      <c r="C90" s="0" t="s">
        <v>53</v>
      </c>
      <c r="E90" s="7" t="n">
        <v>0.496121148487257</v>
      </c>
      <c r="G90" s="8" t="s">
        <v>34</v>
      </c>
      <c r="H90" s="8" t="s">
        <v>278</v>
      </c>
      <c r="I90" s="4" t="s">
        <v>39</v>
      </c>
    </row>
    <row r="91" customFormat="false" ht="17.15" hidden="false" customHeight="false" outlineLevel="0" collapsed="false">
      <c r="A91" s="0" t="s">
        <v>302</v>
      </c>
      <c r="B91" s="4" t="s">
        <v>303</v>
      </c>
      <c r="C91" s="0" t="s">
        <v>33</v>
      </c>
      <c r="E91" s="7" t="n">
        <v>43.2997860500003</v>
      </c>
      <c r="G91" s="8" t="s">
        <v>34</v>
      </c>
      <c r="H91" s="8" t="s">
        <v>282</v>
      </c>
      <c r="I91" s="4" t="s">
        <v>39</v>
      </c>
    </row>
    <row r="92" customFormat="false" ht="17.15" hidden="false" customHeight="false" outlineLevel="0" collapsed="false">
      <c r="A92" s="0" t="s">
        <v>304</v>
      </c>
      <c r="B92" s="4" t="s">
        <v>305</v>
      </c>
      <c r="C92" s="0" t="s">
        <v>33</v>
      </c>
      <c r="E92" s="7" t="n">
        <v>21.4819395843787</v>
      </c>
      <c r="G92" s="8" t="s">
        <v>34</v>
      </c>
      <c r="H92" s="8" t="s">
        <v>286</v>
      </c>
      <c r="I92" s="4" t="s">
        <v>39</v>
      </c>
    </row>
    <row r="93" customFormat="false" ht="17.15" hidden="false" customHeight="false" outlineLevel="0" collapsed="false">
      <c r="A93" s="0" t="s">
        <v>306</v>
      </c>
      <c r="B93" s="4" t="s">
        <v>307</v>
      </c>
      <c r="C93" s="0" t="s">
        <v>53</v>
      </c>
      <c r="D93" s="7" t="n">
        <v>0.6</v>
      </c>
      <c r="E93" s="7" t="n">
        <v>0.625</v>
      </c>
      <c r="F93" s="7" t="n">
        <v>0.65</v>
      </c>
      <c r="G93" s="8" t="s">
        <v>54</v>
      </c>
      <c r="H93" s="8" t="s">
        <v>308</v>
      </c>
      <c r="I93" s="4" t="s">
        <v>309</v>
      </c>
    </row>
    <row r="94" customFormat="false" ht="17.15" hidden="false" customHeight="false" outlineLevel="0" collapsed="false">
      <c r="A94" s="6" t="s">
        <v>310</v>
      </c>
    </row>
    <row r="95" customFormat="false" ht="17.15" hidden="false" customHeight="false" outlineLevel="0" collapsed="false">
      <c r="A95" s="0" t="s">
        <v>311</v>
      </c>
      <c r="B95" s="4" t="s">
        <v>312</v>
      </c>
      <c r="C95" s="0" t="s">
        <v>264</v>
      </c>
      <c r="E95" s="7" t="n">
        <v>255.5</v>
      </c>
      <c r="G95" s="8" t="s">
        <v>54</v>
      </c>
      <c r="H95" s="8" t="s">
        <v>313</v>
      </c>
      <c r="I95" s="8" t="s">
        <v>314</v>
      </c>
    </row>
    <row r="96" customFormat="false" ht="17.15" hidden="false" customHeight="false" outlineLevel="0" collapsed="false">
      <c r="A96" s="0" t="s">
        <v>315</v>
      </c>
      <c r="B96" s="4" t="s">
        <v>316</v>
      </c>
      <c r="C96" s="0" t="s">
        <v>64</v>
      </c>
      <c r="E96" s="7" t="n">
        <v>30.09</v>
      </c>
      <c r="G96" s="8" t="s">
        <v>54</v>
      </c>
      <c r="H96" s="8" t="s">
        <v>317</v>
      </c>
      <c r="I96" s="4" t="s">
        <v>318</v>
      </c>
    </row>
    <row r="97" customFormat="false" ht="17.15" hidden="false" customHeight="false" outlineLevel="0" collapsed="false">
      <c r="A97" s="0" t="s">
        <v>319</v>
      </c>
      <c r="B97" s="4" t="s">
        <v>320</v>
      </c>
      <c r="C97" s="0" t="s">
        <v>64</v>
      </c>
      <c r="E97" s="7" t="n">
        <v>19.7</v>
      </c>
      <c r="G97" s="8" t="s">
        <v>54</v>
      </c>
      <c r="H97" s="8" t="s">
        <v>317</v>
      </c>
      <c r="I97" s="4" t="s">
        <v>321</v>
      </c>
    </row>
    <row r="98" customFormat="false" ht="17.15" hidden="false" customHeight="false" outlineLevel="0" collapsed="false">
      <c r="A98" s="0" t="s">
        <v>322</v>
      </c>
      <c r="B98" s="4" t="s">
        <v>323</v>
      </c>
      <c r="C98" s="0" t="s">
        <v>264</v>
      </c>
      <c r="E98" s="0" t="n">
        <f aca="false">px/fpe</f>
        <v>12.9695431472081</v>
      </c>
      <c r="G98" s="0" t="s">
        <v>34</v>
      </c>
      <c r="H98" s="0" t="s">
        <v>324</v>
      </c>
      <c r="I98" s="4" t="s">
        <v>325</v>
      </c>
    </row>
    <row r="99" customFormat="false" ht="17.15" hidden="false" customHeight="false" outlineLevel="0" collapsed="false">
      <c r="A99" s="0" t="s">
        <v>326</v>
      </c>
      <c r="B99" s="4" t="s">
        <v>327</v>
      </c>
      <c r="C99" s="0" t="s">
        <v>264</v>
      </c>
      <c r="E99" s="7" t="n">
        <v>314.25</v>
      </c>
      <c r="G99" s="8" t="s">
        <v>54</v>
      </c>
      <c r="H99" s="8" t="s">
        <v>328</v>
      </c>
      <c r="I99" s="8" t="s">
        <v>329</v>
      </c>
    </row>
    <row r="100" customFormat="false" ht="17.15" hidden="false" customHeight="false" outlineLevel="0" collapsed="false">
      <c r="A100" s="0" t="s">
        <v>330</v>
      </c>
      <c r="B100" s="4" t="s">
        <v>331</v>
      </c>
      <c r="C100" s="0" t="s">
        <v>53</v>
      </c>
      <c r="E100" s="0" t="n">
        <f aca="false">AVERAGE(0.041,0.0123,0.0385,0.0529,0.0626,0.0845,0.0818,0.0984,0.0872,0.091)</f>
        <v>0.06502</v>
      </c>
      <c r="G100" s="0" t="s">
        <v>54</v>
      </c>
      <c r="H100" s="0" t="s">
        <v>332</v>
      </c>
      <c r="I100" s="4" t="s">
        <v>333</v>
      </c>
    </row>
    <row r="101" customFormat="false" ht="17.15" hidden="false" customHeight="false" outlineLevel="0" collapsed="false">
      <c r="A101" s="6" t="s">
        <v>334</v>
      </c>
    </row>
    <row r="102" customFormat="false" ht="17.15" hidden="false" customHeight="false" outlineLevel="0" collapsed="false">
      <c r="A102" s="9" t="s">
        <v>335</v>
      </c>
      <c r="B102" s="10" t="s">
        <v>336</v>
      </c>
      <c r="C102" s="9" t="s">
        <v>53</v>
      </c>
      <c r="D102" s="9"/>
      <c r="E102" s="11" t="n">
        <v>0.3</v>
      </c>
      <c r="F102" s="9"/>
      <c r="G102" s="9" t="s">
        <v>337</v>
      </c>
      <c r="H102" s="9" t="s">
        <v>338</v>
      </c>
      <c r="I102" s="10" t="s">
        <v>339</v>
      </c>
    </row>
    <row r="103" customFormat="false" ht="17.15" hidden="false" customHeight="false" outlineLevel="0" collapsed="false">
      <c r="A103" s="9" t="s">
        <v>340</v>
      </c>
      <c r="B103" s="10" t="s">
        <v>341</v>
      </c>
      <c r="C103" s="9" t="s">
        <v>53</v>
      </c>
      <c r="D103" s="9"/>
      <c r="E103" s="11" t="n">
        <v>0.5</v>
      </c>
      <c r="F103" s="9"/>
      <c r="G103" s="9" t="s">
        <v>337</v>
      </c>
      <c r="H103" s="9" t="s">
        <v>338</v>
      </c>
      <c r="I103" s="10" t="s">
        <v>339</v>
      </c>
    </row>
    <row r="104" customFormat="false" ht="17.15" hidden="false" customHeight="false" outlineLevel="0" collapsed="false">
      <c r="A104" s="9" t="s">
        <v>342</v>
      </c>
      <c r="B104" s="10" t="s">
        <v>343</v>
      </c>
      <c r="C104" s="9" t="s">
        <v>53</v>
      </c>
      <c r="D104" s="9"/>
      <c r="E104" s="11" t="n">
        <v>0.2</v>
      </c>
      <c r="F104" s="9"/>
      <c r="G104" s="9" t="s">
        <v>337</v>
      </c>
      <c r="H104" s="9" t="s">
        <v>338</v>
      </c>
      <c r="I104" s="10" t="s">
        <v>339</v>
      </c>
    </row>
    <row r="105" customFormat="false" ht="17.15" hidden="false" customHeight="false" outlineLevel="0" collapsed="false">
      <c r="A105" s="9" t="s">
        <v>344</v>
      </c>
      <c r="B105" s="10" t="s">
        <v>345</v>
      </c>
      <c r="C105" s="9" t="s">
        <v>53</v>
      </c>
      <c r="D105" s="9"/>
      <c r="E105" s="11" t="n">
        <v>0.1</v>
      </c>
      <c r="F105" s="9"/>
      <c r="G105" s="9" t="s">
        <v>337</v>
      </c>
      <c r="H105" s="9" t="s">
        <v>346</v>
      </c>
      <c r="I105" s="9" t="s">
        <v>347</v>
      </c>
    </row>
    <row r="106" customFormat="false" ht="17.15" hidden="false" customHeight="false" outlineLevel="0" collapsed="false">
      <c r="A106" s="9" t="s">
        <v>348</v>
      </c>
      <c r="B106" s="10" t="s">
        <v>349</v>
      </c>
      <c r="C106" s="9" t="s">
        <v>53</v>
      </c>
      <c r="D106" s="9"/>
      <c r="E106" s="11" t="n">
        <v>0.04</v>
      </c>
      <c r="F106" s="9"/>
      <c r="G106" s="9" t="s">
        <v>337</v>
      </c>
      <c r="H106" s="9" t="s">
        <v>350</v>
      </c>
      <c r="I106" s="9" t="s">
        <v>351</v>
      </c>
    </row>
    <row r="107" customFormat="false" ht="17.15" hidden="false" customHeight="false" outlineLevel="0" collapsed="false">
      <c r="A107" s="9" t="s">
        <v>352</v>
      </c>
      <c r="B107" s="9" t="s">
        <v>353</v>
      </c>
      <c r="C107" s="9" t="s">
        <v>53</v>
      </c>
      <c r="D107" s="9"/>
      <c r="E107" s="9" t="n">
        <f aca="false">AVERAGE(0.1748,0.1359,0.1671)</f>
        <v>0.159266666666667</v>
      </c>
      <c r="F107" s="9"/>
      <c r="G107" s="9" t="s">
        <v>34</v>
      </c>
      <c r="H107" s="9" t="s">
        <v>354</v>
      </c>
      <c r="I107" s="10" t="s">
        <v>355</v>
      </c>
    </row>
    <row r="108" customFormat="false" ht="17.15" hidden="false" customHeight="false" outlineLevel="0" collapsed="false">
      <c r="A108" s="9" t="s">
        <v>356</v>
      </c>
      <c r="B108" s="10" t="s">
        <v>357</v>
      </c>
      <c r="C108" s="9" t="s">
        <v>53</v>
      </c>
      <c r="D108" s="9"/>
      <c r="E108" s="11" t="n">
        <v>0.5</v>
      </c>
      <c r="F108" s="9"/>
      <c r="G108" s="9" t="s">
        <v>337</v>
      </c>
      <c r="H108" s="9" t="s">
        <v>358</v>
      </c>
      <c r="I108" s="9" t="s">
        <v>56</v>
      </c>
    </row>
    <row r="109" customFormat="false" ht="17.15" hidden="false" customHeight="false" outlineLevel="0" collapsed="false">
      <c r="A109" s="9" t="s">
        <v>359</v>
      </c>
      <c r="B109" s="10" t="s">
        <v>360</v>
      </c>
      <c r="C109" s="9" t="s">
        <v>53</v>
      </c>
      <c r="D109" s="9"/>
      <c r="E109" s="9" t="n">
        <f aca="false">tp_g+0.02</f>
        <v>0.06</v>
      </c>
      <c r="F109" s="9"/>
      <c r="G109" s="9" t="s">
        <v>337</v>
      </c>
      <c r="H109" s="10" t="s">
        <v>361</v>
      </c>
      <c r="I109" s="9" t="s">
        <v>362</v>
      </c>
    </row>
    <row r="110" customFormat="false" ht="17.15" hidden="false" customHeight="false" outlineLevel="0" collapsed="false">
      <c r="A110" s="9" t="s">
        <v>363</v>
      </c>
      <c r="B110" s="10" t="s">
        <v>364</v>
      </c>
      <c r="C110" s="9" t="s">
        <v>53</v>
      </c>
      <c r="D110" s="9"/>
      <c r="E110" s="9" t="n">
        <f aca="false">tp_g</f>
        <v>0.04</v>
      </c>
      <c r="F110" s="9"/>
      <c r="G110" s="9" t="s">
        <v>337</v>
      </c>
      <c r="H110" s="10" t="s">
        <v>39</v>
      </c>
      <c r="I110" s="9" t="s">
        <v>56</v>
      </c>
    </row>
    <row r="111" customFormat="false" ht="17.15" hidden="false" customHeight="false" outlineLevel="0" collapsed="false">
      <c r="A111" s="9" t="s">
        <v>365</v>
      </c>
      <c r="B111" s="10" t="s">
        <v>366</v>
      </c>
      <c r="C111" s="9" t="s">
        <v>53</v>
      </c>
      <c r="D111" s="9"/>
      <c r="E111" s="9" t="n">
        <f aca="false">tp_g-0.02</f>
        <v>0.02</v>
      </c>
      <c r="F111" s="9"/>
      <c r="G111" s="9" t="s">
        <v>337</v>
      </c>
      <c r="H111" s="10" t="s">
        <v>39</v>
      </c>
      <c r="I111" s="9" t="s">
        <v>56</v>
      </c>
    </row>
    <row r="112" customFormat="false" ht="17.15" hidden="false" customHeight="false" outlineLevel="0" collapsed="false">
      <c r="A112" s="9" t="s">
        <v>367</v>
      </c>
      <c r="B112" s="10" t="s">
        <v>368</v>
      </c>
      <c r="C112" s="9" t="s">
        <v>53</v>
      </c>
      <c r="D112" s="9"/>
      <c r="E112" s="12" t="n">
        <f aca="false">PL!G17</f>
        <v>0.170851904357065</v>
      </c>
      <c r="F112" s="9"/>
      <c r="G112" s="9" t="s">
        <v>34</v>
      </c>
      <c r="H112" s="9" t="s">
        <v>369</v>
      </c>
      <c r="I112" s="9" t="s">
        <v>56</v>
      </c>
    </row>
    <row r="113" customFormat="false" ht="17.15" hidden="false" customHeight="false" outlineLevel="0" collapsed="false">
      <c r="A113" s="9" t="s">
        <v>370</v>
      </c>
      <c r="B113" s="10" t="s">
        <v>371</v>
      </c>
      <c r="C113" s="9" t="s">
        <v>53</v>
      </c>
      <c r="D113" s="9"/>
      <c r="E113" s="13" t="n">
        <f aca="false">(PL!G34+nim_avg)/2</f>
        <v>0.107130813980232</v>
      </c>
      <c r="F113" s="9"/>
      <c r="G113" s="9" t="s">
        <v>34</v>
      </c>
      <c r="H113" s="9" t="s">
        <v>372</v>
      </c>
      <c r="I113" s="9" t="s">
        <v>56</v>
      </c>
    </row>
    <row r="114" customFormat="false" ht="17.15" hidden="false" customHeight="false" outlineLevel="0" collapsed="false">
      <c r="A114" s="9" t="s">
        <v>373</v>
      </c>
      <c r="B114" s="10" t="s">
        <v>374</v>
      </c>
      <c r="C114" s="9" t="s">
        <v>53</v>
      </c>
      <c r="D114" s="9"/>
      <c r="E114" s="9" t="n">
        <f aca="false">nim_avg</f>
        <v>0.06502</v>
      </c>
      <c r="F114" s="9"/>
      <c r="G114" s="9" t="s">
        <v>34</v>
      </c>
      <c r="H114" s="9" t="s">
        <v>375</v>
      </c>
      <c r="I114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376</v>
      </c>
    </row>
    <row r="2" customFormat="false" ht="17.15" hidden="false" customHeight="false" outlineLevel="0" collapsed="false">
      <c r="A2" s="0" t="s">
        <v>377</v>
      </c>
    </row>
    <row r="3" customFormat="false" ht="17.15" hidden="false" customHeight="false" outlineLevel="0" collapsed="false">
      <c r="A3" s="5" t="s">
        <v>22</v>
      </c>
      <c r="B3" s="14" t="s">
        <v>378</v>
      </c>
      <c r="C3" s="14" t="s">
        <v>379</v>
      </c>
      <c r="D3" s="14" t="s">
        <v>380</v>
      </c>
      <c r="E3" s="14" t="s">
        <v>381</v>
      </c>
      <c r="F3" s="14" t="s">
        <v>382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383</v>
      </c>
      <c r="B4" s="15" t="n">
        <v>166.085</v>
      </c>
      <c r="C4" s="16" t="n">
        <f aca="false">43.407+52.703</f>
        <v>96.11</v>
      </c>
      <c r="D4" s="16" t="n">
        <f aca="false">q3_rev</f>
        <v>57.449</v>
      </c>
      <c r="E4" s="16" t="n">
        <f aca="false">D4*(1+q4g)</f>
        <v>59.17247</v>
      </c>
      <c r="F4" s="16" t="n">
        <f aca="false">SUM(C4:E4)</f>
        <v>212.73147</v>
      </c>
      <c r="G4" s="8" t="s">
        <v>384</v>
      </c>
      <c r="H4" s="8" t="s">
        <v>385</v>
      </c>
      <c r="I4" s="8" t="s">
        <v>386</v>
      </c>
    </row>
    <row r="5" customFormat="false" ht="17.15" hidden="false" customHeight="false" outlineLevel="0" collapsed="false">
      <c r="A5" s="4" t="s">
        <v>387</v>
      </c>
      <c r="B5" s="15" t="n">
        <v>38.039</v>
      </c>
      <c r="C5" s="16" t="n">
        <f aca="false">9.403+14.348</f>
        <v>23.751</v>
      </c>
      <c r="D5" s="16" t="n">
        <f aca="false">D4*q_gm</f>
        <v>14.93674</v>
      </c>
      <c r="E5" s="16" t="n">
        <f aca="false">E4*q_gm</f>
        <v>15.3848422</v>
      </c>
      <c r="F5" s="16" t="n">
        <f aca="false">SUM(C5:E5)</f>
        <v>54.0725822</v>
      </c>
      <c r="G5" s="8" t="s">
        <v>388</v>
      </c>
      <c r="H5" s="8" t="s">
        <v>385</v>
      </c>
      <c r="I5" s="8" t="s">
        <v>389</v>
      </c>
    </row>
    <row r="6" customFormat="false" ht="17.15" hidden="false" customHeight="false" outlineLevel="0" collapsed="false">
      <c r="A6" s="4" t="s">
        <v>390</v>
      </c>
      <c r="B6" s="17" t="n">
        <f aca="false">B5/B4</f>
        <v>0.229033326308818</v>
      </c>
      <c r="C6" s="17" t="n">
        <f aca="false">C5/C4</f>
        <v>0.247123088128186</v>
      </c>
      <c r="D6" s="17" t="n">
        <f aca="false">D5/D4</f>
        <v>0.26</v>
      </c>
      <c r="E6" s="17" t="n">
        <f aca="false">E5/E4</f>
        <v>0.26</v>
      </c>
      <c r="F6" s="17" t="n">
        <f aca="false">F5/F4</f>
        <v>0.254182337009188</v>
      </c>
      <c r="G6" s="8" t="s">
        <v>34</v>
      </c>
      <c r="H6" s="8" t="s">
        <v>56</v>
      </c>
      <c r="I6" s="8" t="s">
        <v>391</v>
      </c>
    </row>
    <row r="7" customFormat="false" ht="17.15" hidden="false" customHeight="false" outlineLevel="0" collapsed="false">
      <c r="A7" s="4" t="s">
        <v>392</v>
      </c>
      <c r="B7" s="16" t="n">
        <f aca="false">B5-B8</f>
        <v>21.301</v>
      </c>
      <c r="C7" s="16" t="n">
        <f aca="false">C5-C8</f>
        <v>11.449</v>
      </c>
      <c r="D7" s="16" t="n">
        <f aca="false">D4*q_opx</f>
        <v>6.778982</v>
      </c>
      <c r="E7" s="16" t="n">
        <f aca="false">E4*q_opx</f>
        <v>6.98235146</v>
      </c>
      <c r="F7" s="16" t="n">
        <f aca="false">SUM(C7:E7)</f>
        <v>25.21033346</v>
      </c>
      <c r="G7" s="8" t="s">
        <v>393</v>
      </c>
      <c r="H7" s="8" t="s">
        <v>385</v>
      </c>
      <c r="I7" s="4" t="s">
        <v>394</v>
      </c>
    </row>
    <row r="8" customFormat="false" ht="17.15" hidden="false" customHeight="false" outlineLevel="0" collapsed="false">
      <c r="A8" s="4" t="s">
        <v>395</v>
      </c>
      <c r="B8" s="15" t="n">
        <v>16.738</v>
      </c>
      <c r="C8" s="16" t="n">
        <f aca="false">4.099+8.203</f>
        <v>12.302</v>
      </c>
      <c r="D8" s="16" t="n">
        <f aca="false">D5-D7</f>
        <v>8.157758</v>
      </c>
      <c r="E8" s="16" t="n">
        <f aca="false">E5-E7</f>
        <v>8.40249074</v>
      </c>
      <c r="F8" s="16" t="n">
        <f aca="false">SUM(C8:E8)</f>
        <v>28.86224874</v>
      </c>
      <c r="G8" s="8" t="s">
        <v>396</v>
      </c>
      <c r="H8" s="8" t="s">
        <v>385</v>
      </c>
      <c r="I8" s="8" t="s">
        <v>389</v>
      </c>
    </row>
    <row r="9" customFormat="false" ht="17.15" hidden="false" customHeight="false" outlineLevel="0" collapsed="false">
      <c r="A9" s="4" t="s">
        <v>397</v>
      </c>
      <c r="B9" s="17" t="n">
        <f aca="false">B8/B4</f>
        <v>0.100779721227083</v>
      </c>
      <c r="C9" s="17" t="n">
        <f aca="false">C8/C4</f>
        <v>0.127999167620435</v>
      </c>
      <c r="D9" s="17" t="n">
        <f aca="false">D8/D4</f>
        <v>0.142</v>
      </c>
      <c r="E9" s="17" t="n">
        <f aca="false">E8/E4</f>
        <v>0.142</v>
      </c>
      <c r="F9" s="17" t="n">
        <f aca="false">F8/F4</f>
        <v>0.135674560703219</v>
      </c>
      <c r="G9" s="8" t="s">
        <v>34</v>
      </c>
      <c r="H9" s="8" t="s">
        <v>56</v>
      </c>
      <c r="I9" s="8" t="s">
        <v>398</v>
      </c>
    </row>
    <row r="10" customFormat="false" ht="17.15" hidden="false" customHeight="false" outlineLevel="0" collapsed="false">
      <c r="A10" s="4" t="s">
        <v>399</v>
      </c>
      <c r="B10" s="16" t="n">
        <f aca="false">B11-B8</f>
        <v>2.9762895</v>
      </c>
      <c r="C10" s="16" t="n">
        <f aca="false">C11-C8</f>
        <v>2.039</v>
      </c>
      <c r="D10" s="16" t="n">
        <f aca="false">q_nop</f>
        <v>0.9</v>
      </c>
      <c r="E10" s="16" t="n">
        <f aca="false">q_nop</f>
        <v>0.9</v>
      </c>
      <c r="F10" s="16" t="n">
        <f aca="false">SUM(C10:E10)</f>
        <v>3.839</v>
      </c>
      <c r="G10" s="8" t="s">
        <v>393</v>
      </c>
      <c r="H10" s="4" t="s">
        <v>400</v>
      </c>
      <c r="I10" s="8" t="s">
        <v>56</v>
      </c>
    </row>
    <row r="11" customFormat="false" ht="17.15" hidden="false" customHeight="false" outlineLevel="0" collapsed="false">
      <c r="A11" s="4" t="s">
        <v>401</v>
      </c>
      <c r="B11" s="16" t="n">
        <f aca="false">166.085*0.1187</f>
        <v>19.7142895</v>
      </c>
      <c r="C11" s="16" t="n">
        <f aca="false">4.97+9.371</f>
        <v>14.341</v>
      </c>
      <c r="D11" s="16" t="n">
        <f aca="false">D8+D10</f>
        <v>9.057758</v>
      </c>
      <c r="E11" s="16" t="n">
        <f aca="false">E8+E10</f>
        <v>9.30249074</v>
      </c>
      <c r="F11" s="16" t="n">
        <f aca="false">SUM(C11:E11)</f>
        <v>32.70124874</v>
      </c>
      <c r="G11" s="8" t="s">
        <v>34</v>
      </c>
      <c r="H11" s="8" t="s">
        <v>402</v>
      </c>
      <c r="I11" s="4" t="s">
        <v>403</v>
      </c>
    </row>
    <row r="12" customFormat="false" ht="17.15" hidden="false" customHeight="false" outlineLevel="0" collapsed="false">
      <c r="A12" s="4" t="s">
        <v>404</v>
      </c>
      <c r="B12" s="15" t="n">
        <v>15.116</v>
      </c>
      <c r="C12" s="16" t="n">
        <f aca="false">3.775+7.116</f>
        <v>10.891</v>
      </c>
      <c r="D12" s="16" t="n">
        <f aca="false">D11*q_nir</f>
        <v>6.87874223401437</v>
      </c>
      <c r="E12" s="16" t="n">
        <f aca="false">E11*q_nir</f>
        <v>7.0645998639802</v>
      </c>
      <c r="F12" s="16" t="n">
        <f aca="false">SUM(C12:E12)</f>
        <v>24.8343420979946</v>
      </c>
      <c r="G12" s="8" t="s">
        <v>405</v>
      </c>
      <c r="H12" s="8" t="s">
        <v>385</v>
      </c>
      <c r="I12" s="8" t="s">
        <v>406</v>
      </c>
    </row>
    <row r="13" customFormat="false" ht="17.15" hidden="false" customHeight="false" outlineLevel="0" collapsed="false">
      <c r="A13" s="4" t="s">
        <v>407</v>
      </c>
      <c r="B13" s="17" t="n">
        <f aca="false">B12/B11</f>
        <v>0.766753475949514</v>
      </c>
      <c r="C13" s="17" t="n">
        <f aca="false">C12/C11</f>
        <v>0.759431002022174</v>
      </c>
      <c r="D13" s="17" t="n">
        <f aca="false">D12/D11</f>
        <v>0.759431002022174</v>
      </c>
      <c r="E13" s="17" t="n">
        <f aca="false">E12/E11</f>
        <v>0.759431002022174</v>
      </c>
      <c r="F13" s="17" t="n">
        <f aca="false">F12/F11</f>
        <v>0.759431002022174</v>
      </c>
      <c r="G13" s="8" t="s">
        <v>34</v>
      </c>
      <c r="H13" s="8" t="s">
        <v>56</v>
      </c>
      <c r="I13" s="8" t="s">
        <v>56</v>
      </c>
    </row>
    <row r="14" customFormat="false" ht="17.15" hidden="false" customHeight="false" outlineLevel="0" collapsed="false">
      <c r="A14" s="4" t="s">
        <v>408</v>
      </c>
      <c r="B14" s="16" t="n">
        <f aca="false">15.116/6.64</f>
        <v>2.27650602409639</v>
      </c>
      <c r="C14" s="16" t="n">
        <f aca="false">q_sh</f>
        <v>2.26895833333333</v>
      </c>
      <c r="D14" s="16" t="n">
        <f aca="false">q_sh</f>
        <v>2.26895833333333</v>
      </c>
      <c r="E14" s="16" t="n">
        <f aca="false">q_sh</f>
        <v>2.26895833333333</v>
      </c>
      <c r="F14" s="16" t="n">
        <f aca="false">q_sh</f>
        <v>2.26895833333333</v>
      </c>
      <c r="G14" s="8" t="s">
        <v>34</v>
      </c>
      <c r="H14" s="8" t="s">
        <v>385</v>
      </c>
      <c r="I14" s="4" t="s">
        <v>409</v>
      </c>
    </row>
    <row r="15" customFormat="false" ht="17.15" hidden="false" customHeight="false" outlineLevel="0" collapsed="false">
      <c r="A15" s="0" t="s">
        <v>410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3.03167410919741</v>
      </c>
      <c r="E15" s="18" t="n">
        <f aca="false">E12/E14</f>
        <v>3.11358730576668</v>
      </c>
      <c r="F15" s="18" t="n">
        <f aca="false">F12/F14</f>
        <v>10.9452614149641</v>
      </c>
      <c r="G15" s="8" t="s">
        <v>34</v>
      </c>
      <c r="H15" s="4" t="s">
        <v>411</v>
      </c>
      <c r="I15" s="8" t="s">
        <v>56</v>
      </c>
    </row>
    <row r="16" customFormat="false" ht="17.15" hidden="false" customHeight="false" outlineLevel="0" collapsed="false">
      <c r="A16" s="4" t="s">
        <v>412</v>
      </c>
      <c r="B16" s="19" t="n">
        <v>6.64</v>
      </c>
      <c r="C16" s="19" t="n">
        <v>4.8</v>
      </c>
      <c r="G16" s="8" t="s">
        <v>139</v>
      </c>
      <c r="H16" s="8" t="s">
        <v>385</v>
      </c>
      <c r="I16" s="8" t="s">
        <v>413</v>
      </c>
    </row>
    <row r="17" customFormat="false" ht="17.15" hidden="false" customHeight="false" outlineLevel="0" collapsed="false">
      <c r="A17" s="0" t="s">
        <v>414</v>
      </c>
      <c r="B17" s="16" t="n">
        <f aca="false">B4*ai_25</f>
        <v>34.87785</v>
      </c>
      <c r="F17" s="16" t="n">
        <f aca="false">F4*ai_26</f>
        <v>65.9467557</v>
      </c>
      <c r="G17" s="8" t="s">
        <v>415</v>
      </c>
      <c r="H17" s="4" t="s">
        <v>416</v>
      </c>
      <c r="I17" s="4" t="s">
        <v>417</v>
      </c>
    </row>
    <row r="18" customFormat="false" ht="17.15" hidden="false" customHeight="false" outlineLevel="0" collapsed="false">
      <c r="A18" s="4" t="s">
        <v>418</v>
      </c>
      <c r="B18" s="16" t="n">
        <f aca="false">B17*(1-x_np)</f>
        <v>31.390065</v>
      </c>
      <c r="F18" s="16" t="n">
        <f aca="false">F17*(1-x_np)</f>
        <v>59.35208013</v>
      </c>
      <c r="G18" s="8" t="s">
        <v>393</v>
      </c>
      <c r="H18" s="8" t="s">
        <v>419</v>
      </c>
      <c r="I18" s="8" t="s">
        <v>420</v>
      </c>
    </row>
    <row r="19" customFormat="false" ht="17.15" hidden="false" customHeight="false" outlineLevel="0" collapsed="false">
      <c r="A19" s="4" t="s">
        <v>421</v>
      </c>
      <c r="B19" s="16" t="n">
        <f aca="false">B4-B17</f>
        <v>131.20715</v>
      </c>
      <c r="F19" s="16" t="n">
        <f aca="false">F4-F17</f>
        <v>146.7847143</v>
      </c>
      <c r="G19" s="8" t="s">
        <v>34</v>
      </c>
      <c r="H19" s="8" t="s">
        <v>56</v>
      </c>
      <c r="I19" s="4" t="s">
        <v>422</v>
      </c>
    </row>
    <row r="23" customFormat="false" ht="17.15" hidden="false" customHeight="false" outlineLevel="0" collapsed="false">
      <c r="A23" s="6" t="s">
        <v>423</v>
      </c>
    </row>
    <row r="24" customFormat="false" ht="17.15" hidden="false" customHeight="false" outlineLevel="0" collapsed="false">
      <c r="A24" s="0" t="s">
        <v>424</v>
      </c>
      <c r="B24" s="17" t="n">
        <f aca="false">F4/B4-1</f>
        <v>0.280859017972725</v>
      </c>
    </row>
    <row r="25" customFormat="false" ht="17.15" hidden="false" customHeight="false" outlineLevel="0" collapsed="false">
      <c r="A25" s="0" t="s">
        <v>425</v>
      </c>
      <c r="B25" s="17" t="n">
        <f aca="false">F7/B7-1</f>
        <v>0.183528165813811</v>
      </c>
    </row>
    <row r="26" customFormat="false" ht="17.15" hidden="false" customHeight="false" outlineLevel="0" collapsed="false">
      <c r="A26" s="4" t="s">
        <v>426</v>
      </c>
      <c r="B26" s="18" t="n">
        <f aca="false">B25/B24</f>
        <v>0.653452992674191</v>
      </c>
    </row>
    <row r="27" customFormat="false" ht="17.15" hidden="false" customHeight="false" outlineLevel="0" collapsed="false">
      <c r="A27" s="0" t="s">
        <v>427</v>
      </c>
      <c r="B27" s="17" t="n">
        <f aca="false">F4/cons_rev26-1</f>
        <v>-0.0320620353265567</v>
      </c>
    </row>
    <row r="28" customFormat="false" ht="17.15" hidden="false" customHeight="false" outlineLevel="0" collapsed="false">
      <c r="A28" s="0" t="s">
        <v>428</v>
      </c>
      <c r="B28" s="17" t="n">
        <f aca="false">F15/cons_eps26-1</f>
        <v>0.0125126193306282</v>
      </c>
    </row>
    <row r="29" customFormat="false" ht="17.15" hidden="false" customHeight="false" outlineLevel="0" collapsed="false">
      <c r="A29" s="4" t="s">
        <v>429</v>
      </c>
      <c r="B29" s="17" t="n">
        <f aca="false">F19/B19-1</f>
        <v>0.118724965064785</v>
      </c>
    </row>
    <row r="31" customFormat="false" ht="17.15" hidden="false" customHeight="false" outlineLevel="0" collapsed="false">
      <c r="A31" s="1" t="s">
        <v>430</v>
      </c>
    </row>
    <row r="32" customFormat="false" ht="17.15" hidden="false" customHeight="false" outlineLevel="0" collapsed="false">
      <c r="A32" s="4" t="s">
        <v>431</v>
      </c>
      <c r="B32" s="16" t="n">
        <f aca="false">B4*s25_cl</f>
        <v>74.73825</v>
      </c>
      <c r="C32" s="16" t="n">
        <f aca="false">q2_cl/(1+g1_cl)+q2_cl</f>
        <v>51.8365079365079</v>
      </c>
      <c r="D32" s="16" t="n">
        <f aca="false">D4*s2h_cl</f>
        <v>31.59695</v>
      </c>
      <c r="E32" s="16" t="n">
        <f aca="false">E4*s2h_cl</f>
        <v>32.5448585</v>
      </c>
      <c r="F32" s="16" t="n">
        <f aca="false">SUM(C32:E32)</f>
        <v>115.978316436508</v>
      </c>
      <c r="G32" s="8" t="s">
        <v>432</v>
      </c>
      <c r="H32" s="8" t="s">
        <v>433</v>
      </c>
      <c r="I32" s="8" t="s">
        <v>434</v>
      </c>
    </row>
    <row r="33" customFormat="false" ht="17.15" hidden="false" customHeight="false" outlineLevel="0" collapsed="false">
      <c r="A33" s="4" t="s">
        <v>435</v>
      </c>
      <c r="B33" s="16" t="n">
        <f aca="false">B4*s25_op</f>
        <v>28.23445</v>
      </c>
      <c r="C33" s="16" t="n">
        <f aca="false">q2_op/(1+g1_op)+q2_op</f>
        <v>15.1428571428571</v>
      </c>
      <c r="D33" s="16" t="n">
        <f aca="false">D4*s2h_op</f>
        <v>8.732248</v>
      </c>
      <c r="E33" s="16" t="n">
        <f aca="false">E4*s2h_op</f>
        <v>8.99421544</v>
      </c>
      <c r="F33" s="16" t="n">
        <f aca="false">SUM(C33:E33)</f>
        <v>32.8693205828571</v>
      </c>
      <c r="G33" s="8" t="s">
        <v>432</v>
      </c>
      <c r="H33" s="4" t="s">
        <v>39</v>
      </c>
      <c r="I33" s="4" t="s">
        <v>39</v>
      </c>
    </row>
    <row r="34" customFormat="false" ht="17.15" hidden="false" customHeight="false" outlineLevel="0" collapsed="false">
      <c r="A34" s="4" t="s">
        <v>436</v>
      </c>
      <c r="B34" s="16" t="n">
        <f aca="false">B4*s25_ic</f>
        <v>63.1123</v>
      </c>
      <c r="C34" s="16" t="n">
        <f aca="false">C4-C32-C33</f>
        <v>29.1306349206349</v>
      </c>
      <c r="D34" s="16" t="n">
        <f aca="false">D4-D32-D33</f>
        <v>17.119802</v>
      </c>
      <c r="E34" s="16" t="n">
        <f aca="false">E4-E32-E33</f>
        <v>17.63339606</v>
      </c>
      <c r="F34" s="16" t="n">
        <f aca="false">SUM(C34:E34)</f>
        <v>63.8838329806349</v>
      </c>
      <c r="G34" s="8" t="s">
        <v>34</v>
      </c>
      <c r="H34" s="8" t="s">
        <v>437</v>
      </c>
      <c r="I34" s="8" t="s">
        <v>56</v>
      </c>
    </row>
    <row r="35" customFormat="false" ht="17.15" hidden="false" customHeight="false" outlineLevel="0" collapsed="false">
      <c r="A35" s="4" t="s">
        <v>438</v>
      </c>
      <c r="B35" s="16" t="n">
        <f aca="false">B32+B33+B34-B4</f>
        <v>0</v>
      </c>
      <c r="C35" s="16" t="n">
        <f aca="false">C32+C33+C34-C4</f>
        <v>0</v>
      </c>
      <c r="D35" s="16" t="n">
        <f aca="false">D32+D33+D34-D4</f>
        <v>0</v>
      </c>
      <c r="E35" s="16" t="n">
        <f aca="false">E32+E33+E34-E4</f>
        <v>0</v>
      </c>
      <c r="F35" s="16" t="n">
        <f aca="false">SUM(C35:E35)</f>
        <v>0</v>
      </c>
      <c r="G35" s="8" t="s">
        <v>34</v>
      </c>
      <c r="H35" s="4" t="s">
        <v>439</v>
      </c>
      <c r="I35" s="8" t="s">
        <v>56</v>
      </c>
    </row>
    <row r="36" customFormat="false" ht="17.15" hidden="false" customHeight="false" outlineLevel="0" collapsed="false">
      <c r="A36" s="4" t="s">
        <v>440</v>
      </c>
      <c r="B36" s="16" t="n">
        <f aca="false">B17</f>
        <v>34.87785</v>
      </c>
      <c r="F36" s="16" t="n">
        <f aca="false">F17</f>
        <v>65.9467557</v>
      </c>
      <c r="G36" s="8" t="s">
        <v>34</v>
      </c>
      <c r="H36" s="8" t="s">
        <v>441</v>
      </c>
      <c r="I36" s="8" t="s">
        <v>56</v>
      </c>
    </row>
    <row r="37" customFormat="false" ht="17.15" hidden="false" customHeight="false" outlineLevel="0" collapsed="false">
      <c r="A37" s="4" t="s">
        <v>442</v>
      </c>
      <c r="B37" s="16" t="n">
        <f aca="false">B32-B36</f>
        <v>39.8604</v>
      </c>
      <c r="F37" s="16" t="n">
        <f aca="false">F32-F36</f>
        <v>50.0315607365079</v>
      </c>
      <c r="G37" s="8" t="s">
        <v>34</v>
      </c>
      <c r="H37" s="8" t="s">
        <v>56</v>
      </c>
      <c r="I37" s="4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444</v>
      </c>
    </row>
    <row r="3" customFormat="false" ht="15" hidden="false" customHeight="false" outlineLevel="0" collapsed="false">
      <c r="A3" s="5" t="s">
        <v>22</v>
      </c>
      <c r="B3" s="5" t="s">
        <v>23</v>
      </c>
      <c r="C3" s="14" t="s">
        <v>445</v>
      </c>
      <c r="D3" s="14" t="s">
        <v>446</v>
      </c>
      <c r="E3" s="14" t="s">
        <v>447</v>
      </c>
      <c r="F3" s="14" t="s">
        <v>448</v>
      </c>
      <c r="G3" s="5" t="s">
        <v>449</v>
      </c>
    </row>
    <row r="4" customFormat="false" ht="17.15" hidden="false" customHeight="false" outlineLevel="0" collapsed="false">
      <c r="A4" s="4" t="s">
        <v>450</v>
      </c>
      <c r="B4" s="0" t="s">
        <v>451</v>
      </c>
      <c r="C4" s="20" t="n">
        <f aca="false">PL!D123</f>
        <v>23.3995380420639</v>
      </c>
      <c r="D4" s="20" t="n">
        <f aca="false">PL!E123</f>
        <v>41.6467658260637</v>
      </c>
      <c r="E4" s="20" t="n">
        <f aca="false">PL!F123</f>
        <v>42.2337105529984</v>
      </c>
      <c r="F4" s="20" t="n">
        <f aca="false">PL!G123</f>
        <v>51.1178029756948</v>
      </c>
      <c r="G4" s="8" t="s">
        <v>452</v>
      </c>
    </row>
    <row r="5" customFormat="false" ht="17.15" hidden="false" customHeight="false" outlineLevel="0" collapsed="false">
      <c r="A5" s="0" t="s">
        <v>453</v>
      </c>
      <c r="B5" s="0" t="s">
        <v>91</v>
      </c>
      <c r="C5" s="21" t="n">
        <f aca="false">PL!D124</f>
        <v>450</v>
      </c>
      <c r="D5" s="21" t="n">
        <f aca="false">PL!E124</f>
        <v>600</v>
      </c>
      <c r="E5" s="21" t="n">
        <f aca="false">PL!F124</f>
        <v>680</v>
      </c>
      <c r="F5" s="21" t="n">
        <f aca="false">PL!G124</f>
        <v>720</v>
      </c>
      <c r="G5" s="4" t="s">
        <v>454</v>
      </c>
    </row>
    <row r="6" customFormat="false" ht="17.15" hidden="false" customHeight="false" outlineLevel="0" collapsed="false">
      <c r="A6" s="4" t="s">
        <v>455</v>
      </c>
      <c r="B6" s="0" t="s">
        <v>456</v>
      </c>
      <c r="C6" s="21" t="n">
        <f aca="false">PL!D124*1000000/racks_vr/1000</f>
        <v>111.056268509378</v>
      </c>
      <c r="D6" s="21" t="n">
        <f aca="false">PL!E124*1000000/racks_vr/1000</f>
        <v>148.075024679171</v>
      </c>
      <c r="E6" s="21" t="n">
        <f aca="false">PL!F124*1000000/racks_vr/1000</f>
        <v>167.81836130306</v>
      </c>
      <c r="F6" s="21" t="n">
        <f aca="false">PL!G124*1000000/racks_vr/1000</f>
        <v>177.690029615005</v>
      </c>
    </row>
    <row r="7" customFormat="false" ht="17.15" hidden="false" customHeight="false" outlineLevel="0" collapsed="false">
      <c r="A7" s="0" t="s">
        <v>457</v>
      </c>
      <c r="B7" s="0" t="s">
        <v>33</v>
      </c>
      <c r="C7" s="22" t="n">
        <f aca="false">PL!D125</f>
        <v>10.5297921189287</v>
      </c>
      <c r="D7" s="22" t="n">
        <f aca="false">PL!E125</f>
        <v>24.9880594956382</v>
      </c>
      <c r="E7" s="22" t="n">
        <f aca="false">PL!F125</f>
        <v>28.7189231760389</v>
      </c>
      <c r="F7" s="22" t="n">
        <f aca="false">PL!G125</f>
        <v>36.8048181425003</v>
      </c>
      <c r="G7" s="4" t="s">
        <v>458</v>
      </c>
    </row>
    <row r="8" customFormat="false" ht="17.15" hidden="false" customHeight="false" outlineLevel="0" collapsed="false">
      <c r="A8" s="4" t="s">
        <v>459</v>
      </c>
      <c r="B8" s="0" t="s">
        <v>53</v>
      </c>
      <c r="C8" s="17" t="n">
        <f aca="false">PL!D129</f>
        <v>0.176143316327046</v>
      </c>
      <c r="D8" s="17" t="n">
        <f aca="false">PL!E129</f>
        <v>0.176143316327046</v>
      </c>
      <c r="E8" s="17" t="n">
        <f aca="false">PL!F129</f>
        <v>0.176143316327046</v>
      </c>
      <c r="F8" s="17" t="n">
        <f aca="false">PL!G129</f>
        <v>0.176143316327046</v>
      </c>
      <c r="G8" s="8" t="s">
        <v>460</v>
      </c>
    </row>
    <row r="9" customFormat="false" ht="17.15" hidden="false" customHeight="false" outlineLevel="0" collapsed="false">
      <c r="A9" s="4" t="s">
        <v>461</v>
      </c>
      <c r="B9" s="0" t="s">
        <v>53</v>
      </c>
      <c r="C9" s="17" t="n">
        <f aca="false">d_sh26</f>
        <v>0.583671939396773</v>
      </c>
      <c r="D9" s="17" t="n">
        <f aca="false">d_sh27</f>
        <v>0.554488342426935</v>
      </c>
      <c r="E9" s="17" t="n">
        <f aca="false">d_sh28</f>
        <v>0.525304745457096</v>
      </c>
      <c r="F9" s="17" t="n">
        <f aca="false">d_sh29</f>
        <v>0.496121148487257</v>
      </c>
      <c r="G9" s="4" t="s">
        <v>462</v>
      </c>
    </row>
    <row r="10" customFormat="false" ht="17.15" hidden="false" customHeight="false" outlineLevel="0" collapsed="false">
      <c r="A10" s="4" t="s">
        <v>463</v>
      </c>
      <c r="B10" s="0" t="s">
        <v>53</v>
      </c>
      <c r="C10" s="17" t="n">
        <f aca="false">PL!D129+d_sh26</f>
        <v>0.759815255723819</v>
      </c>
      <c r="D10" s="17" t="n">
        <f aca="false">PL!E129+d_sh27</f>
        <v>0.730631658753981</v>
      </c>
      <c r="E10" s="17" t="n">
        <f aca="false">PL!F129+d_sh28</f>
        <v>0.701448061784142</v>
      </c>
      <c r="F10" s="17" t="n">
        <f aca="false">PL!G129+d_sh29</f>
        <v>0.672264464814303</v>
      </c>
      <c r="G10" s="4" t="s">
        <v>464</v>
      </c>
    </row>
    <row r="11" customFormat="false" ht="17.15" hidden="false" customHeight="false" outlineLevel="0" collapsed="false">
      <c r="A11" s="4" t="s">
        <v>465</v>
      </c>
      <c r="B11" s="0" t="s">
        <v>53</v>
      </c>
      <c r="C11" s="17" t="n">
        <f aca="false">1-PL!D129-d_sh26</f>
        <v>0.240184744276181</v>
      </c>
      <c r="D11" s="17" t="n">
        <f aca="false">1-PL!E129-d_sh27</f>
        <v>0.269368341246019</v>
      </c>
      <c r="E11" s="17" t="n">
        <f aca="false">1-PL!F129-d_sh28</f>
        <v>0.298551938215858</v>
      </c>
      <c r="F11" s="17" t="n">
        <f aca="false">1-PL!G129-d_sh29</f>
        <v>0.327735535185697</v>
      </c>
    </row>
    <row r="12" customFormat="false" ht="17.15" hidden="false" customHeight="false" outlineLevel="0" collapsed="false">
      <c r="A12" s="4" t="s">
        <v>466</v>
      </c>
      <c r="B12" s="0" t="s">
        <v>33</v>
      </c>
      <c r="C12" s="23" t="n">
        <f aca="false">PL!D130/fx</f>
        <v>1.8547525040625</v>
      </c>
      <c r="D12" s="23" t="n">
        <f aca="false">PL!E130/fx</f>
        <v>4.40147966813924</v>
      </c>
      <c r="E12" s="23" t="n">
        <f aca="false">PL!F130/fx</f>
        <v>5.05864636956915</v>
      </c>
      <c r="F12" s="23" t="n">
        <f aca="false">PL!G130/fx</f>
        <v>6.48292272443382</v>
      </c>
    </row>
    <row r="13" customFormat="false" ht="17.15" hidden="false" customHeight="false" outlineLevel="0" collapsed="false">
      <c r="A13" s="4" t="s">
        <v>467</v>
      </c>
      <c r="B13" s="0" t="s">
        <v>33</v>
      </c>
      <c r="C13" s="23" t="n">
        <f aca="false">PL!D131/fx</f>
        <v>2.060836115625</v>
      </c>
      <c r="D13" s="23" t="n">
        <f aca="false">PL!E131/fx</f>
        <v>4.89053296459915</v>
      </c>
      <c r="E13" s="23" t="n">
        <f aca="false">PL!F131/fx</f>
        <v>5.62071818841016</v>
      </c>
      <c r="F13" s="23" t="n">
        <f aca="false">PL!G131/fx</f>
        <v>7.20324747159313</v>
      </c>
    </row>
    <row r="14" customFormat="false" ht="17.15" hidden="false" customHeight="false" outlineLevel="0" collapsed="false">
      <c r="A14" s="4" t="s">
        <v>468</v>
      </c>
      <c r="B14" s="0" t="s">
        <v>64</v>
      </c>
      <c r="C14" s="18" t="n">
        <f aca="false">PL!D129/d_sh26</f>
        <v>0.301784794569858</v>
      </c>
      <c r="D14" s="18" t="n">
        <f aca="false">PL!E129/d_sh27</f>
        <v>0.317668204810376</v>
      </c>
      <c r="E14" s="18" t="n">
        <f aca="false">PL!F129/d_sh28</f>
        <v>0.335316438410953</v>
      </c>
      <c r="F14" s="18" t="n">
        <f aca="false">PL!G129/d_sh29</f>
        <v>0.355040934788068</v>
      </c>
      <c r="G14" s="4" t="s">
        <v>469</v>
      </c>
    </row>
    <row r="15" customFormat="false" ht="17.15" hidden="false" customHeight="false" outlineLevel="0" collapsed="false">
      <c r="A15" s="4" t="s">
        <v>470</v>
      </c>
      <c r="B15" s="0" t="s">
        <v>471</v>
      </c>
      <c r="C15" s="21" t="n">
        <f aca="false">PL!D142</f>
        <v>88.0716581635229</v>
      </c>
      <c r="D15" s="21" t="n">
        <f aca="false">PL!E142</f>
        <v>117.428877551364</v>
      </c>
      <c r="E15" s="21" t="n">
        <f aca="false">PL!F142</f>
        <v>133.086061224879</v>
      </c>
      <c r="F15" s="21" t="n">
        <f aca="false">PL!G142</f>
        <v>140.914653061637</v>
      </c>
    </row>
    <row r="17" customFormat="false" ht="17.15" hidden="false" customHeight="false" outlineLevel="0" collapsed="false">
      <c r="A17" s="1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4" t="s">
        <v>474</v>
      </c>
    </row>
    <row r="3" customFormat="false" ht="17.15" hidden="false" customHeight="false" outlineLevel="0" collapsed="false">
      <c r="A3" s="5" t="s">
        <v>475</v>
      </c>
      <c r="B3" s="5" t="s">
        <v>23</v>
      </c>
      <c r="C3" s="14" t="s">
        <v>378</v>
      </c>
      <c r="D3" s="14" t="s">
        <v>476</v>
      </c>
      <c r="E3" s="14" t="s">
        <v>477</v>
      </c>
      <c r="F3" s="14" t="s">
        <v>478</v>
      </c>
      <c r="G3" s="14" t="s">
        <v>479</v>
      </c>
      <c r="H3" s="14" t="s">
        <v>480</v>
      </c>
      <c r="I3" s="14" t="s">
        <v>481</v>
      </c>
      <c r="J3" s="14" t="s">
        <v>482</v>
      </c>
      <c r="K3" s="5" t="s">
        <v>449</v>
      </c>
    </row>
    <row r="4" customFormat="false" ht="17.15" hidden="false" customHeight="false" outlineLevel="0" collapsed="false">
      <c r="A4" s="1" t="s">
        <v>483</v>
      </c>
    </row>
    <row r="5" customFormat="false" ht="15" hidden="false" customHeight="false" outlineLevel="0" collapsed="false">
      <c r="A5" s="4" t="s">
        <v>383</v>
      </c>
      <c r="B5" s="0" t="s">
        <v>138</v>
      </c>
      <c r="C5" s="22" t="n">
        <f aca="false">C95</f>
        <v>166.085</v>
      </c>
      <c r="D5" s="22" t="n">
        <f aca="false">D95</f>
        <v>212.73147</v>
      </c>
      <c r="E5" s="22" t="n">
        <f aca="false">E95</f>
        <v>323.076518719859</v>
      </c>
      <c r="F5" s="22" t="n">
        <f aca="false">F95</f>
        <v>425.076527678923</v>
      </c>
      <c r="G5" s="22" t="n">
        <f aca="false">G95</f>
        <v>498.828317322347</v>
      </c>
      <c r="H5" s="24" t="n">
        <f aca="false">H95</f>
        <v>566.503484166648</v>
      </c>
      <c r="I5" s="24" t="n">
        <f aca="false">I95</f>
        <v>621.926857975406</v>
      </c>
      <c r="J5" s="24" t="n">
        <f aca="false">J95</f>
        <v>659.242469453931</v>
      </c>
    </row>
    <row r="6" customFormat="false" ht="15" hidden="false" customHeight="false" outlineLevel="0" collapsed="false">
      <c r="A6" s="4" t="s">
        <v>484</v>
      </c>
      <c r="B6" s="0" t="s">
        <v>53</v>
      </c>
      <c r="D6" s="17" t="n">
        <f aca="false">D97</f>
        <v>0.280859017972725</v>
      </c>
      <c r="E6" s="17" t="n">
        <f aca="false">E97</f>
        <v>0.518705806526221</v>
      </c>
      <c r="F6" s="17" t="n">
        <f aca="false">F97</f>
        <v>0.315714708587377</v>
      </c>
      <c r="G6" s="17" t="n">
        <f aca="false">G97</f>
        <v>0.17350238096217</v>
      </c>
      <c r="H6" s="25" t="n">
        <f aca="false">H97</f>
        <v>0.13566825397478</v>
      </c>
      <c r="I6" s="25" t="n">
        <f aca="false">I97</f>
        <v>0.0978341269873899</v>
      </c>
      <c r="J6" s="25" t="n">
        <f aca="false">J97</f>
        <v>0.06</v>
      </c>
    </row>
    <row r="7" customFormat="false" ht="17.15" hidden="false" customHeight="false" outlineLevel="0" collapsed="false">
      <c r="A7" s="0" t="s">
        <v>485</v>
      </c>
      <c r="B7" s="0" t="s">
        <v>138</v>
      </c>
      <c r="C7" s="22" t="n">
        <f aca="false">C88</f>
        <v>34.87785</v>
      </c>
      <c r="D7" s="22" t="n">
        <f aca="false">D88</f>
        <v>65.9467557</v>
      </c>
      <c r="E7" s="22" t="n">
        <f aca="false">E88</f>
        <v>172.14676035389</v>
      </c>
      <c r="F7" s="22" t="n">
        <f aca="false">F88</f>
        <v>269.794473043688</v>
      </c>
      <c r="G7" s="22" t="n">
        <f aca="false">G88</f>
        <v>338.976351604383</v>
      </c>
    </row>
    <row r="8" customFormat="false" ht="15" hidden="false" customHeight="false" outlineLevel="0" collapsed="false">
      <c r="A8" s="4" t="s">
        <v>486</v>
      </c>
      <c r="B8" s="0" t="s">
        <v>138</v>
      </c>
      <c r="C8" s="22" t="n">
        <f aca="false">C91</f>
        <v>74.73825</v>
      </c>
      <c r="D8" s="22" t="n">
        <f aca="false">D91</f>
        <v>115.978316436508</v>
      </c>
      <c r="E8" s="22" t="n">
        <f aca="false">E91</f>
        <v>224.679899127224</v>
      </c>
      <c r="F8" s="22" t="n">
        <f aca="false">F91</f>
        <v>324.954268755688</v>
      </c>
      <c r="G8" s="22" t="n">
        <f aca="false">G91</f>
        <v>396.894137101983</v>
      </c>
    </row>
    <row r="9" customFormat="false" ht="17.15" hidden="false" customHeight="false" outlineLevel="0" collapsed="false">
      <c r="A9" s="4" t="s">
        <v>487</v>
      </c>
      <c r="B9" s="0" t="s">
        <v>138</v>
      </c>
      <c r="C9" s="22" t="n">
        <f aca="false">C90</f>
        <v>39.8604</v>
      </c>
      <c r="D9" s="22" t="n">
        <f aca="false">D90</f>
        <v>50.0315607365079</v>
      </c>
      <c r="E9" s="22" t="n">
        <f aca="false">E90</f>
        <v>52.5331387733333</v>
      </c>
      <c r="F9" s="22" t="n">
        <f aca="false">F90</f>
        <v>55.159795712</v>
      </c>
      <c r="G9" s="22" t="n">
        <f aca="false">G90</f>
        <v>57.9177854976</v>
      </c>
    </row>
    <row r="10" customFormat="false" ht="15" hidden="false" customHeight="false" outlineLevel="0" collapsed="false">
      <c r="A10" s="4" t="s">
        <v>488</v>
      </c>
      <c r="B10" s="0" t="s">
        <v>138</v>
      </c>
      <c r="C10" s="22" t="n">
        <f aca="false">C92</f>
        <v>28.23445</v>
      </c>
      <c r="D10" s="22" t="n">
        <f aca="false">D92</f>
        <v>32.8693205828571</v>
      </c>
      <c r="E10" s="22" t="n">
        <f aca="false">E92</f>
        <v>34.512786612</v>
      </c>
      <c r="F10" s="22" t="n">
        <f aca="false">F92</f>
        <v>36.2384259426</v>
      </c>
      <c r="G10" s="22" t="n">
        <f aca="false">G92</f>
        <v>38.05034723973</v>
      </c>
    </row>
    <row r="11" customFormat="false" ht="15" hidden="false" customHeight="false" outlineLevel="0" collapsed="false">
      <c r="A11" s="4" t="s">
        <v>489</v>
      </c>
      <c r="B11" s="0" t="s">
        <v>138</v>
      </c>
      <c r="C11" s="22" t="n">
        <f aca="false">C93</f>
        <v>63.1123</v>
      </c>
      <c r="D11" s="22" t="n">
        <f aca="false">D93</f>
        <v>63.8838329806349</v>
      </c>
      <c r="E11" s="22" t="n">
        <f aca="false">E93</f>
        <v>63.8838329806349</v>
      </c>
      <c r="F11" s="22" t="n">
        <f aca="false">F93</f>
        <v>63.8838329806349</v>
      </c>
      <c r="G11" s="22" t="n">
        <f aca="false">G93</f>
        <v>63.8838329806349</v>
      </c>
    </row>
    <row r="12" customFormat="false" ht="17.15" hidden="false" customHeight="false" outlineLevel="0" collapsed="false">
      <c r="A12" s="4" t="s">
        <v>490</v>
      </c>
      <c r="B12" s="0" t="s">
        <v>138</v>
      </c>
      <c r="C12" s="22" t="n">
        <f aca="false">C94</f>
        <v>131.20715</v>
      </c>
      <c r="D12" s="22" t="n">
        <f aca="false">D94</f>
        <v>146.7847143</v>
      </c>
      <c r="E12" s="22" t="n">
        <f aca="false">E94</f>
        <v>150.929758365968</v>
      </c>
      <c r="F12" s="22" t="n">
        <f aca="false">F94</f>
        <v>155.282054635235</v>
      </c>
      <c r="G12" s="22" t="n">
        <f aca="false">G94</f>
        <v>159.851965717965</v>
      </c>
    </row>
    <row r="13" customFormat="false" ht="17.15" hidden="false" customHeight="false" outlineLevel="0" collapsed="false">
      <c r="A13" s="0" t="s">
        <v>491</v>
      </c>
      <c r="B13" s="0" t="s">
        <v>53</v>
      </c>
      <c r="C13" s="17" t="n">
        <f aca="false">C98</f>
        <v>0.21</v>
      </c>
      <c r="D13" s="17" t="n">
        <f aca="false">D98</f>
        <v>0.31</v>
      </c>
      <c r="E13" s="17" t="n">
        <f aca="false">E98</f>
        <v>0.532835877506653</v>
      </c>
      <c r="F13" s="17" t="n">
        <f aca="false">F98</f>
        <v>0.634696238150026</v>
      </c>
      <c r="G13" s="17" t="n">
        <f aca="false">G98</f>
        <v>0.679545125713729</v>
      </c>
    </row>
    <row r="14" customFormat="false" ht="15" hidden="false" customHeight="false" outlineLevel="0" collapsed="false">
      <c r="A14" s="4" t="s">
        <v>390</v>
      </c>
      <c r="B14" s="0" t="s">
        <v>53</v>
      </c>
      <c r="C14" s="17" t="n">
        <f aca="false">C104</f>
        <v>0.229033326308818</v>
      </c>
      <c r="D14" s="17" t="n">
        <f aca="false">D104</f>
        <v>0.254182337009188</v>
      </c>
      <c r="E14" s="17" t="n">
        <f aca="false">E104</f>
        <v>0.286251001085053</v>
      </c>
      <c r="F14" s="17" t="n">
        <f aca="false">F104</f>
        <v>0.302666329159442</v>
      </c>
      <c r="G14" s="17" t="n">
        <f aca="false">G104</f>
        <v>0.31211865460911</v>
      </c>
    </row>
    <row r="15" customFormat="false" ht="15" hidden="false" customHeight="false" outlineLevel="0" collapsed="false">
      <c r="A15" s="4" t="s">
        <v>397</v>
      </c>
      <c r="B15" s="0" t="s">
        <v>53</v>
      </c>
      <c r="C15" s="17" t="n">
        <f aca="false">C108</f>
        <v>0.100779721227083</v>
      </c>
      <c r="D15" s="17" t="n">
        <f aca="false">D108</f>
        <v>0.135674560703219</v>
      </c>
      <c r="E15" s="17" t="n">
        <f aca="false">E108</f>
        <v>0.17988593301611</v>
      </c>
      <c r="F15" s="17" t="n">
        <f aca="false">F108</f>
        <v>0.20395816792222</v>
      </c>
      <c r="G15" s="17" t="n">
        <f aca="false">G108</f>
        <v>0.217788695224623</v>
      </c>
    </row>
    <row r="16" customFormat="false" ht="15" hidden="false" customHeight="false" outlineLevel="0" collapsed="false">
      <c r="A16" s="4" t="s">
        <v>404</v>
      </c>
      <c r="B16" s="0" t="s">
        <v>138</v>
      </c>
      <c r="C16" s="22" t="n">
        <f aca="false">C111</f>
        <v>15.116</v>
      </c>
      <c r="D16" s="22" t="n">
        <f aca="false">D111</f>
        <v>24.8343420979946</v>
      </c>
      <c r="E16" s="22" t="n">
        <f aca="false">E111</f>
        <v>46.828859964194</v>
      </c>
      <c r="F16" s="22" t="n">
        <f aca="false">F111</f>
        <v>68.5503506572202</v>
      </c>
      <c r="G16" s="22" t="n">
        <f aca="false">G111</f>
        <v>85.2257679617534</v>
      </c>
      <c r="H16" s="24" t="n">
        <f aca="false">H111</f>
        <v>96.7881990947842</v>
      </c>
      <c r="I16" s="24" t="n">
        <f aca="false">I111</f>
        <v>106.257388055904</v>
      </c>
      <c r="J16" s="24" t="n">
        <f aca="false">J111</f>
        <v>112.632831339258</v>
      </c>
    </row>
    <row r="17" customFormat="false" ht="15" hidden="false" customHeight="false" outlineLevel="0" collapsed="false">
      <c r="A17" s="4" t="s">
        <v>492</v>
      </c>
      <c r="B17" s="0" t="s">
        <v>53</v>
      </c>
      <c r="C17" s="17" t="n">
        <f aca="false">C115</f>
        <v>0.0910136375952073</v>
      </c>
      <c r="D17" s="17" t="n">
        <f aca="false">D115</f>
        <v>0.116740330417472</v>
      </c>
      <c r="E17" s="17" t="n">
        <f aca="false">E115</f>
        <v>0.144946652730276</v>
      </c>
      <c r="F17" s="17" t="n">
        <f aca="false">F115</f>
        <v>0.161265904357342</v>
      </c>
      <c r="G17" s="17" t="n">
        <f aca="false">G115</f>
        <v>0.170851904357065</v>
      </c>
      <c r="H17" s="25" t="n">
        <f aca="false">H115</f>
        <v>0.170851904357065</v>
      </c>
      <c r="I17" s="25" t="n">
        <f aca="false">I115</f>
        <v>0.170851904357065</v>
      </c>
      <c r="J17" s="25" t="n">
        <f aca="false">J115</f>
        <v>0.170851904357065</v>
      </c>
    </row>
    <row r="18" customFormat="false" ht="15" hidden="false" customHeight="false" outlineLevel="0" collapsed="false">
      <c r="A18" s="0" t="s">
        <v>410</v>
      </c>
      <c r="B18" s="0" t="s">
        <v>264</v>
      </c>
      <c r="C18" s="18" t="n">
        <f aca="false">C113</f>
        <v>6.64</v>
      </c>
      <c r="D18" s="18" t="n">
        <f aca="false">D113</f>
        <v>10.9452614149641</v>
      </c>
      <c r="E18" s="18" t="n">
        <f aca="false">E113</f>
        <v>20.6389246008751</v>
      </c>
      <c r="F18" s="18" t="n">
        <f aca="false">F113</f>
        <v>30.2122562808426</v>
      </c>
      <c r="G18" s="18" t="n">
        <f aca="false">G113</f>
        <v>37.5616276022786</v>
      </c>
      <c r="H18" s="26" t="n">
        <f aca="false">H113</f>
        <v>42.6575480355306</v>
      </c>
      <c r="I18" s="26" t="n">
        <f aca="false">I113</f>
        <v>46.8309120070094</v>
      </c>
      <c r="J18" s="26" t="n">
        <f aca="false">J113</f>
        <v>49.64076672743</v>
      </c>
    </row>
    <row r="19" customFormat="false" ht="17.15" hidden="false" customHeight="false" outlineLevel="0" collapsed="false">
      <c r="A19" s="0" t="s">
        <v>493</v>
      </c>
      <c r="B19" s="0" t="s">
        <v>53</v>
      </c>
      <c r="D19" s="17" t="n">
        <f aca="false">D114</f>
        <v>0.648382743217484</v>
      </c>
      <c r="E19" s="17" t="n">
        <f aca="false">E114</f>
        <v>0.885649306891666</v>
      </c>
      <c r="F19" s="17" t="n">
        <f aca="false">F114</f>
        <v>0.463848377040029</v>
      </c>
      <c r="G19" s="17" t="n">
        <f aca="false">G114</f>
        <v>0.243257943171102</v>
      </c>
      <c r="H19" s="25" t="n">
        <f aca="false">H114</f>
        <v>0.13566825397478</v>
      </c>
      <c r="I19" s="25" t="n">
        <f aca="false">I114</f>
        <v>0.0978341269873901</v>
      </c>
      <c r="J19" s="25" t="n">
        <f aca="false">J114</f>
        <v>0.0599999999999998</v>
      </c>
    </row>
    <row r="21" customFormat="false" ht="17.15" hidden="false" customHeight="false" outlineLevel="0" collapsed="false">
      <c r="A21" s="1" t="s">
        <v>494</v>
      </c>
    </row>
    <row r="22" customFormat="false" ht="15" hidden="false" customHeight="false" outlineLevel="0" collapsed="false">
      <c r="A22" s="4" t="s">
        <v>383</v>
      </c>
      <c r="B22" s="0" t="s">
        <v>138</v>
      </c>
      <c r="C22" s="22" t="n">
        <f aca="false">C138</f>
        <v>166.085</v>
      </c>
      <c r="D22" s="22" t="n">
        <f aca="false">D138</f>
        <v>212.73147</v>
      </c>
      <c r="E22" s="22" t="n">
        <f aca="false">E138</f>
        <v>307.426813233141</v>
      </c>
      <c r="F22" s="22" t="n">
        <f aca="false">F138</f>
        <v>335.14503666436</v>
      </c>
      <c r="G22" s="22" t="n">
        <f aca="false">G138</f>
        <v>390.355884808945</v>
      </c>
      <c r="H22" s="24" t="n">
        <f aca="false">H138</f>
        <v>438.431381645786</v>
      </c>
      <c r="I22" s="24" t="n">
        <f aca="false">I138</f>
        <v>474.198201597232</v>
      </c>
      <c r="J22" s="24" t="n">
        <f aca="false">J138</f>
        <v>493.166129661121</v>
      </c>
    </row>
    <row r="23" customFormat="false" ht="15" hidden="false" customHeight="false" outlineLevel="0" collapsed="false">
      <c r="A23" s="4" t="s">
        <v>484</v>
      </c>
      <c r="B23" s="0" t="s">
        <v>53</v>
      </c>
      <c r="D23" s="17" t="n">
        <f aca="false">D140</f>
        <v>0.280859017972725</v>
      </c>
      <c r="E23" s="17" t="n">
        <f aca="false">E140</f>
        <v>0.445140266426689</v>
      </c>
      <c r="F23" s="17" t="n">
        <f aca="false">F140</f>
        <v>0.0901620230835185</v>
      </c>
      <c r="G23" s="17" t="n">
        <f aca="false">G140</f>
        <v>0.164737179741908</v>
      </c>
      <c r="H23" s="25" t="n">
        <f aca="false">H140</f>
        <v>0.123158119827938</v>
      </c>
      <c r="I23" s="25" t="n">
        <f aca="false">I140</f>
        <v>0.0815790599139692</v>
      </c>
      <c r="J23" s="25" t="n">
        <f aca="false">J140</f>
        <v>0.04</v>
      </c>
    </row>
    <row r="24" customFormat="false" ht="17.15" hidden="false" customHeight="false" outlineLevel="0" collapsed="false">
      <c r="A24" s="0" t="s">
        <v>485</v>
      </c>
      <c r="B24" s="0" t="s">
        <v>138</v>
      </c>
      <c r="C24" s="22" t="n">
        <f aca="false">C131</f>
        <v>34.87785</v>
      </c>
      <c r="D24" s="22" t="n">
        <f aca="false">D131</f>
        <v>65.9467557</v>
      </c>
      <c r="E24" s="22" t="n">
        <f aca="false">E131</f>
        <v>156.497054867173</v>
      </c>
      <c r="F24" s="22" t="n">
        <f aca="false">F131</f>
        <v>179.862982029125</v>
      </c>
      <c r="G24" s="22" t="n">
        <f aca="false">G131</f>
        <v>230.50391909098</v>
      </c>
    </row>
    <row r="25" customFormat="false" ht="15" hidden="false" customHeight="false" outlineLevel="0" collapsed="false">
      <c r="A25" s="4" t="s">
        <v>486</v>
      </c>
      <c r="B25" s="0" t="s">
        <v>138</v>
      </c>
      <c r="C25" s="22" t="n">
        <f aca="false">C134</f>
        <v>74.73825</v>
      </c>
      <c r="D25" s="22" t="n">
        <f aca="false">D134</f>
        <v>115.978316436508</v>
      </c>
      <c r="E25" s="22" t="n">
        <f aca="false">E134</f>
        <v>209.030193640506</v>
      </c>
      <c r="F25" s="22" t="n">
        <f aca="false">F134</f>
        <v>235.022777741125</v>
      </c>
      <c r="G25" s="22" t="n">
        <f aca="false">G134</f>
        <v>288.42170458858</v>
      </c>
    </row>
    <row r="26" customFormat="false" ht="17.15" hidden="false" customHeight="false" outlineLevel="0" collapsed="false">
      <c r="A26" s="4" t="s">
        <v>487</v>
      </c>
      <c r="B26" s="0" t="s">
        <v>138</v>
      </c>
      <c r="C26" s="22" t="n">
        <f aca="false">C133</f>
        <v>39.8604</v>
      </c>
      <c r="D26" s="22" t="n">
        <f aca="false">D133</f>
        <v>50.0315607365079</v>
      </c>
      <c r="E26" s="22" t="n">
        <f aca="false">E133</f>
        <v>52.5331387733333</v>
      </c>
      <c r="F26" s="22" t="n">
        <f aca="false">F133</f>
        <v>55.159795712</v>
      </c>
      <c r="G26" s="22" t="n">
        <f aca="false">G133</f>
        <v>57.9177854976</v>
      </c>
    </row>
    <row r="27" customFormat="false" ht="15" hidden="false" customHeight="false" outlineLevel="0" collapsed="false">
      <c r="A27" s="4" t="s">
        <v>488</v>
      </c>
      <c r="B27" s="0" t="s">
        <v>138</v>
      </c>
      <c r="C27" s="22" t="n">
        <f aca="false">C135</f>
        <v>28.23445</v>
      </c>
      <c r="D27" s="22" t="n">
        <f aca="false">D135</f>
        <v>32.8693205828571</v>
      </c>
      <c r="E27" s="22" t="n">
        <f aca="false">E135</f>
        <v>34.512786612</v>
      </c>
      <c r="F27" s="22" t="n">
        <f aca="false">F135</f>
        <v>36.2384259426</v>
      </c>
      <c r="G27" s="22" t="n">
        <f aca="false">G135</f>
        <v>38.05034723973</v>
      </c>
    </row>
    <row r="28" customFormat="false" ht="15" hidden="false" customHeight="false" outlineLevel="0" collapsed="false">
      <c r="A28" s="4" t="s">
        <v>489</v>
      </c>
      <c r="B28" s="0" t="s">
        <v>138</v>
      </c>
      <c r="C28" s="22" t="n">
        <f aca="false">C136</f>
        <v>63.1123</v>
      </c>
      <c r="D28" s="22" t="n">
        <f aca="false">D136</f>
        <v>63.8838329806349</v>
      </c>
      <c r="E28" s="22" t="n">
        <f aca="false">E136</f>
        <v>63.8838329806349</v>
      </c>
      <c r="F28" s="22" t="n">
        <f aca="false">F136</f>
        <v>63.8838329806349</v>
      </c>
      <c r="G28" s="22" t="n">
        <f aca="false">G136</f>
        <v>63.8838329806349</v>
      </c>
    </row>
    <row r="29" customFormat="false" ht="17.15" hidden="false" customHeight="false" outlineLevel="0" collapsed="false">
      <c r="A29" s="4" t="s">
        <v>490</v>
      </c>
      <c r="B29" s="0" t="s">
        <v>138</v>
      </c>
      <c r="C29" s="22" t="n">
        <f aca="false">C137</f>
        <v>131.20715</v>
      </c>
      <c r="D29" s="22" t="n">
        <f aca="false">D137</f>
        <v>146.7847143</v>
      </c>
      <c r="E29" s="22" t="n">
        <f aca="false">E137</f>
        <v>150.929758365968</v>
      </c>
      <c r="F29" s="22" t="n">
        <f aca="false">F137</f>
        <v>155.282054635235</v>
      </c>
      <c r="G29" s="22" t="n">
        <f aca="false">G137</f>
        <v>159.851965717965</v>
      </c>
    </row>
    <row r="30" customFormat="false" ht="17.15" hidden="false" customHeight="false" outlineLevel="0" collapsed="false">
      <c r="A30" s="0" t="s">
        <v>491</v>
      </c>
      <c r="B30" s="0" t="s">
        <v>53</v>
      </c>
      <c r="C30" s="17" t="n">
        <f aca="false">C141</f>
        <v>0.21</v>
      </c>
      <c r="D30" s="17" t="n">
        <f aca="false">D141</f>
        <v>0.31</v>
      </c>
      <c r="E30" s="17" t="n">
        <f aca="false">E141</f>
        <v>0.509054669699521</v>
      </c>
      <c r="F30" s="17" t="n">
        <f aca="false">F141</f>
        <v>0.53667207433316</v>
      </c>
      <c r="G30" s="17" t="n">
        <f aca="false">G141</f>
        <v>0.590496846752541</v>
      </c>
    </row>
    <row r="31" customFormat="false" ht="15" hidden="false" customHeight="false" outlineLevel="0" collapsed="false">
      <c r="A31" s="4" t="s">
        <v>390</v>
      </c>
      <c r="B31" s="0" t="s">
        <v>53</v>
      </c>
      <c r="C31" s="17" t="n">
        <f aca="false">C147</f>
        <v>0.229033326308818</v>
      </c>
      <c r="D31" s="17" t="n">
        <f aca="false">D147</f>
        <v>0.254182337009188</v>
      </c>
      <c r="E31" s="17" t="n">
        <f aca="false">E147</f>
        <v>0.278068897373131</v>
      </c>
      <c r="F31" s="17" t="n">
        <f aca="false">F147</f>
        <v>0.281382985929168</v>
      </c>
      <c r="G31" s="17" t="n">
        <f aca="false">G147</f>
        <v>0.287841958619493</v>
      </c>
    </row>
    <row r="32" customFormat="false" ht="15" hidden="false" customHeight="false" outlineLevel="0" collapsed="false">
      <c r="A32" s="4" t="s">
        <v>397</v>
      </c>
      <c r="B32" s="0" t="s">
        <v>53</v>
      </c>
      <c r="C32" s="17" t="n">
        <f aca="false">C151</f>
        <v>0.100779721227083</v>
      </c>
      <c r="D32" s="17" t="n">
        <f aca="false">D151</f>
        <v>0.135674560703219</v>
      </c>
      <c r="E32" s="17" t="n">
        <f aca="false">E151</f>
        <v>0.170512151429545</v>
      </c>
      <c r="F32" s="17" t="n">
        <f aca="false">F151</f>
        <v>0.176494889307026</v>
      </c>
      <c r="G32" s="17" t="n">
        <f aca="false">G151</f>
        <v>0.187404385993639</v>
      </c>
    </row>
    <row r="33" customFormat="false" ht="15" hidden="false" customHeight="false" outlineLevel="0" collapsed="false">
      <c r="A33" s="4" t="s">
        <v>404</v>
      </c>
      <c r="B33" s="0" t="s">
        <v>138</v>
      </c>
      <c r="C33" s="22" t="n">
        <f aca="false">C154</f>
        <v>15.116</v>
      </c>
      <c r="D33" s="22" t="n">
        <f aca="false">D154</f>
        <v>24.8343420979946</v>
      </c>
      <c r="E33" s="22" t="n">
        <f aca="false">E154</f>
        <v>42.4992055719491</v>
      </c>
      <c r="F33" s="22" t="n">
        <f aca="false">F154</f>
        <v>47.6150534723854</v>
      </c>
      <c r="G33" s="22" t="n">
        <f aca="false">G154</f>
        <v>58.2573477328341</v>
      </c>
      <c r="H33" s="24" t="n">
        <f aca="false">H154</f>
        <v>59.2779790272452</v>
      </c>
      <c r="I33" s="24" t="n">
        <f aca="false">I154</f>
        <v>57.4575300774806</v>
      </c>
      <c r="J33" s="24" t="n">
        <f aca="false">J154</f>
        <v>52.8332888980764</v>
      </c>
    </row>
    <row r="34" customFormat="false" ht="15" hidden="false" customHeight="false" outlineLevel="0" collapsed="false">
      <c r="A34" s="4" t="s">
        <v>492</v>
      </c>
      <c r="B34" s="0" t="s">
        <v>53</v>
      </c>
      <c r="C34" s="17" t="n">
        <f aca="false">C158</f>
        <v>0.0910136375952073</v>
      </c>
      <c r="D34" s="17" t="n">
        <f aca="false">D158</f>
        <v>0.116740330417472</v>
      </c>
      <c r="E34" s="17" t="n">
        <f aca="false">E158</f>
        <v>0.138241700927106</v>
      </c>
      <c r="F34" s="17" t="n">
        <f aca="false">F158</f>
        <v>0.142072978153845</v>
      </c>
      <c r="G34" s="17" t="n">
        <f aca="false">G158</f>
        <v>0.149241627960463</v>
      </c>
      <c r="H34" s="25" t="n">
        <f aca="false">H158</f>
        <v>0.135204689967053</v>
      </c>
      <c r="I34" s="25" t="n">
        <f aca="false">I158</f>
        <v>0.121167751973642</v>
      </c>
      <c r="J34" s="25" t="n">
        <f aca="false">J158</f>
        <v>0.107130813980232</v>
      </c>
    </row>
    <row r="35" customFormat="false" ht="15" hidden="false" customHeight="false" outlineLevel="0" collapsed="false">
      <c r="A35" s="0" t="s">
        <v>410</v>
      </c>
      <c r="B35" s="0" t="s">
        <v>264</v>
      </c>
      <c r="C35" s="18" t="n">
        <f aca="false">C156</f>
        <v>6.64</v>
      </c>
      <c r="D35" s="18" t="n">
        <f aca="false">D156</f>
        <v>10.9452614149641</v>
      </c>
      <c r="E35" s="18" t="n">
        <f aca="false">E156</f>
        <v>18.7307122160826</v>
      </c>
      <c r="F35" s="18" t="n">
        <f aca="false">F156</f>
        <v>20.9854243565742</v>
      </c>
      <c r="G35" s="18" t="n">
        <f aca="false">G156</f>
        <v>25.6758120574423</v>
      </c>
      <c r="H35" s="26" t="n">
        <f aca="false">H156</f>
        <v>26.1256357846641</v>
      </c>
      <c r="I35" s="26" t="n">
        <f aca="false">I156</f>
        <v>25.3233077193928</v>
      </c>
      <c r="J35" s="26" t="n">
        <f aca="false">J156</f>
        <v>23.28526184104</v>
      </c>
    </row>
    <row r="36" customFormat="false" ht="17.15" hidden="false" customHeight="false" outlineLevel="0" collapsed="false">
      <c r="A36" s="0" t="s">
        <v>493</v>
      </c>
      <c r="B36" s="0" t="s">
        <v>53</v>
      </c>
      <c r="D36" s="17" t="n">
        <f aca="false">D157</f>
        <v>0.648382743217484</v>
      </c>
      <c r="E36" s="17" t="n">
        <f aca="false">E157</f>
        <v>0.711307889866789</v>
      </c>
      <c r="F36" s="17" t="n">
        <f aca="false">F157</f>
        <v>0.120375141878251</v>
      </c>
      <c r="G36" s="17" t="n">
        <f aca="false">G157</f>
        <v>0.223506926577764</v>
      </c>
      <c r="H36" s="25" t="n">
        <f aca="false">H157</f>
        <v>0.0175193573708781</v>
      </c>
      <c r="I36" s="25" t="n">
        <f aca="false">I157</f>
        <v>-0.0307103747401343</v>
      </c>
      <c r="J36" s="25" t="n">
        <f aca="false">J157</f>
        <v>-0.0804810296086254</v>
      </c>
    </row>
    <row r="38" customFormat="false" ht="17.15" hidden="false" customHeight="false" outlineLevel="0" collapsed="false">
      <c r="A38" s="1" t="s">
        <v>495</v>
      </c>
    </row>
    <row r="39" customFormat="false" ht="15" hidden="false" customHeight="false" outlineLevel="0" collapsed="false">
      <c r="A39" s="4" t="s">
        <v>383</v>
      </c>
      <c r="B39" s="0" t="s">
        <v>138</v>
      </c>
      <c r="C39" s="22" t="n">
        <f aca="false">C181</f>
        <v>166.085</v>
      </c>
      <c r="D39" s="22" t="n">
        <f aca="false">D181</f>
        <v>212.73147</v>
      </c>
      <c r="E39" s="22" t="n">
        <f aca="false">E181</f>
        <v>283.952255003065</v>
      </c>
      <c r="F39" s="22" t="n">
        <f aca="false">F181</f>
        <v>263.19984385271</v>
      </c>
      <c r="G39" s="22" t="n">
        <f aca="false">G181</f>
        <v>281.883452295543</v>
      </c>
      <c r="H39" s="24" t="n">
        <f aca="false">H181</f>
        <v>297.102602295887</v>
      </c>
      <c r="I39" s="24" t="n">
        <f aca="false">I181</f>
        <v>308.094051357181</v>
      </c>
      <c r="J39" s="24" t="n">
        <f aca="false">J181</f>
        <v>314.255932384325</v>
      </c>
    </row>
    <row r="40" customFormat="false" ht="15" hidden="false" customHeight="false" outlineLevel="0" collapsed="false">
      <c r="A40" s="4" t="s">
        <v>484</v>
      </c>
      <c r="B40" s="0" t="s">
        <v>53</v>
      </c>
      <c r="D40" s="17" t="n">
        <f aca="false">D183</f>
        <v>0.280859017972725</v>
      </c>
      <c r="E40" s="17" t="n">
        <f aca="false">E183</f>
        <v>0.334791956277392</v>
      </c>
      <c r="F40" s="17" t="n">
        <f aca="false">F183</f>
        <v>-0.0730841568774694</v>
      </c>
      <c r="G40" s="17" t="n">
        <f aca="false">G183</f>
        <v>0.0709863963798099</v>
      </c>
      <c r="H40" s="25" t="n">
        <f aca="false">H183</f>
        <v>0.0539909309198732</v>
      </c>
      <c r="I40" s="25" t="n">
        <f aca="false">I183</f>
        <v>0.0369954654599366</v>
      </c>
      <c r="J40" s="25" t="n">
        <f aca="false">J183</f>
        <v>0.02</v>
      </c>
    </row>
    <row r="41" customFormat="false" ht="17.15" hidden="false" customHeight="false" outlineLevel="0" collapsed="false">
      <c r="A41" s="0" t="s">
        <v>485</v>
      </c>
      <c r="B41" s="0" t="s">
        <v>138</v>
      </c>
      <c r="C41" s="22" t="n">
        <f aca="false">C174</f>
        <v>34.87785</v>
      </c>
      <c r="D41" s="22" t="n">
        <f aca="false">D174</f>
        <v>65.9467557</v>
      </c>
      <c r="E41" s="22" t="n">
        <f aca="false">E174</f>
        <v>133.022496637097</v>
      </c>
      <c r="F41" s="22" t="n">
        <f aca="false">F174</f>
        <v>107.917789217475</v>
      </c>
      <c r="G41" s="22" t="n">
        <f aca="false">G174</f>
        <v>122.031486577578</v>
      </c>
    </row>
    <row r="42" customFormat="false" ht="15" hidden="false" customHeight="false" outlineLevel="0" collapsed="false">
      <c r="A42" s="4" t="s">
        <v>486</v>
      </c>
      <c r="B42" s="0" t="s">
        <v>138</v>
      </c>
      <c r="C42" s="22" t="n">
        <f aca="false">C177</f>
        <v>74.73825</v>
      </c>
      <c r="D42" s="22" t="n">
        <f aca="false">D177</f>
        <v>115.978316436508</v>
      </c>
      <c r="E42" s="22" t="n">
        <f aca="false">E177</f>
        <v>185.55563541043</v>
      </c>
      <c r="F42" s="22" t="n">
        <f aca="false">F177</f>
        <v>163.077584929475</v>
      </c>
      <c r="G42" s="22" t="n">
        <f aca="false">G177</f>
        <v>179.949272075178</v>
      </c>
    </row>
    <row r="43" customFormat="false" ht="17.15" hidden="false" customHeight="false" outlineLevel="0" collapsed="false">
      <c r="A43" s="4" t="s">
        <v>487</v>
      </c>
      <c r="B43" s="0" t="s">
        <v>138</v>
      </c>
      <c r="C43" s="22" t="n">
        <f aca="false">C176</f>
        <v>39.8604</v>
      </c>
      <c r="D43" s="22" t="n">
        <f aca="false">D176</f>
        <v>50.0315607365079</v>
      </c>
      <c r="E43" s="22" t="n">
        <f aca="false">E176</f>
        <v>52.5331387733333</v>
      </c>
      <c r="F43" s="22" t="n">
        <f aca="false">F176</f>
        <v>55.159795712</v>
      </c>
      <c r="G43" s="22" t="n">
        <f aca="false">G176</f>
        <v>57.9177854976</v>
      </c>
    </row>
    <row r="44" customFormat="false" ht="15" hidden="false" customHeight="false" outlineLevel="0" collapsed="false">
      <c r="A44" s="4" t="s">
        <v>488</v>
      </c>
      <c r="B44" s="0" t="s">
        <v>138</v>
      </c>
      <c r="C44" s="22" t="n">
        <f aca="false">C178</f>
        <v>28.23445</v>
      </c>
      <c r="D44" s="22" t="n">
        <f aca="false">D178</f>
        <v>32.8693205828571</v>
      </c>
      <c r="E44" s="22" t="n">
        <f aca="false">E178</f>
        <v>34.512786612</v>
      </c>
      <c r="F44" s="22" t="n">
        <f aca="false">F178</f>
        <v>36.2384259426</v>
      </c>
      <c r="G44" s="22" t="n">
        <f aca="false">G178</f>
        <v>38.05034723973</v>
      </c>
    </row>
    <row r="45" customFormat="false" ht="15" hidden="false" customHeight="false" outlineLevel="0" collapsed="false">
      <c r="A45" s="4" t="s">
        <v>489</v>
      </c>
      <c r="B45" s="0" t="s">
        <v>138</v>
      </c>
      <c r="C45" s="22" t="n">
        <f aca="false">C179</f>
        <v>63.1123</v>
      </c>
      <c r="D45" s="22" t="n">
        <f aca="false">D179</f>
        <v>63.8838329806349</v>
      </c>
      <c r="E45" s="22" t="n">
        <f aca="false">E179</f>
        <v>63.8838329806349</v>
      </c>
      <c r="F45" s="22" t="n">
        <f aca="false">F179</f>
        <v>63.8838329806349</v>
      </c>
      <c r="G45" s="22" t="n">
        <f aca="false">G179</f>
        <v>63.8838329806349</v>
      </c>
    </row>
    <row r="46" customFormat="false" ht="17.15" hidden="false" customHeight="false" outlineLevel="0" collapsed="false">
      <c r="A46" s="4" t="s">
        <v>490</v>
      </c>
      <c r="B46" s="0" t="s">
        <v>138</v>
      </c>
      <c r="C46" s="22" t="n">
        <f aca="false">C180</f>
        <v>131.20715</v>
      </c>
      <c r="D46" s="22" t="n">
        <f aca="false">D180</f>
        <v>146.7847143</v>
      </c>
      <c r="E46" s="22" t="n">
        <f aca="false">E180</f>
        <v>150.929758365968</v>
      </c>
      <c r="F46" s="22" t="n">
        <f aca="false">F180</f>
        <v>155.282054635235</v>
      </c>
      <c r="G46" s="22" t="n">
        <f aca="false">G180</f>
        <v>159.851965717965</v>
      </c>
    </row>
    <row r="47" customFormat="false" ht="17.15" hidden="false" customHeight="false" outlineLevel="0" collapsed="false">
      <c r="A47" s="0" t="s">
        <v>491</v>
      </c>
      <c r="B47" s="0" t="s">
        <v>53</v>
      </c>
      <c r="C47" s="17" t="n">
        <f aca="false">C184</f>
        <v>0.21</v>
      </c>
      <c r="D47" s="17" t="n">
        <f aca="false">D184</f>
        <v>0.31</v>
      </c>
      <c r="E47" s="17" t="n">
        <f aca="false">E184</f>
        <v>0.468467829690808</v>
      </c>
      <c r="F47" s="17" t="n">
        <f aca="false">F184</f>
        <v>0.410022238758877</v>
      </c>
      <c r="G47" s="17" t="n">
        <f aca="false">G184</f>
        <v>0.432914687200698</v>
      </c>
    </row>
    <row r="48" customFormat="false" ht="15" hidden="false" customHeight="false" outlineLevel="0" collapsed="false">
      <c r="A48" s="4" t="s">
        <v>390</v>
      </c>
      <c r="B48" s="0" t="s">
        <v>53</v>
      </c>
      <c r="C48" s="17" t="n">
        <f aca="false">C190</f>
        <v>0.229033326308818</v>
      </c>
      <c r="D48" s="17" t="n">
        <f aca="false">D190</f>
        <v>0.254182337009188</v>
      </c>
      <c r="E48" s="17" t="n">
        <f aca="false">E190</f>
        <v>0.268513798275177</v>
      </c>
      <c r="F48" s="17" t="n">
        <f aca="false">F190</f>
        <v>0.26003467207887</v>
      </c>
      <c r="G48" s="17" t="n">
        <f aca="false">G190</f>
        <v>0.260273805729258</v>
      </c>
    </row>
    <row r="49" customFormat="false" ht="15" hidden="false" customHeight="false" outlineLevel="0" collapsed="false">
      <c r="A49" s="4" t="s">
        <v>397</v>
      </c>
      <c r="B49" s="0" t="s">
        <v>53</v>
      </c>
      <c r="C49" s="17" t="n">
        <f aca="false">C194</f>
        <v>0.100779721227083</v>
      </c>
      <c r="D49" s="17" t="n">
        <f aca="false">D194</f>
        <v>0.135674560703219</v>
      </c>
      <c r="E49" s="17" t="n">
        <f aca="false">E194</f>
        <v>0.158923243130971</v>
      </c>
      <c r="F49" s="17" t="n">
        <f aca="false">F194</f>
        <v>0.141803274959769</v>
      </c>
      <c r="G49" s="17" t="n">
        <f aca="false">G194</f>
        <v>0.144393368673367</v>
      </c>
    </row>
    <row r="50" customFormat="false" ht="15" hidden="false" customHeight="false" outlineLevel="0" collapsed="false">
      <c r="A50" s="4" t="s">
        <v>404</v>
      </c>
      <c r="B50" s="0" t="s">
        <v>138</v>
      </c>
      <c r="C50" s="22" t="n">
        <f aca="false">C197</f>
        <v>15.116</v>
      </c>
      <c r="D50" s="22" t="n">
        <f aca="false">D197</f>
        <v>24.8343420979946</v>
      </c>
      <c r="E50" s="22" t="n">
        <f aca="false">E197</f>
        <v>36.9562260771741</v>
      </c>
      <c r="F50" s="22" t="n">
        <f aca="false">F197</f>
        <v>31.0251758686828</v>
      </c>
      <c r="G50" s="22" t="n">
        <f aca="false">G197</f>
        <v>33.5935969501762</v>
      </c>
      <c r="H50" s="24" t="n">
        <f aca="false">H197</f>
        <v>30.0441014154017</v>
      </c>
      <c r="I50" s="24" t="n">
        <f aca="false">I197</f>
        <v>25.593936075417</v>
      </c>
      <c r="J50" s="24" t="n">
        <f aca="false">J197</f>
        <v>20.4329207236288</v>
      </c>
    </row>
    <row r="51" customFormat="false" ht="15" hidden="false" customHeight="false" outlineLevel="0" collapsed="false">
      <c r="A51" s="4" t="s">
        <v>492</v>
      </c>
      <c r="B51" s="0" t="s">
        <v>53</v>
      </c>
      <c r="C51" s="17" t="n">
        <f aca="false">C201</f>
        <v>0.0910136375952073</v>
      </c>
      <c r="D51" s="17" t="n">
        <f aca="false">D201</f>
        <v>0.116740330417472</v>
      </c>
      <c r="E51" s="17" t="n">
        <f aca="false">E201</f>
        <v>0.13014943683675</v>
      </c>
      <c r="F51" s="17" t="n">
        <f aca="false">F201</f>
        <v>0.117876877943913</v>
      </c>
      <c r="G51" s="17" t="n">
        <f aca="false">G201</f>
        <v>0.119175484323765</v>
      </c>
      <c r="H51" s="25" t="n">
        <f aca="false">H201</f>
        <v>0.101123656215843</v>
      </c>
      <c r="I51" s="25" t="n">
        <f aca="false">I201</f>
        <v>0.0830718281079217</v>
      </c>
      <c r="J51" s="25" t="n">
        <f aca="false">J201</f>
        <v>0.06502</v>
      </c>
    </row>
    <row r="52" customFormat="false" ht="15" hidden="false" customHeight="false" outlineLevel="0" collapsed="false">
      <c r="A52" s="0" t="s">
        <v>410</v>
      </c>
      <c r="B52" s="0" t="s">
        <v>264</v>
      </c>
      <c r="C52" s="18" t="n">
        <f aca="false">C199</f>
        <v>6.64</v>
      </c>
      <c r="D52" s="18" t="n">
        <f aca="false">D199</f>
        <v>10.9452614149641</v>
      </c>
      <c r="E52" s="18" t="n">
        <f aca="false">E199</f>
        <v>16.2877499926945</v>
      </c>
      <c r="F52" s="18" t="n">
        <f aca="false">F199</f>
        <v>13.6737530226497</v>
      </c>
      <c r="G52" s="18" t="n">
        <f aca="false">G199</f>
        <v>14.8057355027863</v>
      </c>
      <c r="H52" s="26" t="n">
        <f aca="false">H199</f>
        <v>13.2413632167779</v>
      </c>
      <c r="I52" s="26" t="n">
        <f aca="false">I199</f>
        <v>11.2800379360942</v>
      </c>
      <c r="J52" s="26" t="n">
        <f aca="false">J199</f>
        <v>9.00541910507927</v>
      </c>
    </row>
    <row r="53" customFormat="false" ht="17.15" hidden="false" customHeight="false" outlineLevel="0" collapsed="false">
      <c r="A53" s="0" t="s">
        <v>493</v>
      </c>
      <c r="B53" s="0" t="s">
        <v>53</v>
      </c>
      <c r="D53" s="17" t="n">
        <f aca="false">D200</f>
        <v>0.648382743217484</v>
      </c>
      <c r="E53" s="17" t="n">
        <f aca="false">E200</f>
        <v>0.488109728510117</v>
      </c>
      <c r="F53" s="17" t="n">
        <f aca="false">F200</f>
        <v>-0.160488524886327</v>
      </c>
      <c r="G53" s="17" t="n">
        <f aca="false">G200</f>
        <v>0.0827850611504843</v>
      </c>
      <c r="H53" s="25" t="n">
        <f aca="false">H200</f>
        <v>-0.105659883341427</v>
      </c>
      <c r="I53" s="25" t="n">
        <f aca="false">I200</f>
        <v>-0.148121099661293</v>
      </c>
      <c r="J53" s="25" t="n">
        <f aca="false">J200</f>
        <v>-0.201649927411725</v>
      </c>
    </row>
    <row r="55" customFormat="false" ht="17.15" hidden="false" customHeight="false" outlineLevel="0" collapsed="false">
      <c r="A55" s="1" t="s">
        <v>496</v>
      </c>
    </row>
    <row r="56" customFormat="false" ht="17.15" hidden="false" customHeight="false" outlineLevel="0" collapsed="false">
      <c r="A56" s="4" t="s">
        <v>497</v>
      </c>
      <c r="D56" s="27" t="n">
        <f aca="false">ABS(D95-a26_rev)+ABS(D138-a26_rev)+ABS(D181-a26_rev)</f>
        <v>0</v>
      </c>
    </row>
    <row r="57" customFormat="false" ht="17.15" hidden="false" customHeight="false" outlineLevel="0" collapsed="false">
      <c r="A57" s="4" t="s">
        <v>498</v>
      </c>
      <c r="D57" s="27" t="n">
        <f aca="false">D131-a26_ai</f>
        <v>0</v>
      </c>
    </row>
    <row r="58" customFormat="false" ht="17.15" hidden="false" customHeight="false" outlineLevel="0" collapsed="false">
      <c r="A58" s="4" t="s">
        <v>499</v>
      </c>
      <c r="D58" s="27" t="n">
        <f aca="false">D145*D131+D144*D137-a26_gp</f>
        <v>0</v>
      </c>
    </row>
    <row r="75" customFormat="false" ht="17.15" hidden="false" customHeight="false" outlineLevel="0" collapsed="false">
      <c r="A75" s="1" t="s">
        <v>500</v>
      </c>
    </row>
    <row r="76" customFormat="false" ht="17.15" hidden="false" customHeight="false" outlineLevel="0" collapsed="false">
      <c r="A76" s="5" t="s">
        <v>22</v>
      </c>
      <c r="B76" s="5" t="s">
        <v>23</v>
      </c>
      <c r="C76" s="14" t="s">
        <v>378</v>
      </c>
      <c r="D76" s="14" t="s">
        <v>476</v>
      </c>
      <c r="E76" s="14" t="s">
        <v>477</v>
      </c>
      <c r="F76" s="14" t="s">
        <v>478</v>
      </c>
      <c r="G76" s="14" t="s">
        <v>479</v>
      </c>
      <c r="H76" s="14" t="s">
        <v>480</v>
      </c>
      <c r="I76" s="14" t="s">
        <v>481</v>
      </c>
      <c r="J76" s="14" t="s">
        <v>482</v>
      </c>
      <c r="K76" s="5" t="s">
        <v>449</v>
      </c>
    </row>
    <row r="77" customFormat="false" ht="17.15" hidden="false" customHeight="false" outlineLevel="0" collapsed="false">
      <c r="A77" s="6" t="s">
        <v>501</v>
      </c>
    </row>
    <row r="78" customFormat="false" ht="17.15" hidden="false" customHeight="false" outlineLevel="0" collapsed="false">
      <c r="A78" s="0" t="s">
        <v>502</v>
      </c>
      <c r="B78" s="0" t="s">
        <v>33</v>
      </c>
      <c r="D78" s="23" t="n">
        <f aca="false">itc_26*1</f>
        <v>781.872916666666</v>
      </c>
      <c r="E78" s="23" t="n">
        <f aca="false">itc_27*1*1</f>
        <v>1565.35</v>
      </c>
      <c r="F78" s="23" t="n">
        <f aca="false">itc_28*um28_A*1</f>
        <v>1984.26388888889</v>
      </c>
      <c r="G78" s="23" t="n">
        <f aca="false">itc_29*um29_A*1</f>
        <v>2260.39027777778</v>
      </c>
    </row>
    <row r="79" customFormat="false" ht="17.15" hidden="false" customHeight="false" outlineLevel="0" collapsed="false">
      <c r="A79" s="4" t="s">
        <v>503</v>
      </c>
      <c r="B79" s="0" t="s">
        <v>33</v>
      </c>
      <c r="D79" s="23" t="n">
        <f aca="false">itpg_gb*(1-vr26)+itpg_vr*vr26</f>
        <v>33.41403216</v>
      </c>
      <c r="E79" s="23" t="n">
        <f aca="false">itpg_vr</f>
        <v>37.586352</v>
      </c>
      <c r="F79" s="23" t="n">
        <f aca="false">itpg_vr</f>
        <v>37.586352</v>
      </c>
      <c r="G79" s="23" t="n">
        <f aca="false">itpg_vr</f>
        <v>37.586352</v>
      </c>
    </row>
    <row r="80" customFormat="false" ht="17.15" hidden="false" customHeight="false" outlineLevel="0" collapsed="false">
      <c r="A80" s="4" t="s">
        <v>504</v>
      </c>
      <c r="B80" s="0" t="s">
        <v>451</v>
      </c>
      <c r="D80" s="20" t="n">
        <f aca="false">D78/D79</f>
        <v>23.3995380420639</v>
      </c>
      <c r="E80" s="20" t="n">
        <f aca="false">E78/E79</f>
        <v>41.6467658260637</v>
      </c>
      <c r="F80" s="20" t="n">
        <f aca="false">F78/F79</f>
        <v>52.792138191248</v>
      </c>
      <c r="G80" s="20" t="n">
        <f aca="false">G78/G79</f>
        <v>60.1385917361116</v>
      </c>
    </row>
    <row r="81" customFormat="false" ht="17.15" hidden="false" customHeight="false" outlineLevel="0" collapsed="false">
      <c r="A81" s="0" t="s">
        <v>453</v>
      </c>
      <c r="B81" s="0" t="s">
        <v>91</v>
      </c>
      <c r="D81" s="21" t="n">
        <f aca="false">pkw_26</f>
        <v>450</v>
      </c>
      <c r="E81" s="21" t="n">
        <f aca="false">pkw_27</f>
        <v>600</v>
      </c>
      <c r="F81" s="21" t="n">
        <f aca="false">pkw_28</f>
        <v>680</v>
      </c>
      <c r="G81" s="21" t="n">
        <f aca="false">pkw_29</f>
        <v>720</v>
      </c>
    </row>
    <row r="82" customFormat="false" ht="17.15" hidden="false" customHeight="false" outlineLevel="0" collapsed="false">
      <c r="A82" s="0" t="s">
        <v>505</v>
      </c>
      <c r="B82" s="0" t="s">
        <v>33</v>
      </c>
      <c r="D82" s="23" t="n">
        <f aca="false">D80*D81/1000</f>
        <v>10.5297921189287</v>
      </c>
      <c r="E82" s="23" t="n">
        <f aca="false">E80*E81/1000</f>
        <v>24.9880594956382</v>
      </c>
      <c r="F82" s="23" t="n">
        <f aca="false">F80*F81/1000</f>
        <v>35.8986539700486</v>
      </c>
      <c r="G82" s="23" t="n">
        <f aca="false">G80*G81/1000</f>
        <v>43.2997860500003</v>
      </c>
    </row>
    <row r="83" customFormat="false" ht="17.15" hidden="false" customHeight="false" outlineLevel="0" collapsed="false">
      <c r="A83" s="0" t="s">
        <v>506</v>
      </c>
      <c r="B83" s="0" t="s">
        <v>138</v>
      </c>
      <c r="D83" s="22" t="n">
        <f aca="false">D82*fx</f>
        <v>336.95334780572</v>
      </c>
      <c r="E83" s="22" t="n">
        <f aca="false">E82*fx</f>
        <v>799.617903860422</v>
      </c>
      <c r="F83" s="22" t="n">
        <f aca="false">F82*fx</f>
        <v>1148.75692704156</v>
      </c>
      <c r="G83" s="22" t="n">
        <f aca="false">G82*fx</f>
        <v>1385.59315360001</v>
      </c>
    </row>
    <row r="84" customFormat="false" ht="17.15" hidden="false" customHeight="false" outlineLevel="0" collapsed="false">
      <c r="A84" s="4" t="s">
        <v>507</v>
      </c>
      <c r="B84" s="0" t="s">
        <v>53</v>
      </c>
      <c r="D84" s="17" t="n">
        <f aca="false">a26_aip/D83</f>
        <v>0.176143316327046</v>
      </c>
      <c r="K84" s="8" t="s">
        <v>508</v>
      </c>
    </row>
    <row r="85" customFormat="false" ht="17.15" hidden="false" customHeight="false" outlineLevel="0" collapsed="false">
      <c r="A85" s="4" t="s">
        <v>509</v>
      </c>
      <c r="B85" s="0" t="s">
        <v>64</v>
      </c>
      <c r="D85" s="18" t="n">
        <f aca="false">1</f>
        <v>1</v>
      </c>
      <c r="E85" s="18" t="n">
        <f aca="false">RHI_27</f>
        <v>1.1</v>
      </c>
      <c r="F85" s="18" t="n">
        <f aca="false">RHI_28</f>
        <v>1.2</v>
      </c>
      <c r="G85" s="18" t="n">
        <f aca="false">RHI_29</f>
        <v>1.25</v>
      </c>
    </row>
    <row r="86" customFormat="false" ht="15" hidden="false" customHeight="false" outlineLevel="0" collapsed="false">
      <c r="A86" s="4" t="s">
        <v>459</v>
      </c>
      <c r="B86" s="0" t="s">
        <v>53</v>
      </c>
      <c r="D86" s="17" t="n">
        <f aca="false">$D$84*D85</f>
        <v>0.176143316327046</v>
      </c>
      <c r="E86" s="17" t="n">
        <f aca="false">$D$84*E85</f>
        <v>0.19375764795975</v>
      </c>
      <c r="F86" s="17" t="n">
        <f aca="false">$D$84*F85</f>
        <v>0.211371979592455</v>
      </c>
      <c r="G86" s="17" t="n">
        <f aca="false">$D$84*G85</f>
        <v>0.220179145408807</v>
      </c>
    </row>
    <row r="87" customFormat="false" ht="17.15" hidden="false" customHeight="false" outlineLevel="0" collapsed="false">
      <c r="A87" s="0" t="s">
        <v>510</v>
      </c>
      <c r="B87" s="0" t="s">
        <v>138</v>
      </c>
      <c r="C87" s="22" t="n">
        <f aca="false">a25_aip</f>
        <v>31.390065</v>
      </c>
      <c r="D87" s="22" t="n">
        <f aca="false">D83*D86</f>
        <v>59.35208013</v>
      </c>
      <c r="E87" s="22" t="n">
        <f aca="false">E83*E86</f>
        <v>154.932084318501</v>
      </c>
      <c r="F87" s="22" t="n">
        <f aca="false">F83*F86</f>
        <v>242.815025739319</v>
      </c>
      <c r="G87" s="22" t="n">
        <f aca="false">G83*G86</f>
        <v>305.078716443944</v>
      </c>
    </row>
    <row r="88" customFormat="false" ht="17.15" hidden="false" customHeight="false" outlineLevel="0" collapsed="false">
      <c r="A88" s="0" t="s">
        <v>511</v>
      </c>
      <c r="B88" s="0" t="s">
        <v>138</v>
      </c>
      <c r="C88" s="22" t="n">
        <f aca="false">a25_ai</f>
        <v>34.87785</v>
      </c>
      <c r="D88" s="22" t="n">
        <f aca="false">D87/(1-x_np)</f>
        <v>65.9467557</v>
      </c>
      <c r="E88" s="22" t="n">
        <f aca="false">E87/(1-x_np)</f>
        <v>172.14676035389</v>
      </c>
      <c r="F88" s="22" t="n">
        <f aca="false">F87/(1-x_np)</f>
        <v>269.794473043688</v>
      </c>
      <c r="G88" s="22" t="n">
        <f aca="false">G87/(1-x_np)</f>
        <v>338.976351604383</v>
      </c>
      <c r="K88" s="4" t="s">
        <v>512</v>
      </c>
    </row>
    <row r="89" customFormat="false" ht="17.15" hidden="false" customHeight="false" outlineLevel="0" collapsed="false">
      <c r="A89" s="6" t="s">
        <v>513</v>
      </c>
    </row>
    <row r="90" customFormat="false" ht="17.15" hidden="false" customHeight="false" outlineLevel="0" collapsed="false">
      <c r="A90" s="4" t="s">
        <v>514</v>
      </c>
      <c r="B90" s="0" t="s">
        <v>138</v>
      </c>
      <c r="C90" s="22" t="n">
        <f aca="false">a25_cn</f>
        <v>39.8604</v>
      </c>
      <c r="D90" s="22" t="n">
        <f aca="false">a26_cn</f>
        <v>50.0315607365079</v>
      </c>
      <c r="E90" s="22" t="n">
        <f aca="false">D90*(1+g_cn27)</f>
        <v>52.5331387733333</v>
      </c>
      <c r="F90" s="22" t="n">
        <f aca="false">E90*(1+g_cn28)</f>
        <v>55.159795712</v>
      </c>
      <c r="G90" s="22" t="n">
        <f aca="false">F90*(1+g_cn29)</f>
        <v>57.9177854976</v>
      </c>
      <c r="K90" s="4" t="s">
        <v>515</v>
      </c>
    </row>
    <row r="91" customFormat="false" ht="17.15" hidden="false" customHeight="false" outlineLevel="0" collapsed="false">
      <c r="A91" s="4" t="s">
        <v>431</v>
      </c>
      <c r="B91" s="0" t="s">
        <v>138</v>
      </c>
      <c r="C91" s="22" t="n">
        <f aca="false">C88+C90</f>
        <v>74.73825</v>
      </c>
      <c r="D91" s="22" t="n">
        <f aca="false">D88+D90</f>
        <v>115.978316436508</v>
      </c>
      <c r="E91" s="22" t="n">
        <f aca="false">E88+E90</f>
        <v>224.679899127224</v>
      </c>
      <c r="F91" s="22" t="n">
        <f aca="false">F88+F90</f>
        <v>324.954268755688</v>
      </c>
      <c r="G91" s="22" t="n">
        <f aca="false">G88+G90</f>
        <v>396.894137101983</v>
      </c>
      <c r="K91" s="4" t="s">
        <v>516</v>
      </c>
    </row>
    <row r="92" customFormat="false" ht="15" hidden="false" customHeight="false" outlineLevel="0" collapsed="false">
      <c r="A92" s="4" t="s">
        <v>435</v>
      </c>
      <c r="B92" s="0" t="s">
        <v>138</v>
      </c>
      <c r="C92" s="22" t="n">
        <f aca="false">a25_op</f>
        <v>28.23445</v>
      </c>
      <c r="D92" s="22" t="n">
        <f aca="false">a26_op</f>
        <v>32.8693205828571</v>
      </c>
      <c r="E92" s="22" t="n">
        <f aca="false">D92*(1+g_op27)</f>
        <v>34.512786612</v>
      </c>
      <c r="F92" s="22" t="n">
        <f aca="false">E92*(1+g_op28)</f>
        <v>36.2384259426</v>
      </c>
      <c r="G92" s="22" t="n">
        <f aca="false">F92*(1+g_op29)</f>
        <v>38.05034723973</v>
      </c>
    </row>
    <row r="93" customFormat="false" ht="15" hidden="false" customHeight="false" outlineLevel="0" collapsed="false">
      <c r="A93" s="4" t="s">
        <v>436</v>
      </c>
      <c r="B93" s="0" t="s">
        <v>138</v>
      </c>
      <c r="C93" s="22" t="n">
        <f aca="false">a25_ic</f>
        <v>63.1123</v>
      </c>
      <c r="D93" s="22" t="n">
        <f aca="false">a26_ic</f>
        <v>63.8838329806349</v>
      </c>
      <c r="E93" s="22" t="n">
        <f aca="false">D93*(1+g_ic27)</f>
        <v>63.8838329806349</v>
      </c>
      <c r="F93" s="22" t="n">
        <f aca="false">E93*(1+g_ic28)</f>
        <v>63.8838329806349</v>
      </c>
      <c r="G93" s="22" t="n">
        <f aca="false">F93*(1+g_ic29)</f>
        <v>63.8838329806349</v>
      </c>
    </row>
    <row r="94" customFormat="false" ht="17.15" hidden="false" customHeight="false" outlineLevel="0" collapsed="false">
      <c r="A94" s="4" t="s">
        <v>517</v>
      </c>
      <c r="B94" s="0" t="s">
        <v>138</v>
      </c>
      <c r="C94" s="22" t="n">
        <f aca="false">C90+C92+C93</f>
        <v>131.20715</v>
      </c>
      <c r="D94" s="22" t="n">
        <f aca="false">D90+D92+D93</f>
        <v>146.7847143</v>
      </c>
      <c r="E94" s="22" t="n">
        <f aca="false">E90+E92+E93</f>
        <v>150.929758365968</v>
      </c>
      <c r="F94" s="22" t="n">
        <f aca="false">F90+F92+F93</f>
        <v>155.282054635235</v>
      </c>
      <c r="G94" s="22" t="n">
        <f aca="false">G90+G92+G93</f>
        <v>159.851965717965</v>
      </c>
    </row>
    <row r="95" customFormat="false" ht="17.15" hidden="false" customHeight="false" outlineLevel="0" collapsed="false">
      <c r="A95" s="4" t="s">
        <v>383</v>
      </c>
      <c r="B95" s="0" t="s">
        <v>138</v>
      </c>
      <c r="C95" s="22" t="n">
        <f aca="false">C91+C92+C93</f>
        <v>166.085</v>
      </c>
      <c r="D95" s="22" t="n">
        <f aca="false">D91+D92+D93</f>
        <v>212.73147</v>
      </c>
      <c r="E95" s="22" t="n">
        <f aca="false">E91+E92+E93</f>
        <v>323.076518719859</v>
      </c>
      <c r="F95" s="22" t="n">
        <f aca="false">F91+F92+F93</f>
        <v>425.076527678923</v>
      </c>
      <c r="G95" s="22" t="n">
        <f aca="false">G91+G92+G93</f>
        <v>498.828317322347</v>
      </c>
      <c r="H95" s="24" t="n">
        <f aca="false">G95*(1+H97)</f>
        <v>566.503484166648</v>
      </c>
      <c r="I95" s="24" t="n">
        <f aca="false">H95*(1+I97)</f>
        <v>621.926857975406</v>
      </c>
      <c r="J95" s="24" t="n">
        <f aca="false">I95*(1+J97)</f>
        <v>659.242469453931</v>
      </c>
      <c r="K95" s="8" t="s">
        <v>518</v>
      </c>
    </row>
    <row r="96" customFormat="false" ht="17.15" hidden="false" customHeight="false" outlineLevel="0" collapsed="false">
      <c r="A96" s="4" t="s">
        <v>519</v>
      </c>
      <c r="B96" s="0" t="s">
        <v>138</v>
      </c>
      <c r="C96" s="28" t="n">
        <f aca="false">C95-a25_rev</f>
        <v>0</v>
      </c>
      <c r="D96" s="28" t="n">
        <f aca="false">D95-a26_rev</f>
        <v>0</v>
      </c>
    </row>
    <row r="97" customFormat="false" ht="15" hidden="false" customHeight="false" outlineLevel="0" collapsed="false">
      <c r="A97" s="4" t="s">
        <v>520</v>
      </c>
      <c r="B97" s="0" t="s">
        <v>53</v>
      </c>
      <c r="D97" s="17" t="n">
        <f aca="false">D95/C95-1</f>
        <v>0.280859017972725</v>
      </c>
      <c r="E97" s="17" t="n">
        <f aca="false">E95/D95-1</f>
        <v>0.518705806526221</v>
      </c>
      <c r="F97" s="17" t="n">
        <f aca="false">F95/E95-1</f>
        <v>0.315714708587377</v>
      </c>
      <c r="G97" s="17" t="n">
        <f aca="false">G95/F95-1</f>
        <v>0.17350238096217</v>
      </c>
      <c r="H97" s="25" t="n">
        <f aca="false">$G97+(fade_gA-$G97)*1/3</f>
        <v>0.13566825397478</v>
      </c>
      <c r="I97" s="25" t="n">
        <f aca="false">$G97+(fade_gA-$G97)*2/3</f>
        <v>0.0978341269873899</v>
      </c>
      <c r="J97" s="25" t="n">
        <f aca="false">$G97+(fade_gA-$G97)*3/3</f>
        <v>0.06</v>
      </c>
    </row>
    <row r="98" customFormat="false" ht="17.15" hidden="false" customHeight="false" outlineLevel="0" collapsed="false">
      <c r="A98" s="0" t="s">
        <v>521</v>
      </c>
      <c r="B98" s="0" t="s">
        <v>53</v>
      </c>
      <c r="C98" s="17" t="n">
        <f aca="false">C88/C95</f>
        <v>0.21</v>
      </c>
      <c r="D98" s="17" t="n">
        <f aca="false">D88/D95</f>
        <v>0.31</v>
      </c>
      <c r="E98" s="17" t="n">
        <f aca="false">E88/E95</f>
        <v>0.532835877506653</v>
      </c>
      <c r="F98" s="17" t="n">
        <f aca="false">F88/F95</f>
        <v>0.634696238150026</v>
      </c>
      <c r="G98" s="17" t="n">
        <f aca="false">G88/G95</f>
        <v>0.679545125713729</v>
      </c>
    </row>
    <row r="99" customFormat="false" ht="17.15" hidden="false" customHeight="false" outlineLevel="0" collapsed="false">
      <c r="A99" s="4" t="s">
        <v>470</v>
      </c>
      <c r="B99" s="0" t="s">
        <v>471</v>
      </c>
      <c r="D99" s="21" t="n">
        <f aca="false">D88/fx/D80*1000</f>
        <v>88.0716581635229</v>
      </c>
      <c r="E99" s="21" t="n">
        <f aca="false">E88/fx/E80*1000</f>
        <v>129.1717653065</v>
      </c>
      <c r="F99" s="21" t="n">
        <f aca="false">F88/fx/F80*1000</f>
        <v>159.703273469855</v>
      </c>
      <c r="G99" s="21" t="n">
        <f aca="false">G88/fx/G80*1000</f>
        <v>176.143316327046</v>
      </c>
    </row>
    <row r="100" customFormat="false" ht="17.15" hidden="false" customHeight="false" outlineLevel="0" collapsed="false">
      <c r="A100" s="6" t="s">
        <v>522</v>
      </c>
    </row>
    <row r="101" customFormat="false" ht="17.15" hidden="false" customHeight="false" outlineLevel="0" collapsed="false">
      <c r="A101" s="4" t="s">
        <v>523</v>
      </c>
      <c r="B101" s="0" t="s">
        <v>53</v>
      </c>
      <c r="D101" s="17" t="n">
        <f aca="false">a26_gp/D95-d_ai*D98</f>
        <v>0.216982337009188</v>
      </c>
      <c r="K101" s="8" t="s">
        <v>524</v>
      </c>
    </row>
    <row r="102" customFormat="false" ht="17.15" hidden="false" customHeight="false" outlineLevel="0" collapsed="false">
      <c r="A102" s="0" t="s">
        <v>525</v>
      </c>
      <c r="B102" s="0" t="s">
        <v>53</v>
      </c>
      <c r="D102" s="17" t="n">
        <f aca="false">D101+d_ai</f>
        <v>0.336982337009188</v>
      </c>
      <c r="E102" s="17" t="n">
        <f aca="false">$D$102+GUHI_27</f>
        <v>0.346982337009188</v>
      </c>
      <c r="F102" s="17" t="n">
        <f aca="false">$D$102+GUHI_28</f>
        <v>0.351982337009188</v>
      </c>
      <c r="G102" s="17" t="n">
        <f aca="false">$D$102+GUHI_29</f>
        <v>0.356982337009188</v>
      </c>
      <c r="K102" s="4" t="s">
        <v>526</v>
      </c>
    </row>
    <row r="103" customFormat="false" ht="15" hidden="false" customHeight="false" outlineLevel="0" collapsed="false">
      <c r="A103" s="4" t="s">
        <v>387</v>
      </c>
      <c r="B103" s="0" t="s">
        <v>138</v>
      </c>
      <c r="C103" s="22" t="n">
        <f aca="false">a25_gp</f>
        <v>38.039</v>
      </c>
      <c r="D103" s="22" t="n">
        <f aca="false">a26_gp</f>
        <v>54.0725822</v>
      </c>
      <c r="E103" s="22" t="n">
        <f aca="false">E88*E102+E94*$D$101</f>
        <v>92.4809769106334</v>
      </c>
      <c r="F103" s="22" t="n">
        <f aca="false">F88*F102+F94*$D$101</f>
        <v>128.656352244421</v>
      </c>
      <c r="G103" s="22" t="n">
        <f aca="false">G88*G102+G94*$D$101</f>
        <v>155.693623283577</v>
      </c>
    </row>
    <row r="104" customFormat="false" ht="15" hidden="false" customHeight="false" outlineLevel="0" collapsed="false">
      <c r="A104" s="4" t="s">
        <v>390</v>
      </c>
      <c r="B104" s="0" t="s">
        <v>53</v>
      </c>
      <c r="C104" s="17" t="n">
        <f aca="false">C103/C95</f>
        <v>0.229033326308818</v>
      </c>
      <c r="D104" s="17" t="n">
        <f aca="false">D103/D95</f>
        <v>0.254182337009188</v>
      </c>
      <c r="E104" s="17" t="n">
        <f aca="false">E103/E95</f>
        <v>0.286251001085053</v>
      </c>
      <c r="F104" s="17" t="n">
        <f aca="false">F103/F95</f>
        <v>0.302666329159442</v>
      </c>
      <c r="G104" s="17" t="n">
        <f aca="false">G103/G95</f>
        <v>0.31211865460911</v>
      </c>
    </row>
    <row r="105" customFormat="false" ht="15" hidden="false" customHeight="false" outlineLevel="0" collapsed="false">
      <c r="A105" s="4" t="s">
        <v>527</v>
      </c>
      <c r="B105" s="0" t="s">
        <v>138</v>
      </c>
      <c r="C105" s="22" t="n">
        <f aca="false">a25_opx</f>
        <v>21.301</v>
      </c>
      <c r="D105" s="22" t="n">
        <f aca="false">a26_opx</f>
        <v>25.21033346</v>
      </c>
      <c r="E105" s="22" t="n">
        <f aca="false">D105*(1+MAX(0,phi*E97))</f>
        <v>34.364055905115</v>
      </c>
      <c r="F105" s="22" t="n">
        <f aca="false">E105*(1+MAX(0,phi*F97))</f>
        <v>41.9585224322896</v>
      </c>
      <c r="G105" s="22" t="n">
        <f aca="false">F105*(1+MAX(0,phi*G97))</f>
        <v>47.0544549128494</v>
      </c>
    </row>
    <row r="106" customFormat="false" ht="15" hidden="false" customHeight="false" outlineLevel="0" collapsed="false">
      <c r="A106" s="4" t="s">
        <v>392</v>
      </c>
      <c r="B106" s="0" t="s">
        <v>138</v>
      </c>
      <c r="C106" s="22" t="n">
        <f aca="false">C105</f>
        <v>21.301</v>
      </c>
      <c r="D106" s="22" t="n">
        <f aca="false">D105</f>
        <v>25.21033346</v>
      </c>
      <c r="E106" s="22" t="n">
        <f aca="false">E105+0*E95</f>
        <v>34.364055905115</v>
      </c>
      <c r="F106" s="22" t="n">
        <f aca="false">F105+0*F95</f>
        <v>41.9585224322896</v>
      </c>
      <c r="G106" s="22" t="n">
        <f aca="false">G105+0*G95</f>
        <v>47.0544549128494</v>
      </c>
    </row>
    <row r="107" customFormat="false" ht="15" hidden="false" customHeight="false" outlineLevel="0" collapsed="false">
      <c r="A107" s="4" t="s">
        <v>395</v>
      </c>
      <c r="B107" s="0" t="s">
        <v>138</v>
      </c>
      <c r="C107" s="22" t="n">
        <f aca="false">C103-C106</f>
        <v>16.738</v>
      </c>
      <c r="D107" s="22" t="n">
        <f aca="false">D103-D106</f>
        <v>28.86224874</v>
      </c>
      <c r="E107" s="22" t="n">
        <f aca="false">E103-E106</f>
        <v>58.1169210055184</v>
      </c>
      <c r="F107" s="22" t="n">
        <f aca="false">F103-F106</f>
        <v>86.6978298121318</v>
      </c>
      <c r="G107" s="22" t="n">
        <f aca="false">G103-G106</f>
        <v>108.639168370728</v>
      </c>
    </row>
    <row r="108" customFormat="false" ht="15" hidden="false" customHeight="false" outlineLevel="0" collapsed="false">
      <c r="A108" s="4" t="s">
        <v>397</v>
      </c>
      <c r="B108" s="0" t="s">
        <v>53</v>
      </c>
      <c r="C108" s="17" t="n">
        <f aca="false">C107/C95</f>
        <v>0.100779721227083</v>
      </c>
      <c r="D108" s="17" t="n">
        <f aca="false">D107/D95</f>
        <v>0.135674560703219</v>
      </c>
      <c r="E108" s="17" t="n">
        <f aca="false">E107/E95</f>
        <v>0.17988593301611</v>
      </c>
      <c r="F108" s="17" t="n">
        <f aca="false">F107/F95</f>
        <v>0.20395816792222</v>
      </c>
      <c r="G108" s="17" t="n">
        <f aca="false">G107/G95</f>
        <v>0.217788695224623</v>
      </c>
    </row>
    <row r="109" customFormat="false" ht="15" hidden="false" customHeight="false" outlineLevel="0" collapsed="false">
      <c r="A109" s="4" t="s">
        <v>399</v>
      </c>
      <c r="B109" s="0" t="s">
        <v>138</v>
      </c>
      <c r="C109" s="22" t="n">
        <f aca="false">a25_nop</f>
        <v>2.9762895</v>
      </c>
      <c r="D109" s="22" t="n">
        <f aca="false">a26_nop</f>
        <v>3.839</v>
      </c>
      <c r="E109" s="22" t="n">
        <f aca="false">nop_f</f>
        <v>3.5</v>
      </c>
      <c r="F109" s="22" t="n">
        <f aca="false">nop_f</f>
        <v>3.5</v>
      </c>
      <c r="G109" s="22" t="n">
        <f aca="false">nop_f</f>
        <v>3.5</v>
      </c>
    </row>
    <row r="110" customFormat="false" ht="17.15" hidden="false" customHeight="false" outlineLevel="0" collapsed="false">
      <c r="A110" s="4" t="s">
        <v>528</v>
      </c>
      <c r="B110" s="0" t="s">
        <v>53</v>
      </c>
      <c r="C110" s="17" t="n">
        <f aca="false">a25_ni/a25_pt</f>
        <v>0.766753475949514</v>
      </c>
      <c r="D110" s="17" t="n">
        <f aca="false">a26_ni/a26_pt</f>
        <v>0.759431002022174</v>
      </c>
      <c r="E110" s="17" t="n">
        <f aca="false">nir_f</f>
        <v>0.76</v>
      </c>
      <c r="F110" s="17" t="n">
        <f aca="false">nir_f</f>
        <v>0.76</v>
      </c>
      <c r="G110" s="17" t="n">
        <f aca="false">nir_f</f>
        <v>0.76</v>
      </c>
    </row>
    <row r="111" customFormat="false" ht="15" hidden="false" customHeight="false" outlineLevel="0" collapsed="false">
      <c r="A111" s="4" t="s">
        <v>404</v>
      </c>
      <c r="B111" s="0" t="s">
        <v>138</v>
      </c>
      <c r="C111" s="22" t="n">
        <f aca="false">a25_ni</f>
        <v>15.116</v>
      </c>
      <c r="D111" s="22" t="n">
        <f aca="false">a26_ni</f>
        <v>24.8343420979946</v>
      </c>
      <c r="E111" s="22" t="n">
        <f aca="false">(E107+E109)*E110</f>
        <v>46.828859964194</v>
      </c>
      <c r="F111" s="22" t="n">
        <f aca="false">(F107+F109)*F110</f>
        <v>68.5503506572202</v>
      </c>
      <c r="G111" s="22" t="n">
        <f aca="false">(G107+G109)*G110</f>
        <v>85.2257679617534</v>
      </c>
      <c r="H111" s="24" t="n">
        <f aca="false">H95*H115</f>
        <v>96.7881990947842</v>
      </c>
      <c r="I111" s="24" t="n">
        <f aca="false">I95*I115</f>
        <v>106.257388055904</v>
      </c>
      <c r="J111" s="24" t="n">
        <f aca="false">J95*J115</f>
        <v>112.632831339258</v>
      </c>
    </row>
    <row r="112" customFormat="false" ht="15" hidden="false" customHeight="false" outlineLevel="0" collapsed="false">
      <c r="A112" s="4" t="s">
        <v>529</v>
      </c>
      <c r="B112" s="4" t="s">
        <v>231</v>
      </c>
      <c r="C112" s="27" t="n">
        <f aca="false">a25_sh</f>
        <v>2.27650602409639</v>
      </c>
      <c r="D112" s="27" t="n">
        <f aca="false">a26_sh</f>
        <v>2.26895833333333</v>
      </c>
      <c r="E112" s="27" t="n">
        <f aca="false">D112*(1+sh_g)</f>
        <v>2.26895833333333</v>
      </c>
      <c r="F112" s="27" t="n">
        <f aca="false">E112*(1+sh_g)</f>
        <v>2.26895833333333</v>
      </c>
      <c r="G112" s="27" t="n">
        <f aca="false">F112*(1+sh_g)</f>
        <v>2.26895833333333</v>
      </c>
      <c r="H112" s="29" t="n">
        <f aca="false">G112*(1+sh_g)</f>
        <v>2.26895833333333</v>
      </c>
      <c r="I112" s="29" t="n">
        <f aca="false">H112*(1+sh_g)</f>
        <v>2.26895833333333</v>
      </c>
      <c r="J112" s="29" t="n">
        <f aca="false">I112*(1+sh_g)</f>
        <v>2.26895833333333</v>
      </c>
    </row>
    <row r="113" customFormat="false" ht="15" hidden="false" customHeight="false" outlineLevel="0" collapsed="false">
      <c r="A113" s="0" t="s">
        <v>410</v>
      </c>
      <c r="B113" s="0" t="s">
        <v>264</v>
      </c>
      <c r="C113" s="23" t="n">
        <f aca="false">C111/C112</f>
        <v>6.64</v>
      </c>
      <c r="D113" s="23" t="n">
        <f aca="false">D111/D112</f>
        <v>10.9452614149641</v>
      </c>
      <c r="E113" s="23" t="n">
        <f aca="false">E111/E112</f>
        <v>20.6389246008751</v>
      </c>
      <c r="F113" s="23" t="n">
        <f aca="false">F111/F112</f>
        <v>30.2122562808426</v>
      </c>
      <c r="G113" s="23" t="n">
        <f aca="false">G111/G112</f>
        <v>37.5616276022786</v>
      </c>
      <c r="H113" s="30" t="n">
        <f aca="false">H111/H112</f>
        <v>42.6575480355306</v>
      </c>
      <c r="I113" s="30" t="n">
        <f aca="false">I111/I112</f>
        <v>46.8309120070094</v>
      </c>
      <c r="J113" s="30" t="n">
        <f aca="false">J111/J112</f>
        <v>49.64076672743</v>
      </c>
    </row>
    <row r="114" customFormat="false" ht="17.15" hidden="false" customHeight="false" outlineLevel="0" collapsed="false">
      <c r="A114" s="0" t="s">
        <v>530</v>
      </c>
      <c r="B114" s="0" t="s">
        <v>53</v>
      </c>
      <c r="D114" s="17" t="n">
        <f aca="false">D113/C113-1</f>
        <v>0.648382743217484</v>
      </c>
      <c r="E114" s="17" t="n">
        <f aca="false">E113/D113-1</f>
        <v>0.885649306891666</v>
      </c>
      <c r="F114" s="17" t="n">
        <f aca="false">F113/E113-1</f>
        <v>0.463848377040029</v>
      </c>
      <c r="G114" s="17" t="n">
        <f aca="false">G113/F113-1</f>
        <v>0.243257943171102</v>
      </c>
      <c r="H114" s="25" t="n">
        <f aca="false">H113/G113-1</f>
        <v>0.13566825397478</v>
      </c>
      <c r="I114" s="25" t="n">
        <f aca="false">I113/H113-1</f>
        <v>0.0978341269873901</v>
      </c>
      <c r="J114" s="25" t="n">
        <f aca="false">J113/I113-1</f>
        <v>0.0599999999999998</v>
      </c>
    </row>
    <row r="115" customFormat="false" ht="17.15" hidden="false" customHeight="false" outlineLevel="0" collapsed="false">
      <c r="A115" s="4" t="s">
        <v>531</v>
      </c>
      <c r="B115" s="0" t="s">
        <v>53</v>
      </c>
      <c r="C115" s="17" t="n">
        <f aca="false">C111/C95</f>
        <v>0.0910136375952073</v>
      </c>
      <c r="D115" s="17" t="n">
        <f aca="false">D111/D95</f>
        <v>0.116740330417472</v>
      </c>
      <c r="E115" s="17" t="n">
        <f aca="false">E111/E95</f>
        <v>0.144946652730276</v>
      </c>
      <c r="F115" s="17" t="n">
        <f aca="false">F111/F95</f>
        <v>0.161265904357342</v>
      </c>
      <c r="G115" s="17" t="n">
        <f aca="false">G111/G95</f>
        <v>0.170851904357065</v>
      </c>
      <c r="H115" s="25" t="n">
        <f aca="false">$G115+(fade_mA-$G115)*1/3</f>
        <v>0.170851904357065</v>
      </c>
      <c r="I115" s="25" t="n">
        <f aca="false">$G115+(fade_mA-$G115)*2/3</f>
        <v>0.170851904357065</v>
      </c>
      <c r="J115" s="25" t="n">
        <f aca="false">$G115+(fade_mA-$G115)*3/3</f>
        <v>0.170851904357065</v>
      </c>
    </row>
    <row r="118" customFormat="false" ht="17.15" hidden="false" customHeight="false" outlineLevel="0" collapsed="false">
      <c r="A118" s="1" t="s">
        <v>532</v>
      </c>
    </row>
    <row r="119" customFormat="false" ht="17.15" hidden="false" customHeight="false" outlineLevel="0" collapsed="false">
      <c r="A119" s="5" t="s">
        <v>22</v>
      </c>
      <c r="B119" s="5" t="s">
        <v>23</v>
      </c>
      <c r="C119" s="14" t="s">
        <v>378</v>
      </c>
      <c r="D119" s="14" t="s">
        <v>476</v>
      </c>
      <c r="E119" s="14" t="s">
        <v>477</v>
      </c>
      <c r="F119" s="14" t="s">
        <v>478</v>
      </c>
      <c r="G119" s="14" t="s">
        <v>479</v>
      </c>
      <c r="H119" s="14" t="s">
        <v>480</v>
      </c>
      <c r="I119" s="14" t="s">
        <v>481</v>
      </c>
      <c r="J119" s="14" t="s">
        <v>482</v>
      </c>
      <c r="K119" s="5" t="s">
        <v>449</v>
      </c>
    </row>
    <row r="120" customFormat="false" ht="17.15" hidden="false" customHeight="false" outlineLevel="0" collapsed="false">
      <c r="A120" s="6" t="s">
        <v>501</v>
      </c>
    </row>
    <row r="121" customFormat="false" ht="17.15" hidden="false" customHeight="false" outlineLevel="0" collapsed="false">
      <c r="A121" s="0" t="s">
        <v>502</v>
      </c>
      <c r="B121" s="0" t="s">
        <v>33</v>
      </c>
      <c r="D121" s="23" t="n">
        <f aca="false">itc_26*1</f>
        <v>781.872916666666</v>
      </c>
      <c r="E121" s="23" t="n">
        <f aca="false">itc_27*1*1</f>
        <v>1565.35</v>
      </c>
      <c r="F121" s="23" t="n">
        <f aca="false">itc_28*um28_B*1</f>
        <v>1587.41111111111</v>
      </c>
      <c r="G121" s="23" t="n">
        <f aca="false">itc_29*um29_B*1</f>
        <v>1921.33173611111</v>
      </c>
    </row>
    <row r="122" customFormat="false" ht="17.15" hidden="false" customHeight="false" outlineLevel="0" collapsed="false">
      <c r="A122" s="4" t="s">
        <v>503</v>
      </c>
      <c r="B122" s="0" t="s">
        <v>33</v>
      </c>
      <c r="D122" s="23" t="n">
        <f aca="false">itpg_gb*(1-vr26)+itpg_vr*vr26</f>
        <v>33.41403216</v>
      </c>
      <c r="E122" s="23" t="n">
        <f aca="false">itpg_vr</f>
        <v>37.586352</v>
      </c>
      <c r="F122" s="23" t="n">
        <f aca="false">itpg_vr</f>
        <v>37.586352</v>
      </c>
      <c r="G122" s="23" t="n">
        <f aca="false">itpg_vr</f>
        <v>37.586352</v>
      </c>
    </row>
    <row r="123" customFormat="false" ht="17.15" hidden="false" customHeight="false" outlineLevel="0" collapsed="false">
      <c r="A123" s="4" t="s">
        <v>504</v>
      </c>
      <c r="B123" s="0" t="s">
        <v>451</v>
      </c>
      <c r="D123" s="20" t="n">
        <f aca="false">D121/D122</f>
        <v>23.3995380420639</v>
      </c>
      <c r="E123" s="20" t="n">
        <f aca="false">E121/E122</f>
        <v>41.6467658260637</v>
      </c>
      <c r="F123" s="20" t="n">
        <f aca="false">F121/F122</f>
        <v>42.2337105529984</v>
      </c>
      <c r="G123" s="20" t="n">
        <f aca="false">G121/G122</f>
        <v>51.1178029756948</v>
      </c>
    </row>
    <row r="124" customFormat="false" ht="17.15" hidden="false" customHeight="false" outlineLevel="0" collapsed="false">
      <c r="A124" s="0" t="s">
        <v>453</v>
      </c>
      <c r="B124" s="0" t="s">
        <v>91</v>
      </c>
      <c r="D124" s="21" t="n">
        <f aca="false">pkw_26</f>
        <v>450</v>
      </c>
      <c r="E124" s="21" t="n">
        <f aca="false">pkw_27</f>
        <v>600</v>
      </c>
      <c r="F124" s="21" t="n">
        <f aca="false">pkw_28</f>
        <v>680</v>
      </c>
      <c r="G124" s="21" t="n">
        <f aca="false">pkw_29</f>
        <v>720</v>
      </c>
    </row>
    <row r="125" customFormat="false" ht="17.15" hidden="false" customHeight="false" outlineLevel="0" collapsed="false">
      <c r="A125" s="0" t="s">
        <v>505</v>
      </c>
      <c r="B125" s="0" t="s">
        <v>33</v>
      </c>
      <c r="D125" s="23" t="n">
        <f aca="false">D123*D124/1000</f>
        <v>10.5297921189287</v>
      </c>
      <c r="E125" s="23" t="n">
        <f aca="false">E123*E124/1000</f>
        <v>24.9880594956382</v>
      </c>
      <c r="F125" s="23" t="n">
        <f aca="false">F123*F124/1000</f>
        <v>28.7189231760389</v>
      </c>
      <c r="G125" s="23" t="n">
        <f aca="false">G123*G124/1000</f>
        <v>36.8048181425003</v>
      </c>
    </row>
    <row r="126" customFormat="false" ht="17.15" hidden="false" customHeight="false" outlineLevel="0" collapsed="false">
      <c r="A126" s="0" t="s">
        <v>506</v>
      </c>
      <c r="B126" s="0" t="s">
        <v>138</v>
      </c>
      <c r="D126" s="22" t="n">
        <f aca="false">D125*fx</f>
        <v>336.95334780572</v>
      </c>
      <c r="E126" s="22" t="n">
        <f aca="false">E125*fx</f>
        <v>799.617903860422</v>
      </c>
      <c r="F126" s="22" t="n">
        <f aca="false">F125*fx</f>
        <v>919.005541633245</v>
      </c>
      <c r="G126" s="22" t="n">
        <f aca="false">G125*fx</f>
        <v>1177.75418056001</v>
      </c>
    </row>
    <row r="127" customFormat="false" ht="17.15" hidden="false" customHeight="false" outlineLevel="0" collapsed="false">
      <c r="A127" s="4" t="s">
        <v>507</v>
      </c>
      <c r="B127" s="0" t="s">
        <v>53</v>
      </c>
      <c r="D127" s="17" t="n">
        <f aca="false">a26_aip/D126</f>
        <v>0.176143316327046</v>
      </c>
      <c r="K127" s="8" t="s">
        <v>508</v>
      </c>
    </row>
    <row r="128" customFormat="false" ht="17.15" hidden="false" customHeight="false" outlineLevel="0" collapsed="false">
      <c r="A128" s="4" t="s">
        <v>509</v>
      </c>
      <c r="B128" s="0" t="s">
        <v>64</v>
      </c>
      <c r="D128" s="18" t="n">
        <f aca="false">1</f>
        <v>1</v>
      </c>
      <c r="E128" s="18" t="n">
        <f aca="false">rel_27</f>
        <v>1</v>
      </c>
      <c r="F128" s="18" t="n">
        <f aca="false">rel_28</f>
        <v>1</v>
      </c>
      <c r="G128" s="18" t="n">
        <f aca="false">rel_29</f>
        <v>1</v>
      </c>
    </row>
    <row r="129" customFormat="false" ht="15" hidden="false" customHeight="false" outlineLevel="0" collapsed="false">
      <c r="A129" s="4" t="s">
        <v>459</v>
      </c>
      <c r="B129" s="0" t="s">
        <v>53</v>
      </c>
      <c r="D129" s="17" t="n">
        <f aca="false">$D$127*D128</f>
        <v>0.176143316327046</v>
      </c>
      <c r="E129" s="17" t="n">
        <f aca="false">$D$127*E128</f>
        <v>0.176143316327046</v>
      </c>
      <c r="F129" s="17" t="n">
        <f aca="false">$D$127*F128</f>
        <v>0.176143316327046</v>
      </c>
      <c r="G129" s="17" t="n">
        <f aca="false">$D$127*G128</f>
        <v>0.176143316327046</v>
      </c>
    </row>
    <row r="130" customFormat="false" ht="17.15" hidden="false" customHeight="false" outlineLevel="0" collapsed="false">
      <c r="A130" s="0" t="s">
        <v>510</v>
      </c>
      <c r="B130" s="0" t="s">
        <v>138</v>
      </c>
      <c r="C130" s="22" t="n">
        <f aca="false">a25_aip</f>
        <v>31.390065</v>
      </c>
      <c r="D130" s="22" t="n">
        <f aca="false">D126*D129</f>
        <v>59.35208013</v>
      </c>
      <c r="E130" s="22" t="n">
        <f aca="false">E126*E129</f>
        <v>140.847349380456</v>
      </c>
      <c r="F130" s="22" t="n">
        <f aca="false">F126*F129</f>
        <v>161.876683826213</v>
      </c>
      <c r="G130" s="22" t="n">
        <f aca="false">G126*G129</f>
        <v>207.453527181882</v>
      </c>
    </row>
    <row r="131" customFormat="false" ht="17.15" hidden="false" customHeight="false" outlineLevel="0" collapsed="false">
      <c r="A131" s="0" t="s">
        <v>511</v>
      </c>
      <c r="B131" s="0" t="s">
        <v>138</v>
      </c>
      <c r="C131" s="22" t="n">
        <f aca="false">a25_ai</f>
        <v>34.87785</v>
      </c>
      <c r="D131" s="22" t="n">
        <f aca="false">D130/(1-x_np)</f>
        <v>65.9467557</v>
      </c>
      <c r="E131" s="22" t="n">
        <f aca="false">E130/(1-x_np)</f>
        <v>156.497054867173</v>
      </c>
      <c r="F131" s="22" t="n">
        <f aca="false">F130/(1-x_np)</f>
        <v>179.862982029125</v>
      </c>
      <c r="G131" s="22" t="n">
        <f aca="false">G130/(1-x_np)</f>
        <v>230.50391909098</v>
      </c>
      <c r="K131" s="4" t="s">
        <v>512</v>
      </c>
    </row>
    <row r="132" customFormat="false" ht="17.15" hidden="false" customHeight="false" outlineLevel="0" collapsed="false">
      <c r="A132" s="6" t="s">
        <v>513</v>
      </c>
    </row>
    <row r="133" customFormat="false" ht="17.15" hidden="false" customHeight="false" outlineLevel="0" collapsed="false">
      <c r="A133" s="4" t="s">
        <v>514</v>
      </c>
      <c r="B133" s="0" t="s">
        <v>138</v>
      </c>
      <c r="C133" s="22" t="n">
        <f aca="false">a25_cn</f>
        <v>39.8604</v>
      </c>
      <c r="D133" s="22" t="n">
        <f aca="false">a26_cn</f>
        <v>50.0315607365079</v>
      </c>
      <c r="E133" s="22" t="n">
        <f aca="false">D133*(1+g_cn27)</f>
        <v>52.5331387733333</v>
      </c>
      <c r="F133" s="22" t="n">
        <f aca="false">E133*(1+g_cn28)</f>
        <v>55.159795712</v>
      </c>
      <c r="G133" s="22" t="n">
        <f aca="false">F133*(1+g_cn29)</f>
        <v>57.9177854976</v>
      </c>
      <c r="K133" s="4" t="s">
        <v>515</v>
      </c>
    </row>
    <row r="134" customFormat="false" ht="17.15" hidden="false" customHeight="false" outlineLevel="0" collapsed="false">
      <c r="A134" s="4" t="s">
        <v>431</v>
      </c>
      <c r="B134" s="0" t="s">
        <v>138</v>
      </c>
      <c r="C134" s="22" t="n">
        <f aca="false">C131+C133</f>
        <v>74.73825</v>
      </c>
      <c r="D134" s="22" t="n">
        <f aca="false">D131+D133</f>
        <v>115.978316436508</v>
      </c>
      <c r="E134" s="22" t="n">
        <f aca="false">E131+E133</f>
        <v>209.030193640506</v>
      </c>
      <c r="F134" s="22" t="n">
        <f aca="false">F131+F133</f>
        <v>235.022777741125</v>
      </c>
      <c r="G134" s="22" t="n">
        <f aca="false">G131+G133</f>
        <v>288.42170458858</v>
      </c>
      <c r="K134" s="4" t="s">
        <v>516</v>
      </c>
    </row>
    <row r="135" customFormat="false" ht="15" hidden="false" customHeight="false" outlineLevel="0" collapsed="false">
      <c r="A135" s="4" t="s">
        <v>435</v>
      </c>
      <c r="B135" s="0" t="s">
        <v>138</v>
      </c>
      <c r="C135" s="22" t="n">
        <f aca="false">a25_op</f>
        <v>28.23445</v>
      </c>
      <c r="D135" s="22" t="n">
        <f aca="false">a26_op</f>
        <v>32.8693205828571</v>
      </c>
      <c r="E135" s="22" t="n">
        <f aca="false">D135*(1+g_op27)</f>
        <v>34.512786612</v>
      </c>
      <c r="F135" s="22" t="n">
        <f aca="false">E135*(1+g_op28)</f>
        <v>36.2384259426</v>
      </c>
      <c r="G135" s="22" t="n">
        <f aca="false">F135*(1+g_op29)</f>
        <v>38.05034723973</v>
      </c>
    </row>
    <row r="136" customFormat="false" ht="15" hidden="false" customHeight="false" outlineLevel="0" collapsed="false">
      <c r="A136" s="4" t="s">
        <v>436</v>
      </c>
      <c r="B136" s="0" t="s">
        <v>138</v>
      </c>
      <c r="C136" s="22" t="n">
        <f aca="false">a25_ic</f>
        <v>63.1123</v>
      </c>
      <c r="D136" s="22" t="n">
        <f aca="false">a26_ic</f>
        <v>63.8838329806349</v>
      </c>
      <c r="E136" s="22" t="n">
        <f aca="false">D136*(1+g_ic27)</f>
        <v>63.8838329806349</v>
      </c>
      <c r="F136" s="22" t="n">
        <f aca="false">E136*(1+g_ic28)</f>
        <v>63.8838329806349</v>
      </c>
      <c r="G136" s="22" t="n">
        <f aca="false">F136*(1+g_ic29)</f>
        <v>63.8838329806349</v>
      </c>
    </row>
    <row r="137" customFormat="false" ht="17.15" hidden="false" customHeight="false" outlineLevel="0" collapsed="false">
      <c r="A137" s="4" t="s">
        <v>517</v>
      </c>
      <c r="B137" s="0" t="s">
        <v>138</v>
      </c>
      <c r="C137" s="22" t="n">
        <f aca="false">C133+C135+C136</f>
        <v>131.20715</v>
      </c>
      <c r="D137" s="22" t="n">
        <f aca="false">D133+D135+D136</f>
        <v>146.7847143</v>
      </c>
      <c r="E137" s="22" t="n">
        <f aca="false">E133+E135+E136</f>
        <v>150.929758365968</v>
      </c>
      <c r="F137" s="22" t="n">
        <f aca="false">F133+F135+F136</f>
        <v>155.282054635235</v>
      </c>
      <c r="G137" s="22" t="n">
        <f aca="false">G133+G135+G136</f>
        <v>159.851965717965</v>
      </c>
    </row>
    <row r="138" customFormat="false" ht="17.15" hidden="false" customHeight="false" outlineLevel="0" collapsed="false">
      <c r="A138" s="4" t="s">
        <v>383</v>
      </c>
      <c r="B138" s="0" t="s">
        <v>138</v>
      </c>
      <c r="C138" s="22" t="n">
        <f aca="false">C134+C135+C136</f>
        <v>166.085</v>
      </c>
      <c r="D138" s="22" t="n">
        <f aca="false">D134+D135+D136</f>
        <v>212.73147</v>
      </c>
      <c r="E138" s="22" t="n">
        <f aca="false">E134+E135+E136</f>
        <v>307.426813233141</v>
      </c>
      <c r="F138" s="22" t="n">
        <f aca="false">F134+F135+F136</f>
        <v>335.14503666436</v>
      </c>
      <c r="G138" s="22" t="n">
        <f aca="false">G134+G135+G136</f>
        <v>390.355884808945</v>
      </c>
      <c r="H138" s="24" t="n">
        <f aca="false">G138*(1+H140)</f>
        <v>438.431381645786</v>
      </c>
      <c r="I138" s="24" t="n">
        <f aca="false">H138*(1+I140)</f>
        <v>474.198201597232</v>
      </c>
      <c r="J138" s="24" t="n">
        <f aca="false">I138*(1+J140)</f>
        <v>493.166129661121</v>
      </c>
      <c r="K138" s="8" t="s">
        <v>518</v>
      </c>
    </row>
    <row r="139" customFormat="false" ht="17.15" hidden="false" customHeight="false" outlineLevel="0" collapsed="false">
      <c r="A139" s="4" t="s">
        <v>519</v>
      </c>
      <c r="B139" s="0" t="s">
        <v>138</v>
      </c>
      <c r="C139" s="28" t="n">
        <f aca="false">C138-a25_rev</f>
        <v>0</v>
      </c>
      <c r="D139" s="28" t="n">
        <f aca="false">D138-a26_rev</f>
        <v>0</v>
      </c>
    </row>
    <row r="140" customFormat="false" ht="15" hidden="false" customHeight="false" outlineLevel="0" collapsed="false">
      <c r="A140" s="4" t="s">
        <v>520</v>
      </c>
      <c r="B140" s="0" t="s">
        <v>53</v>
      </c>
      <c r="D140" s="17" t="n">
        <f aca="false">D138/C138-1</f>
        <v>0.280859017972725</v>
      </c>
      <c r="E140" s="17" t="n">
        <f aca="false">E138/D138-1</f>
        <v>0.445140266426689</v>
      </c>
      <c r="F140" s="17" t="n">
        <f aca="false">F138/E138-1</f>
        <v>0.0901620230835185</v>
      </c>
      <c r="G140" s="17" t="n">
        <f aca="false">G138/F138-1</f>
        <v>0.164737179741908</v>
      </c>
      <c r="H140" s="25" t="n">
        <f aca="false">$G140+(fade_gB-$G140)*1/3</f>
        <v>0.123158119827938</v>
      </c>
      <c r="I140" s="25" t="n">
        <f aca="false">$G140+(fade_gB-$G140)*2/3</f>
        <v>0.0815790599139692</v>
      </c>
      <c r="J140" s="25" t="n">
        <f aca="false">$G140+(fade_gB-$G140)*3/3</f>
        <v>0.04</v>
      </c>
    </row>
    <row r="141" customFormat="false" ht="17.15" hidden="false" customHeight="false" outlineLevel="0" collapsed="false">
      <c r="A141" s="0" t="s">
        <v>521</v>
      </c>
      <c r="B141" s="0" t="s">
        <v>53</v>
      </c>
      <c r="C141" s="17" t="n">
        <f aca="false">C131/C138</f>
        <v>0.21</v>
      </c>
      <c r="D141" s="17" t="n">
        <f aca="false">D131/D138</f>
        <v>0.31</v>
      </c>
      <c r="E141" s="17" t="n">
        <f aca="false">E131/E138</f>
        <v>0.509054669699521</v>
      </c>
      <c r="F141" s="17" t="n">
        <f aca="false">F131/F138</f>
        <v>0.53667207433316</v>
      </c>
      <c r="G141" s="17" t="n">
        <f aca="false">G131/G138</f>
        <v>0.590496846752541</v>
      </c>
    </row>
    <row r="142" customFormat="false" ht="17.15" hidden="false" customHeight="false" outlineLevel="0" collapsed="false">
      <c r="A142" s="4" t="s">
        <v>470</v>
      </c>
      <c r="B142" s="0" t="s">
        <v>471</v>
      </c>
      <c r="D142" s="21" t="n">
        <f aca="false">D131/fx/D123*1000</f>
        <v>88.0716581635229</v>
      </c>
      <c r="E142" s="21" t="n">
        <f aca="false">E131/fx/E123*1000</f>
        <v>117.428877551364</v>
      </c>
      <c r="F142" s="21" t="n">
        <f aca="false">F131/fx/F123*1000</f>
        <v>133.086061224879</v>
      </c>
      <c r="G142" s="21" t="n">
        <f aca="false">G131/fx/G123*1000</f>
        <v>140.914653061637</v>
      </c>
    </row>
    <row r="143" customFormat="false" ht="17.15" hidden="false" customHeight="false" outlineLevel="0" collapsed="false">
      <c r="A143" s="6" t="s">
        <v>522</v>
      </c>
    </row>
    <row r="144" customFormat="false" ht="17.15" hidden="false" customHeight="false" outlineLevel="0" collapsed="false">
      <c r="A144" s="4" t="s">
        <v>523</v>
      </c>
      <c r="B144" s="0" t="s">
        <v>53</v>
      </c>
      <c r="D144" s="17" t="n">
        <f aca="false">a26_gp/D138-d_ai*D141</f>
        <v>0.216982337009188</v>
      </c>
      <c r="K144" s="8" t="s">
        <v>524</v>
      </c>
    </row>
    <row r="145" customFormat="false" ht="17.15" hidden="false" customHeight="false" outlineLevel="0" collapsed="false">
      <c r="A145" s="0" t="s">
        <v>525</v>
      </c>
      <c r="B145" s="0" t="s">
        <v>53</v>
      </c>
      <c r="D145" s="17" t="n">
        <f aca="false">D144+d_ai</f>
        <v>0.336982337009188</v>
      </c>
      <c r="E145" s="17" t="n">
        <f aca="false">$D$145+gmu_27</f>
        <v>0.336982337009188</v>
      </c>
      <c r="F145" s="17" t="n">
        <f aca="false">$D$145+gmu_28</f>
        <v>0.336982337009188</v>
      </c>
      <c r="G145" s="17" t="n">
        <f aca="false">$D$145+gmu_29</f>
        <v>0.336982337009188</v>
      </c>
      <c r="K145" s="4" t="s">
        <v>526</v>
      </c>
    </row>
    <row r="146" customFormat="false" ht="15" hidden="false" customHeight="false" outlineLevel="0" collapsed="false">
      <c r="A146" s="4" t="s">
        <v>387</v>
      </c>
      <c r="B146" s="0" t="s">
        <v>138</v>
      </c>
      <c r="C146" s="22" t="n">
        <f aca="false">a25_gp</f>
        <v>38.039</v>
      </c>
      <c r="D146" s="22" t="n">
        <f aca="false">a26_gp</f>
        <v>54.0725822</v>
      </c>
      <c r="E146" s="22" t="n">
        <f aca="false">E131*E145+E137*$D$144</f>
        <v>85.485834978675</v>
      </c>
      <c r="F146" s="22" t="n">
        <f aca="false">F131*F145+F137*$D$144</f>
        <v>94.304111135958</v>
      </c>
      <c r="G146" s="22" t="n">
        <f aca="false">G131*G145+G137*$D$144</f>
        <v>112.360802442052</v>
      </c>
    </row>
    <row r="147" customFormat="false" ht="15" hidden="false" customHeight="false" outlineLevel="0" collapsed="false">
      <c r="A147" s="4" t="s">
        <v>390</v>
      </c>
      <c r="B147" s="0" t="s">
        <v>53</v>
      </c>
      <c r="C147" s="17" t="n">
        <f aca="false">C146/C138</f>
        <v>0.229033326308818</v>
      </c>
      <c r="D147" s="17" t="n">
        <f aca="false">D146/D138</f>
        <v>0.254182337009188</v>
      </c>
      <c r="E147" s="17" t="n">
        <f aca="false">E146/E138</f>
        <v>0.278068897373131</v>
      </c>
      <c r="F147" s="17" t="n">
        <f aca="false">F146/F138</f>
        <v>0.281382985929168</v>
      </c>
      <c r="G147" s="17" t="n">
        <f aca="false">G146/G138</f>
        <v>0.287841958619493</v>
      </c>
    </row>
    <row r="148" customFormat="false" ht="15" hidden="false" customHeight="false" outlineLevel="0" collapsed="false">
      <c r="A148" s="4" t="s">
        <v>527</v>
      </c>
      <c r="B148" s="0" t="s">
        <v>138</v>
      </c>
      <c r="C148" s="22" t="n">
        <f aca="false">a25_opx</f>
        <v>21.301</v>
      </c>
      <c r="D148" s="22" t="n">
        <f aca="false">a26_opx</f>
        <v>25.21033346</v>
      </c>
      <c r="E148" s="22" t="n">
        <f aca="false">D148*(1+MAX(0,phi*E140))</f>
        <v>33.0658276471631</v>
      </c>
      <c r="F148" s="22" t="n">
        <f aca="false">E148*(1+MAX(0,phi*F140))</f>
        <v>35.1527249880825</v>
      </c>
      <c r="G148" s="22" t="n">
        <f aca="false">F148*(1+MAX(0,phi*G140))</f>
        <v>39.2063975304282</v>
      </c>
    </row>
    <row r="149" customFormat="false" ht="15" hidden="false" customHeight="false" outlineLevel="0" collapsed="false">
      <c r="A149" s="4" t="s">
        <v>392</v>
      </c>
      <c r="B149" s="0" t="s">
        <v>138</v>
      </c>
      <c r="C149" s="22" t="n">
        <f aca="false">C148</f>
        <v>21.301</v>
      </c>
      <c r="D149" s="22" t="n">
        <f aca="false">D148</f>
        <v>25.21033346</v>
      </c>
      <c r="E149" s="22" t="n">
        <f aca="false">E148+0*E138</f>
        <v>33.0658276471631</v>
      </c>
      <c r="F149" s="22" t="n">
        <f aca="false">F148+0*F138</f>
        <v>35.1527249880825</v>
      </c>
      <c r="G149" s="22" t="n">
        <f aca="false">G148+0*G138</f>
        <v>39.2063975304282</v>
      </c>
    </row>
    <row r="150" customFormat="false" ht="15" hidden="false" customHeight="false" outlineLevel="0" collapsed="false">
      <c r="A150" s="4" t="s">
        <v>395</v>
      </c>
      <c r="B150" s="0" t="s">
        <v>138</v>
      </c>
      <c r="C150" s="22" t="n">
        <f aca="false">C146-C149</f>
        <v>16.738</v>
      </c>
      <c r="D150" s="22" t="n">
        <f aca="false">D146-D149</f>
        <v>28.86224874</v>
      </c>
      <c r="E150" s="22" t="n">
        <f aca="false">E146-E149</f>
        <v>52.4200073315119</v>
      </c>
      <c r="F150" s="22" t="n">
        <f aca="false">F146-F149</f>
        <v>59.1513861478755</v>
      </c>
      <c r="G150" s="22" t="n">
        <f aca="false">G146-G149</f>
        <v>73.1544049116238</v>
      </c>
    </row>
    <row r="151" customFormat="false" ht="15" hidden="false" customHeight="false" outlineLevel="0" collapsed="false">
      <c r="A151" s="4" t="s">
        <v>397</v>
      </c>
      <c r="B151" s="0" t="s">
        <v>53</v>
      </c>
      <c r="C151" s="17" t="n">
        <f aca="false">C150/C138</f>
        <v>0.100779721227083</v>
      </c>
      <c r="D151" s="17" t="n">
        <f aca="false">D150/D138</f>
        <v>0.135674560703219</v>
      </c>
      <c r="E151" s="17" t="n">
        <f aca="false">E150/E138</f>
        <v>0.170512151429545</v>
      </c>
      <c r="F151" s="17" t="n">
        <f aca="false">F150/F138</f>
        <v>0.176494889307026</v>
      </c>
      <c r="G151" s="17" t="n">
        <f aca="false">G150/G138</f>
        <v>0.187404385993639</v>
      </c>
    </row>
    <row r="152" customFormat="false" ht="15" hidden="false" customHeight="false" outlineLevel="0" collapsed="false">
      <c r="A152" s="4" t="s">
        <v>399</v>
      </c>
      <c r="B152" s="0" t="s">
        <v>138</v>
      </c>
      <c r="C152" s="22" t="n">
        <f aca="false">a25_nop</f>
        <v>2.9762895</v>
      </c>
      <c r="D152" s="22" t="n">
        <f aca="false">a26_nop</f>
        <v>3.839</v>
      </c>
      <c r="E152" s="22" t="n">
        <f aca="false">nop_f</f>
        <v>3.5</v>
      </c>
      <c r="F152" s="22" t="n">
        <f aca="false">nop_f</f>
        <v>3.5</v>
      </c>
      <c r="G152" s="22" t="n">
        <f aca="false">nop_f</f>
        <v>3.5</v>
      </c>
    </row>
    <row r="153" customFormat="false" ht="17.15" hidden="false" customHeight="false" outlineLevel="0" collapsed="false">
      <c r="A153" s="4" t="s">
        <v>528</v>
      </c>
      <c r="B153" s="0" t="s">
        <v>53</v>
      </c>
      <c r="C153" s="17" t="n">
        <f aca="false">a25_ni/a25_pt</f>
        <v>0.766753475949514</v>
      </c>
      <c r="D153" s="17" t="n">
        <f aca="false">a26_ni/a26_pt</f>
        <v>0.759431002022174</v>
      </c>
      <c r="E153" s="17" t="n">
        <f aca="false">nir_f</f>
        <v>0.76</v>
      </c>
      <c r="F153" s="17" t="n">
        <f aca="false">nir_f</f>
        <v>0.76</v>
      </c>
      <c r="G153" s="17" t="n">
        <f aca="false">nir_f</f>
        <v>0.76</v>
      </c>
    </row>
    <row r="154" customFormat="false" ht="15" hidden="false" customHeight="false" outlineLevel="0" collapsed="false">
      <c r="A154" s="4" t="s">
        <v>404</v>
      </c>
      <c r="B154" s="0" t="s">
        <v>138</v>
      </c>
      <c r="C154" s="22" t="n">
        <f aca="false">a25_ni</f>
        <v>15.116</v>
      </c>
      <c r="D154" s="22" t="n">
        <f aca="false">a26_ni</f>
        <v>24.8343420979946</v>
      </c>
      <c r="E154" s="22" t="n">
        <f aca="false">(E150+E152)*E153</f>
        <v>42.4992055719491</v>
      </c>
      <c r="F154" s="22" t="n">
        <f aca="false">(F150+F152)*F153</f>
        <v>47.6150534723854</v>
      </c>
      <c r="G154" s="22" t="n">
        <f aca="false">(G150+G152)*G153</f>
        <v>58.2573477328341</v>
      </c>
      <c r="H154" s="24" t="n">
        <f aca="false">H138*H158</f>
        <v>59.2779790272452</v>
      </c>
      <c r="I154" s="24" t="n">
        <f aca="false">I138*I158</f>
        <v>57.4575300774806</v>
      </c>
      <c r="J154" s="24" t="n">
        <f aca="false">J138*J158</f>
        <v>52.8332888980764</v>
      </c>
    </row>
    <row r="155" customFormat="false" ht="15" hidden="false" customHeight="false" outlineLevel="0" collapsed="false">
      <c r="A155" s="4" t="s">
        <v>529</v>
      </c>
      <c r="B155" s="4" t="s">
        <v>231</v>
      </c>
      <c r="C155" s="27" t="n">
        <f aca="false">a25_sh</f>
        <v>2.27650602409639</v>
      </c>
      <c r="D155" s="27" t="n">
        <f aca="false">a26_sh</f>
        <v>2.26895833333333</v>
      </c>
      <c r="E155" s="27" t="n">
        <f aca="false">D155*(1+sh_g)</f>
        <v>2.26895833333333</v>
      </c>
      <c r="F155" s="27" t="n">
        <f aca="false">E155*(1+sh_g)</f>
        <v>2.26895833333333</v>
      </c>
      <c r="G155" s="27" t="n">
        <f aca="false">F155*(1+sh_g)</f>
        <v>2.26895833333333</v>
      </c>
      <c r="H155" s="29" t="n">
        <f aca="false">G155*(1+sh_g)</f>
        <v>2.26895833333333</v>
      </c>
      <c r="I155" s="29" t="n">
        <f aca="false">H155*(1+sh_g)</f>
        <v>2.26895833333333</v>
      </c>
      <c r="J155" s="29" t="n">
        <f aca="false">I155*(1+sh_g)</f>
        <v>2.26895833333333</v>
      </c>
    </row>
    <row r="156" customFormat="false" ht="15" hidden="false" customHeight="false" outlineLevel="0" collapsed="false">
      <c r="A156" s="0" t="s">
        <v>410</v>
      </c>
      <c r="B156" s="0" t="s">
        <v>264</v>
      </c>
      <c r="C156" s="23" t="n">
        <f aca="false">C154/C155</f>
        <v>6.64</v>
      </c>
      <c r="D156" s="23" t="n">
        <f aca="false">D154/D155</f>
        <v>10.9452614149641</v>
      </c>
      <c r="E156" s="23" t="n">
        <f aca="false">E154/E155</f>
        <v>18.7307122160826</v>
      </c>
      <c r="F156" s="23" t="n">
        <f aca="false">F154/F155</f>
        <v>20.9854243565742</v>
      </c>
      <c r="G156" s="23" t="n">
        <f aca="false">G154/G155</f>
        <v>25.6758120574423</v>
      </c>
      <c r="H156" s="30" t="n">
        <f aca="false">H154/H155</f>
        <v>26.1256357846641</v>
      </c>
      <c r="I156" s="30" t="n">
        <f aca="false">I154/I155</f>
        <v>25.3233077193928</v>
      </c>
      <c r="J156" s="30" t="n">
        <f aca="false">J154/J155</f>
        <v>23.28526184104</v>
      </c>
    </row>
    <row r="157" customFormat="false" ht="17.15" hidden="false" customHeight="false" outlineLevel="0" collapsed="false">
      <c r="A157" s="0" t="s">
        <v>530</v>
      </c>
      <c r="B157" s="0" t="s">
        <v>53</v>
      </c>
      <c r="D157" s="17" t="n">
        <f aca="false">D156/C156-1</f>
        <v>0.648382743217484</v>
      </c>
      <c r="E157" s="17" t="n">
        <f aca="false">E156/D156-1</f>
        <v>0.711307889866789</v>
      </c>
      <c r="F157" s="17" t="n">
        <f aca="false">F156/E156-1</f>
        <v>0.120375141878251</v>
      </c>
      <c r="G157" s="17" t="n">
        <f aca="false">G156/F156-1</f>
        <v>0.223506926577764</v>
      </c>
      <c r="H157" s="25" t="n">
        <f aca="false">H156/G156-1</f>
        <v>0.0175193573708781</v>
      </c>
      <c r="I157" s="25" t="n">
        <f aca="false">I156/H156-1</f>
        <v>-0.0307103747401343</v>
      </c>
      <c r="J157" s="25" t="n">
        <f aca="false">J156/I156-1</f>
        <v>-0.0804810296086254</v>
      </c>
    </row>
    <row r="158" customFormat="false" ht="17.15" hidden="false" customHeight="false" outlineLevel="0" collapsed="false">
      <c r="A158" s="4" t="s">
        <v>531</v>
      </c>
      <c r="B158" s="0" t="s">
        <v>53</v>
      </c>
      <c r="C158" s="17" t="n">
        <f aca="false">C154/C138</f>
        <v>0.0910136375952073</v>
      </c>
      <c r="D158" s="17" t="n">
        <f aca="false">D154/D138</f>
        <v>0.116740330417472</v>
      </c>
      <c r="E158" s="17" t="n">
        <f aca="false">E154/E138</f>
        <v>0.138241700927106</v>
      </c>
      <c r="F158" s="17" t="n">
        <f aca="false">F154/F138</f>
        <v>0.142072978153845</v>
      </c>
      <c r="G158" s="17" t="n">
        <f aca="false">G154/G138</f>
        <v>0.149241627960463</v>
      </c>
      <c r="H158" s="25" t="n">
        <f aca="false">$G158+(fade_mB-$G158)*1/3</f>
        <v>0.135204689967053</v>
      </c>
      <c r="I158" s="25" t="n">
        <f aca="false">$G158+(fade_mB-$G158)*2/3</f>
        <v>0.121167751973642</v>
      </c>
      <c r="J158" s="25" t="n">
        <f aca="false">$G158+(fade_mB-$G158)*3/3</f>
        <v>0.107130813980232</v>
      </c>
    </row>
    <row r="161" customFormat="false" ht="17.15" hidden="false" customHeight="false" outlineLevel="0" collapsed="false">
      <c r="A161" s="1" t="s">
        <v>533</v>
      </c>
    </row>
    <row r="162" customFormat="false" ht="17.15" hidden="false" customHeight="false" outlineLevel="0" collapsed="false">
      <c r="A162" s="5" t="s">
        <v>22</v>
      </c>
      <c r="B162" s="5" t="s">
        <v>23</v>
      </c>
      <c r="C162" s="14" t="s">
        <v>378</v>
      </c>
      <c r="D162" s="14" t="s">
        <v>476</v>
      </c>
      <c r="E162" s="14" t="s">
        <v>477</v>
      </c>
      <c r="F162" s="14" t="s">
        <v>478</v>
      </c>
      <c r="G162" s="14" t="s">
        <v>479</v>
      </c>
      <c r="H162" s="14" t="s">
        <v>480</v>
      </c>
      <c r="I162" s="14" t="s">
        <v>481</v>
      </c>
      <c r="J162" s="14" t="s">
        <v>482</v>
      </c>
      <c r="K162" s="5" t="s">
        <v>449</v>
      </c>
    </row>
    <row r="163" customFormat="false" ht="17.15" hidden="false" customHeight="false" outlineLevel="0" collapsed="false">
      <c r="A163" s="6" t="s">
        <v>501</v>
      </c>
    </row>
    <row r="164" customFormat="false" ht="17.15" hidden="false" customHeight="false" outlineLevel="0" collapsed="false">
      <c r="A164" s="0" t="s">
        <v>502</v>
      </c>
      <c r="B164" s="0" t="s">
        <v>33</v>
      </c>
      <c r="D164" s="23" t="n">
        <f aca="false">itc_26*1</f>
        <v>781.872916666666</v>
      </c>
      <c r="E164" s="23" t="n">
        <f aca="false">itc_27*1*1</f>
        <v>1565.35</v>
      </c>
      <c r="F164" s="23" t="n">
        <f aca="false">itc_28*um28_C*1</f>
        <v>1190.55833333333</v>
      </c>
      <c r="G164" s="23" t="n">
        <f aca="false">itc_29*um29_C*1</f>
        <v>1356.23416666667</v>
      </c>
    </row>
    <row r="165" customFormat="false" ht="17.15" hidden="false" customHeight="false" outlineLevel="0" collapsed="false">
      <c r="A165" s="4" t="s">
        <v>503</v>
      </c>
      <c r="B165" s="0" t="s">
        <v>33</v>
      </c>
      <c r="D165" s="23" t="n">
        <f aca="false">itpg_gb*(1-vr26)+itpg_vr*vr26</f>
        <v>33.41403216</v>
      </c>
      <c r="E165" s="23" t="n">
        <f aca="false">itpg_vr</f>
        <v>37.586352</v>
      </c>
      <c r="F165" s="23" t="n">
        <f aca="false">itpg_vr</f>
        <v>37.586352</v>
      </c>
      <c r="G165" s="23" t="n">
        <f aca="false">itpg_vr</f>
        <v>37.586352</v>
      </c>
    </row>
    <row r="166" customFormat="false" ht="17.15" hidden="false" customHeight="false" outlineLevel="0" collapsed="false">
      <c r="A166" s="4" t="s">
        <v>504</v>
      </c>
      <c r="B166" s="0" t="s">
        <v>451</v>
      </c>
      <c r="D166" s="20" t="n">
        <f aca="false">D164/D165</f>
        <v>23.3995380420639</v>
      </c>
      <c r="E166" s="20" t="n">
        <f aca="false">E164/E165</f>
        <v>41.6467658260637</v>
      </c>
      <c r="F166" s="20" t="n">
        <f aca="false">F164/F165</f>
        <v>31.6752829147488</v>
      </c>
      <c r="G166" s="20" t="n">
        <f aca="false">G164/G165</f>
        <v>36.0831550416669</v>
      </c>
    </row>
    <row r="167" customFormat="false" ht="17.15" hidden="false" customHeight="false" outlineLevel="0" collapsed="false">
      <c r="A167" s="0" t="s">
        <v>453</v>
      </c>
      <c r="B167" s="0" t="s">
        <v>91</v>
      </c>
      <c r="D167" s="21" t="n">
        <f aca="false">pkw_26</f>
        <v>450</v>
      </c>
      <c r="E167" s="21" t="n">
        <f aca="false">pkw_27</f>
        <v>600</v>
      </c>
      <c r="F167" s="21" t="n">
        <f aca="false">pkw_28</f>
        <v>680</v>
      </c>
      <c r="G167" s="21" t="n">
        <f aca="false">pkw_29</f>
        <v>720</v>
      </c>
    </row>
    <row r="168" customFormat="false" ht="17.15" hidden="false" customHeight="false" outlineLevel="0" collapsed="false">
      <c r="A168" s="0" t="s">
        <v>505</v>
      </c>
      <c r="B168" s="0" t="s">
        <v>33</v>
      </c>
      <c r="D168" s="23" t="n">
        <f aca="false">D166*D167/1000</f>
        <v>10.5297921189287</v>
      </c>
      <c r="E168" s="23" t="n">
        <f aca="false">E166*E167/1000</f>
        <v>24.9880594956382</v>
      </c>
      <c r="F168" s="23" t="n">
        <f aca="false">F166*F167/1000</f>
        <v>21.5391923820292</v>
      </c>
      <c r="G168" s="23" t="n">
        <f aca="false">G166*G167/1000</f>
        <v>25.9798716300002</v>
      </c>
    </row>
    <row r="169" customFormat="false" ht="17.15" hidden="false" customHeight="false" outlineLevel="0" collapsed="false">
      <c r="A169" s="0" t="s">
        <v>506</v>
      </c>
      <c r="B169" s="0" t="s">
        <v>138</v>
      </c>
      <c r="D169" s="22" t="n">
        <f aca="false">D168*fx</f>
        <v>336.95334780572</v>
      </c>
      <c r="E169" s="22" t="n">
        <f aca="false">E168*fx</f>
        <v>799.617903860422</v>
      </c>
      <c r="F169" s="22" t="n">
        <f aca="false">F168*fx</f>
        <v>689.254156224934</v>
      </c>
      <c r="G169" s="22" t="n">
        <f aca="false">G168*fx</f>
        <v>831.355892160006</v>
      </c>
    </row>
    <row r="170" customFormat="false" ht="17.15" hidden="false" customHeight="false" outlineLevel="0" collapsed="false">
      <c r="A170" s="4" t="s">
        <v>507</v>
      </c>
      <c r="B170" s="0" t="s">
        <v>53</v>
      </c>
      <c r="D170" s="17" t="n">
        <f aca="false">a26_aip/D169</f>
        <v>0.176143316327046</v>
      </c>
      <c r="K170" s="8" t="s">
        <v>508</v>
      </c>
    </row>
    <row r="171" customFormat="false" ht="17.15" hidden="false" customHeight="false" outlineLevel="0" collapsed="false">
      <c r="A171" s="4" t="s">
        <v>509</v>
      </c>
      <c r="B171" s="0" t="s">
        <v>64</v>
      </c>
      <c r="D171" s="18" t="n">
        <f aca="false">1</f>
        <v>1</v>
      </c>
      <c r="E171" s="18" t="n">
        <f aca="false">RLO_27</f>
        <v>0.85</v>
      </c>
      <c r="F171" s="18" t="n">
        <f aca="false">RLO_28</f>
        <v>0.8</v>
      </c>
      <c r="G171" s="18" t="n">
        <f aca="false">RLO_29</f>
        <v>0.75</v>
      </c>
    </row>
    <row r="172" customFormat="false" ht="15" hidden="false" customHeight="false" outlineLevel="0" collapsed="false">
      <c r="A172" s="4" t="s">
        <v>459</v>
      </c>
      <c r="B172" s="0" t="s">
        <v>53</v>
      </c>
      <c r="D172" s="17" t="n">
        <f aca="false">$D$170*D171</f>
        <v>0.176143316327046</v>
      </c>
      <c r="E172" s="17" t="n">
        <f aca="false">$D$170*E171</f>
        <v>0.149721818877989</v>
      </c>
      <c r="F172" s="17" t="n">
        <f aca="false">$D$170*F171</f>
        <v>0.140914653061637</v>
      </c>
      <c r="G172" s="17" t="n">
        <f aca="false">$D$170*G171</f>
        <v>0.132107487245284</v>
      </c>
    </row>
    <row r="173" customFormat="false" ht="17.15" hidden="false" customHeight="false" outlineLevel="0" collapsed="false">
      <c r="A173" s="0" t="s">
        <v>510</v>
      </c>
      <c r="B173" s="0" t="s">
        <v>138</v>
      </c>
      <c r="C173" s="22" t="n">
        <f aca="false">a25_aip</f>
        <v>31.390065</v>
      </c>
      <c r="D173" s="22" t="n">
        <f aca="false">D169*D172</f>
        <v>59.35208013</v>
      </c>
      <c r="E173" s="22" t="n">
        <f aca="false">E169*E172</f>
        <v>119.720246973387</v>
      </c>
      <c r="F173" s="22" t="n">
        <f aca="false">F169*F172</f>
        <v>97.1260102957276</v>
      </c>
      <c r="G173" s="22" t="n">
        <f aca="false">G169*G172</f>
        <v>109.82833791982</v>
      </c>
    </row>
    <row r="174" customFormat="false" ht="17.15" hidden="false" customHeight="false" outlineLevel="0" collapsed="false">
      <c r="A174" s="0" t="s">
        <v>511</v>
      </c>
      <c r="B174" s="0" t="s">
        <v>138</v>
      </c>
      <c r="C174" s="22" t="n">
        <f aca="false">a25_ai</f>
        <v>34.87785</v>
      </c>
      <c r="D174" s="22" t="n">
        <f aca="false">D173/(1-x_np)</f>
        <v>65.9467557</v>
      </c>
      <c r="E174" s="22" t="n">
        <f aca="false">E173/(1-x_np)</f>
        <v>133.022496637097</v>
      </c>
      <c r="F174" s="22" t="n">
        <f aca="false">F173/(1-x_np)</f>
        <v>107.917789217475</v>
      </c>
      <c r="G174" s="22" t="n">
        <f aca="false">G173/(1-x_np)</f>
        <v>122.031486577578</v>
      </c>
      <c r="K174" s="4" t="s">
        <v>512</v>
      </c>
    </row>
    <row r="175" customFormat="false" ht="17.15" hidden="false" customHeight="false" outlineLevel="0" collapsed="false">
      <c r="A175" s="6" t="s">
        <v>513</v>
      </c>
    </row>
    <row r="176" customFormat="false" ht="17.15" hidden="false" customHeight="false" outlineLevel="0" collapsed="false">
      <c r="A176" s="4" t="s">
        <v>514</v>
      </c>
      <c r="B176" s="0" t="s">
        <v>138</v>
      </c>
      <c r="C176" s="22" t="n">
        <f aca="false">a25_cn</f>
        <v>39.8604</v>
      </c>
      <c r="D176" s="22" t="n">
        <f aca="false">a26_cn</f>
        <v>50.0315607365079</v>
      </c>
      <c r="E176" s="22" t="n">
        <f aca="false">D176*(1+g_cn27)</f>
        <v>52.5331387733333</v>
      </c>
      <c r="F176" s="22" t="n">
        <f aca="false">E176*(1+g_cn28)</f>
        <v>55.159795712</v>
      </c>
      <c r="G176" s="22" t="n">
        <f aca="false">F176*(1+g_cn29)</f>
        <v>57.9177854976</v>
      </c>
      <c r="K176" s="4" t="s">
        <v>515</v>
      </c>
    </row>
    <row r="177" customFormat="false" ht="17.15" hidden="false" customHeight="false" outlineLevel="0" collapsed="false">
      <c r="A177" s="4" t="s">
        <v>431</v>
      </c>
      <c r="B177" s="0" t="s">
        <v>138</v>
      </c>
      <c r="C177" s="22" t="n">
        <f aca="false">C174+C176</f>
        <v>74.73825</v>
      </c>
      <c r="D177" s="22" t="n">
        <f aca="false">D174+D176</f>
        <v>115.978316436508</v>
      </c>
      <c r="E177" s="22" t="n">
        <f aca="false">E174+E176</f>
        <v>185.55563541043</v>
      </c>
      <c r="F177" s="22" t="n">
        <f aca="false">F174+F176</f>
        <v>163.077584929475</v>
      </c>
      <c r="G177" s="22" t="n">
        <f aca="false">G174+G176</f>
        <v>179.949272075178</v>
      </c>
      <c r="K177" s="4" t="s">
        <v>516</v>
      </c>
    </row>
    <row r="178" customFormat="false" ht="15" hidden="false" customHeight="false" outlineLevel="0" collapsed="false">
      <c r="A178" s="4" t="s">
        <v>435</v>
      </c>
      <c r="B178" s="0" t="s">
        <v>138</v>
      </c>
      <c r="C178" s="22" t="n">
        <f aca="false">a25_op</f>
        <v>28.23445</v>
      </c>
      <c r="D178" s="22" t="n">
        <f aca="false">a26_op</f>
        <v>32.8693205828571</v>
      </c>
      <c r="E178" s="22" t="n">
        <f aca="false">D178*(1+g_op27)</f>
        <v>34.512786612</v>
      </c>
      <c r="F178" s="22" t="n">
        <f aca="false">E178*(1+g_op28)</f>
        <v>36.2384259426</v>
      </c>
      <c r="G178" s="22" t="n">
        <f aca="false">F178*(1+g_op29)</f>
        <v>38.05034723973</v>
      </c>
    </row>
    <row r="179" customFormat="false" ht="15" hidden="false" customHeight="false" outlineLevel="0" collapsed="false">
      <c r="A179" s="4" t="s">
        <v>436</v>
      </c>
      <c r="B179" s="0" t="s">
        <v>138</v>
      </c>
      <c r="C179" s="22" t="n">
        <f aca="false">a25_ic</f>
        <v>63.1123</v>
      </c>
      <c r="D179" s="22" t="n">
        <f aca="false">a26_ic</f>
        <v>63.8838329806349</v>
      </c>
      <c r="E179" s="22" t="n">
        <f aca="false">D179*(1+g_ic27)</f>
        <v>63.8838329806349</v>
      </c>
      <c r="F179" s="22" t="n">
        <f aca="false">E179*(1+g_ic28)</f>
        <v>63.8838329806349</v>
      </c>
      <c r="G179" s="22" t="n">
        <f aca="false">F179*(1+g_ic29)</f>
        <v>63.8838329806349</v>
      </c>
    </row>
    <row r="180" customFormat="false" ht="17.15" hidden="false" customHeight="false" outlineLevel="0" collapsed="false">
      <c r="A180" s="4" t="s">
        <v>517</v>
      </c>
      <c r="B180" s="0" t="s">
        <v>138</v>
      </c>
      <c r="C180" s="22" t="n">
        <f aca="false">C176+C178+C179</f>
        <v>131.20715</v>
      </c>
      <c r="D180" s="22" t="n">
        <f aca="false">D176+D178+D179</f>
        <v>146.7847143</v>
      </c>
      <c r="E180" s="22" t="n">
        <f aca="false">E176+E178+E179</f>
        <v>150.929758365968</v>
      </c>
      <c r="F180" s="22" t="n">
        <f aca="false">F176+F178+F179</f>
        <v>155.282054635235</v>
      </c>
      <c r="G180" s="22" t="n">
        <f aca="false">G176+G178+G179</f>
        <v>159.851965717965</v>
      </c>
    </row>
    <row r="181" customFormat="false" ht="17.15" hidden="false" customHeight="false" outlineLevel="0" collapsed="false">
      <c r="A181" s="4" t="s">
        <v>383</v>
      </c>
      <c r="B181" s="0" t="s">
        <v>138</v>
      </c>
      <c r="C181" s="22" t="n">
        <f aca="false">C177+C178+C179</f>
        <v>166.085</v>
      </c>
      <c r="D181" s="22" t="n">
        <f aca="false">D177+D178+D179</f>
        <v>212.73147</v>
      </c>
      <c r="E181" s="22" t="n">
        <f aca="false">E177+E178+E179</f>
        <v>283.952255003065</v>
      </c>
      <c r="F181" s="22" t="n">
        <f aca="false">F177+F178+F179</f>
        <v>263.19984385271</v>
      </c>
      <c r="G181" s="22" t="n">
        <f aca="false">G177+G178+G179</f>
        <v>281.883452295543</v>
      </c>
      <c r="H181" s="24" t="n">
        <f aca="false">G181*(1+H183)</f>
        <v>297.102602295887</v>
      </c>
      <c r="I181" s="24" t="n">
        <f aca="false">H181*(1+I183)</f>
        <v>308.094051357181</v>
      </c>
      <c r="J181" s="24" t="n">
        <f aca="false">I181*(1+J183)</f>
        <v>314.255932384325</v>
      </c>
      <c r="K181" s="8" t="s">
        <v>518</v>
      </c>
    </row>
    <row r="182" customFormat="false" ht="17.15" hidden="false" customHeight="false" outlineLevel="0" collapsed="false">
      <c r="A182" s="4" t="s">
        <v>519</v>
      </c>
      <c r="B182" s="0" t="s">
        <v>138</v>
      </c>
      <c r="C182" s="28" t="n">
        <f aca="false">C181-a25_rev</f>
        <v>0</v>
      </c>
      <c r="D182" s="28" t="n">
        <f aca="false">D181-a26_rev</f>
        <v>0</v>
      </c>
    </row>
    <row r="183" customFormat="false" ht="15" hidden="false" customHeight="false" outlineLevel="0" collapsed="false">
      <c r="A183" s="4" t="s">
        <v>520</v>
      </c>
      <c r="B183" s="0" t="s">
        <v>53</v>
      </c>
      <c r="D183" s="17" t="n">
        <f aca="false">D181/C181-1</f>
        <v>0.280859017972725</v>
      </c>
      <c r="E183" s="17" t="n">
        <f aca="false">E181/D181-1</f>
        <v>0.334791956277392</v>
      </c>
      <c r="F183" s="17" t="n">
        <f aca="false">F181/E181-1</f>
        <v>-0.0730841568774694</v>
      </c>
      <c r="G183" s="17" t="n">
        <f aca="false">G181/F181-1</f>
        <v>0.0709863963798099</v>
      </c>
      <c r="H183" s="25" t="n">
        <f aca="false">$G183+(fade_gC-$G183)*1/3</f>
        <v>0.0539909309198732</v>
      </c>
      <c r="I183" s="25" t="n">
        <f aca="false">$G183+(fade_gC-$G183)*2/3</f>
        <v>0.0369954654599366</v>
      </c>
      <c r="J183" s="25" t="n">
        <f aca="false">$G183+(fade_gC-$G183)*3/3</f>
        <v>0.02</v>
      </c>
    </row>
    <row r="184" customFormat="false" ht="17.15" hidden="false" customHeight="false" outlineLevel="0" collapsed="false">
      <c r="A184" s="0" t="s">
        <v>521</v>
      </c>
      <c r="B184" s="0" t="s">
        <v>53</v>
      </c>
      <c r="C184" s="17" t="n">
        <f aca="false">C174/C181</f>
        <v>0.21</v>
      </c>
      <c r="D184" s="17" t="n">
        <f aca="false">D174/D181</f>
        <v>0.31</v>
      </c>
      <c r="E184" s="17" t="n">
        <f aca="false">E174/E181</f>
        <v>0.468467829690808</v>
      </c>
      <c r="F184" s="17" t="n">
        <f aca="false">F174/F181</f>
        <v>0.410022238758877</v>
      </c>
      <c r="G184" s="17" t="n">
        <f aca="false">G174/G181</f>
        <v>0.432914687200698</v>
      </c>
    </row>
    <row r="185" customFormat="false" ht="17.15" hidden="false" customHeight="false" outlineLevel="0" collapsed="false">
      <c r="A185" s="4" t="s">
        <v>470</v>
      </c>
      <c r="B185" s="0" t="s">
        <v>471</v>
      </c>
      <c r="D185" s="21" t="n">
        <f aca="false">D174/fx/D166*1000</f>
        <v>88.0716581635229</v>
      </c>
      <c r="E185" s="21" t="n">
        <f aca="false">E174/fx/E166*1000</f>
        <v>99.8145459186593</v>
      </c>
      <c r="F185" s="21" t="n">
        <f aca="false">F174/fx/F166*1000</f>
        <v>106.468848979903</v>
      </c>
      <c r="G185" s="21" t="n">
        <f aca="false">G174/fx/G166*1000</f>
        <v>105.685989796227</v>
      </c>
    </row>
    <row r="186" customFormat="false" ht="17.15" hidden="false" customHeight="false" outlineLevel="0" collapsed="false">
      <c r="A186" s="6" t="s">
        <v>522</v>
      </c>
    </row>
    <row r="187" customFormat="false" ht="17.15" hidden="false" customHeight="false" outlineLevel="0" collapsed="false">
      <c r="A187" s="4" t="s">
        <v>523</v>
      </c>
      <c r="B187" s="0" t="s">
        <v>53</v>
      </c>
      <c r="D187" s="17" t="n">
        <f aca="false">a26_gp/D181-d_ai*D184</f>
        <v>0.216982337009188</v>
      </c>
      <c r="K187" s="8" t="s">
        <v>524</v>
      </c>
    </row>
    <row r="188" customFormat="false" ht="17.15" hidden="false" customHeight="false" outlineLevel="0" collapsed="false">
      <c r="A188" s="0" t="s">
        <v>525</v>
      </c>
      <c r="B188" s="0" t="s">
        <v>53</v>
      </c>
      <c r="D188" s="17" t="n">
        <f aca="false">D187+d_ai</f>
        <v>0.336982337009188</v>
      </c>
      <c r="E188" s="17" t="n">
        <f aca="false">$D$188+GULO_27</f>
        <v>0.326982337009188</v>
      </c>
      <c r="F188" s="17" t="n">
        <f aca="false">$D$188+GULO_28</f>
        <v>0.321982337009188</v>
      </c>
      <c r="G188" s="17" t="n">
        <f aca="false">$D$188+GULO_29</f>
        <v>0.316982337009188</v>
      </c>
      <c r="K188" s="4" t="s">
        <v>526</v>
      </c>
    </row>
    <row r="189" customFormat="false" ht="15" hidden="false" customHeight="false" outlineLevel="0" collapsed="false">
      <c r="A189" s="4" t="s">
        <v>387</v>
      </c>
      <c r="B189" s="0" t="s">
        <v>138</v>
      </c>
      <c r="C189" s="22" t="n">
        <f aca="false">a25_gp</f>
        <v>38.039</v>
      </c>
      <c r="D189" s="22" t="n">
        <f aca="false">a26_gp</f>
        <v>54.0725822</v>
      </c>
      <c r="E189" s="22" t="n">
        <f aca="false">E174*E188+E180*$D$187</f>
        <v>76.2450985196747</v>
      </c>
      <c r="F189" s="22" t="n">
        <f aca="false">F174*F188+F180*$D$187</f>
        <v>68.4410850874493</v>
      </c>
      <c r="G189" s="22" t="n">
        <f aca="false">G174*G188+G180*$D$187</f>
        <v>73.3668789010627</v>
      </c>
    </row>
    <row r="190" customFormat="false" ht="15" hidden="false" customHeight="false" outlineLevel="0" collapsed="false">
      <c r="A190" s="4" t="s">
        <v>390</v>
      </c>
      <c r="B190" s="0" t="s">
        <v>53</v>
      </c>
      <c r="C190" s="17" t="n">
        <f aca="false">C189/C181</f>
        <v>0.229033326308818</v>
      </c>
      <c r="D190" s="17" t="n">
        <f aca="false">D189/D181</f>
        <v>0.254182337009188</v>
      </c>
      <c r="E190" s="17" t="n">
        <f aca="false">E189/E181</f>
        <v>0.268513798275177</v>
      </c>
      <c r="F190" s="17" t="n">
        <f aca="false">F189/F181</f>
        <v>0.26003467207887</v>
      </c>
      <c r="G190" s="17" t="n">
        <f aca="false">G189/G181</f>
        <v>0.260273805729258</v>
      </c>
    </row>
    <row r="191" customFormat="false" ht="15" hidden="false" customHeight="false" outlineLevel="0" collapsed="false">
      <c r="A191" s="4" t="s">
        <v>527</v>
      </c>
      <c r="B191" s="0" t="s">
        <v>138</v>
      </c>
      <c r="C191" s="22" t="n">
        <f aca="false">a25_opx</f>
        <v>21.301</v>
      </c>
      <c r="D191" s="22" t="n">
        <f aca="false">a26_opx</f>
        <v>25.21033346</v>
      </c>
      <c r="E191" s="22" t="n">
        <f aca="false">D191*(1+MAX(0,phi*E183))</f>
        <v>31.1184852602352</v>
      </c>
      <c r="F191" s="22" t="n">
        <f aca="false">E191*(1+MAX(0,phi*F183))</f>
        <v>31.1184852602352</v>
      </c>
      <c r="G191" s="22" t="n">
        <f aca="false">F191*(1+MAX(0,phi*G183))</f>
        <v>32.6647776508308</v>
      </c>
    </row>
    <row r="192" customFormat="false" ht="15" hidden="false" customHeight="false" outlineLevel="0" collapsed="false">
      <c r="A192" s="4" t="s">
        <v>392</v>
      </c>
      <c r="B192" s="0" t="s">
        <v>138</v>
      </c>
      <c r="C192" s="22" t="n">
        <f aca="false">C191</f>
        <v>21.301</v>
      </c>
      <c r="D192" s="22" t="n">
        <f aca="false">D191</f>
        <v>25.21033346</v>
      </c>
      <c r="E192" s="22" t="n">
        <f aca="false">E191+0*E181</f>
        <v>31.1184852602352</v>
      </c>
      <c r="F192" s="22" t="n">
        <f aca="false">F191+0*F181</f>
        <v>31.1184852602352</v>
      </c>
      <c r="G192" s="22" t="n">
        <f aca="false">G191+0*G181</f>
        <v>32.6647776508308</v>
      </c>
    </row>
    <row r="193" customFormat="false" ht="15" hidden="false" customHeight="false" outlineLevel="0" collapsed="false">
      <c r="A193" s="4" t="s">
        <v>395</v>
      </c>
      <c r="B193" s="0" t="s">
        <v>138</v>
      </c>
      <c r="C193" s="22" t="n">
        <f aca="false">C189-C192</f>
        <v>16.738</v>
      </c>
      <c r="D193" s="22" t="n">
        <f aca="false">D189-D192</f>
        <v>28.86224874</v>
      </c>
      <c r="E193" s="22" t="n">
        <f aca="false">E189-E192</f>
        <v>45.1266132594396</v>
      </c>
      <c r="F193" s="22" t="n">
        <f aca="false">F189-F192</f>
        <v>37.3225998272142</v>
      </c>
      <c r="G193" s="22" t="n">
        <f aca="false">G189-G192</f>
        <v>40.7021012502319</v>
      </c>
    </row>
    <row r="194" customFormat="false" ht="15" hidden="false" customHeight="false" outlineLevel="0" collapsed="false">
      <c r="A194" s="4" t="s">
        <v>397</v>
      </c>
      <c r="B194" s="0" t="s">
        <v>53</v>
      </c>
      <c r="C194" s="17" t="n">
        <f aca="false">C193/C181</f>
        <v>0.100779721227083</v>
      </c>
      <c r="D194" s="17" t="n">
        <f aca="false">D193/D181</f>
        <v>0.135674560703219</v>
      </c>
      <c r="E194" s="17" t="n">
        <f aca="false">E193/E181</f>
        <v>0.158923243130971</v>
      </c>
      <c r="F194" s="17" t="n">
        <f aca="false">F193/F181</f>
        <v>0.141803274959769</v>
      </c>
      <c r="G194" s="17" t="n">
        <f aca="false">G193/G181</f>
        <v>0.144393368673367</v>
      </c>
    </row>
    <row r="195" customFormat="false" ht="15" hidden="false" customHeight="false" outlineLevel="0" collapsed="false">
      <c r="A195" s="4" t="s">
        <v>399</v>
      </c>
      <c r="B195" s="0" t="s">
        <v>138</v>
      </c>
      <c r="C195" s="22" t="n">
        <f aca="false">a25_nop</f>
        <v>2.9762895</v>
      </c>
      <c r="D195" s="22" t="n">
        <f aca="false">a26_nop</f>
        <v>3.839</v>
      </c>
      <c r="E195" s="22" t="n">
        <f aca="false">nop_f</f>
        <v>3.5</v>
      </c>
      <c r="F195" s="22" t="n">
        <f aca="false">nop_f</f>
        <v>3.5</v>
      </c>
      <c r="G195" s="22" t="n">
        <f aca="false">nop_f</f>
        <v>3.5</v>
      </c>
    </row>
    <row r="196" customFormat="false" ht="17.15" hidden="false" customHeight="false" outlineLevel="0" collapsed="false">
      <c r="A196" s="4" t="s">
        <v>528</v>
      </c>
      <c r="B196" s="0" t="s">
        <v>53</v>
      </c>
      <c r="C196" s="17" t="n">
        <f aca="false">a25_ni/a25_pt</f>
        <v>0.766753475949514</v>
      </c>
      <c r="D196" s="17" t="n">
        <f aca="false">a26_ni/a26_pt</f>
        <v>0.759431002022174</v>
      </c>
      <c r="E196" s="17" t="n">
        <f aca="false">nir_f</f>
        <v>0.76</v>
      </c>
      <c r="F196" s="17" t="n">
        <f aca="false">nir_f</f>
        <v>0.76</v>
      </c>
      <c r="G196" s="17" t="n">
        <f aca="false">nir_f</f>
        <v>0.76</v>
      </c>
    </row>
    <row r="197" customFormat="false" ht="15" hidden="false" customHeight="false" outlineLevel="0" collapsed="false">
      <c r="A197" s="4" t="s">
        <v>404</v>
      </c>
      <c r="B197" s="0" t="s">
        <v>138</v>
      </c>
      <c r="C197" s="22" t="n">
        <f aca="false">a25_ni</f>
        <v>15.116</v>
      </c>
      <c r="D197" s="22" t="n">
        <f aca="false">a26_ni</f>
        <v>24.8343420979946</v>
      </c>
      <c r="E197" s="22" t="n">
        <f aca="false">(E193+E195)*E196</f>
        <v>36.9562260771741</v>
      </c>
      <c r="F197" s="22" t="n">
        <f aca="false">(F193+F195)*F196</f>
        <v>31.0251758686828</v>
      </c>
      <c r="G197" s="22" t="n">
        <f aca="false">(G193+G195)*G196</f>
        <v>33.5935969501762</v>
      </c>
      <c r="H197" s="24" t="n">
        <f aca="false">H181*H201</f>
        <v>30.0441014154017</v>
      </c>
      <c r="I197" s="24" t="n">
        <f aca="false">I181*I201</f>
        <v>25.593936075417</v>
      </c>
      <c r="J197" s="24" t="n">
        <f aca="false">J181*J201</f>
        <v>20.4329207236288</v>
      </c>
    </row>
    <row r="198" customFormat="false" ht="15" hidden="false" customHeight="false" outlineLevel="0" collapsed="false">
      <c r="A198" s="4" t="s">
        <v>529</v>
      </c>
      <c r="B198" s="4" t="s">
        <v>231</v>
      </c>
      <c r="C198" s="27" t="n">
        <f aca="false">a25_sh</f>
        <v>2.27650602409639</v>
      </c>
      <c r="D198" s="27" t="n">
        <f aca="false">a26_sh</f>
        <v>2.26895833333333</v>
      </c>
      <c r="E198" s="27" t="n">
        <f aca="false">D198*(1+sh_g)</f>
        <v>2.26895833333333</v>
      </c>
      <c r="F198" s="27" t="n">
        <f aca="false">E198*(1+sh_g)</f>
        <v>2.26895833333333</v>
      </c>
      <c r="G198" s="27" t="n">
        <f aca="false">F198*(1+sh_g)</f>
        <v>2.26895833333333</v>
      </c>
      <c r="H198" s="29" t="n">
        <f aca="false">G198*(1+sh_g)</f>
        <v>2.26895833333333</v>
      </c>
      <c r="I198" s="29" t="n">
        <f aca="false">H198*(1+sh_g)</f>
        <v>2.26895833333333</v>
      </c>
      <c r="J198" s="29" t="n">
        <f aca="false">I198*(1+sh_g)</f>
        <v>2.26895833333333</v>
      </c>
    </row>
    <row r="199" customFormat="false" ht="15" hidden="false" customHeight="false" outlineLevel="0" collapsed="false">
      <c r="A199" s="0" t="s">
        <v>410</v>
      </c>
      <c r="B199" s="0" t="s">
        <v>264</v>
      </c>
      <c r="C199" s="23" t="n">
        <f aca="false">C197/C198</f>
        <v>6.64</v>
      </c>
      <c r="D199" s="23" t="n">
        <f aca="false">D197/D198</f>
        <v>10.9452614149641</v>
      </c>
      <c r="E199" s="23" t="n">
        <f aca="false">E197/E198</f>
        <v>16.2877499926945</v>
      </c>
      <c r="F199" s="23" t="n">
        <f aca="false">F197/F198</f>
        <v>13.6737530226497</v>
      </c>
      <c r="G199" s="23" t="n">
        <f aca="false">G197/G198</f>
        <v>14.8057355027863</v>
      </c>
      <c r="H199" s="30" t="n">
        <f aca="false">H197/H198</f>
        <v>13.2413632167779</v>
      </c>
      <c r="I199" s="30" t="n">
        <f aca="false">I197/I198</f>
        <v>11.2800379360942</v>
      </c>
      <c r="J199" s="30" t="n">
        <f aca="false">J197/J198</f>
        <v>9.00541910507927</v>
      </c>
    </row>
    <row r="200" customFormat="false" ht="17.15" hidden="false" customHeight="false" outlineLevel="0" collapsed="false">
      <c r="A200" s="0" t="s">
        <v>530</v>
      </c>
      <c r="B200" s="0" t="s">
        <v>53</v>
      </c>
      <c r="D200" s="17" t="n">
        <f aca="false">D199/C199-1</f>
        <v>0.648382743217484</v>
      </c>
      <c r="E200" s="17" t="n">
        <f aca="false">E199/D199-1</f>
        <v>0.488109728510117</v>
      </c>
      <c r="F200" s="17" t="n">
        <f aca="false">F199/E199-1</f>
        <v>-0.160488524886327</v>
      </c>
      <c r="G200" s="17" t="n">
        <f aca="false">G199/F199-1</f>
        <v>0.0827850611504843</v>
      </c>
      <c r="H200" s="25" t="n">
        <f aca="false">H199/G199-1</f>
        <v>-0.105659883341427</v>
      </c>
      <c r="I200" s="25" t="n">
        <f aca="false">I199/H199-1</f>
        <v>-0.148121099661293</v>
      </c>
      <c r="J200" s="25" t="n">
        <f aca="false">J199/I199-1</f>
        <v>-0.201649927411725</v>
      </c>
    </row>
    <row r="201" customFormat="false" ht="17.15" hidden="false" customHeight="false" outlineLevel="0" collapsed="false">
      <c r="A201" s="4" t="s">
        <v>531</v>
      </c>
      <c r="B201" s="0" t="s">
        <v>53</v>
      </c>
      <c r="C201" s="17" t="n">
        <f aca="false">C197/C181</f>
        <v>0.0910136375952073</v>
      </c>
      <c r="D201" s="17" t="n">
        <f aca="false">D197/D181</f>
        <v>0.116740330417472</v>
      </c>
      <c r="E201" s="17" t="n">
        <f aca="false">E197/E181</f>
        <v>0.13014943683675</v>
      </c>
      <c r="F201" s="17" t="n">
        <f aca="false">F197/F181</f>
        <v>0.117876877943913</v>
      </c>
      <c r="G201" s="17" t="n">
        <f aca="false">G197/G181</f>
        <v>0.119175484323765</v>
      </c>
      <c r="H201" s="25" t="n">
        <f aca="false">$G201+(fade_mC-$G201)*1/3</f>
        <v>0.101123656215843</v>
      </c>
      <c r="I201" s="25" t="n">
        <f aca="false">$G201+(fade_mC-$G201)*2/3</f>
        <v>0.0830718281079217</v>
      </c>
      <c r="J201" s="25" t="n">
        <f aca="false">$G201+(fade_mC-$G201)*3/3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534</v>
      </c>
    </row>
    <row r="2" customFormat="false" ht="17.15" hidden="false" customHeight="false" outlineLevel="0" collapsed="false">
      <c r="A2" s="4" t="s">
        <v>535</v>
      </c>
    </row>
    <row r="4" customFormat="false" ht="17.15" hidden="false" customHeight="false" outlineLevel="0" collapsed="false">
      <c r="A4" s="6" t="s">
        <v>536</v>
      </c>
    </row>
    <row r="5" customFormat="false" ht="17.15" hidden="false" customHeight="false" outlineLevel="0" collapsed="false">
      <c r="A5" s="6" t="s">
        <v>537</v>
      </c>
    </row>
    <row r="6" customFormat="false" ht="17.15" hidden="false" customHeight="false" outlineLevel="0" collapsed="false">
      <c r="A6" s="5" t="s">
        <v>22</v>
      </c>
      <c r="B6" s="14" t="s">
        <v>538</v>
      </c>
      <c r="C6" s="14" t="s">
        <v>539</v>
      </c>
      <c r="D6" s="14" t="s">
        <v>540</v>
      </c>
      <c r="E6" s="5" t="s">
        <v>449</v>
      </c>
    </row>
    <row r="7" customFormat="false" ht="17.15" hidden="false" customHeight="false" outlineLevel="0" collapsed="false">
      <c r="A7" s="4" t="s">
        <v>541</v>
      </c>
      <c r="E7" s="0" t="s">
        <v>542</v>
      </c>
    </row>
    <row r="8" customFormat="false" ht="15" hidden="false" customHeight="false" outlineLevel="0" collapsed="false">
      <c r="A8" s="0" t="s">
        <v>543</v>
      </c>
      <c r="B8" s="18" t="n">
        <f aca="false">PL!E18</f>
        <v>20.6389246008751</v>
      </c>
      <c r="C8" s="18" t="n">
        <f aca="false">PL!E35</f>
        <v>18.7307122160826</v>
      </c>
      <c r="D8" s="18" t="n">
        <f aca="false">PL!E52</f>
        <v>16.2877499926945</v>
      </c>
    </row>
    <row r="9" customFormat="false" ht="15" hidden="false" customHeight="false" outlineLevel="0" collapsed="false">
      <c r="A9" s="0" t="s">
        <v>544</v>
      </c>
      <c r="B9" s="18" t="n">
        <f aca="false">PL!F18</f>
        <v>30.2122562808426</v>
      </c>
      <c r="C9" s="18" t="n">
        <f aca="false">PL!F35</f>
        <v>20.9854243565742</v>
      </c>
      <c r="D9" s="18" t="n">
        <f aca="false">PL!F52</f>
        <v>13.6737530226497</v>
      </c>
    </row>
    <row r="10" customFormat="false" ht="15" hidden="false" customHeight="false" outlineLevel="0" collapsed="false">
      <c r="A10" s="0" t="s">
        <v>545</v>
      </c>
      <c r="B10" s="18" t="n">
        <f aca="false">PL!G18</f>
        <v>37.5616276022786</v>
      </c>
      <c r="C10" s="18" t="n">
        <f aca="false">PL!G35</f>
        <v>25.6758120574423</v>
      </c>
      <c r="D10" s="18" t="n">
        <f aca="false">PL!G52</f>
        <v>14.8057355027863</v>
      </c>
    </row>
    <row r="11" customFormat="false" ht="15" hidden="false" customHeight="false" outlineLevel="0" collapsed="false">
      <c r="A11" s="0" t="s">
        <v>546</v>
      </c>
      <c r="B11" s="18" t="n">
        <f aca="false">PL!H18</f>
        <v>42.6575480355306</v>
      </c>
      <c r="C11" s="18" t="n">
        <f aca="false">PL!H35</f>
        <v>26.1256357846641</v>
      </c>
      <c r="D11" s="18" t="n">
        <f aca="false">PL!H52</f>
        <v>13.2413632167779</v>
      </c>
    </row>
    <row r="12" customFormat="false" ht="15" hidden="false" customHeight="false" outlineLevel="0" collapsed="false">
      <c r="A12" s="0" t="s">
        <v>547</v>
      </c>
      <c r="B12" s="18" t="n">
        <f aca="false">PL!I18</f>
        <v>46.8309120070094</v>
      </c>
      <c r="C12" s="18" t="n">
        <f aca="false">PL!I35</f>
        <v>25.3233077193928</v>
      </c>
      <c r="D12" s="18" t="n">
        <f aca="false">PL!I52</f>
        <v>11.2800379360942</v>
      </c>
    </row>
    <row r="13" customFormat="false" ht="15" hidden="false" customHeight="false" outlineLevel="0" collapsed="false">
      <c r="A13" s="0" t="s">
        <v>548</v>
      </c>
      <c r="B13" s="18" t="n">
        <f aca="false">PL!J18</f>
        <v>49.64076672743</v>
      </c>
      <c r="C13" s="18" t="n">
        <f aca="false">PL!J35</f>
        <v>23.28526184104</v>
      </c>
      <c r="D13" s="18" t="n">
        <f aca="false">PL!J52</f>
        <v>9.00541910507927</v>
      </c>
    </row>
    <row r="14" customFormat="false" ht="17.15" hidden="false" customHeight="false" outlineLevel="0" collapsed="false">
      <c r="A14" s="4" t="s">
        <v>549</v>
      </c>
    </row>
    <row r="15" customFormat="false" ht="17.15" hidden="false" customHeight="false" outlineLevel="0" collapsed="false">
      <c r="A15" s="4" t="s">
        <v>550</v>
      </c>
      <c r="B15" s="17" t="n">
        <f aca="false">MIN(tp_g/tp_roe,0.8)</f>
        <v>0.251151109250733</v>
      </c>
      <c r="E15" s="8" t="s">
        <v>551</v>
      </c>
    </row>
    <row r="16" customFormat="false" ht="15" hidden="false" customHeight="false" outlineLevel="0" collapsed="false">
      <c r="A16" s="0" t="s">
        <v>543</v>
      </c>
      <c r="B16" s="18" t="n">
        <f aca="false">B8*(1-$B$15)</f>
        <v>15.4554357936231</v>
      </c>
      <c r="C16" s="18" t="n">
        <f aca="false">C8*(1-$B$15)</f>
        <v>14.0264730659572</v>
      </c>
      <c r="D16" s="18" t="n">
        <f aca="false">D8*(1-$B$15)</f>
        <v>12.1970635148306</v>
      </c>
    </row>
    <row r="17" customFormat="false" ht="15" hidden="false" customHeight="false" outlineLevel="0" collapsed="false">
      <c r="A17" s="0" t="s">
        <v>544</v>
      </c>
      <c r="B17" s="18" t="n">
        <f aca="false">B9*(1-$B$15)</f>
        <v>22.6244146029416</v>
      </c>
      <c r="C17" s="18" t="n">
        <f aca="false">C9*(1-$B$15)</f>
        <v>15.7149117513233</v>
      </c>
      <c r="D17" s="18" t="n">
        <f aca="false">D9*(1-$B$15)</f>
        <v>10.2395747833906</v>
      </c>
    </row>
    <row r="18" customFormat="false" ht="15" hidden="false" customHeight="false" outlineLevel="0" collapsed="false">
      <c r="A18" s="0" t="s">
        <v>545</v>
      </c>
      <c r="B18" s="18" t="n">
        <f aca="false">B10*(1-$B$15)</f>
        <v>28.1279831647034</v>
      </c>
      <c r="C18" s="18" t="n">
        <f aca="false">C10*(1-$B$15)</f>
        <v>19.2273033783023</v>
      </c>
      <c r="D18" s="18" t="n">
        <f aca="false">D10*(1-$B$15)</f>
        <v>11.0872586079886</v>
      </c>
    </row>
    <row r="19" customFormat="false" ht="15" hidden="false" customHeight="false" outlineLevel="0" collapsed="false">
      <c r="A19" s="0" t="s">
        <v>546</v>
      </c>
      <c r="B19" s="18" t="n">
        <f aca="false">B11*(1-$B$15)</f>
        <v>31.9440575284907</v>
      </c>
      <c r="C19" s="18" t="n">
        <f aca="false">C11*(1-$B$15)</f>
        <v>19.5641533774651</v>
      </c>
      <c r="D19" s="18" t="n">
        <f aca="false">D11*(1-$B$15)</f>
        <v>9.91578015689228</v>
      </c>
    </row>
    <row r="20" customFormat="false" ht="15" hidden="false" customHeight="false" outlineLevel="0" collapsed="false">
      <c r="A20" s="0" t="s">
        <v>547</v>
      </c>
      <c r="B20" s="18" t="n">
        <f aca="false">B12*(1-$B$15)</f>
        <v>35.0692765092255</v>
      </c>
      <c r="C20" s="18" t="n">
        <f aca="false">C12*(1-$B$15)</f>
        <v>18.9633308957697</v>
      </c>
      <c r="D20" s="18" t="n">
        <f aca="false">D12*(1-$B$15)</f>
        <v>8.44704389605376</v>
      </c>
    </row>
    <row r="21" customFormat="false" ht="15" hidden="false" customHeight="false" outlineLevel="0" collapsed="false">
      <c r="A21" s="0" t="s">
        <v>548</v>
      </c>
      <c r="B21" s="18" t="n">
        <f aca="false">B13*(1-$B$15)</f>
        <v>37.1734330997791</v>
      </c>
      <c r="C21" s="18" t="n">
        <f aca="false">C13*(1-$B$15)</f>
        <v>17.4371425004691</v>
      </c>
      <c r="D21" s="18" t="n">
        <f aca="false">D13*(1-$B$15)</f>
        <v>6.74369810757087</v>
      </c>
    </row>
    <row r="22" customFormat="false" ht="17.15" hidden="false" customHeight="false" outlineLevel="0" collapsed="false">
      <c r="A22" s="0" t="s">
        <v>552</v>
      </c>
      <c r="B22" s="18" t="n">
        <f aca="false">MAX(0,SUMPRODUCT(B16:B21,1/(1+tp_r)^{1;2;3;4;5;6})+B21*(1+tp_g)/(tp_r-tp_g)/(1+tp_r)^6)</f>
        <v>482.170999951237</v>
      </c>
      <c r="C22" s="18" t="n">
        <f aca="false">MAX(0,SUMPRODUCT(C16:C21,1/(1+tp_r)^{1;2;3;4;5;6})+C21*(1+tp_g)/(tp_r-tp_g)/(1+tp_r)^6)</f>
        <v>245.773503505157</v>
      </c>
      <c r="D22" s="18" t="n">
        <f aca="false">MAX(0,SUMPRODUCT(D16:D21,1/(1+tp_r)^{1;2;3;4;5;6})+D21*(1+tp_g)/(tp_r-tp_g)/(1+tp_r)^6)</f>
        <v>109.686713011762</v>
      </c>
      <c r="E22" s="8" t="s">
        <v>553</v>
      </c>
    </row>
    <row r="23" customFormat="false" ht="17.15" hidden="false" customHeight="false" outlineLevel="0" collapsed="false">
      <c r="A23" s="0" t="s">
        <v>554</v>
      </c>
      <c r="B23" s="18" t="n">
        <f aca="false">B22*(1+tp_r)</f>
        <v>530.38809994636</v>
      </c>
      <c r="C23" s="18" t="n">
        <f aca="false">C22*(1+tp_r)</f>
        <v>270.350853855673</v>
      </c>
      <c r="D23" s="18" t="n">
        <f aca="false">D22*(1+tp_r)</f>
        <v>120.655384312938</v>
      </c>
    </row>
    <row r="24" customFormat="false" ht="17.15" hidden="false" customHeight="false" outlineLevel="0" collapsed="false">
      <c r="A24" s="0" t="s">
        <v>555</v>
      </c>
      <c r="B24" s="31" t="n">
        <f aca="false">tp_wA*B23+tp_wB*C23+tp_wC*D23</f>
        <v>318.422933774332</v>
      </c>
      <c r="E24" s="8" t="s">
        <v>556</v>
      </c>
    </row>
    <row r="26" customFormat="false" ht="17.15" hidden="false" customHeight="false" outlineLevel="0" collapsed="false">
      <c r="A26" s="6" t="s">
        <v>557</v>
      </c>
    </row>
    <row r="27" customFormat="false" ht="17.15" hidden="false" customHeight="false" outlineLevel="0" collapsed="false">
      <c r="A27" s="5" t="s">
        <v>558</v>
      </c>
      <c r="B27" s="5" t="s">
        <v>559</v>
      </c>
      <c r="C27" s="5" t="s">
        <v>560</v>
      </c>
      <c r="D27" s="5" t="s">
        <v>561</v>
      </c>
      <c r="E27" s="5" t="s">
        <v>562</v>
      </c>
      <c r="F27" s="5" t="s">
        <v>27</v>
      </c>
    </row>
    <row r="28" customFormat="false" ht="17.15" hidden="false" customHeight="false" outlineLevel="0" collapsed="false">
      <c r="A28" s="4" t="s">
        <v>563</v>
      </c>
      <c r="B28" s="0" t="s">
        <v>564</v>
      </c>
      <c r="C28" s="32" t="n">
        <v>30.51</v>
      </c>
      <c r="D28" s="8" t="s">
        <v>565</v>
      </c>
      <c r="E28" s="8" t="s">
        <v>566</v>
      </c>
      <c r="F28" s="8" t="s">
        <v>54</v>
      </c>
    </row>
    <row r="29" customFormat="false" ht="17.15" hidden="false" customHeight="false" outlineLevel="0" collapsed="false">
      <c r="A29" s="0" t="s">
        <v>567</v>
      </c>
      <c r="B29" s="0" t="s">
        <v>568</v>
      </c>
      <c r="C29" s="32" t="n">
        <v>24.53</v>
      </c>
      <c r="D29" s="8" t="s">
        <v>569</v>
      </c>
      <c r="E29" s="8" t="s">
        <v>566</v>
      </c>
      <c r="F29" s="8" t="s">
        <v>54</v>
      </c>
    </row>
    <row r="30" customFormat="false" ht="17.15" hidden="false" customHeight="false" outlineLevel="0" collapsed="false">
      <c r="A30" s="0" t="s">
        <v>570</v>
      </c>
      <c r="B30" s="0" t="s">
        <v>571</v>
      </c>
      <c r="C30" s="32" t="n">
        <v>24.17</v>
      </c>
      <c r="D30" s="8" t="s">
        <v>569</v>
      </c>
      <c r="E30" s="8" t="s">
        <v>566</v>
      </c>
      <c r="F30" s="8" t="s">
        <v>54</v>
      </c>
    </row>
    <row r="31" customFormat="false" ht="17.15" hidden="false" customHeight="false" outlineLevel="0" collapsed="false">
      <c r="A31" s="0" t="s">
        <v>572</v>
      </c>
      <c r="B31" s="0" t="s">
        <v>573</v>
      </c>
      <c r="C31" s="32" t="n">
        <v>14.74</v>
      </c>
      <c r="D31" s="8" t="s">
        <v>569</v>
      </c>
      <c r="E31" s="8" t="s">
        <v>566</v>
      </c>
      <c r="F31" s="8" t="s">
        <v>54</v>
      </c>
    </row>
    <row r="33" customFormat="false" ht="17.15" hidden="false" customHeight="false" outlineLevel="0" collapsed="false">
      <c r="A33" s="4" t="s">
        <v>574</v>
      </c>
    </row>
    <row r="34" customFormat="false" ht="17.15" hidden="false" customHeight="false" outlineLevel="0" collapsed="false">
      <c r="A34" s="4" t="s">
        <v>575</v>
      </c>
      <c r="B34" s="20" t="n">
        <f aca="false">MEDIAN(C28:C31)</f>
        <v>24.35</v>
      </c>
      <c r="E34" s="8" t="s">
        <v>576</v>
      </c>
    </row>
    <row r="35" customFormat="false" ht="17.15" hidden="false" customHeight="false" outlineLevel="0" collapsed="false">
      <c r="A35" s="0" t="s">
        <v>577</v>
      </c>
      <c r="B35" s="18" t="n">
        <f aca="false">tp_wA*(2/12*B8+10/12*B9)+tp_wB*(2/12*C8+10/12*C9)+tp_wC*(2/12*D8+10/12*D9)</f>
        <v>21.711713637032</v>
      </c>
      <c r="E35" s="4" t="s">
        <v>578</v>
      </c>
    </row>
    <row r="36" customFormat="false" ht="17.15" hidden="false" customHeight="false" outlineLevel="0" collapsed="false">
      <c r="A36" s="0" t="s">
        <v>579</v>
      </c>
      <c r="B36" s="31" t="n">
        <f aca="false">B34*B35</f>
        <v>528.680227061729</v>
      </c>
      <c r="E36" s="4" t="s">
        <v>580</v>
      </c>
    </row>
    <row r="38" customFormat="false" ht="17.15" hidden="false" customHeight="false" outlineLevel="0" collapsed="false">
      <c r="A38" s="6" t="s">
        <v>581</v>
      </c>
    </row>
    <row r="39" customFormat="false" ht="15" hidden="false" customHeight="false" outlineLevel="0" collapsed="false">
      <c r="A39" s="5" t="s">
        <v>22</v>
      </c>
      <c r="B39" s="5" t="s">
        <v>582</v>
      </c>
      <c r="C39" s="5"/>
      <c r="D39" s="5"/>
      <c r="E39" s="5" t="s">
        <v>449</v>
      </c>
    </row>
    <row r="40" customFormat="false" ht="17.15" hidden="false" customHeight="false" outlineLevel="0" collapsed="false">
      <c r="A40" s="4" t="s">
        <v>583</v>
      </c>
      <c r="B40" s="31" t="n">
        <f aca="false">tp_w_dcf*B24+(1-tp_w_dcf)*tp_comp_adj</f>
        <v>319.137160914582</v>
      </c>
      <c r="E40" s="8" t="s">
        <v>584</v>
      </c>
    </row>
    <row r="41" customFormat="false" ht="17.15" hidden="false" customHeight="false" outlineLevel="0" collapsed="false">
      <c r="A41" s="0" t="s">
        <v>585</v>
      </c>
      <c r="B41" s="18" t="n">
        <f aca="false">B36</f>
        <v>528.680227061729</v>
      </c>
    </row>
    <row r="42" customFormat="false" ht="17.15" hidden="false" customHeight="false" outlineLevel="0" collapsed="false">
      <c r="A42" s="4" t="s">
        <v>586</v>
      </c>
      <c r="B42" s="18" t="n">
        <f aca="false">cons_tp</f>
        <v>314.25</v>
      </c>
      <c r="E42" s="8" t="s">
        <v>587</v>
      </c>
    </row>
    <row r="43" customFormat="false" ht="17.15" hidden="false" customHeight="false" outlineLevel="0" collapsed="false">
      <c r="A43" s="4" t="s">
        <v>588</v>
      </c>
      <c r="B43" s="17" t="n">
        <f aca="false">B40/px-1</f>
        <v>0.249069122953353</v>
      </c>
      <c r="E43" s="4" t="s">
        <v>589</v>
      </c>
    </row>
    <row r="44" customFormat="false" ht="17.15" hidden="false" customHeight="false" outlineLevel="0" collapsed="false">
      <c r="A44" s="4" t="s">
        <v>590</v>
      </c>
      <c r="B44" s="17" t="n">
        <f aca="false">B41/px-1</f>
        <v>1.06919854035902</v>
      </c>
    </row>
    <row r="45" customFormat="false" ht="17.15" hidden="false" customHeight="false" outlineLevel="0" collapsed="false">
      <c r="A45" s="4" t="s">
        <v>591</v>
      </c>
      <c r="B45" s="17" t="n">
        <f aca="false">B35/cons_feps-1</f>
        <v>0.674053849900312</v>
      </c>
      <c r="E45" s="4" t="s">
        <v>592</v>
      </c>
    </row>
    <row r="46" customFormat="false" ht="17.15" hidden="false" customHeight="false" outlineLevel="0" collapsed="false">
      <c r="A46" s="4" t="s">
        <v>593</v>
      </c>
      <c r="B46" s="17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594</v>
      </c>
      <c r="B47" s="33" t="str">
        <f aca="false">TEXT(D23,"0.00")&amp;"～"&amp;TEXT(B23,"0.00")</f>
        <v>120.66～530.39</v>
      </c>
      <c r="E47" s="8" t="s">
        <v>595</v>
      </c>
    </row>
    <row r="48" customFormat="false" ht="17.15" hidden="false" customHeight="false" outlineLevel="0" collapsed="false">
      <c r="A48" s="4" t="s">
        <v>596</v>
      </c>
      <c r="B48" s="34" t="n">
        <f aca="false">IF(px/B9&lt;MIN($B$90:$B$99),0,IF(px/B9&gt;MAX($B$90:$B$99),1,PERCENTRANK($B$90:$B$99,px/B9)))</f>
        <v>0</v>
      </c>
      <c r="C48" s="34" t="n">
        <f aca="false">IF(px/C9&lt;MIN($B$90:$B$99),0,IF(px/C9&gt;MAX($B$90:$B$99),1,PERCENTRANK($B$90:$B$99,px/C9)))</f>
        <v>0.524</v>
      </c>
      <c r="D48" s="34" t="n">
        <f aca="false">IF(px/D9&lt;MIN($B$90:$B$99),0,IF(px/D9&gt;MAX($B$90:$B$99),1,PERCENTRANK($B$90:$B$99,px/D9)))</f>
        <v>0.712</v>
      </c>
      <c r="E48" s="4" t="s">
        <v>597</v>
      </c>
    </row>
    <row r="49" customFormat="false" ht="17.15" hidden="false" customHeight="false" outlineLevel="0" collapsed="false">
      <c r="A49" s="4" t="s">
        <v>598</v>
      </c>
      <c r="B49" s="0" t="s">
        <v>599</v>
      </c>
    </row>
    <row r="51" customFormat="false" ht="17.15" hidden="false" customHeight="false" outlineLevel="0" collapsed="false">
      <c r="A51" s="6" t="s">
        <v>600</v>
      </c>
    </row>
    <row r="52" customFormat="false" ht="15" hidden="false" customHeight="false" outlineLevel="0" collapsed="false">
      <c r="A52" s="5" t="s">
        <v>22</v>
      </c>
      <c r="B52" s="14" t="s">
        <v>601</v>
      </c>
      <c r="C52" s="14" t="s">
        <v>602</v>
      </c>
      <c r="D52" s="14" t="s">
        <v>603</v>
      </c>
      <c r="E52" s="5" t="s">
        <v>449</v>
      </c>
    </row>
    <row r="53" customFormat="false" ht="17.15" hidden="false" customHeight="false" outlineLevel="0" collapsed="false">
      <c r="A53" s="4" t="s">
        <v>604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605</v>
      </c>
      <c r="B54" s="20" t="n">
        <f aca="false">px/PL!D18</f>
        <v>23.3434351463444</v>
      </c>
      <c r="C54" s="20" t="n">
        <f aca="false">px/PL!D35</f>
        <v>23.3434351463444</v>
      </c>
      <c r="D54" s="20" t="n">
        <f aca="false">px/PL!D52</f>
        <v>23.3434351463444</v>
      </c>
      <c r="E54" s="8" t="s">
        <v>606</v>
      </c>
    </row>
    <row r="55" customFormat="false" ht="17.15" hidden="false" customHeight="false" outlineLevel="0" collapsed="false">
      <c r="A55" s="4" t="s">
        <v>607</v>
      </c>
      <c r="B55" s="20" t="n">
        <f aca="false">px/PL!E18</f>
        <v>12.379520975098</v>
      </c>
      <c r="C55" s="20" t="n">
        <f aca="false">px/PL!E35</f>
        <v>13.6406986051829</v>
      </c>
      <c r="D55" s="20" t="n">
        <f aca="false">px/PL!E52</f>
        <v>15.6866356688063</v>
      </c>
      <c r="E55" s="8" t="s">
        <v>608</v>
      </c>
    </row>
    <row r="56" customFormat="false" ht="17.15" hidden="false" customHeight="false" outlineLevel="0" collapsed="false">
      <c r="A56" s="4" t="s">
        <v>609</v>
      </c>
      <c r="B56" s="20" t="n">
        <f aca="false">px/PL!F18</f>
        <v>8.45683280404353</v>
      </c>
      <c r="C56" s="20" t="n">
        <f aca="false">px/PL!F35</f>
        <v>12.1751171507741</v>
      </c>
      <c r="D56" s="20" t="n">
        <f aca="false">px/PL!F52</f>
        <v>18.6854332952176</v>
      </c>
    </row>
    <row r="57" customFormat="false" ht="17.15" hidden="false" customHeight="false" outlineLevel="0" collapsed="false">
      <c r="A57" s="4" t="s">
        <v>610</v>
      </c>
      <c r="B57" s="20" t="n">
        <f aca="false">px/PL!G18</f>
        <v>6.80215465382285</v>
      </c>
      <c r="C57" s="20" t="n">
        <f aca="false">px/PL!G35</f>
        <v>9.95099977474489</v>
      </c>
      <c r="D57" s="20" t="n">
        <f aca="false">px/PL!G52</f>
        <v>17.2568259072247</v>
      </c>
    </row>
    <row r="58" customFormat="false" ht="17.15" hidden="false" customHeight="false" outlineLevel="0" collapsed="false">
      <c r="A58" s="4" t="s">
        <v>611</v>
      </c>
      <c r="B58" s="18" t="n">
        <f aca="false">0.2*PL!D35+0.8*PL!E35</f>
        <v>17.1736220558589</v>
      </c>
    </row>
    <row r="59" customFormat="false" ht="17.15" hidden="false" customHeight="false" outlineLevel="0" collapsed="false">
      <c r="A59" s="4" t="s">
        <v>612</v>
      </c>
      <c r="B59" s="20" t="n">
        <f aca="false">px/B58</f>
        <v>14.8774672674734</v>
      </c>
    </row>
    <row r="60" customFormat="false" ht="17.15" hidden="false" customHeight="false" outlineLevel="0" collapsed="false">
      <c r="A60" s="4" t="s">
        <v>316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320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613</v>
      </c>
    </row>
    <row r="64" customFormat="false" ht="17.15" hidden="false" customHeight="false" outlineLevel="0" collapsed="false">
      <c r="A64" s="5" t="s">
        <v>614</v>
      </c>
      <c r="B64" s="5" t="s">
        <v>615</v>
      </c>
      <c r="C64" s="14" t="s">
        <v>616</v>
      </c>
      <c r="D64" s="5" t="s">
        <v>617</v>
      </c>
      <c r="E64" s="5" t="s">
        <v>618</v>
      </c>
      <c r="F64" s="5" t="s">
        <v>449</v>
      </c>
    </row>
    <row r="65" customFormat="false" ht="17.15" hidden="false" customHeight="false" outlineLevel="0" collapsed="false">
      <c r="A65" s="0" t="s">
        <v>601</v>
      </c>
      <c r="B65" s="0" t="n">
        <f aca="false">INDEX({2026,2027,2028,2029},MATCH(MAX(PL!D95:G95),PL!D95:G95,0))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619</v>
      </c>
    </row>
    <row r="66" customFormat="false" ht="15" hidden="false" customHeight="false" outlineLevel="0" collapsed="false">
      <c r="A66" s="0" t="s">
        <v>602</v>
      </c>
      <c r="B66" s="0" t="n">
        <f aca="false">INDEX({2026,2027,2028,2029},MATCH(MAX(PL!D138:G138),PL!D138:G138,0))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39</v>
      </c>
    </row>
    <row r="67" customFormat="false" ht="15" hidden="false" customHeight="false" outlineLevel="0" collapsed="false">
      <c r="A67" s="0" t="s">
        <v>603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39</v>
      </c>
    </row>
    <row r="69" customFormat="false" ht="17.15" hidden="false" customHeight="false" outlineLevel="0" collapsed="false">
      <c r="A69" s="6" t="s">
        <v>620</v>
      </c>
    </row>
    <row r="70" customFormat="false" ht="17.15" hidden="false" customHeight="false" outlineLevel="0" collapsed="false">
      <c r="A70" s="5" t="s">
        <v>614</v>
      </c>
      <c r="B70" s="14" t="s">
        <v>621</v>
      </c>
      <c r="C70" s="5" t="s">
        <v>622</v>
      </c>
      <c r="D70" s="5" t="s">
        <v>623</v>
      </c>
      <c r="E70" s="5" t="s">
        <v>624</v>
      </c>
      <c r="F70" s="5" t="s">
        <v>625</v>
      </c>
      <c r="G70" s="5" t="s">
        <v>626</v>
      </c>
    </row>
    <row r="71" customFormat="false" ht="15" hidden="false" customHeight="false" outlineLevel="0" collapsed="false">
      <c r="A71" s="9" t="s">
        <v>601</v>
      </c>
      <c r="B71" s="31" t="n">
        <f aca="false">PL!E18</f>
        <v>20.6389246008751</v>
      </c>
      <c r="C71" s="31" t="n">
        <f aca="false">B71</f>
        <v>20.6389246008751</v>
      </c>
      <c r="D71" s="35" t="n">
        <f aca="false">D65</f>
        <v>12.12</v>
      </c>
      <c r="E71" s="31" t="n">
        <f aca="false">C71*D71</f>
        <v>250.143766162607</v>
      </c>
      <c r="F71" s="36" t="n">
        <f aca="false">E71/px-1</f>
        <v>-0.0209637332187608</v>
      </c>
      <c r="G71" s="35" t="n">
        <f aca="false">px/C71</f>
        <v>12.379520975098</v>
      </c>
    </row>
    <row r="72" customFormat="false" ht="15" hidden="false" customHeight="false" outlineLevel="0" collapsed="false">
      <c r="A72" s="9" t="s">
        <v>602</v>
      </c>
      <c r="B72" s="31" t="n">
        <f aca="false">PL!E35</f>
        <v>18.7307122160826</v>
      </c>
      <c r="C72" s="31" t="n">
        <f aca="false">B72</f>
        <v>18.7307122160826</v>
      </c>
      <c r="D72" s="35" t="n">
        <f aca="false">D66</f>
        <v>12.12</v>
      </c>
      <c r="E72" s="31" t="n">
        <f aca="false">C72*D72</f>
        <v>227.016232058921</v>
      </c>
      <c r="F72" s="36" t="n">
        <f aca="false">E72/px-1</f>
        <v>-0.111482457695026</v>
      </c>
      <c r="G72" s="35" t="n">
        <f aca="false">px/C72</f>
        <v>13.6406986051829</v>
      </c>
    </row>
    <row r="73" customFormat="false" ht="15" hidden="false" customHeight="false" outlineLevel="0" collapsed="false">
      <c r="A73" s="9" t="s">
        <v>603</v>
      </c>
      <c r="B73" s="31" t="n">
        <f aca="false">PL!E52</f>
        <v>16.2877499926945</v>
      </c>
      <c r="C73" s="31" t="n">
        <f aca="false">B73</f>
        <v>16.2877499926945</v>
      </c>
      <c r="D73" s="35" t="n">
        <f aca="false">D67</f>
        <v>11.63</v>
      </c>
      <c r="E73" s="31" t="n">
        <f aca="false">C73*D73</f>
        <v>189.426532415037</v>
      </c>
      <c r="F73" s="36" t="n">
        <f aca="false">E73/px-1</f>
        <v>-0.258604569804161</v>
      </c>
      <c r="G73" s="35" t="n">
        <f aca="false">px/C73</f>
        <v>15.6866356688063</v>
      </c>
    </row>
    <row r="75" customFormat="false" ht="17.15" hidden="false" customHeight="false" outlineLevel="0" collapsed="false">
      <c r="A75" s="6" t="s">
        <v>627</v>
      </c>
    </row>
    <row r="76" customFormat="false" ht="17.15" hidden="false" customHeight="false" outlineLevel="0" collapsed="false">
      <c r="A76" s="14" t="s">
        <v>628</v>
      </c>
      <c r="B76" s="5" t="s">
        <v>629</v>
      </c>
      <c r="C76" s="5" t="s">
        <v>630</v>
      </c>
      <c r="D76" s="5" t="s">
        <v>631</v>
      </c>
      <c r="E76" s="5" t="s">
        <v>632</v>
      </c>
    </row>
    <row r="77" customFormat="false" ht="15" hidden="false" customHeight="false" outlineLevel="0" collapsed="false">
      <c r="A77" s="19" t="n">
        <v>1</v>
      </c>
      <c r="B77" s="20" t="n">
        <f aca="false">px*A77/PL!F18</f>
        <v>8.45683280404353</v>
      </c>
      <c r="C77" s="20" t="n">
        <f aca="false">px*A77/PL!F35</f>
        <v>12.1751171507741</v>
      </c>
      <c r="D77" s="20" t="n">
        <f aca="false">px*A77/PL!F52</f>
        <v>18.6854332952176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px*A78/PL!F18</f>
        <v>9.30251608444789</v>
      </c>
      <c r="C78" s="20" t="n">
        <f aca="false">px*A78/PL!F35</f>
        <v>13.3926288658515</v>
      </c>
      <c r="D78" s="20" t="n">
        <f aca="false">px*A78/PL!F52</f>
        <v>20.5539766247394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px*A79/PL!F18</f>
        <v>10.2327676928927</v>
      </c>
      <c r="C79" s="20" t="n">
        <f aca="false">px*A79/PL!F35</f>
        <v>14.7318917524367</v>
      </c>
      <c r="D79" s="20" t="n">
        <f aca="false">px*A79/PL!F52</f>
        <v>22.6093742872133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px*A80/PL!F18</f>
        <v>12.6852492060653</v>
      </c>
      <c r="C80" s="20" t="n">
        <f aca="false">px*A80/PL!F35</f>
        <v>18.2626757261612</v>
      </c>
      <c r="D80" s="20" t="n">
        <f aca="false">px*A80/PL!F52</f>
        <v>28.0281499428264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px*A81/PL!F18</f>
        <v>16.9136656080871</v>
      </c>
      <c r="C81" s="20" t="n">
        <f aca="false">px*A81/PL!F35</f>
        <v>24.3502343015483</v>
      </c>
      <c r="D81" s="20" t="n">
        <f aca="false">px*A81/PL!F52</f>
        <v>37.3708665904352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633</v>
      </c>
    </row>
    <row r="85" customFormat="false" ht="17.15" hidden="false" customHeight="false" outlineLevel="0" collapsed="false">
      <c r="A85" s="6" t="s">
        <v>634</v>
      </c>
    </row>
    <row r="86" customFormat="false" ht="17.15" hidden="false" customHeight="false" outlineLevel="0" collapsed="false">
      <c r="A86" s="4" t="s">
        <v>635</v>
      </c>
    </row>
    <row r="88" customFormat="false" ht="17.15" hidden="false" customHeight="false" outlineLevel="0" collapsed="false">
      <c r="A88" s="6" t="s">
        <v>636</v>
      </c>
    </row>
    <row r="89" customFormat="false" ht="17.15" hidden="false" customHeight="false" outlineLevel="0" collapsed="false">
      <c r="A89" s="5" t="s">
        <v>637</v>
      </c>
      <c r="B89" s="5" t="s">
        <v>638</v>
      </c>
      <c r="C89" s="14" t="s">
        <v>639</v>
      </c>
      <c r="D89" s="5" t="s">
        <v>640</v>
      </c>
    </row>
    <row r="90" customFormat="false" ht="17.15" hidden="false" customHeight="false" outlineLevel="0" collapsed="false">
      <c r="A90" s="0" t="s">
        <v>641</v>
      </c>
      <c r="B90" s="18" t="n">
        <f aca="false">48.6/4.05</f>
        <v>12</v>
      </c>
      <c r="D90" s="4" t="s">
        <v>642</v>
      </c>
    </row>
    <row r="91" customFormat="false" ht="15" hidden="false" customHeight="false" outlineLevel="0" collapsed="false">
      <c r="A91" s="0" t="s">
        <v>643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644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645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646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647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648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649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650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651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652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653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654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655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656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657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658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659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660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661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662</v>
      </c>
    </row>
    <row r="112" customFormat="false" ht="17.15" hidden="false" customHeight="false" outlineLevel="0" collapsed="false">
      <c r="A112" s="5" t="s">
        <v>663</v>
      </c>
      <c r="B112" s="5" t="s">
        <v>664</v>
      </c>
      <c r="C112" s="5" t="s">
        <v>665</v>
      </c>
      <c r="D112" s="5" t="s">
        <v>25</v>
      </c>
      <c r="E112" s="5" t="s">
        <v>666</v>
      </c>
      <c r="F112" s="5" t="s">
        <v>624</v>
      </c>
      <c r="G112" s="5" t="s">
        <v>667</v>
      </c>
      <c r="H112" s="5" t="s">
        <v>668</v>
      </c>
    </row>
    <row r="113" customFormat="false" ht="17.15" hidden="false" customHeight="false" outlineLevel="0" collapsed="false">
      <c r="A113" s="4" t="s">
        <v>669</v>
      </c>
      <c r="B113" s="0" t="s">
        <v>670</v>
      </c>
      <c r="C113" s="18" t="n">
        <f aca="false">B105</f>
        <v>11.63</v>
      </c>
      <c r="D113" s="8" t="s">
        <v>671</v>
      </c>
      <c r="E113" s="18" t="n">
        <f aca="false">C72</f>
        <v>18.7307122160826</v>
      </c>
      <c r="F113" s="22" t="n">
        <f aca="false">C113*E113</f>
        <v>217.83818307304</v>
      </c>
      <c r="G113" s="17" t="n">
        <f aca="false">F113/px-1</f>
        <v>-0.147404371534088</v>
      </c>
      <c r="H113" s="18" t="n">
        <f aca="false">px/E113</f>
        <v>13.6406986051829</v>
      </c>
    </row>
    <row r="114" customFormat="false" ht="17.15" hidden="false" customHeight="false" outlineLevel="0" collapsed="false">
      <c r="A114" s="4" t="s">
        <v>672</v>
      </c>
      <c r="B114" s="4" t="s">
        <v>673</v>
      </c>
      <c r="C114" s="18" t="n">
        <f aca="false">B106</f>
        <v>12.12</v>
      </c>
      <c r="D114" s="8" t="s">
        <v>671</v>
      </c>
      <c r="E114" s="18" t="n">
        <f aca="false">C72</f>
        <v>18.7307122160826</v>
      </c>
      <c r="F114" s="22" t="n">
        <f aca="false">C114*E114</f>
        <v>227.016232058921</v>
      </c>
      <c r="G114" s="17" t="n">
        <f aca="false">F114/px-1</f>
        <v>-0.111482457695026</v>
      </c>
      <c r="H114" s="18" t="n">
        <f aca="false">px/E114</f>
        <v>13.6406986051829</v>
      </c>
    </row>
    <row r="115" customFormat="false" ht="17.15" hidden="false" customHeight="false" outlineLevel="0" collapsed="false">
      <c r="A115" s="4" t="s">
        <v>674</v>
      </c>
      <c r="B115" s="0" t="s">
        <v>675</v>
      </c>
      <c r="C115" s="18" t="n">
        <f aca="false">B107</f>
        <v>18.92</v>
      </c>
      <c r="D115" s="8" t="s">
        <v>671</v>
      </c>
      <c r="E115" s="18" t="n">
        <f aca="false">C72</f>
        <v>18.7307122160826</v>
      </c>
      <c r="F115" s="22" t="n">
        <f aca="false">C115*E115</f>
        <v>354.385075128283</v>
      </c>
      <c r="G115" s="17" t="n">
        <f aca="false">F115/px-1</f>
        <v>0.38702573435727</v>
      </c>
      <c r="H115" s="18" t="n">
        <f aca="false">px/E115</f>
        <v>13.6406986051829</v>
      </c>
    </row>
    <row r="118" customFormat="false" ht="17.15" hidden="false" customHeight="false" outlineLevel="0" collapsed="false">
      <c r="A118" s="4" t="s">
        <v>676</v>
      </c>
      <c r="B118" s="33" t="str">
        <f aca="false">IF(B43&gt;0.5,"大於 50%",IF(B43&gt;0.25,"25%–50%",IF(B43&gt;=0,"0%–25%",IF(B43&gt;=-0.25,"0%～−25%",IF(B43&gt;=-0.5,"−25%～−50%","小於 −50%")))))</f>
        <v>0%–25%</v>
      </c>
      <c r="E118" s="4" t="s">
        <v>677</v>
      </c>
    </row>
    <row r="119" customFormat="false" ht="17.15" hidden="false" customHeight="false" outlineLevel="0" collapsed="false">
      <c r="A119" s="4" t="s">
        <v>678</v>
      </c>
      <c r="B119" s="33" t="str">
        <f aca="false">IF(B43&gt;0.5,"強力買進",IF(B43&gt;0.25,"買進",IF(B43&gt;=-0.25,"中立",IF(B43&gt;=-0.5,"放空","強力放空"))))</f>
        <v>中立</v>
      </c>
      <c r="E119" s="4" t="s">
        <v>679</v>
      </c>
    </row>
    <row r="122" customFormat="false" ht="17.15" hidden="false" customHeight="false" outlineLevel="0" collapsed="false">
      <c r="A122" s="6" t="s">
        <v>680</v>
      </c>
    </row>
    <row r="123" customFormat="false" ht="17.15" hidden="false" customHeight="false" outlineLevel="0" collapsed="false">
      <c r="A123" s="4" t="s">
        <v>681</v>
      </c>
    </row>
    <row r="124" customFormat="false" ht="17.15" hidden="false" customHeight="false" outlineLevel="0" collapsed="false">
      <c r="A124" s="5" t="s">
        <v>682</v>
      </c>
      <c r="B124" s="5" t="s">
        <v>559</v>
      </c>
      <c r="C124" s="5" t="s">
        <v>683</v>
      </c>
      <c r="D124" s="14" t="s">
        <v>684</v>
      </c>
      <c r="E124" s="14" t="s">
        <v>685</v>
      </c>
      <c r="F124" s="14" t="s">
        <v>686</v>
      </c>
      <c r="G124" s="14" t="s">
        <v>687</v>
      </c>
      <c r="H124" s="14" t="s">
        <v>688</v>
      </c>
      <c r="I124" s="14" t="s">
        <v>689</v>
      </c>
      <c r="J124" s="14" t="s">
        <v>690</v>
      </c>
      <c r="K124" s="14" t="s">
        <v>691</v>
      </c>
      <c r="L124" s="14" t="s">
        <v>692</v>
      </c>
      <c r="M124" s="14" t="s">
        <v>693</v>
      </c>
      <c r="N124" s="5" t="s">
        <v>694</v>
      </c>
      <c r="O124" s="14" t="s">
        <v>695</v>
      </c>
      <c r="P124" s="5" t="s">
        <v>696</v>
      </c>
      <c r="Q124" s="5" t="s">
        <v>562</v>
      </c>
    </row>
    <row r="125" customFormat="false" ht="17.15" hidden="false" customHeight="false" outlineLevel="0" collapsed="false">
      <c r="A125" s="4" t="s">
        <v>697</v>
      </c>
      <c r="B125" s="0" t="s">
        <v>698</v>
      </c>
      <c r="C125" s="4" t="s">
        <v>699</v>
      </c>
      <c r="D125" s="19" t="n">
        <v>11.2945</v>
      </c>
      <c r="E125" s="19" t="n">
        <v>10.6035</v>
      </c>
      <c r="F125" s="19" t="n">
        <v>12.641</v>
      </c>
      <c r="G125" s="19" t="n">
        <v>11.5225</v>
      </c>
      <c r="H125" s="19" t="n">
        <v>10.776</v>
      </c>
      <c r="I125" s="19" t="n">
        <v>10.3025</v>
      </c>
      <c r="J125" s="19" t="n">
        <v>12.576</v>
      </c>
      <c r="K125" s="19" t="n">
        <v>15.254</v>
      </c>
      <c r="L125" s="19" t="n">
        <v>15.88</v>
      </c>
      <c r="M125" s="19" t="n">
        <v>18.911</v>
      </c>
      <c r="N125" s="8" t="n">
        <f aca="false">COUNT(D125:M125)</f>
        <v>10</v>
      </c>
      <c r="O125" s="18" t="n">
        <f aca="false">IF(N125&gt;0,MEDIAN(D125:M125),"")</f>
        <v>12.04925</v>
      </c>
      <c r="P125" s="18" t="n">
        <f aca="false">IF(N125&gt;=7,O125,"")</f>
        <v>12.04925</v>
      </c>
      <c r="Q125" s="8" t="s">
        <v>700</v>
      </c>
    </row>
    <row r="126" customFormat="false" ht="17.15" hidden="false" customHeight="false" outlineLevel="0" collapsed="false">
      <c r="A126" s="4" t="s">
        <v>563</v>
      </c>
      <c r="B126" s="0" t="s">
        <v>564</v>
      </c>
      <c r="C126" s="4" t="s">
        <v>701</v>
      </c>
      <c r="D126" s="19" t="n">
        <v>19.0835</v>
      </c>
      <c r="E126" s="19" t="n">
        <v>16.964</v>
      </c>
      <c r="F126" s="19" t="n">
        <v>17.317</v>
      </c>
      <c r="G126" s="19" t="n">
        <v>17.4535</v>
      </c>
      <c r="H126" s="19" t="n">
        <v>22.492</v>
      </c>
      <c r="I126" s="19" t="n">
        <v>20.004</v>
      </c>
      <c r="J126" s="19" t="n">
        <v>20.3925</v>
      </c>
      <c r="K126" s="19" t="n">
        <v>22.412</v>
      </c>
      <c r="L126" s="19" t="n">
        <v>22.3245</v>
      </c>
      <c r="M126" s="19" t="n">
        <v>32.9855</v>
      </c>
      <c r="N126" s="8" t="n">
        <f aca="false">COUNT(D126:M126)</f>
        <v>10</v>
      </c>
      <c r="O126" s="18" t="n">
        <f aca="false">IF(N126&gt;0,MEDIAN(D126:M126),"")</f>
        <v>20.19825</v>
      </c>
      <c r="P126" s="18" t="n">
        <f aca="false">IF(N126&gt;=7,O126,"")</f>
        <v>20.19825</v>
      </c>
      <c r="Q126" s="8" t="s">
        <v>702</v>
      </c>
    </row>
    <row r="127" customFormat="false" ht="17.15" hidden="false" customHeight="false" outlineLevel="0" collapsed="false">
      <c r="A127" s="0" t="s">
        <v>567</v>
      </c>
      <c r="B127" s="0" t="s">
        <v>568</v>
      </c>
      <c r="C127" s="4" t="s">
        <v>701</v>
      </c>
      <c r="G127" s="19" t="n">
        <v>15.7025</v>
      </c>
      <c r="H127" s="19" t="n">
        <v>19.634</v>
      </c>
      <c r="I127" s="19" t="n">
        <v>14.244</v>
      </c>
      <c r="J127" s="19" t="n">
        <v>13.886</v>
      </c>
      <c r="K127" s="19" t="n">
        <v>29.9615</v>
      </c>
      <c r="L127" s="19" t="n">
        <v>32.341</v>
      </c>
      <c r="M127" s="19" t="n">
        <v>34.732</v>
      </c>
      <c r="N127" s="8" t="n">
        <f aca="false">COUNT(D127:M127)</f>
        <v>7</v>
      </c>
      <c r="O127" s="18" t="n">
        <f aca="false">IF(N127&gt;0,MEDIAN(D127:M127),"")</f>
        <v>19.634</v>
      </c>
      <c r="P127" s="18" t="n">
        <f aca="false">IF(N127&gt;=7,O127,"")</f>
        <v>19.634</v>
      </c>
      <c r="Q127" s="8" t="s">
        <v>703</v>
      </c>
    </row>
    <row r="128" customFormat="false" ht="17.15" hidden="false" customHeight="false" outlineLevel="0" collapsed="false">
      <c r="A128" s="0" t="s">
        <v>570</v>
      </c>
      <c r="B128" s="0" t="s">
        <v>571</v>
      </c>
      <c r="C128" s="4" t="s">
        <v>701</v>
      </c>
      <c r="D128" s="19" t="n">
        <v>15.911</v>
      </c>
      <c r="E128" s="19" t="n">
        <v>14.952</v>
      </c>
      <c r="F128" s="19" t="n">
        <v>13.501</v>
      </c>
      <c r="G128" s="19" t="n">
        <v>20.2975</v>
      </c>
      <c r="H128" s="19" t="n">
        <v>23.5035</v>
      </c>
      <c r="I128" s="19" t="n">
        <v>18.7095</v>
      </c>
      <c r="J128" s="19" t="n">
        <v>20.514</v>
      </c>
      <c r="K128" s="19" t="n">
        <v>28.108</v>
      </c>
      <c r="L128" s="19" t="n">
        <v>27.2845</v>
      </c>
      <c r="M128" s="19" t="n">
        <v>27.122</v>
      </c>
      <c r="N128" s="8" t="n">
        <f aca="false">COUNT(D128:M128)</f>
        <v>10</v>
      </c>
      <c r="O128" s="18" t="n">
        <f aca="false">IF(N128&gt;0,MEDIAN(D128:M128),"")</f>
        <v>20.40575</v>
      </c>
      <c r="P128" s="18" t="n">
        <f aca="false">IF(N128&gt;=7,O128,"")</f>
        <v>20.40575</v>
      </c>
      <c r="Q128" s="8" t="s">
        <v>704</v>
      </c>
    </row>
    <row r="129" customFormat="false" ht="17.15" hidden="false" customHeight="false" outlineLevel="0" collapsed="false">
      <c r="A129" s="0" t="s">
        <v>572</v>
      </c>
      <c r="B129" s="0" t="s">
        <v>573</v>
      </c>
      <c r="C129" s="4" t="s">
        <v>701</v>
      </c>
      <c r="D129" s="19" t="n">
        <v>9.263</v>
      </c>
      <c r="E129" s="19" t="n">
        <v>7.8895</v>
      </c>
      <c r="F129" s="19" t="n">
        <v>5.7955</v>
      </c>
      <c r="G129" s="19" t="n">
        <v>6.5425</v>
      </c>
      <c r="H129" s="19" t="n">
        <v>7.915</v>
      </c>
      <c r="I129" s="19" t="n">
        <v>5.8745</v>
      </c>
      <c r="J129" s="19" t="n">
        <v>6.966</v>
      </c>
      <c r="K129" s="19" t="n">
        <v>11.761</v>
      </c>
      <c r="L129" s="19" t="n">
        <v>14.6165</v>
      </c>
      <c r="M129" s="19" t="n">
        <v>18.4415</v>
      </c>
      <c r="N129" s="8" t="n">
        <f aca="false">COUNT(D129:M129)</f>
        <v>10</v>
      </c>
      <c r="O129" s="18" t="n">
        <f aca="false">IF(N129&gt;0,MEDIAN(D129:M129),"")</f>
        <v>7.90225</v>
      </c>
      <c r="P129" s="18" t="n">
        <f aca="false">IF(N129&gt;=7,O129,"")</f>
        <v>7.90225</v>
      </c>
      <c r="Q129" s="8" t="s">
        <v>705</v>
      </c>
    </row>
    <row r="131" customFormat="false" ht="17.15" hidden="false" customHeight="false" outlineLevel="0" collapsed="false">
      <c r="A131" s="4" t="s">
        <v>706</v>
      </c>
      <c r="B131" s="18" t="n">
        <f aca="false">P125</f>
        <v>12.04925</v>
      </c>
      <c r="E131" s="4" t="s">
        <v>707</v>
      </c>
    </row>
    <row r="132" customFormat="false" ht="15" hidden="false" customHeight="false" outlineLevel="0" collapsed="false">
      <c r="A132" s="4" t="s">
        <v>708</v>
      </c>
      <c r="B132" s="37" t="n">
        <f aca="false">COUNT(P126:P129)</f>
        <v>4</v>
      </c>
    </row>
    <row r="133" customFormat="false" ht="17.15" hidden="false" customHeight="false" outlineLevel="0" collapsed="false">
      <c r="A133" s="4" t="s">
        <v>709</v>
      </c>
      <c r="B133" s="18" t="n">
        <f aca="false">IF(B132&gt;0,MEDIAN(P126:P129),"")</f>
        <v>19.916125</v>
      </c>
    </row>
    <row r="134" customFormat="false" ht="17.15" hidden="false" customHeight="false" outlineLevel="0" collapsed="false">
      <c r="A134" s="4" t="s">
        <v>710</v>
      </c>
      <c r="B134" s="18" t="n">
        <f aca="false">IF(AND(ISNUMBER(B131),B132&gt;=2),B131/B133,"")</f>
        <v>0.604999717565541</v>
      </c>
      <c r="E134" s="4" t="s">
        <v>711</v>
      </c>
    </row>
    <row r="135" customFormat="false" ht="17.15" hidden="false" customHeight="false" outlineLevel="0" collapsed="false">
      <c r="A135" s="4" t="s">
        <v>712</v>
      </c>
      <c r="B135" s="19" t="n">
        <v>0.5</v>
      </c>
      <c r="E135" s="8" t="s">
        <v>713</v>
      </c>
    </row>
    <row r="136" customFormat="false" ht="17.15" hidden="false" customHeight="false" outlineLevel="0" collapsed="false">
      <c r="A136" s="4" t="s">
        <v>714</v>
      </c>
      <c r="B136" s="19" t="n">
        <v>2</v>
      </c>
      <c r="E136" s="8" t="s">
        <v>715</v>
      </c>
    </row>
    <row r="137" customFormat="false" ht="17.15" hidden="false" customHeight="false" outlineLevel="0" collapsed="false">
      <c r="A137" s="1" t="s">
        <v>716</v>
      </c>
      <c r="B137" s="31" t="n">
        <f aca="false">IF(ISNUMBER(B134),MIN(MAX(B134,B135),B136),1)</f>
        <v>0.604999717565541</v>
      </c>
      <c r="E137" s="4" t="s">
        <v>717</v>
      </c>
    </row>
    <row r="138" customFormat="false" ht="17.15" hidden="false" customHeight="false" outlineLevel="0" collapsed="false">
      <c r="A138" s="6" t="s">
        <v>718</v>
      </c>
      <c r="B138" s="31" t="n">
        <f aca="false">Val!$B$36*B137</f>
        <v>319.851388054832</v>
      </c>
      <c r="E138" s="4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720</v>
      </c>
    </row>
    <row r="3" customFormat="false" ht="17.15" hidden="false" customHeight="false" outlineLevel="0" collapsed="false">
      <c r="A3" s="5" t="s">
        <v>22</v>
      </c>
      <c r="B3" s="5" t="s">
        <v>721</v>
      </c>
      <c r="C3" s="5" t="s">
        <v>722</v>
      </c>
      <c r="D3" s="5" t="s">
        <v>723</v>
      </c>
      <c r="E3" s="5" t="s">
        <v>724</v>
      </c>
      <c r="F3" s="5" t="s">
        <v>725</v>
      </c>
      <c r="G3" s="5" t="s">
        <v>726</v>
      </c>
      <c r="H3" s="5" t="s">
        <v>727</v>
      </c>
      <c r="I3" s="5" t="s">
        <v>728</v>
      </c>
      <c r="J3" s="5" t="s">
        <v>449</v>
      </c>
    </row>
    <row r="4" customFormat="false" ht="17.15" hidden="false" customHeight="false" outlineLevel="0" collapsed="false">
      <c r="A4" s="6" t="s">
        <v>729</v>
      </c>
    </row>
    <row r="5" customFormat="false" ht="17.15" hidden="false" customHeight="false" outlineLevel="0" collapsed="false">
      <c r="A5" s="0" t="s">
        <v>730</v>
      </c>
      <c r="B5" s="22" t="n">
        <f aca="false">cons_rev26</f>
        <v>219.778</v>
      </c>
      <c r="C5" s="22" t="n">
        <f aca="false">PL!D95</f>
        <v>212.73147</v>
      </c>
      <c r="D5" s="17" t="n">
        <f aca="false">C5/B5-1</f>
        <v>-0.0320620353265569</v>
      </c>
      <c r="E5" s="22" t="n">
        <f aca="false">PL!D138</f>
        <v>212.73147</v>
      </c>
      <c r="F5" s="17" t="n">
        <f aca="false">E5/B5-1</f>
        <v>-0.0320620353265569</v>
      </c>
      <c r="G5" s="22" t="n">
        <f aca="false">PL!D181</f>
        <v>212.73147</v>
      </c>
      <c r="H5" s="17" t="n">
        <f aca="false">G5/B5-1</f>
        <v>-0.0320620353265569</v>
      </c>
      <c r="I5" s="8" t="s">
        <v>731</v>
      </c>
      <c r="J5" s="8" t="s">
        <v>732</v>
      </c>
    </row>
    <row r="6" customFormat="false" ht="17.15" hidden="false" customHeight="false" outlineLevel="0" collapsed="false">
      <c r="A6" s="0" t="s">
        <v>733</v>
      </c>
      <c r="B6" s="23" t="n">
        <f aca="false">cons_eps26</f>
        <v>10.81</v>
      </c>
      <c r="C6" s="23" t="n">
        <f aca="false">PL!D113</f>
        <v>10.9452614149641</v>
      </c>
      <c r="D6" s="17" t="n">
        <f aca="false">C6/B6-1</f>
        <v>0.0125126193306282</v>
      </c>
      <c r="E6" s="23" t="n">
        <f aca="false">PL!D156</f>
        <v>10.9452614149641</v>
      </c>
      <c r="F6" s="17" t="n">
        <f aca="false">E6/B6-1</f>
        <v>0.0125126193306282</v>
      </c>
      <c r="G6" s="23" t="n">
        <f aca="false">PL!D199</f>
        <v>10.9452614149641</v>
      </c>
      <c r="H6" s="17" t="n">
        <f aca="false">G6/B6-1</f>
        <v>0.0125126193306282</v>
      </c>
      <c r="I6" s="8" t="s">
        <v>734</v>
      </c>
      <c r="J6" s="8" t="s">
        <v>735</v>
      </c>
    </row>
    <row r="7" customFormat="false" ht="17.15" hidden="false" customHeight="false" outlineLevel="0" collapsed="false">
      <c r="A7" s="0" t="s">
        <v>736</v>
      </c>
      <c r="B7" s="22" t="n">
        <f aca="false">cons_rev27</f>
        <v>292.383</v>
      </c>
      <c r="C7" s="22" t="n">
        <f aca="false">PL!E95</f>
        <v>323.076518719859</v>
      </c>
      <c r="D7" s="17" t="n">
        <f aca="false">C7/B7-1</f>
        <v>0.104977097573588</v>
      </c>
      <c r="E7" s="22" t="n">
        <f aca="false">PL!E138</f>
        <v>307.426813233141</v>
      </c>
      <c r="F7" s="17" t="n">
        <f aca="false">E7/B7-1</f>
        <v>0.051452421081736</v>
      </c>
      <c r="G7" s="22" t="n">
        <f aca="false">PL!E181</f>
        <v>283.952255003065</v>
      </c>
      <c r="H7" s="17" t="n">
        <f aca="false">G7/B7-1</f>
        <v>-0.0288345936560427</v>
      </c>
      <c r="I7" s="8" t="s">
        <v>734</v>
      </c>
    </row>
    <row r="8" customFormat="false" ht="17.15" hidden="false" customHeight="false" outlineLevel="0" collapsed="false">
      <c r="A8" s="0" t="s">
        <v>737</v>
      </c>
      <c r="B8" s="23" t="n">
        <f aca="false">cons_eps27</f>
        <v>14.99</v>
      </c>
      <c r="C8" s="23" t="n">
        <f aca="false">PL!E113</f>
        <v>20.6389246008751</v>
      </c>
      <c r="D8" s="17" t="n">
        <f aca="false">C8/B8-1</f>
        <v>0.376846204194472</v>
      </c>
      <c r="E8" s="23" t="n">
        <f aca="false">PL!E156</f>
        <v>18.7307122160826</v>
      </c>
      <c r="F8" s="17" t="n">
        <f aca="false">E8/B8-1</f>
        <v>0.249547179191633</v>
      </c>
      <c r="G8" s="23" t="n">
        <f aca="false">PL!E199</f>
        <v>16.2877499926945</v>
      </c>
      <c r="H8" s="17" t="n">
        <f aca="false">G8/B8-1</f>
        <v>0.0865743824345882</v>
      </c>
      <c r="I8" s="8" t="s">
        <v>734</v>
      </c>
      <c r="J8" s="4" t="s">
        <v>738</v>
      </c>
    </row>
    <row r="9" customFormat="false" ht="17.15" hidden="false" customHeight="false" outlineLevel="0" collapsed="false">
      <c r="A9" s="0" t="s">
        <v>739</v>
      </c>
      <c r="B9" s="22" t="n">
        <f aca="false">cons_rev28</f>
        <v>366.11</v>
      </c>
      <c r="C9" s="22" t="n">
        <f aca="false">PL!F95</f>
        <v>425.076527678923</v>
      </c>
      <c r="D9" s="17" t="n">
        <f aca="false">C9/B9-1</f>
        <v>0.161062324653581</v>
      </c>
      <c r="E9" s="22" t="n">
        <f aca="false">PL!F138</f>
        <v>335.14503666436</v>
      </c>
      <c r="F9" s="17" t="n">
        <f aca="false">E9/B9-1</f>
        <v>-0.0845783052515361</v>
      </c>
      <c r="G9" s="22" t="n">
        <f aca="false">PL!F181</f>
        <v>263.19984385271</v>
      </c>
      <c r="H9" s="17" t="n">
        <f aca="false">G9/B9-1</f>
        <v>-0.28109080917563</v>
      </c>
      <c r="I9" s="8" t="s">
        <v>734</v>
      </c>
    </row>
    <row r="10" customFormat="false" ht="17.15" hidden="false" customHeight="false" outlineLevel="0" collapsed="false">
      <c r="A10" s="0" t="s">
        <v>740</v>
      </c>
      <c r="B10" s="23" t="n">
        <f aca="false">cons_eps28</f>
        <v>20.74</v>
      </c>
      <c r="C10" s="23" t="n">
        <f aca="false">PL!F113</f>
        <v>30.2122562808426</v>
      </c>
      <c r="D10" s="17" t="n">
        <f aca="false">C10/B10-1</f>
        <v>0.456714381911408</v>
      </c>
      <c r="E10" s="23" t="n">
        <f aca="false">PL!F156</f>
        <v>20.9854243565742</v>
      </c>
      <c r="F10" s="17" t="n">
        <f aca="false">E10/B10-1</f>
        <v>0.0118333826699237</v>
      </c>
      <c r="G10" s="23" t="n">
        <f aca="false">PL!F199</f>
        <v>13.6737530226497</v>
      </c>
      <c r="H10" s="17" t="n">
        <f aca="false">G10/B10-1</f>
        <v>-0.340706218772919</v>
      </c>
      <c r="I10" s="8" t="s">
        <v>734</v>
      </c>
    </row>
    <row r="11" customFormat="false" ht="17.15" hidden="false" customHeight="false" outlineLevel="0" collapsed="false">
      <c r="A11" s="6" t="s">
        <v>741</v>
      </c>
    </row>
    <row r="12" customFormat="false" ht="17.15" hidden="false" customHeight="false" outlineLevel="0" collapsed="false">
      <c r="A12" s="0" t="s">
        <v>742</v>
      </c>
      <c r="B12" s="22" t="n">
        <f aca="false">d_pmk26</f>
        <v>10.5297921189287</v>
      </c>
      <c r="C12" s="22" t="n">
        <f aca="false">PL!D82</f>
        <v>10.5297921189287</v>
      </c>
      <c r="D12" s="17" t="n">
        <f aca="false">C12/B12-1</f>
        <v>4.66293670342566E-015</v>
      </c>
      <c r="E12" s="22" t="n">
        <f aca="false">PL!D125</f>
        <v>10.5297921189287</v>
      </c>
      <c r="F12" s="17" t="n">
        <f aca="false">E12/B12-1</f>
        <v>4.66293670342566E-015</v>
      </c>
      <c r="G12" s="22" t="n">
        <f aca="false">PL!D168</f>
        <v>10.5297921189287</v>
      </c>
      <c r="H12" s="17" t="n">
        <f aca="false">G12/B12-1</f>
        <v>4.66293670342566E-015</v>
      </c>
      <c r="I12" s="8" t="s">
        <v>743</v>
      </c>
      <c r="J12" s="4" t="s">
        <v>744</v>
      </c>
    </row>
    <row r="13" customFormat="false" ht="17.15" hidden="false" customHeight="false" outlineLevel="0" collapsed="false">
      <c r="A13" s="0" t="s">
        <v>745</v>
      </c>
      <c r="B13" s="22" t="n">
        <f aca="false">d_pmk27</f>
        <v>24.9880594956382</v>
      </c>
      <c r="C13" s="22" t="n">
        <f aca="false">PL!E82</f>
        <v>24.9880594956382</v>
      </c>
      <c r="D13" s="17" t="n">
        <f aca="false">C13/B13-1</f>
        <v>0</v>
      </c>
      <c r="E13" s="22" t="n">
        <f aca="false">PL!E125</f>
        <v>24.9880594956382</v>
      </c>
      <c r="F13" s="17" t="n">
        <f aca="false">E13/B13-1</f>
        <v>0</v>
      </c>
      <c r="G13" s="22" t="n">
        <f aca="false">PL!E168</f>
        <v>24.9880594956382</v>
      </c>
      <c r="H13" s="17" t="n">
        <f aca="false">G13/B13-1</f>
        <v>0</v>
      </c>
      <c r="I13" s="4" t="s">
        <v>39</v>
      </c>
    </row>
    <row r="14" customFormat="false" ht="17.15" hidden="false" customHeight="false" outlineLevel="0" collapsed="false">
      <c r="A14" s="0" t="s">
        <v>746</v>
      </c>
      <c r="B14" s="22" t="n">
        <f aca="false">d_pmk28</f>
        <v>35.8986539700486</v>
      </c>
      <c r="C14" s="22" t="n">
        <f aca="false">PL!F82</f>
        <v>35.8986539700486</v>
      </c>
      <c r="D14" s="17" t="n">
        <f aca="false">C14/B14-1</f>
        <v>0</v>
      </c>
      <c r="E14" s="22" t="n">
        <f aca="false">PL!F125</f>
        <v>28.7189231760389</v>
      </c>
      <c r="F14" s="17" t="n">
        <f aca="false">E14/B14-1</f>
        <v>-0.199999999999999</v>
      </c>
      <c r="G14" s="22" t="n">
        <f aca="false">PL!F168</f>
        <v>21.5391923820292</v>
      </c>
      <c r="H14" s="17" t="n">
        <f aca="false">G14/B14-1</f>
        <v>-0.399999999999999</v>
      </c>
      <c r="I14" s="4" t="s">
        <v>39</v>
      </c>
      <c r="J14" s="4" t="s">
        <v>747</v>
      </c>
    </row>
    <row r="15" customFormat="false" ht="17.15" hidden="false" customHeight="false" outlineLevel="0" collapsed="false">
      <c r="A15" s="0" t="s">
        <v>748</v>
      </c>
      <c r="C15" s="17" t="n">
        <f aca="false">PL!D86+d_sh26</f>
        <v>0.759815255723819</v>
      </c>
      <c r="E15" s="17" t="n">
        <f aca="false">PL!D129+d_sh26</f>
        <v>0.759815255723819</v>
      </c>
      <c r="G15" s="17" t="n">
        <f aca="false">PL!D172+d_sh26</f>
        <v>0.759815255723819</v>
      </c>
      <c r="I15" s="4" t="s">
        <v>749</v>
      </c>
      <c r="J15" s="4" t="s">
        <v>464</v>
      </c>
    </row>
    <row r="16" customFormat="false" ht="17.15" hidden="false" customHeight="false" outlineLevel="0" collapsed="false">
      <c r="A16" s="0" t="s">
        <v>750</v>
      </c>
      <c r="C16" s="17" t="n">
        <f aca="false">PL!E86+d_sh27</f>
        <v>0.748245990386685</v>
      </c>
      <c r="E16" s="17" t="n">
        <f aca="false">PL!E129+d_sh27</f>
        <v>0.730631658753981</v>
      </c>
      <c r="G16" s="17" t="n">
        <f aca="false">PL!E172+d_sh27</f>
        <v>0.704210161304924</v>
      </c>
      <c r="I16" s="4" t="s">
        <v>749</v>
      </c>
      <c r="J16" s="8" t="s">
        <v>56</v>
      </c>
    </row>
    <row r="17" customFormat="false" ht="17.15" hidden="false" customHeight="false" outlineLevel="0" collapsed="false">
      <c r="A17" s="0" t="s">
        <v>751</v>
      </c>
      <c r="C17" s="17" t="n">
        <f aca="false">PL!F86+d_sh28</f>
        <v>0.736676725049551</v>
      </c>
      <c r="E17" s="17" t="n">
        <f aca="false">PL!F129+d_sh28</f>
        <v>0.701448061784142</v>
      </c>
      <c r="G17" s="17" t="n">
        <f aca="false">PL!F172+d_sh28</f>
        <v>0.666219398518733</v>
      </c>
      <c r="I17" s="4" t="s">
        <v>749</v>
      </c>
      <c r="J17" s="8" t="s">
        <v>56</v>
      </c>
    </row>
    <row r="18" customFormat="false" ht="17.15" hidden="false" customHeight="false" outlineLevel="0" collapsed="false">
      <c r="A18" s="0" t="s">
        <v>752</v>
      </c>
      <c r="C18" s="17" t="n">
        <f aca="false">PL!G86+d_sh29</f>
        <v>0.716300293896064</v>
      </c>
      <c r="E18" s="17" t="n">
        <f aca="false">PL!G129+d_sh29</f>
        <v>0.672264464814303</v>
      </c>
      <c r="G18" s="17" t="n">
        <f aca="false">PL!G172+d_sh29</f>
        <v>0.628228635732541</v>
      </c>
      <c r="I18" s="4" t="s">
        <v>749</v>
      </c>
      <c r="J18" s="8" t="s">
        <v>56</v>
      </c>
    </row>
    <row r="19" customFormat="false" ht="17.15" hidden="false" customHeight="false" outlineLevel="0" collapsed="false">
      <c r="A19" s="0" t="s">
        <v>753</v>
      </c>
      <c r="B19" s="17" t="n">
        <f aca="false">kgi_dsh</f>
        <v>0.625</v>
      </c>
      <c r="C19" s="17" t="n">
        <f aca="false">d_sh26</f>
        <v>0.583671939396773</v>
      </c>
      <c r="D19" s="17" t="n">
        <f aca="false">C19-B19</f>
        <v>-0.041328060603227</v>
      </c>
      <c r="E19" s="17" t="n">
        <f aca="false">d_sh26</f>
        <v>0.583671939396773</v>
      </c>
      <c r="F19" s="17" t="n">
        <f aca="false">E19-B19</f>
        <v>-0.041328060603227</v>
      </c>
      <c r="G19" s="17" t="n">
        <f aca="false">d_sh26</f>
        <v>0.583671939396773</v>
      </c>
      <c r="H19" s="17" t="n">
        <f aca="false">G19-B19</f>
        <v>-0.041328060603227</v>
      </c>
      <c r="I19" s="4" t="s">
        <v>754</v>
      </c>
      <c r="J19" s="4" t="s">
        <v>755</v>
      </c>
    </row>
    <row r="20" customFormat="false" ht="17.15" hidden="false" customHeight="false" outlineLevel="0" collapsed="false">
      <c r="A20" s="0" t="s">
        <v>756</v>
      </c>
      <c r="C20" s="18" t="n">
        <f aca="false">PL!E86/d_sh27</f>
        <v>0.349435025291414</v>
      </c>
      <c r="E20" s="18" t="n">
        <f aca="false">PL!E129/d_sh27</f>
        <v>0.317668204810376</v>
      </c>
      <c r="G20" s="18" t="n">
        <f aca="false">PL!E172/d_sh27</f>
        <v>0.27001797408882</v>
      </c>
      <c r="I20" s="4" t="s">
        <v>757</v>
      </c>
      <c r="J20" s="4" t="s">
        <v>758</v>
      </c>
    </row>
    <row r="21" customFormat="false" ht="17.15" hidden="false" customHeight="false" outlineLevel="0" collapsed="false">
      <c r="A21" s="0" t="s">
        <v>759</v>
      </c>
      <c r="C21" s="21" t="n">
        <f aca="false">PL!E99</f>
        <v>129.1717653065</v>
      </c>
      <c r="E21" s="21" t="n">
        <f aca="false">PL!E142</f>
        <v>117.428877551364</v>
      </c>
      <c r="G21" s="21" t="n">
        <f aca="false">PL!E185</f>
        <v>99.8145459186593</v>
      </c>
      <c r="I21" s="8" t="s">
        <v>56</v>
      </c>
      <c r="J21" s="4" t="s">
        <v>760</v>
      </c>
    </row>
    <row r="22" customFormat="false" ht="17.15" hidden="false" customHeight="false" outlineLevel="0" collapsed="false">
      <c r="A22" s="6" t="s">
        <v>761</v>
      </c>
    </row>
    <row r="23" customFormat="false" ht="17.15" hidden="false" customHeight="false" outlineLevel="0" collapsed="false">
      <c r="A23" s="4" t="s">
        <v>762</v>
      </c>
      <c r="C23" s="17" t="n">
        <f aca="false">PL!D101</f>
        <v>0.216982337009188</v>
      </c>
      <c r="E23" s="17" t="n">
        <f aca="false">PL!D144</f>
        <v>0.216982337009188</v>
      </c>
      <c r="G23" s="17" t="n">
        <f aca="false">PL!D187</f>
        <v>0.216982337009188</v>
      </c>
      <c r="I23" s="8" t="s">
        <v>763</v>
      </c>
      <c r="J23" s="8" t="s">
        <v>764</v>
      </c>
    </row>
    <row r="24" customFormat="false" ht="17.15" hidden="false" customHeight="false" outlineLevel="0" collapsed="false">
      <c r="A24" s="0" t="s">
        <v>765</v>
      </c>
      <c r="B24" s="17" t="n">
        <f aca="false">a26_gp/a26_rev</f>
        <v>0.254182337009188</v>
      </c>
      <c r="C24" s="17" t="n">
        <f aca="false">PL!E104</f>
        <v>0.286251001085053</v>
      </c>
      <c r="D24" s="17" t="n">
        <f aca="false">C24-B24</f>
        <v>0.0320686640758649</v>
      </c>
      <c r="E24" s="17" t="n">
        <f aca="false">PL!E147</f>
        <v>0.278068897373131</v>
      </c>
      <c r="F24" s="17" t="n">
        <f aca="false">E24-B24</f>
        <v>0.0238865603639425</v>
      </c>
      <c r="G24" s="17" t="n">
        <f aca="false">PL!E190</f>
        <v>0.268513798275177</v>
      </c>
      <c r="H24" s="17" t="n">
        <f aca="false">G24-B24</f>
        <v>0.0143314612659889</v>
      </c>
      <c r="I24" s="4" t="s">
        <v>766</v>
      </c>
      <c r="J24" s="8" t="s">
        <v>767</v>
      </c>
    </row>
    <row r="25" customFormat="false" ht="17.15" hidden="false" customHeight="false" outlineLevel="0" collapsed="false">
      <c r="A25" s="0" t="s">
        <v>768</v>
      </c>
      <c r="B25" s="17" t="n">
        <f aca="false">8.203/52.703</f>
        <v>0.155645788664782</v>
      </c>
      <c r="C25" s="17" t="n">
        <f aca="false">PL!E108</f>
        <v>0.17988593301611</v>
      </c>
      <c r="D25" s="17" t="n">
        <f aca="false">C25-B25</f>
        <v>0.0242401443513279</v>
      </c>
      <c r="E25" s="17" t="n">
        <f aca="false">PL!E151</f>
        <v>0.170512151429545</v>
      </c>
      <c r="F25" s="17" t="n">
        <f aca="false">E25-B25</f>
        <v>0.0148663627647634</v>
      </c>
      <c r="G25" s="17" t="n">
        <f aca="false">PL!E194</f>
        <v>0.158923243130971</v>
      </c>
      <c r="H25" s="17" t="n">
        <f aca="false">G25-B25</f>
        <v>0.00327745446618896</v>
      </c>
      <c r="I25" s="8" t="s">
        <v>769</v>
      </c>
    </row>
    <row r="26" customFormat="false" ht="17.15" hidden="false" customHeight="false" outlineLevel="0" collapsed="false">
      <c r="A26" s="0" t="s">
        <v>770</v>
      </c>
      <c r="C26" s="18" t="n">
        <f aca="false">Q!E15</f>
        <v>3.11358730576668</v>
      </c>
      <c r="E26" s="18" t="n">
        <f aca="false">Q!E15</f>
        <v>3.11358730576668</v>
      </c>
      <c r="G26" s="18" t="n">
        <f aca="false">Q!E15</f>
        <v>3.11358730576668</v>
      </c>
      <c r="I26" s="8" t="s">
        <v>56</v>
      </c>
      <c r="J26" s="8" t="s">
        <v>771</v>
      </c>
    </row>
    <row r="27" customFormat="false" ht="17.15" hidden="false" customHeight="false" outlineLevel="0" collapsed="false">
      <c r="A27" s="6" t="s">
        <v>772</v>
      </c>
    </row>
    <row r="28" customFormat="false" ht="17.15" hidden="false" customHeight="false" outlineLevel="0" collapsed="false">
      <c r="A28" s="0" t="s">
        <v>773</v>
      </c>
      <c r="J28" s="4" t="s">
        <v>774</v>
      </c>
    </row>
    <row r="29" customFormat="false" ht="17.15" hidden="false" customHeight="false" outlineLevel="0" collapsed="false">
      <c r="A29" s="6" t="s">
        <v>775</v>
      </c>
    </row>
    <row r="30" customFormat="false" ht="17.15" hidden="false" customHeight="false" outlineLevel="0" collapsed="false">
      <c r="A30" s="0" t="s">
        <v>776</v>
      </c>
      <c r="B30" s="18" t="n">
        <f aca="false">cons_feps</f>
        <v>12.9695431472081</v>
      </c>
      <c r="C30" s="18" t="n">
        <f aca="false">Val!B35</f>
        <v>21.711713637032</v>
      </c>
      <c r="D30" s="17" t="n">
        <f aca="false">C30/B30-1</f>
        <v>0.674053849900312</v>
      </c>
      <c r="I30" s="8" t="s">
        <v>777</v>
      </c>
      <c r="J30" s="4" t="s">
        <v>778</v>
      </c>
    </row>
    <row r="31" customFormat="false" ht="17.15" hidden="false" customHeight="false" outlineLevel="0" collapsed="false">
      <c r="A31" s="4" t="s">
        <v>779</v>
      </c>
      <c r="B31" s="18" t="n">
        <f aca="false">cons_tp</f>
        <v>314.25</v>
      </c>
      <c r="C31" s="18" t="n">
        <f aca="false">Val!B40</f>
        <v>319.137160914582</v>
      </c>
      <c r="D31" s="17" t="n">
        <f aca="false">C31/B31-1</f>
        <v>0.0155518247082955</v>
      </c>
      <c r="I31" s="8" t="s">
        <v>780</v>
      </c>
      <c r="J31" s="4" t="s">
        <v>778</v>
      </c>
    </row>
    <row r="32" customFormat="false" ht="17.15" hidden="false" customHeight="false" outlineLevel="0" collapsed="false">
      <c r="A32" s="0" t="s">
        <v>781</v>
      </c>
      <c r="B32" s="18" t="n">
        <f aca="false">cons_tp</f>
        <v>314.25</v>
      </c>
      <c r="C32" s="18" t="n">
        <f aca="false">Val!B36</f>
        <v>528.680227061729</v>
      </c>
      <c r="D32" s="17" t="n">
        <f aca="false">C32/B32-1</f>
        <v>0.682355535598181</v>
      </c>
      <c r="I32" s="4" t="s">
        <v>39</v>
      </c>
      <c r="J32" s="4" t="s">
        <v>778</v>
      </c>
    </row>
    <row r="33" customFormat="false" ht="17.15" hidden="false" customHeight="false" outlineLevel="0" collapsed="false">
      <c r="A33" s="6" t="s">
        <v>782</v>
      </c>
    </row>
    <row r="34" customFormat="false" ht="17.15" hidden="false" customHeight="false" outlineLevel="0" collapsed="false">
      <c r="A34" s="0" t="s">
        <v>783</v>
      </c>
      <c r="B34" s="17" t="n">
        <v>0.7</v>
      </c>
      <c r="C34" s="17" t="n">
        <f aca="false">PL!D91/PL!C91-1</f>
        <v>0.55179331114266</v>
      </c>
      <c r="D34" s="17" t="n">
        <f aca="false">C34-B34</f>
        <v>-0.14820668885734</v>
      </c>
      <c r="E34" s="17" t="n">
        <f aca="false">PL!D134/PL!C134-1</f>
        <v>0.55179331114266</v>
      </c>
      <c r="F34" s="17" t="n">
        <f aca="false">E34-B34</f>
        <v>-0.14820668885734</v>
      </c>
      <c r="G34" s="17" t="n">
        <f aca="false">PL!D177/PL!C177-1</f>
        <v>0.55179331114266</v>
      </c>
      <c r="H34" s="17" t="n">
        <f aca="false">G34-B34</f>
        <v>-0.14820668885734</v>
      </c>
      <c r="I34" s="4" t="s">
        <v>784</v>
      </c>
      <c r="J34" s="4" t="s">
        <v>785</v>
      </c>
    </row>
    <row r="35" customFormat="false" ht="17.15" hidden="false" customHeight="false" outlineLevel="0" collapsed="false">
      <c r="A35" s="0" t="s">
        <v>786</v>
      </c>
      <c r="B35" s="17" t="n">
        <f aca="false">6.9/28.9</f>
        <v>0.238754325259516</v>
      </c>
      <c r="I35" s="8" t="s">
        <v>787</v>
      </c>
      <c r="J35" s="4" t="s">
        <v>788</v>
      </c>
    </row>
    <row r="36" customFormat="false" ht="17.15" hidden="false" customHeight="false" outlineLevel="0" collapsed="false">
      <c r="A36" s="0" t="s">
        <v>789</v>
      </c>
      <c r="B36" s="17" t="n">
        <f aca="false">0.729/8</f>
        <v>0.091125</v>
      </c>
      <c r="I36" s="8" t="s">
        <v>787</v>
      </c>
      <c r="J36" s="4" t="s">
        <v>790</v>
      </c>
    </row>
    <row r="37" customFormat="false" ht="17.15" hidden="false" customHeight="false" outlineLevel="0" collapsed="false">
      <c r="A37" s="0" t="s">
        <v>791</v>
      </c>
      <c r="B37" s="17" t="n">
        <f aca="false">1.4/15.8</f>
        <v>0.0886075949367089</v>
      </c>
      <c r="I37" s="8" t="s">
        <v>787</v>
      </c>
      <c r="J37" s="4" t="s">
        <v>792</v>
      </c>
    </row>
    <row r="38" customFormat="false" ht="17.15" hidden="false" customHeight="false" outlineLevel="0" collapsed="false">
      <c r="A38" s="0" t="s">
        <v>793</v>
      </c>
      <c r="B38" s="18" t="n">
        <f aca="false">6.9+0.729+1.4-8.203</f>
        <v>0.826000000000001</v>
      </c>
      <c r="I38" s="8" t="s">
        <v>787</v>
      </c>
      <c r="J38" s="4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795</v>
      </c>
    </row>
    <row r="3" customFormat="false" ht="17.15" hidden="false" customHeight="false" outlineLevel="0" collapsed="false">
      <c r="A3" s="5" t="s">
        <v>796</v>
      </c>
      <c r="B3" s="5" t="s">
        <v>797</v>
      </c>
      <c r="C3" s="14" t="s">
        <v>798</v>
      </c>
      <c r="D3" s="14" t="s">
        <v>799</v>
      </c>
      <c r="E3" s="14" t="s">
        <v>800</v>
      </c>
      <c r="F3" s="14" t="s">
        <v>621</v>
      </c>
      <c r="G3" s="14" t="s">
        <v>801</v>
      </c>
      <c r="H3" s="14" t="s">
        <v>802</v>
      </c>
      <c r="I3" s="14" t="s">
        <v>803</v>
      </c>
      <c r="J3" s="14" t="s">
        <v>804</v>
      </c>
      <c r="K3" s="14" t="s">
        <v>805</v>
      </c>
      <c r="L3" s="14" t="s">
        <v>806</v>
      </c>
    </row>
    <row r="4" customFormat="false" ht="17.15" hidden="false" customHeight="false" outlineLevel="0" collapsed="false">
      <c r="A4" s="4" t="s">
        <v>807</v>
      </c>
      <c r="B4" s="0" t="s">
        <v>808</v>
      </c>
      <c r="C4" s="22" t="n">
        <f aca="false">PL!E138</f>
        <v>307.426813233141</v>
      </c>
      <c r="D4" s="22" t="n">
        <f aca="false">PL!E131</f>
        <v>156.497054867173</v>
      </c>
      <c r="E4" s="17" t="n">
        <f aca="false">PL!E147</f>
        <v>0.278068897373131</v>
      </c>
      <c r="F4" s="18" t="n">
        <f aca="false">PL!E156</f>
        <v>18.7307122160826</v>
      </c>
      <c r="G4" s="17" t="n">
        <f aca="false">F4/F$4-1</f>
        <v>0</v>
      </c>
      <c r="H4" s="22" t="n">
        <f aca="false">PL!F138</f>
        <v>335.14503666436</v>
      </c>
      <c r="I4" s="22" t="n">
        <f aca="false">PL!F131</f>
        <v>179.862982029125</v>
      </c>
      <c r="J4" s="17" t="n">
        <f aca="false">PL!F147</f>
        <v>0.281382985929168</v>
      </c>
      <c r="K4" s="18" t="n">
        <f aca="false">PL!F156</f>
        <v>20.9854243565742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809</v>
      </c>
      <c r="B5" s="4" t="s">
        <v>810</v>
      </c>
      <c r="C5" s="22" t="n">
        <f aca="false">E70</f>
        <v>283.952255003065</v>
      </c>
      <c r="D5" s="22" t="n">
        <f aca="false">E63</f>
        <v>133.022496637097</v>
      </c>
      <c r="E5" s="17" t="n">
        <f aca="false">E79</f>
        <v>0.273198476572085</v>
      </c>
      <c r="F5" s="18" t="n">
        <f aca="false">E88</f>
        <v>16.7333161186077</v>
      </c>
      <c r="G5" s="17" t="n">
        <f aca="false">F5/F$4-1</f>
        <v>-0.106637487909287</v>
      </c>
      <c r="H5" s="22" t="n">
        <f aca="false">F70</f>
        <v>299.172440258535</v>
      </c>
      <c r="I5" s="22" t="n">
        <f aca="false">F63</f>
        <v>143.8903856233</v>
      </c>
      <c r="J5" s="17" t="n">
        <f aca="false">F79</f>
        <v>0.274697700964085</v>
      </c>
      <c r="K5" s="18" t="n">
        <f aca="false">F88</f>
        <v>17.8852500991574</v>
      </c>
      <c r="L5" s="17" t="n">
        <f aca="false">K5/K$4-1</f>
        <v>-0.147729881690271</v>
      </c>
    </row>
    <row r="6" customFormat="false" ht="17.15" hidden="false" customHeight="false" outlineLevel="0" collapsed="false">
      <c r="A6" s="4" t="s">
        <v>811</v>
      </c>
      <c r="B6" s="4" t="s">
        <v>812</v>
      </c>
      <c r="C6" s="22" t="n">
        <f aca="false">E113</f>
        <v>323.076518719859</v>
      </c>
      <c r="D6" s="22" t="n">
        <f aca="false">E106</f>
        <v>172.14676035389</v>
      </c>
      <c r="E6" s="17" t="n">
        <f aca="false">E122</f>
        <v>0.280922642309987</v>
      </c>
      <c r="F6" s="18" t="n">
        <f aca="false">E131</f>
        <v>20.0623096143992</v>
      </c>
      <c r="G6" s="17" t="n">
        <f aca="false">F6/F$4-1</f>
        <v>0.0710916586061918</v>
      </c>
      <c r="H6" s="22" t="n">
        <f aca="false">F113</f>
        <v>371.117633070185</v>
      </c>
      <c r="I6" s="22" t="n">
        <f aca="false">F106</f>
        <v>215.83557843495</v>
      </c>
      <c r="J6" s="17" t="n">
        <f aca="false">F122</f>
        <v>0.286772255633981</v>
      </c>
      <c r="K6" s="18" t="n">
        <f aca="false">F131</f>
        <v>24.1118555541017</v>
      </c>
      <c r="L6" s="17" t="n">
        <f aca="false">K6/K$4-1</f>
        <v>0.148981080601693</v>
      </c>
    </row>
    <row r="7" customFormat="false" ht="17.15" hidden="false" customHeight="false" outlineLevel="0" collapsed="false">
      <c r="A7" s="4" t="s">
        <v>813</v>
      </c>
      <c r="B7" s="4" t="s">
        <v>814</v>
      </c>
      <c r="C7" s="22" t="n">
        <f aca="false">E156</f>
        <v>305.367641458573</v>
      </c>
      <c r="D7" s="22" t="n">
        <f aca="false">E149</f>
        <v>154.437883092605</v>
      </c>
      <c r="E7" s="17" t="n">
        <f aca="false">E165</f>
        <v>0.277671629046134</v>
      </c>
      <c r="F7" s="18" t="n">
        <f aca="false">E174</f>
        <v>18.5555020320936</v>
      </c>
      <c r="G7" s="17" t="n">
        <f aca="false">F7/F$4-1</f>
        <v>-0.00935416560607805</v>
      </c>
      <c r="H7" s="22" t="n">
        <f aca="false">F156</f>
        <v>327.557937190221</v>
      </c>
      <c r="I7" s="22" t="n">
        <f aca="false">F149</f>
        <v>172.275882554986</v>
      </c>
      <c r="J7" s="17" t="n">
        <f aca="false">F165</f>
        <v>0.280095159381717</v>
      </c>
      <c r="K7" s="18" t="n">
        <f aca="false">F174</f>
        <v>20.3247984831017</v>
      </c>
      <c r="L7" s="17" t="n">
        <f aca="false">K7/K$4-1</f>
        <v>-0.0314802246667738</v>
      </c>
    </row>
    <row r="8" customFormat="false" ht="17.15" hidden="false" customHeight="false" outlineLevel="0" collapsed="false">
      <c r="A8" s="4" t="s">
        <v>815</v>
      </c>
      <c r="B8" s="4" t="s">
        <v>816</v>
      </c>
      <c r="C8" s="22" t="n">
        <f aca="false">E199</f>
        <v>308.931592606864</v>
      </c>
      <c r="D8" s="22" t="n">
        <f aca="false">E192</f>
        <v>158.001834240896</v>
      </c>
      <c r="E8" s="17" t="n">
        <f aca="false">E208</f>
        <v>0.278355859700458</v>
      </c>
      <c r="F8" s="18" t="n">
        <f aca="false">E217</f>
        <v>18.8587504274592</v>
      </c>
      <c r="G8" s="17" t="n">
        <f aca="false">F8/F$4-1</f>
        <v>0.00683573640444157</v>
      </c>
      <c r="H8" s="22" t="n">
        <f aca="false">F199</f>
        <v>338.400475253123</v>
      </c>
      <c r="I8" s="22" t="n">
        <f aca="false">F192</f>
        <v>183.118420617888</v>
      </c>
      <c r="J8" s="17" t="n">
        <f aca="false">F208</f>
        <v>0.281917855961134</v>
      </c>
      <c r="K8" s="18" t="n">
        <f aca="false">F217</f>
        <v>21.2677452284095</v>
      </c>
      <c r="L8" s="17" t="n">
        <f aca="false">K8/K$4-1</f>
        <v>0.0134531886054918</v>
      </c>
    </row>
    <row r="9" customFormat="false" ht="17.15" hidden="false" customHeight="false" outlineLevel="0" collapsed="false">
      <c r="A9" s="0" t="s">
        <v>817</v>
      </c>
      <c r="B9" s="0" t="s">
        <v>818</v>
      </c>
      <c r="C9" s="22" t="n">
        <f aca="false">E242</f>
        <v>276.127402259707</v>
      </c>
      <c r="D9" s="22" t="n">
        <f aca="false">E235</f>
        <v>125.197643893738</v>
      </c>
      <c r="E9" s="17" t="n">
        <f aca="false">E251</f>
        <v>0.271390980064173</v>
      </c>
      <c r="F9" s="18" t="n">
        <f aca="false">E260</f>
        <v>16.0675174194495</v>
      </c>
      <c r="G9" s="17" t="n">
        <f aca="false">F9/F$4-1</f>
        <v>-0.142183317212383</v>
      </c>
      <c r="H9" s="22" t="n">
        <f aca="false">F242</f>
        <v>299.172440258535</v>
      </c>
      <c r="I9" s="22" t="n">
        <f aca="false">F235</f>
        <v>143.8903856233</v>
      </c>
      <c r="J9" s="17" t="n">
        <f aca="false">F251</f>
        <v>0.274697700964085</v>
      </c>
      <c r="K9" s="18" t="n">
        <f aca="false">F260</f>
        <v>17.8975320397541</v>
      </c>
      <c r="L9" s="17" t="n">
        <f aca="false">K9/K$4-1</f>
        <v>-0.147144621159531</v>
      </c>
    </row>
    <row r="10" customFormat="false" ht="17.15" hidden="false" customHeight="false" outlineLevel="0" collapsed="false">
      <c r="A10" s="0" t="s">
        <v>819</v>
      </c>
      <c r="B10" s="0" t="s">
        <v>820</v>
      </c>
      <c r="C10" s="22" t="n">
        <f aca="false">E285</f>
        <v>338.726224206576</v>
      </c>
      <c r="D10" s="22" t="n">
        <f aca="false">E278</f>
        <v>187.796465840608</v>
      </c>
      <c r="E10" s="17" t="n">
        <f aca="false">E294</f>
        <v>0.283512691881061</v>
      </c>
      <c r="F10" s="18" t="n">
        <f aca="false">E303</f>
        <v>21.3939070127157</v>
      </c>
      <c r="G10" s="17" t="n">
        <f aca="false">F10/F$4-1</f>
        <v>0.142183317212383</v>
      </c>
      <c r="H10" s="22" t="n">
        <f aca="false">F285</f>
        <v>371.117633070185</v>
      </c>
      <c r="I10" s="22" t="n">
        <f aca="false">F278</f>
        <v>215.83557843495</v>
      </c>
      <c r="J10" s="17" t="n">
        <f aca="false">F294</f>
        <v>0.286772255633981</v>
      </c>
      <c r="K10" s="18" t="n">
        <f aca="false">F303</f>
        <v>24.0755137157994</v>
      </c>
      <c r="L10" s="17" t="n">
        <f aca="false">K10/K$4-1</f>
        <v>0.147249314892082</v>
      </c>
    </row>
    <row r="11" customFormat="false" ht="17.15" hidden="false" customHeight="false" outlineLevel="0" collapsed="false">
      <c r="A11" s="0" t="s">
        <v>821</v>
      </c>
      <c r="B11" s="0" t="s">
        <v>822</v>
      </c>
      <c r="C11" s="22" t="n">
        <f aca="false">E328</f>
        <v>307.426813233141</v>
      </c>
      <c r="D11" s="22" t="n">
        <f aca="false">E321</f>
        <v>156.497054867173</v>
      </c>
      <c r="E11" s="17" t="n">
        <f aca="false">E337</f>
        <v>0.27010671058515</v>
      </c>
      <c r="F11" s="18" t="n">
        <f aca="false">E346</f>
        <v>17.9108116684511</v>
      </c>
      <c r="G11" s="17" t="n">
        <f aca="false">F11/F$4-1</f>
        <v>-0.0437730577552442</v>
      </c>
      <c r="H11" s="22" t="n">
        <f aca="false">F328</f>
        <v>335.14503666436</v>
      </c>
      <c r="I11" s="22" t="n">
        <f aca="false">F321</f>
        <v>179.862982029125</v>
      </c>
      <c r="J11" s="17" t="n">
        <f aca="false">F337</f>
        <v>0.272316102955841</v>
      </c>
      <c r="K11" s="18" t="n">
        <f aca="false">F346</f>
        <v>19.9675882005582</v>
      </c>
      <c r="L11" s="17" t="n">
        <f aca="false">K11/K$4-1</f>
        <v>-0.0485020526019114</v>
      </c>
    </row>
    <row r="12" customFormat="false" ht="17.15" hidden="false" customHeight="false" outlineLevel="0" collapsed="false">
      <c r="A12" s="0" t="s">
        <v>823</v>
      </c>
      <c r="B12" s="4" t="s">
        <v>824</v>
      </c>
      <c r="C12" s="22" t="n">
        <f aca="false">E371</f>
        <v>307.426813233141</v>
      </c>
      <c r="D12" s="22" t="n">
        <f aca="false">E364</f>
        <v>156.497054867173</v>
      </c>
      <c r="E12" s="17" t="n">
        <f aca="false">E380</f>
        <v>0.286031084161112</v>
      </c>
      <c r="F12" s="18" t="n">
        <f aca="false">E389</f>
        <v>19.550612763714</v>
      </c>
      <c r="G12" s="17" t="n">
        <f aca="false">F12/F$4-1</f>
        <v>0.0437730577552447</v>
      </c>
      <c r="H12" s="22" t="n">
        <f aca="false">F371</f>
        <v>335.14503666436</v>
      </c>
      <c r="I12" s="22" t="n">
        <f aca="false">F364</f>
        <v>179.862982029125</v>
      </c>
      <c r="J12" s="17" t="n">
        <f aca="false">F380</f>
        <v>0.290449868902494</v>
      </c>
      <c r="K12" s="18" t="n">
        <f aca="false">F389</f>
        <v>22.0032605125902</v>
      </c>
      <c r="L12" s="17" t="n">
        <f aca="false">K12/K$4-1</f>
        <v>0.048502052601912</v>
      </c>
    </row>
    <row r="13" customFormat="false" ht="17.15" hidden="false" customHeight="false" outlineLevel="0" collapsed="false">
      <c r="A13" s="0" t="s">
        <v>825</v>
      </c>
      <c r="B13" s="0" t="s">
        <v>826</v>
      </c>
      <c r="C13" s="22" t="n">
        <f aca="false">E414</f>
        <v>307.426813233141</v>
      </c>
      <c r="D13" s="22" t="n">
        <f aca="false">E407</f>
        <v>156.497054867173</v>
      </c>
      <c r="E13" s="17" t="n">
        <f aca="false">E423</f>
        <v>0.272978350676136</v>
      </c>
      <c r="F13" s="18" t="n">
        <f aca="false">E432</f>
        <v>18.2065167738317</v>
      </c>
      <c r="G13" s="17" t="n">
        <f aca="false">F13/F$4-1</f>
        <v>-0.0279858788178278</v>
      </c>
      <c r="H13" s="22" t="n">
        <f aca="false">F414</f>
        <v>335.14503666436</v>
      </c>
      <c r="I13" s="22" t="n">
        <f aca="false">F407</f>
        <v>179.862982029125</v>
      </c>
      <c r="J13" s="17" t="n">
        <f aca="false">F423</f>
        <v>0.27333290481417</v>
      </c>
      <c r="K13" s="18" t="n">
        <f aca="false">F432</f>
        <v>20.0817330172451</v>
      </c>
      <c r="L13" s="17" t="n">
        <f aca="false">K13/K$4-1</f>
        <v>-0.0430628098805178</v>
      </c>
    </row>
    <row r="14" customFormat="false" ht="17.15" hidden="false" customHeight="false" outlineLevel="0" collapsed="false">
      <c r="A14" s="0" t="s">
        <v>827</v>
      </c>
      <c r="B14" s="0" t="s">
        <v>828</v>
      </c>
      <c r="C14" s="22" t="n">
        <f aca="false">E457</f>
        <v>307.426813233141</v>
      </c>
      <c r="D14" s="22" t="n">
        <f aca="false">E450</f>
        <v>156.497054867173</v>
      </c>
      <c r="E14" s="17" t="n">
        <f aca="false">E466</f>
        <v>0.283159444070126</v>
      </c>
      <c r="F14" s="18" t="n">
        <f aca="false">E475</f>
        <v>19.2549076583335</v>
      </c>
      <c r="G14" s="17" t="n">
        <f aca="false">F14/F$4-1</f>
        <v>0.0279858788178278</v>
      </c>
      <c r="H14" s="22" t="n">
        <f aca="false">F457</f>
        <v>335.14503666436</v>
      </c>
      <c r="I14" s="22" t="n">
        <f aca="false">F450</f>
        <v>179.862982029125</v>
      </c>
      <c r="J14" s="17" t="n">
        <f aca="false">F466</f>
        <v>0.289433067044165</v>
      </c>
      <c r="K14" s="18" t="n">
        <f aca="false">F475</f>
        <v>21.8891156959034</v>
      </c>
      <c r="L14" s="17" t="n">
        <f aca="false">K14/K$4-1</f>
        <v>0.0430628098805179</v>
      </c>
    </row>
    <row r="15" customFormat="false" ht="17.15" hidden="false" customHeight="false" outlineLevel="0" collapsed="false">
      <c r="A15" s="4" t="s">
        <v>829</v>
      </c>
      <c r="B15" s="4" t="s">
        <v>830</v>
      </c>
      <c r="C15" s="22" t="n">
        <f aca="false">E500</f>
        <v>300.087577518141</v>
      </c>
      <c r="D15" s="22" t="n">
        <f aca="false">E493</f>
        <v>156.497054867173</v>
      </c>
      <c r="E15" s="17" t="n">
        <f aca="false">E509</f>
        <v>0.279562890124305</v>
      </c>
      <c r="F15" s="18" t="n">
        <f aca="false">E518</f>
        <v>18.4012316073636</v>
      </c>
      <c r="G15" s="17" t="n">
        <f aca="false">F15/F$4-1</f>
        <v>-0.0175903940500501</v>
      </c>
      <c r="H15" s="22" t="n">
        <f aca="false">F500</f>
        <v>320.419022613513</v>
      </c>
      <c r="I15" s="22" t="n">
        <f aca="false">F493</f>
        <v>179.862982029125</v>
      </c>
      <c r="J15" s="17" t="n">
        <f aca="false">F509</f>
        <v>0.284342750468563</v>
      </c>
      <c r="K15" s="18" t="n">
        <f aca="false">F518</f>
        <v>20.3024937263959</v>
      </c>
      <c r="L15" s="17" t="n">
        <f aca="false">K15/K$4-1</f>
        <v>-0.0325430936527297</v>
      </c>
    </row>
    <row r="16" customFormat="false" ht="17.15" hidden="false" customHeight="false" outlineLevel="0" collapsed="false">
      <c r="A16" s="4" t="s">
        <v>831</v>
      </c>
      <c r="B16" s="4" t="s">
        <v>832</v>
      </c>
      <c r="C16" s="22" t="n">
        <f aca="false">E543</f>
        <v>314.766048948141</v>
      </c>
      <c r="D16" s="22" t="n">
        <f aca="false">E536</f>
        <v>156.497054867173</v>
      </c>
      <c r="E16" s="17" t="n">
        <f aca="false">E552</f>
        <v>0.276644573920752</v>
      </c>
      <c r="F16" s="18" t="n">
        <f aca="false">E561</f>
        <v>19.0601928248016</v>
      </c>
      <c r="G16" s="17" t="n">
        <f aca="false">F16/F$4-1</f>
        <v>0.0175903940500504</v>
      </c>
      <c r="H16" s="22" t="n">
        <f aca="false">F543</f>
        <v>350.604974286707</v>
      </c>
      <c r="I16" s="22" t="n">
        <f aca="false">F536</f>
        <v>179.862982029125</v>
      </c>
      <c r="J16" s="17" t="n">
        <f aca="false">F552</f>
        <v>0.278543237242866</v>
      </c>
      <c r="K16" s="18" t="n">
        <f aca="false">F561</f>
        <v>21.7051394495624</v>
      </c>
      <c r="L16" s="17" t="n">
        <f aca="false">K16/K$4-1</f>
        <v>0.0342959513593377</v>
      </c>
    </row>
    <row r="17" customFormat="false" ht="17.15" hidden="false" customHeight="false" outlineLevel="0" collapsed="false">
      <c r="A17" s="4" t="s">
        <v>833</v>
      </c>
      <c r="B17" s="4" t="s">
        <v>834</v>
      </c>
      <c r="C17" s="22" t="n">
        <f aca="false">E586</f>
        <v>307.426813233141</v>
      </c>
      <c r="D17" s="22" t="n">
        <f aca="false">E579</f>
        <v>156.497054867173</v>
      </c>
      <c r="E17" s="17" t="n">
        <f aca="false">E595</f>
        <v>0.278068897373131</v>
      </c>
      <c r="F17" s="18" t="n">
        <f aca="false">E604</f>
        <v>17.7009692956212</v>
      </c>
      <c r="G17" s="17" t="n">
        <f aca="false">F17/F$4-1</f>
        <v>-0.0549761754161826</v>
      </c>
      <c r="H17" s="22" t="n">
        <f aca="false">F586</f>
        <v>335.14503666436</v>
      </c>
      <c r="I17" s="22" t="n">
        <f aca="false">F579</f>
        <v>179.862982029125</v>
      </c>
      <c r="J17" s="17" t="n">
        <f aca="false">F595</f>
        <v>0.281382985929168</v>
      </c>
      <c r="K17" s="18" t="n">
        <f aca="false">F604</f>
        <v>19.8628377311481</v>
      </c>
      <c r="L17" s="17" t="n">
        <f aca="false">K17/K$4-1</f>
        <v>-0.0534936347415075</v>
      </c>
    </row>
    <row r="18" customFormat="false" ht="17.15" hidden="false" customHeight="false" outlineLevel="0" collapsed="false">
      <c r="A18" s="4" t="s">
        <v>835</v>
      </c>
      <c r="B18" s="4" t="s">
        <v>836</v>
      </c>
      <c r="C18" s="22" t="n">
        <f aca="false">E629</f>
        <v>307.426813233141</v>
      </c>
      <c r="D18" s="22" t="n">
        <f aca="false">E622</f>
        <v>156.497054867173</v>
      </c>
      <c r="E18" s="17" t="n">
        <f aca="false">E638</f>
        <v>0.278068897373131</v>
      </c>
      <c r="F18" s="18" t="n">
        <f aca="false">E647</f>
        <v>17.6030376173403</v>
      </c>
      <c r="G18" s="17" t="n">
        <f aca="false">F18/F$4-1</f>
        <v>-0.0602045766190352</v>
      </c>
      <c r="H18" s="22" t="n">
        <f aca="false">F629</f>
        <v>335.14503666436</v>
      </c>
      <c r="I18" s="22" t="n">
        <f aca="false">F622</f>
        <v>179.862982029125</v>
      </c>
      <c r="J18" s="17" t="n">
        <f aca="false">F638</f>
        <v>0.281382985929168</v>
      </c>
      <c r="K18" s="18" t="n">
        <f aca="false">F647</f>
        <v>19.4564973310089</v>
      </c>
      <c r="L18" s="17" t="n">
        <f aca="false">K18/K$4-1</f>
        <v>-0.0728566170303028</v>
      </c>
    </row>
    <row r="19" customFormat="false" ht="17.15" hidden="false" customHeight="false" outlineLevel="0" collapsed="false">
      <c r="A19" s="4" t="s">
        <v>837</v>
      </c>
      <c r="B19" s="4" t="s">
        <v>838</v>
      </c>
      <c r="C19" s="22" t="n">
        <f aca="false">E672</f>
        <v>307.426813233141</v>
      </c>
      <c r="D19" s="22" t="n">
        <f aca="false">E665</f>
        <v>156.497054867173</v>
      </c>
      <c r="E19" s="17" t="n">
        <f aca="false">E681</f>
        <v>0.278068897373131</v>
      </c>
      <c r="F19" s="18" t="n">
        <f aca="false">E690</f>
        <v>17.9913419970267</v>
      </c>
      <c r="G19" s="17" t="n">
        <f aca="false">F19/F$4-1</f>
        <v>-0.0394736842105263</v>
      </c>
      <c r="H19" s="22" t="n">
        <f aca="false">F672</f>
        <v>335.14503666436</v>
      </c>
      <c r="I19" s="22" t="n">
        <f aca="false">F665</f>
        <v>179.862982029125</v>
      </c>
      <c r="J19" s="17" t="n">
        <f aca="false">F681</f>
        <v>0.281382985929168</v>
      </c>
      <c r="K19" s="18" t="n">
        <f aca="false">F690</f>
        <v>20.1570523424989</v>
      </c>
      <c r="L19" s="17" t="n">
        <f aca="false">K19/K$4-1</f>
        <v>-0.0394736842105262</v>
      </c>
    </row>
    <row r="20" customFormat="false" ht="17.15" hidden="false" customHeight="false" outlineLevel="0" collapsed="false">
      <c r="A20" s="4" t="s">
        <v>839</v>
      </c>
      <c r="C20" s="22" t="n">
        <f aca="false">E715</f>
        <v>307.426813233141</v>
      </c>
      <c r="D20" s="22" t="n">
        <f aca="false">E708</f>
        <v>156.497054867173</v>
      </c>
      <c r="E20" s="17" t="n">
        <f aca="false">E724</f>
        <v>0.278068897373131</v>
      </c>
      <c r="F20" s="18" t="n">
        <f aca="false">E733</f>
        <v>19.2236256954532</v>
      </c>
      <c r="G20" s="17" t="n">
        <f aca="false">F20/F$4-1</f>
        <v>0.0263157894736841</v>
      </c>
      <c r="H20" s="22" t="n">
        <f aca="false">F715</f>
        <v>335.14503666436</v>
      </c>
      <c r="I20" s="22" t="n">
        <f aca="false">F708</f>
        <v>179.862982029125</v>
      </c>
      <c r="J20" s="17" t="n">
        <f aca="false">F724</f>
        <v>0.281382985929168</v>
      </c>
      <c r="K20" s="18" t="n">
        <f aca="false">F733</f>
        <v>21.5376723659578</v>
      </c>
      <c r="L20" s="17" t="n">
        <f aca="false">K20/K$4-1</f>
        <v>0.0263157894736843</v>
      </c>
    </row>
    <row r="21" customFormat="false" ht="17.15" hidden="false" customHeight="false" outlineLevel="0" collapsed="false">
      <c r="A21" s="4" t="s">
        <v>840</v>
      </c>
      <c r="B21" s="4" t="s">
        <v>841</v>
      </c>
      <c r="C21" s="22" t="n">
        <f aca="false">PL!E95</f>
        <v>323.076518719859</v>
      </c>
      <c r="D21" s="22" t="n">
        <f aca="false">PL!E88</f>
        <v>172.14676035389</v>
      </c>
      <c r="E21" s="17" t="n">
        <f aca="false">PL!E104</f>
        <v>0.286251001085053</v>
      </c>
      <c r="F21" s="18" t="n">
        <f aca="false">PL!E113</f>
        <v>20.6389246008751</v>
      </c>
      <c r="G21" s="17" t="n">
        <f aca="false">F21/F$4-1</f>
        <v>0.101876125305802</v>
      </c>
      <c r="H21" s="22" t="n">
        <f aca="false">PL!F95</f>
        <v>425.076527678923</v>
      </c>
      <c r="I21" s="22" t="n">
        <f aca="false">PL!F88</f>
        <v>269.794473043688</v>
      </c>
      <c r="J21" s="17" t="n">
        <f aca="false">PL!F104</f>
        <v>0.302666329159442</v>
      </c>
      <c r="K21" s="18" t="n">
        <f aca="false">PL!F113</f>
        <v>30.2122562808426</v>
      </c>
      <c r="L21" s="17" t="n">
        <f aca="false">K21/K$4-1</f>
        <v>0.439678119798318</v>
      </c>
    </row>
    <row r="22" customFormat="false" ht="17.15" hidden="false" customHeight="false" outlineLevel="0" collapsed="false">
      <c r="A22" s="4" t="s">
        <v>842</v>
      </c>
      <c r="B22" s="4" t="s">
        <v>843</v>
      </c>
      <c r="C22" s="22" t="n">
        <f aca="false">PL!E181</f>
        <v>283.952255003065</v>
      </c>
      <c r="D22" s="22" t="n">
        <f aca="false">PL!E174</f>
        <v>133.022496637097</v>
      </c>
      <c r="E22" s="17" t="n">
        <f aca="false">PL!E190</f>
        <v>0.268513798275177</v>
      </c>
      <c r="F22" s="18" t="n">
        <f aca="false">PL!E199</f>
        <v>16.2877499926945</v>
      </c>
      <c r="G22" s="17" t="n">
        <f aca="false">F22/F$4-1</f>
        <v>-0.130425484904441</v>
      </c>
      <c r="H22" s="22" t="n">
        <f aca="false">PL!F181</f>
        <v>263.19984385271</v>
      </c>
      <c r="I22" s="22" t="n">
        <f aca="false">PL!F174</f>
        <v>107.917789217475</v>
      </c>
      <c r="J22" s="17" t="n">
        <f aca="false">PL!F190</f>
        <v>0.26003467207887</v>
      </c>
      <c r="K22" s="18" t="n">
        <f aca="false">PL!F199</f>
        <v>13.6737530226497</v>
      </c>
      <c r="L22" s="17" t="n">
        <f aca="false">K22/K$4-1</f>
        <v>-0.34841665384927</v>
      </c>
    </row>
    <row r="24" customFormat="false" ht="17.15" hidden="false" customHeight="false" outlineLevel="0" collapsed="false">
      <c r="A24" s="4" t="s">
        <v>844</v>
      </c>
    </row>
    <row r="26" customFormat="false" ht="17.15" hidden="false" customHeight="false" outlineLevel="0" collapsed="false">
      <c r="A26" s="1" t="s">
        <v>845</v>
      </c>
    </row>
    <row r="27" customFormat="false" ht="17.15" hidden="false" customHeight="false" outlineLevel="0" collapsed="false">
      <c r="A27" s="5" t="s">
        <v>796</v>
      </c>
      <c r="B27" s="5" t="s">
        <v>797</v>
      </c>
      <c r="C27" s="14" t="s">
        <v>846</v>
      </c>
      <c r="D27" s="14" t="s">
        <v>718</v>
      </c>
      <c r="E27" s="5" t="s">
        <v>847</v>
      </c>
      <c r="F27" s="5" t="s">
        <v>848</v>
      </c>
    </row>
    <row r="28" customFormat="false" ht="17.15" hidden="false" customHeight="false" outlineLevel="0" collapsed="false">
      <c r="A28" s="4" t="s">
        <v>25</v>
      </c>
      <c r="B28" s="0" t="s">
        <v>849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28" s="18" t="n">
        <f aca="false">tp_comp_adj</f>
        <v>319.851388054832</v>
      </c>
      <c r="E28" s="18" t="n">
        <f aca="false">tp_w_dcf*C28+(1-tp_w_dcf)*D28</f>
        <v>319.137160914582</v>
      </c>
      <c r="F28" s="17" t="n">
        <f aca="false">E28/E$28-1</f>
        <v>0</v>
      </c>
    </row>
    <row r="29" customFormat="false" ht="17.15" hidden="false" customHeight="false" outlineLevel="0" collapsed="false">
      <c r="A29" s="4" t="s">
        <v>850</v>
      </c>
      <c r="B29" s="0" t="s">
        <v>851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275.161210792389</v>
      </c>
      <c r="D29" s="18" t="n">
        <f aca="false">tp_comp_adj</f>
        <v>319.851388054832</v>
      </c>
      <c r="E29" s="18" t="n">
        <f aca="false">tp_w_dcf*C29+(1-tp_w_dcf)*D29</f>
        <v>297.50629942361</v>
      </c>
      <c r="F29" s="17" t="n">
        <f aca="false">E29/E$28-1</f>
        <v>-0.0677792001062546</v>
      </c>
    </row>
    <row r="30" customFormat="false" ht="17.15" hidden="false" customHeight="false" outlineLevel="0" collapsed="false">
      <c r="A30" s="4" t="s">
        <v>852</v>
      </c>
      <c r="B30" s="0" t="s">
        <v>853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378.962409116908</v>
      </c>
      <c r="D30" s="18" t="n">
        <f aca="false">tp_comp_adj</f>
        <v>319.851388054832</v>
      </c>
      <c r="E30" s="18" t="n">
        <f aca="false">tp_w_dcf*C30+(1-tp_w_dcf)*D30</f>
        <v>349.40689858587</v>
      </c>
      <c r="F30" s="17" t="n">
        <f aca="false">E30/E$28-1</f>
        <v>0.094848677554632</v>
      </c>
    </row>
    <row r="31" customFormat="false" ht="17.15" hidden="false" customHeight="false" outlineLevel="0" collapsed="false">
      <c r="A31" s="4" t="s">
        <v>854</v>
      </c>
      <c r="B31" s="0" t="s">
        <v>855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335.984236451016</v>
      </c>
      <c r="D31" s="18" t="n">
        <f aca="false">tp_comp_adj</f>
        <v>319.851388054832</v>
      </c>
      <c r="E31" s="18" t="n">
        <f aca="false">tp_w_dcf*C31+(1-tp_w_dcf)*D31</f>
        <v>327.917812252924</v>
      </c>
      <c r="F31" s="17" t="n">
        <f aca="false">E31/E$28-1</f>
        <v>0.027513722667641</v>
      </c>
    </row>
    <row r="32" customFormat="false" ht="17.15" hidden="false" customHeight="false" outlineLevel="0" collapsed="false">
      <c r="A32" s="4" t="s">
        <v>856</v>
      </c>
      <c r="B32" s="0" t="s">
        <v>857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307.720670042138</v>
      </c>
      <c r="D32" s="18" t="n">
        <f aca="false">tp_comp_adj</f>
        <v>319.851388054832</v>
      </c>
      <c r="E32" s="18" t="n">
        <f aca="false">tp_w_dcf*C32+(1-tp_w_dcf)*D32</f>
        <v>313.786029048485</v>
      </c>
      <c r="F32" s="17" t="n">
        <f aca="false">E32/E$28-1</f>
        <v>-0.016767498497392</v>
      </c>
    </row>
    <row r="33" customFormat="false" ht="17.15" hidden="false" customHeight="false" outlineLevel="0" collapsed="false">
      <c r="A33" s="0" t="s">
        <v>858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3" s="18" t="n">
        <f aca="false">tp_comp_adj</f>
        <v>319.851388054832</v>
      </c>
      <c r="E33" s="18" t="n">
        <f aca="false">0.3*C33+(1-0.3)*D33</f>
        <v>319.422851770682</v>
      </c>
      <c r="F33" s="17" t="n">
        <f aca="false">E33/E$28-1</f>
        <v>0.000895197711483053</v>
      </c>
    </row>
    <row r="34" customFormat="false" ht="17.15" hidden="false" customHeight="false" outlineLevel="0" collapsed="false">
      <c r="A34" s="0" t="s">
        <v>859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4" s="18" t="n">
        <f aca="false">tp_comp_adj</f>
        <v>319.851388054832</v>
      </c>
      <c r="E34" s="18" t="n">
        <f aca="false">0.7*C34+(1-0.7)*D34</f>
        <v>318.851470058482</v>
      </c>
      <c r="F34" s="17" t="n">
        <f aca="false">E34/E$28-1</f>
        <v>-0.000895197711482942</v>
      </c>
    </row>
    <row r="50" customFormat="false" ht="17.15" hidden="false" customHeight="false" outlineLevel="0" collapsed="false">
      <c r="A50" s="1" t="s">
        <v>860</v>
      </c>
    </row>
    <row r="51" customFormat="false" ht="17.15" hidden="false" customHeight="false" outlineLevel="0" collapsed="false">
      <c r="A51" s="5" t="s">
        <v>22</v>
      </c>
      <c r="B51" s="5" t="s">
        <v>23</v>
      </c>
      <c r="C51" s="14" t="s">
        <v>378</v>
      </c>
      <c r="D51" s="14" t="s">
        <v>476</v>
      </c>
      <c r="E51" s="14" t="s">
        <v>477</v>
      </c>
      <c r="F51" s="14" t="s">
        <v>478</v>
      </c>
      <c r="G51" s="14" t="s">
        <v>479</v>
      </c>
      <c r="H51" s="14" t="s">
        <v>480</v>
      </c>
      <c r="I51" s="14" t="s">
        <v>481</v>
      </c>
      <c r="J51" s="14" t="s">
        <v>482</v>
      </c>
      <c r="K51" s="5" t="s">
        <v>449</v>
      </c>
    </row>
    <row r="52" customFormat="false" ht="17.15" hidden="false" customHeight="false" outlineLevel="0" collapsed="false">
      <c r="A52" s="6" t="s">
        <v>501</v>
      </c>
    </row>
    <row r="53" customFormat="false" ht="17.15" hidden="false" customHeight="false" outlineLevel="0" collapsed="false">
      <c r="A53" s="0" t="s">
        <v>502</v>
      </c>
      <c r="B53" s="0" t="s">
        <v>33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503</v>
      </c>
      <c r="B54" s="0" t="s">
        <v>33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504</v>
      </c>
      <c r="B55" s="0" t="s">
        <v>451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453</v>
      </c>
      <c r="B56" s="0" t="s">
        <v>91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505</v>
      </c>
      <c r="B57" s="0" t="s">
        <v>33</v>
      </c>
      <c r="D57" s="23" t="n">
        <f aca="false">D55*D56/1000</f>
        <v>10.5297921189287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506</v>
      </c>
      <c r="B58" s="0" t="s">
        <v>138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507</v>
      </c>
      <c r="B59" s="0" t="s">
        <v>53</v>
      </c>
      <c r="D59" s="17" t="n">
        <f aca="false">a26_aip/D58</f>
        <v>0.176143316327046</v>
      </c>
      <c r="K59" s="8" t="s">
        <v>508</v>
      </c>
    </row>
    <row r="60" customFormat="false" ht="17.15" hidden="false" customHeight="false" outlineLevel="0" collapsed="false">
      <c r="A60" s="4" t="s">
        <v>509</v>
      </c>
      <c r="B60" s="0" t="s">
        <v>64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459</v>
      </c>
      <c r="B61" s="0" t="s">
        <v>53</v>
      </c>
      <c r="D61" s="17" t="n">
        <f aca="false">$D$59*D60</f>
        <v>0.176143316327046</v>
      </c>
      <c r="E61" s="17" t="n">
        <f aca="false">$D$59*E60</f>
        <v>0.149721818877989</v>
      </c>
      <c r="F61" s="17" t="n">
        <f aca="false">$D$59*F60</f>
        <v>0.140914653061637</v>
      </c>
      <c r="G61" s="17" t="n">
        <f aca="false">$D$59*G60</f>
        <v>0.132107487245284</v>
      </c>
    </row>
    <row r="62" customFormat="false" ht="17.15" hidden="false" customHeight="false" outlineLevel="0" collapsed="false">
      <c r="A62" s="0" t="s">
        <v>510</v>
      </c>
      <c r="B62" s="0" t="s">
        <v>138</v>
      </c>
      <c r="C62" s="22" t="n">
        <f aca="false">a25_aip</f>
        <v>31.390065</v>
      </c>
      <c r="D62" s="22" t="n">
        <f aca="false">D58*D61</f>
        <v>59.35208013</v>
      </c>
      <c r="E62" s="22" t="n">
        <f aca="false">E58*E61</f>
        <v>119.720246973387</v>
      </c>
      <c r="F62" s="22" t="n">
        <f aca="false">F58*F61</f>
        <v>129.50134706097</v>
      </c>
      <c r="G62" s="22" t="n">
        <f aca="false">G58*G61</f>
        <v>155.590145386412</v>
      </c>
    </row>
    <row r="63" customFormat="false" ht="17.15" hidden="false" customHeight="false" outlineLevel="0" collapsed="false">
      <c r="A63" s="0" t="s">
        <v>511</v>
      </c>
      <c r="B63" s="0" t="s">
        <v>138</v>
      </c>
      <c r="C63" s="22" t="n">
        <f aca="false">a25_ai</f>
        <v>34.87785</v>
      </c>
      <c r="D63" s="22" t="n">
        <f aca="false">D62/(1-x_np)</f>
        <v>65.9467557</v>
      </c>
      <c r="E63" s="22" t="n">
        <f aca="false">E62/(1-x_np)</f>
        <v>133.022496637097</v>
      </c>
      <c r="F63" s="22" t="n">
        <f aca="false">F62/(1-x_np)</f>
        <v>143.8903856233</v>
      </c>
      <c r="G63" s="22" t="n">
        <f aca="false">G62/(1-x_np)</f>
        <v>172.877939318235</v>
      </c>
      <c r="K63" s="4" t="s">
        <v>512</v>
      </c>
    </row>
    <row r="64" customFormat="false" ht="17.15" hidden="false" customHeight="false" outlineLevel="0" collapsed="false">
      <c r="A64" s="6" t="s">
        <v>513</v>
      </c>
    </row>
    <row r="65" customFormat="false" ht="17.15" hidden="false" customHeight="false" outlineLevel="0" collapsed="false">
      <c r="A65" s="4" t="s">
        <v>514</v>
      </c>
      <c r="B65" s="0" t="s">
        <v>138</v>
      </c>
      <c r="C65" s="22" t="n">
        <f aca="false">a25_cn</f>
        <v>39.8604</v>
      </c>
      <c r="D65" s="22" t="n">
        <f aca="false">a26_cn</f>
        <v>50.0315607365079</v>
      </c>
      <c r="E65" s="22" t="n">
        <f aca="false">D65*(1+g_cn27)</f>
        <v>52.5331387733333</v>
      </c>
      <c r="F65" s="22" t="n">
        <f aca="false">E65*(1+g_cn28)</f>
        <v>55.159795712</v>
      </c>
      <c r="G65" s="22" t="n">
        <f aca="false">F65*(1+g_cn29)</f>
        <v>57.9177854976</v>
      </c>
      <c r="K65" s="4" t="s">
        <v>515</v>
      </c>
    </row>
    <row r="66" customFormat="false" ht="17.15" hidden="false" customHeight="false" outlineLevel="0" collapsed="false">
      <c r="A66" s="4" t="s">
        <v>431</v>
      </c>
      <c r="B66" s="0" t="s">
        <v>138</v>
      </c>
      <c r="C66" s="22" t="n">
        <f aca="false">C63+C65</f>
        <v>74.73825</v>
      </c>
      <c r="D66" s="22" t="n">
        <f aca="false">D63+D65</f>
        <v>115.978316436508</v>
      </c>
      <c r="E66" s="22" t="n">
        <f aca="false">E63+E65</f>
        <v>185.55563541043</v>
      </c>
      <c r="F66" s="22" t="n">
        <f aca="false">F63+F65</f>
        <v>199.0501813353</v>
      </c>
      <c r="G66" s="22" t="n">
        <f aca="false">G63+G65</f>
        <v>230.795724815835</v>
      </c>
      <c r="K66" s="4" t="s">
        <v>516</v>
      </c>
    </row>
    <row r="67" customFormat="false" ht="15" hidden="false" customHeight="false" outlineLevel="0" collapsed="false">
      <c r="A67" s="4" t="s">
        <v>435</v>
      </c>
      <c r="B67" s="0" t="s">
        <v>138</v>
      </c>
      <c r="C67" s="22" t="n">
        <f aca="false">a25_op</f>
        <v>28.23445</v>
      </c>
      <c r="D67" s="22" t="n">
        <f aca="false">a26_op</f>
        <v>32.8693205828571</v>
      </c>
      <c r="E67" s="22" t="n">
        <f aca="false">D67*(1+g_op27)</f>
        <v>34.512786612</v>
      </c>
      <c r="F67" s="22" t="n">
        <f aca="false">E67*(1+g_op28)</f>
        <v>36.2384259426</v>
      </c>
      <c r="G67" s="22" t="n">
        <f aca="false">F67*(1+g_op29)</f>
        <v>38.05034723973</v>
      </c>
    </row>
    <row r="68" customFormat="false" ht="15" hidden="false" customHeight="false" outlineLevel="0" collapsed="false">
      <c r="A68" s="4" t="s">
        <v>436</v>
      </c>
      <c r="B68" s="0" t="s">
        <v>138</v>
      </c>
      <c r="C68" s="22" t="n">
        <f aca="false">a25_ic</f>
        <v>63.1123</v>
      </c>
      <c r="D68" s="22" t="n">
        <f aca="false">a26_ic</f>
        <v>63.8838329806349</v>
      </c>
      <c r="E68" s="22" t="n">
        <f aca="false">D68*(1+g_ic27)</f>
        <v>63.8838329806349</v>
      </c>
      <c r="F68" s="22" t="n">
        <f aca="false">E68*(1+g_ic28)</f>
        <v>63.8838329806349</v>
      </c>
      <c r="G68" s="22" t="n">
        <f aca="false">F68*(1+g_ic29)</f>
        <v>63.8838329806349</v>
      </c>
    </row>
    <row r="69" customFormat="false" ht="17.15" hidden="false" customHeight="false" outlineLevel="0" collapsed="false">
      <c r="A69" s="4" t="s">
        <v>517</v>
      </c>
      <c r="B69" s="0" t="s">
        <v>138</v>
      </c>
      <c r="C69" s="22" t="n">
        <f aca="false">C65+C67+C68</f>
        <v>131.20715</v>
      </c>
      <c r="D69" s="22" t="n">
        <f aca="false">D65+D67+D68</f>
        <v>146.7847143</v>
      </c>
      <c r="E69" s="22" t="n">
        <f aca="false">E65+E67+E68</f>
        <v>150.929758365968</v>
      </c>
      <c r="F69" s="22" t="n">
        <f aca="false">F65+F67+F68</f>
        <v>155.282054635235</v>
      </c>
      <c r="G69" s="22" t="n">
        <f aca="false">G65+G67+G68</f>
        <v>159.851965717965</v>
      </c>
    </row>
    <row r="70" customFormat="false" ht="17.15" hidden="false" customHeight="false" outlineLevel="0" collapsed="false">
      <c r="A70" s="4" t="s">
        <v>383</v>
      </c>
      <c r="B70" s="0" t="s">
        <v>138</v>
      </c>
      <c r="C70" s="22" t="n">
        <f aca="false">C66+C67+C68</f>
        <v>166.085</v>
      </c>
      <c r="D70" s="22" t="n">
        <f aca="false">D66+D67+D68</f>
        <v>212.73147</v>
      </c>
      <c r="E70" s="22" t="n">
        <f aca="false">E66+E67+E68</f>
        <v>283.952255003065</v>
      </c>
      <c r="F70" s="22" t="n">
        <f aca="false">F66+F67+F68</f>
        <v>299.172440258535</v>
      </c>
      <c r="G70" s="22" t="n">
        <f aca="false">G66+G67+G68</f>
        <v>332.7299050362</v>
      </c>
      <c r="H70" s="24" t="n">
        <f aca="false">G70*(1+H72)</f>
        <v>362.047321239582</v>
      </c>
      <c r="I70" s="24" t="n">
        <f aca="false">H70*(1+I72)</f>
        <v>385.238580277461</v>
      </c>
      <c r="J70" s="24" t="n">
        <f aca="false">I70*(1+J72)</f>
        <v>400.64812348856</v>
      </c>
      <c r="K70" s="8" t="s">
        <v>518</v>
      </c>
    </row>
    <row r="71" customFormat="false" ht="17.15" hidden="false" customHeight="false" outlineLevel="0" collapsed="false">
      <c r="A71" s="4" t="s">
        <v>519</v>
      </c>
      <c r="B71" s="0" t="s">
        <v>138</v>
      </c>
      <c r="C71" s="28" t="n">
        <f aca="false">C70-a25_rev</f>
        <v>0</v>
      </c>
      <c r="D71" s="28" t="n">
        <f aca="false">D70-a26_rev</f>
        <v>0</v>
      </c>
    </row>
    <row r="72" customFormat="false" ht="15" hidden="false" customHeight="false" outlineLevel="0" collapsed="false">
      <c r="A72" s="4" t="s">
        <v>520</v>
      </c>
      <c r="B72" s="0" t="s">
        <v>53</v>
      </c>
      <c r="D72" s="17" t="n">
        <f aca="false">D70/C70-1</f>
        <v>0.280859017972725</v>
      </c>
      <c r="E72" s="17" t="n">
        <f aca="false">E70/D70-1</f>
        <v>0.334791956277392</v>
      </c>
      <c r="F72" s="17" t="n">
        <f aca="false">F70/E70-1</f>
        <v>0.0536012128352548</v>
      </c>
      <c r="G72" s="17" t="n">
        <f aca="false">G70/F70-1</f>
        <v>0.112167633986157</v>
      </c>
      <c r="H72" s="25" t="n">
        <f aca="false">$G72+(fade_gB-$G72)*1/3</f>
        <v>0.0881117559907717</v>
      </c>
      <c r="I72" s="25" t="n">
        <f aca="false">$G72+(fade_gB-$G72)*2/3</f>
        <v>0.0640558779953858</v>
      </c>
      <c r="J72" s="25" t="n">
        <f aca="false">$G72+(fade_gB-$G72)*3/3</f>
        <v>0.04</v>
      </c>
    </row>
    <row r="73" customFormat="false" ht="17.15" hidden="false" customHeight="false" outlineLevel="0" collapsed="false">
      <c r="A73" s="0" t="s">
        <v>521</v>
      </c>
      <c r="B73" s="0" t="s">
        <v>53</v>
      </c>
      <c r="C73" s="17" t="n">
        <f aca="false">C63/C70</f>
        <v>0.21</v>
      </c>
      <c r="D73" s="17" t="n">
        <f aca="false">D63/D70</f>
        <v>0.31</v>
      </c>
      <c r="E73" s="17" t="n">
        <f aca="false">E63/E70</f>
        <v>0.468467829690808</v>
      </c>
      <c r="F73" s="17" t="n">
        <f aca="false">F63/F70</f>
        <v>0.480961366290808</v>
      </c>
      <c r="G73" s="17" t="n">
        <f aca="false">G63/G70</f>
        <v>0.519574395633078</v>
      </c>
    </row>
    <row r="74" customFormat="false" ht="17.15" hidden="false" customHeight="false" outlineLevel="0" collapsed="false">
      <c r="A74" s="4" t="s">
        <v>470</v>
      </c>
      <c r="B74" s="0" t="s">
        <v>471</v>
      </c>
      <c r="D74" s="21" t="n">
        <f aca="false">D63/fx/D55*1000</f>
        <v>88.0716581635229</v>
      </c>
      <c r="E74" s="21" t="n">
        <f aca="false">E63/fx/E55*1000</f>
        <v>99.8145459186593</v>
      </c>
      <c r="F74" s="21" t="n">
        <f aca="false">F63/fx/F55*1000</f>
        <v>106.468848979903</v>
      </c>
      <c r="G74" s="21" t="n">
        <f aca="false">G63/fx/G55*1000</f>
        <v>105.685989796227</v>
      </c>
    </row>
    <row r="75" customFormat="false" ht="17.15" hidden="false" customHeight="false" outlineLevel="0" collapsed="false">
      <c r="A75" s="6" t="s">
        <v>522</v>
      </c>
    </row>
    <row r="76" customFormat="false" ht="17.15" hidden="false" customHeight="false" outlineLevel="0" collapsed="false">
      <c r="A76" s="4" t="s">
        <v>523</v>
      </c>
      <c r="B76" s="0" t="s">
        <v>53</v>
      </c>
      <c r="D76" s="17" t="n">
        <f aca="false">a26_gp/D70-d_ai*D73</f>
        <v>0.216982337009188</v>
      </c>
      <c r="K76" s="8" t="s">
        <v>524</v>
      </c>
    </row>
    <row r="77" customFormat="false" ht="17.15" hidden="false" customHeight="false" outlineLevel="0" collapsed="false">
      <c r="A77" s="0" t="s">
        <v>525</v>
      </c>
      <c r="B77" s="0" t="s">
        <v>53</v>
      </c>
      <c r="D77" s="17" t="n">
        <f aca="false">D76+d_ai</f>
        <v>0.336982337009188</v>
      </c>
      <c r="E77" s="17" t="n">
        <f aca="false">$D$77+gmu_27</f>
        <v>0.336982337009188</v>
      </c>
      <c r="F77" s="17" t="n">
        <f aca="false">$D$77+gmu_28</f>
        <v>0.336982337009188</v>
      </c>
      <c r="G77" s="17" t="n">
        <f aca="false">$D$77+gmu_29</f>
        <v>0.336982337009188</v>
      </c>
      <c r="K77" s="4" t="s">
        <v>526</v>
      </c>
    </row>
    <row r="78" customFormat="false" ht="15" hidden="false" customHeight="false" outlineLevel="0" collapsed="false">
      <c r="A78" s="4" t="s">
        <v>387</v>
      </c>
      <c r="B78" s="0" t="s">
        <v>138</v>
      </c>
      <c r="C78" s="22" t="n">
        <f aca="false">a25_gp</f>
        <v>38.039</v>
      </c>
      <c r="D78" s="22" t="n">
        <f aca="false">a26_gp</f>
        <v>54.0725822</v>
      </c>
      <c r="E78" s="22" t="n">
        <f aca="false">E63*E77+E69*$D$76</f>
        <v>77.5753234860457</v>
      </c>
      <c r="F78" s="22" t="n">
        <f aca="false">F63*F77+F69*$D$76</f>
        <v>82.1819815308347</v>
      </c>
      <c r="G78" s="22" t="n">
        <f aca="false">G63*G77+G69*$D$76</f>
        <v>92.9418651057882</v>
      </c>
    </row>
    <row r="79" customFormat="false" ht="15" hidden="false" customHeight="false" outlineLevel="0" collapsed="false">
      <c r="A79" s="4" t="s">
        <v>390</v>
      </c>
      <c r="B79" s="0" t="s">
        <v>53</v>
      </c>
      <c r="C79" s="17" t="n">
        <f aca="false">C78/C70</f>
        <v>0.229033326308818</v>
      </c>
      <c r="D79" s="17" t="n">
        <f aca="false">D78/D70</f>
        <v>0.254182337009188</v>
      </c>
      <c r="E79" s="17" t="n">
        <f aca="false">E78/E70</f>
        <v>0.273198476572085</v>
      </c>
      <c r="F79" s="17" t="n">
        <f aca="false">F78/F70</f>
        <v>0.274697700964085</v>
      </c>
      <c r="G79" s="17" t="n">
        <f aca="false">G78/G70</f>
        <v>0.279331264485158</v>
      </c>
    </row>
    <row r="80" customFormat="false" ht="15" hidden="false" customHeight="false" outlineLevel="0" collapsed="false">
      <c r="A80" s="4" t="s">
        <v>527</v>
      </c>
      <c r="B80" s="0" t="s">
        <v>138</v>
      </c>
      <c r="C80" s="22" t="n">
        <f aca="false">a25_opx</f>
        <v>21.301</v>
      </c>
      <c r="D80" s="22" t="n">
        <f aca="false">a26_opx</f>
        <v>25.21033346</v>
      </c>
      <c r="E80" s="22" t="n">
        <f aca="false">D80*(1+MAX(0,phi*E72))</f>
        <v>31.1184852602352</v>
      </c>
      <c r="F80" s="22" t="n">
        <f aca="false">E80*(1+MAX(0,phi*F72))</f>
        <v>32.2860772463164</v>
      </c>
      <c r="G80" s="22" t="n">
        <f aca="false">F80*(1+MAX(0,phi*G72))</f>
        <v>34.8210942731059</v>
      </c>
    </row>
    <row r="81" customFormat="false" ht="15" hidden="false" customHeight="false" outlineLevel="0" collapsed="false">
      <c r="A81" s="4" t="s">
        <v>392</v>
      </c>
      <c r="B81" s="0" t="s">
        <v>138</v>
      </c>
      <c r="C81" s="22" t="n">
        <f aca="false">C80</f>
        <v>21.301</v>
      </c>
      <c r="D81" s="22" t="n">
        <f aca="false">D80</f>
        <v>25.21033346</v>
      </c>
      <c r="E81" s="22" t="n">
        <f aca="false">E80+0*E70</f>
        <v>31.1184852602352</v>
      </c>
      <c r="F81" s="22" t="n">
        <f aca="false">F80+0*F70</f>
        <v>32.2860772463164</v>
      </c>
      <c r="G81" s="22" t="n">
        <f aca="false">G80+0*G70</f>
        <v>34.8210942731059</v>
      </c>
    </row>
    <row r="82" customFormat="false" ht="15" hidden="false" customHeight="false" outlineLevel="0" collapsed="false">
      <c r="A82" s="4" t="s">
        <v>395</v>
      </c>
      <c r="B82" s="0" t="s">
        <v>138</v>
      </c>
      <c r="C82" s="22" t="n">
        <f aca="false">C78-C81</f>
        <v>16.738</v>
      </c>
      <c r="D82" s="22" t="n">
        <f aca="false">D78-D81</f>
        <v>28.86224874</v>
      </c>
      <c r="E82" s="22" t="n">
        <f aca="false">E78-E81</f>
        <v>46.4568382258106</v>
      </c>
      <c r="F82" s="22" t="n">
        <f aca="false">F78-F81</f>
        <v>49.8959042845183</v>
      </c>
      <c r="G82" s="22" t="n">
        <f aca="false">G78-G81</f>
        <v>58.1207708326823</v>
      </c>
    </row>
    <row r="83" customFormat="false" ht="15" hidden="false" customHeight="false" outlineLevel="0" collapsed="false">
      <c r="A83" s="4" t="s">
        <v>397</v>
      </c>
      <c r="B83" s="0" t="s">
        <v>53</v>
      </c>
      <c r="C83" s="17" t="n">
        <f aca="false">C82/C70</f>
        <v>0.100779721227083</v>
      </c>
      <c r="D83" s="17" t="n">
        <f aca="false">D82/D70</f>
        <v>0.135674560703219</v>
      </c>
      <c r="E83" s="17" t="n">
        <f aca="false">E82/E70</f>
        <v>0.163607921427879</v>
      </c>
      <c r="F83" s="17" t="n">
        <f aca="false">F82/F70</f>
        <v>0.166779748299676</v>
      </c>
      <c r="G83" s="17" t="n">
        <f aca="false">G82/G70</f>
        <v>0.174678530402486</v>
      </c>
    </row>
    <row r="84" customFormat="false" ht="15" hidden="false" customHeight="false" outlineLevel="0" collapsed="false">
      <c r="A84" s="4" t="s">
        <v>399</v>
      </c>
      <c r="B84" s="0" t="s">
        <v>138</v>
      </c>
      <c r="C84" s="22" t="n">
        <f aca="false">a25_nop</f>
        <v>2.9762895</v>
      </c>
      <c r="D84" s="22" t="n">
        <f aca="false">a26_nop</f>
        <v>3.839</v>
      </c>
      <c r="E84" s="22" t="n">
        <f aca="false">nop_f</f>
        <v>3.5</v>
      </c>
      <c r="F84" s="22" t="n">
        <f aca="false">nop_f</f>
        <v>3.5</v>
      </c>
      <c r="G84" s="22" t="n">
        <f aca="false">nop_f</f>
        <v>3.5</v>
      </c>
    </row>
    <row r="85" customFormat="false" ht="17.15" hidden="false" customHeight="false" outlineLevel="0" collapsed="false">
      <c r="A85" s="4" t="s">
        <v>528</v>
      </c>
      <c r="B85" s="0" t="s">
        <v>53</v>
      </c>
      <c r="C85" s="17" t="n">
        <f aca="false">a25_ni/a25_pt</f>
        <v>0.766753475949514</v>
      </c>
      <c r="D85" s="17" t="n">
        <f aca="false">a26_ni/a26_pt</f>
        <v>0.759431002022174</v>
      </c>
      <c r="E85" s="17" t="n">
        <f aca="false">nir_f</f>
        <v>0.76</v>
      </c>
      <c r="F85" s="17" t="n">
        <f aca="false">nir_f</f>
        <v>0.76</v>
      </c>
      <c r="G85" s="17" t="n">
        <f aca="false">nir_f</f>
        <v>0.76</v>
      </c>
    </row>
    <row r="86" customFormat="false" ht="15" hidden="false" customHeight="false" outlineLevel="0" collapsed="false">
      <c r="A86" s="4" t="s">
        <v>404</v>
      </c>
      <c r="B86" s="0" t="s">
        <v>138</v>
      </c>
      <c r="C86" s="22" t="n">
        <f aca="false">a25_ni</f>
        <v>15.116</v>
      </c>
      <c r="D86" s="22" t="n">
        <f aca="false">a26_ni</f>
        <v>24.8343420979946</v>
      </c>
      <c r="E86" s="22" t="n">
        <f aca="false">(E82+E84)*E85</f>
        <v>37.967197051616</v>
      </c>
      <c r="F86" s="22" t="n">
        <f aca="false">(F82+F84)*F85</f>
        <v>40.5808872562339</v>
      </c>
      <c r="G86" s="22" t="n">
        <f aca="false">(G82+G84)*G85</f>
        <v>46.8317858328385</v>
      </c>
      <c r="H86" s="24" t="n">
        <f aca="false">H70*H90</f>
        <v>46.9009525537554</v>
      </c>
      <c r="I86" s="24" t="n">
        <f aca="false">I70*I90</f>
        <v>45.5880784650597</v>
      </c>
      <c r="J86" s="24" t="n">
        <f aca="false">J70*J90</f>
        <v>42.9217595889818</v>
      </c>
    </row>
    <row r="87" customFormat="false" ht="15" hidden="false" customHeight="false" outlineLevel="0" collapsed="false">
      <c r="A87" s="4" t="s">
        <v>529</v>
      </c>
      <c r="B87" s="4" t="s">
        <v>231</v>
      </c>
      <c r="C87" s="27" t="n">
        <f aca="false">a25_sh</f>
        <v>2.27650602409639</v>
      </c>
      <c r="D87" s="27" t="n">
        <f aca="false">a26_sh</f>
        <v>2.26895833333333</v>
      </c>
      <c r="E87" s="27" t="n">
        <f aca="false">D87*(1+sh_g)</f>
        <v>2.26895833333333</v>
      </c>
      <c r="F87" s="27" t="n">
        <f aca="false">E87*(1+sh_g)</f>
        <v>2.26895833333333</v>
      </c>
      <c r="G87" s="27" t="n">
        <f aca="false">F87*(1+sh_g)</f>
        <v>2.26895833333333</v>
      </c>
      <c r="H87" s="29" t="n">
        <f aca="false">G87*(1+sh_g)</f>
        <v>2.26895833333333</v>
      </c>
      <c r="I87" s="29" t="n">
        <f aca="false">H87*(1+sh_g)</f>
        <v>2.26895833333333</v>
      </c>
      <c r="J87" s="29" t="n">
        <f aca="false">I87*(1+sh_g)</f>
        <v>2.26895833333333</v>
      </c>
    </row>
    <row r="88" customFormat="false" ht="15" hidden="false" customHeight="false" outlineLevel="0" collapsed="false">
      <c r="A88" s="0" t="s">
        <v>410</v>
      </c>
      <c r="B88" s="0" t="s">
        <v>264</v>
      </c>
      <c r="C88" s="23" t="n">
        <f aca="false">C86/C87</f>
        <v>6.64</v>
      </c>
      <c r="D88" s="23" t="n">
        <f aca="false">D86/D87</f>
        <v>10.9452614149641</v>
      </c>
      <c r="E88" s="23" t="n">
        <f aca="false">E86/E87</f>
        <v>16.7333161186077</v>
      </c>
      <c r="F88" s="23" t="n">
        <f aca="false">F86/F87</f>
        <v>17.8852500991574</v>
      </c>
      <c r="G88" s="23" t="n">
        <f aca="false">G86/G87</f>
        <v>20.6402141215338</v>
      </c>
      <c r="H88" s="30" t="n">
        <f aca="false">H86/H87</f>
        <v>20.6706980312208</v>
      </c>
      <c r="I88" s="30" t="n">
        <f aca="false">I86/I87</f>
        <v>20.0920738804781</v>
      </c>
      <c r="J88" s="30" t="n">
        <f aca="false">J86/J87</f>
        <v>18.9169448193107</v>
      </c>
    </row>
    <row r="89" customFormat="false" ht="17.15" hidden="false" customHeight="false" outlineLevel="0" collapsed="false">
      <c r="A89" s="0" t="s">
        <v>530</v>
      </c>
      <c r="B89" s="0" t="s">
        <v>53</v>
      </c>
      <c r="D89" s="17" t="n">
        <f aca="false">D88/C88-1</f>
        <v>0.648382743217484</v>
      </c>
      <c r="E89" s="17" t="n">
        <f aca="false">E88/D88-1</f>
        <v>0.528818315452052</v>
      </c>
      <c r="F89" s="17" t="n">
        <f aca="false">F88/E88-1</f>
        <v>0.0688407469496535</v>
      </c>
      <c r="G89" s="17" t="n">
        <f aca="false">G88/F88-1</f>
        <v>0.154035532469644</v>
      </c>
      <c r="H89" s="25" t="n">
        <f aca="false">H88/G88-1</f>
        <v>0.00147691828716034</v>
      </c>
      <c r="I89" s="25" t="n">
        <f aca="false">I88/H88-1</f>
        <v>-0.0279924823955535</v>
      </c>
      <c r="J89" s="25" t="n">
        <f aca="false">J88/I88-1</f>
        <v>-0.0584871959041103</v>
      </c>
    </row>
    <row r="90" customFormat="false" ht="17.15" hidden="false" customHeight="false" outlineLevel="0" collapsed="false">
      <c r="A90" s="4" t="s">
        <v>531</v>
      </c>
      <c r="B90" s="0" t="s">
        <v>53</v>
      </c>
      <c r="C90" s="17" t="n">
        <f aca="false">C86/C70</f>
        <v>0.0910136375952073</v>
      </c>
      <c r="D90" s="17" t="n">
        <f aca="false">D86/D70</f>
        <v>0.116740330417472</v>
      </c>
      <c r="E90" s="17" t="n">
        <f aca="false">E86/E70</f>
        <v>0.1337097923424</v>
      </c>
      <c r="F90" s="17" t="n">
        <f aca="false">F86/F70</f>
        <v>0.135643802019883</v>
      </c>
      <c r="G90" s="17" t="n">
        <f aca="false">G86/G70</f>
        <v>0.140750155378259</v>
      </c>
      <c r="H90" s="25" t="n">
        <f aca="false">$G90+(fade_mB-$G90)*1/3</f>
        <v>0.129543708245583</v>
      </c>
      <c r="I90" s="25" t="n">
        <f aca="false">$G90+(fade_mB-$G90)*2/3</f>
        <v>0.118337261112907</v>
      </c>
      <c r="J90" s="25" t="n">
        <f aca="false">$G90+(fade_mB-$G90)*3/3</f>
        <v>0.107130813980232</v>
      </c>
    </row>
    <row r="93" customFormat="false" ht="17.15" hidden="false" customHeight="false" outlineLevel="0" collapsed="false">
      <c r="A93" s="1" t="s">
        <v>861</v>
      </c>
    </row>
    <row r="94" customFormat="false" ht="17.15" hidden="false" customHeight="false" outlineLevel="0" collapsed="false">
      <c r="A94" s="5" t="s">
        <v>22</v>
      </c>
      <c r="B94" s="5" t="s">
        <v>23</v>
      </c>
      <c r="C94" s="14" t="s">
        <v>378</v>
      </c>
      <c r="D94" s="14" t="s">
        <v>476</v>
      </c>
      <c r="E94" s="14" t="s">
        <v>477</v>
      </c>
      <c r="F94" s="14" t="s">
        <v>478</v>
      </c>
      <c r="G94" s="14" t="s">
        <v>479</v>
      </c>
      <c r="H94" s="14" t="s">
        <v>480</v>
      </c>
      <c r="I94" s="14" t="s">
        <v>481</v>
      </c>
      <c r="J94" s="14" t="s">
        <v>482</v>
      </c>
      <c r="K94" s="5" t="s">
        <v>449</v>
      </c>
    </row>
    <row r="95" customFormat="false" ht="17.15" hidden="false" customHeight="false" outlineLevel="0" collapsed="false">
      <c r="A95" s="6" t="s">
        <v>501</v>
      </c>
    </row>
    <row r="96" customFormat="false" ht="17.15" hidden="false" customHeight="false" outlineLevel="0" collapsed="false">
      <c r="A96" s="0" t="s">
        <v>502</v>
      </c>
      <c r="B96" s="0" t="s">
        <v>33</v>
      </c>
      <c r="D96" s="23" t="n">
        <f aca="false">itc_26*1</f>
        <v>781.872916666666</v>
      </c>
      <c r="E96" s="23" t="n">
        <f aca="false">itc_27*1*1</f>
        <v>1565.35</v>
      </c>
      <c r="F96" s="23" t="n">
        <f aca="false">itc_28*um28_B*1</f>
        <v>1587.41111111111</v>
      </c>
      <c r="G96" s="23" t="n">
        <f aca="false">itc_29*um29_B*1</f>
        <v>1921.33173611111</v>
      </c>
    </row>
    <row r="97" customFormat="false" ht="17.15" hidden="false" customHeight="false" outlineLevel="0" collapsed="false">
      <c r="A97" s="4" t="s">
        <v>503</v>
      </c>
      <c r="B97" s="0" t="s">
        <v>33</v>
      </c>
      <c r="D97" s="23" t="n">
        <f aca="false">itpg_gb*(1-vr26)+itpg_vr*vr26</f>
        <v>33.41403216</v>
      </c>
      <c r="E97" s="23" t="n">
        <f aca="false">itpg_vr</f>
        <v>37.586352</v>
      </c>
      <c r="F97" s="23" t="n">
        <f aca="false">itpg_vr</f>
        <v>37.586352</v>
      </c>
      <c r="G97" s="23" t="n">
        <f aca="false">itpg_vr</f>
        <v>37.586352</v>
      </c>
    </row>
    <row r="98" customFormat="false" ht="17.15" hidden="false" customHeight="false" outlineLevel="0" collapsed="false">
      <c r="A98" s="4" t="s">
        <v>504</v>
      </c>
      <c r="B98" s="0" t="s">
        <v>451</v>
      </c>
      <c r="D98" s="20" t="n">
        <f aca="false">D96/D97</f>
        <v>23.3995380420639</v>
      </c>
      <c r="E98" s="20" t="n">
        <f aca="false">E96/E97</f>
        <v>41.6467658260637</v>
      </c>
      <c r="F98" s="20" t="n">
        <f aca="false">F96/F97</f>
        <v>42.2337105529984</v>
      </c>
      <c r="G98" s="20" t="n">
        <f aca="false">G96/G97</f>
        <v>51.1178029756948</v>
      </c>
    </row>
    <row r="99" customFormat="false" ht="17.15" hidden="false" customHeight="false" outlineLevel="0" collapsed="false">
      <c r="A99" s="0" t="s">
        <v>453</v>
      </c>
      <c r="B99" s="0" t="s">
        <v>91</v>
      </c>
      <c r="D99" s="21" t="n">
        <f aca="false">pkw_26</f>
        <v>450</v>
      </c>
      <c r="E99" s="21" t="n">
        <f aca="false">pkw_27</f>
        <v>600</v>
      </c>
      <c r="F99" s="21" t="n">
        <f aca="false">pkw_28</f>
        <v>680</v>
      </c>
      <c r="G99" s="21" t="n">
        <f aca="false">pkw_29</f>
        <v>720</v>
      </c>
    </row>
    <row r="100" customFormat="false" ht="17.15" hidden="false" customHeight="false" outlineLevel="0" collapsed="false">
      <c r="A100" s="0" t="s">
        <v>505</v>
      </c>
      <c r="B100" s="0" t="s">
        <v>33</v>
      </c>
      <c r="D100" s="23" t="n">
        <f aca="false">D98*D99/1000</f>
        <v>10.5297921189287</v>
      </c>
      <c r="E100" s="23" t="n">
        <f aca="false">E98*E99/1000</f>
        <v>24.9880594956382</v>
      </c>
      <c r="F100" s="23" t="n">
        <f aca="false">F98*F99/1000</f>
        <v>28.7189231760389</v>
      </c>
      <c r="G100" s="23" t="n">
        <f aca="false">G98*G99/1000</f>
        <v>36.8048181425003</v>
      </c>
    </row>
    <row r="101" customFormat="false" ht="17.15" hidden="false" customHeight="false" outlineLevel="0" collapsed="false">
      <c r="A101" s="0" t="s">
        <v>506</v>
      </c>
      <c r="B101" s="0" t="s">
        <v>138</v>
      </c>
      <c r="D101" s="22" t="n">
        <f aca="false">D100*fx</f>
        <v>336.95334780572</v>
      </c>
      <c r="E101" s="22" t="n">
        <f aca="false">E100*fx</f>
        <v>799.617903860422</v>
      </c>
      <c r="F101" s="22" t="n">
        <f aca="false">F100*fx</f>
        <v>919.005541633245</v>
      </c>
      <c r="G101" s="22" t="n">
        <f aca="false">G100*fx</f>
        <v>1177.75418056001</v>
      </c>
    </row>
    <row r="102" customFormat="false" ht="17.15" hidden="false" customHeight="false" outlineLevel="0" collapsed="false">
      <c r="A102" s="4" t="s">
        <v>507</v>
      </c>
      <c r="B102" s="0" t="s">
        <v>53</v>
      </c>
      <c r="D102" s="17" t="n">
        <f aca="false">a26_aip/D101</f>
        <v>0.176143316327046</v>
      </c>
      <c r="K102" s="8" t="s">
        <v>508</v>
      </c>
    </row>
    <row r="103" customFormat="false" ht="17.15" hidden="false" customHeight="false" outlineLevel="0" collapsed="false">
      <c r="A103" s="4" t="s">
        <v>509</v>
      </c>
      <c r="B103" s="0" t="s">
        <v>64</v>
      </c>
      <c r="D103" s="18" t="n">
        <f aca="false">1</f>
        <v>1</v>
      </c>
      <c r="E103" s="18" t="n">
        <f aca="false">RHI_27</f>
        <v>1.1</v>
      </c>
      <c r="F103" s="18" t="n">
        <f aca="false">RHI_28</f>
        <v>1.2</v>
      </c>
      <c r="G103" s="18" t="n">
        <f aca="false">RHI_29</f>
        <v>1.25</v>
      </c>
    </row>
    <row r="104" customFormat="false" ht="15" hidden="false" customHeight="false" outlineLevel="0" collapsed="false">
      <c r="A104" s="4" t="s">
        <v>459</v>
      </c>
      <c r="B104" s="0" t="s">
        <v>53</v>
      </c>
      <c r="D104" s="17" t="n">
        <f aca="false">$D$102*D103</f>
        <v>0.176143316327046</v>
      </c>
      <c r="E104" s="17" t="n">
        <f aca="false">$D$102*E103</f>
        <v>0.19375764795975</v>
      </c>
      <c r="F104" s="17" t="n">
        <f aca="false">$D$102*F103</f>
        <v>0.211371979592455</v>
      </c>
      <c r="G104" s="17" t="n">
        <f aca="false">$D$102*G103</f>
        <v>0.220179145408807</v>
      </c>
    </row>
    <row r="105" customFormat="false" ht="17.15" hidden="false" customHeight="false" outlineLevel="0" collapsed="false">
      <c r="A105" s="0" t="s">
        <v>510</v>
      </c>
      <c r="B105" s="0" t="s">
        <v>138</v>
      </c>
      <c r="C105" s="22" t="n">
        <f aca="false">a25_aip</f>
        <v>31.390065</v>
      </c>
      <c r="D105" s="22" t="n">
        <f aca="false">D101*D104</f>
        <v>59.35208013</v>
      </c>
      <c r="E105" s="22" t="n">
        <f aca="false">E101*E104</f>
        <v>154.932084318501</v>
      </c>
      <c r="F105" s="22" t="n">
        <f aca="false">F101*F104</f>
        <v>194.252020591455</v>
      </c>
      <c r="G105" s="22" t="n">
        <f aca="false">G101*G104</f>
        <v>259.316908977353</v>
      </c>
    </row>
    <row r="106" customFormat="false" ht="17.15" hidden="false" customHeight="false" outlineLevel="0" collapsed="false">
      <c r="A106" s="0" t="s">
        <v>511</v>
      </c>
      <c r="B106" s="0" t="s">
        <v>138</v>
      </c>
      <c r="C106" s="22" t="n">
        <f aca="false">a25_ai</f>
        <v>34.87785</v>
      </c>
      <c r="D106" s="22" t="n">
        <f aca="false">D105/(1-x_np)</f>
        <v>65.9467557</v>
      </c>
      <c r="E106" s="22" t="n">
        <f aca="false">E105/(1-x_np)</f>
        <v>172.14676035389</v>
      </c>
      <c r="F106" s="22" t="n">
        <f aca="false">F105/(1-x_np)</f>
        <v>215.83557843495</v>
      </c>
      <c r="G106" s="22" t="n">
        <f aca="false">G105/(1-x_np)</f>
        <v>288.129898863725</v>
      </c>
      <c r="K106" s="4" t="s">
        <v>512</v>
      </c>
    </row>
    <row r="107" customFormat="false" ht="17.15" hidden="false" customHeight="false" outlineLevel="0" collapsed="false">
      <c r="A107" s="6" t="s">
        <v>513</v>
      </c>
    </row>
    <row r="108" customFormat="false" ht="17.15" hidden="false" customHeight="false" outlineLevel="0" collapsed="false">
      <c r="A108" s="4" t="s">
        <v>514</v>
      </c>
      <c r="B108" s="0" t="s">
        <v>138</v>
      </c>
      <c r="C108" s="22" t="n">
        <f aca="false">a25_cn</f>
        <v>39.8604</v>
      </c>
      <c r="D108" s="22" t="n">
        <f aca="false">a26_cn</f>
        <v>50.0315607365079</v>
      </c>
      <c r="E108" s="22" t="n">
        <f aca="false">D108*(1+g_cn27)</f>
        <v>52.5331387733333</v>
      </c>
      <c r="F108" s="22" t="n">
        <f aca="false">E108*(1+g_cn28)</f>
        <v>55.159795712</v>
      </c>
      <c r="G108" s="22" t="n">
        <f aca="false">F108*(1+g_cn29)</f>
        <v>57.9177854976</v>
      </c>
      <c r="K108" s="4" t="s">
        <v>515</v>
      </c>
    </row>
    <row r="109" customFormat="false" ht="17.15" hidden="false" customHeight="false" outlineLevel="0" collapsed="false">
      <c r="A109" s="4" t="s">
        <v>431</v>
      </c>
      <c r="B109" s="0" t="s">
        <v>138</v>
      </c>
      <c r="C109" s="22" t="n">
        <f aca="false">C106+C108</f>
        <v>74.73825</v>
      </c>
      <c r="D109" s="22" t="n">
        <f aca="false">D106+D108</f>
        <v>115.978316436508</v>
      </c>
      <c r="E109" s="22" t="n">
        <f aca="false">E106+E108</f>
        <v>224.679899127224</v>
      </c>
      <c r="F109" s="22" t="n">
        <f aca="false">F106+F108</f>
        <v>270.99537414695</v>
      </c>
      <c r="G109" s="22" t="n">
        <f aca="false">G106+G108</f>
        <v>346.047684361325</v>
      </c>
      <c r="K109" s="4" t="s">
        <v>516</v>
      </c>
    </row>
    <row r="110" customFormat="false" ht="15" hidden="false" customHeight="false" outlineLevel="0" collapsed="false">
      <c r="A110" s="4" t="s">
        <v>435</v>
      </c>
      <c r="B110" s="0" t="s">
        <v>138</v>
      </c>
      <c r="C110" s="22" t="n">
        <f aca="false">a25_op</f>
        <v>28.23445</v>
      </c>
      <c r="D110" s="22" t="n">
        <f aca="false">a26_op</f>
        <v>32.8693205828571</v>
      </c>
      <c r="E110" s="22" t="n">
        <f aca="false">D110*(1+g_op27)</f>
        <v>34.512786612</v>
      </c>
      <c r="F110" s="22" t="n">
        <f aca="false">E110*(1+g_op28)</f>
        <v>36.2384259426</v>
      </c>
      <c r="G110" s="22" t="n">
        <f aca="false">F110*(1+g_op29)</f>
        <v>38.05034723973</v>
      </c>
    </row>
    <row r="111" customFormat="false" ht="15" hidden="false" customHeight="false" outlineLevel="0" collapsed="false">
      <c r="A111" s="4" t="s">
        <v>436</v>
      </c>
      <c r="B111" s="0" t="s">
        <v>138</v>
      </c>
      <c r="C111" s="22" t="n">
        <f aca="false">a25_ic</f>
        <v>63.1123</v>
      </c>
      <c r="D111" s="22" t="n">
        <f aca="false">a26_ic</f>
        <v>63.8838329806349</v>
      </c>
      <c r="E111" s="22" t="n">
        <f aca="false">D111*(1+g_ic27)</f>
        <v>63.8838329806349</v>
      </c>
      <c r="F111" s="22" t="n">
        <f aca="false">E111*(1+g_ic28)</f>
        <v>63.8838329806349</v>
      </c>
      <c r="G111" s="22" t="n">
        <f aca="false">F111*(1+g_ic29)</f>
        <v>63.8838329806349</v>
      </c>
    </row>
    <row r="112" customFormat="false" ht="17.15" hidden="false" customHeight="false" outlineLevel="0" collapsed="false">
      <c r="A112" s="4" t="s">
        <v>517</v>
      </c>
      <c r="B112" s="0" t="s">
        <v>138</v>
      </c>
      <c r="C112" s="22" t="n">
        <f aca="false">C108+C110+C111</f>
        <v>131.20715</v>
      </c>
      <c r="D112" s="22" t="n">
        <f aca="false">D108+D110+D111</f>
        <v>146.7847143</v>
      </c>
      <c r="E112" s="22" t="n">
        <f aca="false">E108+E110+E111</f>
        <v>150.929758365968</v>
      </c>
      <c r="F112" s="22" t="n">
        <f aca="false">F108+F110+F111</f>
        <v>155.282054635235</v>
      </c>
      <c r="G112" s="22" t="n">
        <f aca="false">G108+G110+G111</f>
        <v>159.851965717965</v>
      </c>
    </row>
    <row r="113" customFormat="false" ht="17.15" hidden="false" customHeight="false" outlineLevel="0" collapsed="false">
      <c r="A113" s="4" t="s">
        <v>383</v>
      </c>
      <c r="B113" s="0" t="s">
        <v>138</v>
      </c>
      <c r="C113" s="22" t="n">
        <f aca="false">C109+C110+C111</f>
        <v>166.085</v>
      </c>
      <c r="D113" s="22" t="n">
        <f aca="false">D109+D110+D111</f>
        <v>212.73147</v>
      </c>
      <c r="E113" s="22" t="n">
        <f aca="false">E109+E110+E111</f>
        <v>323.076518719859</v>
      </c>
      <c r="F113" s="22" t="n">
        <f aca="false">F109+F110+F111</f>
        <v>371.117633070185</v>
      </c>
      <c r="G113" s="22" t="n">
        <f aca="false">G109+G110+G111</f>
        <v>447.98186458169</v>
      </c>
      <c r="H113" s="24" t="n">
        <f aca="false">G113*(1+H115)</f>
        <v>515.81096201122</v>
      </c>
      <c r="I113" s="24" t="n">
        <f aca="false">H113*(1+I115)</f>
        <v>565.176744150769</v>
      </c>
      <c r="J113" s="24" t="n">
        <f aca="false">I113*(1+J115)</f>
        <v>587.7838139168</v>
      </c>
      <c r="K113" s="8" t="s">
        <v>518</v>
      </c>
    </row>
    <row r="114" customFormat="false" ht="17.15" hidden="false" customHeight="false" outlineLevel="0" collapsed="false">
      <c r="A114" s="4" t="s">
        <v>519</v>
      </c>
      <c r="B114" s="0" t="s">
        <v>138</v>
      </c>
      <c r="C114" s="28" t="n">
        <f aca="false">C113-a25_rev</f>
        <v>0</v>
      </c>
      <c r="D114" s="28" t="n">
        <f aca="false">D113-a26_rev</f>
        <v>0</v>
      </c>
    </row>
    <row r="115" customFormat="false" ht="15" hidden="false" customHeight="false" outlineLevel="0" collapsed="false">
      <c r="A115" s="4" t="s">
        <v>520</v>
      </c>
      <c r="B115" s="0" t="s">
        <v>53</v>
      </c>
      <c r="D115" s="17" t="n">
        <f aca="false">D113/C113-1</f>
        <v>0.280859017972725</v>
      </c>
      <c r="E115" s="17" t="n">
        <f aca="false">E113/D113-1</f>
        <v>0.518705806526221</v>
      </c>
      <c r="F115" s="17" t="n">
        <f aca="false">F113/E113-1</f>
        <v>0.148698873383563</v>
      </c>
      <c r="G115" s="17" t="n">
        <f aca="false">G113/F113-1</f>
        <v>0.20711554682978</v>
      </c>
      <c r="H115" s="25" t="n">
        <f aca="false">$G115+(fade_gB-$G115)*1/3</f>
        <v>0.151410364553186</v>
      </c>
      <c r="I115" s="25" t="n">
        <f aca="false">$G115+(fade_gB-$G115)*2/3</f>
        <v>0.0957051822765932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521</v>
      </c>
      <c r="B116" s="0" t="s">
        <v>53</v>
      </c>
      <c r="C116" s="17" t="n">
        <f aca="false">C106/C113</f>
        <v>0.21</v>
      </c>
      <c r="D116" s="17" t="n">
        <f aca="false">D106/D113</f>
        <v>0.31</v>
      </c>
      <c r="E116" s="17" t="n">
        <f aca="false">E106/E113</f>
        <v>0.532835877506653</v>
      </c>
      <c r="F116" s="17" t="n">
        <f aca="false">F106/F113</f>
        <v>0.581582655206609</v>
      </c>
      <c r="G116" s="17" t="n">
        <f aca="false">G106/G113</f>
        <v>0.643173131869458</v>
      </c>
    </row>
    <row r="117" customFormat="false" ht="17.15" hidden="false" customHeight="false" outlineLevel="0" collapsed="false">
      <c r="A117" s="4" t="s">
        <v>470</v>
      </c>
      <c r="B117" s="0" t="s">
        <v>471</v>
      </c>
      <c r="D117" s="21" t="n">
        <f aca="false">D106/fx/D98*1000</f>
        <v>88.0716581635229</v>
      </c>
      <c r="E117" s="21" t="n">
        <f aca="false">E106/fx/E98*1000</f>
        <v>129.1717653065</v>
      </c>
      <c r="F117" s="21" t="n">
        <f aca="false">F106/fx/F98*1000</f>
        <v>159.703273469855</v>
      </c>
      <c r="G117" s="21" t="n">
        <f aca="false">G106/fx/G98*1000</f>
        <v>176.143316327046</v>
      </c>
    </row>
    <row r="118" customFormat="false" ht="17.15" hidden="false" customHeight="false" outlineLevel="0" collapsed="false">
      <c r="A118" s="6" t="s">
        <v>522</v>
      </c>
    </row>
    <row r="119" customFormat="false" ht="17.15" hidden="false" customHeight="false" outlineLevel="0" collapsed="false">
      <c r="A119" s="4" t="s">
        <v>523</v>
      </c>
      <c r="B119" s="0" t="s">
        <v>53</v>
      </c>
      <c r="D119" s="17" t="n">
        <f aca="false">a26_gp/D113-d_ai*D116</f>
        <v>0.216982337009188</v>
      </c>
      <c r="K119" s="8" t="s">
        <v>524</v>
      </c>
    </row>
    <row r="120" customFormat="false" ht="17.15" hidden="false" customHeight="false" outlineLevel="0" collapsed="false">
      <c r="A120" s="0" t="s">
        <v>525</v>
      </c>
      <c r="B120" s="0" t="s">
        <v>53</v>
      </c>
      <c r="D120" s="17" t="n">
        <f aca="false">D119+d_ai</f>
        <v>0.336982337009188</v>
      </c>
      <c r="E120" s="17" t="n">
        <f aca="false">$D$120+gmu_27</f>
        <v>0.336982337009188</v>
      </c>
      <c r="F120" s="17" t="n">
        <f aca="false">$D$120+gmu_28</f>
        <v>0.336982337009188</v>
      </c>
      <c r="G120" s="17" t="n">
        <f aca="false">$D$120+gmu_29</f>
        <v>0.336982337009188</v>
      </c>
      <c r="K120" s="4" t="s">
        <v>526</v>
      </c>
    </row>
    <row r="121" customFormat="false" ht="15" hidden="false" customHeight="false" outlineLevel="0" collapsed="false">
      <c r="A121" s="4" t="s">
        <v>387</v>
      </c>
      <c r="B121" s="0" t="s">
        <v>138</v>
      </c>
      <c r="C121" s="22" t="n">
        <f aca="false">a25_gp</f>
        <v>38.039</v>
      </c>
      <c r="D121" s="22" t="n">
        <f aca="false">a26_gp</f>
        <v>54.0725822</v>
      </c>
      <c r="E121" s="22" t="n">
        <f aca="false">E106*E120+E112*$D$119</f>
        <v>90.7595093070945</v>
      </c>
      <c r="F121" s="22" t="n">
        <f aca="false">F106*F120+F112*$D$119</f>
        <v>106.426240741081</v>
      </c>
      <c r="G121" s="22" t="n">
        <f aca="false">G106*G120+G112*$D$119</f>
        <v>131.779739778316</v>
      </c>
    </row>
    <row r="122" customFormat="false" ht="15" hidden="false" customHeight="false" outlineLevel="0" collapsed="false">
      <c r="A122" s="4" t="s">
        <v>390</v>
      </c>
      <c r="B122" s="0" t="s">
        <v>53</v>
      </c>
      <c r="C122" s="17" t="n">
        <f aca="false">C121/C113</f>
        <v>0.229033326308818</v>
      </c>
      <c r="D122" s="17" t="n">
        <f aca="false">D121/D113</f>
        <v>0.254182337009188</v>
      </c>
      <c r="E122" s="17" t="n">
        <f aca="false">E121/E113</f>
        <v>0.280922642309987</v>
      </c>
      <c r="F122" s="17" t="n">
        <f aca="false">F121/F113</f>
        <v>0.286772255633981</v>
      </c>
      <c r="G122" s="17" t="n">
        <f aca="false">G121/G113</f>
        <v>0.294163112833523</v>
      </c>
    </row>
    <row r="123" customFormat="false" ht="15" hidden="false" customHeight="false" outlineLevel="0" collapsed="false">
      <c r="A123" s="4" t="s">
        <v>527</v>
      </c>
      <c r="B123" s="0" t="s">
        <v>138</v>
      </c>
      <c r="C123" s="22" t="n">
        <f aca="false">a25_opx</f>
        <v>21.301</v>
      </c>
      <c r="D123" s="22" t="n">
        <f aca="false">a26_opx</f>
        <v>25.21033346</v>
      </c>
      <c r="E123" s="22" t="n">
        <f aca="false">D123*(1+MAX(0,phi*E115))</f>
        <v>34.364055905115</v>
      </c>
      <c r="F123" s="22" t="n">
        <f aca="false">E123*(1+MAX(0,phi*F115))</f>
        <v>37.9409833837013</v>
      </c>
      <c r="G123" s="22" t="n">
        <f aca="false">F123*(1+MAX(0,phi*G115))</f>
        <v>43.4417006482437</v>
      </c>
    </row>
    <row r="124" customFormat="false" ht="15" hidden="false" customHeight="false" outlineLevel="0" collapsed="false">
      <c r="A124" s="4" t="s">
        <v>392</v>
      </c>
      <c r="B124" s="0" t="s">
        <v>138</v>
      </c>
      <c r="C124" s="22" t="n">
        <f aca="false">C123</f>
        <v>21.301</v>
      </c>
      <c r="D124" s="22" t="n">
        <f aca="false">D123</f>
        <v>25.21033346</v>
      </c>
      <c r="E124" s="22" t="n">
        <f aca="false">E123+0*E113</f>
        <v>34.364055905115</v>
      </c>
      <c r="F124" s="22" t="n">
        <f aca="false">F123+0*F113</f>
        <v>37.9409833837013</v>
      </c>
      <c r="G124" s="22" t="n">
        <f aca="false">G123+0*G113</f>
        <v>43.4417006482437</v>
      </c>
    </row>
    <row r="125" customFormat="false" ht="15" hidden="false" customHeight="false" outlineLevel="0" collapsed="false">
      <c r="A125" s="4" t="s">
        <v>395</v>
      </c>
      <c r="B125" s="0" t="s">
        <v>138</v>
      </c>
      <c r="C125" s="22" t="n">
        <f aca="false">C121-C124</f>
        <v>16.738</v>
      </c>
      <c r="D125" s="22" t="n">
        <f aca="false">D121-D124</f>
        <v>28.86224874</v>
      </c>
      <c r="E125" s="22" t="n">
        <f aca="false">E121-E124</f>
        <v>56.3954534019795</v>
      </c>
      <c r="F125" s="22" t="n">
        <f aca="false">F121-F124</f>
        <v>68.4852573573799</v>
      </c>
      <c r="G125" s="22" t="n">
        <f aca="false">G121-G124</f>
        <v>88.3380391300722</v>
      </c>
    </row>
    <row r="126" customFormat="false" ht="15" hidden="false" customHeight="false" outlineLevel="0" collapsed="false">
      <c r="A126" s="4" t="s">
        <v>397</v>
      </c>
      <c r="B126" s="0" t="s">
        <v>53</v>
      </c>
      <c r="C126" s="17" t="n">
        <f aca="false">C125/C113</f>
        <v>0.100779721227083</v>
      </c>
      <c r="D126" s="17" t="n">
        <f aca="false">D125/D113</f>
        <v>0.135674560703219</v>
      </c>
      <c r="E126" s="17" t="n">
        <f aca="false">E125/E113</f>
        <v>0.174557574241043</v>
      </c>
      <c r="F126" s="17" t="n">
        <f aca="false">F125/F113</f>
        <v>0.184537869545067</v>
      </c>
      <c r="G126" s="17" t="n">
        <f aca="false">G125/G113</f>
        <v>0.197191105520665</v>
      </c>
    </row>
    <row r="127" customFormat="false" ht="15" hidden="false" customHeight="false" outlineLevel="0" collapsed="false">
      <c r="A127" s="4" t="s">
        <v>399</v>
      </c>
      <c r="B127" s="0" t="s">
        <v>138</v>
      </c>
      <c r="C127" s="22" t="n">
        <f aca="false">a25_nop</f>
        <v>2.9762895</v>
      </c>
      <c r="D127" s="22" t="n">
        <f aca="false">a26_nop</f>
        <v>3.839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528</v>
      </c>
      <c r="B128" s="0" t="s">
        <v>53</v>
      </c>
      <c r="C128" s="17" t="n">
        <f aca="false">a25_ni/a25_pt</f>
        <v>0.766753475949514</v>
      </c>
      <c r="D128" s="17" t="n">
        <f aca="false">a26_ni/a26_pt</f>
        <v>0.759431002022174</v>
      </c>
      <c r="E128" s="17" t="n">
        <f aca="false">nir_f</f>
        <v>0.76</v>
      </c>
      <c r="F128" s="17" t="n">
        <f aca="false">nir_f</f>
        <v>0.76</v>
      </c>
      <c r="G128" s="17" t="n">
        <f aca="false">nir_f</f>
        <v>0.76</v>
      </c>
    </row>
    <row r="129" customFormat="false" ht="15" hidden="false" customHeight="false" outlineLevel="0" collapsed="false">
      <c r="A129" s="4" t="s">
        <v>404</v>
      </c>
      <c r="B129" s="0" t="s">
        <v>138</v>
      </c>
      <c r="C129" s="22" t="n">
        <f aca="false">a25_ni</f>
        <v>15.116</v>
      </c>
      <c r="D129" s="22" t="n">
        <f aca="false">a26_ni</f>
        <v>24.8343420979946</v>
      </c>
      <c r="E129" s="22" t="n">
        <f aca="false">(E125+E127)*E128</f>
        <v>45.5205445855044</v>
      </c>
      <c r="F129" s="22" t="n">
        <f aca="false">(F125+F127)*F128</f>
        <v>54.7087955916088</v>
      </c>
      <c r="G129" s="22" t="n">
        <f aca="false">(G125+G127)*G128</f>
        <v>69.7969097388549</v>
      </c>
      <c r="H129" s="24" t="n">
        <f aca="false">H113*H133</f>
        <v>71.9963395981299</v>
      </c>
      <c r="I129" s="24" t="n">
        <f aca="false">I113*I133</f>
        <v>69.7173035230928</v>
      </c>
      <c r="J129" s="24" t="n">
        <f aca="false">J113*J133</f>
        <v>62.9697584293118</v>
      </c>
    </row>
    <row r="130" customFormat="false" ht="15" hidden="false" customHeight="false" outlineLevel="0" collapsed="false">
      <c r="A130" s="4" t="s">
        <v>529</v>
      </c>
      <c r="B130" s="4" t="s">
        <v>231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9" t="n">
        <f aca="false">G130*(1+sh_g)</f>
        <v>2.26895833333333</v>
      </c>
      <c r="I130" s="29" t="n">
        <f aca="false">H130*(1+sh_g)</f>
        <v>2.26895833333333</v>
      </c>
      <c r="J130" s="29" t="n">
        <f aca="false">I130*(1+sh_g)</f>
        <v>2.26895833333333</v>
      </c>
    </row>
    <row r="131" customFormat="false" ht="15" hidden="false" customHeight="false" outlineLevel="0" collapsed="false">
      <c r="A131" s="0" t="s">
        <v>410</v>
      </c>
      <c r="B131" s="0" t="s">
        <v>264</v>
      </c>
      <c r="C131" s="23" t="n">
        <f aca="false">C129/C130</f>
        <v>6.64</v>
      </c>
      <c r="D131" s="23" t="n">
        <f aca="false">D129/D130</f>
        <v>10.9452614149641</v>
      </c>
      <c r="E131" s="23" t="n">
        <f aca="false">E129/E130</f>
        <v>20.0623096143992</v>
      </c>
      <c r="F131" s="23" t="n">
        <f aca="false">F129/F130</f>
        <v>24.1118555541017</v>
      </c>
      <c r="G131" s="23" t="n">
        <f aca="false">G129/G130</f>
        <v>30.7616533602519</v>
      </c>
      <c r="H131" s="30" t="n">
        <f aca="false">H129/H130</f>
        <v>31.731010014785</v>
      </c>
      <c r="I131" s="30" t="n">
        <f aca="false">I129/I130</f>
        <v>30.7265684428285</v>
      </c>
      <c r="J131" s="30" t="n">
        <f aca="false">J129/J130</f>
        <v>27.75271696453</v>
      </c>
    </row>
    <row r="132" customFormat="false" ht="17.15" hidden="false" customHeight="false" outlineLevel="0" collapsed="false">
      <c r="A132" s="0" t="s">
        <v>530</v>
      </c>
      <c r="B132" s="0" t="s">
        <v>53</v>
      </c>
      <c r="D132" s="17" t="n">
        <f aca="false">D131/C131-1</f>
        <v>0.648382743217484</v>
      </c>
      <c r="E132" s="17" t="n">
        <f aca="false">E131/D131-1</f>
        <v>0.832967606143281</v>
      </c>
      <c r="F132" s="17" t="n">
        <f aca="false">F131/E131-1</f>
        <v>0.201848442055552</v>
      </c>
      <c r="G132" s="17" t="n">
        <f aca="false">G131/F131-1</f>
        <v>0.275789550548255</v>
      </c>
      <c r="H132" s="25" t="n">
        <f aca="false">H131/G131-1</f>
        <v>0.0315118515634034</v>
      </c>
      <c r="I132" s="25" t="n">
        <f aca="false">I131/H131-1</f>
        <v>-0.031654888120123</v>
      </c>
      <c r="J132" s="25" t="n">
        <f aca="false">J131/I131-1</f>
        <v>-0.0967843670480735</v>
      </c>
    </row>
    <row r="133" customFormat="false" ht="17.15" hidden="false" customHeight="false" outlineLevel="0" collapsed="false">
      <c r="A133" s="4" t="s">
        <v>531</v>
      </c>
      <c r="B133" s="0" t="s">
        <v>53</v>
      </c>
      <c r="C133" s="17" t="n">
        <f aca="false">C129/C113</f>
        <v>0.0910136375952073</v>
      </c>
      <c r="D133" s="17" t="n">
        <f aca="false">D129/D113</f>
        <v>0.116740330417472</v>
      </c>
      <c r="E133" s="17" t="n">
        <f aca="false">E129/E113</f>
        <v>0.140897100061226</v>
      </c>
      <c r="F133" s="17" t="n">
        <f aca="false">F129/F113</f>
        <v>0.147416319561572</v>
      </c>
      <c r="G133" s="17" t="n">
        <f aca="false">G129/G113</f>
        <v>0.155802980560449</v>
      </c>
      <c r="H133" s="25" t="n">
        <f aca="false">$G133+(fade_mB-$G133)*1/3</f>
        <v>0.13957892503371</v>
      </c>
      <c r="I133" s="25" t="n">
        <f aca="false">$G133+(fade_mB-$G133)*2/3</f>
        <v>0.123354869506971</v>
      </c>
      <c r="J133" s="25" t="n">
        <f aca="false">$G133+(fade_mB-$G133)*3/3</f>
        <v>0.107130813980232</v>
      </c>
    </row>
    <row r="136" customFormat="false" ht="17.15" hidden="false" customHeight="false" outlineLevel="0" collapsed="false">
      <c r="A136" s="1" t="s">
        <v>862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4" t="s">
        <v>378</v>
      </c>
      <c r="D137" s="14" t="s">
        <v>476</v>
      </c>
      <c r="E137" s="14" t="s">
        <v>477</v>
      </c>
      <c r="F137" s="14" t="s">
        <v>478</v>
      </c>
      <c r="G137" s="14" t="s">
        <v>479</v>
      </c>
      <c r="H137" s="14" t="s">
        <v>480</v>
      </c>
      <c r="I137" s="14" t="s">
        <v>481</v>
      </c>
      <c r="J137" s="14" t="s">
        <v>482</v>
      </c>
      <c r="K137" s="5" t="s">
        <v>449</v>
      </c>
    </row>
    <row r="138" customFormat="false" ht="17.15" hidden="false" customHeight="false" outlineLevel="0" collapsed="false">
      <c r="A138" s="6" t="s">
        <v>501</v>
      </c>
    </row>
    <row r="139" customFormat="false" ht="17.15" hidden="false" customHeight="false" outlineLevel="0" collapsed="false">
      <c r="A139" s="0" t="s">
        <v>502</v>
      </c>
      <c r="B139" s="0" t="s">
        <v>33</v>
      </c>
      <c r="D139" s="23" t="n">
        <f aca="false">itc_26*1</f>
        <v>781.872916666666</v>
      </c>
      <c r="E139" s="23" t="n">
        <f aca="false">itc_27*1*1</f>
        <v>1565.35</v>
      </c>
      <c r="F139" s="23" t="n">
        <f aca="false">itc_28*um28_B*1</f>
        <v>1587.41111111111</v>
      </c>
      <c r="G139" s="23" t="n">
        <f aca="false">itc_29*um29_B*1</f>
        <v>1921.33173611111</v>
      </c>
    </row>
    <row r="140" customFormat="false" ht="17.15" hidden="false" customHeight="false" outlineLevel="0" collapsed="false">
      <c r="A140" s="4" t="s">
        <v>503</v>
      </c>
      <c r="B140" s="0" t="s">
        <v>33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504</v>
      </c>
      <c r="B141" s="0" t="s">
        <v>451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42.2337105529984</v>
      </c>
      <c r="G141" s="20" t="n">
        <f aca="false">G139/G140</f>
        <v>51.1178029756948</v>
      </c>
    </row>
    <row r="142" customFormat="false" ht="17.15" hidden="false" customHeight="false" outlineLevel="0" collapsed="false">
      <c r="A142" s="0" t="s">
        <v>453</v>
      </c>
      <c r="B142" s="0" t="s">
        <v>91</v>
      </c>
      <c r="D142" s="21" t="n">
        <f aca="false">PKLO_26</f>
        <v>380</v>
      </c>
      <c r="E142" s="21" t="n">
        <f aca="false">PKLO_27</f>
        <v>500</v>
      </c>
      <c r="F142" s="21" t="n">
        <f aca="false">PKLO_28</f>
        <v>550</v>
      </c>
      <c r="G142" s="21" t="n">
        <f aca="false">PKLO_29</f>
        <v>550</v>
      </c>
    </row>
    <row r="143" customFormat="false" ht="17.15" hidden="false" customHeight="false" outlineLevel="0" collapsed="false">
      <c r="A143" s="0" t="s">
        <v>505</v>
      </c>
      <c r="B143" s="0" t="s">
        <v>33</v>
      </c>
      <c r="D143" s="23" t="n">
        <f aca="false">D141*D142/1000</f>
        <v>8.89182445598428</v>
      </c>
      <c r="E143" s="23" t="n">
        <f aca="false">E141*E142/1000</f>
        <v>20.8233829130318</v>
      </c>
      <c r="F143" s="23" t="n">
        <f aca="false">F141*F142/1000</f>
        <v>23.2285408041491</v>
      </c>
      <c r="G143" s="23" t="n">
        <f aca="false">G141*G142/1000</f>
        <v>28.1147916366322</v>
      </c>
    </row>
    <row r="144" customFormat="false" ht="17.15" hidden="false" customHeight="false" outlineLevel="0" collapsed="false">
      <c r="A144" s="0" t="s">
        <v>506</v>
      </c>
      <c r="B144" s="0" t="s">
        <v>138</v>
      </c>
      <c r="D144" s="22" t="n">
        <f aca="false">D143*fx</f>
        <v>284.538382591497</v>
      </c>
      <c r="E144" s="22" t="n">
        <f aca="false">E143*fx</f>
        <v>666.348253217019</v>
      </c>
      <c r="F144" s="22" t="n">
        <f aca="false">F143*fx</f>
        <v>743.313305732772</v>
      </c>
      <c r="G144" s="22" t="n">
        <f aca="false">G143*fx</f>
        <v>899.673332372229</v>
      </c>
    </row>
    <row r="145" customFormat="false" ht="17.15" hidden="false" customHeight="false" outlineLevel="0" collapsed="false">
      <c r="A145" s="4" t="s">
        <v>507</v>
      </c>
      <c r="B145" s="0" t="s">
        <v>53</v>
      </c>
      <c r="D145" s="17" t="n">
        <f aca="false">a26_aip/D144</f>
        <v>0.208590769334659</v>
      </c>
      <c r="K145" s="8" t="s">
        <v>508</v>
      </c>
    </row>
    <row r="146" customFormat="false" ht="17.15" hidden="false" customHeight="false" outlineLevel="0" collapsed="false">
      <c r="A146" s="4" t="s">
        <v>509</v>
      </c>
      <c r="B146" s="0" t="s">
        <v>64</v>
      </c>
      <c r="D146" s="18" t="n">
        <f aca="false">1</f>
        <v>1</v>
      </c>
      <c r="E146" s="18" t="n">
        <f aca="false">rel_27</f>
        <v>1</v>
      </c>
      <c r="F146" s="18" t="n">
        <f aca="false">rel_28</f>
        <v>1</v>
      </c>
      <c r="G146" s="18" t="n">
        <f aca="false">rel_29</f>
        <v>1</v>
      </c>
    </row>
    <row r="147" customFormat="false" ht="15" hidden="false" customHeight="false" outlineLevel="0" collapsed="false">
      <c r="A147" s="4" t="s">
        <v>459</v>
      </c>
      <c r="B147" s="0" t="s">
        <v>53</v>
      </c>
      <c r="D147" s="17" t="n">
        <f aca="false">$D$145*D146</f>
        <v>0.208590769334659</v>
      </c>
      <c r="E147" s="17" t="n">
        <f aca="false">$D$145*E146</f>
        <v>0.208590769334659</v>
      </c>
      <c r="F147" s="17" t="n">
        <f aca="false">$D$145*F146</f>
        <v>0.208590769334659</v>
      </c>
      <c r="G147" s="17" t="n">
        <f aca="false">$D$145*G146</f>
        <v>0.208590769334659</v>
      </c>
    </row>
    <row r="148" customFormat="false" ht="17.15" hidden="false" customHeight="false" outlineLevel="0" collapsed="false">
      <c r="A148" s="0" t="s">
        <v>510</v>
      </c>
      <c r="B148" s="0" t="s">
        <v>138</v>
      </c>
      <c r="C148" s="22" t="n">
        <f aca="false">a25_aip</f>
        <v>31.390065</v>
      </c>
      <c r="D148" s="22" t="n">
        <f aca="false">D144*D147</f>
        <v>59.35208013</v>
      </c>
      <c r="E148" s="22" t="n">
        <f aca="false">E144*E147</f>
        <v>138.994094783344</v>
      </c>
      <c r="F148" s="22" t="n">
        <f aca="false">F144*F147</f>
        <v>155.048294299488</v>
      </c>
      <c r="G148" s="22" t="n">
        <f aca="false">G144*G147</f>
        <v>187.6635525494</v>
      </c>
    </row>
    <row r="149" customFormat="false" ht="17.15" hidden="false" customHeight="false" outlineLevel="0" collapsed="false">
      <c r="A149" s="0" t="s">
        <v>511</v>
      </c>
      <c r="B149" s="0" t="s">
        <v>138</v>
      </c>
      <c r="C149" s="22" t="n">
        <f aca="false">a25_ai</f>
        <v>34.87785</v>
      </c>
      <c r="D149" s="22" t="n">
        <f aca="false">D148/(1-x_np)</f>
        <v>65.9467557</v>
      </c>
      <c r="E149" s="22" t="n">
        <f aca="false">E148/(1-x_np)</f>
        <v>154.437883092605</v>
      </c>
      <c r="F149" s="22" t="n">
        <f aca="false">F148/(1-x_np)</f>
        <v>172.275882554986</v>
      </c>
      <c r="G149" s="22" t="n">
        <f aca="false">G148/(1-x_np)</f>
        <v>208.515058388222</v>
      </c>
      <c r="K149" s="4" t="s">
        <v>512</v>
      </c>
    </row>
    <row r="150" customFormat="false" ht="17.15" hidden="false" customHeight="false" outlineLevel="0" collapsed="false">
      <c r="A150" s="6" t="s">
        <v>513</v>
      </c>
    </row>
    <row r="151" customFormat="false" ht="17.15" hidden="false" customHeight="false" outlineLevel="0" collapsed="false">
      <c r="A151" s="4" t="s">
        <v>514</v>
      </c>
      <c r="B151" s="0" t="s">
        <v>138</v>
      </c>
      <c r="C151" s="22" t="n">
        <f aca="false">a25_cn</f>
        <v>39.8604</v>
      </c>
      <c r="D151" s="22" t="n">
        <f aca="false">a26_cn</f>
        <v>50.0315607365079</v>
      </c>
      <c r="E151" s="22" t="n">
        <f aca="false">D151*(1+g_cn27)</f>
        <v>52.5331387733333</v>
      </c>
      <c r="F151" s="22" t="n">
        <f aca="false">E151*(1+g_cn28)</f>
        <v>55.159795712</v>
      </c>
      <c r="G151" s="22" t="n">
        <f aca="false">F151*(1+g_cn29)</f>
        <v>57.9177854976</v>
      </c>
      <c r="K151" s="4" t="s">
        <v>515</v>
      </c>
    </row>
    <row r="152" customFormat="false" ht="17.15" hidden="false" customHeight="false" outlineLevel="0" collapsed="false">
      <c r="A152" s="4" t="s">
        <v>431</v>
      </c>
      <c r="B152" s="0" t="s">
        <v>138</v>
      </c>
      <c r="C152" s="22" t="n">
        <f aca="false">C149+C151</f>
        <v>74.73825</v>
      </c>
      <c r="D152" s="22" t="n">
        <f aca="false">D149+D151</f>
        <v>115.978316436508</v>
      </c>
      <c r="E152" s="22" t="n">
        <f aca="false">E149+E151</f>
        <v>206.971021865938</v>
      </c>
      <c r="F152" s="22" t="n">
        <f aca="false">F149+F151</f>
        <v>227.435678266986</v>
      </c>
      <c r="G152" s="22" t="n">
        <f aca="false">G149+G151</f>
        <v>266.432843885822</v>
      </c>
      <c r="K152" s="4" t="s">
        <v>516</v>
      </c>
    </row>
    <row r="153" customFormat="false" ht="15" hidden="false" customHeight="false" outlineLevel="0" collapsed="false">
      <c r="A153" s="4" t="s">
        <v>435</v>
      </c>
      <c r="B153" s="0" t="s">
        <v>138</v>
      </c>
      <c r="C153" s="22" t="n">
        <f aca="false">a25_op</f>
        <v>28.23445</v>
      </c>
      <c r="D153" s="22" t="n">
        <f aca="false">a26_op</f>
        <v>32.8693205828571</v>
      </c>
      <c r="E153" s="22" t="n">
        <f aca="false">D153*(1+g_op27)</f>
        <v>34.512786612</v>
      </c>
      <c r="F153" s="22" t="n">
        <f aca="false">E153*(1+g_op28)</f>
        <v>36.2384259426</v>
      </c>
      <c r="G153" s="22" t="n">
        <f aca="false">F153*(1+g_op29)</f>
        <v>38.05034723973</v>
      </c>
    </row>
    <row r="154" customFormat="false" ht="15" hidden="false" customHeight="false" outlineLevel="0" collapsed="false">
      <c r="A154" s="4" t="s">
        <v>436</v>
      </c>
      <c r="B154" s="0" t="s">
        <v>138</v>
      </c>
      <c r="C154" s="22" t="n">
        <f aca="false">a25_ic</f>
        <v>63.1123</v>
      </c>
      <c r="D154" s="22" t="n">
        <f aca="false">a26_ic</f>
        <v>63.8838329806349</v>
      </c>
      <c r="E154" s="22" t="n">
        <f aca="false">D154*(1+g_ic27)</f>
        <v>63.8838329806349</v>
      </c>
      <c r="F154" s="22" t="n">
        <f aca="false">E154*(1+g_ic28)</f>
        <v>63.8838329806349</v>
      </c>
      <c r="G154" s="22" t="n">
        <f aca="false">F154*(1+g_ic29)</f>
        <v>63.8838329806349</v>
      </c>
    </row>
    <row r="155" customFormat="false" ht="17.15" hidden="false" customHeight="false" outlineLevel="0" collapsed="false">
      <c r="A155" s="4" t="s">
        <v>517</v>
      </c>
      <c r="B155" s="0" t="s">
        <v>138</v>
      </c>
      <c r="C155" s="22" t="n">
        <f aca="false">C151+C153+C154</f>
        <v>131.20715</v>
      </c>
      <c r="D155" s="22" t="n">
        <f aca="false">D151+D153+D154</f>
        <v>146.7847143</v>
      </c>
      <c r="E155" s="22" t="n">
        <f aca="false">E151+E153+E154</f>
        <v>150.929758365968</v>
      </c>
      <c r="F155" s="22" t="n">
        <f aca="false">F151+F153+F154</f>
        <v>155.282054635235</v>
      </c>
      <c r="G155" s="22" t="n">
        <f aca="false">G151+G153+G154</f>
        <v>159.851965717965</v>
      </c>
    </row>
    <row r="156" customFormat="false" ht="17.15" hidden="false" customHeight="false" outlineLevel="0" collapsed="false">
      <c r="A156" s="4" t="s">
        <v>383</v>
      </c>
      <c r="B156" s="0" t="s">
        <v>138</v>
      </c>
      <c r="C156" s="22" t="n">
        <f aca="false">C152+C153+C154</f>
        <v>166.085</v>
      </c>
      <c r="D156" s="22" t="n">
        <f aca="false">D152+D153+D154</f>
        <v>212.73147</v>
      </c>
      <c r="E156" s="22" t="n">
        <f aca="false">E152+E153+E154</f>
        <v>305.367641458573</v>
      </c>
      <c r="F156" s="22" t="n">
        <f aca="false">F152+F153+F154</f>
        <v>327.557937190221</v>
      </c>
      <c r="G156" s="22" t="n">
        <f aca="false">G152+G153+G154</f>
        <v>368.367024106187</v>
      </c>
      <c r="H156" s="24" t="n">
        <f aca="false">G156*(1+H158)</f>
        <v>403.874132465456</v>
      </c>
      <c r="I156" s="24" t="n">
        <f aca="false">H156*(1+I158)</f>
        <v>431.416444546433</v>
      </c>
      <c r="J156" s="24" t="n">
        <f aca="false">I156*(1+J158)</f>
        <v>448.673102328291</v>
      </c>
      <c r="K156" s="8" t="s">
        <v>518</v>
      </c>
    </row>
    <row r="157" customFormat="false" ht="17.15" hidden="false" customHeight="false" outlineLevel="0" collapsed="false">
      <c r="A157" s="4" t="s">
        <v>519</v>
      </c>
      <c r="B157" s="0" t="s">
        <v>138</v>
      </c>
      <c r="C157" s="28" t="n">
        <f aca="false">C156-a25_rev</f>
        <v>0</v>
      </c>
      <c r="D157" s="28" t="n">
        <f aca="false">D156-a26_rev</f>
        <v>0</v>
      </c>
    </row>
    <row r="158" customFormat="false" ht="15" hidden="false" customHeight="false" outlineLevel="0" collapsed="false">
      <c r="A158" s="4" t="s">
        <v>520</v>
      </c>
      <c r="B158" s="0" t="s">
        <v>53</v>
      </c>
      <c r="D158" s="17" t="n">
        <f aca="false">D156/C156-1</f>
        <v>0.280859017972725</v>
      </c>
      <c r="E158" s="17" t="n">
        <f aca="false">E156/D156-1</f>
        <v>0.435460590097803</v>
      </c>
      <c r="F158" s="17" t="n">
        <f aca="false">F156/E156-1</f>
        <v>0.0726674759174133</v>
      </c>
      <c r="G158" s="17" t="n">
        <f aca="false">G156/F156-1</f>
        <v>0.124585858813328</v>
      </c>
      <c r="H158" s="25" t="n">
        <f aca="false">$G158+(fade_gB-$G158)*1/3</f>
        <v>0.0963905725422185</v>
      </c>
      <c r="I158" s="25" t="n">
        <f aca="false">$G158+(fade_gB-$G158)*2/3</f>
        <v>0.0681952862711092</v>
      </c>
      <c r="J158" s="25" t="n">
        <f aca="false">$G158+(fade_gB-$G158)*3/3</f>
        <v>0.04</v>
      </c>
    </row>
    <row r="159" customFormat="false" ht="17.15" hidden="false" customHeight="false" outlineLevel="0" collapsed="false">
      <c r="A159" s="0" t="s">
        <v>521</v>
      </c>
      <c r="B159" s="0" t="s">
        <v>53</v>
      </c>
      <c r="C159" s="17" t="n">
        <f aca="false">C149/C156</f>
        <v>0.21</v>
      </c>
      <c r="D159" s="17" t="n">
        <f aca="false">D149/D156</f>
        <v>0.31</v>
      </c>
      <c r="E159" s="17" t="n">
        <f aca="false">E149/E156</f>
        <v>0.505744100307879</v>
      </c>
      <c r="F159" s="17" t="n">
        <f aca="false">F149/F156</f>
        <v>0.52594018643774</v>
      </c>
      <c r="G159" s="17" t="n">
        <f aca="false">G149/G156</f>
        <v>0.566052455140813</v>
      </c>
    </row>
    <row r="160" customFormat="false" ht="17.15" hidden="false" customHeight="false" outlineLevel="0" collapsed="false">
      <c r="A160" s="4" t="s">
        <v>470</v>
      </c>
      <c r="B160" s="0" t="s">
        <v>471</v>
      </c>
      <c r="D160" s="21" t="n">
        <f aca="false">D149/fx/D141*1000</f>
        <v>88.0716581635229</v>
      </c>
      <c r="E160" s="21" t="n">
        <f aca="false">E149/fx/E141*1000</f>
        <v>115.883760741477</v>
      </c>
      <c r="F160" s="21" t="n">
        <f aca="false">F149/fx/F141*1000</f>
        <v>127.472136815625</v>
      </c>
      <c r="G160" s="21" t="n">
        <f aca="false">G149/fx/G141*1000</f>
        <v>127.472136815625</v>
      </c>
    </row>
    <row r="161" customFormat="false" ht="17.15" hidden="false" customHeight="false" outlineLevel="0" collapsed="false">
      <c r="A161" s="6" t="s">
        <v>522</v>
      </c>
    </row>
    <row r="162" customFormat="false" ht="17.15" hidden="false" customHeight="false" outlineLevel="0" collapsed="false">
      <c r="A162" s="4" t="s">
        <v>523</v>
      </c>
      <c r="B162" s="0" t="s">
        <v>53</v>
      </c>
      <c r="D162" s="17" t="n">
        <f aca="false">a26_gp/D156-d_ai*D159</f>
        <v>0.216982337009188</v>
      </c>
      <c r="K162" s="8" t="s">
        <v>524</v>
      </c>
    </row>
    <row r="163" customFormat="false" ht="17.15" hidden="false" customHeight="false" outlineLevel="0" collapsed="false">
      <c r="A163" s="0" t="s">
        <v>525</v>
      </c>
      <c r="B163" s="0" t="s">
        <v>53</v>
      </c>
      <c r="D163" s="17" t="n">
        <f aca="false">D162+d_ai</f>
        <v>0.336982337009188</v>
      </c>
      <c r="E163" s="17" t="n">
        <f aca="false">$D$163+gmu_27</f>
        <v>0.336982337009188</v>
      </c>
      <c r="F163" s="17" t="n">
        <f aca="false">$D$163+gmu_28</f>
        <v>0.336982337009188</v>
      </c>
      <c r="G163" s="17" t="n">
        <f aca="false">$D$163+gmu_29</f>
        <v>0.336982337009188</v>
      </c>
      <c r="K163" s="4" t="s">
        <v>526</v>
      </c>
    </row>
    <row r="164" customFormat="false" ht="15" hidden="false" customHeight="false" outlineLevel="0" collapsed="false">
      <c r="A164" s="4" t="s">
        <v>387</v>
      </c>
      <c r="B164" s="0" t="s">
        <v>138</v>
      </c>
      <c r="C164" s="22" t="n">
        <f aca="false">a25_gp</f>
        <v>38.039</v>
      </c>
      <c r="D164" s="22" t="n">
        <f aca="false">a26_gp</f>
        <v>54.0725822</v>
      </c>
      <c r="E164" s="22" t="n">
        <f aca="false">E149*E163+E155*$D$162</f>
        <v>84.7919304617776</v>
      </c>
      <c r="F164" s="22" t="n">
        <f aca="false">F149*F163+F155*$D$162</f>
        <v>91.7473926240415</v>
      </c>
      <c r="G164" s="22" t="n">
        <f aca="false">G149*G163+G155*$D$162</f>
        <v>104.950944774267</v>
      </c>
    </row>
    <row r="165" customFormat="false" ht="15" hidden="false" customHeight="false" outlineLevel="0" collapsed="false">
      <c r="A165" s="4" t="s">
        <v>390</v>
      </c>
      <c r="B165" s="0" t="s">
        <v>53</v>
      </c>
      <c r="C165" s="17" t="n">
        <f aca="false">C164/C156</f>
        <v>0.229033326308818</v>
      </c>
      <c r="D165" s="17" t="n">
        <f aca="false">D164/D156</f>
        <v>0.254182337009188</v>
      </c>
      <c r="E165" s="17" t="n">
        <f aca="false">E164/E156</f>
        <v>0.277671629046134</v>
      </c>
      <c r="F165" s="17" t="n">
        <f aca="false">F164/F156</f>
        <v>0.280095159381717</v>
      </c>
      <c r="G165" s="17" t="n">
        <f aca="false">G164/G156</f>
        <v>0.284908631626086</v>
      </c>
    </row>
    <row r="166" customFormat="false" ht="15" hidden="false" customHeight="false" outlineLevel="0" collapsed="false">
      <c r="A166" s="4" t="s">
        <v>527</v>
      </c>
      <c r="B166" s="0" t="s">
        <v>138</v>
      </c>
      <c r="C166" s="22" t="n">
        <f aca="false">a25_opx</f>
        <v>21.301</v>
      </c>
      <c r="D166" s="22" t="n">
        <f aca="false">a26_opx</f>
        <v>25.21033346</v>
      </c>
      <c r="E166" s="22" t="n">
        <f aca="false">D166*(1+MAX(0,phi*E158))</f>
        <v>32.8950081395378</v>
      </c>
      <c r="F166" s="22" t="n">
        <f aca="false">E166*(1+MAX(0,phi*F158))</f>
        <v>34.5682861877859</v>
      </c>
      <c r="G166" s="22" t="n">
        <f aca="false">F166*(1+MAX(0,phi*G158))</f>
        <v>37.582989923473</v>
      </c>
    </row>
    <row r="167" customFormat="false" ht="15" hidden="false" customHeight="false" outlineLevel="0" collapsed="false">
      <c r="A167" s="4" t="s">
        <v>392</v>
      </c>
      <c r="B167" s="0" t="s">
        <v>138</v>
      </c>
      <c r="C167" s="22" t="n">
        <f aca="false">C166</f>
        <v>21.301</v>
      </c>
      <c r="D167" s="22" t="n">
        <f aca="false">D166</f>
        <v>25.21033346</v>
      </c>
      <c r="E167" s="22" t="n">
        <f aca="false">E166+0*E156</f>
        <v>32.8950081395378</v>
      </c>
      <c r="F167" s="22" t="n">
        <f aca="false">F166+0*F156</f>
        <v>34.5682861877859</v>
      </c>
      <c r="G167" s="22" t="n">
        <f aca="false">G166+0*G156</f>
        <v>37.582989923473</v>
      </c>
    </row>
    <row r="168" customFormat="false" ht="15" hidden="false" customHeight="false" outlineLevel="0" collapsed="false">
      <c r="A168" s="4" t="s">
        <v>395</v>
      </c>
      <c r="B168" s="0" t="s">
        <v>138</v>
      </c>
      <c r="C168" s="22" t="n">
        <f aca="false">C164-C167</f>
        <v>16.738</v>
      </c>
      <c r="D168" s="22" t="n">
        <f aca="false">D164-D167</f>
        <v>28.86224874</v>
      </c>
      <c r="E168" s="22" t="n">
        <f aca="false">E164-E167</f>
        <v>51.8969223222398</v>
      </c>
      <c r="F168" s="22" t="n">
        <f aca="false">F164-F167</f>
        <v>57.1791064362556</v>
      </c>
      <c r="G168" s="22" t="n">
        <f aca="false">G164-G167</f>
        <v>67.3679548507941</v>
      </c>
    </row>
    <row r="169" customFormat="false" ht="15" hidden="false" customHeight="false" outlineLevel="0" collapsed="false">
      <c r="A169" s="4" t="s">
        <v>397</v>
      </c>
      <c r="B169" s="0" t="s">
        <v>53</v>
      </c>
      <c r="C169" s="17" t="n">
        <f aca="false">C168/C156</f>
        <v>0.100779721227083</v>
      </c>
      <c r="D169" s="17" t="n">
        <f aca="false">D168/D156</f>
        <v>0.135674560703219</v>
      </c>
      <c r="E169" s="17" t="n">
        <f aca="false">E168/E156</f>
        <v>0.16994899025436</v>
      </c>
      <c r="F169" s="17" t="n">
        <f aca="false">F168/F156</f>
        <v>0.174561810123533</v>
      </c>
      <c r="G169" s="17" t="n">
        <f aca="false">G168/G156</f>
        <v>0.182882696990202</v>
      </c>
    </row>
    <row r="170" customFormat="false" ht="15" hidden="false" customHeight="false" outlineLevel="0" collapsed="false">
      <c r="A170" s="4" t="s">
        <v>399</v>
      </c>
      <c r="B170" s="0" t="s">
        <v>138</v>
      </c>
      <c r="C170" s="22" t="n">
        <f aca="false">a25_nop</f>
        <v>2.9762895</v>
      </c>
      <c r="D170" s="22" t="n">
        <f aca="false">a26_nop</f>
        <v>3.839</v>
      </c>
      <c r="E170" s="22" t="n">
        <f aca="false">nop_f</f>
        <v>3.5</v>
      </c>
      <c r="F170" s="22" t="n">
        <f aca="false">nop_f</f>
        <v>3.5</v>
      </c>
      <c r="G170" s="22" t="n">
        <f aca="false">nop_f</f>
        <v>3.5</v>
      </c>
    </row>
    <row r="171" customFormat="false" ht="17.15" hidden="false" customHeight="false" outlineLevel="0" collapsed="false">
      <c r="A171" s="4" t="s">
        <v>528</v>
      </c>
      <c r="B171" s="0" t="s">
        <v>53</v>
      </c>
      <c r="C171" s="17" t="n">
        <f aca="false">a25_ni/a25_pt</f>
        <v>0.766753475949514</v>
      </c>
      <c r="D171" s="17" t="n">
        <f aca="false">a26_ni/a26_pt</f>
        <v>0.759431002022174</v>
      </c>
      <c r="E171" s="17" t="n">
        <f aca="false">nir_f</f>
        <v>0.76</v>
      </c>
      <c r="F171" s="17" t="n">
        <f aca="false">nir_f</f>
        <v>0.76</v>
      </c>
      <c r="G171" s="17" t="n">
        <f aca="false">nir_f</f>
        <v>0.76</v>
      </c>
    </row>
    <row r="172" customFormat="false" ht="15" hidden="false" customHeight="false" outlineLevel="0" collapsed="false">
      <c r="A172" s="4" t="s">
        <v>404</v>
      </c>
      <c r="B172" s="0" t="s">
        <v>138</v>
      </c>
      <c r="C172" s="22" t="n">
        <f aca="false">a25_ni</f>
        <v>15.116</v>
      </c>
      <c r="D172" s="22" t="n">
        <f aca="false">a26_ni</f>
        <v>24.8343420979946</v>
      </c>
      <c r="E172" s="22" t="n">
        <f aca="false">(E168+E170)*E171</f>
        <v>42.1016609649023</v>
      </c>
      <c r="F172" s="22" t="n">
        <f aca="false">(F168+F170)*F171</f>
        <v>46.1161208915542</v>
      </c>
      <c r="G172" s="22" t="n">
        <f aca="false">(G168+G170)*G171</f>
        <v>53.8596456866035</v>
      </c>
      <c r="H172" s="24" t="n">
        <f aca="false">H156*H176</f>
        <v>53.7899266996989</v>
      </c>
      <c r="I172" s="24" t="n">
        <f aca="false">I156*I176</f>
        <v>51.8380705091019</v>
      </c>
      <c r="J172" s="24" t="n">
        <f aca="false">J156*J176</f>
        <v>48.0667146634656</v>
      </c>
    </row>
    <row r="173" customFormat="false" ht="15" hidden="false" customHeight="false" outlineLevel="0" collapsed="false">
      <c r="A173" s="4" t="s">
        <v>529</v>
      </c>
      <c r="B173" s="4" t="s">
        <v>231</v>
      </c>
      <c r="C173" s="27" t="n">
        <f aca="false">a25_sh</f>
        <v>2.27650602409639</v>
      </c>
      <c r="D173" s="27" t="n">
        <f aca="false">a26_sh</f>
        <v>2.26895833333333</v>
      </c>
      <c r="E173" s="27" t="n">
        <f aca="false">D173*(1+sh_g)</f>
        <v>2.26895833333333</v>
      </c>
      <c r="F173" s="27" t="n">
        <f aca="false">E173*(1+sh_g)</f>
        <v>2.26895833333333</v>
      </c>
      <c r="G173" s="27" t="n">
        <f aca="false">F173*(1+sh_g)</f>
        <v>2.26895833333333</v>
      </c>
      <c r="H173" s="29" t="n">
        <f aca="false">G173*(1+sh_g)</f>
        <v>2.26895833333333</v>
      </c>
      <c r="I173" s="29" t="n">
        <f aca="false">H173*(1+sh_g)</f>
        <v>2.26895833333333</v>
      </c>
      <c r="J173" s="29" t="n">
        <f aca="false">I173*(1+sh_g)</f>
        <v>2.26895833333333</v>
      </c>
    </row>
    <row r="174" customFormat="false" ht="15" hidden="false" customHeight="false" outlineLevel="0" collapsed="false">
      <c r="A174" s="0" t="s">
        <v>410</v>
      </c>
      <c r="B174" s="0" t="s">
        <v>264</v>
      </c>
      <c r="C174" s="23" t="n">
        <f aca="false">C172/C173</f>
        <v>6.64</v>
      </c>
      <c r="D174" s="23" t="n">
        <f aca="false">D172/D173</f>
        <v>10.9452614149641</v>
      </c>
      <c r="E174" s="23" t="n">
        <f aca="false">E172/E173</f>
        <v>18.5555020320936</v>
      </c>
      <c r="F174" s="23" t="n">
        <f aca="false">F172/F173</f>
        <v>20.3247984831017</v>
      </c>
      <c r="G174" s="23" t="n">
        <f aca="false">G172/G173</f>
        <v>23.7376089703147</v>
      </c>
      <c r="H174" s="30" t="n">
        <f aca="false">H172/H173</f>
        <v>23.7068816599536</v>
      </c>
      <c r="I174" s="30" t="n">
        <f aca="false">I172/I173</f>
        <v>22.8466383659617</v>
      </c>
      <c r="J174" s="30" t="n">
        <f aca="false">J172/J173</f>
        <v>21.1844853901969</v>
      </c>
    </row>
    <row r="175" customFormat="false" ht="17.15" hidden="false" customHeight="false" outlineLevel="0" collapsed="false">
      <c r="A175" s="0" t="s">
        <v>530</v>
      </c>
      <c r="B175" s="0" t="s">
        <v>53</v>
      </c>
      <c r="D175" s="17" t="n">
        <f aca="false">D174/C174-1</f>
        <v>0.648382743217484</v>
      </c>
      <c r="E175" s="17" t="n">
        <f aca="false">E174/D174-1</f>
        <v>0.695300032461987</v>
      </c>
      <c r="F175" s="17" t="n">
        <f aca="false">F174/E174-1</f>
        <v>0.0953515807843919</v>
      </c>
      <c r="G175" s="17" t="n">
        <f aca="false">G174/F174-1</f>
        <v>0.167913619908725</v>
      </c>
      <c r="H175" s="25" t="n">
        <f aca="false">H174/G174-1</f>
        <v>-0.00129445684270335</v>
      </c>
      <c r="I175" s="25" t="n">
        <f aca="false">I174/H174-1</f>
        <v>-0.0362866490131871</v>
      </c>
      <c r="J175" s="25" t="n">
        <f aca="false">J174/I174-1</f>
        <v>-0.0727526277231732</v>
      </c>
    </row>
    <row r="176" customFormat="false" ht="17.15" hidden="false" customHeight="false" outlineLevel="0" collapsed="false">
      <c r="A176" s="4" t="s">
        <v>531</v>
      </c>
      <c r="B176" s="0" t="s">
        <v>53</v>
      </c>
      <c r="C176" s="17" t="n">
        <f aca="false">C172/C156</f>
        <v>0.0910136375952073</v>
      </c>
      <c r="D176" s="17" t="n">
        <f aca="false">D172/D156</f>
        <v>0.116740330417472</v>
      </c>
      <c r="E176" s="17" t="n">
        <f aca="false">E172/E156</f>
        <v>0.137872044214658</v>
      </c>
      <c r="F176" s="17" t="n">
        <f aca="false">F172/F156</f>
        <v>0.140787676485987</v>
      </c>
      <c r="G176" s="17" t="n">
        <f aca="false">G172/G156</f>
        <v>0.146211908672579</v>
      </c>
      <c r="H176" s="25" t="n">
        <f aca="false">$G176+(fade_mB-$G176)*1/3</f>
        <v>0.133184877108463</v>
      </c>
      <c r="I176" s="25" t="n">
        <f aca="false">$G176+(fade_mB-$G176)*2/3</f>
        <v>0.120157845544347</v>
      </c>
      <c r="J176" s="25" t="n">
        <f aca="false">$G176+(fade_mB-$G176)*3/3</f>
        <v>0.107130813980232</v>
      </c>
    </row>
    <row r="179" customFormat="false" ht="17.15" hidden="false" customHeight="false" outlineLevel="0" collapsed="false">
      <c r="A179" s="1" t="s">
        <v>863</v>
      </c>
    </row>
    <row r="180" customFormat="false" ht="17.15" hidden="false" customHeight="false" outlineLevel="0" collapsed="false">
      <c r="A180" s="5" t="s">
        <v>22</v>
      </c>
      <c r="B180" s="5" t="s">
        <v>23</v>
      </c>
      <c r="C180" s="14" t="s">
        <v>378</v>
      </c>
      <c r="D180" s="14" t="s">
        <v>476</v>
      </c>
      <c r="E180" s="14" t="s">
        <v>477</v>
      </c>
      <c r="F180" s="14" t="s">
        <v>478</v>
      </c>
      <c r="G180" s="14" t="s">
        <v>479</v>
      </c>
      <c r="H180" s="14" t="s">
        <v>480</v>
      </c>
      <c r="I180" s="14" t="s">
        <v>481</v>
      </c>
      <c r="J180" s="14" t="s">
        <v>482</v>
      </c>
      <c r="K180" s="5" t="s">
        <v>449</v>
      </c>
    </row>
    <row r="181" customFormat="false" ht="17.15" hidden="false" customHeight="false" outlineLevel="0" collapsed="false">
      <c r="A181" s="6" t="s">
        <v>501</v>
      </c>
    </row>
    <row r="182" customFormat="false" ht="17.15" hidden="false" customHeight="false" outlineLevel="0" collapsed="false">
      <c r="A182" s="0" t="s">
        <v>502</v>
      </c>
      <c r="B182" s="0" t="s">
        <v>33</v>
      </c>
      <c r="D182" s="23" t="n">
        <f aca="false">itc_26*1</f>
        <v>781.872916666666</v>
      </c>
      <c r="E182" s="23" t="n">
        <f aca="false">itc_27*1*1</f>
        <v>1565.35</v>
      </c>
      <c r="F182" s="23" t="n">
        <f aca="false">itc_28*um28_B*1</f>
        <v>1587.41111111111</v>
      </c>
      <c r="G182" s="23" t="n">
        <f aca="false">itc_29*um29_B*1</f>
        <v>1921.33173611111</v>
      </c>
    </row>
    <row r="183" customFormat="false" ht="17.15" hidden="false" customHeight="false" outlineLevel="0" collapsed="false">
      <c r="A183" s="4" t="s">
        <v>503</v>
      </c>
      <c r="B183" s="0" t="s">
        <v>33</v>
      </c>
      <c r="D183" s="23" t="n">
        <f aca="false">itpg_gb*(1-vr26)+itpg_vr*vr26</f>
        <v>33.41403216</v>
      </c>
      <c r="E183" s="23" t="n">
        <f aca="false">itpg_vr</f>
        <v>37.586352</v>
      </c>
      <c r="F183" s="23" t="n">
        <f aca="false">itpg_vr</f>
        <v>37.586352</v>
      </c>
      <c r="G183" s="23" t="n">
        <f aca="false">itpg_vr</f>
        <v>37.586352</v>
      </c>
    </row>
    <row r="184" customFormat="false" ht="17.15" hidden="false" customHeight="false" outlineLevel="0" collapsed="false">
      <c r="A184" s="4" t="s">
        <v>504</v>
      </c>
      <c r="B184" s="0" t="s">
        <v>451</v>
      </c>
      <c r="D184" s="20" t="n">
        <f aca="false">D182/D183</f>
        <v>23.3995380420639</v>
      </c>
      <c r="E184" s="20" t="n">
        <f aca="false">E182/E183</f>
        <v>41.6467658260637</v>
      </c>
      <c r="F184" s="20" t="n">
        <f aca="false">F182/F183</f>
        <v>42.2337105529984</v>
      </c>
      <c r="G184" s="20" t="n">
        <f aca="false">G182/G183</f>
        <v>51.1178029756948</v>
      </c>
    </row>
    <row r="185" customFormat="false" ht="17.15" hidden="false" customHeight="false" outlineLevel="0" collapsed="false">
      <c r="A185" s="0" t="s">
        <v>453</v>
      </c>
      <c r="B185" s="0" t="s">
        <v>91</v>
      </c>
      <c r="D185" s="21" t="n">
        <f aca="false">PKHI_26</f>
        <v>520</v>
      </c>
      <c r="E185" s="21" t="n">
        <f aca="false">PKHI_27</f>
        <v>700</v>
      </c>
      <c r="F185" s="21" t="n">
        <f aca="false">PKHI_28</f>
        <v>800</v>
      </c>
      <c r="G185" s="21" t="n">
        <f aca="false">PKHI_29</f>
        <v>850</v>
      </c>
    </row>
    <row r="186" customFormat="false" ht="17.15" hidden="false" customHeight="false" outlineLevel="0" collapsed="false">
      <c r="A186" s="0" t="s">
        <v>505</v>
      </c>
      <c r="B186" s="0" t="s">
        <v>33</v>
      </c>
      <c r="D186" s="23" t="n">
        <f aca="false">D184*D185/1000</f>
        <v>12.1677597818732</v>
      </c>
      <c r="E186" s="23" t="n">
        <f aca="false">E184*E185/1000</f>
        <v>29.1527360782446</v>
      </c>
      <c r="F186" s="23" t="n">
        <f aca="false">F184*F185/1000</f>
        <v>33.7869684423987</v>
      </c>
      <c r="G186" s="23" t="n">
        <f aca="false">G184*G185/1000</f>
        <v>43.4501325293406</v>
      </c>
    </row>
    <row r="187" customFormat="false" ht="17.15" hidden="false" customHeight="false" outlineLevel="0" collapsed="false">
      <c r="A187" s="0" t="s">
        <v>506</v>
      </c>
      <c r="B187" s="0" t="s">
        <v>138</v>
      </c>
      <c r="D187" s="22" t="n">
        <f aca="false">D186*fx</f>
        <v>389.368313019943</v>
      </c>
      <c r="E187" s="22" t="n">
        <f aca="false">E186*fx</f>
        <v>932.887554503826</v>
      </c>
      <c r="F187" s="22" t="n">
        <f aca="false">F186*fx</f>
        <v>1081.18299015676</v>
      </c>
      <c r="G187" s="22" t="n">
        <f aca="false">G186*fx</f>
        <v>1390.4042409389</v>
      </c>
    </row>
    <row r="188" customFormat="false" ht="17.15" hidden="false" customHeight="false" outlineLevel="0" collapsed="false">
      <c r="A188" s="4" t="s">
        <v>507</v>
      </c>
      <c r="B188" s="0" t="s">
        <v>53</v>
      </c>
      <c r="D188" s="17" t="n">
        <f aca="false">a26_aip/D187</f>
        <v>0.152431716052251</v>
      </c>
      <c r="K188" s="8" t="s">
        <v>508</v>
      </c>
    </row>
    <row r="189" customFormat="false" ht="17.15" hidden="false" customHeight="false" outlineLevel="0" collapsed="false">
      <c r="A189" s="4" t="s">
        <v>509</v>
      </c>
      <c r="B189" s="0" t="s">
        <v>64</v>
      </c>
      <c r="D189" s="18" t="n">
        <f aca="false">1</f>
        <v>1</v>
      </c>
      <c r="E189" s="18" t="n">
        <f aca="false">rel_27</f>
        <v>1</v>
      </c>
      <c r="F189" s="18" t="n">
        <f aca="false">rel_28</f>
        <v>1</v>
      </c>
      <c r="G189" s="18" t="n">
        <f aca="false">rel_29</f>
        <v>1</v>
      </c>
    </row>
    <row r="190" customFormat="false" ht="15" hidden="false" customHeight="false" outlineLevel="0" collapsed="false">
      <c r="A190" s="4" t="s">
        <v>459</v>
      </c>
      <c r="B190" s="0" t="s">
        <v>53</v>
      </c>
      <c r="D190" s="17" t="n">
        <f aca="false">$D$188*D189</f>
        <v>0.152431716052251</v>
      </c>
      <c r="E190" s="17" t="n">
        <f aca="false">$D$188*E189</f>
        <v>0.152431716052251</v>
      </c>
      <c r="F190" s="17" t="n">
        <f aca="false">$D$188*F189</f>
        <v>0.152431716052251</v>
      </c>
      <c r="G190" s="17" t="n">
        <f aca="false">$D$188*G189</f>
        <v>0.152431716052251</v>
      </c>
    </row>
    <row r="191" customFormat="false" ht="17.15" hidden="false" customHeight="false" outlineLevel="0" collapsed="false">
      <c r="A191" s="0" t="s">
        <v>510</v>
      </c>
      <c r="B191" s="0" t="s">
        <v>138</v>
      </c>
      <c r="C191" s="22" t="n">
        <f aca="false">a25_aip</f>
        <v>31.390065</v>
      </c>
      <c r="D191" s="22" t="n">
        <f aca="false">D187*D190</f>
        <v>59.35208013</v>
      </c>
      <c r="E191" s="22" t="n">
        <f aca="false">E187*E190</f>
        <v>142.201650816806</v>
      </c>
      <c r="F191" s="22" t="n">
        <f aca="false">F187*F190</f>
        <v>164.806578556099</v>
      </c>
      <c r="G191" s="22" t="n">
        <f aca="false">G187*G190</f>
        <v>211.941704452644</v>
      </c>
    </row>
    <row r="192" customFormat="false" ht="17.15" hidden="false" customHeight="false" outlineLevel="0" collapsed="false">
      <c r="A192" s="0" t="s">
        <v>511</v>
      </c>
      <c r="B192" s="0" t="s">
        <v>138</v>
      </c>
      <c r="C192" s="22" t="n">
        <f aca="false">a25_ai</f>
        <v>34.87785</v>
      </c>
      <c r="D192" s="22" t="n">
        <f aca="false">D191/(1-x_np)</f>
        <v>65.9467557</v>
      </c>
      <c r="E192" s="22" t="n">
        <f aca="false">E191/(1-x_np)</f>
        <v>158.001834240896</v>
      </c>
      <c r="F192" s="22" t="n">
        <f aca="false">F191/(1-x_np)</f>
        <v>183.118420617888</v>
      </c>
      <c r="G192" s="22" t="n">
        <f aca="false">G191/(1-x_np)</f>
        <v>235.49078272516</v>
      </c>
      <c r="K192" s="4" t="s">
        <v>512</v>
      </c>
    </row>
    <row r="193" customFormat="false" ht="17.15" hidden="false" customHeight="false" outlineLevel="0" collapsed="false">
      <c r="A193" s="6" t="s">
        <v>513</v>
      </c>
    </row>
    <row r="194" customFormat="false" ht="17.15" hidden="false" customHeight="false" outlineLevel="0" collapsed="false">
      <c r="A194" s="4" t="s">
        <v>514</v>
      </c>
      <c r="B194" s="0" t="s">
        <v>138</v>
      </c>
      <c r="C194" s="22" t="n">
        <f aca="false">a25_cn</f>
        <v>39.8604</v>
      </c>
      <c r="D194" s="22" t="n">
        <f aca="false">a26_cn</f>
        <v>50.0315607365079</v>
      </c>
      <c r="E194" s="22" t="n">
        <f aca="false">D194*(1+g_cn27)</f>
        <v>52.5331387733333</v>
      </c>
      <c r="F194" s="22" t="n">
        <f aca="false">E194*(1+g_cn28)</f>
        <v>55.159795712</v>
      </c>
      <c r="G194" s="22" t="n">
        <f aca="false">F194*(1+g_cn29)</f>
        <v>57.9177854976</v>
      </c>
      <c r="K194" s="4" t="s">
        <v>515</v>
      </c>
    </row>
    <row r="195" customFormat="false" ht="17.15" hidden="false" customHeight="false" outlineLevel="0" collapsed="false">
      <c r="A195" s="4" t="s">
        <v>431</v>
      </c>
      <c r="B195" s="0" t="s">
        <v>138</v>
      </c>
      <c r="C195" s="22" t="n">
        <f aca="false">C192+C194</f>
        <v>74.73825</v>
      </c>
      <c r="D195" s="22" t="n">
        <f aca="false">D192+D194</f>
        <v>115.978316436508</v>
      </c>
      <c r="E195" s="22" t="n">
        <f aca="false">E192+E194</f>
        <v>210.534973014229</v>
      </c>
      <c r="F195" s="22" t="n">
        <f aca="false">F192+F194</f>
        <v>238.278216329888</v>
      </c>
      <c r="G195" s="22" t="n">
        <f aca="false">G192+G194</f>
        <v>293.40856822276</v>
      </c>
      <c r="K195" s="4" t="s">
        <v>516</v>
      </c>
    </row>
    <row r="196" customFormat="false" ht="15" hidden="false" customHeight="false" outlineLevel="0" collapsed="false">
      <c r="A196" s="4" t="s">
        <v>435</v>
      </c>
      <c r="B196" s="0" t="s">
        <v>138</v>
      </c>
      <c r="C196" s="22" t="n">
        <f aca="false">a25_op</f>
        <v>28.23445</v>
      </c>
      <c r="D196" s="22" t="n">
        <f aca="false">a26_op</f>
        <v>32.8693205828571</v>
      </c>
      <c r="E196" s="22" t="n">
        <f aca="false">D196*(1+g_op27)</f>
        <v>34.512786612</v>
      </c>
      <c r="F196" s="22" t="n">
        <f aca="false">E196*(1+g_op28)</f>
        <v>36.2384259426</v>
      </c>
      <c r="G196" s="22" t="n">
        <f aca="false">F196*(1+g_op29)</f>
        <v>38.05034723973</v>
      </c>
    </row>
    <row r="197" customFormat="false" ht="15" hidden="false" customHeight="false" outlineLevel="0" collapsed="false">
      <c r="A197" s="4" t="s">
        <v>436</v>
      </c>
      <c r="B197" s="0" t="s">
        <v>138</v>
      </c>
      <c r="C197" s="22" t="n">
        <f aca="false">a25_ic</f>
        <v>63.1123</v>
      </c>
      <c r="D197" s="22" t="n">
        <f aca="false">a26_ic</f>
        <v>63.8838329806349</v>
      </c>
      <c r="E197" s="22" t="n">
        <f aca="false">D197*(1+g_ic27)</f>
        <v>63.8838329806349</v>
      </c>
      <c r="F197" s="22" t="n">
        <f aca="false">E197*(1+g_ic28)</f>
        <v>63.8838329806349</v>
      </c>
      <c r="G197" s="22" t="n">
        <f aca="false">F197*(1+g_ic29)</f>
        <v>63.8838329806349</v>
      </c>
    </row>
    <row r="198" customFormat="false" ht="17.15" hidden="false" customHeight="false" outlineLevel="0" collapsed="false">
      <c r="A198" s="4" t="s">
        <v>517</v>
      </c>
      <c r="B198" s="0" t="s">
        <v>138</v>
      </c>
      <c r="C198" s="22" t="n">
        <f aca="false">C194+C196+C197</f>
        <v>131.20715</v>
      </c>
      <c r="D198" s="22" t="n">
        <f aca="false">D194+D196+D197</f>
        <v>146.7847143</v>
      </c>
      <c r="E198" s="22" t="n">
        <f aca="false">E194+E196+E197</f>
        <v>150.929758365968</v>
      </c>
      <c r="F198" s="22" t="n">
        <f aca="false">F194+F196+F197</f>
        <v>155.282054635235</v>
      </c>
      <c r="G198" s="22" t="n">
        <f aca="false">G194+G196+G197</f>
        <v>159.851965717965</v>
      </c>
    </row>
    <row r="199" customFormat="false" ht="17.15" hidden="false" customHeight="false" outlineLevel="0" collapsed="false">
      <c r="A199" s="4" t="s">
        <v>383</v>
      </c>
      <c r="B199" s="0" t="s">
        <v>138</v>
      </c>
      <c r="C199" s="22" t="n">
        <f aca="false">C195+C196+C197</f>
        <v>166.085</v>
      </c>
      <c r="D199" s="22" t="n">
        <f aca="false">D195+D196+D197</f>
        <v>212.73147</v>
      </c>
      <c r="E199" s="22" t="n">
        <f aca="false">E195+E196+E197</f>
        <v>308.931592606864</v>
      </c>
      <c r="F199" s="22" t="n">
        <f aca="false">F195+F196+F197</f>
        <v>338.400475253123</v>
      </c>
      <c r="G199" s="22" t="n">
        <f aca="false">G195+G196+G197</f>
        <v>395.342748443125</v>
      </c>
      <c r="H199" s="24" t="n">
        <f aca="false">G199*(1+H201)</f>
        <v>444.963242712851</v>
      </c>
      <c r="I199" s="24" t="n">
        <f aca="false">H199*(1+I201)</f>
        <v>481.786753202347</v>
      </c>
      <c r="J199" s="24" t="n">
        <f aca="false">I199*(1+J201)</f>
        <v>501.058223330441</v>
      </c>
      <c r="K199" s="8" t="s">
        <v>518</v>
      </c>
    </row>
    <row r="200" customFormat="false" ht="17.15" hidden="false" customHeight="false" outlineLevel="0" collapsed="false">
      <c r="A200" s="4" t="s">
        <v>519</v>
      </c>
      <c r="B200" s="0" t="s">
        <v>138</v>
      </c>
      <c r="C200" s="28" t="n">
        <f aca="false">C199-a25_rev</f>
        <v>0</v>
      </c>
      <c r="D200" s="28" t="n">
        <f aca="false">D199-a26_rev</f>
        <v>0</v>
      </c>
    </row>
    <row r="201" customFormat="false" ht="15" hidden="false" customHeight="false" outlineLevel="0" collapsed="false">
      <c r="A201" s="4" t="s">
        <v>520</v>
      </c>
      <c r="B201" s="0" t="s">
        <v>53</v>
      </c>
      <c r="D201" s="17" t="n">
        <f aca="false">D199/C199-1</f>
        <v>0.280859017972725</v>
      </c>
      <c r="E201" s="17" t="n">
        <f aca="false">E199/D199-1</f>
        <v>0.452213876051644</v>
      </c>
      <c r="F201" s="17" t="n">
        <f aca="false">F199/E199-1</f>
        <v>0.0953896699188019</v>
      </c>
      <c r="G201" s="17" t="n">
        <f aca="false">G199/F199-1</f>
        <v>0.168268892493161</v>
      </c>
      <c r="H201" s="25" t="n">
        <f aca="false">$G201+(fade_gB-$G201)*1/3</f>
        <v>0.125512594995441</v>
      </c>
      <c r="I201" s="25" t="n">
        <f aca="false">$G201+(fade_gB-$G201)*2/3</f>
        <v>0.0827562974977205</v>
      </c>
      <c r="J201" s="25" t="n">
        <f aca="false">$G201+(fade_gB-$G201)*3/3</f>
        <v>0.04</v>
      </c>
    </row>
    <row r="202" customFormat="false" ht="17.15" hidden="false" customHeight="false" outlineLevel="0" collapsed="false">
      <c r="A202" s="0" t="s">
        <v>521</v>
      </c>
      <c r="B202" s="0" t="s">
        <v>53</v>
      </c>
      <c r="C202" s="17" t="n">
        <f aca="false">C192/C199</f>
        <v>0.21</v>
      </c>
      <c r="D202" s="17" t="n">
        <f aca="false">D192/D199</f>
        <v>0.31</v>
      </c>
      <c r="E202" s="17" t="n">
        <f aca="false">E192/E199</f>
        <v>0.511446022427249</v>
      </c>
      <c r="F202" s="17" t="n">
        <f aca="false">F192/F199</f>
        <v>0.541129324599546</v>
      </c>
      <c r="G202" s="17" t="n">
        <f aca="false">G192/G199</f>
        <v>0.595662330098457</v>
      </c>
    </row>
    <row r="203" customFormat="false" ht="17.15" hidden="false" customHeight="false" outlineLevel="0" collapsed="false">
      <c r="A203" s="4" t="s">
        <v>470</v>
      </c>
      <c r="B203" s="0" t="s">
        <v>471</v>
      </c>
      <c r="D203" s="21" t="n">
        <f aca="false">D192/fx/D184*1000</f>
        <v>88.0716581635229</v>
      </c>
      <c r="E203" s="21" t="n">
        <f aca="false">E192/fx/E184*1000</f>
        <v>118.558001373973</v>
      </c>
      <c r="F203" s="21" t="n">
        <f aca="false">F192/fx/F184*1000</f>
        <v>135.494858713112</v>
      </c>
      <c r="G203" s="21" t="n">
        <f aca="false">G192/fx/G184*1000</f>
        <v>143.963287382682</v>
      </c>
    </row>
    <row r="204" customFormat="false" ht="17.15" hidden="false" customHeight="false" outlineLevel="0" collapsed="false">
      <c r="A204" s="6" t="s">
        <v>522</v>
      </c>
    </row>
    <row r="205" customFormat="false" ht="17.15" hidden="false" customHeight="false" outlineLevel="0" collapsed="false">
      <c r="A205" s="4" t="s">
        <v>523</v>
      </c>
      <c r="B205" s="0" t="s">
        <v>53</v>
      </c>
      <c r="D205" s="17" t="n">
        <f aca="false">a26_gp/D199-d_ai*D202</f>
        <v>0.216982337009188</v>
      </c>
      <c r="K205" s="8" t="s">
        <v>524</v>
      </c>
    </row>
    <row r="206" customFormat="false" ht="17.15" hidden="false" customHeight="false" outlineLevel="0" collapsed="false">
      <c r="A206" s="0" t="s">
        <v>525</v>
      </c>
      <c r="B206" s="0" t="s">
        <v>53</v>
      </c>
      <c r="D206" s="17" t="n">
        <f aca="false">D205+d_ai</f>
        <v>0.336982337009188</v>
      </c>
      <c r="E206" s="17" t="n">
        <f aca="false">$D$206+gmu_27</f>
        <v>0.336982337009188</v>
      </c>
      <c r="F206" s="17" t="n">
        <f aca="false">$D$206+gmu_28</f>
        <v>0.336982337009188</v>
      </c>
      <c r="G206" s="17" t="n">
        <f aca="false">$D$206+gmu_29</f>
        <v>0.336982337009188</v>
      </c>
      <c r="K206" s="4" t="s">
        <v>526</v>
      </c>
    </row>
    <row r="207" customFormat="false" ht="15" hidden="false" customHeight="false" outlineLevel="0" collapsed="false">
      <c r="A207" s="4" t="s">
        <v>387</v>
      </c>
      <c r="B207" s="0" t="s">
        <v>138</v>
      </c>
      <c r="C207" s="22" t="n">
        <f aca="false">a25_gp</f>
        <v>38.039</v>
      </c>
      <c r="D207" s="22" t="n">
        <f aca="false">a26_gp</f>
        <v>54.0725822</v>
      </c>
      <c r="E207" s="22" t="n">
        <f aca="false">E192*E206+E198*$D$205</f>
        <v>85.9929190487153</v>
      </c>
      <c r="F207" s="22" t="n">
        <f aca="false">F192*F206+F198*$D$205</f>
        <v>95.401136439589</v>
      </c>
      <c r="G207" s="22" t="n">
        <f aca="false">G192*G206+G198*$D$205</f>
        <v>114.041287403844</v>
      </c>
    </row>
    <row r="208" customFormat="false" ht="15" hidden="false" customHeight="false" outlineLevel="0" collapsed="false">
      <c r="A208" s="4" t="s">
        <v>390</v>
      </c>
      <c r="B208" s="0" t="s">
        <v>53</v>
      </c>
      <c r="C208" s="17" t="n">
        <f aca="false">C207/C199</f>
        <v>0.229033326308818</v>
      </c>
      <c r="D208" s="17" t="n">
        <f aca="false">D207/D199</f>
        <v>0.254182337009188</v>
      </c>
      <c r="E208" s="17" t="n">
        <f aca="false">E207/E199</f>
        <v>0.278355859700458</v>
      </c>
      <c r="F208" s="17" t="n">
        <f aca="false">F207/F199</f>
        <v>0.281917855961134</v>
      </c>
      <c r="G208" s="17" t="n">
        <f aca="false">G207/G199</f>
        <v>0.288461816621003</v>
      </c>
    </row>
    <row r="209" customFormat="false" ht="15" hidden="false" customHeight="false" outlineLevel="0" collapsed="false">
      <c r="A209" s="4" t="s">
        <v>527</v>
      </c>
      <c r="B209" s="0" t="s">
        <v>138</v>
      </c>
      <c r="C209" s="22" t="n">
        <f aca="false">a25_opx</f>
        <v>21.301</v>
      </c>
      <c r="D209" s="22" t="n">
        <f aca="false">a26_opx</f>
        <v>25.21033346</v>
      </c>
      <c r="E209" s="22" t="n">
        <f aca="false">D209*(1+MAX(0,phi*E201))</f>
        <v>33.1906572873507</v>
      </c>
      <c r="F209" s="22" t="n">
        <f aca="false">E209*(1+MAX(0,phi*F201))</f>
        <v>35.4068893774707</v>
      </c>
      <c r="G209" s="22" t="n">
        <f aca="false">F209*(1+MAX(0,phi*G201))</f>
        <v>39.5774040209931</v>
      </c>
    </row>
    <row r="210" customFormat="false" ht="15" hidden="false" customHeight="false" outlineLevel="0" collapsed="false">
      <c r="A210" s="4" t="s">
        <v>392</v>
      </c>
      <c r="B210" s="0" t="s">
        <v>138</v>
      </c>
      <c r="C210" s="22" t="n">
        <f aca="false">C209</f>
        <v>21.301</v>
      </c>
      <c r="D210" s="22" t="n">
        <f aca="false">D209</f>
        <v>25.21033346</v>
      </c>
      <c r="E210" s="22" t="n">
        <f aca="false">E209+0*E199</f>
        <v>33.1906572873507</v>
      </c>
      <c r="F210" s="22" t="n">
        <f aca="false">F209+0*F199</f>
        <v>35.4068893774707</v>
      </c>
      <c r="G210" s="22" t="n">
        <f aca="false">G209+0*G199</f>
        <v>39.5774040209931</v>
      </c>
    </row>
    <row r="211" customFormat="false" ht="15" hidden="false" customHeight="false" outlineLevel="0" collapsed="false">
      <c r="A211" s="4" t="s">
        <v>395</v>
      </c>
      <c r="B211" s="0" t="s">
        <v>138</v>
      </c>
      <c r="C211" s="22" t="n">
        <f aca="false">C207-C210</f>
        <v>16.738</v>
      </c>
      <c r="D211" s="22" t="n">
        <f aca="false">D207-D210</f>
        <v>28.86224874</v>
      </c>
      <c r="E211" s="22" t="n">
        <f aca="false">E207-E210</f>
        <v>52.8022617613646</v>
      </c>
      <c r="F211" s="22" t="n">
        <f aca="false">F207-F210</f>
        <v>59.9942470621184</v>
      </c>
      <c r="G211" s="22" t="n">
        <f aca="false">G207-G210</f>
        <v>74.463883382851</v>
      </c>
    </row>
    <row r="212" customFormat="false" ht="15" hidden="false" customHeight="false" outlineLevel="0" collapsed="false">
      <c r="A212" s="4" t="s">
        <v>397</v>
      </c>
      <c r="B212" s="0" t="s">
        <v>53</v>
      </c>
      <c r="C212" s="17" t="n">
        <f aca="false">C211/C199</f>
        <v>0.100779721227083</v>
      </c>
      <c r="D212" s="17" t="n">
        <f aca="false">D211/D199</f>
        <v>0.135674560703219</v>
      </c>
      <c r="E212" s="17" t="n">
        <f aca="false">E211/E199</f>
        <v>0.170918944598065</v>
      </c>
      <c r="F212" s="17" t="n">
        <f aca="false">F211/F199</f>
        <v>0.177287715146507</v>
      </c>
      <c r="G212" s="17" t="n">
        <f aca="false">G211/G199</f>
        <v>0.188352723493962</v>
      </c>
    </row>
    <row r="213" customFormat="false" ht="15" hidden="false" customHeight="false" outlineLevel="0" collapsed="false">
      <c r="A213" s="4" t="s">
        <v>399</v>
      </c>
      <c r="B213" s="0" t="s">
        <v>138</v>
      </c>
      <c r="C213" s="22" t="n">
        <f aca="false">a25_nop</f>
        <v>2.9762895</v>
      </c>
      <c r="D213" s="22" t="n">
        <f aca="false">a26_nop</f>
        <v>3.839</v>
      </c>
      <c r="E213" s="22" t="n">
        <f aca="false">nop_f</f>
        <v>3.5</v>
      </c>
      <c r="F213" s="22" t="n">
        <f aca="false">nop_f</f>
        <v>3.5</v>
      </c>
      <c r="G213" s="22" t="n">
        <f aca="false">nop_f</f>
        <v>3.5</v>
      </c>
    </row>
    <row r="214" customFormat="false" ht="17.15" hidden="false" customHeight="false" outlineLevel="0" collapsed="false">
      <c r="A214" s="4" t="s">
        <v>528</v>
      </c>
      <c r="B214" s="0" t="s">
        <v>53</v>
      </c>
      <c r="C214" s="17" t="n">
        <f aca="false">a25_ni/a25_pt</f>
        <v>0.766753475949514</v>
      </c>
      <c r="D214" s="17" t="n">
        <f aca="false">a26_ni/a26_pt</f>
        <v>0.759431002022174</v>
      </c>
      <c r="E214" s="17" t="n">
        <f aca="false">nir_f</f>
        <v>0.76</v>
      </c>
      <c r="F214" s="17" t="n">
        <f aca="false">nir_f</f>
        <v>0.76</v>
      </c>
      <c r="G214" s="17" t="n">
        <f aca="false">nir_f</f>
        <v>0.76</v>
      </c>
    </row>
    <row r="215" customFormat="false" ht="15" hidden="false" customHeight="false" outlineLevel="0" collapsed="false">
      <c r="A215" s="4" t="s">
        <v>404</v>
      </c>
      <c r="B215" s="0" t="s">
        <v>138</v>
      </c>
      <c r="C215" s="22" t="n">
        <f aca="false">a25_ni</f>
        <v>15.116</v>
      </c>
      <c r="D215" s="22" t="n">
        <f aca="false">a26_ni</f>
        <v>24.8343420979946</v>
      </c>
      <c r="E215" s="22" t="n">
        <f aca="false">(E211+E213)*E214</f>
        <v>42.7897189386371</v>
      </c>
      <c r="F215" s="22" t="n">
        <f aca="false">(F211+F213)*F214</f>
        <v>48.25562776721</v>
      </c>
      <c r="G215" s="22" t="n">
        <f aca="false">(G211+G213)*G214</f>
        <v>59.2525513709668</v>
      </c>
      <c r="H215" s="24" t="n">
        <f aca="false">H199*H219</f>
        <v>60.3494200301287</v>
      </c>
      <c r="I215" s="24" t="n">
        <f aca="false">I199*I219</f>
        <v>58.4789608117087</v>
      </c>
      <c r="J215" s="24" t="n">
        <f aca="false">J199*J219</f>
        <v>53.6787753168788</v>
      </c>
    </row>
    <row r="216" customFormat="false" ht="15" hidden="false" customHeight="false" outlineLevel="0" collapsed="false">
      <c r="A216" s="4" t="s">
        <v>529</v>
      </c>
      <c r="B216" s="4" t="s">
        <v>231</v>
      </c>
      <c r="C216" s="27" t="n">
        <f aca="false">a25_sh</f>
        <v>2.27650602409639</v>
      </c>
      <c r="D216" s="27" t="n">
        <f aca="false">a26_sh</f>
        <v>2.26895833333333</v>
      </c>
      <c r="E216" s="27" t="n">
        <f aca="false">D216*(1+sh_g)</f>
        <v>2.26895833333333</v>
      </c>
      <c r="F216" s="27" t="n">
        <f aca="false">E216*(1+sh_g)</f>
        <v>2.26895833333333</v>
      </c>
      <c r="G216" s="27" t="n">
        <f aca="false">F216*(1+sh_g)</f>
        <v>2.26895833333333</v>
      </c>
      <c r="H216" s="29" t="n">
        <f aca="false">G216*(1+sh_g)</f>
        <v>2.26895833333333</v>
      </c>
      <c r="I216" s="29" t="n">
        <f aca="false">H216*(1+sh_g)</f>
        <v>2.26895833333333</v>
      </c>
      <c r="J216" s="29" t="n">
        <f aca="false">I216*(1+sh_g)</f>
        <v>2.26895833333333</v>
      </c>
    </row>
    <row r="217" customFormat="false" ht="15" hidden="false" customHeight="false" outlineLevel="0" collapsed="false">
      <c r="A217" s="0" t="s">
        <v>410</v>
      </c>
      <c r="B217" s="0" t="s">
        <v>264</v>
      </c>
      <c r="C217" s="23" t="n">
        <f aca="false">C215/C216</f>
        <v>6.64</v>
      </c>
      <c r="D217" s="23" t="n">
        <f aca="false">D215/D216</f>
        <v>10.9452614149641</v>
      </c>
      <c r="E217" s="23" t="n">
        <f aca="false">E215/E216</f>
        <v>18.8587504274592</v>
      </c>
      <c r="F217" s="23" t="n">
        <f aca="false">F215/F216</f>
        <v>21.2677452284095</v>
      </c>
      <c r="G217" s="23" t="n">
        <f aca="false">G215/G216</f>
        <v>26.1144290313691</v>
      </c>
      <c r="H217" s="30" t="n">
        <f aca="false">H215/H216</f>
        <v>26.5978529193479</v>
      </c>
      <c r="I217" s="30" t="n">
        <f aca="false">I215/I216</f>
        <v>25.7734837844277</v>
      </c>
      <c r="J217" s="30" t="n">
        <f aca="false">J215/J216</f>
        <v>23.6578938133338</v>
      </c>
    </row>
    <row r="218" customFormat="false" ht="17.15" hidden="false" customHeight="false" outlineLevel="0" collapsed="false">
      <c r="A218" s="0" t="s">
        <v>530</v>
      </c>
      <c r="B218" s="0" t="s">
        <v>53</v>
      </c>
      <c r="D218" s="17" t="n">
        <f aca="false">D217/C217-1</f>
        <v>0.648382743217484</v>
      </c>
      <c r="E218" s="17" t="n">
        <f aca="false">E217/D217-1</f>
        <v>0.72300593950876</v>
      </c>
      <c r="F218" s="17" t="n">
        <f aca="false">F217/E217-1</f>
        <v>0.127738834564707</v>
      </c>
      <c r="G218" s="17" t="n">
        <f aca="false">G217/F217-1</f>
        <v>0.227888934671145</v>
      </c>
      <c r="H218" s="25" t="n">
        <f aca="false">H217/G217-1</f>
        <v>0.0185117540727437</v>
      </c>
      <c r="I218" s="25" t="n">
        <f aca="false">I217/H217-1</f>
        <v>-0.0309938225998898</v>
      </c>
      <c r="J218" s="25" t="n">
        <f aca="false">J217/I217-1</f>
        <v>-0.0820839739318477</v>
      </c>
    </row>
    <row r="219" customFormat="false" ht="17.15" hidden="false" customHeight="false" outlineLevel="0" collapsed="false">
      <c r="A219" s="4" t="s">
        <v>531</v>
      </c>
      <c r="B219" s="0" t="s">
        <v>53</v>
      </c>
      <c r="C219" s="17" t="n">
        <f aca="false">C215/C199</f>
        <v>0.0910136375952073</v>
      </c>
      <c r="D219" s="17" t="n">
        <f aca="false">D215/D199</f>
        <v>0.116740330417472</v>
      </c>
      <c r="E219" s="17" t="n">
        <f aca="false">E215/E199</f>
        <v>0.138508718313863</v>
      </c>
      <c r="F219" s="17" t="n">
        <f aca="false">F215/F199</f>
        <v>0.142599172566513</v>
      </c>
      <c r="G219" s="17" t="n">
        <f aca="false">G215/G199</f>
        <v>0.149876408772655</v>
      </c>
      <c r="H219" s="25" t="n">
        <f aca="false">$G219+(fade_mB-$G219)*1/3</f>
        <v>0.135627877175181</v>
      </c>
      <c r="I219" s="25" t="n">
        <f aca="false">$G219+(fade_mB-$G219)*2/3</f>
        <v>0.121379345577706</v>
      </c>
      <c r="J219" s="25" t="n">
        <f aca="false">$G219+(fade_mB-$G219)*3/3</f>
        <v>0.107130813980232</v>
      </c>
    </row>
    <row r="222" customFormat="false" ht="17.15" hidden="false" customHeight="false" outlineLevel="0" collapsed="false">
      <c r="A222" s="1" t="s">
        <v>864</v>
      </c>
    </row>
    <row r="223" customFormat="false" ht="17.15" hidden="false" customHeight="false" outlineLevel="0" collapsed="false">
      <c r="A223" s="5" t="s">
        <v>22</v>
      </c>
      <c r="B223" s="5" t="s">
        <v>23</v>
      </c>
      <c r="C223" s="14" t="s">
        <v>378</v>
      </c>
      <c r="D223" s="14" t="s">
        <v>476</v>
      </c>
      <c r="E223" s="14" t="s">
        <v>477</v>
      </c>
      <c r="F223" s="14" t="s">
        <v>478</v>
      </c>
      <c r="G223" s="14" t="s">
        <v>479</v>
      </c>
      <c r="H223" s="14" t="s">
        <v>480</v>
      </c>
      <c r="I223" s="14" t="s">
        <v>481</v>
      </c>
      <c r="J223" s="14" t="s">
        <v>482</v>
      </c>
      <c r="K223" s="5" t="s">
        <v>449</v>
      </c>
    </row>
    <row r="224" customFormat="false" ht="17.15" hidden="false" customHeight="false" outlineLevel="0" collapsed="false">
      <c r="A224" s="6" t="s">
        <v>501</v>
      </c>
    </row>
    <row r="225" customFormat="false" ht="17.15" hidden="false" customHeight="false" outlineLevel="0" collapsed="false">
      <c r="A225" s="0" t="s">
        <v>502</v>
      </c>
      <c r="B225" s="0" t="s">
        <v>33</v>
      </c>
      <c r="D225" s="23" t="n">
        <f aca="false">itc_26*1</f>
        <v>781.872916666666</v>
      </c>
      <c r="E225" s="23" t="n">
        <f aca="false">itc_27*1*mf_lo</f>
        <v>1252.28</v>
      </c>
      <c r="F225" s="23" t="n">
        <f aca="false">itc_28*um28_B*mf_lo</f>
        <v>1269.92888888889</v>
      </c>
      <c r="G225" s="23" t="n">
        <f aca="false">itc_29*um29_B*mf_lo</f>
        <v>1537.06538888889</v>
      </c>
    </row>
    <row r="226" customFormat="false" ht="17.15" hidden="false" customHeight="false" outlineLevel="0" collapsed="false">
      <c r="A226" s="4" t="s">
        <v>503</v>
      </c>
      <c r="B226" s="0" t="s">
        <v>33</v>
      </c>
      <c r="D226" s="23" t="n">
        <f aca="false">itpg_gb*(1-vr26)+itpg_vr*vr26</f>
        <v>33.41403216</v>
      </c>
      <c r="E226" s="23" t="n">
        <f aca="false">itpg_vr</f>
        <v>37.586352</v>
      </c>
      <c r="F226" s="23" t="n">
        <f aca="false">itpg_vr</f>
        <v>37.586352</v>
      </c>
      <c r="G226" s="23" t="n">
        <f aca="false">itpg_vr</f>
        <v>37.586352</v>
      </c>
    </row>
    <row r="227" customFormat="false" ht="17.15" hidden="false" customHeight="false" outlineLevel="0" collapsed="false">
      <c r="A227" s="4" t="s">
        <v>504</v>
      </c>
      <c r="B227" s="0" t="s">
        <v>451</v>
      </c>
      <c r="D227" s="20" t="n">
        <f aca="false">D225/D226</f>
        <v>23.3995380420639</v>
      </c>
      <c r="E227" s="20" t="n">
        <f aca="false">E225/E226</f>
        <v>33.3174126608509</v>
      </c>
      <c r="F227" s="20" t="n">
        <f aca="false">F225/F226</f>
        <v>33.7869684423987</v>
      </c>
      <c r="G227" s="20" t="n">
        <f aca="false">G225/G226</f>
        <v>40.8942423805559</v>
      </c>
    </row>
    <row r="228" customFormat="false" ht="17.15" hidden="false" customHeight="false" outlineLevel="0" collapsed="false">
      <c r="A228" s="0" t="s">
        <v>453</v>
      </c>
      <c r="B228" s="0" t="s">
        <v>91</v>
      </c>
      <c r="D228" s="21" t="n">
        <f aca="false">pkw_26</f>
        <v>450</v>
      </c>
      <c r="E228" s="21" t="n">
        <f aca="false">pkw_27</f>
        <v>600</v>
      </c>
      <c r="F228" s="21" t="n">
        <f aca="false">pkw_28</f>
        <v>680</v>
      </c>
      <c r="G228" s="21" t="n">
        <f aca="false">pkw_29</f>
        <v>720</v>
      </c>
    </row>
    <row r="229" customFormat="false" ht="17.15" hidden="false" customHeight="false" outlineLevel="0" collapsed="false">
      <c r="A229" s="0" t="s">
        <v>505</v>
      </c>
      <c r="B229" s="0" t="s">
        <v>33</v>
      </c>
      <c r="D229" s="23" t="n">
        <f aca="false">D227*D228/1000</f>
        <v>10.5297921189287</v>
      </c>
      <c r="E229" s="23" t="n">
        <f aca="false">E227*E228/1000</f>
        <v>19.9904475965106</v>
      </c>
      <c r="F229" s="23" t="n">
        <f aca="false">F227*F228/1000</f>
        <v>22.9751385408311</v>
      </c>
      <c r="G229" s="23" t="n">
        <f aca="false">G227*G228/1000</f>
        <v>29.4438545140002</v>
      </c>
    </row>
    <row r="230" customFormat="false" ht="17.15" hidden="false" customHeight="false" outlineLevel="0" collapsed="false">
      <c r="A230" s="0" t="s">
        <v>506</v>
      </c>
      <c r="B230" s="0" t="s">
        <v>138</v>
      </c>
      <c r="D230" s="22" t="n">
        <f aca="false">D229*fx</f>
        <v>336.95334780572</v>
      </c>
      <c r="E230" s="22" t="n">
        <f aca="false">E229*fx</f>
        <v>639.694323088338</v>
      </c>
      <c r="F230" s="22" t="n">
        <f aca="false">F229*fx</f>
        <v>735.204433306596</v>
      </c>
      <c r="G230" s="22" t="n">
        <f aca="false">G229*fx</f>
        <v>942.203344448007</v>
      </c>
    </row>
    <row r="231" customFormat="false" ht="17.15" hidden="false" customHeight="false" outlineLevel="0" collapsed="false">
      <c r="A231" s="4" t="s">
        <v>507</v>
      </c>
      <c r="B231" s="0" t="s">
        <v>53</v>
      </c>
      <c r="D231" s="17" t="n">
        <f aca="false">a26_aip/D230</f>
        <v>0.176143316327046</v>
      </c>
      <c r="K231" s="8" t="s">
        <v>508</v>
      </c>
    </row>
    <row r="232" customFormat="false" ht="17.15" hidden="false" customHeight="false" outlineLevel="0" collapsed="false">
      <c r="A232" s="4" t="s">
        <v>509</v>
      </c>
      <c r="B232" s="0" t="s">
        <v>64</v>
      </c>
      <c r="D232" s="18" t="n">
        <f aca="false">1</f>
        <v>1</v>
      </c>
      <c r="E232" s="18" t="n">
        <f aca="false">rel_27</f>
        <v>1</v>
      </c>
      <c r="F232" s="18" t="n">
        <f aca="false">rel_28</f>
        <v>1</v>
      </c>
      <c r="G232" s="18" t="n">
        <f aca="false">rel_29</f>
        <v>1</v>
      </c>
    </row>
    <row r="233" customFormat="false" ht="15" hidden="false" customHeight="false" outlineLevel="0" collapsed="false">
      <c r="A233" s="4" t="s">
        <v>459</v>
      </c>
      <c r="B233" s="0" t="s">
        <v>53</v>
      </c>
      <c r="D233" s="17" t="n">
        <f aca="false">$D$231*D232</f>
        <v>0.176143316327046</v>
      </c>
      <c r="E233" s="17" t="n">
        <f aca="false">$D$231*E232</f>
        <v>0.176143316327046</v>
      </c>
      <c r="F233" s="17" t="n">
        <f aca="false">$D$231*F232</f>
        <v>0.176143316327046</v>
      </c>
      <c r="G233" s="17" t="n">
        <f aca="false">$D$231*G232</f>
        <v>0.176143316327046</v>
      </c>
    </row>
    <row r="234" customFormat="false" ht="17.15" hidden="false" customHeight="false" outlineLevel="0" collapsed="false">
      <c r="A234" s="0" t="s">
        <v>510</v>
      </c>
      <c r="B234" s="0" t="s">
        <v>138</v>
      </c>
      <c r="C234" s="22" t="n">
        <f aca="false">a25_aip</f>
        <v>31.390065</v>
      </c>
      <c r="D234" s="22" t="n">
        <f aca="false">D230*D233</f>
        <v>59.35208013</v>
      </c>
      <c r="E234" s="22" t="n">
        <f aca="false">E230*E233</f>
        <v>112.677879504365</v>
      </c>
      <c r="F234" s="22" t="n">
        <f aca="false">F230*F233</f>
        <v>129.50134706097</v>
      </c>
      <c r="G234" s="22" t="n">
        <f aca="false">G230*G233</f>
        <v>165.962821745506</v>
      </c>
    </row>
    <row r="235" customFormat="false" ht="17.15" hidden="false" customHeight="false" outlineLevel="0" collapsed="false">
      <c r="A235" s="0" t="s">
        <v>511</v>
      </c>
      <c r="B235" s="0" t="s">
        <v>138</v>
      </c>
      <c r="C235" s="22" t="n">
        <f aca="false">a25_ai</f>
        <v>34.87785</v>
      </c>
      <c r="D235" s="22" t="n">
        <f aca="false">D234/(1-x_np)</f>
        <v>65.9467557</v>
      </c>
      <c r="E235" s="22" t="n">
        <f aca="false">E234/(1-x_np)</f>
        <v>125.197643893738</v>
      </c>
      <c r="F235" s="22" t="n">
        <f aca="false">F234/(1-x_np)</f>
        <v>143.8903856233</v>
      </c>
      <c r="G235" s="22" t="n">
        <f aca="false">G234/(1-x_np)</f>
        <v>184.403135272784</v>
      </c>
      <c r="K235" s="4" t="s">
        <v>512</v>
      </c>
    </row>
    <row r="236" customFormat="false" ht="17.15" hidden="false" customHeight="false" outlineLevel="0" collapsed="false">
      <c r="A236" s="6" t="s">
        <v>513</v>
      </c>
    </row>
    <row r="237" customFormat="false" ht="17.15" hidden="false" customHeight="false" outlineLevel="0" collapsed="false">
      <c r="A237" s="4" t="s">
        <v>514</v>
      </c>
      <c r="B237" s="0" t="s">
        <v>138</v>
      </c>
      <c r="C237" s="22" t="n">
        <f aca="false">a25_cn</f>
        <v>39.8604</v>
      </c>
      <c r="D237" s="22" t="n">
        <f aca="false">a26_cn</f>
        <v>50.0315607365079</v>
      </c>
      <c r="E237" s="22" t="n">
        <f aca="false">D237*(1+g_cn27)</f>
        <v>52.5331387733333</v>
      </c>
      <c r="F237" s="22" t="n">
        <f aca="false">E237*(1+g_cn28)</f>
        <v>55.159795712</v>
      </c>
      <c r="G237" s="22" t="n">
        <f aca="false">F237*(1+g_cn29)</f>
        <v>57.9177854976</v>
      </c>
      <c r="K237" s="4" t="s">
        <v>515</v>
      </c>
    </row>
    <row r="238" customFormat="false" ht="17.15" hidden="false" customHeight="false" outlineLevel="0" collapsed="false">
      <c r="A238" s="4" t="s">
        <v>431</v>
      </c>
      <c r="B238" s="0" t="s">
        <v>138</v>
      </c>
      <c r="C238" s="22" t="n">
        <f aca="false">C235+C237</f>
        <v>74.73825</v>
      </c>
      <c r="D238" s="22" t="n">
        <f aca="false">D235+D237</f>
        <v>115.978316436508</v>
      </c>
      <c r="E238" s="22" t="n">
        <f aca="false">E235+E237</f>
        <v>177.730782667072</v>
      </c>
      <c r="F238" s="22" t="n">
        <f aca="false">F235+F237</f>
        <v>199.0501813353</v>
      </c>
      <c r="G238" s="22" t="n">
        <f aca="false">G235+G237</f>
        <v>242.320920770384</v>
      </c>
      <c r="K238" s="4" t="s">
        <v>516</v>
      </c>
    </row>
    <row r="239" customFormat="false" ht="15" hidden="false" customHeight="false" outlineLevel="0" collapsed="false">
      <c r="A239" s="4" t="s">
        <v>435</v>
      </c>
      <c r="B239" s="0" t="s">
        <v>138</v>
      </c>
      <c r="C239" s="22" t="n">
        <f aca="false">a25_op</f>
        <v>28.23445</v>
      </c>
      <c r="D239" s="22" t="n">
        <f aca="false">a26_op</f>
        <v>32.8693205828571</v>
      </c>
      <c r="E239" s="22" t="n">
        <f aca="false">D239*(1+g_op27)</f>
        <v>34.512786612</v>
      </c>
      <c r="F239" s="22" t="n">
        <f aca="false">E239*(1+g_op28)</f>
        <v>36.2384259426</v>
      </c>
      <c r="G239" s="22" t="n">
        <f aca="false">F239*(1+g_op29)</f>
        <v>38.05034723973</v>
      </c>
    </row>
    <row r="240" customFormat="false" ht="15" hidden="false" customHeight="false" outlineLevel="0" collapsed="false">
      <c r="A240" s="4" t="s">
        <v>436</v>
      </c>
      <c r="B240" s="0" t="s">
        <v>138</v>
      </c>
      <c r="C240" s="22" t="n">
        <f aca="false">a25_ic</f>
        <v>63.1123</v>
      </c>
      <c r="D240" s="22" t="n">
        <f aca="false">a26_ic</f>
        <v>63.8838329806349</v>
      </c>
      <c r="E240" s="22" t="n">
        <f aca="false">D240*(1+g_ic27)</f>
        <v>63.8838329806349</v>
      </c>
      <c r="F240" s="22" t="n">
        <f aca="false">E240*(1+g_ic28)</f>
        <v>63.8838329806349</v>
      </c>
      <c r="G240" s="22" t="n">
        <f aca="false">F240*(1+g_ic29)</f>
        <v>63.8838329806349</v>
      </c>
    </row>
    <row r="241" customFormat="false" ht="17.15" hidden="false" customHeight="false" outlineLevel="0" collapsed="false">
      <c r="A241" s="4" t="s">
        <v>517</v>
      </c>
      <c r="B241" s="0" t="s">
        <v>138</v>
      </c>
      <c r="C241" s="22" t="n">
        <f aca="false">C237+C239+C240</f>
        <v>131.20715</v>
      </c>
      <c r="D241" s="22" t="n">
        <f aca="false">D237+D239+D240</f>
        <v>146.7847143</v>
      </c>
      <c r="E241" s="22" t="n">
        <f aca="false">E237+E239+E240</f>
        <v>150.929758365968</v>
      </c>
      <c r="F241" s="22" t="n">
        <f aca="false">F237+F239+F240</f>
        <v>155.282054635235</v>
      </c>
      <c r="G241" s="22" t="n">
        <f aca="false">G237+G239+G240</f>
        <v>159.851965717965</v>
      </c>
    </row>
    <row r="242" customFormat="false" ht="17.15" hidden="false" customHeight="false" outlineLevel="0" collapsed="false">
      <c r="A242" s="4" t="s">
        <v>383</v>
      </c>
      <c r="B242" s="0" t="s">
        <v>138</v>
      </c>
      <c r="C242" s="22" t="n">
        <f aca="false">C238+C239+C240</f>
        <v>166.085</v>
      </c>
      <c r="D242" s="22" t="n">
        <f aca="false">D238+D239+D240</f>
        <v>212.73147</v>
      </c>
      <c r="E242" s="22" t="n">
        <f aca="false">E238+E239+E240</f>
        <v>276.127402259707</v>
      </c>
      <c r="F242" s="22" t="n">
        <f aca="false">F238+F239+F240</f>
        <v>299.172440258535</v>
      </c>
      <c r="G242" s="22" t="n">
        <f aca="false">G238+G239+G240</f>
        <v>344.255100990749</v>
      </c>
      <c r="H242" s="24" t="n">
        <f aca="false">G242*(1+H244)</f>
        <v>383.429316995417</v>
      </c>
      <c r="I242" s="24" t="n">
        <f aca="false">H242*(1+I244)</f>
        <v>412.913909609847</v>
      </c>
      <c r="J242" s="24" t="n">
        <f aca="false">I242*(1+J244)</f>
        <v>429.430465994241</v>
      </c>
      <c r="K242" s="8" t="s">
        <v>518</v>
      </c>
    </row>
    <row r="243" customFormat="false" ht="17.15" hidden="false" customHeight="false" outlineLevel="0" collapsed="false">
      <c r="A243" s="4" t="s">
        <v>519</v>
      </c>
      <c r="B243" s="0" t="s">
        <v>138</v>
      </c>
      <c r="C243" s="28" t="n">
        <f aca="false">C242-a25_rev</f>
        <v>0</v>
      </c>
      <c r="D243" s="28" t="n">
        <f aca="false">D242-a26_rev</f>
        <v>0</v>
      </c>
    </row>
    <row r="244" customFormat="false" ht="15" hidden="false" customHeight="false" outlineLevel="0" collapsed="false">
      <c r="A244" s="4" t="s">
        <v>520</v>
      </c>
      <c r="B244" s="0" t="s">
        <v>53</v>
      </c>
      <c r="D244" s="17" t="n">
        <f aca="false">D242/C242-1</f>
        <v>0.280859017972725</v>
      </c>
      <c r="E244" s="17" t="n">
        <f aca="false">E242/D242-1</f>
        <v>0.298009186227626</v>
      </c>
      <c r="F244" s="17" t="n">
        <f aca="false">F242/E242-1</f>
        <v>0.083457990080803</v>
      </c>
      <c r="G244" s="17" t="n">
        <f aca="false">G242/F242-1</f>
        <v>0.150691222404226</v>
      </c>
      <c r="H244" s="25" t="n">
        <f aca="false">$G244+(fade_gB-$G244)*1/3</f>
        <v>0.113794148269484</v>
      </c>
      <c r="I244" s="25" t="n">
        <f aca="false">$G244+(fade_gB-$G244)*2/3</f>
        <v>0.076897074134742</v>
      </c>
      <c r="J244" s="25" t="n">
        <f aca="false">$G244+(fade_gB-$G244)*3/3</f>
        <v>0.04</v>
      </c>
    </row>
    <row r="245" customFormat="false" ht="17.15" hidden="false" customHeight="false" outlineLevel="0" collapsed="false">
      <c r="A245" s="0" t="s">
        <v>521</v>
      </c>
      <c r="B245" s="0" t="s">
        <v>53</v>
      </c>
      <c r="C245" s="17" t="n">
        <f aca="false">C235/C242</f>
        <v>0.21</v>
      </c>
      <c r="D245" s="17" t="n">
        <f aca="false">D235/D242</f>
        <v>0.31</v>
      </c>
      <c r="E245" s="17" t="n">
        <f aca="false">E235/E242</f>
        <v>0.453405358791541</v>
      </c>
      <c r="F245" s="17" t="n">
        <f aca="false">F235/F242</f>
        <v>0.480961366290808</v>
      </c>
      <c r="G245" s="17" t="n">
        <f aca="false">G235/G242</f>
        <v>0.535658396177954</v>
      </c>
    </row>
    <row r="246" customFormat="false" ht="17.15" hidden="false" customHeight="false" outlineLevel="0" collapsed="false">
      <c r="A246" s="4" t="s">
        <v>470</v>
      </c>
      <c r="B246" s="0" t="s">
        <v>471</v>
      </c>
      <c r="D246" s="21" t="n">
        <f aca="false">D235/fx/D227*1000</f>
        <v>88.0716581635229</v>
      </c>
      <c r="E246" s="21" t="n">
        <f aca="false">E235/fx/E227*1000</f>
        <v>117.428877551364</v>
      </c>
      <c r="F246" s="21" t="n">
        <f aca="false">F235/fx/F227*1000</f>
        <v>133.086061224879</v>
      </c>
      <c r="G246" s="21" t="n">
        <f aca="false">G235/fx/G227*1000</f>
        <v>140.914653061637</v>
      </c>
    </row>
    <row r="247" customFormat="false" ht="17.15" hidden="false" customHeight="false" outlineLevel="0" collapsed="false">
      <c r="A247" s="6" t="s">
        <v>522</v>
      </c>
    </row>
    <row r="248" customFormat="false" ht="17.15" hidden="false" customHeight="false" outlineLevel="0" collapsed="false">
      <c r="A248" s="4" t="s">
        <v>523</v>
      </c>
      <c r="B248" s="0" t="s">
        <v>53</v>
      </c>
      <c r="D248" s="17" t="n">
        <f aca="false">a26_gp/D242-d_ai*D245</f>
        <v>0.216982337009188</v>
      </c>
      <c r="K248" s="8" t="s">
        <v>524</v>
      </c>
    </row>
    <row r="249" customFormat="false" ht="17.15" hidden="false" customHeight="false" outlineLevel="0" collapsed="false">
      <c r="A249" s="0" t="s">
        <v>525</v>
      </c>
      <c r="B249" s="0" t="s">
        <v>53</v>
      </c>
      <c r="D249" s="17" t="n">
        <f aca="false">D248+d_ai</f>
        <v>0.336982337009188</v>
      </c>
      <c r="E249" s="17" t="n">
        <f aca="false">$D$249+gmu_27</f>
        <v>0.336982337009188</v>
      </c>
      <c r="F249" s="17" t="n">
        <f aca="false">$D$249+gmu_28</f>
        <v>0.336982337009188</v>
      </c>
      <c r="G249" s="17" t="n">
        <f aca="false">$D$249+gmu_29</f>
        <v>0.336982337009188</v>
      </c>
      <c r="K249" s="4" t="s">
        <v>526</v>
      </c>
    </row>
    <row r="250" customFormat="false" ht="15" hidden="false" customHeight="false" outlineLevel="0" collapsed="false">
      <c r="A250" s="4" t="s">
        <v>387</v>
      </c>
      <c r="B250" s="0" t="s">
        <v>138</v>
      </c>
      <c r="C250" s="22" t="n">
        <f aca="false">a25_gp</f>
        <v>38.039</v>
      </c>
      <c r="D250" s="22" t="n">
        <f aca="false">a26_gp</f>
        <v>54.0725822</v>
      </c>
      <c r="E250" s="22" t="n">
        <f aca="false">E235*E249+E241*$D$248</f>
        <v>74.9384863218359</v>
      </c>
      <c r="F250" s="22" t="n">
        <f aca="false">F235*F249+F241*$D$248</f>
        <v>82.1819815308347</v>
      </c>
      <c r="G250" s="22" t="n">
        <f aca="false">G235*G249+G241*$D$248</f>
        <v>96.825652573041</v>
      </c>
    </row>
    <row r="251" customFormat="false" ht="15" hidden="false" customHeight="false" outlineLevel="0" collapsed="false">
      <c r="A251" s="4" t="s">
        <v>390</v>
      </c>
      <c r="B251" s="0" t="s">
        <v>53</v>
      </c>
      <c r="C251" s="17" t="n">
        <f aca="false">C250/C242</f>
        <v>0.229033326308818</v>
      </c>
      <c r="D251" s="17" t="n">
        <f aca="false">D250/D242</f>
        <v>0.254182337009188</v>
      </c>
      <c r="E251" s="17" t="n">
        <f aca="false">E250/E242</f>
        <v>0.271390980064173</v>
      </c>
      <c r="F251" s="17" t="n">
        <f aca="false">F250/F242</f>
        <v>0.274697700964085</v>
      </c>
      <c r="G251" s="17" t="n">
        <f aca="false">G250/G242</f>
        <v>0.281261344550543</v>
      </c>
    </row>
    <row r="252" customFormat="false" ht="15" hidden="false" customHeight="false" outlineLevel="0" collapsed="false">
      <c r="A252" s="4" t="s">
        <v>527</v>
      </c>
      <c r="B252" s="0" t="s">
        <v>138</v>
      </c>
      <c r="C252" s="22" t="n">
        <f aca="false">a25_opx</f>
        <v>21.301</v>
      </c>
      <c r="D252" s="22" t="n">
        <f aca="false">a26_opx</f>
        <v>25.21033346</v>
      </c>
      <c r="E252" s="22" t="n">
        <f aca="false">D252*(1+MAX(0,phi*E244))</f>
        <v>30.4693711312592</v>
      </c>
      <c r="F252" s="22" t="n">
        <f aca="false">E252*(1+MAX(0,phi*F244))</f>
        <v>32.2494098628078</v>
      </c>
      <c r="G252" s="22" t="n">
        <f aca="false">F252*(1+MAX(0,phi*G244))</f>
        <v>35.6512019586368</v>
      </c>
    </row>
    <row r="253" customFormat="false" ht="15" hidden="false" customHeight="false" outlineLevel="0" collapsed="false">
      <c r="A253" s="4" t="s">
        <v>392</v>
      </c>
      <c r="B253" s="0" t="s">
        <v>138</v>
      </c>
      <c r="C253" s="22" t="n">
        <f aca="false">C252</f>
        <v>21.301</v>
      </c>
      <c r="D253" s="22" t="n">
        <f aca="false">D252</f>
        <v>25.21033346</v>
      </c>
      <c r="E253" s="22" t="n">
        <f aca="false">E252+0*E242</f>
        <v>30.4693711312592</v>
      </c>
      <c r="F253" s="22" t="n">
        <f aca="false">F252+0*F242</f>
        <v>32.2494098628078</v>
      </c>
      <c r="G253" s="22" t="n">
        <f aca="false">G252+0*G242</f>
        <v>35.6512019586368</v>
      </c>
    </row>
    <row r="254" customFormat="false" ht="15" hidden="false" customHeight="false" outlineLevel="0" collapsed="false">
      <c r="A254" s="4" t="s">
        <v>395</v>
      </c>
      <c r="B254" s="0" t="s">
        <v>138</v>
      </c>
      <c r="C254" s="22" t="n">
        <f aca="false">C250-C253</f>
        <v>16.738</v>
      </c>
      <c r="D254" s="22" t="n">
        <f aca="false">D250-D253</f>
        <v>28.86224874</v>
      </c>
      <c r="E254" s="22" t="n">
        <f aca="false">E250-E253</f>
        <v>44.4691151905768</v>
      </c>
      <c r="F254" s="22" t="n">
        <f aca="false">F250-F253</f>
        <v>49.9325716680269</v>
      </c>
      <c r="G254" s="22" t="n">
        <f aca="false">G250-G253</f>
        <v>61.1744506144041</v>
      </c>
    </row>
    <row r="255" customFormat="false" ht="15" hidden="false" customHeight="false" outlineLevel="0" collapsed="false">
      <c r="A255" s="4" t="s">
        <v>397</v>
      </c>
      <c r="B255" s="0" t="s">
        <v>53</v>
      </c>
      <c r="C255" s="17" t="n">
        <f aca="false">C254/C242</f>
        <v>0.100779721227083</v>
      </c>
      <c r="D255" s="17" t="n">
        <f aca="false">D254/D242</f>
        <v>0.135674560703219</v>
      </c>
      <c r="E255" s="17" t="n">
        <f aca="false">E254/E242</f>
        <v>0.161045643520566</v>
      </c>
      <c r="F255" s="17" t="n">
        <f aca="false">F254/F242</f>
        <v>0.166902311004572</v>
      </c>
      <c r="G255" s="17" t="n">
        <f aca="false">G254/G242</f>
        <v>0.177700927127433</v>
      </c>
    </row>
    <row r="256" customFormat="false" ht="15" hidden="false" customHeight="false" outlineLevel="0" collapsed="false">
      <c r="A256" s="4" t="s">
        <v>399</v>
      </c>
      <c r="B256" s="0" t="s">
        <v>138</v>
      </c>
      <c r="C256" s="22" t="n">
        <f aca="false">a25_nop</f>
        <v>2.9762895</v>
      </c>
      <c r="D256" s="22" t="n">
        <f aca="false">a26_nop</f>
        <v>3.839</v>
      </c>
      <c r="E256" s="22" t="n">
        <f aca="false">nop_f</f>
        <v>3.5</v>
      </c>
      <c r="F256" s="22" t="n">
        <f aca="false">nop_f</f>
        <v>3.5</v>
      </c>
      <c r="G256" s="22" t="n">
        <f aca="false">nop_f</f>
        <v>3.5</v>
      </c>
    </row>
    <row r="257" customFormat="false" ht="17.15" hidden="false" customHeight="false" outlineLevel="0" collapsed="false">
      <c r="A257" s="4" t="s">
        <v>528</v>
      </c>
      <c r="B257" s="0" t="s">
        <v>53</v>
      </c>
      <c r="C257" s="17" t="n">
        <f aca="false">a25_ni/a25_pt</f>
        <v>0.766753475949514</v>
      </c>
      <c r="D257" s="17" t="n">
        <f aca="false">a26_ni/a26_pt</f>
        <v>0.759431002022174</v>
      </c>
      <c r="E257" s="17" t="n">
        <f aca="false">nir_f</f>
        <v>0.76</v>
      </c>
      <c r="F257" s="17" t="n">
        <f aca="false">nir_f</f>
        <v>0.76</v>
      </c>
      <c r="G257" s="17" t="n">
        <f aca="false">nir_f</f>
        <v>0.76</v>
      </c>
    </row>
    <row r="258" customFormat="false" ht="15" hidden="false" customHeight="false" outlineLevel="0" collapsed="false">
      <c r="A258" s="4" t="s">
        <v>404</v>
      </c>
      <c r="B258" s="0" t="s">
        <v>138</v>
      </c>
      <c r="C258" s="22" t="n">
        <f aca="false">a25_ni</f>
        <v>15.116</v>
      </c>
      <c r="D258" s="22" t="n">
        <f aca="false">a26_ni</f>
        <v>24.8343420979946</v>
      </c>
      <c r="E258" s="22" t="n">
        <f aca="false">(E254+E256)*E257</f>
        <v>36.4565275448383</v>
      </c>
      <c r="F258" s="22" t="n">
        <f aca="false">(F254+F256)*F257</f>
        <v>40.6087544677004</v>
      </c>
      <c r="G258" s="22" t="n">
        <f aca="false">(G254+G256)*G257</f>
        <v>49.1525824669471</v>
      </c>
      <c r="H258" s="24" t="n">
        <f aca="false">H242*H262</f>
        <v>50.1896040938804</v>
      </c>
      <c r="I258" s="24" t="n">
        <f aca="false">I242*I262</f>
        <v>49.1424205204718</v>
      </c>
      <c r="J258" s="24" t="n">
        <f aca="false">J242*J262</f>
        <v>46.0052353698732</v>
      </c>
    </row>
    <row r="259" customFormat="false" ht="15" hidden="false" customHeight="false" outlineLevel="0" collapsed="false">
      <c r="A259" s="4" t="s">
        <v>529</v>
      </c>
      <c r="B259" s="4" t="s">
        <v>231</v>
      </c>
      <c r="C259" s="27" t="n">
        <f aca="false">a25_sh</f>
        <v>2.27650602409639</v>
      </c>
      <c r="D259" s="27" t="n">
        <f aca="false">a26_sh</f>
        <v>2.26895833333333</v>
      </c>
      <c r="E259" s="27" t="n">
        <f aca="false">D259*(1+sh_g)</f>
        <v>2.26895833333333</v>
      </c>
      <c r="F259" s="27" t="n">
        <f aca="false">E259*(1+sh_g)</f>
        <v>2.26895833333333</v>
      </c>
      <c r="G259" s="27" t="n">
        <f aca="false">F259*(1+sh_g)</f>
        <v>2.26895833333333</v>
      </c>
      <c r="H259" s="29" t="n">
        <f aca="false">G259*(1+sh_g)</f>
        <v>2.26895833333333</v>
      </c>
      <c r="I259" s="29" t="n">
        <f aca="false">H259*(1+sh_g)</f>
        <v>2.26895833333333</v>
      </c>
      <c r="J259" s="29" t="n">
        <f aca="false">I259*(1+sh_g)</f>
        <v>2.26895833333333</v>
      </c>
    </row>
    <row r="260" customFormat="false" ht="15" hidden="false" customHeight="false" outlineLevel="0" collapsed="false">
      <c r="A260" s="0" t="s">
        <v>410</v>
      </c>
      <c r="B260" s="0" t="s">
        <v>264</v>
      </c>
      <c r="C260" s="23" t="n">
        <f aca="false">C258/C259</f>
        <v>6.64</v>
      </c>
      <c r="D260" s="23" t="n">
        <f aca="false">D258/D259</f>
        <v>10.9452614149641</v>
      </c>
      <c r="E260" s="23" t="n">
        <f aca="false">E258/E259</f>
        <v>16.0675174194495</v>
      </c>
      <c r="F260" s="23" t="n">
        <f aca="false">F258/F259</f>
        <v>17.8975320397541</v>
      </c>
      <c r="G260" s="23" t="n">
        <f aca="false">G258/G259</f>
        <v>21.6630608613852</v>
      </c>
      <c r="H260" s="30" t="n">
        <f aca="false">H258/H259</f>
        <v>22.1201083142619</v>
      </c>
      <c r="I260" s="30" t="n">
        <f aca="false">I258/I259</f>
        <v>21.6585821777857</v>
      </c>
      <c r="J260" s="30" t="n">
        <f aca="false">J258/J259</f>
        <v>20.2759278096953</v>
      </c>
    </row>
    <row r="261" customFormat="false" ht="17.15" hidden="false" customHeight="false" outlineLevel="0" collapsed="false">
      <c r="A261" s="0" t="s">
        <v>530</v>
      </c>
      <c r="B261" s="0" t="s">
        <v>53</v>
      </c>
      <c r="D261" s="17" t="n">
        <f aca="false">D260/C260-1</f>
        <v>0.648382743217484</v>
      </c>
      <c r="E261" s="17" t="n">
        <f aca="false">E260/D260-1</f>
        <v>0.467988457313805</v>
      </c>
      <c r="F261" s="17" t="n">
        <f aca="false">F260/E260-1</f>
        <v>0.113895293997905</v>
      </c>
      <c r="G261" s="17" t="n">
        <f aca="false">G260/F260-1</f>
        <v>0.210393746649933</v>
      </c>
      <c r="H261" s="25" t="n">
        <f aca="false">H260/G260-1</f>
        <v>0.0210980089933346</v>
      </c>
      <c r="I261" s="25" t="n">
        <f aca="false">I260/H260-1</f>
        <v>-0.020864551380996</v>
      </c>
      <c r="J261" s="25" t="n">
        <f aca="false">J260/I260-1</f>
        <v>-0.0638386371158027</v>
      </c>
    </row>
    <row r="262" customFormat="false" ht="17.15" hidden="false" customHeight="false" outlineLevel="0" collapsed="false">
      <c r="A262" s="4" t="s">
        <v>531</v>
      </c>
      <c r="B262" s="0" t="s">
        <v>53</v>
      </c>
      <c r="C262" s="17" t="n">
        <f aca="false">C258/C242</f>
        <v>0.0910136375952073</v>
      </c>
      <c r="D262" s="17" t="n">
        <f aca="false">D258/D242</f>
        <v>0.116740330417472</v>
      </c>
      <c r="E262" s="17" t="n">
        <f aca="false">E258/E242</f>
        <v>0.13202792351101</v>
      </c>
      <c r="F262" s="17" t="n">
        <f aca="false">F258/F242</f>
        <v>0.135736949675604</v>
      </c>
      <c r="G262" s="17" t="n">
        <f aca="false">G258/G242</f>
        <v>0.142779532751987</v>
      </c>
      <c r="H262" s="25" t="n">
        <f aca="false">$G262+(fade_mB-$G262)*1/3</f>
        <v>0.130896626494735</v>
      </c>
      <c r="I262" s="25" t="n">
        <f aca="false">$G262+(fade_mB-$G262)*2/3</f>
        <v>0.119013720237483</v>
      </c>
      <c r="J262" s="25" t="n">
        <f aca="false">$G262+(fade_mB-$G262)*3/3</f>
        <v>0.107130813980232</v>
      </c>
    </row>
    <row r="265" customFormat="false" ht="17.15" hidden="false" customHeight="false" outlineLevel="0" collapsed="false">
      <c r="A265" s="1" t="s">
        <v>865</v>
      </c>
    </row>
    <row r="266" customFormat="false" ht="17.15" hidden="false" customHeight="false" outlineLevel="0" collapsed="false">
      <c r="A266" s="5" t="s">
        <v>22</v>
      </c>
      <c r="B266" s="5" t="s">
        <v>23</v>
      </c>
      <c r="C266" s="14" t="s">
        <v>378</v>
      </c>
      <c r="D266" s="14" t="s">
        <v>476</v>
      </c>
      <c r="E266" s="14" t="s">
        <v>477</v>
      </c>
      <c r="F266" s="14" t="s">
        <v>478</v>
      </c>
      <c r="G266" s="14" t="s">
        <v>479</v>
      </c>
      <c r="H266" s="14" t="s">
        <v>480</v>
      </c>
      <c r="I266" s="14" t="s">
        <v>481</v>
      </c>
      <c r="J266" s="14" t="s">
        <v>482</v>
      </c>
      <c r="K266" s="5" t="s">
        <v>449</v>
      </c>
    </row>
    <row r="267" customFormat="false" ht="17.15" hidden="false" customHeight="false" outlineLevel="0" collapsed="false">
      <c r="A267" s="6" t="s">
        <v>501</v>
      </c>
    </row>
    <row r="268" customFormat="false" ht="17.15" hidden="false" customHeight="false" outlineLevel="0" collapsed="false">
      <c r="A268" s="0" t="s">
        <v>502</v>
      </c>
      <c r="B268" s="0" t="s">
        <v>33</v>
      </c>
      <c r="D268" s="23" t="n">
        <f aca="false">itc_26*1</f>
        <v>781.872916666666</v>
      </c>
      <c r="E268" s="23" t="n">
        <f aca="false">itc_27*1*mf_hi</f>
        <v>1878.42</v>
      </c>
      <c r="F268" s="23" t="n">
        <f aca="false">itc_28*um28_B*mf_hi</f>
        <v>1904.89333333333</v>
      </c>
      <c r="G268" s="23" t="n">
        <f aca="false">itc_29*um29_B*mf_hi</f>
        <v>2305.59808333334</v>
      </c>
    </row>
    <row r="269" customFormat="false" ht="17.15" hidden="false" customHeight="false" outlineLevel="0" collapsed="false">
      <c r="A269" s="4" t="s">
        <v>503</v>
      </c>
      <c r="B269" s="0" t="s">
        <v>33</v>
      </c>
      <c r="D269" s="23" t="n">
        <f aca="false">itpg_gb*(1-vr26)+itpg_vr*vr26</f>
        <v>33.41403216</v>
      </c>
      <c r="E269" s="23" t="n">
        <f aca="false">itpg_vr</f>
        <v>37.586352</v>
      </c>
      <c r="F269" s="23" t="n">
        <f aca="false">itpg_vr</f>
        <v>37.586352</v>
      </c>
      <c r="G269" s="23" t="n">
        <f aca="false">itpg_vr</f>
        <v>37.586352</v>
      </c>
    </row>
    <row r="270" customFormat="false" ht="17.15" hidden="false" customHeight="false" outlineLevel="0" collapsed="false">
      <c r="A270" s="4" t="s">
        <v>504</v>
      </c>
      <c r="B270" s="0" t="s">
        <v>451</v>
      </c>
      <c r="D270" s="20" t="n">
        <f aca="false">D268/D269</f>
        <v>23.3995380420639</v>
      </c>
      <c r="E270" s="20" t="n">
        <f aca="false">E268/E269</f>
        <v>49.9761189912764</v>
      </c>
      <c r="F270" s="20" t="n">
        <f aca="false">F268/F269</f>
        <v>50.6804526635981</v>
      </c>
      <c r="G270" s="20" t="n">
        <f aca="false">G268/G269</f>
        <v>61.3413635708338</v>
      </c>
    </row>
    <row r="271" customFormat="false" ht="17.15" hidden="false" customHeight="false" outlineLevel="0" collapsed="false">
      <c r="A271" s="0" t="s">
        <v>453</v>
      </c>
      <c r="B271" s="0" t="s">
        <v>91</v>
      </c>
      <c r="D271" s="21" t="n">
        <f aca="false">pkw_26</f>
        <v>450</v>
      </c>
      <c r="E271" s="21" t="n">
        <f aca="false">pkw_27</f>
        <v>600</v>
      </c>
      <c r="F271" s="21" t="n">
        <f aca="false">pkw_28</f>
        <v>680</v>
      </c>
      <c r="G271" s="21" t="n">
        <f aca="false">pkw_29</f>
        <v>720</v>
      </c>
    </row>
    <row r="272" customFormat="false" ht="17.15" hidden="false" customHeight="false" outlineLevel="0" collapsed="false">
      <c r="A272" s="0" t="s">
        <v>505</v>
      </c>
      <c r="B272" s="0" t="s">
        <v>33</v>
      </c>
      <c r="D272" s="23" t="n">
        <f aca="false">D270*D271/1000</f>
        <v>10.5297921189287</v>
      </c>
      <c r="E272" s="23" t="n">
        <f aca="false">E270*E271/1000</f>
        <v>29.9856713947658</v>
      </c>
      <c r="F272" s="23" t="n">
        <f aca="false">F270*F271/1000</f>
        <v>34.4627078112467</v>
      </c>
      <c r="G272" s="23" t="n">
        <f aca="false">G270*G271/1000</f>
        <v>44.1657817710003</v>
      </c>
    </row>
    <row r="273" customFormat="false" ht="17.15" hidden="false" customHeight="false" outlineLevel="0" collapsed="false">
      <c r="A273" s="0" t="s">
        <v>506</v>
      </c>
      <c r="B273" s="0" t="s">
        <v>138</v>
      </c>
      <c r="D273" s="22" t="n">
        <f aca="false">D272*fx</f>
        <v>336.95334780572</v>
      </c>
      <c r="E273" s="22" t="n">
        <f aca="false">E272*fx</f>
        <v>959.541484632507</v>
      </c>
      <c r="F273" s="22" t="n">
        <f aca="false">F272*fx</f>
        <v>1102.80664995989</v>
      </c>
      <c r="G273" s="22" t="n">
        <f aca="false">G272*fx</f>
        <v>1413.30501667201</v>
      </c>
    </row>
    <row r="274" customFormat="false" ht="17.15" hidden="false" customHeight="false" outlineLevel="0" collapsed="false">
      <c r="A274" s="4" t="s">
        <v>507</v>
      </c>
      <c r="B274" s="0" t="s">
        <v>53</v>
      </c>
      <c r="D274" s="17" t="n">
        <f aca="false">a26_aip/D273</f>
        <v>0.176143316327046</v>
      </c>
      <c r="K274" s="8" t="s">
        <v>508</v>
      </c>
    </row>
    <row r="275" customFormat="false" ht="17.15" hidden="false" customHeight="false" outlineLevel="0" collapsed="false">
      <c r="A275" s="4" t="s">
        <v>509</v>
      </c>
      <c r="B275" s="0" t="s">
        <v>64</v>
      </c>
      <c r="D275" s="18" t="n">
        <f aca="false">1</f>
        <v>1</v>
      </c>
      <c r="E275" s="18" t="n">
        <f aca="false">rel_27</f>
        <v>1</v>
      </c>
      <c r="F275" s="18" t="n">
        <f aca="false">rel_28</f>
        <v>1</v>
      </c>
      <c r="G275" s="18" t="n">
        <f aca="false">rel_29</f>
        <v>1</v>
      </c>
    </row>
    <row r="276" customFormat="false" ht="15" hidden="false" customHeight="false" outlineLevel="0" collapsed="false">
      <c r="A276" s="4" t="s">
        <v>459</v>
      </c>
      <c r="B276" s="0" t="s">
        <v>53</v>
      </c>
      <c r="D276" s="17" t="n">
        <f aca="false">$D$274*D275</f>
        <v>0.176143316327046</v>
      </c>
      <c r="E276" s="17" t="n">
        <f aca="false">$D$274*E275</f>
        <v>0.176143316327046</v>
      </c>
      <c r="F276" s="17" t="n">
        <f aca="false">$D$274*F275</f>
        <v>0.176143316327046</v>
      </c>
      <c r="G276" s="17" t="n">
        <f aca="false">$D$274*G275</f>
        <v>0.176143316327046</v>
      </c>
    </row>
    <row r="277" customFormat="false" ht="17.15" hidden="false" customHeight="false" outlineLevel="0" collapsed="false">
      <c r="A277" s="0" t="s">
        <v>510</v>
      </c>
      <c r="B277" s="0" t="s">
        <v>138</v>
      </c>
      <c r="C277" s="22" t="n">
        <f aca="false">a25_aip</f>
        <v>31.390065</v>
      </c>
      <c r="D277" s="22" t="n">
        <f aca="false">D273*D276</f>
        <v>59.35208013</v>
      </c>
      <c r="E277" s="22" t="n">
        <f aca="false">E273*E276</f>
        <v>169.016819256547</v>
      </c>
      <c r="F277" s="22" t="n">
        <f aca="false">F273*F276</f>
        <v>194.252020591455</v>
      </c>
      <c r="G277" s="22" t="n">
        <f aca="false">G273*G276</f>
        <v>248.944232618259</v>
      </c>
    </row>
    <row r="278" customFormat="false" ht="17.15" hidden="false" customHeight="false" outlineLevel="0" collapsed="false">
      <c r="A278" s="0" t="s">
        <v>511</v>
      </c>
      <c r="B278" s="0" t="s">
        <v>138</v>
      </c>
      <c r="C278" s="22" t="n">
        <f aca="false">a25_ai</f>
        <v>34.87785</v>
      </c>
      <c r="D278" s="22" t="n">
        <f aca="false">D277/(1-x_np)</f>
        <v>65.9467557</v>
      </c>
      <c r="E278" s="22" t="n">
        <f aca="false">E277/(1-x_np)</f>
        <v>187.796465840608</v>
      </c>
      <c r="F278" s="22" t="n">
        <f aca="false">F277/(1-x_np)</f>
        <v>215.83557843495</v>
      </c>
      <c r="G278" s="22" t="n">
        <f aca="false">G277/(1-x_np)</f>
        <v>276.604702909176</v>
      </c>
      <c r="K278" s="4" t="s">
        <v>512</v>
      </c>
    </row>
    <row r="279" customFormat="false" ht="17.15" hidden="false" customHeight="false" outlineLevel="0" collapsed="false">
      <c r="A279" s="6" t="s">
        <v>513</v>
      </c>
    </row>
    <row r="280" customFormat="false" ht="17.15" hidden="false" customHeight="false" outlineLevel="0" collapsed="false">
      <c r="A280" s="4" t="s">
        <v>514</v>
      </c>
      <c r="B280" s="0" t="s">
        <v>138</v>
      </c>
      <c r="C280" s="22" t="n">
        <f aca="false">a25_cn</f>
        <v>39.8604</v>
      </c>
      <c r="D280" s="22" t="n">
        <f aca="false">a26_cn</f>
        <v>50.0315607365079</v>
      </c>
      <c r="E280" s="22" t="n">
        <f aca="false">D280*(1+g_cn27)</f>
        <v>52.5331387733333</v>
      </c>
      <c r="F280" s="22" t="n">
        <f aca="false">E280*(1+g_cn28)</f>
        <v>55.159795712</v>
      </c>
      <c r="G280" s="22" t="n">
        <f aca="false">F280*(1+g_cn29)</f>
        <v>57.9177854976</v>
      </c>
      <c r="K280" s="4" t="s">
        <v>515</v>
      </c>
    </row>
    <row r="281" customFormat="false" ht="17.15" hidden="false" customHeight="false" outlineLevel="0" collapsed="false">
      <c r="A281" s="4" t="s">
        <v>431</v>
      </c>
      <c r="B281" s="0" t="s">
        <v>138</v>
      </c>
      <c r="C281" s="22" t="n">
        <f aca="false">C278+C280</f>
        <v>74.73825</v>
      </c>
      <c r="D281" s="22" t="n">
        <f aca="false">D278+D280</f>
        <v>115.978316436508</v>
      </c>
      <c r="E281" s="22" t="n">
        <f aca="false">E278+E280</f>
        <v>240.329604613941</v>
      </c>
      <c r="F281" s="22" t="n">
        <f aca="false">F278+F280</f>
        <v>270.99537414695</v>
      </c>
      <c r="G281" s="22" t="n">
        <f aca="false">G278+G280</f>
        <v>334.522488406776</v>
      </c>
      <c r="K281" s="4" t="s">
        <v>516</v>
      </c>
    </row>
    <row r="282" customFormat="false" ht="15" hidden="false" customHeight="false" outlineLevel="0" collapsed="false">
      <c r="A282" s="4" t="s">
        <v>435</v>
      </c>
      <c r="B282" s="0" t="s">
        <v>138</v>
      </c>
      <c r="C282" s="22" t="n">
        <f aca="false">a25_op</f>
        <v>28.23445</v>
      </c>
      <c r="D282" s="22" t="n">
        <f aca="false">a26_op</f>
        <v>32.8693205828571</v>
      </c>
      <c r="E282" s="22" t="n">
        <f aca="false">D282*(1+g_op27)</f>
        <v>34.512786612</v>
      </c>
      <c r="F282" s="22" t="n">
        <f aca="false">E282*(1+g_op28)</f>
        <v>36.2384259426</v>
      </c>
      <c r="G282" s="22" t="n">
        <f aca="false">F282*(1+g_op29)</f>
        <v>38.05034723973</v>
      </c>
    </row>
    <row r="283" customFormat="false" ht="15" hidden="false" customHeight="false" outlineLevel="0" collapsed="false">
      <c r="A283" s="4" t="s">
        <v>436</v>
      </c>
      <c r="B283" s="0" t="s">
        <v>138</v>
      </c>
      <c r="C283" s="22" t="n">
        <f aca="false">a25_ic</f>
        <v>63.1123</v>
      </c>
      <c r="D283" s="22" t="n">
        <f aca="false">a26_ic</f>
        <v>63.8838329806349</v>
      </c>
      <c r="E283" s="22" t="n">
        <f aca="false">D283*(1+g_ic27)</f>
        <v>63.8838329806349</v>
      </c>
      <c r="F283" s="22" t="n">
        <f aca="false">E283*(1+g_ic28)</f>
        <v>63.8838329806349</v>
      </c>
      <c r="G283" s="22" t="n">
        <f aca="false">F283*(1+g_ic29)</f>
        <v>63.8838329806349</v>
      </c>
    </row>
    <row r="284" customFormat="false" ht="17.15" hidden="false" customHeight="false" outlineLevel="0" collapsed="false">
      <c r="A284" s="4" t="s">
        <v>517</v>
      </c>
      <c r="B284" s="0" t="s">
        <v>138</v>
      </c>
      <c r="C284" s="22" t="n">
        <f aca="false">C280+C282+C283</f>
        <v>131.20715</v>
      </c>
      <c r="D284" s="22" t="n">
        <f aca="false">D280+D282+D283</f>
        <v>146.7847143</v>
      </c>
      <c r="E284" s="22" t="n">
        <f aca="false">E280+E282+E283</f>
        <v>150.929758365968</v>
      </c>
      <c r="F284" s="22" t="n">
        <f aca="false">F280+F282+F283</f>
        <v>155.282054635235</v>
      </c>
      <c r="G284" s="22" t="n">
        <f aca="false">G280+G282+G283</f>
        <v>159.851965717965</v>
      </c>
    </row>
    <row r="285" customFormat="false" ht="17.15" hidden="false" customHeight="false" outlineLevel="0" collapsed="false">
      <c r="A285" s="4" t="s">
        <v>383</v>
      </c>
      <c r="B285" s="0" t="s">
        <v>138</v>
      </c>
      <c r="C285" s="22" t="n">
        <f aca="false">C281+C282+C283</f>
        <v>166.085</v>
      </c>
      <c r="D285" s="22" t="n">
        <f aca="false">D281+D282+D283</f>
        <v>212.73147</v>
      </c>
      <c r="E285" s="22" t="n">
        <f aca="false">E281+E282+E283</f>
        <v>338.726224206576</v>
      </c>
      <c r="F285" s="22" t="n">
        <f aca="false">F281+F282+F283</f>
        <v>371.117633070185</v>
      </c>
      <c r="G285" s="22" t="n">
        <f aca="false">G281+G282+G283</f>
        <v>436.456668627141</v>
      </c>
      <c r="H285" s="24" t="n">
        <f aca="false">G285*(1+H287)</f>
        <v>493.504515952081</v>
      </c>
      <c r="I285" s="24" t="n">
        <f aca="false">H285*(1+I287)</f>
        <v>535.626800250376</v>
      </c>
      <c r="J285" s="24" t="n">
        <f aca="false">I285*(1+J287)</f>
        <v>557.051872260391</v>
      </c>
      <c r="K285" s="8" t="s">
        <v>518</v>
      </c>
    </row>
    <row r="286" customFormat="false" ht="17.15" hidden="false" customHeight="false" outlineLevel="0" collapsed="false">
      <c r="A286" s="4" t="s">
        <v>519</v>
      </c>
      <c r="B286" s="0" t="s">
        <v>138</v>
      </c>
      <c r="C286" s="28" t="n">
        <f aca="false">C285-a25_rev</f>
        <v>0</v>
      </c>
      <c r="D286" s="28" t="n">
        <f aca="false">D285-a26_rev</f>
        <v>0</v>
      </c>
    </row>
    <row r="287" customFormat="false" ht="15" hidden="false" customHeight="false" outlineLevel="0" collapsed="false">
      <c r="A287" s="4" t="s">
        <v>520</v>
      </c>
      <c r="B287" s="0" t="s">
        <v>53</v>
      </c>
      <c r="D287" s="17" t="n">
        <f aca="false">D285/C285-1</f>
        <v>0.280859017972725</v>
      </c>
      <c r="E287" s="17" t="n">
        <f aca="false">E285/D285-1</f>
        <v>0.592271346625752</v>
      </c>
      <c r="F287" s="17" t="n">
        <f aca="false">F285/E285-1</f>
        <v>0.0956271069341685</v>
      </c>
      <c r="G287" s="17" t="n">
        <f aca="false">G285/F285-1</f>
        <v>0.176060175358467</v>
      </c>
      <c r="H287" s="25" t="n">
        <f aca="false">$G287+(fade_gB-$G287)*1/3</f>
        <v>0.130706783572311</v>
      </c>
      <c r="I287" s="25" t="n">
        <f aca="false">$G287+(fade_gB-$G287)*2/3</f>
        <v>0.0853533917861555</v>
      </c>
      <c r="J287" s="25" t="n">
        <f aca="false">$G287+(fade_gB-$G287)*3/3</f>
        <v>0.04</v>
      </c>
    </row>
    <row r="288" customFormat="false" ht="17.15" hidden="false" customHeight="false" outlineLevel="0" collapsed="false">
      <c r="A288" s="0" t="s">
        <v>521</v>
      </c>
      <c r="B288" s="0" t="s">
        <v>53</v>
      </c>
      <c r="C288" s="17" t="n">
        <f aca="false">C278/C285</f>
        <v>0.21</v>
      </c>
      <c r="D288" s="17" t="n">
        <f aca="false">D278/D285</f>
        <v>0.31</v>
      </c>
      <c r="E288" s="17" t="n">
        <f aca="false">E278/E285</f>
        <v>0.55441962393227</v>
      </c>
      <c r="F288" s="17" t="n">
        <f aca="false">F278/F285</f>
        <v>0.581582655206609</v>
      </c>
      <c r="G288" s="17" t="n">
        <f aca="false">G278/G285</f>
        <v>0.633750662532495</v>
      </c>
    </row>
    <row r="289" customFormat="false" ht="17.15" hidden="false" customHeight="false" outlineLevel="0" collapsed="false">
      <c r="A289" s="4" t="s">
        <v>470</v>
      </c>
      <c r="B289" s="0" t="s">
        <v>471</v>
      </c>
      <c r="D289" s="21" t="n">
        <f aca="false">D278/fx/D270*1000</f>
        <v>88.0716581635229</v>
      </c>
      <c r="E289" s="21" t="n">
        <f aca="false">E278/fx/E270*1000</f>
        <v>117.428877551364</v>
      </c>
      <c r="F289" s="21" t="n">
        <f aca="false">F278/fx/F270*1000</f>
        <v>133.086061224879</v>
      </c>
      <c r="G289" s="21" t="n">
        <f aca="false">G278/fx/G270*1000</f>
        <v>140.914653061637</v>
      </c>
    </row>
    <row r="290" customFormat="false" ht="17.15" hidden="false" customHeight="false" outlineLevel="0" collapsed="false">
      <c r="A290" s="6" t="s">
        <v>522</v>
      </c>
    </row>
    <row r="291" customFormat="false" ht="17.15" hidden="false" customHeight="false" outlineLevel="0" collapsed="false">
      <c r="A291" s="4" t="s">
        <v>523</v>
      </c>
      <c r="B291" s="0" t="s">
        <v>53</v>
      </c>
      <c r="D291" s="17" t="n">
        <f aca="false">a26_gp/D285-d_ai*D288</f>
        <v>0.216982337009188</v>
      </c>
      <c r="K291" s="8" t="s">
        <v>524</v>
      </c>
    </row>
    <row r="292" customFormat="false" ht="17.15" hidden="false" customHeight="false" outlineLevel="0" collapsed="false">
      <c r="A292" s="0" t="s">
        <v>525</v>
      </c>
      <c r="B292" s="0" t="s">
        <v>53</v>
      </c>
      <c r="D292" s="17" t="n">
        <f aca="false">D291+d_ai</f>
        <v>0.336982337009188</v>
      </c>
      <c r="E292" s="17" t="n">
        <f aca="false">$D$292+gmu_27</f>
        <v>0.336982337009188</v>
      </c>
      <c r="F292" s="17" t="n">
        <f aca="false">$D$292+gmu_28</f>
        <v>0.336982337009188</v>
      </c>
      <c r="G292" s="17" t="n">
        <f aca="false">$D$292+gmu_29</f>
        <v>0.336982337009188</v>
      </c>
      <c r="K292" s="4" t="s">
        <v>526</v>
      </c>
    </row>
    <row r="293" customFormat="false" ht="15" hidden="false" customHeight="false" outlineLevel="0" collapsed="false">
      <c r="A293" s="4" t="s">
        <v>387</v>
      </c>
      <c r="B293" s="0" t="s">
        <v>138</v>
      </c>
      <c r="C293" s="22" t="n">
        <f aca="false">a25_gp</f>
        <v>38.039</v>
      </c>
      <c r="D293" s="22" t="n">
        <f aca="false">a26_gp</f>
        <v>54.0725822</v>
      </c>
      <c r="E293" s="22" t="n">
        <f aca="false">E278*E292+E284*$D$291</f>
        <v>96.033183635514</v>
      </c>
      <c r="F293" s="22" t="n">
        <f aca="false">F278*F292+F284*$D$291</f>
        <v>106.426240741081</v>
      </c>
      <c r="G293" s="22" t="n">
        <f aca="false">G278*G292+G284*$D$291</f>
        <v>127.895952311063</v>
      </c>
    </row>
    <row r="294" customFormat="false" ht="15" hidden="false" customHeight="false" outlineLevel="0" collapsed="false">
      <c r="A294" s="4" t="s">
        <v>390</v>
      </c>
      <c r="B294" s="0" t="s">
        <v>53</v>
      </c>
      <c r="C294" s="17" t="n">
        <f aca="false">C293/C285</f>
        <v>0.229033326308818</v>
      </c>
      <c r="D294" s="17" t="n">
        <f aca="false">D293/D285</f>
        <v>0.254182337009188</v>
      </c>
      <c r="E294" s="17" t="n">
        <f aca="false">E293/E285</f>
        <v>0.283512691881061</v>
      </c>
      <c r="F294" s="17" t="n">
        <f aca="false">F293/F285</f>
        <v>0.286772255633981</v>
      </c>
      <c r="G294" s="17" t="n">
        <f aca="false">G293/G285</f>
        <v>0.293032416513088</v>
      </c>
    </row>
    <row r="295" customFormat="false" ht="15" hidden="false" customHeight="false" outlineLevel="0" collapsed="false">
      <c r="A295" s="4" t="s">
        <v>527</v>
      </c>
      <c r="B295" s="0" t="s">
        <v>138</v>
      </c>
      <c r="C295" s="22" t="n">
        <f aca="false">a25_opx</f>
        <v>21.301</v>
      </c>
      <c r="D295" s="22" t="n">
        <f aca="false">a26_opx</f>
        <v>25.21033346</v>
      </c>
      <c r="E295" s="22" t="n">
        <f aca="false">D295*(1+MAX(0,phi*E287))</f>
        <v>35.6622841630669</v>
      </c>
      <c r="F295" s="22" t="n">
        <f aca="false">E295*(1+MAX(0,phi*F287))</f>
        <v>38.0494809058917</v>
      </c>
      <c r="G295" s="22" t="n">
        <f aca="false">F295*(1+MAX(0,phi*G287))</f>
        <v>42.7387797023047</v>
      </c>
    </row>
    <row r="296" customFormat="false" ht="15" hidden="false" customHeight="false" outlineLevel="0" collapsed="false">
      <c r="A296" s="4" t="s">
        <v>392</v>
      </c>
      <c r="B296" s="0" t="s">
        <v>138</v>
      </c>
      <c r="C296" s="22" t="n">
        <f aca="false">C295</f>
        <v>21.301</v>
      </c>
      <c r="D296" s="22" t="n">
        <f aca="false">D295</f>
        <v>25.21033346</v>
      </c>
      <c r="E296" s="22" t="n">
        <f aca="false">E295+0*E285</f>
        <v>35.6622841630669</v>
      </c>
      <c r="F296" s="22" t="n">
        <f aca="false">F295+0*F285</f>
        <v>38.0494809058917</v>
      </c>
      <c r="G296" s="22" t="n">
        <f aca="false">G295+0*G285</f>
        <v>42.7387797023047</v>
      </c>
    </row>
    <row r="297" customFormat="false" ht="15" hidden="false" customHeight="false" outlineLevel="0" collapsed="false">
      <c r="A297" s="4" t="s">
        <v>395</v>
      </c>
      <c r="B297" s="0" t="s">
        <v>138</v>
      </c>
      <c r="C297" s="22" t="n">
        <f aca="false">C293-C296</f>
        <v>16.738</v>
      </c>
      <c r="D297" s="22" t="n">
        <f aca="false">D293-D296</f>
        <v>28.86224874</v>
      </c>
      <c r="E297" s="22" t="n">
        <f aca="false">E293-E296</f>
        <v>60.3708994724471</v>
      </c>
      <c r="F297" s="22" t="n">
        <f aca="false">F293-F296</f>
        <v>68.3767598351895</v>
      </c>
      <c r="G297" s="22" t="n">
        <f aca="false">G293-G296</f>
        <v>85.1571726087584</v>
      </c>
    </row>
    <row r="298" customFormat="false" ht="15" hidden="false" customHeight="false" outlineLevel="0" collapsed="false">
      <c r="A298" s="4" t="s">
        <v>397</v>
      </c>
      <c r="B298" s="0" t="s">
        <v>53</v>
      </c>
      <c r="C298" s="17" t="n">
        <f aca="false">C297/C285</f>
        <v>0.100779721227083</v>
      </c>
      <c r="D298" s="17" t="n">
        <f aca="false">D297/D285</f>
        <v>0.135674560703219</v>
      </c>
      <c r="E298" s="17" t="n">
        <f aca="false">E297/E285</f>
        <v>0.178229186753575</v>
      </c>
      <c r="F298" s="17" t="n">
        <f aca="false">F297/F285</f>
        <v>0.184245516090199</v>
      </c>
      <c r="G298" s="17" t="n">
        <f aca="false">G297/G285</f>
        <v>0.195110256595729</v>
      </c>
    </row>
    <row r="299" customFormat="false" ht="15" hidden="false" customHeight="false" outlineLevel="0" collapsed="false">
      <c r="A299" s="4" t="s">
        <v>399</v>
      </c>
      <c r="B299" s="0" t="s">
        <v>138</v>
      </c>
      <c r="C299" s="22" t="n">
        <f aca="false">a25_nop</f>
        <v>2.9762895</v>
      </c>
      <c r="D299" s="22" t="n">
        <f aca="false">a26_nop</f>
        <v>3.839</v>
      </c>
      <c r="E299" s="22" t="n">
        <f aca="false">nop_f</f>
        <v>3.5</v>
      </c>
      <c r="F299" s="22" t="n">
        <f aca="false">nop_f</f>
        <v>3.5</v>
      </c>
      <c r="G299" s="22" t="n">
        <f aca="false">nop_f</f>
        <v>3.5</v>
      </c>
    </row>
    <row r="300" customFormat="false" ht="17.15" hidden="false" customHeight="false" outlineLevel="0" collapsed="false">
      <c r="A300" s="4" t="s">
        <v>528</v>
      </c>
      <c r="B300" s="0" t="s">
        <v>53</v>
      </c>
      <c r="C300" s="17" t="n">
        <f aca="false">a25_ni/a25_pt</f>
        <v>0.766753475949514</v>
      </c>
      <c r="D300" s="17" t="n">
        <f aca="false">a26_ni/a26_pt</f>
        <v>0.759431002022174</v>
      </c>
      <c r="E300" s="17" t="n">
        <f aca="false">nir_f</f>
        <v>0.76</v>
      </c>
      <c r="F300" s="17" t="n">
        <f aca="false">nir_f</f>
        <v>0.76</v>
      </c>
      <c r="G300" s="17" t="n">
        <f aca="false">nir_f</f>
        <v>0.76</v>
      </c>
    </row>
    <row r="301" customFormat="false" ht="15" hidden="false" customHeight="false" outlineLevel="0" collapsed="false">
      <c r="A301" s="4" t="s">
        <v>404</v>
      </c>
      <c r="B301" s="0" t="s">
        <v>138</v>
      </c>
      <c r="C301" s="22" t="n">
        <f aca="false">a25_ni</f>
        <v>15.116</v>
      </c>
      <c r="D301" s="22" t="n">
        <f aca="false">a26_ni</f>
        <v>24.8343420979946</v>
      </c>
      <c r="E301" s="22" t="n">
        <f aca="false">(E297+E299)*E300</f>
        <v>48.5418835990598</v>
      </c>
      <c r="F301" s="22" t="n">
        <f aca="false">(F297+F299)*F300</f>
        <v>54.626337474744</v>
      </c>
      <c r="G301" s="22" t="n">
        <f aca="false">(G297+G299)*G300</f>
        <v>67.3794511826564</v>
      </c>
      <c r="H301" s="24" t="n">
        <f aca="false">H285*H305</f>
        <v>68.4141151826948</v>
      </c>
      <c r="I301" s="24" t="n">
        <f aca="false">I285*I305</f>
        <v>65.8178135300182</v>
      </c>
      <c r="J301" s="24" t="n">
        <f aca="false">J285*J305</f>
        <v>59.6774205044677</v>
      </c>
    </row>
    <row r="302" customFormat="false" ht="15" hidden="false" customHeight="false" outlineLevel="0" collapsed="false">
      <c r="A302" s="4" t="s">
        <v>529</v>
      </c>
      <c r="B302" s="4" t="s">
        <v>231</v>
      </c>
      <c r="C302" s="27" t="n">
        <f aca="false">a25_sh</f>
        <v>2.27650602409639</v>
      </c>
      <c r="D302" s="27" t="n">
        <f aca="false">a26_sh</f>
        <v>2.26895833333333</v>
      </c>
      <c r="E302" s="27" t="n">
        <f aca="false">D302*(1+sh_g)</f>
        <v>2.26895833333333</v>
      </c>
      <c r="F302" s="27" t="n">
        <f aca="false">E302*(1+sh_g)</f>
        <v>2.26895833333333</v>
      </c>
      <c r="G302" s="27" t="n">
        <f aca="false">F302*(1+sh_g)</f>
        <v>2.26895833333333</v>
      </c>
      <c r="H302" s="29" t="n">
        <f aca="false">G302*(1+sh_g)</f>
        <v>2.26895833333333</v>
      </c>
      <c r="I302" s="29" t="n">
        <f aca="false">H302*(1+sh_g)</f>
        <v>2.26895833333333</v>
      </c>
      <c r="J302" s="29" t="n">
        <f aca="false">I302*(1+sh_g)</f>
        <v>2.26895833333333</v>
      </c>
    </row>
    <row r="303" customFormat="false" ht="15" hidden="false" customHeight="false" outlineLevel="0" collapsed="false">
      <c r="A303" s="0" t="s">
        <v>410</v>
      </c>
      <c r="B303" s="0" t="s">
        <v>264</v>
      </c>
      <c r="C303" s="23" t="n">
        <f aca="false">C301/C302</f>
        <v>6.64</v>
      </c>
      <c r="D303" s="23" t="n">
        <f aca="false">D301/D302</f>
        <v>10.9452614149641</v>
      </c>
      <c r="E303" s="23" t="n">
        <f aca="false">E301/E302</f>
        <v>21.3939070127157</v>
      </c>
      <c r="F303" s="23" t="n">
        <f aca="false">F301/F302</f>
        <v>24.0755137157994</v>
      </c>
      <c r="G303" s="23" t="n">
        <f aca="false">G301/G302</f>
        <v>29.6962047265403</v>
      </c>
      <c r="H303" s="30" t="n">
        <f aca="false">H301/H302</f>
        <v>30.152213100444</v>
      </c>
      <c r="I303" s="30" t="n">
        <f aca="false">I301/I302</f>
        <v>29.0079427916708</v>
      </c>
      <c r="J303" s="30" t="n">
        <f aca="false">J301/J302</f>
        <v>26.3016819779125</v>
      </c>
    </row>
    <row r="304" customFormat="false" ht="17.15" hidden="false" customHeight="false" outlineLevel="0" collapsed="false">
      <c r="A304" s="0" t="s">
        <v>530</v>
      </c>
      <c r="B304" s="0" t="s">
        <v>53</v>
      </c>
      <c r="D304" s="17" t="n">
        <f aca="false">D303/C303-1</f>
        <v>0.648382743217484</v>
      </c>
      <c r="E304" s="17" t="n">
        <f aca="false">E303/D303-1</f>
        <v>0.954627322419773</v>
      </c>
      <c r="F304" s="17" t="n">
        <f aca="false">F303/E303-1</f>
        <v>0.12534441238292</v>
      </c>
      <c r="G304" s="17" t="n">
        <f aca="false">G303/F303-1</f>
        <v>0.233460896290341</v>
      </c>
      <c r="H304" s="25" t="n">
        <f aca="false">H303/G303-1</f>
        <v>0.0153557795719299</v>
      </c>
      <c r="I304" s="25" t="n">
        <f aca="false">I303/H303-1</f>
        <v>-0.0379497950933584</v>
      </c>
      <c r="J304" s="25" t="n">
        <f aca="false">J303/I303-1</f>
        <v>-0.093293786229315</v>
      </c>
    </row>
    <row r="305" customFormat="false" ht="17.15" hidden="false" customHeight="false" outlineLevel="0" collapsed="false">
      <c r="A305" s="4" t="s">
        <v>531</v>
      </c>
      <c r="B305" s="0" t="s">
        <v>53</v>
      </c>
      <c r="C305" s="17" t="n">
        <f aca="false">C301/C285</f>
        <v>0.0910136375952073</v>
      </c>
      <c r="D305" s="17" t="n">
        <f aca="false">D301/D285</f>
        <v>0.116740330417472</v>
      </c>
      <c r="E305" s="17" t="n">
        <f aca="false">E301/E285</f>
        <v>0.143307131630458</v>
      </c>
      <c r="F305" s="17" t="n">
        <f aca="false">F301/F285</f>
        <v>0.147194130935873</v>
      </c>
      <c r="G305" s="17" t="n">
        <f aca="false">G301/G285</f>
        <v>0.154378328997919</v>
      </c>
      <c r="H305" s="25" t="n">
        <f aca="false">$G305+(fade_mB-$G305)*1/3</f>
        <v>0.138629157325356</v>
      </c>
      <c r="I305" s="25" t="n">
        <f aca="false">$G305+(fade_mB-$G305)*2/3</f>
        <v>0.122879985652794</v>
      </c>
      <c r="J305" s="25" t="n">
        <f aca="false">$G305+(fade_mB-$G305)*3/3</f>
        <v>0.107130813980232</v>
      </c>
    </row>
    <row r="308" customFormat="false" ht="17.15" hidden="false" customHeight="false" outlineLevel="0" collapsed="false">
      <c r="A308" s="1" t="s">
        <v>866</v>
      </c>
    </row>
    <row r="309" customFormat="false" ht="17.15" hidden="false" customHeight="false" outlineLevel="0" collapsed="false">
      <c r="A309" s="5" t="s">
        <v>22</v>
      </c>
      <c r="B309" s="5" t="s">
        <v>23</v>
      </c>
      <c r="C309" s="14" t="s">
        <v>378</v>
      </c>
      <c r="D309" s="14" t="s">
        <v>476</v>
      </c>
      <c r="E309" s="14" t="s">
        <v>477</v>
      </c>
      <c r="F309" s="14" t="s">
        <v>478</v>
      </c>
      <c r="G309" s="14" t="s">
        <v>479</v>
      </c>
      <c r="H309" s="14" t="s">
        <v>480</v>
      </c>
      <c r="I309" s="14" t="s">
        <v>481</v>
      </c>
      <c r="J309" s="14" t="s">
        <v>482</v>
      </c>
      <c r="K309" s="5" t="s">
        <v>449</v>
      </c>
    </row>
    <row r="310" customFormat="false" ht="17.15" hidden="false" customHeight="false" outlineLevel="0" collapsed="false">
      <c r="A310" s="6" t="s">
        <v>501</v>
      </c>
    </row>
    <row r="311" customFormat="false" ht="17.15" hidden="false" customHeight="false" outlineLevel="0" collapsed="false">
      <c r="A311" s="0" t="s">
        <v>502</v>
      </c>
      <c r="B311" s="0" t="s">
        <v>33</v>
      </c>
      <c r="D311" s="23" t="n">
        <f aca="false">itc_26*1</f>
        <v>781.872916666666</v>
      </c>
      <c r="E311" s="23" t="n">
        <f aca="false">itc_27*1*1</f>
        <v>1565.35</v>
      </c>
      <c r="F311" s="23" t="n">
        <f aca="false">itc_28*um28_B*1</f>
        <v>1587.41111111111</v>
      </c>
      <c r="G311" s="23" t="n">
        <f aca="false">itc_29*um29_B*1</f>
        <v>1921.33173611111</v>
      </c>
    </row>
    <row r="312" customFormat="false" ht="17.15" hidden="false" customHeight="false" outlineLevel="0" collapsed="false">
      <c r="A312" s="4" t="s">
        <v>503</v>
      </c>
      <c r="B312" s="0" t="s">
        <v>33</v>
      </c>
      <c r="D312" s="23" t="n">
        <f aca="false">itpg_gb*(1-vr26)+itpg_vr*vr26</f>
        <v>33.41403216</v>
      </c>
      <c r="E312" s="23" t="n">
        <f aca="false">itpg_vr</f>
        <v>37.586352</v>
      </c>
      <c r="F312" s="23" t="n">
        <f aca="false">itpg_vr</f>
        <v>37.586352</v>
      </c>
      <c r="G312" s="23" t="n">
        <f aca="false">itpg_vr</f>
        <v>37.586352</v>
      </c>
    </row>
    <row r="313" customFormat="false" ht="17.15" hidden="false" customHeight="false" outlineLevel="0" collapsed="false">
      <c r="A313" s="4" t="s">
        <v>504</v>
      </c>
      <c r="B313" s="0" t="s">
        <v>451</v>
      </c>
      <c r="D313" s="20" t="n">
        <f aca="false">D311/D312</f>
        <v>23.3995380420639</v>
      </c>
      <c r="E313" s="20" t="n">
        <f aca="false">E311/E312</f>
        <v>41.6467658260637</v>
      </c>
      <c r="F313" s="20" t="n">
        <f aca="false">F311/F312</f>
        <v>42.2337105529984</v>
      </c>
      <c r="G313" s="20" t="n">
        <f aca="false">G311/G312</f>
        <v>51.1178029756948</v>
      </c>
    </row>
    <row r="314" customFormat="false" ht="17.15" hidden="false" customHeight="false" outlineLevel="0" collapsed="false">
      <c r="A314" s="0" t="s">
        <v>453</v>
      </c>
      <c r="B314" s="0" t="s">
        <v>91</v>
      </c>
      <c r="D314" s="21" t="n">
        <f aca="false">pkw_26</f>
        <v>450</v>
      </c>
      <c r="E314" s="21" t="n">
        <f aca="false">pkw_27</f>
        <v>600</v>
      </c>
      <c r="F314" s="21" t="n">
        <f aca="false">pkw_28</f>
        <v>680</v>
      </c>
      <c r="G314" s="21" t="n">
        <f aca="false">pkw_29</f>
        <v>720</v>
      </c>
    </row>
    <row r="315" customFormat="false" ht="17.15" hidden="false" customHeight="false" outlineLevel="0" collapsed="false">
      <c r="A315" s="0" t="s">
        <v>505</v>
      </c>
      <c r="B315" s="0" t="s">
        <v>33</v>
      </c>
      <c r="D315" s="23" t="n">
        <f aca="false">D313*D314/1000</f>
        <v>10.5297921189287</v>
      </c>
      <c r="E315" s="23" t="n">
        <f aca="false">E313*E314/1000</f>
        <v>24.9880594956382</v>
      </c>
      <c r="F315" s="23" t="n">
        <f aca="false">F313*F314/1000</f>
        <v>28.7189231760389</v>
      </c>
      <c r="G315" s="23" t="n">
        <f aca="false">G313*G314/1000</f>
        <v>36.8048181425003</v>
      </c>
    </row>
    <row r="316" customFormat="false" ht="17.15" hidden="false" customHeight="false" outlineLevel="0" collapsed="false">
      <c r="A316" s="0" t="s">
        <v>506</v>
      </c>
      <c r="B316" s="0" t="s">
        <v>138</v>
      </c>
      <c r="D316" s="22" t="n">
        <f aca="false">D315*fx</f>
        <v>336.95334780572</v>
      </c>
      <c r="E316" s="22" t="n">
        <f aca="false">E315*fx</f>
        <v>799.617903860422</v>
      </c>
      <c r="F316" s="22" t="n">
        <f aca="false">F315*fx</f>
        <v>919.005541633245</v>
      </c>
      <c r="G316" s="22" t="n">
        <f aca="false">G315*fx</f>
        <v>1177.75418056001</v>
      </c>
    </row>
    <row r="317" customFormat="false" ht="17.15" hidden="false" customHeight="false" outlineLevel="0" collapsed="false">
      <c r="A317" s="4" t="s">
        <v>507</v>
      </c>
      <c r="B317" s="0" t="s">
        <v>53</v>
      </c>
      <c r="D317" s="17" t="n">
        <f aca="false">a26_aip/D316</f>
        <v>0.176143316327046</v>
      </c>
      <c r="K317" s="8" t="s">
        <v>508</v>
      </c>
    </row>
    <row r="318" customFormat="false" ht="17.15" hidden="false" customHeight="false" outlineLevel="0" collapsed="false">
      <c r="A318" s="4" t="s">
        <v>509</v>
      </c>
      <c r="B318" s="0" t="s">
        <v>64</v>
      </c>
      <c r="D318" s="18" t="n">
        <f aca="false">1</f>
        <v>1</v>
      </c>
      <c r="E318" s="18" t="n">
        <f aca="false">rel_27</f>
        <v>1</v>
      </c>
      <c r="F318" s="18" t="n">
        <f aca="false">rel_28</f>
        <v>1</v>
      </c>
      <c r="G318" s="18" t="n">
        <f aca="false">rel_29</f>
        <v>1</v>
      </c>
    </row>
    <row r="319" customFormat="false" ht="15" hidden="false" customHeight="false" outlineLevel="0" collapsed="false">
      <c r="A319" s="4" t="s">
        <v>459</v>
      </c>
      <c r="B319" s="0" t="s">
        <v>53</v>
      </c>
      <c r="D319" s="17" t="n">
        <f aca="false">$D$317*D318</f>
        <v>0.176143316327046</v>
      </c>
      <c r="E319" s="17" t="n">
        <f aca="false">$D$317*E318</f>
        <v>0.176143316327046</v>
      </c>
      <c r="F319" s="17" t="n">
        <f aca="false">$D$317*F318</f>
        <v>0.176143316327046</v>
      </c>
      <c r="G319" s="17" t="n">
        <f aca="false">$D$317*G318</f>
        <v>0.176143316327046</v>
      </c>
    </row>
    <row r="320" customFormat="false" ht="17.15" hidden="false" customHeight="false" outlineLevel="0" collapsed="false">
      <c r="A320" s="0" t="s">
        <v>510</v>
      </c>
      <c r="B320" s="0" t="s">
        <v>138</v>
      </c>
      <c r="C320" s="22" t="n">
        <f aca="false">a25_aip</f>
        <v>31.390065</v>
      </c>
      <c r="D320" s="22" t="n">
        <f aca="false">D316*D319</f>
        <v>59.35208013</v>
      </c>
      <c r="E320" s="22" t="n">
        <f aca="false">E316*E319</f>
        <v>140.847349380456</v>
      </c>
      <c r="F320" s="22" t="n">
        <f aca="false">F316*F319</f>
        <v>161.876683826213</v>
      </c>
      <c r="G320" s="22" t="n">
        <f aca="false">G316*G319</f>
        <v>207.453527181882</v>
      </c>
    </row>
    <row r="321" customFormat="false" ht="17.15" hidden="false" customHeight="false" outlineLevel="0" collapsed="false">
      <c r="A321" s="0" t="s">
        <v>511</v>
      </c>
      <c r="B321" s="0" t="s">
        <v>138</v>
      </c>
      <c r="C321" s="22" t="n">
        <f aca="false">a25_ai</f>
        <v>34.87785</v>
      </c>
      <c r="D321" s="22" t="n">
        <f aca="false">D320/(1-x_np)</f>
        <v>65.9467557</v>
      </c>
      <c r="E321" s="22" t="n">
        <f aca="false">E320/(1-x_np)</f>
        <v>156.497054867173</v>
      </c>
      <c r="F321" s="22" t="n">
        <f aca="false">F320/(1-x_np)</f>
        <v>179.862982029125</v>
      </c>
      <c r="G321" s="22" t="n">
        <f aca="false">G320/(1-x_np)</f>
        <v>230.50391909098</v>
      </c>
      <c r="K321" s="4" t="s">
        <v>512</v>
      </c>
    </row>
    <row r="322" customFormat="false" ht="17.15" hidden="false" customHeight="false" outlineLevel="0" collapsed="false">
      <c r="A322" s="6" t="s">
        <v>513</v>
      </c>
    </row>
    <row r="323" customFormat="false" ht="17.15" hidden="false" customHeight="false" outlineLevel="0" collapsed="false">
      <c r="A323" s="4" t="s">
        <v>514</v>
      </c>
      <c r="B323" s="0" t="s">
        <v>138</v>
      </c>
      <c r="C323" s="22" t="n">
        <f aca="false">a25_cn</f>
        <v>39.8604</v>
      </c>
      <c r="D323" s="22" t="n">
        <f aca="false">a26_cn</f>
        <v>50.0315607365079</v>
      </c>
      <c r="E323" s="22" t="n">
        <f aca="false">D323*(1+g_cn27)</f>
        <v>52.5331387733333</v>
      </c>
      <c r="F323" s="22" t="n">
        <f aca="false">E323*(1+g_cn28)</f>
        <v>55.159795712</v>
      </c>
      <c r="G323" s="22" t="n">
        <f aca="false">F323*(1+g_cn29)</f>
        <v>57.9177854976</v>
      </c>
      <c r="K323" s="4" t="s">
        <v>515</v>
      </c>
    </row>
    <row r="324" customFormat="false" ht="17.15" hidden="false" customHeight="false" outlineLevel="0" collapsed="false">
      <c r="A324" s="4" t="s">
        <v>431</v>
      </c>
      <c r="B324" s="0" t="s">
        <v>138</v>
      </c>
      <c r="C324" s="22" t="n">
        <f aca="false">C321+C323</f>
        <v>74.73825</v>
      </c>
      <c r="D324" s="22" t="n">
        <f aca="false">D321+D323</f>
        <v>115.978316436508</v>
      </c>
      <c r="E324" s="22" t="n">
        <f aca="false">E321+E323</f>
        <v>209.030193640506</v>
      </c>
      <c r="F324" s="22" t="n">
        <f aca="false">F321+F323</f>
        <v>235.022777741125</v>
      </c>
      <c r="G324" s="22" t="n">
        <f aca="false">G321+G323</f>
        <v>288.42170458858</v>
      </c>
      <c r="K324" s="4" t="s">
        <v>516</v>
      </c>
    </row>
    <row r="325" customFormat="false" ht="15" hidden="false" customHeight="false" outlineLevel="0" collapsed="false">
      <c r="A325" s="4" t="s">
        <v>435</v>
      </c>
      <c r="B325" s="0" t="s">
        <v>138</v>
      </c>
      <c r="C325" s="22" t="n">
        <f aca="false">a25_op</f>
        <v>28.23445</v>
      </c>
      <c r="D325" s="22" t="n">
        <f aca="false">a26_op</f>
        <v>32.8693205828571</v>
      </c>
      <c r="E325" s="22" t="n">
        <f aca="false">D325*(1+g_op27)</f>
        <v>34.512786612</v>
      </c>
      <c r="F325" s="22" t="n">
        <f aca="false">E325*(1+g_op28)</f>
        <v>36.2384259426</v>
      </c>
      <c r="G325" s="22" t="n">
        <f aca="false">F325*(1+g_op29)</f>
        <v>38.05034723973</v>
      </c>
    </row>
    <row r="326" customFormat="false" ht="15" hidden="false" customHeight="false" outlineLevel="0" collapsed="false">
      <c r="A326" s="4" t="s">
        <v>436</v>
      </c>
      <c r="B326" s="0" t="s">
        <v>138</v>
      </c>
      <c r="C326" s="22" t="n">
        <f aca="false">a25_ic</f>
        <v>63.1123</v>
      </c>
      <c r="D326" s="22" t="n">
        <f aca="false">a26_ic</f>
        <v>63.8838329806349</v>
      </c>
      <c r="E326" s="22" t="n">
        <f aca="false">D326*(1+g_ic27)</f>
        <v>63.8838329806349</v>
      </c>
      <c r="F326" s="22" t="n">
        <f aca="false">E326*(1+g_ic28)</f>
        <v>63.8838329806349</v>
      </c>
      <c r="G326" s="22" t="n">
        <f aca="false">F326*(1+g_ic29)</f>
        <v>63.8838329806349</v>
      </c>
    </row>
    <row r="327" customFormat="false" ht="17.15" hidden="false" customHeight="false" outlineLevel="0" collapsed="false">
      <c r="A327" s="4" t="s">
        <v>517</v>
      </c>
      <c r="B327" s="0" t="s">
        <v>138</v>
      </c>
      <c r="C327" s="22" t="n">
        <f aca="false">C323+C325+C326</f>
        <v>131.20715</v>
      </c>
      <c r="D327" s="22" t="n">
        <f aca="false">D323+D325+D326</f>
        <v>146.7847143</v>
      </c>
      <c r="E327" s="22" t="n">
        <f aca="false">E323+E325+E326</f>
        <v>150.929758365968</v>
      </c>
      <c r="F327" s="22" t="n">
        <f aca="false">F323+F325+F326</f>
        <v>155.282054635235</v>
      </c>
      <c r="G327" s="22" t="n">
        <f aca="false">G323+G325+G326</f>
        <v>159.851965717965</v>
      </c>
    </row>
    <row r="328" customFormat="false" ht="17.15" hidden="false" customHeight="false" outlineLevel="0" collapsed="false">
      <c r="A328" s="4" t="s">
        <v>383</v>
      </c>
      <c r="B328" s="0" t="s">
        <v>138</v>
      </c>
      <c r="C328" s="22" t="n">
        <f aca="false">C324+C325+C326</f>
        <v>166.085</v>
      </c>
      <c r="D328" s="22" t="n">
        <f aca="false">D324+D325+D326</f>
        <v>212.73147</v>
      </c>
      <c r="E328" s="22" t="n">
        <f aca="false">E324+E325+E326</f>
        <v>307.426813233141</v>
      </c>
      <c r="F328" s="22" t="n">
        <f aca="false">F324+F325+F326</f>
        <v>335.14503666436</v>
      </c>
      <c r="G328" s="22" t="n">
        <f aca="false">G324+G325+G326</f>
        <v>390.355884808945</v>
      </c>
      <c r="H328" s="24" t="n">
        <f aca="false">G328*(1+H330)</f>
        <v>438.431381645786</v>
      </c>
      <c r="I328" s="24" t="n">
        <f aca="false">H328*(1+I330)</f>
        <v>474.198201597232</v>
      </c>
      <c r="J328" s="24" t="n">
        <f aca="false">I328*(1+J330)</f>
        <v>493.166129661121</v>
      </c>
      <c r="K328" s="8" t="s">
        <v>518</v>
      </c>
    </row>
    <row r="329" customFormat="false" ht="17.15" hidden="false" customHeight="false" outlineLevel="0" collapsed="false">
      <c r="A329" s="4" t="s">
        <v>519</v>
      </c>
      <c r="B329" s="0" t="s">
        <v>138</v>
      </c>
      <c r="C329" s="28" t="n">
        <f aca="false">C328-a25_rev</f>
        <v>0</v>
      </c>
      <c r="D329" s="28" t="n">
        <f aca="false">D328-a26_rev</f>
        <v>0</v>
      </c>
    </row>
    <row r="330" customFormat="false" ht="15" hidden="false" customHeight="false" outlineLevel="0" collapsed="false">
      <c r="A330" s="4" t="s">
        <v>520</v>
      </c>
      <c r="B330" s="0" t="s">
        <v>53</v>
      </c>
      <c r="D330" s="17" t="n">
        <f aca="false">D328/C328-1</f>
        <v>0.280859017972725</v>
      </c>
      <c r="E330" s="17" t="n">
        <f aca="false">E328/D328-1</f>
        <v>0.445140266426689</v>
      </c>
      <c r="F330" s="17" t="n">
        <f aca="false">F328/E328-1</f>
        <v>0.0901620230835185</v>
      </c>
      <c r="G330" s="17" t="n">
        <f aca="false">G328/F328-1</f>
        <v>0.164737179741908</v>
      </c>
      <c r="H330" s="25" t="n">
        <f aca="false">$G330+(fade_gB-$G330)*1/3</f>
        <v>0.123158119827938</v>
      </c>
      <c r="I330" s="25" t="n">
        <f aca="false">$G330+(fade_gB-$G330)*2/3</f>
        <v>0.0815790599139692</v>
      </c>
      <c r="J330" s="25" t="n">
        <f aca="false">$G330+(fade_gB-$G330)*3/3</f>
        <v>0.04</v>
      </c>
    </row>
    <row r="331" customFormat="false" ht="17.15" hidden="false" customHeight="false" outlineLevel="0" collapsed="false">
      <c r="A331" s="0" t="s">
        <v>521</v>
      </c>
      <c r="B331" s="0" t="s">
        <v>53</v>
      </c>
      <c r="C331" s="17" t="n">
        <f aca="false">C321/C328</f>
        <v>0.21</v>
      </c>
      <c r="D331" s="17" t="n">
        <f aca="false">D321/D328</f>
        <v>0.31</v>
      </c>
      <c r="E331" s="17" t="n">
        <f aca="false">E321/E328</f>
        <v>0.509054669699521</v>
      </c>
      <c r="F331" s="17" t="n">
        <f aca="false">F321/F328</f>
        <v>0.53667207433316</v>
      </c>
      <c r="G331" s="17" t="n">
        <f aca="false">G321/G328</f>
        <v>0.590496846752541</v>
      </c>
    </row>
    <row r="332" customFormat="false" ht="17.15" hidden="false" customHeight="false" outlineLevel="0" collapsed="false">
      <c r="A332" s="4" t="s">
        <v>470</v>
      </c>
      <c r="B332" s="0" t="s">
        <v>471</v>
      </c>
      <c r="D332" s="21" t="n">
        <f aca="false">D321/fx/D313*1000</f>
        <v>88.0716581635229</v>
      </c>
      <c r="E332" s="21" t="n">
        <f aca="false">E321/fx/E313*1000</f>
        <v>117.428877551364</v>
      </c>
      <c r="F332" s="21" t="n">
        <f aca="false">F321/fx/F313*1000</f>
        <v>133.086061224879</v>
      </c>
      <c r="G332" s="21" t="n">
        <f aca="false">G321/fx/G313*1000</f>
        <v>140.914653061637</v>
      </c>
    </row>
    <row r="333" customFormat="false" ht="17.15" hidden="false" customHeight="false" outlineLevel="0" collapsed="false">
      <c r="A333" s="6" t="s">
        <v>522</v>
      </c>
    </row>
    <row r="334" customFormat="false" ht="17.15" hidden="false" customHeight="false" outlineLevel="0" collapsed="false">
      <c r="A334" s="4" t="s">
        <v>523</v>
      </c>
      <c r="B334" s="0" t="s">
        <v>53</v>
      </c>
      <c r="D334" s="17" t="n">
        <f aca="false">a26_gp/D328-d_ai_lo*D331</f>
        <v>0.229382337009188</v>
      </c>
      <c r="K334" s="8" t="s">
        <v>524</v>
      </c>
    </row>
    <row r="335" customFormat="false" ht="17.15" hidden="false" customHeight="false" outlineLevel="0" collapsed="false">
      <c r="A335" s="0" t="s">
        <v>525</v>
      </c>
      <c r="B335" s="0" t="s">
        <v>53</v>
      </c>
      <c r="D335" s="17" t="n">
        <f aca="false">D334+d_ai_lo</f>
        <v>0.309382337009188</v>
      </c>
      <c r="E335" s="17" t="n">
        <f aca="false">$D$335+gmu_27</f>
        <v>0.309382337009188</v>
      </c>
      <c r="F335" s="17" t="n">
        <f aca="false">$D$335+gmu_28</f>
        <v>0.309382337009188</v>
      </c>
      <c r="G335" s="17" t="n">
        <f aca="false">$D$335+gmu_29</f>
        <v>0.309382337009188</v>
      </c>
      <c r="K335" s="4" t="s">
        <v>526</v>
      </c>
    </row>
    <row r="336" customFormat="false" ht="15" hidden="false" customHeight="false" outlineLevel="0" collapsed="false">
      <c r="A336" s="4" t="s">
        <v>387</v>
      </c>
      <c r="B336" s="0" t="s">
        <v>138</v>
      </c>
      <c r="C336" s="22" t="n">
        <f aca="false">a25_gp</f>
        <v>38.039</v>
      </c>
      <c r="D336" s="22" t="n">
        <f aca="false">a26_gp</f>
        <v>54.0725822</v>
      </c>
      <c r="E336" s="22" t="n">
        <f aca="false">E321*E335+E327*$D$334</f>
        <v>83.038045268079</v>
      </c>
      <c r="F336" s="22" t="n">
        <f aca="false">F321*F335+F327*$D$334</f>
        <v>91.265390309431</v>
      </c>
      <c r="G336" s="22" t="n">
        <f aca="false">G321*G335+G327*$D$334</f>
        <v>107.981058650044</v>
      </c>
    </row>
    <row r="337" customFormat="false" ht="15" hidden="false" customHeight="false" outlineLevel="0" collapsed="false">
      <c r="A337" s="4" t="s">
        <v>390</v>
      </c>
      <c r="B337" s="0" t="s">
        <v>53</v>
      </c>
      <c r="C337" s="17" t="n">
        <f aca="false">C336/C328</f>
        <v>0.229033326308818</v>
      </c>
      <c r="D337" s="17" t="n">
        <f aca="false">D336/D328</f>
        <v>0.254182337009188</v>
      </c>
      <c r="E337" s="17" t="n">
        <f aca="false">E336/E328</f>
        <v>0.27010671058515</v>
      </c>
      <c r="F337" s="17" t="n">
        <f aca="false">F336/F328</f>
        <v>0.272316102955841</v>
      </c>
      <c r="G337" s="17" t="n">
        <f aca="false">G336/G328</f>
        <v>0.276622084749392</v>
      </c>
    </row>
    <row r="338" customFormat="false" ht="15" hidden="false" customHeight="false" outlineLevel="0" collapsed="false">
      <c r="A338" s="4" t="s">
        <v>527</v>
      </c>
      <c r="B338" s="0" t="s">
        <v>138</v>
      </c>
      <c r="C338" s="22" t="n">
        <f aca="false">a25_opx</f>
        <v>21.301</v>
      </c>
      <c r="D338" s="22" t="n">
        <f aca="false">a26_opx</f>
        <v>25.21033346</v>
      </c>
      <c r="E338" s="22" t="n">
        <f aca="false">D338*(1+MAX(0,phi*E330))</f>
        <v>33.0658276471631</v>
      </c>
      <c r="F338" s="22" t="n">
        <f aca="false">E338*(1+MAX(0,phi*F330))</f>
        <v>35.1527249880825</v>
      </c>
      <c r="G338" s="22" t="n">
        <f aca="false">F338*(1+MAX(0,phi*G330))</f>
        <v>39.2063975304282</v>
      </c>
    </row>
    <row r="339" customFormat="false" ht="15" hidden="false" customHeight="false" outlineLevel="0" collapsed="false">
      <c r="A339" s="4" t="s">
        <v>392</v>
      </c>
      <c r="B339" s="0" t="s">
        <v>138</v>
      </c>
      <c r="C339" s="22" t="n">
        <f aca="false">C338</f>
        <v>21.301</v>
      </c>
      <c r="D339" s="22" t="n">
        <f aca="false">D338</f>
        <v>25.21033346</v>
      </c>
      <c r="E339" s="22" t="n">
        <f aca="false">E338+0*E328</f>
        <v>33.0658276471631</v>
      </c>
      <c r="F339" s="22" t="n">
        <f aca="false">F338+0*F328</f>
        <v>35.1527249880825</v>
      </c>
      <c r="G339" s="22" t="n">
        <f aca="false">G338+0*G328</f>
        <v>39.2063975304282</v>
      </c>
    </row>
    <row r="340" customFormat="false" ht="15" hidden="false" customHeight="false" outlineLevel="0" collapsed="false">
      <c r="A340" s="4" t="s">
        <v>395</v>
      </c>
      <c r="B340" s="0" t="s">
        <v>138</v>
      </c>
      <c r="C340" s="22" t="n">
        <f aca="false">C336-C339</f>
        <v>16.738</v>
      </c>
      <c r="D340" s="22" t="n">
        <f aca="false">D336-D339</f>
        <v>28.86224874</v>
      </c>
      <c r="E340" s="22" t="n">
        <f aca="false">E336-E339</f>
        <v>49.972217620916</v>
      </c>
      <c r="F340" s="22" t="n">
        <f aca="false">F336-F339</f>
        <v>56.1126653213486</v>
      </c>
      <c r="G340" s="22" t="n">
        <f aca="false">G336-G339</f>
        <v>68.7746611196156</v>
      </c>
    </row>
    <row r="341" customFormat="false" ht="15" hidden="false" customHeight="false" outlineLevel="0" collapsed="false">
      <c r="A341" s="4" t="s">
        <v>397</v>
      </c>
      <c r="B341" s="0" t="s">
        <v>53</v>
      </c>
      <c r="C341" s="17" t="n">
        <f aca="false">C340/C328</f>
        <v>0.100779721227083</v>
      </c>
      <c r="D341" s="17" t="n">
        <f aca="false">D340/D328</f>
        <v>0.135674560703219</v>
      </c>
      <c r="E341" s="17" t="n">
        <f aca="false">E340/E328</f>
        <v>0.162549964641565</v>
      </c>
      <c r="F341" s="17" t="n">
        <f aca="false">F340/F328</f>
        <v>0.1674280063337</v>
      </c>
      <c r="G341" s="17" t="n">
        <f aca="false">G340/G328</f>
        <v>0.176184512123537</v>
      </c>
    </row>
    <row r="342" customFormat="false" ht="15" hidden="false" customHeight="false" outlineLevel="0" collapsed="false">
      <c r="A342" s="4" t="s">
        <v>399</v>
      </c>
      <c r="B342" s="0" t="s">
        <v>138</v>
      </c>
      <c r="C342" s="22" t="n">
        <f aca="false">a25_nop</f>
        <v>2.9762895</v>
      </c>
      <c r="D342" s="22" t="n">
        <f aca="false">a26_nop</f>
        <v>3.839</v>
      </c>
      <c r="E342" s="22" t="n">
        <f aca="false">nop_f</f>
        <v>3.5</v>
      </c>
      <c r="F342" s="22" t="n">
        <f aca="false">nop_f</f>
        <v>3.5</v>
      </c>
      <c r="G342" s="22" t="n">
        <f aca="false">nop_f</f>
        <v>3.5</v>
      </c>
    </row>
    <row r="343" customFormat="false" ht="17.15" hidden="false" customHeight="false" outlineLevel="0" collapsed="false">
      <c r="A343" s="4" t="s">
        <v>528</v>
      </c>
      <c r="B343" s="0" t="s">
        <v>53</v>
      </c>
      <c r="C343" s="17" t="n">
        <f aca="false">a25_ni/a25_pt</f>
        <v>0.766753475949514</v>
      </c>
      <c r="D343" s="17" t="n">
        <f aca="false">a26_ni/a26_pt</f>
        <v>0.759431002022174</v>
      </c>
      <c r="E343" s="17" t="n">
        <f aca="false">nir_f</f>
        <v>0.76</v>
      </c>
      <c r="F343" s="17" t="n">
        <f aca="false">nir_f</f>
        <v>0.76</v>
      </c>
      <c r="G343" s="17" t="n">
        <f aca="false">nir_f</f>
        <v>0.76</v>
      </c>
    </row>
    <row r="344" customFormat="false" ht="15" hidden="false" customHeight="false" outlineLevel="0" collapsed="false">
      <c r="A344" s="4" t="s">
        <v>404</v>
      </c>
      <c r="B344" s="0" t="s">
        <v>138</v>
      </c>
      <c r="C344" s="22" t="n">
        <f aca="false">a25_ni</f>
        <v>15.116</v>
      </c>
      <c r="D344" s="22" t="n">
        <f aca="false">a26_ni</f>
        <v>24.8343420979946</v>
      </c>
      <c r="E344" s="22" t="n">
        <f aca="false">(E340+E342)*E343</f>
        <v>40.6388853918961</v>
      </c>
      <c r="F344" s="22" t="n">
        <f aca="false">(F340+F342)*F343</f>
        <v>45.3056256442249</v>
      </c>
      <c r="G344" s="22" t="n">
        <f aca="false">(G340+G342)*G343</f>
        <v>54.9287424509078</v>
      </c>
      <c r="H344" s="24" t="n">
        <f aca="false">H328*H348</f>
        <v>56.78561232718</v>
      </c>
      <c r="I344" s="24" t="n">
        <f aca="false">I328*I348</f>
        <v>56.109684261272</v>
      </c>
      <c r="J344" s="24" t="n">
        <f aca="false">J328*J348</f>
        <v>52.8332888980764</v>
      </c>
    </row>
    <row r="345" customFormat="false" ht="15" hidden="false" customHeight="false" outlineLevel="0" collapsed="false">
      <c r="A345" s="4" t="s">
        <v>529</v>
      </c>
      <c r="B345" s="4" t="s">
        <v>231</v>
      </c>
      <c r="C345" s="27" t="n">
        <f aca="false">a25_sh</f>
        <v>2.27650602409639</v>
      </c>
      <c r="D345" s="27" t="n">
        <f aca="false">a26_sh</f>
        <v>2.26895833333333</v>
      </c>
      <c r="E345" s="27" t="n">
        <f aca="false">D345*(1+sh_g)</f>
        <v>2.26895833333333</v>
      </c>
      <c r="F345" s="27" t="n">
        <f aca="false">E345*(1+sh_g)</f>
        <v>2.26895833333333</v>
      </c>
      <c r="G345" s="27" t="n">
        <f aca="false">F345*(1+sh_g)</f>
        <v>2.26895833333333</v>
      </c>
      <c r="H345" s="29" t="n">
        <f aca="false">G345*(1+sh_g)</f>
        <v>2.26895833333333</v>
      </c>
      <c r="I345" s="29" t="n">
        <f aca="false">H345*(1+sh_g)</f>
        <v>2.26895833333333</v>
      </c>
      <c r="J345" s="29" t="n">
        <f aca="false">I345*(1+sh_g)</f>
        <v>2.26895833333333</v>
      </c>
    </row>
    <row r="346" customFormat="false" ht="15" hidden="false" customHeight="false" outlineLevel="0" collapsed="false">
      <c r="A346" s="0" t="s">
        <v>410</v>
      </c>
      <c r="B346" s="0" t="s">
        <v>264</v>
      </c>
      <c r="C346" s="23" t="n">
        <f aca="false">C344/C345</f>
        <v>6.64</v>
      </c>
      <c r="D346" s="23" t="n">
        <f aca="false">D344/D345</f>
        <v>10.9452614149641</v>
      </c>
      <c r="E346" s="23" t="n">
        <f aca="false">E344/E345</f>
        <v>17.9108116684511</v>
      </c>
      <c r="F346" s="23" t="n">
        <f aca="false">F344/F345</f>
        <v>19.9675882005582</v>
      </c>
      <c r="G346" s="23" t="n">
        <f aca="false">G344/G345</f>
        <v>24.2087929266695</v>
      </c>
      <c r="H346" s="30" t="n">
        <f aca="false">H344/H345</f>
        <v>25.0271728188839</v>
      </c>
      <c r="I346" s="30" t="n">
        <f aca="false">I344/I345</f>
        <v>24.7292704484534</v>
      </c>
      <c r="J346" s="30" t="n">
        <f aca="false">J344/J345</f>
        <v>23.28526184104</v>
      </c>
    </row>
    <row r="347" customFormat="false" ht="17.15" hidden="false" customHeight="false" outlineLevel="0" collapsed="false">
      <c r="A347" s="0" t="s">
        <v>530</v>
      </c>
      <c r="B347" s="0" t="s">
        <v>53</v>
      </c>
      <c r="D347" s="17" t="n">
        <f aca="false">D346/C346-1</f>
        <v>0.648382743217484</v>
      </c>
      <c r="E347" s="17" t="n">
        <f aca="false">E346/D346-1</f>
        <v>0.636398710766645</v>
      </c>
      <c r="F347" s="17" t="n">
        <f aca="false">F346/E346-1</f>
        <v>0.114834356487036</v>
      </c>
      <c r="G347" s="17" t="n">
        <f aca="false">G346/F346-1</f>
        <v>0.212404456838343</v>
      </c>
      <c r="H347" s="25" t="n">
        <f aca="false">H346/G346-1</f>
        <v>0.0338050680466928</v>
      </c>
      <c r="I347" s="25" t="n">
        <f aca="false">I346/H346-1</f>
        <v>-0.0119031571239131</v>
      </c>
      <c r="J347" s="25" t="n">
        <f aca="false">J346/I346-1</f>
        <v>-0.0583926893607026</v>
      </c>
    </row>
    <row r="348" customFormat="false" ht="17.15" hidden="false" customHeight="false" outlineLevel="0" collapsed="false">
      <c r="A348" s="4" t="s">
        <v>531</v>
      </c>
      <c r="B348" s="0" t="s">
        <v>53</v>
      </c>
      <c r="C348" s="17" t="n">
        <f aca="false">C344/C328</f>
        <v>0.0910136375952073</v>
      </c>
      <c r="D348" s="17" t="n">
        <f aca="false">D344/D328</f>
        <v>0.116740330417472</v>
      </c>
      <c r="E348" s="17" t="n">
        <f aca="false">E344/E328</f>
        <v>0.13219043896824</v>
      </c>
      <c r="F348" s="17" t="n">
        <f aca="false">F344/F328</f>
        <v>0.135182147094117</v>
      </c>
      <c r="G348" s="17" t="n">
        <f aca="false">G344/G328</f>
        <v>0.140714523819186</v>
      </c>
      <c r="H348" s="25" t="n">
        <f aca="false">$G348+(fade_mB-$G348)*1/3</f>
        <v>0.129519953872868</v>
      </c>
      <c r="I348" s="25" t="n">
        <f aca="false">$G348+(fade_mB-$G348)*2/3</f>
        <v>0.11832538392655</v>
      </c>
      <c r="J348" s="25" t="n">
        <f aca="false">$G348+(fade_mB-$G348)*3/3</f>
        <v>0.107130813980232</v>
      </c>
    </row>
    <row r="351" customFormat="false" ht="17.15" hidden="false" customHeight="false" outlineLevel="0" collapsed="false">
      <c r="A351" s="1" t="s">
        <v>867</v>
      </c>
    </row>
    <row r="352" customFormat="false" ht="17.15" hidden="false" customHeight="false" outlineLevel="0" collapsed="false">
      <c r="A352" s="5" t="s">
        <v>22</v>
      </c>
      <c r="B352" s="5" t="s">
        <v>23</v>
      </c>
      <c r="C352" s="14" t="s">
        <v>378</v>
      </c>
      <c r="D352" s="14" t="s">
        <v>476</v>
      </c>
      <c r="E352" s="14" t="s">
        <v>477</v>
      </c>
      <c r="F352" s="14" t="s">
        <v>478</v>
      </c>
      <c r="G352" s="14" t="s">
        <v>479</v>
      </c>
      <c r="H352" s="14" t="s">
        <v>480</v>
      </c>
      <c r="I352" s="14" t="s">
        <v>481</v>
      </c>
      <c r="J352" s="14" t="s">
        <v>482</v>
      </c>
      <c r="K352" s="5" t="s">
        <v>449</v>
      </c>
    </row>
    <row r="353" customFormat="false" ht="17.15" hidden="false" customHeight="false" outlineLevel="0" collapsed="false">
      <c r="A353" s="6" t="s">
        <v>501</v>
      </c>
    </row>
    <row r="354" customFormat="false" ht="17.15" hidden="false" customHeight="false" outlineLevel="0" collapsed="false">
      <c r="A354" s="0" t="s">
        <v>502</v>
      </c>
      <c r="B354" s="0" t="s">
        <v>33</v>
      </c>
      <c r="D354" s="23" t="n">
        <f aca="false">itc_26*1</f>
        <v>781.872916666666</v>
      </c>
      <c r="E354" s="23" t="n">
        <f aca="false">itc_27*1*1</f>
        <v>1565.35</v>
      </c>
      <c r="F354" s="23" t="n">
        <f aca="false">itc_28*um28_B*1</f>
        <v>1587.41111111111</v>
      </c>
      <c r="G354" s="23" t="n">
        <f aca="false">itc_29*um29_B*1</f>
        <v>1921.33173611111</v>
      </c>
    </row>
    <row r="355" customFormat="false" ht="17.15" hidden="false" customHeight="false" outlineLevel="0" collapsed="false">
      <c r="A355" s="4" t="s">
        <v>503</v>
      </c>
      <c r="B355" s="0" t="s">
        <v>33</v>
      </c>
      <c r="D355" s="23" t="n">
        <f aca="false">itpg_gb*(1-vr26)+itpg_vr*vr26</f>
        <v>33.41403216</v>
      </c>
      <c r="E355" s="23" t="n">
        <f aca="false">itpg_vr</f>
        <v>37.586352</v>
      </c>
      <c r="F355" s="23" t="n">
        <f aca="false">itpg_vr</f>
        <v>37.586352</v>
      </c>
      <c r="G355" s="23" t="n">
        <f aca="false">itpg_vr</f>
        <v>37.586352</v>
      </c>
    </row>
    <row r="356" customFormat="false" ht="17.15" hidden="false" customHeight="false" outlineLevel="0" collapsed="false">
      <c r="A356" s="4" t="s">
        <v>504</v>
      </c>
      <c r="B356" s="0" t="s">
        <v>451</v>
      </c>
      <c r="D356" s="20" t="n">
        <f aca="false">D354/D355</f>
        <v>23.3995380420639</v>
      </c>
      <c r="E356" s="20" t="n">
        <f aca="false">E354/E355</f>
        <v>41.6467658260637</v>
      </c>
      <c r="F356" s="20" t="n">
        <f aca="false">F354/F355</f>
        <v>42.2337105529984</v>
      </c>
      <c r="G356" s="20" t="n">
        <f aca="false">G354/G355</f>
        <v>51.1178029756948</v>
      </c>
    </row>
    <row r="357" customFormat="false" ht="17.15" hidden="false" customHeight="false" outlineLevel="0" collapsed="false">
      <c r="A357" s="0" t="s">
        <v>453</v>
      </c>
      <c r="B357" s="0" t="s">
        <v>91</v>
      </c>
      <c r="D357" s="21" t="n">
        <f aca="false">pkw_26</f>
        <v>450</v>
      </c>
      <c r="E357" s="21" t="n">
        <f aca="false">pkw_27</f>
        <v>600</v>
      </c>
      <c r="F357" s="21" t="n">
        <f aca="false">pkw_28</f>
        <v>680</v>
      </c>
      <c r="G357" s="21" t="n">
        <f aca="false">pkw_29</f>
        <v>720</v>
      </c>
    </row>
    <row r="358" customFormat="false" ht="17.15" hidden="false" customHeight="false" outlineLevel="0" collapsed="false">
      <c r="A358" s="0" t="s">
        <v>505</v>
      </c>
      <c r="B358" s="0" t="s">
        <v>33</v>
      </c>
      <c r="D358" s="23" t="n">
        <f aca="false">D356*D357/1000</f>
        <v>10.5297921189287</v>
      </c>
      <c r="E358" s="23" t="n">
        <f aca="false">E356*E357/1000</f>
        <v>24.9880594956382</v>
      </c>
      <c r="F358" s="23" t="n">
        <f aca="false">F356*F357/1000</f>
        <v>28.7189231760389</v>
      </c>
      <c r="G358" s="23" t="n">
        <f aca="false">G356*G357/1000</f>
        <v>36.8048181425003</v>
      </c>
    </row>
    <row r="359" customFormat="false" ht="17.15" hidden="false" customHeight="false" outlineLevel="0" collapsed="false">
      <c r="A359" s="0" t="s">
        <v>506</v>
      </c>
      <c r="B359" s="0" t="s">
        <v>138</v>
      </c>
      <c r="D359" s="22" t="n">
        <f aca="false">D358*fx</f>
        <v>336.95334780572</v>
      </c>
      <c r="E359" s="22" t="n">
        <f aca="false">E358*fx</f>
        <v>799.617903860422</v>
      </c>
      <c r="F359" s="22" t="n">
        <f aca="false">F358*fx</f>
        <v>919.005541633245</v>
      </c>
      <c r="G359" s="22" t="n">
        <f aca="false">G358*fx</f>
        <v>1177.75418056001</v>
      </c>
    </row>
    <row r="360" customFormat="false" ht="17.15" hidden="false" customHeight="false" outlineLevel="0" collapsed="false">
      <c r="A360" s="4" t="s">
        <v>507</v>
      </c>
      <c r="B360" s="0" t="s">
        <v>53</v>
      </c>
      <c r="D360" s="17" t="n">
        <f aca="false">a26_aip/D359</f>
        <v>0.176143316327046</v>
      </c>
      <c r="K360" s="8" t="s">
        <v>508</v>
      </c>
    </row>
    <row r="361" customFormat="false" ht="17.15" hidden="false" customHeight="false" outlineLevel="0" collapsed="false">
      <c r="A361" s="4" t="s">
        <v>509</v>
      </c>
      <c r="B361" s="0" t="s">
        <v>64</v>
      </c>
      <c r="D361" s="18" t="n">
        <f aca="false">1</f>
        <v>1</v>
      </c>
      <c r="E361" s="18" t="n">
        <f aca="false">rel_27</f>
        <v>1</v>
      </c>
      <c r="F361" s="18" t="n">
        <f aca="false">rel_28</f>
        <v>1</v>
      </c>
      <c r="G361" s="18" t="n">
        <f aca="false">rel_29</f>
        <v>1</v>
      </c>
    </row>
    <row r="362" customFormat="false" ht="15" hidden="false" customHeight="false" outlineLevel="0" collapsed="false">
      <c r="A362" s="4" t="s">
        <v>459</v>
      </c>
      <c r="B362" s="0" t="s">
        <v>53</v>
      </c>
      <c r="D362" s="17" t="n">
        <f aca="false">$D$360*D361</f>
        <v>0.176143316327046</v>
      </c>
      <c r="E362" s="17" t="n">
        <f aca="false">$D$360*E361</f>
        <v>0.176143316327046</v>
      </c>
      <c r="F362" s="17" t="n">
        <f aca="false">$D$360*F361</f>
        <v>0.176143316327046</v>
      </c>
      <c r="G362" s="17" t="n">
        <f aca="false">$D$360*G361</f>
        <v>0.176143316327046</v>
      </c>
    </row>
    <row r="363" customFormat="false" ht="17.15" hidden="false" customHeight="false" outlineLevel="0" collapsed="false">
      <c r="A363" s="0" t="s">
        <v>510</v>
      </c>
      <c r="B363" s="0" t="s">
        <v>138</v>
      </c>
      <c r="C363" s="22" t="n">
        <f aca="false">a25_aip</f>
        <v>31.390065</v>
      </c>
      <c r="D363" s="22" t="n">
        <f aca="false">D359*D362</f>
        <v>59.35208013</v>
      </c>
      <c r="E363" s="22" t="n">
        <f aca="false">E359*E362</f>
        <v>140.847349380456</v>
      </c>
      <c r="F363" s="22" t="n">
        <f aca="false">F359*F362</f>
        <v>161.876683826213</v>
      </c>
      <c r="G363" s="22" t="n">
        <f aca="false">G359*G362</f>
        <v>207.453527181882</v>
      </c>
    </row>
    <row r="364" customFormat="false" ht="17.15" hidden="false" customHeight="false" outlineLevel="0" collapsed="false">
      <c r="A364" s="0" t="s">
        <v>511</v>
      </c>
      <c r="B364" s="0" t="s">
        <v>138</v>
      </c>
      <c r="C364" s="22" t="n">
        <f aca="false">a25_ai</f>
        <v>34.87785</v>
      </c>
      <c r="D364" s="22" t="n">
        <f aca="false">D363/(1-x_np)</f>
        <v>65.9467557</v>
      </c>
      <c r="E364" s="22" t="n">
        <f aca="false">E363/(1-x_np)</f>
        <v>156.497054867173</v>
      </c>
      <c r="F364" s="22" t="n">
        <f aca="false">F363/(1-x_np)</f>
        <v>179.862982029125</v>
      </c>
      <c r="G364" s="22" t="n">
        <f aca="false">G363/(1-x_np)</f>
        <v>230.50391909098</v>
      </c>
      <c r="K364" s="4" t="s">
        <v>512</v>
      </c>
    </row>
    <row r="365" customFormat="false" ht="17.15" hidden="false" customHeight="false" outlineLevel="0" collapsed="false">
      <c r="A365" s="6" t="s">
        <v>513</v>
      </c>
    </row>
    <row r="366" customFormat="false" ht="17.15" hidden="false" customHeight="false" outlineLevel="0" collapsed="false">
      <c r="A366" s="4" t="s">
        <v>514</v>
      </c>
      <c r="B366" s="0" t="s">
        <v>138</v>
      </c>
      <c r="C366" s="22" t="n">
        <f aca="false">a25_cn</f>
        <v>39.8604</v>
      </c>
      <c r="D366" s="22" t="n">
        <f aca="false">a26_cn</f>
        <v>50.0315607365079</v>
      </c>
      <c r="E366" s="22" t="n">
        <f aca="false">D366*(1+g_cn27)</f>
        <v>52.5331387733333</v>
      </c>
      <c r="F366" s="22" t="n">
        <f aca="false">E366*(1+g_cn28)</f>
        <v>55.159795712</v>
      </c>
      <c r="G366" s="22" t="n">
        <f aca="false">F366*(1+g_cn29)</f>
        <v>57.9177854976</v>
      </c>
      <c r="K366" s="4" t="s">
        <v>515</v>
      </c>
    </row>
    <row r="367" customFormat="false" ht="17.15" hidden="false" customHeight="false" outlineLevel="0" collapsed="false">
      <c r="A367" s="4" t="s">
        <v>431</v>
      </c>
      <c r="B367" s="0" t="s">
        <v>138</v>
      </c>
      <c r="C367" s="22" t="n">
        <f aca="false">C364+C366</f>
        <v>74.73825</v>
      </c>
      <c r="D367" s="22" t="n">
        <f aca="false">D364+D366</f>
        <v>115.978316436508</v>
      </c>
      <c r="E367" s="22" t="n">
        <f aca="false">E364+E366</f>
        <v>209.030193640506</v>
      </c>
      <c r="F367" s="22" t="n">
        <f aca="false">F364+F366</f>
        <v>235.022777741125</v>
      </c>
      <c r="G367" s="22" t="n">
        <f aca="false">G364+G366</f>
        <v>288.42170458858</v>
      </c>
      <c r="K367" s="4" t="s">
        <v>516</v>
      </c>
    </row>
    <row r="368" customFormat="false" ht="15" hidden="false" customHeight="false" outlineLevel="0" collapsed="false">
      <c r="A368" s="4" t="s">
        <v>435</v>
      </c>
      <c r="B368" s="0" t="s">
        <v>138</v>
      </c>
      <c r="C368" s="22" t="n">
        <f aca="false">a25_op</f>
        <v>28.23445</v>
      </c>
      <c r="D368" s="22" t="n">
        <f aca="false">a26_op</f>
        <v>32.8693205828571</v>
      </c>
      <c r="E368" s="22" t="n">
        <f aca="false">D368*(1+g_op27)</f>
        <v>34.512786612</v>
      </c>
      <c r="F368" s="22" t="n">
        <f aca="false">E368*(1+g_op28)</f>
        <v>36.2384259426</v>
      </c>
      <c r="G368" s="22" t="n">
        <f aca="false">F368*(1+g_op29)</f>
        <v>38.05034723973</v>
      </c>
    </row>
    <row r="369" customFormat="false" ht="15" hidden="false" customHeight="false" outlineLevel="0" collapsed="false">
      <c r="A369" s="4" t="s">
        <v>436</v>
      </c>
      <c r="B369" s="0" t="s">
        <v>138</v>
      </c>
      <c r="C369" s="22" t="n">
        <f aca="false">a25_ic</f>
        <v>63.1123</v>
      </c>
      <c r="D369" s="22" t="n">
        <f aca="false">a26_ic</f>
        <v>63.8838329806349</v>
      </c>
      <c r="E369" s="22" t="n">
        <f aca="false">D369*(1+g_ic27)</f>
        <v>63.8838329806349</v>
      </c>
      <c r="F369" s="22" t="n">
        <f aca="false">E369*(1+g_ic28)</f>
        <v>63.8838329806349</v>
      </c>
      <c r="G369" s="22" t="n">
        <f aca="false">F369*(1+g_ic29)</f>
        <v>63.8838329806349</v>
      </c>
    </row>
    <row r="370" customFormat="false" ht="17.15" hidden="false" customHeight="false" outlineLevel="0" collapsed="false">
      <c r="A370" s="4" t="s">
        <v>517</v>
      </c>
      <c r="B370" s="0" t="s">
        <v>138</v>
      </c>
      <c r="C370" s="22" t="n">
        <f aca="false">C366+C368+C369</f>
        <v>131.20715</v>
      </c>
      <c r="D370" s="22" t="n">
        <f aca="false">D366+D368+D369</f>
        <v>146.7847143</v>
      </c>
      <c r="E370" s="22" t="n">
        <f aca="false">E366+E368+E369</f>
        <v>150.929758365968</v>
      </c>
      <c r="F370" s="22" t="n">
        <f aca="false">F366+F368+F369</f>
        <v>155.282054635235</v>
      </c>
      <c r="G370" s="22" t="n">
        <f aca="false">G366+G368+G369</f>
        <v>159.851965717965</v>
      </c>
    </row>
    <row r="371" customFormat="false" ht="17.15" hidden="false" customHeight="false" outlineLevel="0" collapsed="false">
      <c r="A371" s="4" t="s">
        <v>383</v>
      </c>
      <c r="B371" s="0" t="s">
        <v>138</v>
      </c>
      <c r="C371" s="22" t="n">
        <f aca="false">C367+C368+C369</f>
        <v>166.085</v>
      </c>
      <c r="D371" s="22" t="n">
        <f aca="false">D367+D368+D369</f>
        <v>212.73147</v>
      </c>
      <c r="E371" s="22" t="n">
        <f aca="false">E367+E368+E369</f>
        <v>307.426813233141</v>
      </c>
      <c r="F371" s="22" t="n">
        <f aca="false">F367+F368+F369</f>
        <v>335.14503666436</v>
      </c>
      <c r="G371" s="22" t="n">
        <f aca="false">G367+G368+G369</f>
        <v>390.355884808945</v>
      </c>
      <c r="H371" s="24" t="n">
        <f aca="false">G371*(1+H373)</f>
        <v>438.431381645786</v>
      </c>
      <c r="I371" s="24" t="n">
        <f aca="false">H371*(1+I373)</f>
        <v>474.198201597232</v>
      </c>
      <c r="J371" s="24" t="n">
        <f aca="false">I371*(1+J373)</f>
        <v>493.166129661121</v>
      </c>
      <c r="K371" s="8" t="s">
        <v>518</v>
      </c>
    </row>
    <row r="372" customFormat="false" ht="17.15" hidden="false" customHeight="false" outlineLevel="0" collapsed="false">
      <c r="A372" s="4" t="s">
        <v>519</v>
      </c>
      <c r="B372" s="0" t="s">
        <v>138</v>
      </c>
      <c r="C372" s="28" t="n">
        <f aca="false">C371-a25_rev</f>
        <v>0</v>
      </c>
      <c r="D372" s="28" t="n">
        <f aca="false">D371-a26_rev</f>
        <v>0</v>
      </c>
    </row>
    <row r="373" customFormat="false" ht="15" hidden="false" customHeight="false" outlineLevel="0" collapsed="false">
      <c r="A373" s="4" t="s">
        <v>520</v>
      </c>
      <c r="B373" s="0" t="s">
        <v>53</v>
      </c>
      <c r="D373" s="17" t="n">
        <f aca="false">D371/C371-1</f>
        <v>0.280859017972725</v>
      </c>
      <c r="E373" s="17" t="n">
        <f aca="false">E371/D371-1</f>
        <v>0.445140266426689</v>
      </c>
      <c r="F373" s="17" t="n">
        <f aca="false">F371/E371-1</f>
        <v>0.0901620230835185</v>
      </c>
      <c r="G373" s="17" t="n">
        <f aca="false">G371/F371-1</f>
        <v>0.164737179741908</v>
      </c>
      <c r="H373" s="25" t="n">
        <f aca="false">$G373+(fade_gB-$G373)*1/3</f>
        <v>0.123158119827938</v>
      </c>
      <c r="I373" s="25" t="n">
        <f aca="false">$G373+(fade_gB-$G373)*2/3</f>
        <v>0.0815790599139692</v>
      </c>
      <c r="J373" s="25" t="n">
        <f aca="false">$G373+(fade_gB-$G373)*3/3</f>
        <v>0.04</v>
      </c>
    </row>
    <row r="374" customFormat="false" ht="17.15" hidden="false" customHeight="false" outlineLevel="0" collapsed="false">
      <c r="A374" s="0" t="s">
        <v>521</v>
      </c>
      <c r="B374" s="0" t="s">
        <v>53</v>
      </c>
      <c r="C374" s="17" t="n">
        <f aca="false">C364/C371</f>
        <v>0.21</v>
      </c>
      <c r="D374" s="17" t="n">
        <f aca="false">D364/D371</f>
        <v>0.31</v>
      </c>
      <c r="E374" s="17" t="n">
        <f aca="false">E364/E371</f>
        <v>0.509054669699521</v>
      </c>
      <c r="F374" s="17" t="n">
        <f aca="false">F364/F371</f>
        <v>0.53667207433316</v>
      </c>
      <c r="G374" s="17" t="n">
        <f aca="false">G364/G371</f>
        <v>0.590496846752541</v>
      </c>
    </row>
    <row r="375" customFormat="false" ht="17.15" hidden="false" customHeight="false" outlineLevel="0" collapsed="false">
      <c r="A375" s="4" t="s">
        <v>470</v>
      </c>
      <c r="B375" s="0" t="s">
        <v>471</v>
      </c>
      <c r="D375" s="21" t="n">
        <f aca="false">D364/fx/D356*1000</f>
        <v>88.0716581635229</v>
      </c>
      <c r="E375" s="21" t="n">
        <f aca="false">E364/fx/E356*1000</f>
        <v>117.428877551364</v>
      </c>
      <c r="F375" s="21" t="n">
        <f aca="false">F364/fx/F356*1000</f>
        <v>133.086061224879</v>
      </c>
      <c r="G375" s="21" t="n">
        <f aca="false">G364/fx/G356*1000</f>
        <v>140.914653061637</v>
      </c>
    </row>
    <row r="376" customFormat="false" ht="17.15" hidden="false" customHeight="false" outlineLevel="0" collapsed="false">
      <c r="A376" s="6" t="s">
        <v>522</v>
      </c>
    </row>
    <row r="377" customFormat="false" ht="17.15" hidden="false" customHeight="false" outlineLevel="0" collapsed="false">
      <c r="A377" s="4" t="s">
        <v>523</v>
      </c>
      <c r="B377" s="0" t="s">
        <v>53</v>
      </c>
      <c r="D377" s="17" t="n">
        <f aca="false">a26_gp/D371-d_ai_hi*D374</f>
        <v>0.204582337009188</v>
      </c>
      <c r="K377" s="8" t="s">
        <v>524</v>
      </c>
    </row>
    <row r="378" customFormat="false" ht="17.15" hidden="false" customHeight="false" outlineLevel="0" collapsed="false">
      <c r="A378" s="0" t="s">
        <v>525</v>
      </c>
      <c r="B378" s="0" t="s">
        <v>53</v>
      </c>
      <c r="D378" s="17" t="n">
        <f aca="false">D377+d_ai_hi</f>
        <v>0.364582337009188</v>
      </c>
      <c r="E378" s="17" t="n">
        <f aca="false">$D$378+gmu_27</f>
        <v>0.364582337009188</v>
      </c>
      <c r="F378" s="17" t="n">
        <f aca="false">$D$378+gmu_28</f>
        <v>0.364582337009188</v>
      </c>
      <c r="G378" s="17" t="n">
        <f aca="false">$D$378+gmu_29</f>
        <v>0.364582337009188</v>
      </c>
      <c r="K378" s="4" t="s">
        <v>526</v>
      </c>
    </row>
    <row r="379" customFormat="false" ht="15" hidden="false" customHeight="false" outlineLevel="0" collapsed="false">
      <c r="A379" s="4" t="s">
        <v>387</v>
      </c>
      <c r="B379" s="0" t="s">
        <v>138</v>
      </c>
      <c r="C379" s="22" t="n">
        <f aca="false">a25_gp</f>
        <v>38.039</v>
      </c>
      <c r="D379" s="22" t="n">
        <f aca="false">a26_gp</f>
        <v>54.0725822</v>
      </c>
      <c r="E379" s="22" t="n">
        <f aca="false">E364*E378+E370*$D$377</f>
        <v>87.9336246892709</v>
      </c>
      <c r="F379" s="22" t="n">
        <f aca="false">F364*F378+F370*$D$377</f>
        <v>97.3428319624849</v>
      </c>
      <c r="G379" s="22" t="n">
        <f aca="false">G364*G378+G370*$D$377</f>
        <v>116.74054623406</v>
      </c>
    </row>
    <row r="380" customFormat="false" ht="15" hidden="false" customHeight="false" outlineLevel="0" collapsed="false">
      <c r="A380" s="4" t="s">
        <v>390</v>
      </c>
      <c r="B380" s="0" t="s">
        <v>53</v>
      </c>
      <c r="C380" s="17" t="n">
        <f aca="false">C379/C371</f>
        <v>0.229033326308818</v>
      </c>
      <c r="D380" s="17" t="n">
        <f aca="false">D379/D371</f>
        <v>0.254182337009188</v>
      </c>
      <c r="E380" s="17" t="n">
        <f aca="false">E379/E371</f>
        <v>0.286031084161112</v>
      </c>
      <c r="F380" s="17" t="n">
        <f aca="false">F379/F371</f>
        <v>0.290449868902494</v>
      </c>
      <c r="G380" s="17" t="n">
        <f aca="false">G379/G371</f>
        <v>0.299061832489595</v>
      </c>
    </row>
    <row r="381" customFormat="false" ht="15" hidden="false" customHeight="false" outlineLevel="0" collapsed="false">
      <c r="A381" s="4" t="s">
        <v>527</v>
      </c>
      <c r="B381" s="0" t="s">
        <v>138</v>
      </c>
      <c r="C381" s="22" t="n">
        <f aca="false">a25_opx</f>
        <v>21.301</v>
      </c>
      <c r="D381" s="22" t="n">
        <f aca="false">a26_opx</f>
        <v>25.21033346</v>
      </c>
      <c r="E381" s="22" t="n">
        <f aca="false">D381*(1+MAX(0,phi*E373))</f>
        <v>33.0658276471631</v>
      </c>
      <c r="F381" s="22" t="n">
        <f aca="false">E381*(1+MAX(0,phi*F373))</f>
        <v>35.1527249880825</v>
      </c>
      <c r="G381" s="22" t="n">
        <f aca="false">F381*(1+MAX(0,phi*G373))</f>
        <v>39.2063975304282</v>
      </c>
    </row>
    <row r="382" customFormat="false" ht="15" hidden="false" customHeight="false" outlineLevel="0" collapsed="false">
      <c r="A382" s="4" t="s">
        <v>392</v>
      </c>
      <c r="B382" s="0" t="s">
        <v>138</v>
      </c>
      <c r="C382" s="22" t="n">
        <f aca="false">C381</f>
        <v>21.301</v>
      </c>
      <c r="D382" s="22" t="n">
        <f aca="false">D381</f>
        <v>25.21033346</v>
      </c>
      <c r="E382" s="22" t="n">
        <f aca="false">E381+0*E371</f>
        <v>33.0658276471631</v>
      </c>
      <c r="F382" s="22" t="n">
        <f aca="false">F381+0*F371</f>
        <v>35.1527249880825</v>
      </c>
      <c r="G382" s="22" t="n">
        <f aca="false">G381+0*G371</f>
        <v>39.2063975304282</v>
      </c>
    </row>
    <row r="383" customFormat="false" ht="15" hidden="false" customHeight="false" outlineLevel="0" collapsed="false">
      <c r="A383" s="4" t="s">
        <v>395</v>
      </c>
      <c r="B383" s="0" t="s">
        <v>138</v>
      </c>
      <c r="C383" s="22" t="n">
        <f aca="false">C379-C382</f>
        <v>16.738</v>
      </c>
      <c r="D383" s="22" t="n">
        <f aca="false">D379-D382</f>
        <v>28.86224874</v>
      </c>
      <c r="E383" s="22" t="n">
        <f aca="false">E379-E382</f>
        <v>54.8677970421079</v>
      </c>
      <c r="F383" s="22" t="n">
        <f aca="false">F379-F382</f>
        <v>62.1901069744025</v>
      </c>
      <c r="G383" s="22" t="n">
        <f aca="false">G379-G382</f>
        <v>77.5341487036321</v>
      </c>
    </row>
    <row r="384" customFormat="false" ht="15" hidden="false" customHeight="false" outlineLevel="0" collapsed="false">
      <c r="A384" s="4" t="s">
        <v>397</v>
      </c>
      <c r="B384" s="0" t="s">
        <v>53</v>
      </c>
      <c r="C384" s="17" t="n">
        <f aca="false">C383/C371</f>
        <v>0.100779721227083</v>
      </c>
      <c r="D384" s="17" t="n">
        <f aca="false">D383/D371</f>
        <v>0.135674560703219</v>
      </c>
      <c r="E384" s="17" t="n">
        <f aca="false">E383/E371</f>
        <v>0.178474338217526</v>
      </c>
      <c r="F384" s="17" t="n">
        <f aca="false">F383/F371</f>
        <v>0.185561772280353</v>
      </c>
      <c r="G384" s="17" t="n">
        <f aca="false">G383/G371</f>
        <v>0.19862425986374</v>
      </c>
    </row>
    <row r="385" customFormat="false" ht="15" hidden="false" customHeight="false" outlineLevel="0" collapsed="false">
      <c r="A385" s="4" t="s">
        <v>399</v>
      </c>
      <c r="B385" s="0" t="s">
        <v>138</v>
      </c>
      <c r="C385" s="22" t="n">
        <f aca="false">a25_nop</f>
        <v>2.9762895</v>
      </c>
      <c r="D385" s="22" t="n">
        <f aca="false">a26_nop</f>
        <v>3.839</v>
      </c>
      <c r="E385" s="22" t="n">
        <f aca="false">nop_f</f>
        <v>3.5</v>
      </c>
      <c r="F385" s="22" t="n">
        <f aca="false">nop_f</f>
        <v>3.5</v>
      </c>
      <c r="G385" s="22" t="n">
        <f aca="false">nop_f</f>
        <v>3.5</v>
      </c>
    </row>
    <row r="386" customFormat="false" ht="17.15" hidden="false" customHeight="false" outlineLevel="0" collapsed="false">
      <c r="A386" s="4" t="s">
        <v>528</v>
      </c>
      <c r="B386" s="0" t="s">
        <v>53</v>
      </c>
      <c r="C386" s="17" t="n">
        <f aca="false">a25_ni/a25_pt</f>
        <v>0.766753475949514</v>
      </c>
      <c r="D386" s="17" t="n">
        <f aca="false">a26_ni/a26_pt</f>
        <v>0.759431002022174</v>
      </c>
      <c r="E386" s="17" t="n">
        <f aca="false">nir_f</f>
        <v>0.76</v>
      </c>
      <c r="F386" s="17" t="n">
        <f aca="false">nir_f</f>
        <v>0.76</v>
      </c>
      <c r="G386" s="17" t="n">
        <f aca="false">nir_f</f>
        <v>0.76</v>
      </c>
    </row>
    <row r="387" customFormat="false" ht="15" hidden="false" customHeight="false" outlineLevel="0" collapsed="false">
      <c r="A387" s="4" t="s">
        <v>404</v>
      </c>
      <c r="B387" s="0" t="s">
        <v>138</v>
      </c>
      <c r="C387" s="22" t="n">
        <f aca="false">a25_ni</f>
        <v>15.116</v>
      </c>
      <c r="D387" s="22" t="n">
        <f aca="false">a26_ni</f>
        <v>24.8343420979946</v>
      </c>
      <c r="E387" s="22" t="n">
        <f aca="false">(E383+E385)*E386</f>
        <v>44.359525752002</v>
      </c>
      <c r="F387" s="22" t="n">
        <f aca="false">(F383+F385)*F386</f>
        <v>49.9244813005459</v>
      </c>
      <c r="G387" s="22" t="n">
        <f aca="false">(G383+G385)*G386</f>
        <v>61.5859530147604</v>
      </c>
      <c r="H387" s="24" t="n">
        <f aca="false">H371*H391</f>
        <v>61.7703457273103</v>
      </c>
      <c r="I387" s="24" t="n">
        <f aca="false">I371*I391</f>
        <v>58.8053758936893</v>
      </c>
      <c r="J387" s="24" t="n">
        <f aca="false">J371*J391</f>
        <v>52.8332888980764</v>
      </c>
    </row>
    <row r="388" customFormat="false" ht="15" hidden="false" customHeight="false" outlineLevel="0" collapsed="false">
      <c r="A388" s="4" t="s">
        <v>529</v>
      </c>
      <c r="B388" s="4" t="s">
        <v>231</v>
      </c>
      <c r="C388" s="27" t="n">
        <f aca="false">a25_sh</f>
        <v>2.27650602409639</v>
      </c>
      <c r="D388" s="27" t="n">
        <f aca="false">a26_sh</f>
        <v>2.26895833333333</v>
      </c>
      <c r="E388" s="27" t="n">
        <f aca="false">D388*(1+sh_g)</f>
        <v>2.26895833333333</v>
      </c>
      <c r="F388" s="27" t="n">
        <f aca="false">E388*(1+sh_g)</f>
        <v>2.26895833333333</v>
      </c>
      <c r="G388" s="27" t="n">
        <f aca="false">F388*(1+sh_g)</f>
        <v>2.26895833333333</v>
      </c>
      <c r="H388" s="29" t="n">
        <f aca="false">G388*(1+sh_g)</f>
        <v>2.26895833333333</v>
      </c>
      <c r="I388" s="29" t="n">
        <f aca="false">H388*(1+sh_g)</f>
        <v>2.26895833333333</v>
      </c>
      <c r="J388" s="29" t="n">
        <f aca="false">I388*(1+sh_g)</f>
        <v>2.26895833333333</v>
      </c>
    </row>
    <row r="389" customFormat="false" ht="15" hidden="false" customHeight="false" outlineLevel="0" collapsed="false">
      <c r="A389" s="0" t="s">
        <v>410</v>
      </c>
      <c r="B389" s="0" t="s">
        <v>264</v>
      </c>
      <c r="C389" s="23" t="n">
        <f aca="false">C387/C388</f>
        <v>6.64</v>
      </c>
      <c r="D389" s="23" t="n">
        <f aca="false">D387/D388</f>
        <v>10.9452614149641</v>
      </c>
      <c r="E389" s="23" t="n">
        <f aca="false">E387/E388</f>
        <v>19.550612763714</v>
      </c>
      <c r="F389" s="23" t="n">
        <f aca="false">F387/F388</f>
        <v>22.0032605125902</v>
      </c>
      <c r="G389" s="23" t="n">
        <f aca="false">G387/G388</f>
        <v>27.142831188215</v>
      </c>
      <c r="H389" s="30" t="n">
        <f aca="false">H387/H388</f>
        <v>27.2240987504443</v>
      </c>
      <c r="I389" s="30" t="n">
        <f aca="false">I387/I388</f>
        <v>25.9173449903323</v>
      </c>
      <c r="J389" s="30" t="n">
        <f aca="false">J387/J388</f>
        <v>23.28526184104</v>
      </c>
    </row>
    <row r="390" customFormat="false" ht="17.15" hidden="false" customHeight="false" outlineLevel="0" collapsed="false">
      <c r="A390" s="0" t="s">
        <v>530</v>
      </c>
      <c r="B390" s="0" t="s">
        <v>53</v>
      </c>
      <c r="D390" s="17" t="n">
        <f aca="false">D389/C389-1</f>
        <v>0.648382743217484</v>
      </c>
      <c r="E390" s="17" t="n">
        <f aca="false">E389/D389-1</f>
        <v>0.786217068966934</v>
      </c>
      <c r="F390" s="17" t="n">
        <f aca="false">F389/E389-1</f>
        <v>0.125451195751179</v>
      </c>
      <c r="G390" s="17" t="n">
        <f aca="false">G389/F389-1</f>
        <v>0.233582230810019</v>
      </c>
      <c r="H390" s="25" t="n">
        <f aca="false">H389/G389-1</f>
        <v>0.00299407094513371</v>
      </c>
      <c r="I390" s="25" t="n">
        <f aca="false">I389/H389-1</f>
        <v>-0.0479998905414913</v>
      </c>
      <c r="J390" s="25" t="n">
        <f aca="false">J389/I389-1</f>
        <v>-0.101556820356177</v>
      </c>
    </row>
    <row r="391" customFormat="false" ht="17.15" hidden="false" customHeight="false" outlineLevel="0" collapsed="false">
      <c r="A391" s="4" t="s">
        <v>531</v>
      </c>
      <c r="B391" s="0" t="s">
        <v>53</v>
      </c>
      <c r="C391" s="17" t="n">
        <f aca="false">C387/C371</f>
        <v>0.0910136375952073</v>
      </c>
      <c r="D391" s="17" t="n">
        <f aca="false">D387/D371</f>
        <v>0.116740330417472</v>
      </c>
      <c r="E391" s="17" t="n">
        <f aca="false">E387/E371</f>
        <v>0.144292962885971</v>
      </c>
      <c r="F391" s="17" t="n">
        <f aca="false">F387/F371</f>
        <v>0.148963809213574</v>
      </c>
      <c r="G391" s="17" t="n">
        <f aca="false">G387/G371</f>
        <v>0.157768732101741</v>
      </c>
      <c r="H391" s="25" t="n">
        <f aca="false">$G391+(fade_mB-$G391)*1/3</f>
        <v>0.140889426061238</v>
      </c>
      <c r="I391" s="25" t="n">
        <f aca="false">$G391+(fade_mB-$G391)*2/3</f>
        <v>0.124010120020735</v>
      </c>
      <c r="J391" s="25" t="n">
        <f aca="false">$G391+(fade_mB-$G391)*3/3</f>
        <v>0.107130813980232</v>
      </c>
    </row>
    <row r="394" customFormat="false" ht="17.15" hidden="false" customHeight="false" outlineLevel="0" collapsed="false">
      <c r="A394" s="1" t="s">
        <v>868</v>
      </c>
    </row>
    <row r="395" customFormat="false" ht="17.15" hidden="false" customHeight="false" outlineLevel="0" collapsed="false">
      <c r="A395" s="5" t="s">
        <v>22</v>
      </c>
      <c r="B395" s="5" t="s">
        <v>23</v>
      </c>
      <c r="C395" s="14" t="s">
        <v>378</v>
      </c>
      <c r="D395" s="14" t="s">
        <v>476</v>
      </c>
      <c r="E395" s="14" t="s">
        <v>477</v>
      </c>
      <c r="F395" s="14" t="s">
        <v>478</v>
      </c>
      <c r="G395" s="14" t="s">
        <v>479</v>
      </c>
      <c r="H395" s="14" t="s">
        <v>480</v>
      </c>
      <c r="I395" s="14" t="s">
        <v>481</v>
      </c>
      <c r="J395" s="14" t="s">
        <v>482</v>
      </c>
      <c r="K395" s="5" t="s">
        <v>449</v>
      </c>
    </row>
    <row r="396" customFormat="false" ht="17.15" hidden="false" customHeight="false" outlineLevel="0" collapsed="false">
      <c r="A396" s="6" t="s">
        <v>501</v>
      </c>
    </row>
    <row r="397" customFormat="false" ht="17.15" hidden="false" customHeight="false" outlineLevel="0" collapsed="false">
      <c r="A397" s="0" t="s">
        <v>502</v>
      </c>
      <c r="B397" s="0" t="s">
        <v>33</v>
      </c>
      <c r="D397" s="23" t="n">
        <f aca="false">itc_26*1</f>
        <v>781.872916666666</v>
      </c>
      <c r="E397" s="23" t="n">
        <f aca="false">itc_27*1*1</f>
        <v>1565.35</v>
      </c>
      <c r="F397" s="23" t="n">
        <f aca="false">itc_28*um28_B*1</f>
        <v>1587.41111111111</v>
      </c>
      <c r="G397" s="23" t="n">
        <f aca="false">itc_29*um29_B*1</f>
        <v>1921.33173611111</v>
      </c>
    </row>
    <row r="398" customFormat="false" ht="17.15" hidden="false" customHeight="false" outlineLevel="0" collapsed="false">
      <c r="A398" s="4" t="s">
        <v>503</v>
      </c>
      <c r="B398" s="0" t="s">
        <v>33</v>
      </c>
      <c r="D398" s="23" t="n">
        <f aca="false">itpg_gb*(1-vr26)+itpg_vr*vr26</f>
        <v>33.41403216</v>
      </c>
      <c r="E398" s="23" t="n">
        <f aca="false">itpg_vr</f>
        <v>37.586352</v>
      </c>
      <c r="F398" s="23" t="n">
        <f aca="false">itpg_vr</f>
        <v>37.586352</v>
      </c>
      <c r="G398" s="23" t="n">
        <f aca="false">itpg_vr</f>
        <v>37.586352</v>
      </c>
    </row>
    <row r="399" customFormat="false" ht="17.15" hidden="false" customHeight="false" outlineLevel="0" collapsed="false">
      <c r="A399" s="4" t="s">
        <v>504</v>
      </c>
      <c r="B399" s="0" t="s">
        <v>451</v>
      </c>
      <c r="D399" s="20" t="n">
        <f aca="false">D397/D398</f>
        <v>23.3995380420639</v>
      </c>
      <c r="E399" s="20" t="n">
        <f aca="false">E397/E398</f>
        <v>41.6467658260637</v>
      </c>
      <c r="F399" s="20" t="n">
        <f aca="false">F397/F398</f>
        <v>42.2337105529984</v>
      </c>
      <c r="G399" s="20" t="n">
        <f aca="false">G397/G398</f>
        <v>51.1178029756948</v>
      </c>
    </row>
    <row r="400" customFormat="false" ht="17.15" hidden="false" customHeight="false" outlineLevel="0" collapsed="false">
      <c r="A400" s="0" t="s">
        <v>453</v>
      </c>
      <c r="B400" s="0" t="s">
        <v>91</v>
      </c>
      <c r="D400" s="21" t="n">
        <f aca="false">pkw_26</f>
        <v>450</v>
      </c>
      <c r="E400" s="21" t="n">
        <f aca="false">pkw_27</f>
        <v>600</v>
      </c>
      <c r="F400" s="21" t="n">
        <f aca="false">pkw_28</f>
        <v>680</v>
      </c>
      <c r="G400" s="21" t="n">
        <f aca="false">pkw_29</f>
        <v>720</v>
      </c>
    </row>
    <row r="401" customFormat="false" ht="17.15" hidden="false" customHeight="false" outlineLevel="0" collapsed="false">
      <c r="A401" s="0" t="s">
        <v>505</v>
      </c>
      <c r="B401" s="0" t="s">
        <v>33</v>
      </c>
      <c r="D401" s="23" t="n">
        <f aca="false">D399*D400/1000</f>
        <v>10.5297921189287</v>
      </c>
      <c r="E401" s="23" t="n">
        <f aca="false">E399*E400/1000</f>
        <v>24.9880594956382</v>
      </c>
      <c r="F401" s="23" t="n">
        <f aca="false">F399*F400/1000</f>
        <v>28.7189231760389</v>
      </c>
      <c r="G401" s="23" t="n">
        <f aca="false">G399*G400/1000</f>
        <v>36.8048181425003</v>
      </c>
    </row>
    <row r="402" customFormat="false" ht="17.15" hidden="false" customHeight="false" outlineLevel="0" collapsed="false">
      <c r="A402" s="0" t="s">
        <v>506</v>
      </c>
      <c r="B402" s="0" t="s">
        <v>138</v>
      </c>
      <c r="D402" s="22" t="n">
        <f aca="false">D401*fx</f>
        <v>336.95334780572</v>
      </c>
      <c r="E402" s="22" t="n">
        <f aca="false">E401*fx</f>
        <v>799.617903860422</v>
      </c>
      <c r="F402" s="22" t="n">
        <f aca="false">F401*fx</f>
        <v>919.005541633245</v>
      </c>
      <c r="G402" s="22" t="n">
        <f aca="false">G401*fx</f>
        <v>1177.75418056001</v>
      </c>
    </row>
    <row r="403" customFormat="false" ht="17.15" hidden="false" customHeight="false" outlineLevel="0" collapsed="false">
      <c r="A403" s="4" t="s">
        <v>507</v>
      </c>
      <c r="B403" s="0" t="s">
        <v>53</v>
      </c>
      <c r="D403" s="17" t="n">
        <f aca="false">a26_aip/D402</f>
        <v>0.176143316327046</v>
      </c>
      <c r="K403" s="8" t="s">
        <v>508</v>
      </c>
    </row>
    <row r="404" customFormat="false" ht="17.15" hidden="false" customHeight="false" outlineLevel="0" collapsed="false">
      <c r="A404" s="4" t="s">
        <v>509</v>
      </c>
      <c r="B404" s="0" t="s">
        <v>64</v>
      </c>
      <c r="D404" s="18" t="n">
        <f aca="false">1</f>
        <v>1</v>
      </c>
      <c r="E404" s="18" t="n">
        <f aca="false">rel_27</f>
        <v>1</v>
      </c>
      <c r="F404" s="18" t="n">
        <f aca="false">rel_28</f>
        <v>1</v>
      </c>
      <c r="G404" s="18" t="n">
        <f aca="false">rel_29</f>
        <v>1</v>
      </c>
    </row>
    <row r="405" customFormat="false" ht="15" hidden="false" customHeight="false" outlineLevel="0" collapsed="false">
      <c r="A405" s="4" t="s">
        <v>459</v>
      </c>
      <c r="B405" s="0" t="s">
        <v>53</v>
      </c>
      <c r="D405" s="17" t="n">
        <f aca="false">$D$403*D404</f>
        <v>0.176143316327046</v>
      </c>
      <c r="E405" s="17" t="n">
        <f aca="false">$D$403*E404</f>
        <v>0.176143316327046</v>
      </c>
      <c r="F405" s="17" t="n">
        <f aca="false">$D$403*F404</f>
        <v>0.176143316327046</v>
      </c>
      <c r="G405" s="17" t="n">
        <f aca="false">$D$403*G404</f>
        <v>0.176143316327046</v>
      </c>
    </row>
    <row r="406" customFormat="false" ht="17.15" hidden="false" customHeight="false" outlineLevel="0" collapsed="false">
      <c r="A406" s="0" t="s">
        <v>510</v>
      </c>
      <c r="B406" s="0" t="s">
        <v>138</v>
      </c>
      <c r="C406" s="22" t="n">
        <f aca="false">a25_aip</f>
        <v>31.390065</v>
      </c>
      <c r="D406" s="22" t="n">
        <f aca="false">D402*D405</f>
        <v>59.35208013</v>
      </c>
      <c r="E406" s="22" t="n">
        <f aca="false">E402*E405</f>
        <v>140.847349380456</v>
      </c>
      <c r="F406" s="22" t="n">
        <f aca="false">F402*F405</f>
        <v>161.876683826213</v>
      </c>
      <c r="G406" s="22" t="n">
        <f aca="false">G402*G405</f>
        <v>207.453527181882</v>
      </c>
    </row>
    <row r="407" customFormat="false" ht="17.15" hidden="false" customHeight="false" outlineLevel="0" collapsed="false">
      <c r="A407" s="0" t="s">
        <v>511</v>
      </c>
      <c r="B407" s="0" t="s">
        <v>138</v>
      </c>
      <c r="C407" s="22" t="n">
        <f aca="false">a25_ai</f>
        <v>34.87785</v>
      </c>
      <c r="D407" s="22" t="n">
        <f aca="false">D406/(1-x_np)</f>
        <v>65.9467557</v>
      </c>
      <c r="E407" s="22" t="n">
        <f aca="false">E406/(1-x_np)</f>
        <v>156.497054867173</v>
      </c>
      <c r="F407" s="22" t="n">
        <f aca="false">F406/(1-x_np)</f>
        <v>179.862982029125</v>
      </c>
      <c r="G407" s="22" t="n">
        <f aca="false">G406/(1-x_np)</f>
        <v>230.50391909098</v>
      </c>
      <c r="K407" s="4" t="s">
        <v>512</v>
      </c>
    </row>
    <row r="408" customFormat="false" ht="17.15" hidden="false" customHeight="false" outlineLevel="0" collapsed="false">
      <c r="A408" s="6" t="s">
        <v>513</v>
      </c>
    </row>
    <row r="409" customFormat="false" ht="17.15" hidden="false" customHeight="false" outlineLevel="0" collapsed="false">
      <c r="A409" s="4" t="s">
        <v>514</v>
      </c>
      <c r="B409" s="0" t="s">
        <v>138</v>
      </c>
      <c r="C409" s="22" t="n">
        <f aca="false">a25_cn</f>
        <v>39.8604</v>
      </c>
      <c r="D409" s="22" t="n">
        <f aca="false">a26_cn</f>
        <v>50.0315607365079</v>
      </c>
      <c r="E409" s="22" t="n">
        <f aca="false">D409*(1+g_cn27)</f>
        <v>52.5331387733333</v>
      </c>
      <c r="F409" s="22" t="n">
        <f aca="false">E409*(1+g_cn28)</f>
        <v>55.159795712</v>
      </c>
      <c r="G409" s="22" t="n">
        <f aca="false">F409*(1+g_cn29)</f>
        <v>57.9177854976</v>
      </c>
      <c r="K409" s="4" t="s">
        <v>515</v>
      </c>
    </row>
    <row r="410" customFormat="false" ht="17.15" hidden="false" customHeight="false" outlineLevel="0" collapsed="false">
      <c r="A410" s="4" t="s">
        <v>431</v>
      </c>
      <c r="B410" s="0" t="s">
        <v>138</v>
      </c>
      <c r="C410" s="22" t="n">
        <f aca="false">C407+C409</f>
        <v>74.73825</v>
      </c>
      <c r="D410" s="22" t="n">
        <f aca="false">D407+D409</f>
        <v>115.978316436508</v>
      </c>
      <c r="E410" s="22" t="n">
        <f aca="false">E407+E409</f>
        <v>209.030193640506</v>
      </c>
      <c r="F410" s="22" t="n">
        <f aca="false">F407+F409</f>
        <v>235.022777741125</v>
      </c>
      <c r="G410" s="22" t="n">
        <f aca="false">G407+G409</f>
        <v>288.42170458858</v>
      </c>
      <c r="K410" s="4" t="s">
        <v>516</v>
      </c>
    </row>
    <row r="411" customFormat="false" ht="15" hidden="false" customHeight="false" outlineLevel="0" collapsed="false">
      <c r="A411" s="4" t="s">
        <v>435</v>
      </c>
      <c r="B411" s="0" t="s">
        <v>138</v>
      </c>
      <c r="C411" s="22" t="n">
        <f aca="false">a25_op</f>
        <v>28.23445</v>
      </c>
      <c r="D411" s="22" t="n">
        <f aca="false">a26_op</f>
        <v>32.8693205828571</v>
      </c>
      <c r="E411" s="22" t="n">
        <f aca="false">D411*(1+g_op27)</f>
        <v>34.512786612</v>
      </c>
      <c r="F411" s="22" t="n">
        <f aca="false">E411*(1+g_op28)</f>
        <v>36.2384259426</v>
      </c>
      <c r="G411" s="22" t="n">
        <f aca="false">F411*(1+g_op29)</f>
        <v>38.05034723973</v>
      </c>
    </row>
    <row r="412" customFormat="false" ht="15" hidden="false" customHeight="false" outlineLevel="0" collapsed="false">
      <c r="A412" s="4" t="s">
        <v>436</v>
      </c>
      <c r="B412" s="0" t="s">
        <v>138</v>
      </c>
      <c r="C412" s="22" t="n">
        <f aca="false">a25_ic</f>
        <v>63.1123</v>
      </c>
      <c r="D412" s="22" t="n">
        <f aca="false">a26_ic</f>
        <v>63.8838329806349</v>
      </c>
      <c r="E412" s="22" t="n">
        <f aca="false">D412*(1+g_ic27)</f>
        <v>63.8838329806349</v>
      </c>
      <c r="F412" s="22" t="n">
        <f aca="false">E412*(1+g_ic28)</f>
        <v>63.8838329806349</v>
      </c>
      <c r="G412" s="22" t="n">
        <f aca="false">F412*(1+g_ic29)</f>
        <v>63.8838329806349</v>
      </c>
    </row>
    <row r="413" customFormat="false" ht="17.15" hidden="false" customHeight="false" outlineLevel="0" collapsed="false">
      <c r="A413" s="4" t="s">
        <v>517</v>
      </c>
      <c r="B413" s="0" t="s">
        <v>138</v>
      </c>
      <c r="C413" s="22" t="n">
        <f aca="false">C409+C411+C412</f>
        <v>131.20715</v>
      </c>
      <c r="D413" s="22" t="n">
        <f aca="false">D409+D411+D412</f>
        <v>146.7847143</v>
      </c>
      <c r="E413" s="22" t="n">
        <f aca="false">E409+E411+E412</f>
        <v>150.929758365968</v>
      </c>
      <c r="F413" s="22" t="n">
        <f aca="false">F409+F411+F412</f>
        <v>155.282054635235</v>
      </c>
      <c r="G413" s="22" t="n">
        <f aca="false">G409+G411+G412</f>
        <v>159.851965717965</v>
      </c>
    </row>
    <row r="414" customFormat="false" ht="17.15" hidden="false" customHeight="false" outlineLevel="0" collapsed="false">
      <c r="A414" s="4" t="s">
        <v>383</v>
      </c>
      <c r="B414" s="0" t="s">
        <v>138</v>
      </c>
      <c r="C414" s="22" t="n">
        <f aca="false">C410+C411+C412</f>
        <v>166.085</v>
      </c>
      <c r="D414" s="22" t="n">
        <f aca="false">D410+D411+D412</f>
        <v>212.73147</v>
      </c>
      <c r="E414" s="22" t="n">
        <f aca="false">E410+E411+E412</f>
        <v>307.426813233141</v>
      </c>
      <c r="F414" s="22" t="n">
        <f aca="false">F410+F411+F412</f>
        <v>335.14503666436</v>
      </c>
      <c r="G414" s="22" t="n">
        <f aca="false">G410+G411+G412</f>
        <v>390.355884808945</v>
      </c>
      <c r="H414" s="24" t="n">
        <f aca="false">G414*(1+H416)</f>
        <v>438.431381645786</v>
      </c>
      <c r="I414" s="24" t="n">
        <f aca="false">H414*(1+I416)</f>
        <v>474.198201597232</v>
      </c>
      <c r="J414" s="24" t="n">
        <f aca="false">I414*(1+J416)</f>
        <v>493.166129661121</v>
      </c>
      <c r="K414" s="8" t="s">
        <v>518</v>
      </c>
    </row>
    <row r="415" customFormat="false" ht="17.15" hidden="false" customHeight="false" outlineLevel="0" collapsed="false">
      <c r="A415" s="4" t="s">
        <v>519</v>
      </c>
      <c r="B415" s="0" t="s">
        <v>138</v>
      </c>
      <c r="C415" s="28" t="n">
        <f aca="false">C414-a25_rev</f>
        <v>0</v>
      </c>
      <c r="D415" s="28" t="n">
        <f aca="false">D414-a26_rev</f>
        <v>0</v>
      </c>
    </row>
    <row r="416" customFormat="false" ht="15" hidden="false" customHeight="false" outlineLevel="0" collapsed="false">
      <c r="A416" s="4" t="s">
        <v>520</v>
      </c>
      <c r="B416" s="0" t="s">
        <v>53</v>
      </c>
      <c r="D416" s="17" t="n">
        <f aca="false">D414/C414-1</f>
        <v>0.280859017972725</v>
      </c>
      <c r="E416" s="17" t="n">
        <f aca="false">E414/D414-1</f>
        <v>0.445140266426689</v>
      </c>
      <c r="F416" s="17" t="n">
        <f aca="false">F414/E414-1</f>
        <v>0.0901620230835185</v>
      </c>
      <c r="G416" s="17" t="n">
        <f aca="false">G414/F414-1</f>
        <v>0.164737179741908</v>
      </c>
      <c r="H416" s="25" t="n">
        <f aca="false">$G416+(fade_gB-$G416)*1/3</f>
        <v>0.123158119827938</v>
      </c>
      <c r="I416" s="25" t="n">
        <f aca="false">$G416+(fade_gB-$G416)*2/3</f>
        <v>0.0815790599139692</v>
      </c>
      <c r="J416" s="25" t="n">
        <f aca="false">$G416+(fade_gB-$G416)*3/3</f>
        <v>0.04</v>
      </c>
    </row>
    <row r="417" customFormat="false" ht="17.15" hidden="false" customHeight="false" outlineLevel="0" collapsed="false">
      <c r="A417" s="0" t="s">
        <v>521</v>
      </c>
      <c r="B417" s="0" t="s">
        <v>53</v>
      </c>
      <c r="C417" s="17" t="n">
        <f aca="false">C407/C414</f>
        <v>0.21</v>
      </c>
      <c r="D417" s="17" t="n">
        <f aca="false">D407/D414</f>
        <v>0.31</v>
      </c>
      <c r="E417" s="17" t="n">
        <f aca="false">E407/E414</f>
        <v>0.509054669699521</v>
      </c>
      <c r="F417" s="17" t="n">
        <f aca="false">F407/F414</f>
        <v>0.53667207433316</v>
      </c>
      <c r="G417" s="17" t="n">
        <f aca="false">G407/G414</f>
        <v>0.590496846752541</v>
      </c>
    </row>
    <row r="418" customFormat="false" ht="17.15" hidden="false" customHeight="false" outlineLevel="0" collapsed="false">
      <c r="A418" s="4" t="s">
        <v>470</v>
      </c>
      <c r="B418" s="0" t="s">
        <v>471</v>
      </c>
      <c r="D418" s="21" t="n">
        <f aca="false">D407/fx/D399*1000</f>
        <v>88.0716581635229</v>
      </c>
      <c r="E418" s="21" t="n">
        <f aca="false">E407/fx/E399*1000</f>
        <v>117.428877551364</v>
      </c>
      <c r="F418" s="21" t="n">
        <f aca="false">F407/fx/F399*1000</f>
        <v>133.086061224879</v>
      </c>
      <c r="G418" s="21" t="n">
        <f aca="false">G407/fx/G399*1000</f>
        <v>140.914653061637</v>
      </c>
    </row>
    <row r="419" customFormat="false" ht="17.15" hidden="false" customHeight="false" outlineLevel="0" collapsed="false">
      <c r="A419" s="6" t="s">
        <v>522</v>
      </c>
    </row>
    <row r="420" customFormat="false" ht="17.15" hidden="false" customHeight="false" outlineLevel="0" collapsed="false">
      <c r="A420" s="4" t="s">
        <v>523</v>
      </c>
      <c r="B420" s="0" t="s">
        <v>53</v>
      </c>
      <c r="D420" s="17" t="n">
        <f aca="false">a26_gp/D414-d_ai*D417</f>
        <v>0.216982337009188</v>
      </c>
      <c r="K420" s="8" t="s">
        <v>524</v>
      </c>
    </row>
    <row r="421" customFormat="false" ht="17.15" hidden="false" customHeight="false" outlineLevel="0" collapsed="false">
      <c r="A421" s="0" t="s">
        <v>525</v>
      </c>
      <c r="B421" s="0" t="s">
        <v>53</v>
      </c>
      <c r="D421" s="17" t="n">
        <f aca="false">D420+d_ai</f>
        <v>0.336982337009188</v>
      </c>
      <c r="E421" s="17" t="n">
        <f aca="false">$D$421+GULO_27</f>
        <v>0.326982337009188</v>
      </c>
      <c r="F421" s="17" t="n">
        <f aca="false">$D$421+GULO_28</f>
        <v>0.321982337009188</v>
      </c>
      <c r="G421" s="17" t="n">
        <f aca="false">$D$421+GULO_29</f>
        <v>0.316982337009188</v>
      </c>
      <c r="K421" s="4" t="s">
        <v>526</v>
      </c>
    </row>
    <row r="422" customFormat="false" ht="15" hidden="false" customHeight="false" outlineLevel="0" collapsed="false">
      <c r="A422" s="4" t="s">
        <v>387</v>
      </c>
      <c r="B422" s="0" t="s">
        <v>138</v>
      </c>
      <c r="C422" s="22" t="n">
        <f aca="false">a25_gp</f>
        <v>38.039</v>
      </c>
      <c r="D422" s="22" t="n">
        <f aca="false">a26_gp</f>
        <v>54.0725822</v>
      </c>
      <c r="E422" s="22" t="n">
        <f aca="false">E407*E421+E413*$D$420</f>
        <v>83.9208644300032</v>
      </c>
      <c r="F422" s="22" t="n">
        <f aca="false">F407*F421+F413*$D$420</f>
        <v>91.6061664055211</v>
      </c>
      <c r="G422" s="22" t="n">
        <f aca="false">G407*G421+G413*$D$420</f>
        <v>107.750724060232</v>
      </c>
    </row>
    <row r="423" customFormat="false" ht="15" hidden="false" customHeight="false" outlineLevel="0" collapsed="false">
      <c r="A423" s="4" t="s">
        <v>390</v>
      </c>
      <c r="B423" s="0" t="s">
        <v>53</v>
      </c>
      <c r="C423" s="17" t="n">
        <f aca="false">C422/C414</f>
        <v>0.229033326308818</v>
      </c>
      <c r="D423" s="17" t="n">
        <f aca="false">D422/D414</f>
        <v>0.254182337009188</v>
      </c>
      <c r="E423" s="17" t="n">
        <f aca="false">E422/E414</f>
        <v>0.272978350676136</v>
      </c>
      <c r="F423" s="17" t="n">
        <f aca="false">F422/F414</f>
        <v>0.27333290481417</v>
      </c>
      <c r="G423" s="17" t="n">
        <f aca="false">G422/G414</f>
        <v>0.276032021684442</v>
      </c>
    </row>
    <row r="424" customFormat="false" ht="15" hidden="false" customHeight="false" outlineLevel="0" collapsed="false">
      <c r="A424" s="4" t="s">
        <v>527</v>
      </c>
      <c r="B424" s="0" t="s">
        <v>138</v>
      </c>
      <c r="C424" s="22" t="n">
        <f aca="false">a25_opx</f>
        <v>21.301</v>
      </c>
      <c r="D424" s="22" t="n">
        <f aca="false">a26_opx</f>
        <v>25.21033346</v>
      </c>
      <c r="E424" s="22" t="n">
        <f aca="false">D424*(1+MAX(0,phi*E416))</f>
        <v>33.0658276471631</v>
      </c>
      <c r="F424" s="22" t="n">
        <f aca="false">E424*(1+MAX(0,phi*F416))</f>
        <v>35.1527249880825</v>
      </c>
      <c r="G424" s="22" t="n">
        <f aca="false">F424*(1+MAX(0,phi*G416))</f>
        <v>39.2063975304282</v>
      </c>
    </row>
    <row r="425" customFormat="false" ht="15" hidden="false" customHeight="false" outlineLevel="0" collapsed="false">
      <c r="A425" s="4" t="s">
        <v>392</v>
      </c>
      <c r="B425" s="0" t="s">
        <v>138</v>
      </c>
      <c r="C425" s="22" t="n">
        <f aca="false">C424</f>
        <v>21.301</v>
      </c>
      <c r="D425" s="22" t="n">
        <f aca="false">D424</f>
        <v>25.21033346</v>
      </c>
      <c r="E425" s="22" t="n">
        <f aca="false">E424+0*E414</f>
        <v>33.0658276471631</v>
      </c>
      <c r="F425" s="22" t="n">
        <f aca="false">F424+0*F414</f>
        <v>35.1527249880825</v>
      </c>
      <c r="G425" s="22" t="n">
        <f aca="false">G424+0*G414</f>
        <v>39.2063975304282</v>
      </c>
    </row>
    <row r="426" customFormat="false" ht="15" hidden="false" customHeight="false" outlineLevel="0" collapsed="false">
      <c r="A426" s="4" t="s">
        <v>395</v>
      </c>
      <c r="B426" s="0" t="s">
        <v>138</v>
      </c>
      <c r="C426" s="22" t="n">
        <f aca="false">C422-C425</f>
        <v>16.738</v>
      </c>
      <c r="D426" s="22" t="n">
        <f aca="false">D422-D425</f>
        <v>28.86224874</v>
      </c>
      <c r="E426" s="22" t="n">
        <f aca="false">E422-E425</f>
        <v>50.8550367828402</v>
      </c>
      <c r="F426" s="22" t="n">
        <f aca="false">F422-F425</f>
        <v>56.4534414174386</v>
      </c>
      <c r="G426" s="22" t="n">
        <f aca="false">G422-G425</f>
        <v>68.5443265298042</v>
      </c>
    </row>
    <row r="427" customFormat="false" ht="15" hidden="false" customHeight="false" outlineLevel="0" collapsed="false">
      <c r="A427" s="4" t="s">
        <v>397</v>
      </c>
      <c r="B427" s="0" t="s">
        <v>53</v>
      </c>
      <c r="C427" s="17" t="n">
        <f aca="false">C426/C414</f>
        <v>0.100779721227083</v>
      </c>
      <c r="D427" s="17" t="n">
        <f aca="false">D426/D414</f>
        <v>0.135674560703219</v>
      </c>
      <c r="E427" s="17" t="n">
        <f aca="false">E426/E414</f>
        <v>0.16542160473255</v>
      </c>
      <c r="F427" s="17" t="n">
        <f aca="false">F426/F414</f>
        <v>0.168444808192029</v>
      </c>
      <c r="G427" s="17" t="n">
        <f aca="false">G426/G414</f>
        <v>0.175594449058588</v>
      </c>
    </row>
    <row r="428" customFormat="false" ht="15" hidden="false" customHeight="false" outlineLevel="0" collapsed="false">
      <c r="A428" s="4" t="s">
        <v>399</v>
      </c>
      <c r="B428" s="0" t="s">
        <v>138</v>
      </c>
      <c r="C428" s="22" t="n">
        <f aca="false">a25_nop</f>
        <v>2.9762895</v>
      </c>
      <c r="D428" s="22" t="n">
        <f aca="false">a26_nop</f>
        <v>3.839</v>
      </c>
      <c r="E428" s="22" t="n">
        <f aca="false">nop_f</f>
        <v>3.5</v>
      </c>
      <c r="F428" s="22" t="n">
        <f aca="false">nop_f</f>
        <v>3.5</v>
      </c>
      <c r="G428" s="22" t="n">
        <f aca="false">nop_f</f>
        <v>3.5</v>
      </c>
    </row>
    <row r="429" customFormat="false" ht="17.15" hidden="false" customHeight="false" outlineLevel="0" collapsed="false">
      <c r="A429" s="4" t="s">
        <v>528</v>
      </c>
      <c r="B429" s="0" t="s">
        <v>53</v>
      </c>
      <c r="C429" s="17" t="n">
        <f aca="false">a25_ni/a25_pt</f>
        <v>0.766753475949514</v>
      </c>
      <c r="D429" s="17" t="n">
        <f aca="false">a26_ni/a26_pt</f>
        <v>0.759431002022174</v>
      </c>
      <c r="E429" s="17" t="n">
        <f aca="false">nir_f</f>
        <v>0.76</v>
      </c>
      <c r="F429" s="17" t="n">
        <f aca="false">nir_f</f>
        <v>0.76</v>
      </c>
      <c r="G429" s="17" t="n">
        <f aca="false">nir_f</f>
        <v>0.76</v>
      </c>
    </row>
    <row r="430" customFormat="false" ht="15" hidden="false" customHeight="false" outlineLevel="0" collapsed="false">
      <c r="A430" s="4" t="s">
        <v>404</v>
      </c>
      <c r="B430" s="0" t="s">
        <v>138</v>
      </c>
      <c r="C430" s="22" t="n">
        <f aca="false">a25_ni</f>
        <v>15.116</v>
      </c>
      <c r="D430" s="22" t="n">
        <f aca="false">a26_ni</f>
        <v>24.8343420979946</v>
      </c>
      <c r="E430" s="22" t="n">
        <f aca="false">(E426+E428)*E429</f>
        <v>41.3098279549585</v>
      </c>
      <c r="F430" s="22" t="n">
        <f aca="false">(F426+F428)*F429</f>
        <v>45.5646154772534</v>
      </c>
      <c r="G430" s="22" t="n">
        <f aca="false">(G426+G428)*G429</f>
        <v>54.7536881626512</v>
      </c>
      <c r="H430" s="24" t="n">
        <f aca="false">H414*H434</f>
        <v>56.6545365636693</v>
      </c>
      <c r="I430" s="24" t="n">
        <f aca="false">I414*I434</f>
        <v>56.0387998607343</v>
      </c>
      <c r="J430" s="24" t="n">
        <f aca="false">J414*J434</f>
        <v>52.8332888980764</v>
      </c>
    </row>
    <row r="431" customFormat="false" ht="15" hidden="false" customHeight="false" outlineLevel="0" collapsed="false">
      <c r="A431" s="4" t="s">
        <v>529</v>
      </c>
      <c r="B431" s="4" t="s">
        <v>231</v>
      </c>
      <c r="C431" s="27" t="n">
        <f aca="false">a25_sh</f>
        <v>2.27650602409639</v>
      </c>
      <c r="D431" s="27" t="n">
        <f aca="false">a26_sh</f>
        <v>2.26895833333333</v>
      </c>
      <c r="E431" s="27" t="n">
        <f aca="false">D431*(1+sh_g)</f>
        <v>2.26895833333333</v>
      </c>
      <c r="F431" s="27" t="n">
        <f aca="false">E431*(1+sh_g)</f>
        <v>2.26895833333333</v>
      </c>
      <c r="G431" s="27" t="n">
        <f aca="false">F431*(1+sh_g)</f>
        <v>2.26895833333333</v>
      </c>
      <c r="H431" s="29" t="n">
        <f aca="false">G431*(1+sh_g)</f>
        <v>2.26895833333333</v>
      </c>
      <c r="I431" s="29" t="n">
        <f aca="false">H431*(1+sh_g)</f>
        <v>2.26895833333333</v>
      </c>
      <c r="J431" s="29" t="n">
        <f aca="false">I431*(1+sh_g)</f>
        <v>2.26895833333333</v>
      </c>
    </row>
    <row r="432" customFormat="false" ht="15" hidden="false" customHeight="false" outlineLevel="0" collapsed="false">
      <c r="A432" s="0" t="s">
        <v>410</v>
      </c>
      <c r="B432" s="0" t="s">
        <v>264</v>
      </c>
      <c r="C432" s="23" t="n">
        <f aca="false">C430/C431</f>
        <v>6.64</v>
      </c>
      <c r="D432" s="23" t="n">
        <f aca="false">D430/D431</f>
        <v>10.9452614149641</v>
      </c>
      <c r="E432" s="23" t="n">
        <f aca="false">E430/E431</f>
        <v>18.2065167738317</v>
      </c>
      <c r="F432" s="23" t="n">
        <f aca="false">F430/F431</f>
        <v>20.0817330172451</v>
      </c>
      <c r="G432" s="23" t="n">
        <f aca="false">G430/G431</f>
        <v>24.1316410963847</v>
      </c>
      <c r="H432" s="30" t="n">
        <f aca="false">H430/H431</f>
        <v>24.9694036824546</v>
      </c>
      <c r="I432" s="30" t="n">
        <f aca="false">I430/I431</f>
        <v>24.6980295043177</v>
      </c>
      <c r="J432" s="30" t="n">
        <f aca="false">J430/J431</f>
        <v>23.28526184104</v>
      </c>
    </row>
    <row r="433" customFormat="false" ht="17.15" hidden="false" customHeight="false" outlineLevel="0" collapsed="false">
      <c r="A433" s="0" t="s">
        <v>530</v>
      </c>
      <c r="B433" s="0" t="s">
        <v>53</v>
      </c>
      <c r="D433" s="17" t="n">
        <f aca="false">D432/C432-1</f>
        <v>0.648382743217484</v>
      </c>
      <c r="E433" s="17" t="n">
        <f aca="false">E432/D432-1</f>
        <v>0.663415434640985</v>
      </c>
      <c r="F433" s="17" t="n">
        <f aca="false">F432/E432-1</f>
        <v>0.102996979966461</v>
      </c>
      <c r="G433" s="17" t="n">
        <f aca="false">G432/F432-1</f>
        <v>0.201671243993822</v>
      </c>
      <c r="H433" s="25" t="n">
        <f aca="false">H432/G432-1</f>
        <v>0.0347163536339585</v>
      </c>
      <c r="I433" s="25" t="n">
        <f aca="false">I432/H432-1</f>
        <v>-0.0108682682849777</v>
      </c>
      <c r="J433" s="25" t="n">
        <f aca="false">J432/I432-1</f>
        <v>-0.057201634771338</v>
      </c>
    </row>
    <row r="434" customFormat="false" ht="17.15" hidden="false" customHeight="false" outlineLevel="0" collapsed="false">
      <c r="A434" s="4" t="s">
        <v>531</v>
      </c>
      <c r="B434" s="0" t="s">
        <v>53</v>
      </c>
      <c r="C434" s="17" t="n">
        <f aca="false">C430/C414</f>
        <v>0.0910136375952073</v>
      </c>
      <c r="D434" s="17" t="n">
        <f aca="false">D430/D414</f>
        <v>0.116740330417472</v>
      </c>
      <c r="E434" s="17" t="n">
        <f aca="false">E430/E414</f>
        <v>0.134372885437389</v>
      </c>
      <c r="F434" s="17" t="n">
        <f aca="false">F430/F414</f>
        <v>0.135954916506447</v>
      </c>
      <c r="G434" s="17" t="n">
        <f aca="false">G430/G414</f>
        <v>0.140266075889825</v>
      </c>
      <c r="H434" s="25" t="n">
        <f aca="false">$G434+(fade_mB-$G434)*1/3</f>
        <v>0.129220988586627</v>
      </c>
      <c r="I434" s="25" t="n">
        <f aca="false">$G434+(fade_mB-$G434)*2/3</f>
        <v>0.118175901283429</v>
      </c>
      <c r="J434" s="25" t="n">
        <f aca="false">$G434+(fade_mB-$G434)*3/3</f>
        <v>0.107130813980232</v>
      </c>
    </row>
    <row r="437" customFormat="false" ht="17.15" hidden="false" customHeight="false" outlineLevel="0" collapsed="false">
      <c r="A437" s="1" t="s">
        <v>869</v>
      </c>
    </row>
    <row r="438" customFormat="false" ht="17.15" hidden="false" customHeight="false" outlineLevel="0" collapsed="false">
      <c r="A438" s="5" t="s">
        <v>22</v>
      </c>
      <c r="B438" s="5" t="s">
        <v>23</v>
      </c>
      <c r="C438" s="14" t="s">
        <v>378</v>
      </c>
      <c r="D438" s="14" t="s">
        <v>476</v>
      </c>
      <c r="E438" s="14" t="s">
        <v>477</v>
      </c>
      <c r="F438" s="14" t="s">
        <v>478</v>
      </c>
      <c r="G438" s="14" t="s">
        <v>479</v>
      </c>
      <c r="H438" s="14" t="s">
        <v>480</v>
      </c>
      <c r="I438" s="14" t="s">
        <v>481</v>
      </c>
      <c r="J438" s="14" t="s">
        <v>482</v>
      </c>
      <c r="K438" s="5" t="s">
        <v>449</v>
      </c>
    </row>
    <row r="439" customFormat="false" ht="17.15" hidden="false" customHeight="false" outlineLevel="0" collapsed="false">
      <c r="A439" s="6" t="s">
        <v>501</v>
      </c>
    </row>
    <row r="440" customFormat="false" ht="17.15" hidden="false" customHeight="false" outlineLevel="0" collapsed="false">
      <c r="A440" s="0" t="s">
        <v>502</v>
      </c>
      <c r="B440" s="0" t="s">
        <v>33</v>
      </c>
      <c r="D440" s="23" t="n">
        <f aca="false">itc_26*1</f>
        <v>781.872916666666</v>
      </c>
      <c r="E440" s="23" t="n">
        <f aca="false">itc_27*1*1</f>
        <v>1565.35</v>
      </c>
      <c r="F440" s="23" t="n">
        <f aca="false">itc_28*um28_B*1</f>
        <v>1587.41111111111</v>
      </c>
      <c r="G440" s="23" t="n">
        <f aca="false">itc_29*um29_B*1</f>
        <v>1921.33173611111</v>
      </c>
    </row>
    <row r="441" customFormat="false" ht="17.15" hidden="false" customHeight="false" outlineLevel="0" collapsed="false">
      <c r="A441" s="4" t="s">
        <v>503</v>
      </c>
      <c r="B441" s="0" t="s">
        <v>33</v>
      </c>
      <c r="D441" s="23" t="n">
        <f aca="false">itpg_gb*(1-vr26)+itpg_vr*vr26</f>
        <v>33.41403216</v>
      </c>
      <c r="E441" s="23" t="n">
        <f aca="false">itpg_vr</f>
        <v>37.586352</v>
      </c>
      <c r="F441" s="23" t="n">
        <f aca="false">itpg_vr</f>
        <v>37.586352</v>
      </c>
      <c r="G441" s="23" t="n">
        <f aca="false">itpg_vr</f>
        <v>37.586352</v>
      </c>
    </row>
    <row r="442" customFormat="false" ht="17.15" hidden="false" customHeight="false" outlineLevel="0" collapsed="false">
      <c r="A442" s="4" t="s">
        <v>504</v>
      </c>
      <c r="B442" s="0" t="s">
        <v>451</v>
      </c>
      <c r="D442" s="20" t="n">
        <f aca="false">D440/D441</f>
        <v>23.3995380420639</v>
      </c>
      <c r="E442" s="20" t="n">
        <f aca="false">E440/E441</f>
        <v>41.6467658260637</v>
      </c>
      <c r="F442" s="20" t="n">
        <f aca="false">F440/F441</f>
        <v>42.2337105529984</v>
      </c>
      <c r="G442" s="20" t="n">
        <f aca="false">G440/G441</f>
        <v>51.1178029756948</v>
      </c>
    </row>
    <row r="443" customFormat="false" ht="17.15" hidden="false" customHeight="false" outlineLevel="0" collapsed="false">
      <c r="A443" s="0" t="s">
        <v>453</v>
      </c>
      <c r="B443" s="0" t="s">
        <v>91</v>
      </c>
      <c r="D443" s="21" t="n">
        <f aca="false">pkw_26</f>
        <v>450</v>
      </c>
      <c r="E443" s="21" t="n">
        <f aca="false">pkw_27</f>
        <v>600</v>
      </c>
      <c r="F443" s="21" t="n">
        <f aca="false">pkw_28</f>
        <v>680</v>
      </c>
      <c r="G443" s="21" t="n">
        <f aca="false">pkw_29</f>
        <v>720</v>
      </c>
    </row>
    <row r="444" customFormat="false" ht="17.15" hidden="false" customHeight="false" outlineLevel="0" collapsed="false">
      <c r="A444" s="0" t="s">
        <v>505</v>
      </c>
      <c r="B444" s="0" t="s">
        <v>33</v>
      </c>
      <c r="D444" s="23" t="n">
        <f aca="false">D442*D443/1000</f>
        <v>10.5297921189287</v>
      </c>
      <c r="E444" s="23" t="n">
        <f aca="false">E442*E443/1000</f>
        <v>24.9880594956382</v>
      </c>
      <c r="F444" s="23" t="n">
        <f aca="false">F442*F443/1000</f>
        <v>28.7189231760389</v>
      </c>
      <c r="G444" s="23" t="n">
        <f aca="false">G442*G443/1000</f>
        <v>36.8048181425003</v>
      </c>
    </row>
    <row r="445" customFormat="false" ht="17.15" hidden="false" customHeight="false" outlineLevel="0" collapsed="false">
      <c r="A445" s="0" t="s">
        <v>506</v>
      </c>
      <c r="B445" s="0" t="s">
        <v>138</v>
      </c>
      <c r="D445" s="22" t="n">
        <f aca="false">D444*fx</f>
        <v>336.95334780572</v>
      </c>
      <c r="E445" s="22" t="n">
        <f aca="false">E444*fx</f>
        <v>799.617903860422</v>
      </c>
      <c r="F445" s="22" t="n">
        <f aca="false">F444*fx</f>
        <v>919.005541633245</v>
      </c>
      <c r="G445" s="22" t="n">
        <f aca="false">G444*fx</f>
        <v>1177.75418056001</v>
      </c>
    </row>
    <row r="446" customFormat="false" ht="17.15" hidden="false" customHeight="false" outlineLevel="0" collapsed="false">
      <c r="A446" s="4" t="s">
        <v>507</v>
      </c>
      <c r="B446" s="0" t="s">
        <v>53</v>
      </c>
      <c r="D446" s="17" t="n">
        <f aca="false">a26_aip/D445</f>
        <v>0.176143316327046</v>
      </c>
      <c r="K446" s="8" t="s">
        <v>508</v>
      </c>
    </row>
    <row r="447" customFormat="false" ht="17.15" hidden="false" customHeight="false" outlineLevel="0" collapsed="false">
      <c r="A447" s="4" t="s">
        <v>509</v>
      </c>
      <c r="B447" s="0" t="s">
        <v>64</v>
      </c>
      <c r="D447" s="18" t="n">
        <f aca="false">1</f>
        <v>1</v>
      </c>
      <c r="E447" s="18" t="n">
        <f aca="false">rel_27</f>
        <v>1</v>
      </c>
      <c r="F447" s="18" t="n">
        <f aca="false">rel_28</f>
        <v>1</v>
      </c>
      <c r="G447" s="18" t="n">
        <f aca="false">rel_29</f>
        <v>1</v>
      </c>
    </row>
    <row r="448" customFormat="false" ht="15" hidden="false" customHeight="false" outlineLevel="0" collapsed="false">
      <c r="A448" s="4" t="s">
        <v>459</v>
      </c>
      <c r="B448" s="0" t="s">
        <v>53</v>
      </c>
      <c r="D448" s="17" t="n">
        <f aca="false">$D$446*D447</f>
        <v>0.176143316327046</v>
      </c>
      <c r="E448" s="17" t="n">
        <f aca="false">$D$446*E447</f>
        <v>0.176143316327046</v>
      </c>
      <c r="F448" s="17" t="n">
        <f aca="false">$D$446*F447</f>
        <v>0.176143316327046</v>
      </c>
      <c r="G448" s="17" t="n">
        <f aca="false">$D$446*G447</f>
        <v>0.176143316327046</v>
      </c>
    </row>
    <row r="449" customFormat="false" ht="17.15" hidden="false" customHeight="false" outlineLevel="0" collapsed="false">
      <c r="A449" s="0" t="s">
        <v>510</v>
      </c>
      <c r="B449" s="0" t="s">
        <v>138</v>
      </c>
      <c r="C449" s="22" t="n">
        <f aca="false">a25_aip</f>
        <v>31.390065</v>
      </c>
      <c r="D449" s="22" t="n">
        <f aca="false">D445*D448</f>
        <v>59.35208013</v>
      </c>
      <c r="E449" s="22" t="n">
        <f aca="false">E445*E448</f>
        <v>140.847349380456</v>
      </c>
      <c r="F449" s="22" t="n">
        <f aca="false">F445*F448</f>
        <v>161.876683826213</v>
      </c>
      <c r="G449" s="22" t="n">
        <f aca="false">G445*G448</f>
        <v>207.453527181882</v>
      </c>
    </row>
    <row r="450" customFormat="false" ht="17.15" hidden="false" customHeight="false" outlineLevel="0" collapsed="false">
      <c r="A450" s="0" t="s">
        <v>511</v>
      </c>
      <c r="B450" s="0" t="s">
        <v>138</v>
      </c>
      <c r="C450" s="22" t="n">
        <f aca="false">a25_ai</f>
        <v>34.87785</v>
      </c>
      <c r="D450" s="22" t="n">
        <f aca="false">D449/(1-x_np)</f>
        <v>65.9467557</v>
      </c>
      <c r="E450" s="22" t="n">
        <f aca="false">E449/(1-x_np)</f>
        <v>156.497054867173</v>
      </c>
      <c r="F450" s="22" t="n">
        <f aca="false">F449/(1-x_np)</f>
        <v>179.862982029125</v>
      </c>
      <c r="G450" s="22" t="n">
        <f aca="false">G449/(1-x_np)</f>
        <v>230.50391909098</v>
      </c>
      <c r="K450" s="4" t="s">
        <v>512</v>
      </c>
    </row>
    <row r="451" customFormat="false" ht="17.15" hidden="false" customHeight="false" outlineLevel="0" collapsed="false">
      <c r="A451" s="6" t="s">
        <v>513</v>
      </c>
    </row>
    <row r="452" customFormat="false" ht="17.15" hidden="false" customHeight="false" outlineLevel="0" collapsed="false">
      <c r="A452" s="4" t="s">
        <v>514</v>
      </c>
      <c r="B452" s="0" t="s">
        <v>138</v>
      </c>
      <c r="C452" s="22" t="n">
        <f aca="false">a25_cn</f>
        <v>39.8604</v>
      </c>
      <c r="D452" s="22" t="n">
        <f aca="false">a26_cn</f>
        <v>50.0315607365079</v>
      </c>
      <c r="E452" s="22" t="n">
        <f aca="false">D452*(1+g_cn27)</f>
        <v>52.5331387733333</v>
      </c>
      <c r="F452" s="22" t="n">
        <f aca="false">E452*(1+g_cn28)</f>
        <v>55.159795712</v>
      </c>
      <c r="G452" s="22" t="n">
        <f aca="false">F452*(1+g_cn29)</f>
        <v>57.9177854976</v>
      </c>
      <c r="K452" s="4" t="s">
        <v>515</v>
      </c>
    </row>
    <row r="453" customFormat="false" ht="17.15" hidden="false" customHeight="false" outlineLevel="0" collapsed="false">
      <c r="A453" s="4" t="s">
        <v>431</v>
      </c>
      <c r="B453" s="0" t="s">
        <v>138</v>
      </c>
      <c r="C453" s="22" t="n">
        <f aca="false">C450+C452</f>
        <v>74.73825</v>
      </c>
      <c r="D453" s="22" t="n">
        <f aca="false">D450+D452</f>
        <v>115.978316436508</v>
      </c>
      <c r="E453" s="22" t="n">
        <f aca="false">E450+E452</f>
        <v>209.030193640506</v>
      </c>
      <c r="F453" s="22" t="n">
        <f aca="false">F450+F452</f>
        <v>235.022777741125</v>
      </c>
      <c r="G453" s="22" t="n">
        <f aca="false">G450+G452</f>
        <v>288.42170458858</v>
      </c>
      <c r="K453" s="4" t="s">
        <v>516</v>
      </c>
    </row>
    <row r="454" customFormat="false" ht="15" hidden="false" customHeight="false" outlineLevel="0" collapsed="false">
      <c r="A454" s="4" t="s">
        <v>435</v>
      </c>
      <c r="B454" s="0" t="s">
        <v>138</v>
      </c>
      <c r="C454" s="22" t="n">
        <f aca="false">a25_op</f>
        <v>28.23445</v>
      </c>
      <c r="D454" s="22" t="n">
        <f aca="false">a26_op</f>
        <v>32.8693205828571</v>
      </c>
      <c r="E454" s="22" t="n">
        <f aca="false">D454*(1+g_op27)</f>
        <v>34.512786612</v>
      </c>
      <c r="F454" s="22" t="n">
        <f aca="false">E454*(1+g_op28)</f>
        <v>36.2384259426</v>
      </c>
      <c r="G454" s="22" t="n">
        <f aca="false">F454*(1+g_op29)</f>
        <v>38.05034723973</v>
      </c>
    </row>
    <row r="455" customFormat="false" ht="15" hidden="false" customHeight="false" outlineLevel="0" collapsed="false">
      <c r="A455" s="4" t="s">
        <v>436</v>
      </c>
      <c r="B455" s="0" t="s">
        <v>138</v>
      </c>
      <c r="C455" s="22" t="n">
        <f aca="false">a25_ic</f>
        <v>63.1123</v>
      </c>
      <c r="D455" s="22" t="n">
        <f aca="false">a26_ic</f>
        <v>63.8838329806349</v>
      </c>
      <c r="E455" s="22" t="n">
        <f aca="false">D455*(1+g_ic27)</f>
        <v>63.8838329806349</v>
      </c>
      <c r="F455" s="22" t="n">
        <f aca="false">E455*(1+g_ic28)</f>
        <v>63.8838329806349</v>
      </c>
      <c r="G455" s="22" t="n">
        <f aca="false">F455*(1+g_ic29)</f>
        <v>63.8838329806349</v>
      </c>
    </row>
    <row r="456" customFormat="false" ht="17.15" hidden="false" customHeight="false" outlineLevel="0" collapsed="false">
      <c r="A456" s="4" t="s">
        <v>517</v>
      </c>
      <c r="B456" s="0" t="s">
        <v>138</v>
      </c>
      <c r="C456" s="22" t="n">
        <f aca="false">C452+C454+C455</f>
        <v>131.20715</v>
      </c>
      <c r="D456" s="22" t="n">
        <f aca="false">D452+D454+D455</f>
        <v>146.7847143</v>
      </c>
      <c r="E456" s="22" t="n">
        <f aca="false">E452+E454+E455</f>
        <v>150.929758365968</v>
      </c>
      <c r="F456" s="22" t="n">
        <f aca="false">F452+F454+F455</f>
        <v>155.282054635235</v>
      </c>
      <c r="G456" s="22" t="n">
        <f aca="false">G452+G454+G455</f>
        <v>159.851965717965</v>
      </c>
    </row>
    <row r="457" customFormat="false" ht="17.15" hidden="false" customHeight="false" outlineLevel="0" collapsed="false">
      <c r="A457" s="4" t="s">
        <v>383</v>
      </c>
      <c r="B457" s="0" t="s">
        <v>138</v>
      </c>
      <c r="C457" s="22" t="n">
        <f aca="false">C453+C454+C455</f>
        <v>166.085</v>
      </c>
      <c r="D457" s="22" t="n">
        <f aca="false">D453+D454+D455</f>
        <v>212.73147</v>
      </c>
      <c r="E457" s="22" t="n">
        <f aca="false">E453+E454+E455</f>
        <v>307.426813233141</v>
      </c>
      <c r="F457" s="22" t="n">
        <f aca="false">F453+F454+F455</f>
        <v>335.14503666436</v>
      </c>
      <c r="G457" s="22" t="n">
        <f aca="false">G453+G454+G455</f>
        <v>390.355884808945</v>
      </c>
      <c r="H457" s="24" t="n">
        <f aca="false">G457*(1+H459)</f>
        <v>438.431381645786</v>
      </c>
      <c r="I457" s="24" t="n">
        <f aca="false">H457*(1+I459)</f>
        <v>474.198201597232</v>
      </c>
      <c r="J457" s="24" t="n">
        <f aca="false">I457*(1+J459)</f>
        <v>493.166129661121</v>
      </c>
      <c r="K457" s="8" t="s">
        <v>518</v>
      </c>
    </row>
    <row r="458" customFormat="false" ht="17.15" hidden="false" customHeight="false" outlineLevel="0" collapsed="false">
      <c r="A458" s="4" t="s">
        <v>519</v>
      </c>
      <c r="B458" s="0" t="s">
        <v>138</v>
      </c>
      <c r="C458" s="28" t="n">
        <f aca="false">C457-a25_rev</f>
        <v>0</v>
      </c>
      <c r="D458" s="28" t="n">
        <f aca="false">D457-a26_rev</f>
        <v>0</v>
      </c>
    </row>
    <row r="459" customFormat="false" ht="15" hidden="false" customHeight="false" outlineLevel="0" collapsed="false">
      <c r="A459" s="4" t="s">
        <v>520</v>
      </c>
      <c r="B459" s="0" t="s">
        <v>53</v>
      </c>
      <c r="D459" s="17" t="n">
        <f aca="false">D457/C457-1</f>
        <v>0.280859017972725</v>
      </c>
      <c r="E459" s="17" t="n">
        <f aca="false">E457/D457-1</f>
        <v>0.445140266426689</v>
      </c>
      <c r="F459" s="17" t="n">
        <f aca="false">F457/E457-1</f>
        <v>0.0901620230835185</v>
      </c>
      <c r="G459" s="17" t="n">
        <f aca="false">G457/F457-1</f>
        <v>0.164737179741908</v>
      </c>
      <c r="H459" s="25" t="n">
        <f aca="false">$G459+(fade_gB-$G459)*1/3</f>
        <v>0.123158119827938</v>
      </c>
      <c r="I459" s="25" t="n">
        <f aca="false">$G459+(fade_gB-$G459)*2/3</f>
        <v>0.0815790599139692</v>
      </c>
      <c r="J459" s="25" t="n">
        <f aca="false">$G459+(fade_gB-$G459)*3/3</f>
        <v>0.04</v>
      </c>
    </row>
    <row r="460" customFormat="false" ht="17.15" hidden="false" customHeight="false" outlineLevel="0" collapsed="false">
      <c r="A460" s="0" t="s">
        <v>521</v>
      </c>
      <c r="B460" s="0" t="s">
        <v>53</v>
      </c>
      <c r="C460" s="17" t="n">
        <f aca="false">C450/C457</f>
        <v>0.21</v>
      </c>
      <c r="D460" s="17" t="n">
        <f aca="false">D450/D457</f>
        <v>0.31</v>
      </c>
      <c r="E460" s="17" t="n">
        <f aca="false">E450/E457</f>
        <v>0.509054669699521</v>
      </c>
      <c r="F460" s="17" t="n">
        <f aca="false">F450/F457</f>
        <v>0.53667207433316</v>
      </c>
      <c r="G460" s="17" t="n">
        <f aca="false">G450/G457</f>
        <v>0.590496846752541</v>
      </c>
    </row>
    <row r="461" customFormat="false" ht="17.15" hidden="false" customHeight="false" outlineLevel="0" collapsed="false">
      <c r="A461" s="4" t="s">
        <v>470</v>
      </c>
      <c r="B461" s="0" t="s">
        <v>471</v>
      </c>
      <c r="D461" s="21" t="n">
        <f aca="false">D450/fx/D442*1000</f>
        <v>88.0716581635229</v>
      </c>
      <c r="E461" s="21" t="n">
        <f aca="false">E450/fx/E442*1000</f>
        <v>117.428877551364</v>
      </c>
      <c r="F461" s="21" t="n">
        <f aca="false">F450/fx/F442*1000</f>
        <v>133.086061224879</v>
      </c>
      <c r="G461" s="21" t="n">
        <f aca="false">G450/fx/G442*1000</f>
        <v>140.914653061637</v>
      </c>
    </row>
    <row r="462" customFormat="false" ht="17.15" hidden="false" customHeight="false" outlineLevel="0" collapsed="false">
      <c r="A462" s="6" t="s">
        <v>522</v>
      </c>
    </row>
    <row r="463" customFormat="false" ht="17.15" hidden="false" customHeight="false" outlineLevel="0" collapsed="false">
      <c r="A463" s="4" t="s">
        <v>523</v>
      </c>
      <c r="B463" s="0" t="s">
        <v>53</v>
      </c>
      <c r="D463" s="17" t="n">
        <f aca="false">a26_gp/D457-d_ai*D460</f>
        <v>0.216982337009188</v>
      </c>
      <c r="K463" s="8" t="s">
        <v>524</v>
      </c>
    </row>
    <row r="464" customFormat="false" ht="17.15" hidden="false" customHeight="false" outlineLevel="0" collapsed="false">
      <c r="A464" s="0" t="s">
        <v>525</v>
      </c>
      <c r="B464" s="0" t="s">
        <v>53</v>
      </c>
      <c r="D464" s="17" t="n">
        <f aca="false">D463+d_ai</f>
        <v>0.336982337009188</v>
      </c>
      <c r="E464" s="17" t="n">
        <f aca="false">$D$464+GUHI_27</f>
        <v>0.346982337009188</v>
      </c>
      <c r="F464" s="17" t="n">
        <f aca="false">$D$464+GUHI_28</f>
        <v>0.351982337009188</v>
      </c>
      <c r="G464" s="17" t="n">
        <f aca="false">$D$464+GUHI_29</f>
        <v>0.356982337009188</v>
      </c>
      <c r="K464" s="4" t="s">
        <v>526</v>
      </c>
    </row>
    <row r="465" customFormat="false" ht="15" hidden="false" customHeight="false" outlineLevel="0" collapsed="false">
      <c r="A465" s="4" t="s">
        <v>387</v>
      </c>
      <c r="B465" s="0" t="s">
        <v>138</v>
      </c>
      <c r="C465" s="22" t="n">
        <f aca="false">a25_gp</f>
        <v>38.039</v>
      </c>
      <c r="D465" s="22" t="n">
        <f aca="false">a26_gp</f>
        <v>54.0725822</v>
      </c>
      <c r="E465" s="22" t="n">
        <f aca="false">E450*E464+E456*$D$463</f>
        <v>87.0508055273467</v>
      </c>
      <c r="F465" s="22" t="n">
        <f aca="false">F450*F464+F456*$D$463</f>
        <v>97.0020558663948</v>
      </c>
      <c r="G465" s="22" t="n">
        <f aca="false">G450*G464+G456*$D$463</f>
        <v>116.970880823872</v>
      </c>
    </row>
    <row r="466" customFormat="false" ht="15" hidden="false" customHeight="false" outlineLevel="0" collapsed="false">
      <c r="A466" s="4" t="s">
        <v>390</v>
      </c>
      <c r="B466" s="0" t="s">
        <v>53</v>
      </c>
      <c r="C466" s="17" t="n">
        <f aca="false">C465/C457</f>
        <v>0.229033326308818</v>
      </c>
      <c r="D466" s="17" t="n">
        <f aca="false">D465/D457</f>
        <v>0.254182337009188</v>
      </c>
      <c r="E466" s="17" t="n">
        <f aca="false">E465/E457</f>
        <v>0.283159444070126</v>
      </c>
      <c r="F466" s="17" t="n">
        <f aca="false">F465/F457</f>
        <v>0.289433067044165</v>
      </c>
      <c r="G466" s="17" t="n">
        <f aca="false">G465/G457</f>
        <v>0.299651895554544</v>
      </c>
    </row>
    <row r="467" customFormat="false" ht="15" hidden="false" customHeight="false" outlineLevel="0" collapsed="false">
      <c r="A467" s="4" t="s">
        <v>527</v>
      </c>
      <c r="B467" s="0" t="s">
        <v>138</v>
      </c>
      <c r="C467" s="22" t="n">
        <f aca="false">a25_opx</f>
        <v>21.301</v>
      </c>
      <c r="D467" s="22" t="n">
        <f aca="false">a26_opx</f>
        <v>25.21033346</v>
      </c>
      <c r="E467" s="22" t="n">
        <f aca="false">D467*(1+MAX(0,phi*E459))</f>
        <v>33.0658276471631</v>
      </c>
      <c r="F467" s="22" t="n">
        <f aca="false">E467*(1+MAX(0,phi*F459))</f>
        <v>35.1527249880825</v>
      </c>
      <c r="G467" s="22" t="n">
        <f aca="false">F467*(1+MAX(0,phi*G459))</f>
        <v>39.2063975304282</v>
      </c>
    </row>
    <row r="468" customFormat="false" ht="15" hidden="false" customHeight="false" outlineLevel="0" collapsed="false">
      <c r="A468" s="4" t="s">
        <v>392</v>
      </c>
      <c r="B468" s="0" t="s">
        <v>138</v>
      </c>
      <c r="C468" s="22" t="n">
        <f aca="false">C467</f>
        <v>21.301</v>
      </c>
      <c r="D468" s="22" t="n">
        <f aca="false">D467</f>
        <v>25.21033346</v>
      </c>
      <c r="E468" s="22" t="n">
        <f aca="false">E467+0*E457</f>
        <v>33.0658276471631</v>
      </c>
      <c r="F468" s="22" t="n">
        <f aca="false">F467+0*F457</f>
        <v>35.1527249880825</v>
      </c>
      <c r="G468" s="22" t="n">
        <f aca="false">G467+0*G457</f>
        <v>39.2063975304282</v>
      </c>
    </row>
    <row r="469" customFormat="false" ht="15" hidden="false" customHeight="false" outlineLevel="0" collapsed="false">
      <c r="A469" s="4" t="s">
        <v>395</v>
      </c>
      <c r="B469" s="0" t="s">
        <v>138</v>
      </c>
      <c r="C469" s="22" t="n">
        <f aca="false">C465-C468</f>
        <v>16.738</v>
      </c>
      <c r="D469" s="22" t="n">
        <f aca="false">D465-D468</f>
        <v>28.86224874</v>
      </c>
      <c r="E469" s="22" t="n">
        <f aca="false">E465-E468</f>
        <v>53.9849778801836</v>
      </c>
      <c r="F469" s="22" t="n">
        <f aca="false">F465-F468</f>
        <v>61.8493308783124</v>
      </c>
      <c r="G469" s="22" t="n">
        <f aca="false">G465-G468</f>
        <v>77.7644832934434</v>
      </c>
    </row>
    <row r="470" customFormat="false" ht="15" hidden="false" customHeight="false" outlineLevel="0" collapsed="false">
      <c r="A470" s="4" t="s">
        <v>397</v>
      </c>
      <c r="B470" s="0" t="s">
        <v>53</v>
      </c>
      <c r="C470" s="17" t="n">
        <f aca="false">C469/C457</f>
        <v>0.100779721227083</v>
      </c>
      <c r="D470" s="17" t="n">
        <f aca="false">D469/D457</f>
        <v>0.135674560703219</v>
      </c>
      <c r="E470" s="17" t="n">
        <f aca="false">E469/E457</f>
        <v>0.17560269812654</v>
      </c>
      <c r="F470" s="17" t="n">
        <f aca="false">F469/F457</f>
        <v>0.184544970422024</v>
      </c>
      <c r="G470" s="17" t="n">
        <f aca="false">G469/G457</f>
        <v>0.199214322928689</v>
      </c>
    </row>
    <row r="471" customFormat="false" ht="15" hidden="false" customHeight="false" outlineLevel="0" collapsed="false">
      <c r="A471" s="4" t="s">
        <v>399</v>
      </c>
      <c r="B471" s="0" t="s">
        <v>138</v>
      </c>
      <c r="C471" s="22" t="n">
        <f aca="false">a25_nop</f>
        <v>2.9762895</v>
      </c>
      <c r="D471" s="22" t="n">
        <f aca="false">a26_nop</f>
        <v>3.839</v>
      </c>
      <c r="E471" s="22" t="n">
        <f aca="false">nop_f</f>
        <v>3.5</v>
      </c>
      <c r="F471" s="22" t="n">
        <f aca="false">nop_f</f>
        <v>3.5</v>
      </c>
      <c r="G471" s="22" t="n">
        <f aca="false">nop_f</f>
        <v>3.5</v>
      </c>
    </row>
    <row r="472" customFormat="false" ht="17.15" hidden="false" customHeight="false" outlineLevel="0" collapsed="false">
      <c r="A472" s="4" t="s">
        <v>528</v>
      </c>
      <c r="B472" s="0" t="s">
        <v>53</v>
      </c>
      <c r="C472" s="17" t="n">
        <f aca="false">a25_ni/a25_pt</f>
        <v>0.766753475949514</v>
      </c>
      <c r="D472" s="17" t="n">
        <f aca="false">a26_ni/a26_pt</f>
        <v>0.759431002022174</v>
      </c>
      <c r="E472" s="17" t="n">
        <f aca="false">nir_f</f>
        <v>0.76</v>
      </c>
      <c r="F472" s="17" t="n">
        <f aca="false">nir_f</f>
        <v>0.76</v>
      </c>
      <c r="G472" s="17" t="n">
        <f aca="false">nir_f</f>
        <v>0.76</v>
      </c>
    </row>
    <row r="473" customFormat="false" ht="15" hidden="false" customHeight="false" outlineLevel="0" collapsed="false">
      <c r="A473" s="4" t="s">
        <v>404</v>
      </c>
      <c r="B473" s="0" t="s">
        <v>138</v>
      </c>
      <c r="C473" s="22" t="n">
        <f aca="false">a25_ni</f>
        <v>15.116</v>
      </c>
      <c r="D473" s="22" t="n">
        <f aca="false">a26_ni</f>
        <v>24.8343420979946</v>
      </c>
      <c r="E473" s="22" t="n">
        <f aca="false">(E469+E471)*E472</f>
        <v>43.6885831889396</v>
      </c>
      <c r="F473" s="22" t="n">
        <f aca="false">(F469+F471)*F472</f>
        <v>49.6654914675174</v>
      </c>
      <c r="G473" s="22" t="n">
        <f aca="false">(G469+G471)*G472</f>
        <v>61.761007303017</v>
      </c>
      <c r="H473" s="24" t="n">
        <f aca="false">H457*H477</f>
        <v>61.901421490821</v>
      </c>
      <c r="I473" s="24" t="n">
        <f aca="false">I457*I477</f>
        <v>58.876260294227</v>
      </c>
      <c r="J473" s="24" t="n">
        <f aca="false">J457*J477</f>
        <v>52.8332888980764</v>
      </c>
    </row>
    <row r="474" customFormat="false" ht="15" hidden="false" customHeight="false" outlineLevel="0" collapsed="false">
      <c r="A474" s="4" t="s">
        <v>529</v>
      </c>
      <c r="B474" s="4" t="s">
        <v>231</v>
      </c>
      <c r="C474" s="27" t="n">
        <f aca="false">a25_sh</f>
        <v>2.27650602409639</v>
      </c>
      <c r="D474" s="27" t="n">
        <f aca="false">a26_sh</f>
        <v>2.26895833333333</v>
      </c>
      <c r="E474" s="27" t="n">
        <f aca="false">D474*(1+sh_g)</f>
        <v>2.26895833333333</v>
      </c>
      <c r="F474" s="27" t="n">
        <f aca="false">E474*(1+sh_g)</f>
        <v>2.26895833333333</v>
      </c>
      <c r="G474" s="27" t="n">
        <f aca="false">F474*(1+sh_g)</f>
        <v>2.26895833333333</v>
      </c>
      <c r="H474" s="29" t="n">
        <f aca="false">G474*(1+sh_g)</f>
        <v>2.26895833333333</v>
      </c>
      <c r="I474" s="29" t="n">
        <f aca="false">H474*(1+sh_g)</f>
        <v>2.26895833333333</v>
      </c>
      <c r="J474" s="29" t="n">
        <f aca="false">I474*(1+sh_g)</f>
        <v>2.26895833333333</v>
      </c>
    </row>
    <row r="475" customFormat="false" ht="15" hidden="false" customHeight="false" outlineLevel="0" collapsed="false">
      <c r="A475" s="0" t="s">
        <v>410</v>
      </c>
      <c r="B475" s="0" t="s">
        <v>264</v>
      </c>
      <c r="C475" s="23" t="n">
        <f aca="false">C473/C474</f>
        <v>6.64</v>
      </c>
      <c r="D475" s="23" t="n">
        <f aca="false">D473/D474</f>
        <v>10.9452614149641</v>
      </c>
      <c r="E475" s="23" t="n">
        <f aca="false">E473/E474</f>
        <v>19.2549076583335</v>
      </c>
      <c r="F475" s="23" t="n">
        <f aca="false">F473/F474</f>
        <v>21.8891156959034</v>
      </c>
      <c r="G475" s="23" t="n">
        <f aca="false">G473/G474</f>
        <v>27.2199830184998</v>
      </c>
      <c r="H475" s="30" t="n">
        <f aca="false">H473/H474</f>
        <v>27.2818678868736</v>
      </c>
      <c r="I475" s="30" t="n">
        <f aca="false">I473/I474</f>
        <v>25.9485859344679</v>
      </c>
      <c r="J475" s="30" t="n">
        <f aca="false">J473/J474</f>
        <v>23.28526184104</v>
      </c>
    </row>
    <row r="476" customFormat="false" ht="17.15" hidden="false" customHeight="false" outlineLevel="0" collapsed="false">
      <c r="A476" s="0" t="s">
        <v>530</v>
      </c>
      <c r="B476" s="0" t="s">
        <v>53</v>
      </c>
      <c r="D476" s="17" t="n">
        <f aca="false">D475/C475-1</f>
        <v>0.648382743217484</v>
      </c>
      <c r="E476" s="17" t="n">
        <f aca="false">E475/D475-1</f>
        <v>0.759200345092594</v>
      </c>
      <c r="F476" s="17" t="n">
        <f aca="false">F475/E475-1</f>
        <v>0.136807097926009</v>
      </c>
      <c r="G476" s="17" t="n">
        <f aca="false">G475/F475-1</f>
        <v>0.243539638451185</v>
      </c>
      <c r="H476" s="25" t="n">
        <f aca="false">H475/G475-1</f>
        <v>0.00227350870614984</v>
      </c>
      <c r="I476" s="25" t="n">
        <f aca="false">I475/H475-1</f>
        <v>-0.0488706256453669</v>
      </c>
      <c r="J476" s="25" t="n">
        <f aca="false">J475/I475-1</f>
        <v>-0.102638506011618</v>
      </c>
    </row>
    <row r="477" customFormat="false" ht="17.15" hidden="false" customHeight="false" outlineLevel="0" collapsed="false">
      <c r="A477" s="4" t="s">
        <v>531</v>
      </c>
      <c r="B477" s="0" t="s">
        <v>53</v>
      </c>
      <c r="C477" s="17" t="n">
        <f aca="false">C473/C457</f>
        <v>0.0910136375952073</v>
      </c>
      <c r="D477" s="17" t="n">
        <f aca="false">D473/D457</f>
        <v>0.116740330417472</v>
      </c>
      <c r="E477" s="17" t="n">
        <f aca="false">E473/E457</f>
        <v>0.142110516416822</v>
      </c>
      <c r="F477" s="17" t="n">
        <f aca="false">F473/F457</f>
        <v>0.148191039801244</v>
      </c>
      <c r="G477" s="17" t="n">
        <f aca="false">G473/G457</f>
        <v>0.158217180031102</v>
      </c>
      <c r="H477" s="25" t="n">
        <f aca="false">$G477+(fade_mB-$G477)*1/3</f>
        <v>0.141188391347479</v>
      </c>
      <c r="I477" s="25" t="n">
        <f aca="false">$G477+(fade_mB-$G477)*2/3</f>
        <v>0.124159602663855</v>
      </c>
      <c r="J477" s="25" t="n">
        <f aca="false">$G477+(fade_mB-$G477)*3/3</f>
        <v>0.107130813980232</v>
      </c>
    </row>
    <row r="480" customFormat="false" ht="17.15" hidden="false" customHeight="false" outlineLevel="0" collapsed="false">
      <c r="A480" s="1" t="s">
        <v>870</v>
      </c>
    </row>
    <row r="481" customFormat="false" ht="17.15" hidden="false" customHeight="false" outlineLevel="0" collapsed="false">
      <c r="A481" s="5" t="s">
        <v>22</v>
      </c>
      <c r="B481" s="5" t="s">
        <v>23</v>
      </c>
      <c r="C481" s="14" t="s">
        <v>378</v>
      </c>
      <c r="D481" s="14" t="s">
        <v>476</v>
      </c>
      <c r="E481" s="14" t="s">
        <v>477</v>
      </c>
      <c r="F481" s="14" t="s">
        <v>478</v>
      </c>
      <c r="G481" s="14" t="s">
        <v>479</v>
      </c>
      <c r="H481" s="14" t="s">
        <v>480</v>
      </c>
      <c r="I481" s="14" t="s">
        <v>481</v>
      </c>
      <c r="J481" s="14" t="s">
        <v>482</v>
      </c>
      <c r="K481" s="5" t="s">
        <v>449</v>
      </c>
    </row>
    <row r="482" customFormat="false" ht="17.15" hidden="false" customHeight="false" outlineLevel="0" collapsed="false">
      <c r="A482" s="6" t="s">
        <v>501</v>
      </c>
    </row>
    <row r="483" customFormat="false" ht="17.15" hidden="false" customHeight="false" outlineLevel="0" collapsed="false">
      <c r="A483" s="0" t="s">
        <v>502</v>
      </c>
      <c r="B483" s="0" t="s">
        <v>33</v>
      </c>
      <c r="D483" s="23" t="n">
        <f aca="false">itc_26*1</f>
        <v>781.872916666666</v>
      </c>
      <c r="E483" s="23" t="n">
        <f aca="false">itc_27*1*1</f>
        <v>1565.35</v>
      </c>
      <c r="F483" s="23" t="n">
        <f aca="false">itc_28*um28_B*1</f>
        <v>1587.41111111111</v>
      </c>
      <c r="G483" s="23" t="n">
        <f aca="false">itc_29*um29_B*1</f>
        <v>1921.33173611111</v>
      </c>
    </row>
    <row r="484" customFormat="false" ht="17.15" hidden="false" customHeight="false" outlineLevel="0" collapsed="false">
      <c r="A484" s="4" t="s">
        <v>503</v>
      </c>
      <c r="B484" s="0" t="s">
        <v>33</v>
      </c>
      <c r="D484" s="23" t="n">
        <f aca="false">itpg_gb*(1-vr26)+itpg_vr*vr26</f>
        <v>33.41403216</v>
      </c>
      <c r="E484" s="23" t="n">
        <f aca="false">itpg_vr</f>
        <v>37.586352</v>
      </c>
      <c r="F484" s="23" t="n">
        <f aca="false">itpg_vr</f>
        <v>37.586352</v>
      </c>
      <c r="G484" s="23" t="n">
        <f aca="false">itpg_vr</f>
        <v>37.586352</v>
      </c>
    </row>
    <row r="485" customFormat="false" ht="17.15" hidden="false" customHeight="false" outlineLevel="0" collapsed="false">
      <c r="A485" s="4" t="s">
        <v>504</v>
      </c>
      <c r="B485" s="0" t="s">
        <v>451</v>
      </c>
      <c r="D485" s="20" t="n">
        <f aca="false">D483/D484</f>
        <v>23.3995380420639</v>
      </c>
      <c r="E485" s="20" t="n">
        <f aca="false">E483/E484</f>
        <v>41.6467658260637</v>
      </c>
      <c r="F485" s="20" t="n">
        <f aca="false">F483/F484</f>
        <v>42.2337105529984</v>
      </c>
      <c r="G485" s="20" t="n">
        <f aca="false">G483/G484</f>
        <v>51.1178029756948</v>
      </c>
    </row>
    <row r="486" customFormat="false" ht="17.15" hidden="false" customHeight="false" outlineLevel="0" collapsed="false">
      <c r="A486" s="0" t="s">
        <v>453</v>
      </c>
      <c r="B486" s="0" t="s">
        <v>91</v>
      </c>
      <c r="D486" s="21" t="n">
        <f aca="false">pkw_26</f>
        <v>450</v>
      </c>
      <c r="E486" s="21" t="n">
        <f aca="false">pkw_27</f>
        <v>600</v>
      </c>
      <c r="F486" s="21" t="n">
        <f aca="false">pkw_28</f>
        <v>680</v>
      </c>
      <c r="G486" s="21" t="n">
        <f aca="false">pkw_29</f>
        <v>720</v>
      </c>
    </row>
    <row r="487" customFormat="false" ht="17.15" hidden="false" customHeight="false" outlineLevel="0" collapsed="false">
      <c r="A487" s="0" t="s">
        <v>505</v>
      </c>
      <c r="B487" s="0" t="s">
        <v>33</v>
      </c>
      <c r="D487" s="23" t="n">
        <f aca="false">D485*D486/1000</f>
        <v>10.5297921189287</v>
      </c>
      <c r="E487" s="23" t="n">
        <f aca="false">E485*E486/1000</f>
        <v>24.9880594956382</v>
      </c>
      <c r="F487" s="23" t="n">
        <f aca="false">F485*F486/1000</f>
        <v>28.7189231760389</v>
      </c>
      <c r="G487" s="23" t="n">
        <f aca="false">G485*G486/1000</f>
        <v>36.8048181425003</v>
      </c>
    </row>
    <row r="488" customFormat="false" ht="17.15" hidden="false" customHeight="false" outlineLevel="0" collapsed="false">
      <c r="A488" s="0" t="s">
        <v>506</v>
      </c>
      <c r="B488" s="0" t="s">
        <v>138</v>
      </c>
      <c r="D488" s="22" t="n">
        <f aca="false">D487*fx</f>
        <v>336.95334780572</v>
      </c>
      <c r="E488" s="22" t="n">
        <f aca="false">E487*fx</f>
        <v>799.617903860422</v>
      </c>
      <c r="F488" s="22" t="n">
        <f aca="false">F487*fx</f>
        <v>919.005541633245</v>
      </c>
      <c r="G488" s="22" t="n">
        <f aca="false">G487*fx</f>
        <v>1177.75418056001</v>
      </c>
    </row>
    <row r="489" customFormat="false" ht="17.15" hidden="false" customHeight="false" outlineLevel="0" collapsed="false">
      <c r="A489" s="4" t="s">
        <v>507</v>
      </c>
      <c r="B489" s="0" t="s">
        <v>53</v>
      </c>
      <c r="D489" s="17" t="n">
        <f aca="false">a26_aip/D488</f>
        <v>0.176143316327046</v>
      </c>
      <c r="K489" s="8" t="s">
        <v>508</v>
      </c>
    </row>
    <row r="490" customFormat="false" ht="17.15" hidden="false" customHeight="false" outlineLevel="0" collapsed="false">
      <c r="A490" s="4" t="s">
        <v>509</v>
      </c>
      <c r="B490" s="0" t="s">
        <v>64</v>
      </c>
      <c r="D490" s="18" t="n">
        <f aca="false">1</f>
        <v>1</v>
      </c>
      <c r="E490" s="18" t="n">
        <f aca="false">rel_27</f>
        <v>1</v>
      </c>
      <c r="F490" s="18" t="n">
        <f aca="false">rel_28</f>
        <v>1</v>
      </c>
      <c r="G490" s="18" t="n">
        <f aca="false">rel_29</f>
        <v>1</v>
      </c>
    </row>
    <row r="491" customFormat="false" ht="15" hidden="false" customHeight="false" outlineLevel="0" collapsed="false">
      <c r="A491" s="4" t="s">
        <v>459</v>
      </c>
      <c r="B491" s="0" t="s">
        <v>53</v>
      </c>
      <c r="D491" s="17" t="n">
        <f aca="false">$D$489*D490</f>
        <v>0.176143316327046</v>
      </c>
      <c r="E491" s="17" t="n">
        <f aca="false">$D$489*E490</f>
        <v>0.176143316327046</v>
      </c>
      <c r="F491" s="17" t="n">
        <f aca="false">$D$489*F490</f>
        <v>0.176143316327046</v>
      </c>
      <c r="G491" s="17" t="n">
        <f aca="false">$D$489*G490</f>
        <v>0.176143316327046</v>
      </c>
    </row>
    <row r="492" customFormat="false" ht="17.15" hidden="false" customHeight="false" outlineLevel="0" collapsed="false">
      <c r="A492" s="0" t="s">
        <v>510</v>
      </c>
      <c r="B492" s="0" t="s">
        <v>138</v>
      </c>
      <c r="C492" s="22" t="n">
        <f aca="false">a25_aip</f>
        <v>31.390065</v>
      </c>
      <c r="D492" s="22" t="n">
        <f aca="false">D488*D491</f>
        <v>59.35208013</v>
      </c>
      <c r="E492" s="22" t="n">
        <f aca="false">E488*E491</f>
        <v>140.847349380456</v>
      </c>
      <c r="F492" s="22" t="n">
        <f aca="false">F488*F491</f>
        <v>161.876683826213</v>
      </c>
      <c r="G492" s="22" t="n">
        <f aca="false">G488*G491</f>
        <v>207.453527181882</v>
      </c>
    </row>
    <row r="493" customFormat="false" ht="17.15" hidden="false" customHeight="false" outlineLevel="0" collapsed="false">
      <c r="A493" s="0" t="s">
        <v>511</v>
      </c>
      <c r="B493" s="0" t="s">
        <v>138</v>
      </c>
      <c r="C493" s="22" t="n">
        <f aca="false">a25_ai</f>
        <v>34.87785</v>
      </c>
      <c r="D493" s="22" t="n">
        <f aca="false">D492/(1-x_np)</f>
        <v>65.9467557</v>
      </c>
      <c r="E493" s="22" t="n">
        <f aca="false">E492/(1-x_np)</f>
        <v>156.497054867173</v>
      </c>
      <c r="F493" s="22" t="n">
        <f aca="false">F492/(1-x_np)</f>
        <v>179.862982029125</v>
      </c>
      <c r="G493" s="22" t="n">
        <f aca="false">G492/(1-x_np)</f>
        <v>230.50391909098</v>
      </c>
      <c r="K493" s="4" t="s">
        <v>512</v>
      </c>
    </row>
    <row r="494" customFormat="false" ht="17.15" hidden="false" customHeight="false" outlineLevel="0" collapsed="false">
      <c r="A494" s="6" t="s">
        <v>513</v>
      </c>
    </row>
    <row r="495" customFormat="false" ht="17.15" hidden="false" customHeight="false" outlineLevel="0" collapsed="false">
      <c r="A495" s="4" t="s">
        <v>514</v>
      </c>
      <c r="B495" s="0" t="s">
        <v>138</v>
      </c>
      <c r="C495" s="22" t="n">
        <f aca="false">a25_cn</f>
        <v>39.8604</v>
      </c>
      <c r="D495" s="22" t="n">
        <f aca="false">a26_cn</f>
        <v>50.0315607365079</v>
      </c>
      <c r="E495" s="22" t="n">
        <f aca="false">D495*(1+g_cnLO27)</f>
        <v>50.0315607365079</v>
      </c>
      <c r="F495" s="22" t="n">
        <f aca="false">E495*(1+g_cnLO28)</f>
        <v>50.0315607365079</v>
      </c>
      <c r="G495" s="22" t="n">
        <f aca="false">F495*(1+g_cnLO29)</f>
        <v>50.0315607365079</v>
      </c>
      <c r="K495" s="4" t="s">
        <v>515</v>
      </c>
    </row>
    <row r="496" customFormat="false" ht="17.15" hidden="false" customHeight="false" outlineLevel="0" collapsed="false">
      <c r="A496" s="4" t="s">
        <v>431</v>
      </c>
      <c r="B496" s="0" t="s">
        <v>138</v>
      </c>
      <c r="C496" s="22" t="n">
        <f aca="false">C493+C495</f>
        <v>74.73825</v>
      </c>
      <c r="D496" s="22" t="n">
        <f aca="false">D493+D495</f>
        <v>115.978316436508</v>
      </c>
      <c r="E496" s="22" t="n">
        <f aca="false">E493+E495</f>
        <v>206.528615603681</v>
      </c>
      <c r="F496" s="22" t="n">
        <f aca="false">F493+F495</f>
        <v>229.894542765633</v>
      </c>
      <c r="G496" s="22" t="n">
        <f aca="false">G493+G495</f>
        <v>280.535479827488</v>
      </c>
      <c r="K496" s="4" t="s">
        <v>516</v>
      </c>
    </row>
    <row r="497" customFormat="false" ht="15" hidden="false" customHeight="false" outlineLevel="0" collapsed="false">
      <c r="A497" s="4" t="s">
        <v>435</v>
      </c>
      <c r="B497" s="0" t="s">
        <v>138</v>
      </c>
      <c r="C497" s="22" t="n">
        <f aca="false">a25_op</f>
        <v>28.23445</v>
      </c>
      <c r="D497" s="22" t="n">
        <f aca="false">a26_op</f>
        <v>32.8693205828571</v>
      </c>
      <c r="E497" s="22" t="n">
        <f aca="false">D497*(1+g_opLO27)</f>
        <v>32.8693205828571</v>
      </c>
      <c r="F497" s="22" t="n">
        <f aca="false">E497*(1+g_opLO28)</f>
        <v>32.8693205828571</v>
      </c>
      <c r="G497" s="22" t="n">
        <f aca="false">F497*(1+g_opLO29)</f>
        <v>32.8693205828571</v>
      </c>
    </row>
    <row r="498" customFormat="false" ht="15" hidden="false" customHeight="false" outlineLevel="0" collapsed="false">
      <c r="A498" s="4" t="s">
        <v>436</v>
      </c>
      <c r="B498" s="0" t="s">
        <v>138</v>
      </c>
      <c r="C498" s="22" t="n">
        <f aca="false">a25_ic</f>
        <v>63.1123</v>
      </c>
      <c r="D498" s="22" t="n">
        <f aca="false">a26_ic</f>
        <v>63.8838329806349</v>
      </c>
      <c r="E498" s="22" t="n">
        <f aca="false">D498*(1+g_icLO27)</f>
        <v>60.6896413316032</v>
      </c>
      <c r="F498" s="22" t="n">
        <f aca="false">E498*(1+g_icLO28)</f>
        <v>57.655159265023</v>
      </c>
      <c r="G498" s="22" t="n">
        <f aca="false">F498*(1+g_icLO29)</f>
        <v>54.7724013017718</v>
      </c>
    </row>
    <row r="499" customFormat="false" ht="17.15" hidden="false" customHeight="false" outlineLevel="0" collapsed="false">
      <c r="A499" s="4" t="s">
        <v>517</v>
      </c>
      <c r="B499" s="0" t="s">
        <v>138</v>
      </c>
      <c r="C499" s="22" t="n">
        <f aca="false">C495+C497+C498</f>
        <v>131.20715</v>
      </c>
      <c r="D499" s="22" t="n">
        <f aca="false">D495+D497+D498</f>
        <v>146.7847143</v>
      </c>
      <c r="E499" s="22" t="n">
        <f aca="false">E495+E497+E498</f>
        <v>143.590522650968</v>
      </c>
      <c r="F499" s="22" t="n">
        <f aca="false">F495+F497+F498</f>
        <v>140.556040584388</v>
      </c>
      <c r="G499" s="22" t="n">
        <f aca="false">G495+G497+G498</f>
        <v>137.673282621137</v>
      </c>
    </row>
    <row r="500" customFormat="false" ht="17.15" hidden="false" customHeight="false" outlineLevel="0" collapsed="false">
      <c r="A500" s="4" t="s">
        <v>383</v>
      </c>
      <c r="B500" s="0" t="s">
        <v>138</v>
      </c>
      <c r="C500" s="22" t="n">
        <f aca="false">C496+C497+C498</f>
        <v>166.085</v>
      </c>
      <c r="D500" s="22" t="n">
        <f aca="false">D496+D497+D498</f>
        <v>212.73147</v>
      </c>
      <c r="E500" s="22" t="n">
        <f aca="false">E496+E497+E498</f>
        <v>300.087577518141</v>
      </c>
      <c r="F500" s="22" t="n">
        <f aca="false">F496+F497+F498</f>
        <v>320.419022613513</v>
      </c>
      <c r="G500" s="22" t="n">
        <f aca="false">G496+G497+G498</f>
        <v>368.177201712117</v>
      </c>
      <c r="H500" s="24" t="n">
        <f aca="false">G500*(1+H502)</f>
        <v>409.670560750018</v>
      </c>
      <c r="I500" s="24" t="n">
        <f aca="false">H500*(1+I502)</f>
        <v>440.948790342434</v>
      </c>
      <c r="J500" s="24" t="n">
        <f aca="false">I500*(1+J502)</f>
        <v>458.586741956131</v>
      </c>
      <c r="K500" s="8" t="s">
        <v>518</v>
      </c>
    </row>
    <row r="501" customFormat="false" ht="17.15" hidden="false" customHeight="false" outlineLevel="0" collapsed="false">
      <c r="A501" s="4" t="s">
        <v>519</v>
      </c>
      <c r="B501" s="0" t="s">
        <v>138</v>
      </c>
      <c r="C501" s="28" t="n">
        <f aca="false">C500-a25_rev</f>
        <v>0</v>
      </c>
      <c r="D501" s="28" t="n">
        <f aca="false">D500-a26_rev</f>
        <v>0</v>
      </c>
    </row>
    <row r="502" customFormat="false" ht="15" hidden="false" customHeight="false" outlineLevel="0" collapsed="false">
      <c r="A502" s="4" t="s">
        <v>520</v>
      </c>
      <c r="B502" s="0" t="s">
        <v>53</v>
      </c>
      <c r="D502" s="17" t="n">
        <f aca="false">D500/C500-1</f>
        <v>0.280859017972725</v>
      </c>
      <c r="E502" s="17" t="n">
        <f aca="false">E500/D500-1</f>
        <v>0.410640266426689</v>
      </c>
      <c r="F502" s="17" t="n">
        <f aca="false">F500/E500-1</f>
        <v>0.0677517052305938</v>
      </c>
      <c r="G502" s="17" t="n">
        <f aca="false">G500/F500-1</f>
        <v>0.149049137935263</v>
      </c>
      <c r="H502" s="25" t="n">
        <f aca="false">$G502+(fade_gB-$G502)*1/3</f>
        <v>0.112699425290175</v>
      </c>
      <c r="I502" s="25" t="n">
        <f aca="false">$G502+(fade_gB-$G502)*2/3</f>
        <v>0.0763497126450877</v>
      </c>
      <c r="J502" s="25" t="n">
        <f aca="false">$G502+(fade_gB-$G502)*3/3</f>
        <v>0.04</v>
      </c>
    </row>
    <row r="503" customFormat="false" ht="17.15" hidden="false" customHeight="false" outlineLevel="0" collapsed="false">
      <c r="A503" s="0" t="s">
        <v>521</v>
      </c>
      <c r="B503" s="0" t="s">
        <v>53</v>
      </c>
      <c r="C503" s="17" t="n">
        <f aca="false">C493/C500</f>
        <v>0.21</v>
      </c>
      <c r="D503" s="17" t="n">
        <f aca="false">D493/D500</f>
        <v>0.31</v>
      </c>
      <c r="E503" s="17" t="n">
        <f aca="false">E493/E500</f>
        <v>0.52150460929264</v>
      </c>
      <c r="F503" s="17" t="n">
        <f aca="false">F493/F500</f>
        <v>0.561336778828124</v>
      </c>
      <c r="G503" s="17" t="n">
        <f aca="false">G493/G500</f>
        <v>0.62606787715013</v>
      </c>
    </row>
    <row r="504" customFormat="false" ht="17.15" hidden="false" customHeight="false" outlineLevel="0" collapsed="false">
      <c r="A504" s="4" t="s">
        <v>470</v>
      </c>
      <c r="B504" s="0" t="s">
        <v>471</v>
      </c>
      <c r="D504" s="21" t="n">
        <f aca="false">D493/fx/D485*1000</f>
        <v>88.0716581635229</v>
      </c>
      <c r="E504" s="21" t="n">
        <f aca="false">E493/fx/E485*1000</f>
        <v>117.428877551364</v>
      </c>
      <c r="F504" s="21" t="n">
        <f aca="false">F493/fx/F485*1000</f>
        <v>133.086061224879</v>
      </c>
      <c r="G504" s="21" t="n">
        <f aca="false">G493/fx/G485*1000</f>
        <v>140.914653061637</v>
      </c>
    </row>
    <row r="505" customFormat="false" ht="17.15" hidden="false" customHeight="false" outlineLevel="0" collapsed="false">
      <c r="A505" s="6" t="s">
        <v>522</v>
      </c>
    </row>
    <row r="506" customFormat="false" ht="17.15" hidden="false" customHeight="false" outlineLevel="0" collapsed="false">
      <c r="A506" s="4" t="s">
        <v>523</v>
      </c>
      <c r="B506" s="0" t="s">
        <v>53</v>
      </c>
      <c r="D506" s="17" t="n">
        <f aca="false">a26_gp/D500-d_ai*D503</f>
        <v>0.216982337009188</v>
      </c>
      <c r="K506" s="8" t="s">
        <v>524</v>
      </c>
    </row>
    <row r="507" customFormat="false" ht="17.15" hidden="false" customHeight="false" outlineLevel="0" collapsed="false">
      <c r="A507" s="0" t="s">
        <v>525</v>
      </c>
      <c r="B507" s="0" t="s">
        <v>53</v>
      </c>
      <c r="D507" s="17" t="n">
        <f aca="false">D506+d_ai</f>
        <v>0.336982337009188</v>
      </c>
      <c r="E507" s="17" t="n">
        <f aca="false">$D$507+gmu_27</f>
        <v>0.336982337009188</v>
      </c>
      <c r="F507" s="17" t="n">
        <f aca="false">$D$507+gmu_28</f>
        <v>0.336982337009188</v>
      </c>
      <c r="G507" s="17" t="n">
        <f aca="false">$D$507+gmu_29</f>
        <v>0.336982337009188</v>
      </c>
      <c r="K507" s="4" t="s">
        <v>526</v>
      </c>
    </row>
    <row r="508" customFormat="false" ht="15" hidden="false" customHeight="false" outlineLevel="0" collapsed="false">
      <c r="A508" s="4" t="s">
        <v>387</v>
      </c>
      <c r="B508" s="0" t="s">
        <v>138</v>
      </c>
      <c r="C508" s="22" t="n">
        <f aca="false">a25_gp</f>
        <v>38.039</v>
      </c>
      <c r="D508" s="22" t="n">
        <f aca="false">a26_gp</f>
        <v>54.0725822</v>
      </c>
      <c r="E508" s="22" t="n">
        <f aca="false">E493*E507+E499*$D$506</f>
        <v>83.893350461373</v>
      </c>
      <c r="F508" s="22" t="n">
        <f aca="false">F493*F507+F499*$D$506</f>
        <v>91.1088261923751</v>
      </c>
      <c r="G508" s="22" t="n">
        <f aca="false">G493*G507+G499*$D$506</f>
        <v>107.548419951916</v>
      </c>
    </row>
    <row r="509" customFormat="false" ht="15" hidden="false" customHeight="false" outlineLevel="0" collapsed="false">
      <c r="A509" s="4" t="s">
        <v>390</v>
      </c>
      <c r="B509" s="0" t="s">
        <v>53</v>
      </c>
      <c r="C509" s="17" t="n">
        <f aca="false">C508/C500</f>
        <v>0.229033326308818</v>
      </c>
      <c r="D509" s="17" t="n">
        <f aca="false">D508/D500</f>
        <v>0.254182337009188</v>
      </c>
      <c r="E509" s="17" t="n">
        <f aca="false">E508/E500</f>
        <v>0.279562890124305</v>
      </c>
      <c r="F509" s="17" t="n">
        <f aca="false">F508/F500</f>
        <v>0.284342750468563</v>
      </c>
      <c r="G509" s="17" t="n">
        <f aca="false">G508/G500</f>
        <v>0.292110482267204</v>
      </c>
    </row>
    <row r="510" customFormat="false" ht="15" hidden="false" customHeight="false" outlineLevel="0" collapsed="false">
      <c r="A510" s="4" t="s">
        <v>527</v>
      </c>
      <c r="B510" s="0" t="s">
        <v>138</v>
      </c>
      <c r="C510" s="22" t="n">
        <f aca="false">a25_opx</f>
        <v>21.301</v>
      </c>
      <c r="D510" s="22" t="n">
        <f aca="false">a26_opx</f>
        <v>25.21033346</v>
      </c>
      <c r="E510" s="22" t="n">
        <f aca="false">D510*(1+MAX(0,phi*E502))</f>
        <v>32.4569980941041</v>
      </c>
      <c r="F510" s="22" t="n">
        <f aca="false">E510*(1+MAX(0,phi*F502))</f>
        <v>33.9963099713832</v>
      </c>
      <c r="G510" s="22" t="n">
        <f aca="false">F510*(1+MAX(0,phi*G502))</f>
        <v>37.5432944573335</v>
      </c>
    </row>
    <row r="511" customFormat="false" ht="15" hidden="false" customHeight="false" outlineLevel="0" collapsed="false">
      <c r="A511" s="4" t="s">
        <v>392</v>
      </c>
      <c r="B511" s="0" t="s">
        <v>138</v>
      </c>
      <c r="C511" s="22" t="n">
        <f aca="false">C510</f>
        <v>21.301</v>
      </c>
      <c r="D511" s="22" t="n">
        <f aca="false">D510</f>
        <v>25.21033346</v>
      </c>
      <c r="E511" s="22" t="n">
        <f aca="false">E510+0*E500</f>
        <v>32.4569980941041</v>
      </c>
      <c r="F511" s="22" t="n">
        <f aca="false">F510+0*F500</f>
        <v>33.9963099713832</v>
      </c>
      <c r="G511" s="22" t="n">
        <f aca="false">G510+0*G500</f>
        <v>37.5432944573335</v>
      </c>
    </row>
    <row r="512" customFormat="false" ht="15" hidden="false" customHeight="false" outlineLevel="0" collapsed="false">
      <c r="A512" s="4" t="s">
        <v>395</v>
      </c>
      <c r="B512" s="0" t="s">
        <v>138</v>
      </c>
      <c r="C512" s="22" t="n">
        <f aca="false">C508-C511</f>
        <v>16.738</v>
      </c>
      <c r="D512" s="22" t="n">
        <f aca="false">D508-D511</f>
        <v>28.86224874</v>
      </c>
      <c r="E512" s="22" t="n">
        <f aca="false">E508-E511</f>
        <v>51.4363523672689</v>
      </c>
      <c r="F512" s="22" t="n">
        <f aca="false">F508-F511</f>
        <v>57.1125162209918</v>
      </c>
      <c r="G512" s="22" t="n">
        <f aca="false">G508-G511</f>
        <v>70.0051254945826</v>
      </c>
    </row>
    <row r="513" customFormat="false" ht="15" hidden="false" customHeight="false" outlineLevel="0" collapsed="false">
      <c r="A513" s="4" t="s">
        <v>397</v>
      </c>
      <c r="B513" s="0" t="s">
        <v>53</v>
      </c>
      <c r="C513" s="17" t="n">
        <f aca="false">C512/C500</f>
        <v>0.100779721227083</v>
      </c>
      <c r="D513" s="17" t="n">
        <f aca="false">D512/D500</f>
        <v>0.135674560703219</v>
      </c>
      <c r="E513" s="17" t="n">
        <f aca="false">E512/E500</f>
        <v>0.171404470630443</v>
      </c>
      <c r="F513" s="17" t="n">
        <f aca="false">F512/F500</f>
        <v>0.178243213387117</v>
      </c>
      <c r="G513" s="17" t="n">
        <f aca="false">G512/G500</f>
        <v>0.190139761965274</v>
      </c>
    </row>
    <row r="514" customFormat="false" ht="15" hidden="false" customHeight="false" outlineLevel="0" collapsed="false">
      <c r="A514" s="4" t="s">
        <v>399</v>
      </c>
      <c r="B514" s="0" t="s">
        <v>138</v>
      </c>
      <c r="C514" s="22" t="n">
        <f aca="false">a25_nop</f>
        <v>2.9762895</v>
      </c>
      <c r="D514" s="22" t="n">
        <f aca="false">a26_nop</f>
        <v>3.839</v>
      </c>
      <c r="E514" s="22" t="n">
        <f aca="false">nop_f</f>
        <v>3.5</v>
      </c>
      <c r="F514" s="22" t="n">
        <f aca="false">nop_f</f>
        <v>3.5</v>
      </c>
      <c r="G514" s="22" t="n">
        <f aca="false">nop_f</f>
        <v>3.5</v>
      </c>
    </row>
    <row r="515" customFormat="false" ht="17.15" hidden="false" customHeight="false" outlineLevel="0" collapsed="false">
      <c r="A515" s="4" t="s">
        <v>528</v>
      </c>
      <c r="B515" s="0" t="s">
        <v>53</v>
      </c>
      <c r="C515" s="17" t="n">
        <f aca="false">a25_ni/a25_pt</f>
        <v>0.766753475949514</v>
      </c>
      <c r="D515" s="17" t="n">
        <f aca="false">a26_ni/a26_pt</f>
        <v>0.759431002022174</v>
      </c>
      <c r="E515" s="17" t="n">
        <f aca="false">nir_f</f>
        <v>0.76</v>
      </c>
      <c r="F515" s="17" t="n">
        <f aca="false">nir_f</f>
        <v>0.76</v>
      </c>
      <c r="G515" s="17" t="n">
        <f aca="false">nir_f</f>
        <v>0.76</v>
      </c>
    </row>
    <row r="516" customFormat="false" ht="15" hidden="false" customHeight="false" outlineLevel="0" collapsed="false">
      <c r="A516" s="4" t="s">
        <v>404</v>
      </c>
      <c r="B516" s="0" t="s">
        <v>138</v>
      </c>
      <c r="C516" s="22" t="n">
        <f aca="false">a25_ni</f>
        <v>15.116</v>
      </c>
      <c r="D516" s="22" t="n">
        <f aca="false">a26_ni</f>
        <v>24.8343420979946</v>
      </c>
      <c r="E516" s="22" t="n">
        <f aca="false">(E512+E514)*E515</f>
        <v>41.7516277991244</v>
      </c>
      <c r="F516" s="22" t="n">
        <f aca="false">(F512+F514)*F515</f>
        <v>46.0655123279538</v>
      </c>
      <c r="G516" s="22" t="n">
        <f aca="false">(G512+G514)*G515</f>
        <v>55.8638953758828</v>
      </c>
      <c r="H516" s="24" t="n">
        <f aca="false">H500*H520</f>
        <v>56.0692630651059</v>
      </c>
      <c r="I516" s="24" t="n">
        <f aca="false">I500*I520</f>
        <v>53.794669010666</v>
      </c>
      <c r="J516" s="24" t="n">
        <f aca="false">J500*J520</f>
        <v>49.1287709463028</v>
      </c>
    </row>
    <row r="517" customFormat="false" ht="15" hidden="false" customHeight="false" outlineLevel="0" collapsed="false">
      <c r="A517" s="4" t="s">
        <v>529</v>
      </c>
      <c r="B517" s="4" t="s">
        <v>231</v>
      </c>
      <c r="C517" s="27" t="n">
        <f aca="false">a25_sh</f>
        <v>2.27650602409639</v>
      </c>
      <c r="D517" s="27" t="n">
        <f aca="false">a26_sh</f>
        <v>2.26895833333333</v>
      </c>
      <c r="E517" s="27" t="n">
        <f aca="false">D517*(1+sh_g)</f>
        <v>2.26895833333333</v>
      </c>
      <c r="F517" s="27" t="n">
        <f aca="false">E517*(1+sh_g)</f>
        <v>2.26895833333333</v>
      </c>
      <c r="G517" s="27" t="n">
        <f aca="false">F517*(1+sh_g)</f>
        <v>2.26895833333333</v>
      </c>
      <c r="H517" s="29" t="n">
        <f aca="false">G517*(1+sh_g)</f>
        <v>2.26895833333333</v>
      </c>
      <c r="I517" s="29" t="n">
        <f aca="false">H517*(1+sh_g)</f>
        <v>2.26895833333333</v>
      </c>
      <c r="J517" s="29" t="n">
        <f aca="false">I517*(1+sh_g)</f>
        <v>2.26895833333333</v>
      </c>
    </row>
    <row r="518" customFormat="false" ht="15" hidden="false" customHeight="false" outlineLevel="0" collapsed="false">
      <c r="A518" s="0" t="s">
        <v>410</v>
      </c>
      <c r="B518" s="0" t="s">
        <v>264</v>
      </c>
      <c r="C518" s="23" t="n">
        <f aca="false">C516/C517</f>
        <v>6.64</v>
      </c>
      <c r="D518" s="23" t="n">
        <f aca="false">D516/D517</f>
        <v>10.9452614149641</v>
      </c>
      <c r="E518" s="23" t="n">
        <f aca="false">E516/E517</f>
        <v>18.4012316073636</v>
      </c>
      <c r="F518" s="23" t="n">
        <f aca="false">F516/F517</f>
        <v>20.3024937263959</v>
      </c>
      <c r="G518" s="23" t="n">
        <f aca="false">G516/G517</f>
        <v>24.6209436970193</v>
      </c>
      <c r="H518" s="30" t="n">
        <f aca="false">H516/H517</f>
        <v>24.7114555791487</v>
      </c>
      <c r="I518" s="30" t="n">
        <f aca="false">I516/I517</f>
        <v>23.7089717428333</v>
      </c>
      <c r="J518" s="30" t="n">
        <f aca="false">J516/J517</f>
        <v>21.6525663889683</v>
      </c>
    </row>
    <row r="519" customFormat="false" ht="17.15" hidden="false" customHeight="false" outlineLevel="0" collapsed="false">
      <c r="A519" s="0" t="s">
        <v>530</v>
      </c>
      <c r="B519" s="0" t="s">
        <v>53</v>
      </c>
      <c r="D519" s="17" t="n">
        <f aca="false">D518/C518-1</f>
        <v>0.648382743217484</v>
      </c>
      <c r="E519" s="17" t="n">
        <f aca="false">E518/D518-1</f>
        <v>0.681205309743072</v>
      </c>
      <c r="F519" s="17" t="n">
        <f aca="false">F518/E518-1</f>
        <v>0.103322547077312</v>
      </c>
      <c r="G519" s="17" t="n">
        <f aca="false">G518/F518-1</f>
        <v>0.212705396136081</v>
      </c>
      <c r="H519" s="25" t="n">
        <f aca="false">H518/G518-1</f>
        <v>0.0036762149836016</v>
      </c>
      <c r="I519" s="25" t="n">
        <f aca="false">I518/H518-1</f>
        <v>-0.0405675753540529</v>
      </c>
      <c r="J519" s="25" t="n">
        <f aca="false">J518/I518-1</f>
        <v>-0.0867353243392598</v>
      </c>
    </row>
    <row r="520" customFormat="false" ht="17.15" hidden="false" customHeight="false" outlineLevel="0" collapsed="false">
      <c r="A520" s="4" t="s">
        <v>531</v>
      </c>
      <c r="B520" s="0" t="s">
        <v>53</v>
      </c>
      <c r="C520" s="17" t="n">
        <f aca="false">C516/C500</f>
        <v>0.0910136375952073</v>
      </c>
      <c r="D520" s="17" t="n">
        <f aca="false">D516/D500</f>
        <v>0.116740330417472</v>
      </c>
      <c r="E520" s="17" t="n">
        <f aca="false">E516/E500</f>
        <v>0.139131476698999</v>
      </c>
      <c r="F520" s="17" t="n">
        <f aca="false">F516/F500</f>
        <v>0.143766471641472</v>
      </c>
      <c r="G520" s="17" t="n">
        <f aca="false">G516/G500</f>
        <v>0.151731001039992</v>
      </c>
      <c r="H520" s="25" t="n">
        <f aca="false">$G520+(fade_mB-$G520)*1/3</f>
        <v>0.136864272020072</v>
      </c>
      <c r="I520" s="25" t="n">
        <f aca="false">$G520+(fade_mB-$G520)*2/3</f>
        <v>0.121997543000152</v>
      </c>
      <c r="J520" s="25" t="n">
        <f aca="false">$G520+(fade_mB-$G520)*3/3</f>
        <v>0.107130813980232</v>
      </c>
    </row>
    <row r="523" customFormat="false" ht="17.15" hidden="false" customHeight="false" outlineLevel="0" collapsed="false">
      <c r="A523" s="1" t="s">
        <v>871</v>
      </c>
    </row>
    <row r="524" customFormat="false" ht="17.15" hidden="false" customHeight="false" outlineLevel="0" collapsed="false">
      <c r="A524" s="5" t="s">
        <v>22</v>
      </c>
      <c r="B524" s="5" t="s">
        <v>23</v>
      </c>
      <c r="C524" s="14" t="s">
        <v>378</v>
      </c>
      <c r="D524" s="14" t="s">
        <v>476</v>
      </c>
      <c r="E524" s="14" t="s">
        <v>477</v>
      </c>
      <c r="F524" s="14" t="s">
        <v>478</v>
      </c>
      <c r="G524" s="14" t="s">
        <v>479</v>
      </c>
      <c r="H524" s="14" t="s">
        <v>480</v>
      </c>
      <c r="I524" s="14" t="s">
        <v>481</v>
      </c>
      <c r="J524" s="14" t="s">
        <v>482</v>
      </c>
      <c r="K524" s="5" t="s">
        <v>449</v>
      </c>
    </row>
    <row r="525" customFormat="false" ht="17.15" hidden="false" customHeight="false" outlineLevel="0" collapsed="false">
      <c r="A525" s="6" t="s">
        <v>501</v>
      </c>
    </row>
    <row r="526" customFormat="false" ht="17.15" hidden="false" customHeight="false" outlineLevel="0" collapsed="false">
      <c r="A526" s="0" t="s">
        <v>502</v>
      </c>
      <c r="B526" s="0" t="s">
        <v>33</v>
      </c>
      <c r="D526" s="23" t="n">
        <f aca="false">itc_26*1</f>
        <v>781.872916666666</v>
      </c>
      <c r="E526" s="23" t="n">
        <f aca="false">itc_27*1*1</f>
        <v>1565.35</v>
      </c>
      <c r="F526" s="23" t="n">
        <f aca="false">itc_28*um28_B*1</f>
        <v>1587.41111111111</v>
      </c>
      <c r="G526" s="23" t="n">
        <f aca="false">itc_29*um29_B*1</f>
        <v>1921.33173611111</v>
      </c>
    </row>
    <row r="527" customFormat="false" ht="17.15" hidden="false" customHeight="false" outlineLevel="0" collapsed="false">
      <c r="A527" s="4" t="s">
        <v>503</v>
      </c>
      <c r="B527" s="0" t="s">
        <v>33</v>
      </c>
      <c r="D527" s="23" t="n">
        <f aca="false">itpg_gb*(1-vr26)+itpg_vr*vr26</f>
        <v>33.41403216</v>
      </c>
      <c r="E527" s="23" t="n">
        <f aca="false">itpg_vr</f>
        <v>37.586352</v>
      </c>
      <c r="F527" s="23" t="n">
        <f aca="false">itpg_vr</f>
        <v>37.586352</v>
      </c>
      <c r="G527" s="23" t="n">
        <f aca="false">itpg_vr</f>
        <v>37.586352</v>
      </c>
    </row>
    <row r="528" customFormat="false" ht="17.15" hidden="false" customHeight="false" outlineLevel="0" collapsed="false">
      <c r="A528" s="4" t="s">
        <v>504</v>
      </c>
      <c r="B528" s="0" t="s">
        <v>451</v>
      </c>
      <c r="D528" s="20" t="n">
        <f aca="false">D526/D527</f>
        <v>23.3995380420639</v>
      </c>
      <c r="E528" s="20" t="n">
        <f aca="false">E526/E527</f>
        <v>41.6467658260637</v>
      </c>
      <c r="F528" s="20" t="n">
        <f aca="false">F526/F527</f>
        <v>42.2337105529984</v>
      </c>
      <c r="G528" s="20" t="n">
        <f aca="false">G526/G527</f>
        <v>51.1178029756948</v>
      </c>
    </row>
    <row r="529" customFormat="false" ht="17.15" hidden="false" customHeight="false" outlineLevel="0" collapsed="false">
      <c r="A529" s="0" t="s">
        <v>453</v>
      </c>
      <c r="B529" s="0" t="s">
        <v>91</v>
      </c>
      <c r="D529" s="21" t="n">
        <f aca="false">pkw_26</f>
        <v>450</v>
      </c>
      <c r="E529" s="21" t="n">
        <f aca="false">pkw_27</f>
        <v>600</v>
      </c>
      <c r="F529" s="21" t="n">
        <f aca="false">pkw_28</f>
        <v>680</v>
      </c>
      <c r="G529" s="21" t="n">
        <f aca="false">pkw_29</f>
        <v>720</v>
      </c>
    </row>
    <row r="530" customFormat="false" ht="17.15" hidden="false" customHeight="false" outlineLevel="0" collapsed="false">
      <c r="A530" s="0" t="s">
        <v>505</v>
      </c>
      <c r="B530" s="0" t="s">
        <v>33</v>
      </c>
      <c r="D530" s="23" t="n">
        <f aca="false">D528*D529/1000</f>
        <v>10.5297921189287</v>
      </c>
      <c r="E530" s="23" t="n">
        <f aca="false">E528*E529/1000</f>
        <v>24.9880594956382</v>
      </c>
      <c r="F530" s="23" t="n">
        <f aca="false">F528*F529/1000</f>
        <v>28.7189231760389</v>
      </c>
      <c r="G530" s="23" t="n">
        <f aca="false">G528*G529/1000</f>
        <v>36.8048181425003</v>
      </c>
    </row>
    <row r="531" customFormat="false" ht="17.15" hidden="false" customHeight="false" outlineLevel="0" collapsed="false">
      <c r="A531" s="0" t="s">
        <v>506</v>
      </c>
      <c r="B531" s="0" t="s">
        <v>138</v>
      </c>
      <c r="D531" s="22" t="n">
        <f aca="false">D530*fx</f>
        <v>336.95334780572</v>
      </c>
      <c r="E531" s="22" t="n">
        <f aca="false">E530*fx</f>
        <v>799.617903860422</v>
      </c>
      <c r="F531" s="22" t="n">
        <f aca="false">F530*fx</f>
        <v>919.005541633245</v>
      </c>
      <c r="G531" s="22" t="n">
        <f aca="false">G530*fx</f>
        <v>1177.75418056001</v>
      </c>
    </row>
    <row r="532" customFormat="false" ht="17.15" hidden="false" customHeight="false" outlineLevel="0" collapsed="false">
      <c r="A532" s="4" t="s">
        <v>507</v>
      </c>
      <c r="B532" s="0" t="s">
        <v>53</v>
      </c>
      <c r="D532" s="17" t="n">
        <f aca="false">a26_aip/D531</f>
        <v>0.176143316327046</v>
      </c>
      <c r="K532" s="8" t="s">
        <v>508</v>
      </c>
    </row>
    <row r="533" customFormat="false" ht="17.15" hidden="false" customHeight="false" outlineLevel="0" collapsed="false">
      <c r="A533" s="4" t="s">
        <v>509</v>
      </c>
      <c r="B533" s="0" t="s">
        <v>64</v>
      </c>
      <c r="D533" s="18" t="n">
        <f aca="false">1</f>
        <v>1</v>
      </c>
      <c r="E533" s="18" t="n">
        <f aca="false">rel_27</f>
        <v>1</v>
      </c>
      <c r="F533" s="18" t="n">
        <f aca="false">rel_28</f>
        <v>1</v>
      </c>
      <c r="G533" s="18" t="n">
        <f aca="false">rel_29</f>
        <v>1</v>
      </c>
    </row>
    <row r="534" customFormat="false" ht="15" hidden="false" customHeight="false" outlineLevel="0" collapsed="false">
      <c r="A534" s="4" t="s">
        <v>459</v>
      </c>
      <c r="B534" s="0" t="s">
        <v>53</v>
      </c>
      <c r="D534" s="17" t="n">
        <f aca="false">$D$532*D533</f>
        <v>0.176143316327046</v>
      </c>
      <c r="E534" s="17" t="n">
        <f aca="false">$D$532*E533</f>
        <v>0.176143316327046</v>
      </c>
      <c r="F534" s="17" t="n">
        <f aca="false">$D$532*F533</f>
        <v>0.176143316327046</v>
      </c>
      <c r="G534" s="17" t="n">
        <f aca="false">$D$532*G533</f>
        <v>0.176143316327046</v>
      </c>
    </row>
    <row r="535" customFormat="false" ht="17.15" hidden="false" customHeight="false" outlineLevel="0" collapsed="false">
      <c r="A535" s="0" t="s">
        <v>510</v>
      </c>
      <c r="B535" s="0" t="s">
        <v>138</v>
      </c>
      <c r="C535" s="22" t="n">
        <f aca="false">a25_aip</f>
        <v>31.390065</v>
      </c>
      <c r="D535" s="22" t="n">
        <f aca="false">D531*D534</f>
        <v>59.35208013</v>
      </c>
      <c r="E535" s="22" t="n">
        <f aca="false">E531*E534</f>
        <v>140.847349380456</v>
      </c>
      <c r="F535" s="22" t="n">
        <f aca="false">F531*F534</f>
        <v>161.876683826213</v>
      </c>
      <c r="G535" s="22" t="n">
        <f aca="false">G531*G534</f>
        <v>207.453527181882</v>
      </c>
    </row>
    <row r="536" customFormat="false" ht="17.15" hidden="false" customHeight="false" outlineLevel="0" collapsed="false">
      <c r="A536" s="0" t="s">
        <v>511</v>
      </c>
      <c r="B536" s="0" t="s">
        <v>138</v>
      </c>
      <c r="C536" s="22" t="n">
        <f aca="false">a25_ai</f>
        <v>34.87785</v>
      </c>
      <c r="D536" s="22" t="n">
        <f aca="false">D535/(1-x_np)</f>
        <v>65.9467557</v>
      </c>
      <c r="E536" s="22" t="n">
        <f aca="false">E535/(1-x_np)</f>
        <v>156.497054867173</v>
      </c>
      <c r="F536" s="22" t="n">
        <f aca="false">F535/(1-x_np)</f>
        <v>179.862982029125</v>
      </c>
      <c r="G536" s="22" t="n">
        <f aca="false">G535/(1-x_np)</f>
        <v>230.50391909098</v>
      </c>
      <c r="K536" s="4" t="s">
        <v>512</v>
      </c>
    </row>
    <row r="537" customFormat="false" ht="17.15" hidden="false" customHeight="false" outlineLevel="0" collapsed="false">
      <c r="A537" s="6" t="s">
        <v>513</v>
      </c>
    </row>
    <row r="538" customFormat="false" ht="17.15" hidden="false" customHeight="false" outlineLevel="0" collapsed="false">
      <c r="A538" s="4" t="s">
        <v>514</v>
      </c>
      <c r="B538" s="0" t="s">
        <v>138</v>
      </c>
      <c r="C538" s="22" t="n">
        <f aca="false">a25_cn</f>
        <v>39.8604</v>
      </c>
      <c r="D538" s="22" t="n">
        <f aca="false">a26_cn</f>
        <v>50.0315607365079</v>
      </c>
      <c r="E538" s="22" t="n">
        <f aca="false">D538*(1+g_cnHI27)</f>
        <v>55.0347168101587</v>
      </c>
      <c r="F538" s="22" t="n">
        <f aca="false">E538*(1+g_cnHI28)</f>
        <v>60.5381884911746</v>
      </c>
      <c r="G538" s="22" t="n">
        <f aca="false">F538*(1+g_cnHI29)</f>
        <v>66.5920073402921</v>
      </c>
      <c r="K538" s="4" t="s">
        <v>515</v>
      </c>
    </row>
    <row r="539" customFormat="false" ht="17.15" hidden="false" customHeight="false" outlineLevel="0" collapsed="false">
      <c r="A539" s="4" t="s">
        <v>431</v>
      </c>
      <c r="B539" s="0" t="s">
        <v>138</v>
      </c>
      <c r="C539" s="22" t="n">
        <f aca="false">C536+C538</f>
        <v>74.73825</v>
      </c>
      <c r="D539" s="22" t="n">
        <f aca="false">D536+D538</f>
        <v>115.978316436508</v>
      </c>
      <c r="E539" s="22" t="n">
        <f aca="false">E536+E538</f>
        <v>211.531771677332</v>
      </c>
      <c r="F539" s="22" t="n">
        <f aca="false">F536+F538</f>
        <v>240.4011705203</v>
      </c>
      <c r="G539" s="22" t="n">
        <f aca="false">G536+G538</f>
        <v>297.095926431272</v>
      </c>
      <c r="K539" s="4" t="s">
        <v>516</v>
      </c>
    </row>
    <row r="540" customFormat="false" ht="15" hidden="false" customHeight="false" outlineLevel="0" collapsed="false">
      <c r="A540" s="4" t="s">
        <v>435</v>
      </c>
      <c r="B540" s="0" t="s">
        <v>138</v>
      </c>
      <c r="C540" s="22" t="n">
        <f aca="false">a25_op</f>
        <v>28.23445</v>
      </c>
      <c r="D540" s="22" t="n">
        <f aca="false">a26_op</f>
        <v>32.8693205828571</v>
      </c>
      <c r="E540" s="22" t="n">
        <f aca="false">D540*(1+g_opHI27)</f>
        <v>36.1562526411429</v>
      </c>
      <c r="F540" s="22" t="n">
        <f aca="false">E540*(1+g_opHI28)</f>
        <v>39.7718779052571</v>
      </c>
      <c r="G540" s="22" t="n">
        <f aca="false">F540*(1+g_opHI29)</f>
        <v>43.7490656957829</v>
      </c>
    </row>
    <row r="541" customFormat="false" ht="15" hidden="false" customHeight="false" outlineLevel="0" collapsed="false">
      <c r="A541" s="4" t="s">
        <v>436</v>
      </c>
      <c r="B541" s="0" t="s">
        <v>138</v>
      </c>
      <c r="C541" s="22" t="n">
        <f aca="false">a25_ic</f>
        <v>63.1123</v>
      </c>
      <c r="D541" s="22" t="n">
        <f aca="false">a26_ic</f>
        <v>63.8838329806349</v>
      </c>
      <c r="E541" s="22" t="n">
        <f aca="false">D541*(1+g_icHI27)</f>
        <v>67.0780246296667</v>
      </c>
      <c r="F541" s="22" t="n">
        <f aca="false">E541*(1+g_icHI28)</f>
        <v>70.43192586115</v>
      </c>
      <c r="G541" s="22" t="n">
        <f aca="false">F541*(1+g_icHI29)</f>
        <v>73.9535221542075</v>
      </c>
    </row>
    <row r="542" customFormat="false" ht="17.15" hidden="false" customHeight="false" outlineLevel="0" collapsed="false">
      <c r="A542" s="4" t="s">
        <v>517</v>
      </c>
      <c r="B542" s="0" t="s">
        <v>138</v>
      </c>
      <c r="C542" s="22" t="n">
        <f aca="false">C538+C540+C541</f>
        <v>131.20715</v>
      </c>
      <c r="D542" s="22" t="n">
        <f aca="false">D538+D540+D541</f>
        <v>146.7847143</v>
      </c>
      <c r="E542" s="22" t="n">
        <f aca="false">E538+E540+E541</f>
        <v>158.268994080968</v>
      </c>
      <c r="F542" s="22" t="n">
        <f aca="false">F538+F540+F541</f>
        <v>170.741992257582</v>
      </c>
      <c r="G542" s="22" t="n">
        <f aca="false">G538+G540+G541</f>
        <v>184.294595190282</v>
      </c>
    </row>
    <row r="543" customFormat="false" ht="17.15" hidden="false" customHeight="false" outlineLevel="0" collapsed="false">
      <c r="A543" s="4" t="s">
        <v>383</v>
      </c>
      <c r="B543" s="0" t="s">
        <v>138</v>
      </c>
      <c r="C543" s="22" t="n">
        <f aca="false">C539+C540+C541</f>
        <v>166.085</v>
      </c>
      <c r="D543" s="22" t="n">
        <f aca="false">D539+D540+D541</f>
        <v>212.73147</v>
      </c>
      <c r="E543" s="22" t="n">
        <f aca="false">E539+E540+E541</f>
        <v>314.766048948141</v>
      </c>
      <c r="F543" s="22" t="n">
        <f aca="false">F539+F540+F541</f>
        <v>350.604974286707</v>
      </c>
      <c r="G543" s="22" t="n">
        <f aca="false">G539+G540+G541</f>
        <v>414.798514281263</v>
      </c>
      <c r="H543" s="24" t="n">
        <f aca="false">G543*(1+H545)</f>
        <v>470.960473620186</v>
      </c>
      <c r="I543" s="24" t="n">
        <f aca="false">H543*(1+I545)</f>
        <v>512.262708295233</v>
      </c>
      <c r="J543" s="24" t="n">
        <f aca="false">I543*(1+J545)</f>
        <v>532.753216627042</v>
      </c>
      <c r="K543" s="8" t="s">
        <v>518</v>
      </c>
    </row>
    <row r="544" customFormat="false" ht="17.15" hidden="false" customHeight="false" outlineLevel="0" collapsed="false">
      <c r="A544" s="4" t="s">
        <v>519</v>
      </c>
      <c r="B544" s="0" t="s">
        <v>138</v>
      </c>
      <c r="C544" s="28" t="n">
        <f aca="false">C543-a25_rev</f>
        <v>0</v>
      </c>
      <c r="D544" s="28" t="n">
        <f aca="false">D543-a26_rev</f>
        <v>0</v>
      </c>
    </row>
    <row r="545" customFormat="false" ht="15" hidden="false" customHeight="false" outlineLevel="0" collapsed="false">
      <c r="A545" s="4" t="s">
        <v>520</v>
      </c>
      <c r="B545" s="0" t="s">
        <v>53</v>
      </c>
      <c r="D545" s="17" t="n">
        <f aca="false">D543/C543-1</f>
        <v>0.280859017972725</v>
      </c>
      <c r="E545" s="17" t="n">
        <f aca="false">E543/D543-1</f>
        <v>0.479640266426689</v>
      </c>
      <c r="F545" s="17" t="n">
        <f aca="false">F543/E543-1</f>
        <v>0.113858929380501</v>
      </c>
      <c r="G545" s="17" t="n">
        <f aca="false">G543/F543-1</f>
        <v>0.183093637291242</v>
      </c>
      <c r="H545" s="25" t="n">
        <f aca="false">$G545+(fade_gB-$G545)*1/3</f>
        <v>0.135395758194161</v>
      </c>
      <c r="I545" s="25" t="n">
        <f aca="false">$G545+(fade_gB-$G545)*2/3</f>
        <v>0.0876978790970807</v>
      </c>
      <c r="J545" s="25" t="n">
        <f aca="false">$G545+(fade_gB-$G545)*3/3</f>
        <v>0.04</v>
      </c>
    </row>
    <row r="546" customFormat="false" ht="17.15" hidden="false" customHeight="false" outlineLevel="0" collapsed="false">
      <c r="A546" s="0" t="s">
        <v>521</v>
      </c>
      <c r="B546" s="0" t="s">
        <v>53</v>
      </c>
      <c r="C546" s="17" t="n">
        <f aca="false">C536/C543</f>
        <v>0.21</v>
      </c>
      <c r="D546" s="17" t="n">
        <f aca="false">D536/D543</f>
        <v>0.31</v>
      </c>
      <c r="E546" s="17" t="n">
        <f aca="false">E536/E543</f>
        <v>0.497185307596361</v>
      </c>
      <c r="F546" s="17" t="n">
        <f aca="false">F536/F543</f>
        <v>0.513007501947312</v>
      </c>
      <c r="G546" s="17" t="n">
        <f aca="false">G536/G543</f>
        <v>0.555700927450001</v>
      </c>
    </row>
    <row r="547" customFormat="false" ht="17.15" hidden="false" customHeight="false" outlineLevel="0" collapsed="false">
      <c r="A547" s="4" t="s">
        <v>470</v>
      </c>
      <c r="B547" s="0" t="s">
        <v>471</v>
      </c>
      <c r="D547" s="21" t="n">
        <f aca="false">D536/fx/D528*1000</f>
        <v>88.0716581635229</v>
      </c>
      <c r="E547" s="21" t="n">
        <f aca="false">E536/fx/E528*1000</f>
        <v>117.428877551364</v>
      </c>
      <c r="F547" s="21" t="n">
        <f aca="false">F536/fx/F528*1000</f>
        <v>133.086061224879</v>
      </c>
      <c r="G547" s="21" t="n">
        <f aca="false">G536/fx/G528*1000</f>
        <v>140.914653061637</v>
      </c>
    </row>
    <row r="548" customFormat="false" ht="17.15" hidden="false" customHeight="false" outlineLevel="0" collapsed="false">
      <c r="A548" s="6" t="s">
        <v>522</v>
      </c>
    </row>
    <row r="549" customFormat="false" ht="17.15" hidden="false" customHeight="false" outlineLevel="0" collapsed="false">
      <c r="A549" s="4" t="s">
        <v>523</v>
      </c>
      <c r="B549" s="0" t="s">
        <v>53</v>
      </c>
      <c r="D549" s="17" t="n">
        <f aca="false">a26_gp/D543-d_ai*D546</f>
        <v>0.216982337009188</v>
      </c>
      <c r="K549" s="8" t="s">
        <v>524</v>
      </c>
    </row>
    <row r="550" customFormat="false" ht="17.15" hidden="false" customHeight="false" outlineLevel="0" collapsed="false">
      <c r="A550" s="0" t="s">
        <v>525</v>
      </c>
      <c r="B550" s="0" t="s">
        <v>53</v>
      </c>
      <c r="D550" s="17" t="n">
        <f aca="false">D549+d_ai</f>
        <v>0.336982337009188</v>
      </c>
      <c r="E550" s="17" t="n">
        <f aca="false">$D$550+gmu_27</f>
        <v>0.336982337009188</v>
      </c>
      <c r="F550" s="17" t="n">
        <f aca="false">$D$550+gmu_28</f>
        <v>0.336982337009188</v>
      </c>
      <c r="G550" s="17" t="n">
        <f aca="false">$D$550+gmu_29</f>
        <v>0.336982337009188</v>
      </c>
      <c r="K550" s="4" t="s">
        <v>526</v>
      </c>
    </row>
    <row r="551" customFormat="false" ht="15" hidden="false" customHeight="false" outlineLevel="0" collapsed="false">
      <c r="A551" s="4" t="s">
        <v>387</v>
      </c>
      <c r="B551" s="0" t="s">
        <v>138</v>
      </c>
      <c r="C551" s="22" t="n">
        <f aca="false">a25_gp</f>
        <v>38.039</v>
      </c>
      <c r="D551" s="22" t="n">
        <f aca="false">a26_gp</f>
        <v>54.0725822</v>
      </c>
      <c r="E551" s="22" t="n">
        <f aca="false">E536*E550+E542*$D$549</f>
        <v>87.078319495977</v>
      </c>
      <c r="F551" s="22" t="n">
        <f aca="false">F536*F550+F542*$D$549</f>
        <v>97.6586445312711</v>
      </c>
      <c r="G551" s="22" t="n">
        <f aca="false">G536*G550+G542*$D$549</f>
        <v>117.664421307605</v>
      </c>
    </row>
    <row r="552" customFormat="false" ht="15" hidden="false" customHeight="false" outlineLevel="0" collapsed="false">
      <c r="A552" s="4" t="s">
        <v>390</v>
      </c>
      <c r="B552" s="0" t="s">
        <v>53</v>
      </c>
      <c r="C552" s="17" t="n">
        <f aca="false">C551/C543</f>
        <v>0.229033326308818</v>
      </c>
      <c r="D552" s="17" t="n">
        <f aca="false">D551/D543</f>
        <v>0.254182337009188</v>
      </c>
      <c r="E552" s="17" t="n">
        <f aca="false">E551/E543</f>
        <v>0.276644573920752</v>
      </c>
      <c r="F552" s="17" t="n">
        <f aca="false">F551/F543</f>
        <v>0.278543237242866</v>
      </c>
      <c r="G552" s="17" t="n">
        <f aca="false">G551/G543</f>
        <v>0.283666448303188</v>
      </c>
    </row>
    <row r="553" customFormat="false" ht="15" hidden="false" customHeight="false" outlineLevel="0" collapsed="false">
      <c r="A553" s="4" t="s">
        <v>527</v>
      </c>
      <c r="B553" s="0" t="s">
        <v>138</v>
      </c>
      <c r="C553" s="22" t="n">
        <f aca="false">a25_opx</f>
        <v>21.301</v>
      </c>
      <c r="D553" s="22" t="n">
        <f aca="false">a26_opx</f>
        <v>25.21033346</v>
      </c>
      <c r="E553" s="22" t="n">
        <f aca="false">D553*(1+MAX(0,phi*E545))</f>
        <v>33.6746572002221</v>
      </c>
      <c r="F553" s="22" t="n">
        <f aca="false">E553*(1+MAX(0,phi*F545))</f>
        <v>36.3585694914729</v>
      </c>
      <c r="G553" s="22" t="n">
        <f aca="false">F553*(1+MAX(0,phi*G545))</f>
        <v>41.018485405903</v>
      </c>
    </row>
    <row r="554" customFormat="false" ht="15" hidden="false" customHeight="false" outlineLevel="0" collapsed="false">
      <c r="A554" s="4" t="s">
        <v>392</v>
      </c>
      <c r="B554" s="0" t="s">
        <v>138</v>
      </c>
      <c r="C554" s="22" t="n">
        <f aca="false">C553</f>
        <v>21.301</v>
      </c>
      <c r="D554" s="22" t="n">
        <f aca="false">D553</f>
        <v>25.21033346</v>
      </c>
      <c r="E554" s="22" t="n">
        <f aca="false">E553+0*E543</f>
        <v>33.6746572002221</v>
      </c>
      <c r="F554" s="22" t="n">
        <f aca="false">F553+0*F543</f>
        <v>36.3585694914729</v>
      </c>
      <c r="G554" s="22" t="n">
        <f aca="false">G553+0*G543</f>
        <v>41.018485405903</v>
      </c>
    </row>
    <row r="555" customFormat="false" ht="15" hidden="false" customHeight="false" outlineLevel="0" collapsed="false">
      <c r="A555" s="4" t="s">
        <v>395</v>
      </c>
      <c r="B555" s="0" t="s">
        <v>138</v>
      </c>
      <c r="C555" s="22" t="n">
        <f aca="false">C551-C554</f>
        <v>16.738</v>
      </c>
      <c r="D555" s="22" t="n">
        <f aca="false">D551-D554</f>
        <v>28.86224874</v>
      </c>
      <c r="E555" s="22" t="n">
        <f aca="false">E551-E554</f>
        <v>53.4036622957549</v>
      </c>
      <c r="F555" s="22" t="n">
        <f aca="false">F551-F554</f>
        <v>61.3000750397981</v>
      </c>
      <c r="G555" s="22" t="n">
        <f aca="false">G551-G554</f>
        <v>76.6459359017021</v>
      </c>
    </row>
    <row r="556" customFormat="false" ht="15" hidden="false" customHeight="false" outlineLevel="0" collapsed="false">
      <c r="A556" s="4" t="s">
        <v>397</v>
      </c>
      <c r="B556" s="0" t="s">
        <v>53</v>
      </c>
      <c r="C556" s="17" t="n">
        <f aca="false">C555/C543</f>
        <v>0.100779721227083</v>
      </c>
      <c r="D556" s="17" t="n">
        <f aca="false">D555/D543</f>
        <v>0.135674560703219</v>
      </c>
      <c r="E556" s="17" t="n">
        <f aca="false">E555/E543</f>
        <v>0.169661443711019</v>
      </c>
      <c r="F556" s="17" t="n">
        <f aca="false">F555/F543</f>
        <v>0.174840859473003</v>
      </c>
      <c r="G556" s="17" t="n">
        <f aca="false">G555/G543</f>
        <v>0.184778713671406</v>
      </c>
    </row>
    <row r="557" customFormat="false" ht="15" hidden="false" customHeight="false" outlineLevel="0" collapsed="false">
      <c r="A557" s="4" t="s">
        <v>399</v>
      </c>
      <c r="B557" s="0" t="s">
        <v>138</v>
      </c>
      <c r="C557" s="22" t="n">
        <f aca="false">a25_nop</f>
        <v>2.9762895</v>
      </c>
      <c r="D557" s="22" t="n">
        <f aca="false">a26_nop</f>
        <v>3.839</v>
      </c>
      <c r="E557" s="22" t="n">
        <f aca="false">nop_f</f>
        <v>3.5</v>
      </c>
      <c r="F557" s="22" t="n">
        <f aca="false">nop_f</f>
        <v>3.5</v>
      </c>
      <c r="G557" s="22" t="n">
        <f aca="false">nop_f</f>
        <v>3.5</v>
      </c>
    </row>
    <row r="558" customFormat="false" ht="17.15" hidden="false" customHeight="false" outlineLevel="0" collapsed="false">
      <c r="A558" s="4" t="s">
        <v>528</v>
      </c>
      <c r="B558" s="0" t="s">
        <v>53</v>
      </c>
      <c r="C558" s="17" t="n">
        <f aca="false">a25_ni/a25_pt</f>
        <v>0.766753475949514</v>
      </c>
      <c r="D558" s="17" t="n">
        <f aca="false">a26_ni/a26_pt</f>
        <v>0.759431002022174</v>
      </c>
      <c r="E558" s="17" t="n">
        <f aca="false">nir_f</f>
        <v>0.76</v>
      </c>
      <c r="F558" s="17" t="n">
        <f aca="false">nir_f</f>
        <v>0.76</v>
      </c>
      <c r="G558" s="17" t="n">
        <f aca="false">nir_f</f>
        <v>0.76</v>
      </c>
    </row>
    <row r="559" customFormat="false" ht="15" hidden="false" customHeight="false" outlineLevel="0" collapsed="false">
      <c r="A559" s="4" t="s">
        <v>404</v>
      </c>
      <c r="B559" s="0" t="s">
        <v>138</v>
      </c>
      <c r="C559" s="22" t="n">
        <f aca="false">a25_ni</f>
        <v>15.116</v>
      </c>
      <c r="D559" s="22" t="n">
        <f aca="false">a26_ni</f>
        <v>24.8343420979946</v>
      </c>
      <c r="E559" s="22" t="n">
        <f aca="false">(E555+E557)*E558</f>
        <v>43.2467833447737</v>
      </c>
      <c r="F559" s="22" t="n">
        <f aca="false">(F555+F557)*F558</f>
        <v>49.2480570302466</v>
      </c>
      <c r="G559" s="22" t="n">
        <f aca="false">(G555+G557)*G558</f>
        <v>60.9109112852936</v>
      </c>
      <c r="H559" s="24" t="n">
        <f aca="false">H543*H563</f>
        <v>62.9234531645241</v>
      </c>
      <c r="I559" s="24" t="n">
        <f aca="false">I543*I563</f>
        <v>61.6604137319518</v>
      </c>
      <c r="J559" s="24" t="n">
        <f aca="false">J543*J563</f>
        <v>57.0742857478418</v>
      </c>
    </row>
    <row r="560" customFormat="false" ht="15" hidden="false" customHeight="false" outlineLevel="0" collapsed="false">
      <c r="A560" s="4" t="s">
        <v>529</v>
      </c>
      <c r="B560" s="4" t="s">
        <v>231</v>
      </c>
      <c r="C560" s="27" t="n">
        <f aca="false">a25_sh</f>
        <v>2.27650602409639</v>
      </c>
      <c r="D560" s="27" t="n">
        <f aca="false">a26_sh</f>
        <v>2.26895833333333</v>
      </c>
      <c r="E560" s="27" t="n">
        <f aca="false">D560*(1+sh_g)</f>
        <v>2.26895833333333</v>
      </c>
      <c r="F560" s="27" t="n">
        <f aca="false">E560*(1+sh_g)</f>
        <v>2.26895833333333</v>
      </c>
      <c r="G560" s="27" t="n">
        <f aca="false">F560*(1+sh_g)</f>
        <v>2.26895833333333</v>
      </c>
      <c r="H560" s="29" t="n">
        <f aca="false">G560*(1+sh_g)</f>
        <v>2.26895833333333</v>
      </c>
      <c r="I560" s="29" t="n">
        <f aca="false">H560*(1+sh_g)</f>
        <v>2.26895833333333</v>
      </c>
      <c r="J560" s="29" t="n">
        <f aca="false">I560*(1+sh_g)</f>
        <v>2.26895833333333</v>
      </c>
    </row>
    <row r="561" customFormat="false" ht="15" hidden="false" customHeight="false" outlineLevel="0" collapsed="false">
      <c r="A561" s="0" t="s">
        <v>410</v>
      </c>
      <c r="B561" s="0" t="s">
        <v>264</v>
      </c>
      <c r="C561" s="23" t="n">
        <f aca="false">C559/C560</f>
        <v>6.64</v>
      </c>
      <c r="D561" s="23" t="n">
        <f aca="false">D559/D560</f>
        <v>10.9452614149641</v>
      </c>
      <c r="E561" s="23" t="n">
        <f aca="false">E559/E560</f>
        <v>19.0601928248016</v>
      </c>
      <c r="F561" s="23" t="n">
        <f aca="false">F559/F560</f>
        <v>21.7051394495624</v>
      </c>
      <c r="G561" s="23" t="n">
        <f aca="false">G559/G560</f>
        <v>26.8453194536231</v>
      </c>
      <c r="H561" s="30" t="n">
        <f aca="false">H559/H560</f>
        <v>27.7323088044914</v>
      </c>
      <c r="I561" s="30" t="n">
        <f aca="false">I559/I560</f>
        <v>27.175648325532</v>
      </c>
      <c r="J561" s="30" t="n">
        <f aca="false">J559/J560</f>
        <v>25.1544001092315</v>
      </c>
    </row>
    <row r="562" customFormat="false" ht="17.15" hidden="false" customHeight="false" outlineLevel="0" collapsed="false">
      <c r="A562" s="0" t="s">
        <v>530</v>
      </c>
      <c r="B562" s="0" t="s">
        <v>53</v>
      </c>
      <c r="D562" s="17" t="n">
        <f aca="false">D561/C561-1</f>
        <v>0.648382743217484</v>
      </c>
      <c r="E562" s="17" t="n">
        <f aca="false">E561/D561-1</f>
        <v>0.741410469990506</v>
      </c>
      <c r="F562" s="17" t="n">
        <f aca="false">F561/E561-1</f>
        <v>0.138768093747673</v>
      </c>
      <c r="G562" s="17" t="n">
        <f aca="false">G561/F561-1</f>
        <v>0.236818566220471</v>
      </c>
      <c r="H562" s="25" t="n">
        <f aca="false">H561/G561-1</f>
        <v>0.0330407448643189</v>
      </c>
      <c r="I562" s="25" t="n">
        <f aca="false">I561/H561-1</f>
        <v>-0.0200726337963343</v>
      </c>
      <c r="J562" s="25" t="n">
        <f aca="false">J561/I561-1</f>
        <v>-0.0743771847533616</v>
      </c>
    </row>
    <row r="563" customFormat="false" ht="17.15" hidden="false" customHeight="false" outlineLevel="0" collapsed="false">
      <c r="A563" s="4" t="s">
        <v>531</v>
      </c>
      <c r="B563" s="0" t="s">
        <v>53</v>
      </c>
      <c r="C563" s="17" t="n">
        <f aca="false">C559/C543</f>
        <v>0.0910136375952073</v>
      </c>
      <c r="D563" s="17" t="n">
        <f aca="false">D559/D543</f>
        <v>0.116740330417472</v>
      </c>
      <c r="E563" s="17" t="n">
        <f aca="false">E559/E543</f>
        <v>0.137393418029969</v>
      </c>
      <c r="F563" s="17" t="n">
        <f aca="false">F559/F543</f>
        <v>0.14046593928235</v>
      </c>
      <c r="G563" s="17" t="n">
        <f aca="false">G559/G543</f>
        <v>0.146844574385316</v>
      </c>
      <c r="H563" s="25" t="n">
        <f aca="false">$G563+(fade_mB-$G563)*1/3</f>
        <v>0.133606654250288</v>
      </c>
      <c r="I563" s="25" t="n">
        <f aca="false">$G563+(fade_mB-$G563)*2/3</f>
        <v>0.12036873411526</v>
      </c>
      <c r="J563" s="25" t="n">
        <f aca="false">$G563+(fade_mB-$G563)*3/3</f>
        <v>0.107130813980232</v>
      </c>
    </row>
    <row r="566" customFormat="false" ht="17.15" hidden="false" customHeight="false" outlineLevel="0" collapsed="false">
      <c r="A566" s="1" t="s">
        <v>872</v>
      </c>
    </row>
    <row r="567" customFormat="false" ht="17.15" hidden="false" customHeight="false" outlineLevel="0" collapsed="false">
      <c r="A567" s="5" t="s">
        <v>22</v>
      </c>
      <c r="B567" s="5" t="s">
        <v>23</v>
      </c>
      <c r="C567" s="14" t="s">
        <v>378</v>
      </c>
      <c r="D567" s="14" t="s">
        <v>476</v>
      </c>
      <c r="E567" s="14" t="s">
        <v>477</v>
      </c>
      <c r="F567" s="14" t="s">
        <v>478</v>
      </c>
      <c r="G567" s="14" t="s">
        <v>479</v>
      </c>
      <c r="H567" s="14" t="s">
        <v>480</v>
      </c>
      <c r="I567" s="14" t="s">
        <v>481</v>
      </c>
      <c r="J567" s="14" t="s">
        <v>482</v>
      </c>
      <c r="K567" s="5" t="s">
        <v>449</v>
      </c>
    </row>
    <row r="568" customFormat="false" ht="17.15" hidden="false" customHeight="false" outlineLevel="0" collapsed="false">
      <c r="A568" s="6" t="s">
        <v>501</v>
      </c>
    </row>
    <row r="569" customFormat="false" ht="17.15" hidden="false" customHeight="false" outlineLevel="0" collapsed="false">
      <c r="A569" s="0" t="s">
        <v>502</v>
      </c>
      <c r="B569" s="0" t="s">
        <v>33</v>
      </c>
      <c r="D569" s="23" t="n">
        <f aca="false">itc_26*1</f>
        <v>781.872916666666</v>
      </c>
      <c r="E569" s="23" t="n">
        <f aca="false">itc_27*1*1</f>
        <v>1565.35</v>
      </c>
      <c r="F569" s="23" t="n">
        <f aca="false">itc_28*um28_B*1</f>
        <v>1587.41111111111</v>
      </c>
      <c r="G569" s="23" t="n">
        <f aca="false">itc_29*um29_B*1</f>
        <v>1921.33173611111</v>
      </c>
    </row>
    <row r="570" customFormat="false" ht="17.15" hidden="false" customHeight="false" outlineLevel="0" collapsed="false">
      <c r="A570" s="4" t="s">
        <v>503</v>
      </c>
      <c r="B570" s="0" t="s">
        <v>33</v>
      </c>
      <c r="D570" s="23" t="n">
        <f aca="false">itpg_gb*(1-vr26)+itpg_vr*vr26</f>
        <v>33.41403216</v>
      </c>
      <c r="E570" s="23" t="n">
        <f aca="false">itpg_vr</f>
        <v>37.586352</v>
      </c>
      <c r="F570" s="23" t="n">
        <f aca="false">itpg_vr</f>
        <v>37.586352</v>
      </c>
      <c r="G570" s="23" t="n">
        <f aca="false">itpg_vr</f>
        <v>37.586352</v>
      </c>
    </row>
    <row r="571" customFormat="false" ht="17.15" hidden="false" customHeight="false" outlineLevel="0" collapsed="false">
      <c r="A571" s="4" t="s">
        <v>504</v>
      </c>
      <c r="B571" s="0" t="s">
        <v>451</v>
      </c>
      <c r="D571" s="20" t="n">
        <f aca="false">D569/D570</f>
        <v>23.3995380420639</v>
      </c>
      <c r="E571" s="20" t="n">
        <f aca="false">E569/E570</f>
        <v>41.6467658260637</v>
      </c>
      <c r="F571" s="20" t="n">
        <f aca="false">F569/F570</f>
        <v>42.2337105529984</v>
      </c>
      <c r="G571" s="20" t="n">
        <f aca="false">G569/G570</f>
        <v>51.1178029756948</v>
      </c>
    </row>
    <row r="572" customFormat="false" ht="17.15" hidden="false" customHeight="false" outlineLevel="0" collapsed="false">
      <c r="A572" s="0" t="s">
        <v>453</v>
      </c>
      <c r="B572" s="0" t="s">
        <v>91</v>
      </c>
      <c r="D572" s="21" t="n">
        <f aca="false">pkw_26</f>
        <v>450</v>
      </c>
      <c r="E572" s="21" t="n">
        <f aca="false">pkw_27</f>
        <v>600</v>
      </c>
      <c r="F572" s="21" t="n">
        <f aca="false">pkw_28</f>
        <v>680</v>
      </c>
      <c r="G572" s="21" t="n">
        <f aca="false">pkw_29</f>
        <v>720</v>
      </c>
    </row>
    <row r="573" customFormat="false" ht="17.15" hidden="false" customHeight="false" outlineLevel="0" collapsed="false">
      <c r="A573" s="0" t="s">
        <v>505</v>
      </c>
      <c r="B573" s="0" t="s">
        <v>33</v>
      </c>
      <c r="D573" s="23" t="n">
        <f aca="false">D571*D572/1000</f>
        <v>10.5297921189287</v>
      </c>
      <c r="E573" s="23" t="n">
        <f aca="false">E571*E572/1000</f>
        <v>24.9880594956382</v>
      </c>
      <c r="F573" s="23" t="n">
        <f aca="false">F571*F572/1000</f>
        <v>28.7189231760389</v>
      </c>
      <c r="G573" s="23" t="n">
        <f aca="false">G571*G572/1000</f>
        <v>36.8048181425003</v>
      </c>
    </row>
    <row r="574" customFormat="false" ht="17.15" hidden="false" customHeight="false" outlineLevel="0" collapsed="false">
      <c r="A574" s="0" t="s">
        <v>506</v>
      </c>
      <c r="B574" s="0" t="s">
        <v>138</v>
      </c>
      <c r="D574" s="22" t="n">
        <f aca="false">D573*fx</f>
        <v>336.95334780572</v>
      </c>
      <c r="E574" s="22" t="n">
        <f aca="false">E573*fx</f>
        <v>799.617903860422</v>
      </c>
      <c r="F574" s="22" t="n">
        <f aca="false">F573*fx</f>
        <v>919.005541633245</v>
      </c>
      <c r="G574" s="22" t="n">
        <f aca="false">G573*fx</f>
        <v>1177.75418056001</v>
      </c>
    </row>
    <row r="575" customFormat="false" ht="17.15" hidden="false" customHeight="false" outlineLevel="0" collapsed="false">
      <c r="A575" s="4" t="s">
        <v>507</v>
      </c>
      <c r="B575" s="0" t="s">
        <v>53</v>
      </c>
      <c r="D575" s="17" t="n">
        <f aca="false">a26_aip/D574</f>
        <v>0.176143316327046</v>
      </c>
      <c r="K575" s="8" t="s">
        <v>508</v>
      </c>
    </row>
    <row r="576" customFormat="false" ht="17.15" hidden="false" customHeight="false" outlineLevel="0" collapsed="false">
      <c r="A576" s="4" t="s">
        <v>509</v>
      </c>
      <c r="B576" s="0" t="s">
        <v>64</v>
      </c>
      <c r="D576" s="18" t="n">
        <f aca="false">1</f>
        <v>1</v>
      </c>
      <c r="E576" s="18" t="n">
        <f aca="false">rel_27</f>
        <v>1</v>
      </c>
      <c r="F576" s="18" t="n">
        <f aca="false">rel_28</f>
        <v>1</v>
      </c>
      <c r="G576" s="18" t="n">
        <f aca="false">rel_29</f>
        <v>1</v>
      </c>
    </row>
    <row r="577" customFormat="false" ht="15" hidden="false" customHeight="false" outlineLevel="0" collapsed="false">
      <c r="A577" s="4" t="s">
        <v>459</v>
      </c>
      <c r="B577" s="0" t="s">
        <v>53</v>
      </c>
      <c r="D577" s="17" t="n">
        <f aca="false">$D$575*D576</f>
        <v>0.176143316327046</v>
      </c>
      <c r="E577" s="17" t="n">
        <f aca="false">$D$575*E576</f>
        <v>0.176143316327046</v>
      </c>
      <c r="F577" s="17" t="n">
        <f aca="false">$D$575*F576</f>
        <v>0.176143316327046</v>
      </c>
      <c r="G577" s="17" t="n">
        <f aca="false">$D$575*G576</f>
        <v>0.176143316327046</v>
      </c>
    </row>
    <row r="578" customFormat="false" ht="17.15" hidden="false" customHeight="false" outlineLevel="0" collapsed="false">
      <c r="A578" s="0" t="s">
        <v>510</v>
      </c>
      <c r="B578" s="0" t="s">
        <v>138</v>
      </c>
      <c r="C578" s="22" t="n">
        <f aca="false">a25_aip</f>
        <v>31.390065</v>
      </c>
      <c r="D578" s="22" t="n">
        <f aca="false">D574*D577</f>
        <v>59.35208013</v>
      </c>
      <c r="E578" s="22" t="n">
        <f aca="false">E574*E577</f>
        <v>140.847349380456</v>
      </c>
      <c r="F578" s="22" t="n">
        <f aca="false">F574*F577</f>
        <v>161.876683826213</v>
      </c>
      <c r="G578" s="22" t="n">
        <f aca="false">G574*G577</f>
        <v>207.453527181882</v>
      </c>
    </row>
    <row r="579" customFormat="false" ht="17.15" hidden="false" customHeight="false" outlineLevel="0" collapsed="false">
      <c r="A579" s="0" t="s">
        <v>511</v>
      </c>
      <c r="B579" s="0" t="s">
        <v>138</v>
      </c>
      <c r="C579" s="22" t="n">
        <f aca="false">a25_ai</f>
        <v>34.87785</v>
      </c>
      <c r="D579" s="22" t="n">
        <f aca="false">D578/(1-x_np)</f>
        <v>65.9467557</v>
      </c>
      <c r="E579" s="22" t="n">
        <f aca="false">E578/(1-x_np)</f>
        <v>156.497054867173</v>
      </c>
      <c r="F579" s="22" t="n">
        <f aca="false">F578/(1-x_np)</f>
        <v>179.862982029125</v>
      </c>
      <c r="G579" s="22" t="n">
        <f aca="false">G578/(1-x_np)</f>
        <v>230.50391909098</v>
      </c>
      <c r="K579" s="4" t="s">
        <v>512</v>
      </c>
    </row>
    <row r="580" customFormat="false" ht="17.15" hidden="false" customHeight="false" outlineLevel="0" collapsed="false">
      <c r="A580" s="6" t="s">
        <v>513</v>
      </c>
    </row>
    <row r="581" customFormat="false" ht="17.15" hidden="false" customHeight="false" outlineLevel="0" collapsed="false">
      <c r="A581" s="4" t="s">
        <v>514</v>
      </c>
      <c r="B581" s="0" t="s">
        <v>138</v>
      </c>
      <c r="C581" s="22" t="n">
        <f aca="false">a25_cn</f>
        <v>39.8604</v>
      </c>
      <c r="D581" s="22" t="n">
        <f aca="false">a26_cn</f>
        <v>50.0315607365079</v>
      </c>
      <c r="E581" s="22" t="n">
        <f aca="false">D581*(1+g_cn27)</f>
        <v>52.5331387733333</v>
      </c>
      <c r="F581" s="22" t="n">
        <f aca="false">E581*(1+g_cn28)</f>
        <v>55.159795712</v>
      </c>
      <c r="G581" s="22" t="n">
        <f aca="false">F581*(1+g_cn29)</f>
        <v>57.9177854976</v>
      </c>
      <c r="K581" s="4" t="s">
        <v>515</v>
      </c>
    </row>
    <row r="582" customFormat="false" ht="17.15" hidden="false" customHeight="false" outlineLevel="0" collapsed="false">
      <c r="A582" s="4" t="s">
        <v>431</v>
      </c>
      <c r="B582" s="0" t="s">
        <v>138</v>
      </c>
      <c r="C582" s="22" t="n">
        <f aca="false">C579+C581</f>
        <v>74.73825</v>
      </c>
      <c r="D582" s="22" t="n">
        <f aca="false">D579+D581</f>
        <v>115.978316436508</v>
      </c>
      <c r="E582" s="22" t="n">
        <f aca="false">E579+E581</f>
        <v>209.030193640506</v>
      </c>
      <c r="F582" s="22" t="n">
        <f aca="false">F579+F581</f>
        <v>235.022777741125</v>
      </c>
      <c r="G582" s="22" t="n">
        <f aca="false">G579+G581</f>
        <v>288.42170458858</v>
      </c>
      <c r="K582" s="4" t="s">
        <v>516</v>
      </c>
    </row>
    <row r="583" customFormat="false" ht="15" hidden="false" customHeight="false" outlineLevel="0" collapsed="false">
      <c r="A583" s="4" t="s">
        <v>435</v>
      </c>
      <c r="B583" s="0" t="s">
        <v>138</v>
      </c>
      <c r="C583" s="22" t="n">
        <f aca="false">a25_op</f>
        <v>28.23445</v>
      </c>
      <c r="D583" s="22" t="n">
        <f aca="false">a26_op</f>
        <v>32.8693205828571</v>
      </c>
      <c r="E583" s="22" t="n">
        <f aca="false">D583*(1+g_op27)</f>
        <v>34.512786612</v>
      </c>
      <c r="F583" s="22" t="n">
        <f aca="false">E583*(1+g_op28)</f>
        <v>36.2384259426</v>
      </c>
      <c r="G583" s="22" t="n">
        <f aca="false">F583*(1+g_op29)</f>
        <v>38.05034723973</v>
      </c>
    </row>
    <row r="584" customFormat="false" ht="15" hidden="false" customHeight="false" outlineLevel="0" collapsed="false">
      <c r="A584" s="4" t="s">
        <v>436</v>
      </c>
      <c r="B584" s="0" t="s">
        <v>138</v>
      </c>
      <c r="C584" s="22" t="n">
        <f aca="false">a25_ic</f>
        <v>63.1123</v>
      </c>
      <c r="D584" s="22" t="n">
        <f aca="false">a26_ic</f>
        <v>63.8838329806349</v>
      </c>
      <c r="E584" s="22" t="n">
        <f aca="false">D584*(1+g_ic27)</f>
        <v>63.8838329806349</v>
      </c>
      <c r="F584" s="22" t="n">
        <f aca="false">E584*(1+g_ic28)</f>
        <v>63.8838329806349</v>
      </c>
      <c r="G584" s="22" t="n">
        <f aca="false">F584*(1+g_ic29)</f>
        <v>63.8838329806349</v>
      </c>
    </row>
    <row r="585" customFormat="false" ht="17.15" hidden="false" customHeight="false" outlineLevel="0" collapsed="false">
      <c r="A585" s="4" t="s">
        <v>517</v>
      </c>
      <c r="B585" s="0" t="s">
        <v>138</v>
      </c>
      <c r="C585" s="22" t="n">
        <f aca="false">C581+C583+C584</f>
        <v>131.20715</v>
      </c>
      <c r="D585" s="22" t="n">
        <f aca="false">D581+D583+D584</f>
        <v>146.7847143</v>
      </c>
      <c r="E585" s="22" t="n">
        <f aca="false">E581+E583+E584</f>
        <v>150.929758365968</v>
      </c>
      <c r="F585" s="22" t="n">
        <f aca="false">F581+F583+F584</f>
        <v>155.282054635235</v>
      </c>
      <c r="G585" s="22" t="n">
        <f aca="false">G581+G583+G584</f>
        <v>159.851965717965</v>
      </c>
    </row>
    <row r="586" customFormat="false" ht="17.15" hidden="false" customHeight="false" outlineLevel="0" collapsed="false">
      <c r="A586" s="4" t="s">
        <v>383</v>
      </c>
      <c r="B586" s="0" t="s">
        <v>138</v>
      </c>
      <c r="C586" s="22" t="n">
        <f aca="false">C582+C583+C584</f>
        <v>166.085</v>
      </c>
      <c r="D586" s="22" t="n">
        <f aca="false">D582+D583+D584</f>
        <v>212.73147</v>
      </c>
      <c r="E586" s="22" t="n">
        <f aca="false">E582+E583+E584</f>
        <v>307.426813233141</v>
      </c>
      <c r="F586" s="22" t="n">
        <f aca="false">F582+F583+F584</f>
        <v>335.14503666436</v>
      </c>
      <c r="G586" s="22" t="n">
        <f aca="false">G582+G583+G584</f>
        <v>390.355884808945</v>
      </c>
      <c r="H586" s="24" t="n">
        <f aca="false">G586*(1+H588)</f>
        <v>438.431381645786</v>
      </c>
      <c r="I586" s="24" t="n">
        <f aca="false">H586*(1+I588)</f>
        <v>474.198201597232</v>
      </c>
      <c r="J586" s="24" t="n">
        <f aca="false">I586*(1+J588)</f>
        <v>493.166129661121</v>
      </c>
      <c r="K586" s="8" t="s">
        <v>518</v>
      </c>
    </row>
    <row r="587" customFormat="false" ht="17.15" hidden="false" customHeight="false" outlineLevel="0" collapsed="false">
      <c r="A587" s="4" t="s">
        <v>519</v>
      </c>
      <c r="B587" s="0" t="s">
        <v>138</v>
      </c>
      <c r="C587" s="28" t="n">
        <f aca="false">C586-a25_rev</f>
        <v>0</v>
      </c>
      <c r="D587" s="28" t="n">
        <f aca="false">D586-a26_rev</f>
        <v>0</v>
      </c>
    </row>
    <row r="588" customFormat="false" ht="15" hidden="false" customHeight="false" outlineLevel="0" collapsed="false">
      <c r="A588" s="4" t="s">
        <v>520</v>
      </c>
      <c r="B588" s="0" t="s">
        <v>53</v>
      </c>
      <c r="D588" s="17" t="n">
        <f aca="false">D586/C586-1</f>
        <v>0.280859017972725</v>
      </c>
      <c r="E588" s="17" t="n">
        <f aca="false">E586/D586-1</f>
        <v>0.445140266426689</v>
      </c>
      <c r="F588" s="17" t="n">
        <f aca="false">F586/E586-1</f>
        <v>0.0901620230835185</v>
      </c>
      <c r="G588" s="17" t="n">
        <f aca="false">G586/F586-1</f>
        <v>0.164737179741908</v>
      </c>
      <c r="H588" s="25" t="n">
        <f aca="false">$G588+(fade_gB-$G588)*1/3</f>
        <v>0.123158119827938</v>
      </c>
      <c r="I588" s="25" t="n">
        <f aca="false">$G588+(fade_gB-$G588)*2/3</f>
        <v>0.0815790599139692</v>
      </c>
      <c r="J588" s="25" t="n">
        <f aca="false">$G588+(fade_gB-$G588)*3/3</f>
        <v>0.04</v>
      </c>
    </row>
    <row r="589" customFormat="false" ht="17.15" hidden="false" customHeight="false" outlineLevel="0" collapsed="false">
      <c r="A589" s="0" t="s">
        <v>521</v>
      </c>
      <c r="B589" s="0" t="s">
        <v>53</v>
      </c>
      <c r="C589" s="17" t="n">
        <f aca="false">C579/C586</f>
        <v>0.21</v>
      </c>
      <c r="D589" s="17" t="n">
        <f aca="false">D579/D586</f>
        <v>0.31</v>
      </c>
      <c r="E589" s="17" t="n">
        <f aca="false">E579/E586</f>
        <v>0.509054669699521</v>
      </c>
      <c r="F589" s="17" t="n">
        <f aca="false">F579/F586</f>
        <v>0.53667207433316</v>
      </c>
      <c r="G589" s="17" t="n">
        <f aca="false">G579/G586</f>
        <v>0.590496846752541</v>
      </c>
    </row>
    <row r="590" customFormat="false" ht="17.15" hidden="false" customHeight="false" outlineLevel="0" collapsed="false">
      <c r="A590" s="4" t="s">
        <v>470</v>
      </c>
      <c r="B590" s="0" t="s">
        <v>471</v>
      </c>
      <c r="D590" s="21" t="n">
        <f aca="false">D579/fx/D571*1000</f>
        <v>88.0716581635229</v>
      </c>
      <c r="E590" s="21" t="n">
        <f aca="false">E579/fx/E571*1000</f>
        <v>117.428877551364</v>
      </c>
      <c r="F590" s="21" t="n">
        <f aca="false">F579/fx/F571*1000</f>
        <v>133.086061224879</v>
      </c>
      <c r="G590" s="21" t="n">
        <f aca="false">G579/fx/G571*1000</f>
        <v>140.914653061637</v>
      </c>
    </row>
    <row r="591" customFormat="false" ht="17.15" hidden="false" customHeight="false" outlineLevel="0" collapsed="false">
      <c r="A591" s="6" t="s">
        <v>522</v>
      </c>
    </row>
    <row r="592" customFormat="false" ht="17.15" hidden="false" customHeight="false" outlineLevel="0" collapsed="false">
      <c r="A592" s="4" t="s">
        <v>523</v>
      </c>
      <c r="B592" s="0" t="s">
        <v>53</v>
      </c>
      <c r="D592" s="17" t="n">
        <f aca="false">a26_gp/D586-d_ai*D589</f>
        <v>0.216982337009188</v>
      </c>
      <c r="K592" s="8" t="s">
        <v>524</v>
      </c>
    </row>
    <row r="593" customFormat="false" ht="17.15" hidden="false" customHeight="false" outlineLevel="0" collapsed="false">
      <c r="A593" s="0" t="s">
        <v>525</v>
      </c>
      <c r="B593" s="0" t="s">
        <v>53</v>
      </c>
      <c r="D593" s="17" t="n">
        <f aca="false">D592+d_ai</f>
        <v>0.336982337009188</v>
      </c>
      <c r="E593" s="17" t="n">
        <f aca="false">$D$593+gmu_27</f>
        <v>0.336982337009188</v>
      </c>
      <c r="F593" s="17" t="n">
        <f aca="false">$D$593+gmu_28</f>
        <v>0.336982337009188</v>
      </c>
      <c r="G593" s="17" t="n">
        <f aca="false">$D$593+gmu_29</f>
        <v>0.336982337009188</v>
      </c>
      <c r="K593" s="4" t="s">
        <v>526</v>
      </c>
    </row>
    <row r="594" customFormat="false" ht="15" hidden="false" customHeight="false" outlineLevel="0" collapsed="false">
      <c r="A594" s="4" t="s">
        <v>387</v>
      </c>
      <c r="B594" s="0" t="s">
        <v>138</v>
      </c>
      <c r="C594" s="22" t="n">
        <f aca="false">a25_gp</f>
        <v>38.039</v>
      </c>
      <c r="D594" s="22" t="n">
        <f aca="false">a26_gp</f>
        <v>54.0725822</v>
      </c>
      <c r="E594" s="22" t="n">
        <f aca="false">E579*E593+E585*$D$592</f>
        <v>85.485834978675</v>
      </c>
      <c r="F594" s="22" t="n">
        <f aca="false">F579*F593+F585*$D$592</f>
        <v>94.304111135958</v>
      </c>
      <c r="G594" s="22" t="n">
        <f aca="false">G579*G593+G585*$D$592</f>
        <v>112.360802442052</v>
      </c>
    </row>
    <row r="595" customFormat="false" ht="15" hidden="false" customHeight="false" outlineLevel="0" collapsed="false">
      <c r="A595" s="4" t="s">
        <v>390</v>
      </c>
      <c r="B595" s="0" t="s">
        <v>53</v>
      </c>
      <c r="C595" s="17" t="n">
        <f aca="false">C594/C586</f>
        <v>0.229033326308818</v>
      </c>
      <c r="D595" s="17" t="n">
        <f aca="false">D594/D586</f>
        <v>0.254182337009188</v>
      </c>
      <c r="E595" s="17" t="n">
        <f aca="false">E594/E586</f>
        <v>0.278068897373131</v>
      </c>
      <c r="F595" s="17" t="n">
        <f aca="false">F594/F586</f>
        <v>0.281382985929168</v>
      </c>
      <c r="G595" s="17" t="n">
        <f aca="false">G594/G586</f>
        <v>0.287841958619493</v>
      </c>
    </row>
    <row r="596" customFormat="false" ht="15" hidden="false" customHeight="false" outlineLevel="0" collapsed="false">
      <c r="A596" s="4" t="s">
        <v>527</v>
      </c>
      <c r="B596" s="0" t="s">
        <v>138</v>
      </c>
      <c r="C596" s="22" t="n">
        <f aca="false">a25_opx</f>
        <v>21.301</v>
      </c>
      <c r="D596" s="22" t="n">
        <f aca="false">a26_opx</f>
        <v>25.21033346</v>
      </c>
      <c r="E596" s="22" t="n">
        <f aca="false">D596*(1+MAX(0,phi*E588))</f>
        <v>33.0658276471631</v>
      </c>
      <c r="F596" s="22" t="n">
        <f aca="false">E596*(1+MAX(0,phi*F588))</f>
        <v>35.1527249880825</v>
      </c>
      <c r="G596" s="22" t="n">
        <f aca="false">F596*(1+MAX(0,phi*G588))</f>
        <v>39.2063975304282</v>
      </c>
    </row>
    <row r="597" customFormat="false" ht="15" hidden="false" customHeight="false" outlineLevel="0" collapsed="false">
      <c r="A597" s="4" t="s">
        <v>392</v>
      </c>
      <c r="B597" s="0" t="s">
        <v>138</v>
      </c>
      <c r="C597" s="22" t="n">
        <f aca="false">C596</f>
        <v>21.301</v>
      </c>
      <c r="D597" s="22" t="n">
        <f aca="false">D596</f>
        <v>25.21033346</v>
      </c>
      <c r="E597" s="22" t="n">
        <f aca="false">E596+opx_adj_hi*E586</f>
        <v>36.1400957794945</v>
      </c>
      <c r="F597" s="22" t="n">
        <f aca="false">F596+opx_adj_hi*F586</f>
        <v>38.5041753547261</v>
      </c>
      <c r="G597" s="22" t="n">
        <f aca="false">G596+opx_adj_hi*G586</f>
        <v>43.1099563785176</v>
      </c>
    </row>
    <row r="598" customFormat="false" ht="15" hidden="false" customHeight="false" outlineLevel="0" collapsed="false">
      <c r="A598" s="4" t="s">
        <v>395</v>
      </c>
      <c r="B598" s="0" t="s">
        <v>138</v>
      </c>
      <c r="C598" s="22" t="n">
        <f aca="false">C594-C597</f>
        <v>16.738</v>
      </c>
      <c r="D598" s="22" t="n">
        <f aca="false">D594-D597</f>
        <v>28.86224874</v>
      </c>
      <c r="E598" s="22" t="n">
        <f aca="false">E594-E597</f>
        <v>49.3457391991805</v>
      </c>
      <c r="F598" s="22" t="n">
        <f aca="false">F594-F597</f>
        <v>55.7999357812319</v>
      </c>
      <c r="G598" s="22" t="n">
        <f aca="false">G594-G597</f>
        <v>69.2508460635344</v>
      </c>
    </row>
    <row r="599" customFormat="false" ht="15" hidden="false" customHeight="false" outlineLevel="0" collapsed="false">
      <c r="A599" s="4" t="s">
        <v>397</v>
      </c>
      <c r="B599" s="0" t="s">
        <v>53</v>
      </c>
      <c r="C599" s="17" t="n">
        <f aca="false">C598/C586</f>
        <v>0.100779721227083</v>
      </c>
      <c r="D599" s="17" t="n">
        <f aca="false">D598/D586</f>
        <v>0.135674560703219</v>
      </c>
      <c r="E599" s="17" t="n">
        <f aca="false">E598/E586</f>
        <v>0.160512151429545</v>
      </c>
      <c r="F599" s="17" t="n">
        <f aca="false">F598/F586</f>
        <v>0.166494889307026</v>
      </c>
      <c r="G599" s="17" t="n">
        <f aca="false">G598/G586</f>
        <v>0.177404385993638</v>
      </c>
    </row>
    <row r="600" customFormat="false" ht="15" hidden="false" customHeight="false" outlineLevel="0" collapsed="false">
      <c r="A600" s="4" t="s">
        <v>399</v>
      </c>
      <c r="B600" s="0" t="s">
        <v>138</v>
      </c>
      <c r="C600" s="22" t="n">
        <f aca="false">a25_nop</f>
        <v>2.9762895</v>
      </c>
      <c r="D600" s="22" t="n">
        <f aca="false">a26_nop</f>
        <v>3.839</v>
      </c>
      <c r="E600" s="22" t="n">
        <f aca="false">nop_f</f>
        <v>3.5</v>
      </c>
      <c r="F600" s="22" t="n">
        <f aca="false">nop_f</f>
        <v>3.5</v>
      </c>
      <c r="G600" s="22" t="n">
        <f aca="false">nop_f</f>
        <v>3.5</v>
      </c>
    </row>
    <row r="601" customFormat="false" ht="17.15" hidden="false" customHeight="false" outlineLevel="0" collapsed="false">
      <c r="A601" s="4" t="s">
        <v>528</v>
      </c>
      <c r="B601" s="0" t="s">
        <v>53</v>
      </c>
      <c r="C601" s="17" t="n">
        <f aca="false">a25_ni/a25_pt</f>
        <v>0.766753475949514</v>
      </c>
      <c r="D601" s="17" t="n">
        <f aca="false">a26_ni/a26_pt</f>
        <v>0.759431002022174</v>
      </c>
      <c r="E601" s="17" t="n">
        <f aca="false">nir_f</f>
        <v>0.76</v>
      </c>
      <c r="F601" s="17" t="n">
        <f aca="false">nir_f</f>
        <v>0.76</v>
      </c>
      <c r="G601" s="17" t="n">
        <f aca="false">nir_f</f>
        <v>0.76</v>
      </c>
    </row>
    <row r="602" customFormat="false" ht="15" hidden="false" customHeight="false" outlineLevel="0" collapsed="false">
      <c r="A602" s="4" t="s">
        <v>404</v>
      </c>
      <c r="B602" s="0" t="s">
        <v>138</v>
      </c>
      <c r="C602" s="22" t="n">
        <f aca="false">a25_ni</f>
        <v>15.116</v>
      </c>
      <c r="D602" s="22" t="n">
        <f aca="false">a26_ni</f>
        <v>24.8343420979946</v>
      </c>
      <c r="E602" s="22" t="n">
        <f aca="false">(E598+E600)*E601</f>
        <v>40.1627617913772</v>
      </c>
      <c r="F602" s="22" t="n">
        <f aca="false">(F598+F600)*F601</f>
        <v>45.0679511937362</v>
      </c>
      <c r="G602" s="22" t="n">
        <f aca="false">(G598+G600)*G601</f>
        <v>55.2906430082861</v>
      </c>
      <c r="H602" s="24" t="n">
        <f aca="false">H586*H606</f>
        <v>57.0565933602398</v>
      </c>
      <c r="I602" s="24" t="n">
        <f aca="false">I586*I606</f>
        <v>56.2562279667676</v>
      </c>
      <c r="J602" s="24" t="n">
        <f aca="false">J586*J606</f>
        <v>52.8332888980764</v>
      </c>
    </row>
    <row r="603" customFormat="false" ht="15" hidden="false" customHeight="false" outlineLevel="0" collapsed="false">
      <c r="A603" s="4" t="s">
        <v>529</v>
      </c>
      <c r="B603" s="4" t="s">
        <v>231</v>
      </c>
      <c r="C603" s="27" t="n">
        <f aca="false">a25_sh</f>
        <v>2.27650602409639</v>
      </c>
      <c r="D603" s="27" t="n">
        <f aca="false">a26_sh</f>
        <v>2.26895833333333</v>
      </c>
      <c r="E603" s="27" t="n">
        <f aca="false">D603*(1+sh_g)</f>
        <v>2.26895833333333</v>
      </c>
      <c r="F603" s="27" t="n">
        <f aca="false">E603*(1+sh_g)</f>
        <v>2.26895833333333</v>
      </c>
      <c r="G603" s="27" t="n">
        <f aca="false">F603*(1+sh_g)</f>
        <v>2.26895833333333</v>
      </c>
      <c r="H603" s="29" t="n">
        <f aca="false">G603*(1+sh_g)</f>
        <v>2.26895833333333</v>
      </c>
      <c r="I603" s="29" t="n">
        <f aca="false">H603*(1+sh_g)</f>
        <v>2.26895833333333</v>
      </c>
      <c r="J603" s="29" t="n">
        <f aca="false">I603*(1+sh_g)</f>
        <v>2.26895833333333</v>
      </c>
    </row>
    <row r="604" customFormat="false" ht="15" hidden="false" customHeight="false" outlineLevel="0" collapsed="false">
      <c r="A604" s="0" t="s">
        <v>410</v>
      </c>
      <c r="B604" s="0" t="s">
        <v>264</v>
      </c>
      <c r="C604" s="23" t="n">
        <f aca="false">C602/C603</f>
        <v>6.64</v>
      </c>
      <c r="D604" s="23" t="n">
        <f aca="false">D602/D603</f>
        <v>10.9452614149641</v>
      </c>
      <c r="E604" s="23" t="n">
        <f aca="false">E602/E603</f>
        <v>17.7009692956212</v>
      </c>
      <c r="F604" s="23" t="n">
        <f aca="false">F602/F603</f>
        <v>19.8628377311481</v>
      </c>
      <c r="G604" s="23" t="n">
        <f aca="false">G602/G603</f>
        <v>24.3682936773275</v>
      </c>
      <c r="H604" s="30" t="n">
        <f aca="false">H602/H603</f>
        <v>25.1466025276973</v>
      </c>
      <c r="I604" s="30" t="n">
        <f aca="false">I602/I603</f>
        <v>24.7938567845455</v>
      </c>
      <c r="J604" s="30" t="n">
        <f aca="false">J602/J603</f>
        <v>23.28526184104</v>
      </c>
    </row>
    <row r="605" customFormat="false" ht="17.15" hidden="false" customHeight="false" outlineLevel="0" collapsed="false">
      <c r="A605" s="0" t="s">
        <v>530</v>
      </c>
      <c r="B605" s="0" t="s">
        <v>53</v>
      </c>
      <c r="D605" s="17" t="n">
        <f aca="false">D604/C604-1</f>
        <v>0.648382743217484</v>
      </c>
      <c r="E605" s="17" t="n">
        <f aca="false">E604/D604-1</f>
        <v>0.617226727122375</v>
      </c>
      <c r="F605" s="17" t="n">
        <f aca="false">F604/E604-1</f>
        <v>0.122132771342737</v>
      </c>
      <c r="G605" s="17" t="n">
        <f aca="false">G604/F604-1</f>
        <v>0.226828412292473</v>
      </c>
      <c r="H605" s="25" t="n">
        <f aca="false">H604/G604-1</f>
        <v>0.0319394070293062</v>
      </c>
      <c r="I605" s="25" t="n">
        <f aca="false">I604/H604-1</f>
        <v>-0.0140275706335793</v>
      </c>
      <c r="J605" s="25" t="n">
        <f aca="false">J604/I604-1</f>
        <v>-0.0608455133307775</v>
      </c>
    </row>
    <row r="606" customFormat="false" ht="17.15" hidden="false" customHeight="false" outlineLevel="0" collapsed="false">
      <c r="A606" s="4" t="s">
        <v>531</v>
      </c>
      <c r="B606" s="0" t="s">
        <v>53</v>
      </c>
      <c r="C606" s="17" t="n">
        <f aca="false">C602/C586</f>
        <v>0.0910136375952073</v>
      </c>
      <c r="D606" s="17" t="n">
        <f aca="false">D602/D586</f>
        <v>0.116740330417472</v>
      </c>
      <c r="E606" s="17" t="n">
        <f aca="false">E602/E586</f>
        <v>0.130641700927106</v>
      </c>
      <c r="F606" s="17" t="n">
        <f aca="false">F602/F586</f>
        <v>0.134472978153845</v>
      </c>
      <c r="G606" s="17" t="n">
        <f aca="false">G602/G586</f>
        <v>0.141641627960463</v>
      </c>
      <c r="H606" s="25" t="n">
        <f aca="false">$G606+(fade_mB-$G606)*1/3</f>
        <v>0.130138023300386</v>
      </c>
      <c r="I606" s="25" t="n">
        <f aca="false">$G606+(fade_mB-$G606)*2/3</f>
        <v>0.118634418640309</v>
      </c>
      <c r="J606" s="25" t="n">
        <f aca="false">$G606+(fade_mB-$G606)*3/3</f>
        <v>0.107130813980232</v>
      </c>
    </row>
    <row r="609" customFormat="false" ht="17.15" hidden="false" customHeight="false" outlineLevel="0" collapsed="false">
      <c r="A609" s="1" t="s">
        <v>873</v>
      </c>
    </row>
    <row r="610" customFormat="false" ht="17.15" hidden="false" customHeight="false" outlineLevel="0" collapsed="false">
      <c r="A610" s="5" t="s">
        <v>22</v>
      </c>
      <c r="B610" s="5" t="s">
        <v>23</v>
      </c>
      <c r="C610" s="14" t="s">
        <v>378</v>
      </c>
      <c r="D610" s="14" t="s">
        <v>476</v>
      </c>
      <c r="E610" s="14" t="s">
        <v>477</v>
      </c>
      <c r="F610" s="14" t="s">
        <v>478</v>
      </c>
      <c r="G610" s="14" t="s">
        <v>479</v>
      </c>
      <c r="H610" s="14" t="s">
        <v>480</v>
      </c>
      <c r="I610" s="14" t="s">
        <v>481</v>
      </c>
      <c r="J610" s="14" t="s">
        <v>482</v>
      </c>
      <c r="K610" s="5" t="s">
        <v>449</v>
      </c>
    </row>
    <row r="611" customFormat="false" ht="17.15" hidden="false" customHeight="false" outlineLevel="0" collapsed="false">
      <c r="A611" s="6" t="s">
        <v>501</v>
      </c>
    </row>
    <row r="612" customFormat="false" ht="17.15" hidden="false" customHeight="false" outlineLevel="0" collapsed="false">
      <c r="A612" s="0" t="s">
        <v>502</v>
      </c>
      <c r="B612" s="0" t="s">
        <v>33</v>
      </c>
      <c r="D612" s="23" t="n">
        <f aca="false">itc_26*1</f>
        <v>781.872916666666</v>
      </c>
      <c r="E612" s="23" t="n">
        <f aca="false">itc_27*1*1</f>
        <v>1565.35</v>
      </c>
      <c r="F612" s="23" t="n">
        <f aca="false">itc_28*um28_B*1</f>
        <v>1587.41111111111</v>
      </c>
      <c r="G612" s="23" t="n">
        <f aca="false">itc_29*um29_B*1</f>
        <v>1921.33173611111</v>
      </c>
    </row>
    <row r="613" customFormat="false" ht="17.15" hidden="false" customHeight="false" outlineLevel="0" collapsed="false">
      <c r="A613" s="4" t="s">
        <v>503</v>
      </c>
      <c r="B613" s="0" t="s">
        <v>33</v>
      </c>
      <c r="D613" s="23" t="n">
        <f aca="false">itpg_gb*(1-vr26)+itpg_vr*vr26</f>
        <v>33.41403216</v>
      </c>
      <c r="E613" s="23" t="n">
        <f aca="false">itpg_vr</f>
        <v>37.586352</v>
      </c>
      <c r="F613" s="23" t="n">
        <f aca="false">itpg_vr</f>
        <v>37.586352</v>
      </c>
      <c r="G613" s="23" t="n">
        <f aca="false">itpg_vr</f>
        <v>37.586352</v>
      </c>
    </row>
    <row r="614" customFormat="false" ht="17.15" hidden="false" customHeight="false" outlineLevel="0" collapsed="false">
      <c r="A614" s="4" t="s">
        <v>504</v>
      </c>
      <c r="B614" s="0" t="s">
        <v>451</v>
      </c>
      <c r="D614" s="20" t="n">
        <f aca="false">D612/D613</f>
        <v>23.3995380420639</v>
      </c>
      <c r="E614" s="20" t="n">
        <f aca="false">E612/E613</f>
        <v>41.6467658260637</v>
      </c>
      <c r="F614" s="20" t="n">
        <f aca="false">F612/F613</f>
        <v>42.2337105529984</v>
      </c>
      <c r="G614" s="20" t="n">
        <f aca="false">G612/G613</f>
        <v>51.1178029756948</v>
      </c>
    </row>
    <row r="615" customFormat="false" ht="17.15" hidden="false" customHeight="false" outlineLevel="0" collapsed="false">
      <c r="A615" s="0" t="s">
        <v>453</v>
      </c>
      <c r="B615" s="0" t="s">
        <v>91</v>
      </c>
      <c r="D615" s="21" t="n">
        <f aca="false">pkw_26</f>
        <v>450</v>
      </c>
      <c r="E615" s="21" t="n">
        <f aca="false">pkw_27</f>
        <v>600</v>
      </c>
      <c r="F615" s="21" t="n">
        <f aca="false">pkw_28</f>
        <v>680</v>
      </c>
      <c r="G615" s="21" t="n">
        <f aca="false">pkw_29</f>
        <v>720</v>
      </c>
    </row>
    <row r="616" customFormat="false" ht="17.15" hidden="false" customHeight="false" outlineLevel="0" collapsed="false">
      <c r="A616" s="0" t="s">
        <v>505</v>
      </c>
      <c r="B616" s="0" t="s">
        <v>33</v>
      </c>
      <c r="D616" s="23" t="n">
        <f aca="false">D614*D615/1000</f>
        <v>10.5297921189287</v>
      </c>
      <c r="E616" s="23" t="n">
        <f aca="false">E614*E615/1000</f>
        <v>24.9880594956382</v>
      </c>
      <c r="F616" s="23" t="n">
        <f aca="false">F614*F615/1000</f>
        <v>28.7189231760389</v>
      </c>
      <c r="G616" s="23" t="n">
        <f aca="false">G614*G615/1000</f>
        <v>36.8048181425003</v>
      </c>
    </row>
    <row r="617" customFormat="false" ht="17.15" hidden="false" customHeight="false" outlineLevel="0" collapsed="false">
      <c r="A617" s="0" t="s">
        <v>506</v>
      </c>
      <c r="B617" s="0" t="s">
        <v>138</v>
      </c>
      <c r="D617" s="22" t="n">
        <f aca="false">D616*fx</f>
        <v>336.95334780572</v>
      </c>
      <c r="E617" s="22" t="n">
        <f aca="false">E616*fx</f>
        <v>799.617903860422</v>
      </c>
      <c r="F617" s="22" t="n">
        <f aca="false">F616*fx</f>
        <v>919.005541633245</v>
      </c>
      <c r="G617" s="22" t="n">
        <f aca="false">G616*fx</f>
        <v>1177.75418056001</v>
      </c>
    </row>
    <row r="618" customFormat="false" ht="17.15" hidden="false" customHeight="false" outlineLevel="0" collapsed="false">
      <c r="A618" s="4" t="s">
        <v>507</v>
      </c>
      <c r="B618" s="0" t="s">
        <v>53</v>
      </c>
      <c r="D618" s="17" t="n">
        <f aca="false">a26_aip/D617</f>
        <v>0.176143316327046</v>
      </c>
      <c r="K618" s="8" t="s">
        <v>508</v>
      </c>
    </row>
    <row r="619" customFormat="false" ht="17.15" hidden="false" customHeight="false" outlineLevel="0" collapsed="false">
      <c r="A619" s="4" t="s">
        <v>509</v>
      </c>
      <c r="B619" s="0" t="s">
        <v>64</v>
      </c>
      <c r="D619" s="18" t="n">
        <f aca="false">1</f>
        <v>1</v>
      </c>
      <c r="E619" s="18" t="n">
        <f aca="false">rel_27</f>
        <v>1</v>
      </c>
      <c r="F619" s="18" t="n">
        <f aca="false">rel_28</f>
        <v>1</v>
      </c>
      <c r="G619" s="18" t="n">
        <f aca="false">rel_29</f>
        <v>1</v>
      </c>
    </row>
    <row r="620" customFormat="false" ht="15" hidden="false" customHeight="false" outlineLevel="0" collapsed="false">
      <c r="A620" s="4" t="s">
        <v>459</v>
      </c>
      <c r="B620" s="0" t="s">
        <v>53</v>
      </c>
      <c r="D620" s="17" t="n">
        <f aca="false">$D$618*D619</f>
        <v>0.176143316327046</v>
      </c>
      <c r="E620" s="17" t="n">
        <f aca="false">$D$618*E619</f>
        <v>0.176143316327046</v>
      </c>
      <c r="F620" s="17" t="n">
        <f aca="false">$D$618*F619</f>
        <v>0.176143316327046</v>
      </c>
      <c r="G620" s="17" t="n">
        <f aca="false">$D$618*G619</f>
        <v>0.176143316327046</v>
      </c>
    </row>
    <row r="621" customFormat="false" ht="17.15" hidden="false" customHeight="false" outlineLevel="0" collapsed="false">
      <c r="A621" s="0" t="s">
        <v>510</v>
      </c>
      <c r="B621" s="0" t="s">
        <v>138</v>
      </c>
      <c r="C621" s="22" t="n">
        <f aca="false">a25_aip</f>
        <v>31.390065</v>
      </c>
      <c r="D621" s="22" t="n">
        <f aca="false">D617*D620</f>
        <v>59.35208013</v>
      </c>
      <c r="E621" s="22" t="n">
        <f aca="false">E617*E620</f>
        <v>140.847349380456</v>
      </c>
      <c r="F621" s="22" t="n">
        <f aca="false">F617*F620</f>
        <v>161.876683826213</v>
      </c>
      <c r="G621" s="22" t="n">
        <f aca="false">G617*G620</f>
        <v>207.453527181882</v>
      </c>
    </row>
    <row r="622" customFormat="false" ht="17.15" hidden="false" customHeight="false" outlineLevel="0" collapsed="false">
      <c r="A622" s="0" t="s">
        <v>511</v>
      </c>
      <c r="B622" s="0" t="s">
        <v>138</v>
      </c>
      <c r="C622" s="22" t="n">
        <f aca="false">a25_ai</f>
        <v>34.87785</v>
      </c>
      <c r="D622" s="22" t="n">
        <f aca="false">D621/(1-x_np)</f>
        <v>65.9467557</v>
      </c>
      <c r="E622" s="22" t="n">
        <f aca="false">E621/(1-x_np)</f>
        <v>156.497054867173</v>
      </c>
      <c r="F622" s="22" t="n">
        <f aca="false">F621/(1-x_np)</f>
        <v>179.862982029125</v>
      </c>
      <c r="G622" s="22" t="n">
        <f aca="false">G621/(1-x_np)</f>
        <v>230.50391909098</v>
      </c>
      <c r="K622" s="4" t="s">
        <v>512</v>
      </c>
    </row>
    <row r="623" customFormat="false" ht="17.15" hidden="false" customHeight="false" outlineLevel="0" collapsed="false">
      <c r="A623" s="6" t="s">
        <v>513</v>
      </c>
    </row>
    <row r="624" customFormat="false" ht="17.15" hidden="false" customHeight="false" outlineLevel="0" collapsed="false">
      <c r="A624" s="4" t="s">
        <v>514</v>
      </c>
      <c r="B624" s="0" t="s">
        <v>138</v>
      </c>
      <c r="C624" s="22" t="n">
        <f aca="false">a25_cn</f>
        <v>39.8604</v>
      </c>
      <c r="D624" s="22" t="n">
        <f aca="false">a26_cn</f>
        <v>50.0315607365079</v>
      </c>
      <c r="E624" s="22" t="n">
        <f aca="false">D624*(1+g_cn27)</f>
        <v>52.5331387733333</v>
      </c>
      <c r="F624" s="22" t="n">
        <f aca="false">E624*(1+g_cn28)</f>
        <v>55.159795712</v>
      </c>
      <c r="G624" s="22" t="n">
        <f aca="false">F624*(1+g_cn29)</f>
        <v>57.9177854976</v>
      </c>
      <c r="K624" s="4" t="s">
        <v>515</v>
      </c>
    </row>
    <row r="625" customFormat="false" ht="17.15" hidden="false" customHeight="false" outlineLevel="0" collapsed="false">
      <c r="A625" s="4" t="s">
        <v>431</v>
      </c>
      <c r="B625" s="0" t="s">
        <v>138</v>
      </c>
      <c r="C625" s="22" t="n">
        <f aca="false">C622+C624</f>
        <v>74.73825</v>
      </c>
      <c r="D625" s="22" t="n">
        <f aca="false">D622+D624</f>
        <v>115.978316436508</v>
      </c>
      <c r="E625" s="22" t="n">
        <f aca="false">E622+E624</f>
        <v>209.030193640506</v>
      </c>
      <c r="F625" s="22" t="n">
        <f aca="false">F622+F624</f>
        <v>235.022777741125</v>
      </c>
      <c r="G625" s="22" t="n">
        <f aca="false">G622+G624</f>
        <v>288.42170458858</v>
      </c>
      <c r="K625" s="4" t="s">
        <v>516</v>
      </c>
    </row>
    <row r="626" customFormat="false" ht="15" hidden="false" customHeight="false" outlineLevel="0" collapsed="false">
      <c r="A626" s="4" t="s">
        <v>435</v>
      </c>
      <c r="B626" s="0" t="s">
        <v>138</v>
      </c>
      <c r="C626" s="22" t="n">
        <f aca="false">a25_op</f>
        <v>28.23445</v>
      </c>
      <c r="D626" s="22" t="n">
        <f aca="false">a26_op</f>
        <v>32.8693205828571</v>
      </c>
      <c r="E626" s="22" t="n">
        <f aca="false">D626*(1+g_op27)</f>
        <v>34.512786612</v>
      </c>
      <c r="F626" s="22" t="n">
        <f aca="false">E626*(1+g_op28)</f>
        <v>36.2384259426</v>
      </c>
      <c r="G626" s="22" t="n">
        <f aca="false">F626*(1+g_op29)</f>
        <v>38.05034723973</v>
      </c>
    </row>
    <row r="627" customFormat="false" ht="15" hidden="false" customHeight="false" outlineLevel="0" collapsed="false">
      <c r="A627" s="4" t="s">
        <v>436</v>
      </c>
      <c r="B627" s="0" t="s">
        <v>138</v>
      </c>
      <c r="C627" s="22" t="n">
        <f aca="false">a25_ic</f>
        <v>63.1123</v>
      </c>
      <c r="D627" s="22" t="n">
        <f aca="false">a26_ic</f>
        <v>63.8838329806349</v>
      </c>
      <c r="E627" s="22" t="n">
        <f aca="false">D627*(1+g_ic27)</f>
        <v>63.8838329806349</v>
      </c>
      <c r="F627" s="22" t="n">
        <f aca="false">E627*(1+g_ic28)</f>
        <v>63.8838329806349</v>
      </c>
      <c r="G627" s="22" t="n">
        <f aca="false">F627*(1+g_ic29)</f>
        <v>63.8838329806349</v>
      </c>
    </row>
    <row r="628" customFormat="false" ht="17.15" hidden="false" customHeight="false" outlineLevel="0" collapsed="false">
      <c r="A628" s="4" t="s">
        <v>517</v>
      </c>
      <c r="B628" s="0" t="s">
        <v>138</v>
      </c>
      <c r="C628" s="22" t="n">
        <f aca="false">C624+C626+C627</f>
        <v>131.20715</v>
      </c>
      <c r="D628" s="22" t="n">
        <f aca="false">D624+D626+D627</f>
        <v>146.7847143</v>
      </c>
      <c r="E628" s="22" t="n">
        <f aca="false">E624+E626+E627</f>
        <v>150.929758365968</v>
      </c>
      <c r="F628" s="22" t="n">
        <f aca="false">F624+F626+F627</f>
        <v>155.282054635235</v>
      </c>
      <c r="G628" s="22" t="n">
        <f aca="false">G624+G626+G627</f>
        <v>159.851965717965</v>
      </c>
    </row>
    <row r="629" customFormat="false" ht="17.15" hidden="false" customHeight="false" outlineLevel="0" collapsed="false">
      <c r="A629" s="4" t="s">
        <v>383</v>
      </c>
      <c r="B629" s="0" t="s">
        <v>138</v>
      </c>
      <c r="C629" s="22" t="n">
        <f aca="false">C625+C626+C627</f>
        <v>166.085</v>
      </c>
      <c r="D629" s="22" t="n">
        <f aca="false">D625+D626+D627</f>
        <v>212.73147</v>
      </c>
      <c r="E629" s="22" t="n">
        <f aca="false">E625+E626+E627</f>
        <v>307.426813233141</v>
      </c>
      <c r="F629" s="22" t="n">
        <f aca="false">F625+F626+F627</f>
        <v>335.14503666436</v>
      </c>
      <c r="G629" s="22" t="n">
        <f aca="false">G625+G626+G627</f>
        <v>390.355884808945</v>
      </c>
      <c r="H629" s="24" t="n">
        <f aca="false">G629*(1+H631)</f>
        <v>438.431381645786</v>
      </c>
      <c r="I629" s="24" t="n">
        <f aca="false">H629*(1+I631)</f>
        <v>474.198201597232</v>
      </c>
      <c r="J629" s="24" t="n">
        <f aca="false">I629*(1+J631)</f>
        <v>493.166129661121</v>
      </c>
      <c r="K629" s="8" t="s">
        <v>518</v>
      </c>
    </row>
    <row r="630" customFormat="false" ht="17.15" hidden="false" customHeight="false" outlineLevel="0" collapsed="false">
      <c r="A630" s="4" t="s">
        <v>519</v>
      </c>
      <c r="B630" s="0" t="s">
        <v>138</v>
      </c>
      <c r="C630" s="28" t="n">
        <f aca="false">C629-a25_rev</f>
        <v>0</v>
      </c>
      <c r="D630" s="28" t="n">
        <f aca="false">D629-a26_rev</f>
        <v>0</v>
      </c>
    </row>
    <row r="631" customFormat="false" ht="15" hidden="false" customHeight="false" outlineLevel="0" collapsed="false">
      <c r="A631" s="4" t="s">
        <v>520</v>
      </c>
      <c r="B631" s="0" t="s">
        <v>53</v>
      </c>
      <c r="D631" s="17" t="n">
        <f aca="false">D629/C629-1</f>
        <v>0.280859017972725</v>
      </c>
      <c r="E631" s="17" t="n">
        <f aca="false">E629/D629-1</f>
        <v>0.445140266426689</v>
      </c>
      <c r="F631" s="17" t="n">
        <f aca="false">F629/E629-1</f>
        <v>0.0901620230835185</v>
      </c>
      <c r="G631" s="17" t="n">
        <f aca="false">G629/F629-1</f>
        <v>0.164737179741908</v>
      </c>
      <c r="H631" s="25" t="n">
        <f aca="false">$G631+(fade_gB-$G631)*1/3</f>
        <v>0.123158119827938</v>
      </c>
      <c r="I631" s="25" t="n">
        <f aca="false">$G631+(fade_gB-$G631)*2/3</f>
        <v>0.0815790599139692</v>
      </c>
      <c r="J631" s="25" t="n">
        <f aca="false">$G631+(fade_gB-$G631)*3/3</f>
        <v>0.04</v>
      </c>
    </row>
    <row r="632" customFormat="false" ht="17.15" hidden="false" customHeight="false" outlineLevel="0" collapsed="false">
      <c r="A632" s="0" t="s">
        <v>521</v>
      </c>
      <c r="B632" s="0" t="s">
        <v>53</v>
      </c>
      <c r="C632" s="17" t="n">
        <f aca="false">C622/C629</f>
        <v>0.21</v>
      </c>
      <c r="D632" s="17" t="n">
        <f aca="false">D622/D629</f>
        <v>0.31</v>
      </c>
      <c r="E632" s="17" t="n">
        <f aca="false">E622/E629</f>
        <v>0.509054669699521</v>
      </c>
      <c r="F632" s="17" t="n">
        <f aca="false">F622/F629</f>
        <v>0.53667207433316</v>
      </c>
      <c r="G632" s="17" t="n">
        <f aca="false">G622/G629</f>
        <v>0.590496846752541</v>
      </c>
    </row>
    <row r="633" customFormat="false" ht="17.15" hidden="false" customHeight="false" outlineLevel="0" collapsed="false">
      <c r="A633" s="4" t="s">
        <v>470</v>
      </c>
      <c r="B633" s="0" t="s">
        <v>471</v>
      </c>
      <c r="D633" s="21" t="n">
        <f aca="false">D622/fx/D614*1000</f>
        <v>88.0716581635229</v>
      </c>
      <c r="E633" s="21" t="n">
        <f aca="false">E622/fx/E614*1000</f>
        <v>117.428877551364</v>
      </c>
      <c r="F633" s="21" t="n">
        <f aca="false">F622/fx/F614*1000</f>
        <v>133.086061224879</v>
      </c>
      <c r="G633" s="21" t="n">
        <f aca="false">G622/fx/G614*1000</f>
        <v>140.914653061637</v>
      </c>
    </row>
    <row r="634" customFormat="false" ht="17.15" hidden="false" customHeight="false" outlineLevel="0" collapsed="false">
      <c r="A634" s="6" t="s">
        <v>522</v>
      </c>
    </row>
    <row r="635" customFormat="false" ht="17.15" hidden="false" customHeight="false" outlineLevel="0" collapsed="false">
      <c r="A635" s="4" t="s">
        <v>523</v>
      </c>
      <c r="B635" s="0" t="s">
        <v>53</v>
      </c>
      <c r="D635" s="17" t="n">
        <f aca="false">a26_gp/D629-d_ai*D632</f>
        <v>0.216982337009188</v>
      </c>
      <c r="K635" s="8" t="s">
        <v>524</v>
      </c>
    </row>
    <row r="636" customFormat="false" ht="17.15" hidden="false" customHeight="false" outlineLevel="0" collapsed="false">
      <c r="A636" s="0" t="s">
        <v>525</v>
      </c>
      <c r="B636" s="0" t="s">
        <v>53</v>
      </c>
      <c r="D636" s="17" t="n">
        <f aca="false">D635+d_ai</f>
        <v>0.336982337009188</v>
      </c>
      <c r="E636" s="17" t="n">
        <f aca="false">$D$636+gmu_27</f>
        <v>0.336982337009188</v>
      </c>
      <c r="F636" s="17" t="n">
        <f aca="false">$D$636+gmu_28</f>
        <v>0.336982337009188</v>
      </c>
      <c r="G636" s="17" t="n">
        <f aca="false">$D$636+gmu_29</f>
        <v>0.336982337009188</v>
      </c>
      <c r="K636" s="4" t="s">
        <v>526</v>
      </c>
    </row>
    <row r="637" customFormat="false" ht="15" hidden="false" customHeight="false" outlineLevel="0" collapsed="false">
      <c r="A637" s="4" t="s">
        <v>387</v>
      </c>
      <c r="B637" s="0" t="s">
        <v>138</v>
      </c>
      <c r="C637" s="22" t="n">
        <f aca="false">a25_gp</f>
        <v>38.039</v>
      </c>
      <c r="D637" s="22" t="n">
        <f aca="false">a26_gp</f>
        <v>54.0725822</v>
      </c>
      <c r="E637" s="22" t="n">
        <f aca="false">E622*E636+E628*$D$635</f>
        <v>85.485834978675</v>
      </c>
      <c r="F637" s="22" t="n">
        <f aca="false">F622*F636+F628*$D$635</f>
        <v>94.304111135958</v>
      </c>
      <c r="G637" s="22" t="n">
        <f aca="false">G622*G636+G628*$D$635</f>
        <v>112.360802442052</v>
      </c>
    </row>
    <row r="638" customFormat="false" ht="15" hidden="false" customHeight="false" outlineLevel="0" collapsed="false">
      <c r="A638" s="4" t="s">
        <v>390</v>
      </c>
      <c r="B638" s="0" t="s">
        <v>53</v>
      </c>
      <c r="C638" s="17" t="n">
        <f aca="false">C637/C629</f>
        <v>0.229033326308818</v>
      </c>
      <c r="D638" s="17" t="n">
        <f aca="false">D637/D629</f>
        <v>0.254182337009188</v>
      </c>
      <c r="E638" s="17" t="n">
        <f aca="false">E637/E629</f>
        <v>0.278068897373131</v>
      </c>
      <c r="F638" s="17" t="n">
        <f aca="false">F637/F629</f>
        <v>0.281382985929168</v>
      </c>
      <c r="G638" s="17" t="n">
        <f aca="false">G637/G629</f>
        <v>0.287841958619493</v>
      </c>
    </row>
    <row r="639" customFormat="false" ht="15" hidden="false" customHeight="false" outlineLevel="0" collapsed="false">
      <c r="A639" s="4" t="s">
        <v>527</v>
      </c>
      <c r="B639" s="0" t="s">
        <v>138</v>
      </c>
      <c r="C639" s="22" t="n">
        <f aca="false">a25_opx</f>
        <v>21.301</v>
      </c>
      <c r="D639" s="22" t="n">
        <f aca="false">a26_opx</f>
        <v>25.21033346</v>
      </c>
      <c r="E639" s="22" t="n">
        <f aca="false">D639*(1+MAX(0,phi_hi*E631))</f>
        <v>36.4324680130901</v>
      </c>
      <c r="F639" s="22" t="n">
        <f aca="false">E639*(1+MAX(0,phi_hi*F631))</f>
        <v>39.7172930350759</v>
      </c>
      <c r="G639" s="22" t="n">
        <f aca="false">F639*(1+MAX(0,phi_hi*G631))</f>
        <v>46.2602078766572</v>
      </c>
    </row>
    <row r="640" customFormat="false" ht="15" hidden="false" customHeight="false" outlineLevel="0" collapsed="false">
      <c r="A640" s="4" t="s">
        <v>392</v>
      </c>
      <c r="B640" s="0" t="s">
        <v>138</v>
      </c>
      <c r="C640" s="22" t="n">
        <f aca="false">C639</f>
        <v>21.301</v>
      </c>
      <c r="D640" s="22" t="n">
        <f aca="false">D639</f>
        <v>25.21033346</v>
      </c>
      <c r="E640" s="22" t="n">
        <f aca="false">E639+0*E629</f>
        <v>36.4324680130901</v>
      </c>
      <c r="F640" s="22" t="n">
        <f aca="false">F639+0*F629</f>
        <v>39.7172930350759</v>
      </c>
      <c r="G640" s="22" t="n">
        <f aca="false">G639+0*G629</f>
        <v>46.2602078766572</v>
      </c>
    </row>
    <row r="641" customFormat="false" ht="15" hidden="false" customHeight="false" outlineLevel="0" collapsed="false">
      <c r="A641" s="4" t="s">
        <v>395</v>
      </c>
      <c r="B641" s="0" t="s">
        <v>138</v>
      </c>
      <c r="C641" s="22" t="n">
        <f aca="false">C637-C640</f>
        <v>16.738</v>
      </c>
      <c r="D641" s="22" t="n">
        <f aca="false">D637-D640</f>
        <v>28.86224874</v>
      </c>
      <c r="E641" s="22" t="n">
        <f aca="false">E637-E640</f>
        <v>49.0533669655849</v>
      </c>
      <c r="F641" s="22" t="n">
        <f aca="false">F637-F640</f>
        <v>54.5868181008821</v>
      </c>
      <c r="G641" s="22" t="n">
        <f aca="false">G637-G640</f>
        <v>66.1005945653949</v>
      </c>
    </row>
    <row r="642" customFormat="false" ht="15" hidden="false" customHeight="false" outlineLevel="0" collapsed="false">
      <c r="A642" s="4" t="s">
        <v>397</v>
      </c>
      <c r="B642" s="0" t="s">
        <v>53</v>
      </c>
      <c r="C642" s="17" t="n">
        <f aca="false">C641/C629</f>
        <v>0.100779721227083</v>
      </c>
      <c r="D642" s="17" t="n">
        <f aca="false">D641/D629</f>
        <v>0.135674560703219</v>
      </c>
      <c r="E642" s="17" t="n">
        <f aca="false">E641/E629</f>
        <v>0.159561121067162</v>
      </c>
      <c r="F642" s="17" t="n">
        <f aca="false">F641/F629</f>
        <v>0.162875209623198</v>
      </c>
      <c r="G642" s="17" t="n">
        <f aca="false">G641/G629</f>
        <v>0.169334182313524</v>
      </c>
    </row>
    <row r="643" customFormat="false" ht="15" hidden="false" customHeight="false" outlineLevel="0" collapsed="false">
      <c r="A643" s="4" t="s">
        <v>399</v>
      </c>
      <c r="B643" s="0" t="s">
        <v>138</v>
      </c>
      <c r="C643" s="22" t="n">
        <f aca="false">a25_nop</f>
        <v>2.9762895</v>
      </c>
      <c r="D643" s="22" t="n">
        <f aca="false">a26_nop</f>
        <v>3.839</v>
      </c>
      <c r="E643" s="22" t="n">
        <f aca="false">nop_f</f>
        <v>3.5</v>
      </c>
      <c r="F643" s="22" t="n">
        <f aca="false">nop_f</f>
        <v>3.5</v>
      </c>
      <c r="G643" s="22" t="n">
        <f aca="false">nop_f</f>
        <v>3.5</v>
      </c>
    </row>
    <row r="644" customFormat="false" ht="17.15" hidden="false" customHeight="false" outlineLevel="0" collapsed="false">
      <c r="A644" s="4" t="s">
        <v>528</v>
      </c>
      <c r="B644" s="0" t="s">
        <v>53</v>
      </c>
      <c r="C644" s="17" t="n">
        <f aca="false">a25_ni/a25_pt</f>
        <v>0.766753475949514</v>
      </c>
      <c r="D644" s="17" t="n">
        <f aca="false">a26_ni/a26_pt</f>
        <v>0.759431002022174</v>
      </c>
      <c r="E644" s="17" t="n">
        <f aca="false">nir_f</f>
        <v>0.76</v>
      </c>
      <c r="F644" s="17" t="n">
        <f aca="false">nir_f</f>
        <v>0.76</v>
      </c>
      <c r="G644" s="17" t="n">
        <f aca="false">nir_f</f>
        <v>0.76</v>
      </c>
    </row>
    <row r="645" customFormat="false" ht="15" hidden="false" customHeight="false" outlineLevel="0" collapsed="false">
      <c r="A645" s="4" t="s">
        <v>404</v>
      </c>
      <c r="B645" s="0" t="s">
        <v>138</v>
      </c>
      <c r="C645" s="22" t="n">
        <f aca="false">a25_ni</f>
        <v>15.116</v>
      </c>
      <c r="D645" s="22" t="n">
        <f aca="false">a26_ni</f>
        <v>24.8343420979946</v>
      </c>
      <c r="E645" s="22" t="n">
        <f aca="false">(E641+E643)*E644</f>
        <v>39.9405588938445</v>
      </c>
      <c r="F645" s="22" t="n">
        <f aca="false">(F641+F643)*F644</f>
        <v>44.1459817566704</v>
      </c>
      <c r="G645" s="22" t="n">
        <f aca="false">(G641+G643)*G644</f>
        <v>52.8964518697001</v>
      </c>
      <c r="H645" s="24" t="n">
        <f aca="false">H629*H649</f>
        <v>55.2638898817578</v>
      </c>
      <c r="I645" s="24" t="n">
        <f aca="false">I629*I649</f>
        <v>55.2867526952871</v>
      </c>
      <c r="J645" s="24" t="n">
        <f aca="false">J629*J649</f>
        <v>52.8332888980764</v>
      </c>
    </row>
    <row r="646" customFormat="false" ht="15" hidden="false" customHeight="false" outlineLevel="0" collapsed="false">
      <c r="A646" s="4" t="s">
        <v>529</v>
      </c>
      <c r="B646" s="4" t="s">
        <v>231</v>
      </c>
      <c r="C646" s="27" t="n">
        <f aca="false">a25_sh</f>
        <v>2.27650602409639</v>
      </c>
      <c r="D646" s="27" t="n">
        <f aca="false">a26_sh</f>
        <v>2.26895833333333</v>
      </c>
      <c r="E646" s="27" t="n">
        <f aca="false">D646*(1+sh_g)</f>
        <v>2.26895833333333</v>
      </c>
      <c r="F646" s="27" t="n">
        <f aca="false">E646*(1+sh_g)</f>
        <v>2.26895833333333</v>
      </c>
      <c r="G646" s="27" t="n">
        <f aca="false">F646*(1+sh_g)</f>
        <v>2.26895833333333</v>
      </c>
      <c r="H646" s="29" t="n">
        <f aca="false">G646*(1+sh_g)</f>
        <v>2.26895833333333</v>
      </c>
      <c r="I646" s="29" t="n">
        <f aca="false">H646*(1+sh_g)</f>
        <v>2.26895833333333</v>
      </c>
      <c r="J646" s="29" t="n">
        <f aca="false">I646*(1+sh_g)</f>
        <v>2.26895833333333</v>
      </c>
    </row>
    <row r="647" customFormat="false" ht="15" hidden="false" customHeight="false" outlineLevel="0" collapsed="false">
      <c r="A647" s="0" t="s">
        <v>410</v>
      </c>
      <c r="B647" s="0" t="s">
        <v>264</v>
      </c>
      <c r="C647" s="23" t="n">
        <f aca="false">C645/C646</f>
        <v>6.64</v>
      </c>
      <c r="D647" s="23" t="n">
        <f aca="false">D645/D646</f>
        <v>10.9452614149641</v>
      </c>
      <c r="E647" s="23" t="n">
        <f aca="false">E645/E646</f>
        <v>17.6030376173403</v>
      </c>
      <c r="F647" s="23" t="n">
        <f aca="false">F645/F646</f>
        <v>19.4564973310089</v>
      </c>
      <c r="G647" s="23" t="n">
        <f aca="false">G645/G646</f>
        <v>23.3130997130255</v>
      </c>
      <c r="H647" s="30" t="n">
        <f aca="false">H645/H646</f>
        <v>24.3565027483645</v>
      </c>
      <c r="I647" s="30" t="n">
        <f aca="false">I645/I646</f>
        <v>24.366579096261</v>
      </c>
      <c r="J647" s="30" t="n">
        <f aca="false">J645/J646</f>
        <v>23.28526184104</v>
      </c>
    </row>
    <row r="648" customFormat="false" ht="17.15" hidden="false" customHeight="false" outlineLevel="0" collapsed="false">
      <c r="A648" s="0" t="s">
        <v>530</v>
      </c>
      <c r="B648" s="0" t="s">
        <v>53</v>
      </c>
      <c r="D648" s="17" t="n">
        <f aca="false">D647/C647-1</f>
        <v>0.648382743217484</v>
      </c>
      <c r="E648" s="17" t="n">
        <f aca="false">E647/D647-1</f>
        <v>0.608279322892545</v>
      </c>
      <c r="F648" s="17" t="n">
        <f aca="false">F647/E647-1</f>
        <v>0.10529203845152</v>
      </c>
      <c r="G648" s="17" t="n">
        <f aca="false">G647/F647-1</f>
        <v>0.198216683938794</v>
      </c>
      <c r="H648" s="25" t="n">
        <f aca="false">H647/G647-1</f>
        <v>0.0447560834115954</v>
      </c>
      <c r="I648" s="25" t="n">
        <f aca="false">I647/H647-1</f>
        <v>0.000413702574650454</v>
      </c>
      <c r="J648" s="25" t="n">
        <f aca="false">J647/I647-1</f>
        <v>-0.044377064624015</v>
      </c>
    </row>
    <row r="649" customFormat="false" ht="17.15" hidden="false" customHeight="false" outlineLevel="0" collapsed="false">
      <c r="A649" s="4" t="s">
        <v>531</v>
      </c>
      <c r="B649" s="0" t="s">
        <v>53</v>
      </c>
      <c r="C649" s="17" t="n">
        <f aca="false">C645/C629</f>
        <v>0.0910136375952073</v>
      </c>
      <c r="D649" s="17" t="n">
        <f aca="false">D645/D629</f>
        <v>0.116740330417472</v>
      </c>
      <c r="E649" s="17" t="n">
        <f aca="false">E645/E629</f>
        <v>0.129918917851694</v>
      </c>
      <c r="F649" s="17" t="n">
        <f aca="false">F645/F629</f>
        <v>0.131722021594136</v>
      </c>
      <c r="G649" s="17" t="n">
        <f aca="false">G645/G629</f>
        <v>0.135508273163576</v>
      </c>
      <c r="H649" s="25" t="n">
        <f aca="false">$G649+(fade_mB-$G649)*1/3</f>
        <v>0.126049120102462</v>
      </c>
      <c r="I649" s="25" t="n">
        <f aca="false">$G649+(fade_mB-$G649)*2/3</f>
        <v>0.116589967041347</v>
      </c>
      <c r="J649" s="25" t="n">
        <f aca="false">$G649+(fade_mB-$G649)*3/3</f>
        <v>0.107130813980232</v>
      </c>
    </row>
    <row r="652" customFormat="false" ht="17.15" hidden="false" customHeight="false" outlineLevel="0" collapsed="false">
      <c r="A652" s="1" t="s">
        <v>874</v>
      </c>
    </row>
    <row r="653" customFormat="false" ht="17.15" hidden="false" customHeight="false" outlineLevel="0" collapsed="false">
      <c r="A653" s="5" t="s">
        <v>22</v>
      </c>
      <c r="B653" s="5" t="s">
        <v>23</v>
      </c>
      <c r="C653" s="14" t="s">
        <v>378</v>
      </c>
      <c r="D653" s="14" t="s">
        <v>476</v>
      </c>
      <c r="E653" s="14" t="s">
        <v>477</v>
      </c>
      <c r="F653" s="14" t="s">
        <v>478</v>
      </c>
      <c r="G653" s="14" t="s">
        <v>479</v>
      </c>
      <c r="H653" s="14" t="s">
        <v>480</v>
      </c>
      <c r="I653" s="14" t="s">
        <v>481</v>
      </c>
      <c r="J653" s="14" t="s">
        <v>482</v>
      </c>
      <c r="K653" s="5" t="s">
        <v>449</v>
      </c>
    </row>
    <row r="654" customFormat="false" ht="17.15" hidden="false" customHeight="false" outlineLevel="0" collapsed="false">
      <c r="A654" s="6" t="s">
        <v>501</v>
      </c>
    </row>
    <row r="655" customFormat="false" ht="17.15" hidden="false" customHeight="false" outlineLevel="0" collapsed="false">
      <c r="A655" s="0" t="s">
        <v>502</v>
      </c>
      <c r="B655" s="0" t="s">
        <v>33</v>
      </c>
      <c r="D655" s="23" t="n">
        <f aca="false">itc_26*1</f>
        <v>781.872916666666</v>
      </c>
      <c r="E655" s="23" t="n">
        <f aca="false">itc_27*1*1</f>
        <v>1565.35</v>
      </c>
      <c r="F655" s="23" t="n">
        <f aca="false">itc_28*um28_B*1</f>
        <v>1587.41111111111</v>
      </c>
      <c r="G655" s="23" t="n">
        <f aca="false">itc_29*um29_B*1</f>
        <v>1921.33173611111</v>
      </c>
    </row>
    <row r="656" customFormat="false" ht="17.15" hidden="false" customHeight="false" outlineLevel="0" collapsed="false">
      <c r="A656" s="4" t="s">
        <v>503</v>
      </c>
      <c r="B656" s="0" t="s">
        <v>33</v>
      </c>
      <c r="D656" s="23" t="n">
        <f aca="false">itpg_gb*(1-vr26)+itpg_vr*vr26</f>
        <v>33.41403216</v>
      </c>
      <c r="E656" s="23" t="n">
        <f aca="false">itpg_vr</f>
        <v>37.586352</v>
      </c>
      <c r="F656" s="23" t="n">
        <f aca="false">itpg_vr</f>
        <v>37.586352</v>
      </c>
      <c r="G656" s="23" t="n">
        <f aca="false">itpg_vr</f>
        <v>37.586352</v>
      </c>
    </row>
    <row r="657" customFormat="false" ht="17.15" hidden="false" customHeight="false" outlineLevel="0" collapsed="false">
      <c r="A657" s="4" t="s">
        <v>504</v>
      </c>
      <c r="B657" s="0" t="s">
        <v>451</v>
      </c>
      <c r="D657" s="20" t="n">
        <f aca="false">D655/D656</f>
        <v>23.3995380420639</v>
      </c>
      <c r="E657" s="20" t="n">
        <f aca="false">E655/E656</f>
        <v>41.6467658260637</v>
      </c>
      <c r="F657" s="20" t="n">
        <f aca="false">F655/F656</f>
        <v>42.2337105529984</v>
      </c>
      <c r="G657" s="20" t="n">
        <f aca="false">G655/G656</f>
        <v>51.1178029756948</v>
      </c>
    </row>
    <row r="658" customFormat="false" ht="17.15" hidden="false" customHeight="false" outlineLevel="0" collapsed="false">
      <c r="A658" s="0" t="s">
        <v>453</v>
      </c>
      <c r="B658" s="0" t="s">
        <v>91</v>
      </c>
      <c r="D658" s="21" t="n">
        <f aca="false">pkw_26</f>
        <v>450</v>
      </c>
      <c r="E658" s="21" t="n">
        <f aca="false">pkw_27</f>
        <v>600</v>
      </c>
      <c r="F658" s="21" t="n">
        <f aca="false">pkw_28</f>
        <v>680</v>
      </c>
      <c r="G658" s="21" t="n">
        <f aca="false">pkw_29</f>
        <v>720</v>
      </c>
    </row>
    <row r="659" customFormat="false" ht="17.15" hidden="false" customHeight="false" outlineLevel="0" collapsed="false">
      <c r="A659" s="0" t="s">
        <v>505</v>
      </c>
      <c r="B659" s="0" t="s">
        <v>33</v>
      </c>
      <c r="D659" s="23" t="n">
        <f aca="false">D657*D658/1000</f>
        <v>10.5297921189287</v>
      </c>
      <c r="E659" s="23" t="n">
        <f aca="false">E657*E658/1000</f>
        <v>24.9880594956382</v>
      </c>
      <c r="F659" s="23" t="n">
        <f aca="false">F657*F658/1000</f>
        <v>28.7189231760389</v>
      </c>
      <c r="G659" s="23" t="n">
        <f aca="false">G657*G658/1000</f>
        <v>36.8048181425003</v>
      </c>
    </row>
    <row r="660" customFormat="false" ht="17.15" hidden="false" customHeight="false" outlineLevel="0" collapsed="false">
      <c r="A660" s="0" t="s">
        <v>506</v>
      </c>
      <c r="B660" s="0" t="s">
        <v>138</v>
      </c>
      <c r="D660" s="22" t="n">
        <f aca="false">D659*fx</f>
        <v>336.95334780572</v>
      </c>
      <c r="E660" s="22" t="n">
        <f aca="false">E659*fx</f>
        <v>799.617903860422</v>
      </c>
      <c r="F660" s="22" t="n">
        <f aca="false">F659*fx</f>
        <v>919.005541633245</v>
      </c>
      <c r="G660" s="22" t="n">
        <f aca="false">G659*fx</f>
        <v>1177.75418056001</v>
      </c>
    </row>
    <row r="661" customFormat="false" ht="17.15" hidden="false" customHeight="false" outlineLevel="0" collapsed="false">
      <c r="A661" s="4" t="s">
        <v>507</v>
      </c>
      <c r="B661" s="0" t="s">
        <v>53</v>
      </c>
      <c r="D661" s="17" t="n">
        <f aca="false">a26_aip/D660</f>
        <v>0.176143316327046</v>
      </c>
      <c r="K661" s="8" t="s">
        <v>508</v>
      </c>
    </row>
    <row r="662" customFormat="false" ht="17.15" hidden="false" customHeight="false" outlineLevel="0" collapsed="false">
      <c r="A662" s="4" t="s">
        <v>509</v>
      </c>
      <c r="B662" s="0" t="s">
        <v>64</v>
      </c>
      <c r="D662" s="18" t="n">
        <f aca="false">1</f>
        <v>1</v>
      </c>
      <c r="E662" s="18" t="n">
        <f aca="false">rel_27</f>
        <v>1</v>
      </c>
      <c r="F662" s="18" t="n">
        <f aca="false">rel_28</f>
        <v>1</v>
      </c>
      <c r="G662" s="18" t="n">
        <f aca="false">rel_29</f>
        <v>1</v>
      </c>
    </row>
    <row r="663" customFormat="false" ht="15" hidden="false" customHeight="false" outlineLevel="0" collapsed="false">
      <c r="A663" s="4" t="s">
        <v>459</v>
      </c>
      <c r="B663" s="0" t="s">
        <v>53</v>
      </c>
      <c r="D663" s="17" t="n">
        <f aca="false">$D$661*D662</f>
        <v>0.176143316327046</v>
      </c>
      <c r="E663" s="17" t="n">
        <f aca="false">$D$661*E662</f>
        <v>0.176143316327046</v>
      </c>
      <c r="F663" s="17" t="n">
        <f aca="false">$D$661*F662</f>
        <v>0.176143316327046</v>
      </c>
      <c r="G663" s="17" t="n">
        <f aca="false">$D$661*G662</f>
        <v>0.176143316327046</v>
      </c>
    </row>
    <row r="664" customFormat="false" ht="17.15" hidden="false" customHeight="false" outlineLevel="0" collapsed="false">
      <c r="A664" s="0" t="s">
        <v>510</v>
      </c>
      <c r="B664" s="0" t="s">
        <v>138</v>
      </c>
      <c r="C664" s="22" t="n">
        <f aca="false">a25_aip</f>
        <v>31.390065</v>
      </c>
      <c r="D664" s="22" t="n">
        <f aca="false">D660*D663</f>
        <v>59.35208013</v>
      </c>
      <c r="E664" s="22" t="n">
        <f aca="false">E660*E663</f>
        <v>140.847349380456</v>
      </c>
      <c r="F664" s="22" t="n">
        <f aca="false">F660*F663</f>
        <v>161.876683826213</v>
      </c>
      <c r="G664" s="22" t="n">
        <f aca="false">G660*G663</f>
        <v>207.453527181882</v>
      </c>
    </row>
    <row r="665" customFormat="false" ht="17.15" hidden="false" customHeight="false" outlineLevel="0" collapsed="false">
      <c r="A665" s="0" t="s">
        <v>511</v>
      </c>
      <c r="B665" s="0" t="s">
        <v>138</v>
      </c>
      <c r="C665" s="22" t="n">
        <f aca="false">a25_ai</f>
        <v>34.87785</v>
      </c>
      <c r="D665" s="22" t="n">
        <f aca="false">D664/(1-x_np)</f>
        <v>65.9467557</v>
      </c>
      <c r="E665" s="22" t="n">
        <f aca="false">E664/(1-x_np)</f>
        <v>156.497054867173</v>
      </c>
      <c r="F665" s="22" t="n">
        <f aca="false">F664/(1-x_np)</f>
        <v>179.862982029125</v>
      </c>
      <c r="G665" s="22" t="n">
        <f aca="false">G664/(1-x_np)</f>
        <v>230.50391909098</v>
      </c>
      <c r="K665" s="4" t="s">
        <v>512</v>
      </c>
    </row>
    <row r="666" customFormat="false" ht="17.15" hidden="false" customHeight="false" outlineLevel="0" collapsed="false">
      <c r="A666" s="6" t="s">
        <v>513</v>
      </c>
    </row>
    <row r="667" customFormat="false" ht="17.15" hidden="false" customHeight="false" outlineLevel="0" collapsed="false">
      <c r="A667" s="4" t="s">
        <v>514</v>
      </c>
      <c r="B667" s="0" t="s">
        <v>138</v>
      </c>
      <c r="C667" s="22" t="n">
        <f aca="false">a25_cn</f>
        <v>39.8604</v>
      </c>
      <c r="D667" s="22" t="n">
        <f aca="false">a26_cn</f>
        <v>50.0315607365079</v>
      </c>
      <c r="E667" s="22" t="n">
        <f aca="false">D667*(1+g_cn27)</f>
        <v>52.5331387733333</v>
      </c>
      <c r="F667" s="22" t="n">
        <f aca="false">E667*(1+g_cn28)</f>
        <v>55.159795712</v>
      </c>
      <c r="G667" s="22" t="n">
        <f aca="false">F667*(1+g_cn29)</f>
        <v>57.9177854976</v>
      </c>
      <c r="K667" s="4" t="s">
        <v>515</v>
      </c>
    </row>
    <row r="668" customFormat="false" ht="17.15" hidden="false" customHeight="false" outlineLevel="0" collapsed="false">
      <c r="A668" s="4" t="s">
        <v>431</v>
      </c>
      <c r="B668" s="0" t="s">
        <v>138</v>
      </c>
      <c r="C668" s="22" t="n">
        <f aca="false">C665+C667</f>
        <v>74.73825</v>
      </c>
      <c r="D668" s="22" t="n">
        <f aca="false">D665+D667</f>
        <v>115.978316436508</v>
      </c>
      <c r="E668" s="22" t="n">
        <f aca="false">E665+E667</f>
        <v>209.030193640506</v>
      </c>
      <c r="F668" s="22" t="n">
        <f aca="false">F665+F667</f>
        <v>235.022777741125</v>
      </c>
      <c r="G668" s="22" t="n">
        <f aca="false">G665+G667</f>
        <v>288.42170458858</v>
      </c>
      <c r="K668" s="4" t="s">
        <v>516</v>
      </c>
    </row>
    <row r="669" customFormat="false" ht="15" hidden="false" customHeight="false" outlineLevel="0" collapsed="false">
      <c r="A669" s="4" t="s">
        <v>435</v>
      </c>
      <c r="B669" s="0" t="s">
        <v>138</v>
      </c>
      <c r="C669" s="22" t="n">
        <f aca="false">a25_op</f>
        <v>28.23445</v>
      </c>
      <c r="D669" s="22" t="n">
        <f aca="false">a26_op</f>
        <v>32.8693205828571</v>
      </c>
      <c r="E669" s="22" t="n">
        <f aca="false">D669*(1+g_op27)</f>
        <v>34.512786612</v>
      </c>
      <c r="F669" s="22" t="n">
        <f aca="false">E669*(1+g_op28)</f>
        <v>36.2384259426</v>
      </c>
      <c r="G669" s="22" t="n">
        <f aca="false">F669*(1+g_op29)</f>
        <v>38.05034723973</v>
      </c>
    </row>
    <row r="670" customFormat="false" ht="15" hidden="false" customHeight="false" outlineLevel="0" collapsed="false">
      <c r="A670" s="4" t="s">
        <v>436</v>
      </c>
      <c r="B670" s="0" t="s">
        <v>138</v>
      </c>
      <c r="C670" s="22" t="n">
        <f aca="false">a25_ic</f>
        <v>63.1123</v>
      </c>
      <c r="D670" s="22" t="n">
        <f aca="false">a26_ic</f>
        <v>63.8838329806349</v>
      </c>
      <c r="E670" s="22" t="n">
        <f aca="false">D670*(1+g_ic27)</f>
        <v>63.8838329806349</v>
      </c>
      <c r="F670" s="22" t="n">
        <f aca="false">E670*(1+g_ic28)</f>
        <v>63.8838329806349</v>
      </c>
      <c r="G670" s="22" t="n">
        <f aca="false">F670*(1+g_ic29)</f>
        <v>63.8838329806349</v>
      </c>
    </row>
    <row r="671" customFormat="false" ht="17.15" hidden="false" customHeight="false" outlineLevel="0" collapsed="false">
      <c r="A671" s="4" t="s">
        <v>517</v>
      </c>
      <c r="B671" s="0" t="s">
        <v>138</v>
      </c>
      <c r="C671" s="22" t="n">
        <f aca="false">C667+C669+C670</f>
        <v>131.20715</v>
      </c>
      <c r="D671" s="22" t="n">
        <f aca="false">D667+D669+D670</f>
        <v>146.7847143</v>
      </c>
      <c r="E671" s="22" t="n">
        <f aca="false">E667+E669+E670</f>
        <v>150.929758365968</v>
      </c>
      <c r="F671" s="22" t="n">
        <f aca="false">F667+F669+F670</f>
        <v>155.282054635235</v>
      </c>
      <c r="G671" s="22" t="n">
        <f aca="false">G667+G669+G670</f>
        <v>159.851965717965</v>
      </c>
    </row>
    <row r="672" customFormat="false" ht="17.15" hidden="false" customHeight="false" outlineLevel="0" collapsed="false">
      <c r="A672" s="4" t="s">
        <v>383</v>
      </c>
      <c r="B672" s="0" t="s">
        <v>138</v>
      </c>
      <c r="C672" s="22" t="n">
        <f aca="false">C668+C669+C670</f>
        <v>166.085</v>
      </c>
      <c r="D672" s="22" t="n">
        <f aca="false">D668+D669+D670</f>
        <v>212.73147</v>
      </c>
      <c r="E672" s="22" t="n">
        <f aca="false">E668+E669+E670</f>
        <v>307.426813233141</v>
      </c>
      <c r="F672" s="22" t="n">
        <f aca="false">F668+F669+F670</f>
        <v>335.14503666436</v>
      </c>
      <c r="G672" s="22" t="n">
        <f aca="false">G668+G669+G670</f>
        <v>390.355884808945</v>
      </c>
      <c r="H672" s="24" t="n">
        <f aca="false">G672*(1+H674)</f>
        <v>438.431381645786</v>
      </c>
      <c r="I672" s="24" t="n">
        <f aca="false">H672*(1+I674)</f>
        <v>474.198201597232</v>
      </c>
      <c r="J672" s="24" t="n">
        <f aca="false">I672*(1+J674)</f>
        <v>493.166129661121</v>
      </c>
      <c r="K672" s="8" t="s">
        <v>518</v>
      </c>
    </row>
    <row r="673" customFormat="false" ht="17.15" hidden="false" customHeight="false" outlineLevel="0" collapsed="false">
      <c r="A673" s="4" t="s">
        <v>519</v>
      </c>
      <c r="B673" s="0" t="s">
        <v>138</v>
      </c>
      <c r="C673" s="28" t="n">
        <f aca="false">C672-a25_rev</f>
        <v>0</v>
      </c>
      <c r="D673" s="28" t="n">
        <f aca="false">D672-a26_rev</f>
        <v>0</v>
      </c>
    </row>
    <row r="674" customFormat="false" ht="15" hidden="false" customHeight="false" outlineLevel="0" collapsed="false">
      <c r="A674" s="4" t="s">
        <v>520</v>
      </c>
      <c r="B674" s="0" t="s">
        <v>53</v>
      </c>
      <c r="D674" s="17" t="n">
        <f aca="false">D672/C672-1</f>
        <v>0.280859017972725</v>
      </c>
      <c r="E674" s="17" t="n">
        <f aca="false">E672/D672-1</f>
        <v>0.445140266426689</v>
      </c>
      <c r="F674" s="17" t="n">
        <f aca="false">F672/E672-1</f>
        <v>0.0901620230835185</v>
      </c>
      <c r="G674" s="17" t="n">
        <f aca="false">G672/F672-1</f>
        <v>0.164737179741908</v>
      </c>
      <c r="H674" s="25" t="n">
        <f aca="false">$G674+(fade_gB-$G674)*1/3</f>
        <v>0.123158119827938</v>
      </c>
      <c r="I674" s="25" t="n">
        <f aca="false">$G674+(fade_gB-$G674)*2/3</f>
        <v>0.0815790599139692</v>
      </c>
      <c r="J674" s="25" t="n">
        <f aca="false">$G674+(fade_gB-$G674)*3/3</f>
        <v>0.04</v>
      </c>
    </row>
    <row r="675" customFormat="false" ht="17.15" hidden="false" customHeight="false" outlineLevel="0" collapsed="false">
      <c r="A675" s="0" t="s">
        <v>521</v>
      </c>
      <c r="B675" s="0" t="s">
        <v>53</v>
      </c>
      <c r="C675" s="17" t="n">
        <f aca="false">C665/C672</f>
        <v>0.21</v>
      </c>
      <c r="D675" s="17" t="n">
        <f aca="false">D665/D672</f>
        <v>0.31</v>
      </c>
      <c r="E675" s="17" t="n">
        <f aca="false">E665/E672</f>
        <v>0.509054669699521</v>
      </c>
      <c r="F675" s="17" t="n">
        <f aca="false">F665/F672</f>
        <v>0.53667207433316</v>
      </c>
      <c r="G675" s="17" t="n">
        <f aca="false">G665/G672</f>
        <v>0.590496846752541</v>
      </c>
    </row>
    <row r="676" customFormat="false" ht="17.15" hidden="false" customHeight="false" outlineLevel="0" collapsed="false">
      <c r="A676" s="4" t="s">
        <v>470</v>
      </c>
      <c r="B676" s="0" t="s">
        <v>471</v>
      </c>
      <c r="D676" s="21" t="n">
        <f aca="false">D665/fx/D657*1000</f>
        <v>88.0716581635229</v>
      </c>
      <c r="E676" s="21" t="n">
        <f aca="false">E665/fx/E657*1000</f>
        <v>117.428877551364</v>
      </c>
      <c r="F676" s="21" t="n">
        <f aca="false">F665/fx/F657*1000</f>
        <v>133.086061224879</v>
      </c>
      <c r="G676" s="21" t="n">
        <f aca="false">G665/fx/G657*1000</f>
        <v>140.914653061637</v>
      </c>
    </row>
    <row r="677" customFormat="false" ht="17.15" hidden="false" customHeight="false" outlineLevel="0" collapsed="false">
      <c r="A677" s="6" t="s">
        <v>522</v>
      </c>
    </row>
    <row r="678" customFormat="false" ht="17.15" hidden="false" customHeight="false" outlineLevel="0" collapsed="false">
      <c r="A678" s="4" t="s">
        <v>523</v>
      </c>
      <c r="B678" s="0" t="s">
        <v>53</v>
      </c>
      <c r="D678" s="17" t="n">
        <f aca="false">a26_gp/D672-d_ai*D675</f>
        <v>0.216982337009188</v>
      </c>
      <c r="K678" s="8" t="s">
        <v>524</v>
      </c>
    </row>
    <row r="679" customFormat="false" ht="17.15" hidden="false" customHeight="false" outlineLevel="0" collapsed="false">
      <c r="A679" s="0" t="s">
        <v>525</v>
      </c>
      <c r="B679" s="0" t="s">
        <v>53</v>
      </c>
      <c r="D679" s="17" t="n">
        <f aca="false">D678+d_ai</f>
        <v>0.336982337009188</v>
      </c>
      <c r="E679" s="17" t="n">
        <f aca="false">$D$679+gmu_27</f>
        <v>0.336982337009188</v>
      </c>
      <c r="F679" s="17" t="n">
        <f aca="false">$D$679+gmu_28</f>
        <v>0.336982337009188</v>
      </c>
      <c r="G679" s="17" t="n">
        <f aca="false">$D$679+gmu_29</f>
        <v>0.336982337009188</v>
      </c>
      <c r="K679" s="4" t="s">
        <v>526</v>
      </c>
    </row>
    <row r="680" customFormat="false" ht="15" hidden="false" customHeight="false" outlineLevel="0" collapsed="false">
      <c r="A680" s="4" t="s">
        <v>387</v>
      </c>
      <c r="B680" s="0" t="s">
        <v>138</v>
      </c>
      <c r="C680" s="22" t="n">
        <f aca="false">a25_gp</f>
        <v>38.039</v>
      </c>
      <c r="D680" s="22" t="n">
        <f aca="false">a26_gp</f>
        <v>54.0725822</v>
      </c>
      <c r="E680" s="22" t="n">
        <f aca="false">E665*E679+E671*$D$678</f>
        <v>85.485834978675</v>
      </c>
      <c r="F680" s="22" t="n">
        <f aca="false">F665*F679+F671*$D$678</f>
        <v>94.304111135958</v>
      </c>
      <c r="G680" s="22" t="n">
        <f aca="false">G665*G679+G671*$D$678</f>
        <v>112.360802442052</v>
      </c>
    </row>
    <row r="681" customFormat="false" ht="15" hidden="false" customHeight="false" outlineLevel="0" collapsed="false">
      <c r="A681" s="4" t="s">
        <v>390</v>
      </c>
      <c r="B681" s="0" t="s">
        <v>53</v>
      </c>
      <c r="C681" s="17" t="n">
        <f aca="false">C680/C672</f>
        <v>0.229033326308818</v>
      </c>
      <c r="D681" s="17" t="n">
        <f aca="false">D680/D672</f>
        <v>0.254182337009188</v>
      </c>
      <c r="E681" s="17" t="n">
        <f aca="false">E680/E672</f>
        <v>0.278068897373131</v>
      </c>
      <c r="F681" s="17" t="n">
        <f aca="false">F680/F672</f>
        <v>0.281382985929168</v>
      </c>
      <c r="G681" s="17" t="n">
        <f aca="false">G680/G672</f>
        <v>0.287841958619493</v>
      </c>
    </row>
    <row r="682" customFormat="false" ht="15" hidden="false" customHeight="false" outlineLevel="0" collapsed="false">
      <c r="A682" s="4" t="s">
        <v>527</v>
      </c>
      <c r="B682" s="0" t="s">
        <v>138</v>
      </c>
      <c r="C682" s="22" t="n">
        <f aca="false">a25_opx</f>
        <v>21.301</v>
      </c>
      <c r="D682" s="22" t="n">
        <f aca="false">a26_opx</f>
        <v>25.21033346</v>
      </c>
      <c r="E682" s="22" t="n">
        <f aca="false">D682*(1+MAX(0,phi*E674))</f>
        <v>33.0658276471631</v>
      </c>
      <c r="F682" s="22" t="n">
        <f aca="false">E682*(1+MAX(0,phi*F674))</f>
        <v>35.1527249880825</v>
      </c>
      <c r="G682" s="22" t="n">
        <f aca="false">F682*(1+MAX(0,phi*G674))</f>
        <v>39.2063975304282</v>
      </c>
    </row>
    <row r="683" customFormat="false" ht="15" hidden="false" customHeight="false" outlineLevel="0" collapsed="false">
      <c r="A683" s="4" t="s">
        <v>392</v>
      </c>
      <c r="B683" s="0" t="s">
        <v>138</v>
      </c>
      <c r="C683" s="22" t="n">
        <f aca="false">C682</f>
        <v>21.301</v>
      </c>
      <c r="D683" s="22" t="n">
        <f aca="false">D682</f>
        <v>25.21033346</v>
      </c>
      <c r="E683" s="22" t="n">
        <f aca="false">E682+0*E672</f>
        <v>33.0658276471631</v>
      </c>
      <c r="F683" s="22" t="n">
        <f aca="false">F682+0*F672</f>
        <v>35.1527249880825</v>
      </c>
      <c r="G683" s="22" t="n">
        <f aca="false">G682+0*G672</f>
        <v>39.2063975304282</v>
      </c>
    </row>
    <row r="684" customFormat="false" ht="15" hidden="false" customHeight="false" outlineLevel="0" collapsed="false">
      <c r="A684" s="4" t="s">
        <v>395</v>
      </c>
      <c r="B684" s="0" t="s">
        <v>138</v>
      </c>
      <c r="C684" s="22" t="n">
        <f aca="false">C680-C683</f>
        <v>16.738</v>
      </c>
      <c r="D684" s="22" t="n">
        <f aca="false">D680-D683</f>
        <v>28.86224874</v>
      </c>
      <c r="E684" s="22" t="n">
        <f aca="false">E680-E683</f>
        <v>52.4200073315119</v>
      </c>
      <c r="F684" s="22" t="n">
        <f aca="false">F680-F683</f>
        <v>59.1513861478755</v>
      </c>
      <c r="G684" s="22" t="n">
        <f aca="false">G680-G683</f>
        <v>73.1544049116238</v>
      </c>
    </row>
    <row r="685" customFormat="false" ht="15" hidden="false" customHeight="false" outlineLevel="0" collapsed="false">
      <c r="A685" s="4" t="s">
        <v>397</v>
      </c>
      <c r="B685" s="0" t="s">
        <v>53</v>
      </c>
      <c r="C685" s="17" t="n">
        <f aca="false">C684/C672</f>
        <v>0.100779721227083</v>
      </c>
      <c r="D685" s="17" t="n">
        <f aca="false">D684/D672</f>
        <v>0.135674560703219</v>
      </c>
      <c r="E685" s="17" t="n">
        <f aca="false">E684/E672</f>
        <v>0.170512151429545</v>
      </c>
      <c r="F685" s="17" t="n">
        <f aca="false">F684/F672</f>
        <v>0.176494889307026</v>
      </c>
      <c r="G685" s="17" t="n">
        <f aca="false">G684/G672</f>
        <v>0.187404385993639</v>
      </c>
    </row>
    <row r="686" customFormat="false" ht="15" hidden="false" customHeight="false" outlineLevel="0" collapsed="false">
      <c r="A686" s="4" t="s">
        <v>399</v>
      </c>
      <c r="B686" s="0" t="s">
        <v>138</v>
      </c>
      <c r="C686" s="22" t="n">
        <f aca="false">a25_nop</f>
        <v>2.9762895</v>
      </c>
      <c r="D686" s="22" t="n">
        <f aca="false">a26_nop</f>
        <v>3.839</v>
      </c>
      <c r="E686" s="22" t="n">
        <f aca="false">nop_f</f>
        <v>3.5</v>
      </c>
      <c r="F686" s="22" t="n">
        <f aca="false">nop_f</f>
        <v>3.5</v>
      </c>
      <c r="G686" s="22" t="n">
        <f aca="false">nop_f</f>
        <v>3.5</v>
      </c>
    </row>
    <row r="687" customFormat="false" ht="17.15" hidden="false" customHeight="false" outlineLevel="0" collapsed="false">
      <c r="A687" s="4" t="s">
        <v>528</v>
      </c>
      <c r="B687" s="0" t="s">
        <v>53</v>
      </c>
      <c r="C687" s="17" t="n">
        <f aca="false">a25_ni/a25_pt</f>
        <v>0.766753475949514</v>
      </c>
      <c r="D687" s="17" t="n">
        <f aca="false">a26_ni/a26_pt</f>
        <v>0.759431002022174</v>
      </c>
      <c r="E687" s="17" t="n">
        <f aca="false">nir_f_lo</f>
        <v>0.73</v>
      </c>
      <c r="F687" s="17" t="n">
        <f aca="false">nir_f_lo</f>
        <v>0.73</v>
      </c>
      <c r="G687" s="17" t="n">
        <f aca="false">nir_f_lo</f>
        <v>0.73</v>
      </c>
    </row>
    <row r="688" customFormat="false" ht="15" hidden="false" customHeight="false" outlineLevel="0" collapsed="false">
      <c r="A688" s="4" t="s">
        <v>404</v>
      </c>
      <c r="B688" s="0" t="s">
        <v>138</v>
      </c>
      <c r="C688" s="22" t="n">
        <f aca="false">a25_ni</f>
        <v>15.116</v>
      </c>
      <c r="D688" s="22" t="n">
        <f aca="false">a26_ni</f>
        <v>24.8343420979946</v>
      </c>
      <c r="E688" s="22" t="n">
        <f aca="false">(E684+E686)*E687</f>
        <v>40.8216053520037</v>
      </c>
      <c r="F688" s="22" t="n">
        <f aca="false">(F684+F686)*F687</f>
        <v>45.7355118879491</v>
      </c>
      <c r="G688" s="22" t="n">
        <f aca="false">(G684+G686)*G687</f>
        <v>55.9577155854854</v>
      </c>
      <c r="H688" s="24" t="n">
        <f aca="false">H672*H692</f>
        <v>57.5560786813038</v>
      </c>
      <c r="I688" s="24" t="n">
        <f aca="false">I672*I692</f>
        <v>56.5263443987662</v>
      </c>
      <c r="J688" s="24" t="n">
        <f aca="false">J672*J692</f>
        <v>52.8332888980764</v>
      </c>
    </row>
    <row r="689" customFormat="false" ht="15" hidden="false" customHeight="false" outlineLevel="0" collapsed="false">
      <c r="A689" s="4" t="s">
        <v>529</v>
      </c>
      <c r="B689" s="4" t="s">
        <v>231</v>
      </c>
      <c r="C689" s="27" t="n">
        <f aca="false">a25_sh</f>
        <v>2.27650602409639</v>
      </c>
      <c r="D689" s="27" t="n">
        <f aca="false">a26_sh</f>
        <v>2.26895833333333</v>
      </c>
      <c r="E689" s="27" t="n">
        <f aca="false">D689*(1+sh_g)</f>
        <v>2.26895833333333</v>
      </c>
      <c r="F689" s="27" t="n">
        <f aca="false">E689*(1+sh_g)</f>
        <v>2.26895833333333</v>
      </c>
      <c r="G689" s="27" t="n">
        <f aca="false">F689*(1+sh_g)</f>
        <v>2.26895833333333</v>
      </c>
      <c r="H689" s="29" t="n">
        <f aca="false">G689*(1+sh_g)</f>
        <v>2.26895833333333</v>
      </c>
      <c r="I689" s="29" t="n">
        <f aca="false">H689*(1+sh_g)</f>
        <v>2.26895833333333</v>
      </c>
      <c r="J689" s="29" t="n">
        <f aca="false">I689*(1+sh_g)</f>
        <v>2.26895833333333</v>
      </c>
    </row>
    <row r="690" customFormat="false" ht="15" hidden="false" customHeight="false" outlineLevel="0" collapsed="false">
      <c r="A690" s="0" t="s">
        <v>410</v>
      </c>
      <c r="B690" s="0" t="s">
        <v>264</v>
      </c>
      <c r="C690" s="23" t="n">
        <f aca="false">C688/C689</f>
        <v>6.64</v>
      </c>
      <c r="D690" s="23" t="n">
        <f aca="false">D688/D689</f>
        <v>10.9452614149641</v>
      </c>
      <c r="E690" s="23" t="n">
        <f aca="false">E688/E689</f>
        <v>17.9913419970267</v>
      </c>
      <c r="F690" s="23" t="n">
        <f aca="false">F688/F689</f>
        <v>20.1570523424989</v>
      </c>
      <c r="G690" s="23" t="n">
        <f aca="false">G688/G689</f>
        <v>24.662293160438</v>
      </c>
      <c r="H690" s="30" t="n">
        <f aca="false">H688/H689</f>
        <v>25.3667411321511</v>
      </c>
      <c r="I690" s="30" t="n">
        <f aca="false">I688/I689</f>
        <v>24.9129054369735</v>
      </c>
      <c r="J690" s="30" t="n">
        <f aca="false">J688/J689</f>
        <v>23.28526184104</v>
      </c>
    </row>
    <row r="691" customFormat="false" ht="17.15" hidden="false" customHeight="false" outlineLevel="0" collapsed="false">
      <c r="A691" s="0" t="s">
        <v>530</v>
      </c>
      <c r="B691" s="0" t="s">
        <v>53</v>
      </c>
      <c r="D691" s="17" t="n">
        <f aca="false">D690/C690-1</f>
        <v>0.648382743217484</v>
      </c>
      <c r="E691" s="17" t="n">
        <f aca="false">E690/D690-1</f>
        <v>0.643756262635205</v>
      </c>
      <c r="F691" s="17" t="n">
        <f aca="false">F690/E690-1</f>
        <v>0.120375141878251</v>
      </c>
      <c r="G691" s="17" t="n">
        <f aca="false">G690/F690-1</f>
        <v>0.223506926577764</v>
      </c>
      <c r="H691" s="25" t="n">
        <f aca="false">H690/G690-1</f>
        <v>0.0285637660346694</v>
      </c>
      <c r="I691" s="25" t="n">
        <f aca="false">I690/H690-1</f>
        <v>-0.0178909735709991</v>
      </c>
      <c r="J691" s="25" t="n">
        <f aca="false">J690/I690-1</f>
        <v>-0.0653333510236761</v>
      </c>
    </row>
    <row r="692" customFormat="false" ht="17.15" hidden="false" customHeight="false" outlineLevel="0" collapsed="false">
      <c r="A692" s="4" t="s">
        <v>531</v>
      </c>
      <c r="B692" s="0" t="s">
        <v>53</v>
      </c>
      <c r="C692" s="17" t="n">
        <f aca="false">C688/C672</f>
        <v>0.0910136375952073</v>
      </c>
      <c r="D692" s="17" t="n">
        <f aca="false">D688/D672</f>
        <v>0.116740330417472</v>
      </c>
      <c r="E692" s="17" t="n">
        <f aca="false">E688/E672</f>
        <v>0.132784791679983</v>
      </c>
      <c r="F692" s="17" t="n">
        <f aca="false">F688/F672</f>
        <v>0.136464834279352</v>
      </c>
      <c r="G692" s="17" t="n">
        <f aca="false">G688/G672</f>
        <v>0.143350511067287</v>
      </c>
      <c r="H692" s="25" t="n">
        <f aca="false">$G692+(fade_mB-$G692)*1/3</f>
        <v>0.131277278704935</v>
      </c>
      <c r="I692" s="25" t="n">
        <f aca="false">$G692+(fade_mB-$G692)*2/3</f>
        <v>0.119204046342584</v>
      </c>
      <c r="J692" s="25" t="n">
        <f aca="false">$G692+(fade_mB-$G692)*3/3</f>
        <v>0.107130813980232</v>
      </c>
    </row>
    <row r="695" customFormat="false" ht="17.15" hidden="false" customHeight="false" outlineLevel="0" collapsed="false">
      <c r="A695" s="1" t="s">
        <v>875</v>
      </c>
    </row>
    <row r="696" customFormat="false" ht="17.15" hidden="false" customHeight="false" outlineLevel="0" collapsed="false">
      <c r="A696" s="5" t="s">
        <v>22</v>
      </c>
      <c r="B696" s="5" t="s">
        <v>23</v>
      </c>
      <c r="C696" s="14" t="s">
        <v>378</v>
      </c>
      <c r="D696" s="14" t="s">
        <v>476</v>
      </c>
      <c r="E696" s="14" t="s">
        <v>477</v>
      </c>
      <c r="F696" s="14" t="s">
        <v>478</v>
      </c>
      <c r="G696" s="14" t="s">
        <v>479</v>
      </c>
      <c r="H696" s="14" t="s">
        <v>480</v>
      </c>
      <c r="I696" s="14" t="s">
        <v>481</v>
      </c>
      <c r="J696" s="14" t="s">
        <v>482</v>
      </c>
      <c r="K696" s="5" t="s">
        <v>449</v>
      </c>
    </row>
    <row r="697" customFormat="false" ht="17.15" hidden="false" customHeight="false" outlineLevel="0" collapsed="false">
      <c r="A697" s="6" t="s">
        <v>501</v>
      </c>
    </row>
    <row r="698" customFormat="false" ht="17.15" hidden="false" customHeight="false" outlineLevel="0" collapsed="false">
      <c r="A698" s="0" t="s">
        <v>502</v>
      </c>
      <c r="B698" s="0" t="s">
        <v>33</v>
      </c>
      <c r="D698" s="23" t="n">
        <f aca="false">itc_26*1</f>
        <v>781.872916666666</v>
      </c>
      <c r="E698" s="23" t="n">
        <f aca="false">itc_27*1*1</f>
        <v>1565.35</v>
      </c>
      <c r="F698" s="23" t="n">
        <f aca="false">itc_28*um28_B*1</f>
        <v>1587.41111111111</v>
      </c>
      <c r="G698" s="23" t="n">
        <f aca="false">itc_29*um29_B*1</f>
        <v>1921.33173611111</v>
      </c>
    </row>
    <row r="699" customFormat="false" ht="17.15" hidden="false" customHeight="false" outlineLevel="0" collapsed="false">
      <c r="A699" s="4" t="s">
        <v>503</v>
      </c>
      <c r="B699" s="0" t="s">
        <v>33</v>
      </c>
      <c r="D699" s="23" t="n">
        <f aca="false">itpg_gb*(1-vr26)+itpg_vr*vr26</f>
        <v>33.41403216</v>
      </c>
      <c r="E699" s="23" t="n">
        <f aca="false">itpg_vr</f>
        <v>37.586352</v>
      </c>
      <c r="F699" s="23" t="n">
        <f aca="false">itpg_vr</f>
        <v>37.586352</v>
      </c>
      <c r="G699" s="23" t="n">
        <f aca="false">itpg_vr</f>
        <v>37.586352</v>
      </c>
    </row>
    <row r="700" customFormat="false" ht="17.15" hidden="false" customHeight="false" outlineLevel="0" collapsed="false">
      <c r="A700" s="4" t="s">
        <v>504</v>
      </c>
      <c r="B700" s="0" t="s">
        <v>451</v>
      </c>
      <c r="D700" s="20" t="n">
        <f aca="false">D698/D699</f>
        <v>23.3995380420639</v>
      </c>
      <c r="E700" s="20" t="n">
        <f aca="false">E698/E699</f>
        <v>41.6467658260637</v>
      </c>
      <c r="F700" s="20" t="n">
        <f aca="false">F698/F699</f>
        <v>42.2337105529984</v>
      </c>
      <c r="G700" s="20" t="n">
        <f aca="false">G698/G699</f>
        <v>51.1178029756948</v>
      </c>
    </row>
    <row r="701" customFormat="false" ht="17.15" hidden="false" customHeight="false" outlineLevel="0" collapsed="false">
      <c r="A701" s="0" t="s">
        <v>453</v>
      </c>
      <c r="B701" s="0" t="s">
        <v>91</v>
      </c>
      <c r="D701" s="21" t="n">
        <f aca="false">pkw_26</f>
        <v>450</v>
      </c>
      <c r="E701" s="21" t="n">
        <f aca="false">pkw_27</f>
        <v>600</v>
      </c>
      <c r="F701" s="21" t="n">
        <f aca="false">pkw_28</f>
        <v>680</v>
      </c>
      <c r="G701" s="21" t="n">
        <f aca="false">pkw_29</f>
        <v>720</v>
      </c>
    </row>
    <row r="702" customFormat="false" ht="17.15" hidden="false" customHeight="false" outlineLevel="0" collapsed="false">
      <c r="A702" s="0" t="s">
        <v>505</v>
      </c>
      <c r="B702" s="0" t="s">
        <v>33</v>
      </c>
      <c r="D702" s="23" t="n">
        <f aca="false">D700*D701/1000</f>
        <v>10.5297921189287</v>
      </c>
      <c r="E702" s="23" t="n">
        <f aca="false">E700*E701/1000</f>
        <v>24.9880594956382</v>
      </c>
      <c r="F702" s="23" t="n">
        <f aca="false">F700*F701/1000</f>
        <v>28.7189231760389</v>
      </c>
      <c r="G702" s="23" t="n">
        <f aca="false">G700*G701/1000</f>
        <v>36.8048181425003</v>
      </c>
    </row>
    <row r="703" customFormat="false" ht="17.15" hidden="false" customHeight="false" outlineLevel="0" collapsed="false">
      <c r="A703" s="0" t="s">
        <v>506</v>
      </c>
      <c r="B703" s="0" t="s">
        <v>138</v>
      </c>
      <c r="D703" s="22" t="n">
        <f aca="false">D702*fx</f>
        <v>336.95334780572</v>
      </c>
      <c r="E703" s="22" t="n">
        <f aca="false">E702*fx</f>
        <v>799.617903860422</v>
      </c>
      <c r="F703" s="22" t="n">
        <f aca="false">F702*fx</f>
        <v>919.005541633245</v>
      </c>
      <c r="G703" s="22" t="n">
        <f aca="false">G702*fx</f>
        <v>1177.75418056001</v>
      </c>
    </row>
    <row r="704" customFormat="false" ht="17.15" hidden="false" customHeight="false" outlineLevel="0" collapsed="false">
      <c r="A704" s="4" t="s">
        <v>507</v>
      </c>
      <c r="B704" s="0" t="s">
        <v>53</v>
      </c>
      <c r="D704" s="17" t="n">
        <f aca="false">a26_aip/D703</f>
        <v>0.176143316327046</v>
      </c>
      <c r="K704" s="8" t="s">
        <v>508</v>
      </c>
    </row>
    <row r="705" customFormat="false" ht="17.15" hidden="false" customHeight="false" outlineLevel="0" collapsed="false">
      <c r="A705" s="4" t="s">
        <v>509</v>
      </c>
      <c r="B705" s="0" t="s">
        <v>64</v>
      </c>
      <c r="D705" s="18" t="n">
        <f aca="false">1</f>
        <v>1</v>
      </c>
      <c r="E705" s="18" t="n">
        <f aca="false">rel_27</f>
        <v>1</v>
      </c>
      <c r="F705" s="18" t="n">
        <f aca="false">rel_28</f>
        <v>1</v>
      </c>
      <c r="G705" s="18" t="n">
        <f aca="false">rel_29</f>
        <v>1</v>
      </c>
    </row>
    <row r="706" customFormat="false" ht="15" hidden="false" customHeight="false" outlineLevel="0" collapsed="false">
      <c r="A706" s="4" t="s">
        <v>459</v>
      </c>
      <c r="B706" s="0" t="s">
        <v>53</v>
      </c>
      <c r="D706" s="17" t="n">
        <f aca="false">$D$704*D705</f>
        <v>0.176143316327046</v>
      </c>
      <c r="E706" s="17" t="n">
        <f aca="false">$D$704*E705</f>
        <v>0.176143316327046</v>
      </c>
      <c r="F706" s="17" t="n">
        <f aca="false">$D$704*F705</f>
        <v>0.176143316327046</v>
      </c>
      <c r="G706" s="17" t="n">
        <f aca="false">$D$704*G705</f>
        <v>0.176143316327046</v>
      </c>
    </row>
    <row r="707" customFormat="false" ht="17.15" hidden="false" customHeight="false" outlineLevel="0" collapsed="false">
      <c r="A707" s="0" t="s">
        <v>510</v>
      </c>
      <c r="B707" s="0" t="s">
        <v>138</v>
      </c>
      <c r="C707" s="22" t="n">
        <f aca="false">a25_aip</f>
        <v>31.390065</v>
      </c>
      <c r="D707" s="22" t="n">
        <f aca="false">D703*D706</f>
        <v>59.35208013</v>
      </c>
      <c r="E707" s="22" t="n">
        <f aca="false">E703*E706</f>
        <v>140.847349380456</v>
      </c>
      <c r="F707" s="22" t="n">
        <f aca="false">F703*F706</f>
        <v>161.876683826213</v>
      </c>
      <c r="G707" s="22" t="n">
        <f aca="false">G703*G706</f>
        <v>207.453527181882</v>
      </c>
    </row>
    <row r="708" customFormat="false" ht="17.15" hidden="false" customHeight="false" outlineLevel="0" collapsed="false">
      <c r="A708" s="0" t="s">
        <v>511</v>
      </c>
      <c r="B708" s="0" t="s">
        <v>138</v>
      </c>
      <c r="C708" s="22" t="n">
        <f aca="false">a25_ai</f>
        <v>34.87785</v>
      </c>
      <c r="D708" s="22" t="n">
        <f aca="false">D707/(1-x_np)</f>
        <v>65.9467557</v>
      </c>
      <c r="E708" s="22" t="n">
        <f aca="false">E707/(1-x_np)</f>
        <v>156.497054867173</v>
      </c>
      <c r="F708" s="22" t="n">
        <f aca="false">F707/(1-x_np)</f>
        <v>179.862982029125</v>
      </c>
      <c r="G708" s="22" t="n">
        <f aca="false">G707/(1-x_np)</f>
        <v>230.50391909098</v>
      </c>
      <c r="K708" s="4" t="s">
        <v>512</v>
      </c>
    </row>
    <row r="709" customFormat="false" ht="17.15" hidden="false" customHeight="false" outlineLevel="0" collapsed="false">
      <c r="A709" s="6" t="s">
        <v>513</v>
      </c>
    </row>
    <row r="710" customFormat="false" ht="17.15" hidden="false" customHeight="false" outlineLevel="0" collapsed="false">
      <c r="A710" s="4" t="s">
        <v>514</v>
      </c>
      <c r="B710" s="0" t="s">
        <v>138</v>
      </c>
      <c r="C710" s="22" t="n">
        <f aca="false">a25_cn</f>
        <v>39.8604</v>
      </c>
      <c r="D710" s="22" t="n">
        <f aca="false">a26_cn</f>
        <v>50.0315607365079</v>
      </c>
      <c r="E710" s="22" t="n">
        <f aca="false">D710*(1+g_cn27)</f>
        <v>52.5331387733333</v>
      </c>
      <c r="F710" s="22" t="n">
        <f aca="false">E710*(1+g_cn28)</f>
        <v>55.159795712</v>
      </c>
      <c r="G710" s="22" t="n">
        <f aca="false">F710*(1+g_cn29)</f>
        <v>57.9177854976</v>
      </c>
      <c r="K710" s="4" t="s">
        <v>515</v>
      </c>
    </row>
    <row r="711" customFormat="false" ht="17.15" hidden="false" customHeight="false" outlineLevel="0" collapsed="false">
      <c r="A711" s="4" t="s">
        <v>431</v>
      </c>
      <c r="B711" s="0" t="s">
        <v>138</v>
      </c>
      <c r="C711" s="22" t="n">
        <f aca="false">C708+C710</f>
        <v>74.73825</v>
      </c>
      <c r="D711" s="22" t="n">
        <f aca="false">D708+D710</f>
        <v>115.978316436508</v>
      </c>
      <c r="E711" s="22" t="n">
        <f aca="false">E708+E710</f>
        <v>209.030193640506</v>
      </c>
      <c r="F711" s="22" t="n">
        <f aca="false">F708+F710</f>
        <v>235.022777741125</v>
      </c>
      <c r="G711" s="22" t="n">
        <f aca="false">G708+G710</f>
        <v>288.42170458858</v>
      </c>
      <c r="K711" s="4" t="s">
        <v>516</v>
      </c>
    </row>
    <row r="712" customFormat="false" ht="15" hidden="false" customHeight="false" outlineLevel="0" collapsed="false">
      <c r="A712" s="4" t="s">
        <v>435</v>
      </c>
      <c r="B712" s="0" t="s">
        <v>138</v>
      </c>
      <c r="C712" s="22" t="n">
        <f aca="false">a25_op</f>
        <v>28.23445</v>
      </c>
      <c r="D712" s="22" t="n">
        <f aca="false">a26_op</f>
        <v>32.8693205828571</v>
      </c>
      <c r="E712" s="22" t="n">
        <f aca="false">D712*(1+g_op27)</f>
        <v>34.512786612</v>
      </c>
      <c r="F712" s="22" t="n">
        <f aca="false">E712*(1+g_op28)</f>
        <v>36.2384259426</v>
      </c>
      <c r="G712" s="22" t="n">
        <f aca="false">F712*(1+g_op29)</f>
        <v>38.05034723973</v>
      </c>
    </row>
    <row r="713" customFormat="false" ht="15" hidden="false" customHeight="false" outlineLevel="0" collapsed="false">
      <c r="A713" s="4" t="s">
        <v>436</v>
      </c>
      <c r="B713" s="0" t="s">
        <v>138</v>
      </c>
      <c r="C713" s="22" t="n">
        <f aca="false">a25_ic</f>
        <v>63.1123</v>
      </c>
      <c r="D713" s="22" t="n">
        <f aca="false">a26_ic</f>
        <v>63.8838329806349</v>
      </c>
      <c r="E713" s="22" t="n">
        <f aca="false">D713*(1+g_ic27)</f>
        <v>63.8838329806349</v>
      </c>
      <c r="F713" s="22" t="n">
        <f aca="false">E713*(1+g_ic28)</f>
        <v>63.8838329806349</v>
      </c>
      <c r="G713" s="22" t="n">
        <f aca="false">F713*(1+g_ic29)</f>
        <v>63.8838329806349</v>
      </c>
    </row>
    <row r="714" customFormat="false" ht="17.15" hidden="false" customHeight="false" outlineLevel="0" collapsed="false">
      <c r="A714" s="4" t="s">
        <v>517</v>
      </c>
      <c r="B714" s="0" t="s">
        <v>138</v>
      </c>
      <c r="C714" s="22" t="n">
        <f aca="false">C710+C712+C713</f>
        <v>131.20715</v>
      </c>
      <c r="D714" s="22" t="n">
        <f aca="false">D710+D712+D713</f>
        <v>146.7847143</v>
      </c>
      <c r="E714" s="22" t="n">
        <f aca="false">E710+E712+E713</f>
        <v>150.929758365968</v>
      </c>
      <c r="F714" s="22" t="n">
        <f aca="false">F710+F712+F713</f>
        <v>155.282054635235</v>
      </c>
      <c r="G714" s="22" t="n">
        <f aca="false">G710+G712+G713</f>
        <v>159.851965717965</v>
      </c>
    </row>
    <row r="715" customFormat="false" ht="17.15" hidden="false" customHeight="false" outlineLevel="0" collapsed="false">
      <c r="A715" s="4" t="s">
        <v>383</v>
      </c>
      <c r="B715" s="0" t="s">
        <v>138</v>
      </c>
      <c r="C715" s="22" t="n">
        <f aca="false">C711+C712+C713</f>
        <v>166.085</v>
      </c>
      <c r="D715" s="22" t="n">
        <f aca="false">D711+D712+D713</f>
        <v>212.73147</v>
      </c>
      <c r="E715" s="22" t="n">
        <f aca="false">E711+E712+E713</f>
        <v>307.426813233141</v>
      </c>
      <c r="F715" s="22" t="n">
        <f aca="false">F711+F712+F713</f>
        <v>335.14503666436</v>
      </c>
      <c r="G715" s="22" t="n">
        <f aca="false">G711+G712+G713</f>
        <v>390.355884808945</v>
      </c>
      <c r="H715" s="24" t="n">
        <f aca="false">G715*(1+H717)</f>
        <v>438.431381645786</v>
      </c>
      <c r="I715" s="24" t="n">
        <f aca="false">H715*(1+I717)</f>
        <v>474.198201597232</v>
      </c>
      <c r="J715" s="24" t="n">
        <f aca="false">I715*(1+J717)</f>
        <v>493.166129661121</v>
      </c>
      <c r="K715" s="8" t="s">
        <v>518</v>
      </c>
    </row>
    <row r="716" customFormat="false" ht="17.15" hidden="false" customHeight="false" outlineLevel="0" collapsed="false">
      <c r="A716" s="4" t="s">
        <v>519</v>
      </c>
      <c r="B716" s="0" t="s">
        <v>138</v>
      </c>
      <c r="C716" s="28" t="n">
        <f aca="false">C715-a25_rev</f>
        <v>0</v>
      </c>
      <c r="D716" s="28" t="n">
        <f aca="false">D715-a26_rev</f>
        <v>0</v>
      </c>
    </row>
    <row r="717" customFormat="false" ht="15" hidden="false" customHeight="false" outlineLevel="0" collapsed="false">
      <c r="A717" s="4" t="s">
        <v>520</v>
      </c>
      <c r="B717" s="0" t="s">
        <v>53</v>
      </c>
      <c r="D717" s="17" t="n">
        <f aca="false">D715/C715-1</f>
        <v>0.280859017972725</v>
      </c>
      <c r="E717" s="17" t="n">
        <f aca="false">E715/D715-1</f>
        <v>0.445140266426689</v>
      </c>
      <c r="F717" s="17" t="n">
        <f aca="false">F715/E715-1</f>
        <v>0.0901620230835185</v>
      </c>
      <c r="G717" s="17" t="n">
        <f aca="false">G715/F715-1</f>
        <v>0.164737179741908</v>
      </c>
      <c r="H717" s="25" t="n">
        <f aca="false">$G717+(fade_gB-$G717)*1/3</f>
        <v>0.123158119827938</v>
      </c>
      <c r="I717" s="25" t="n">
        <f aca="false">$G717+(fade_gB-$G717)*2/3</f>
        <v>0.0815790599139692</v>
      </c>
      <c r="J717" s="25" t="n">
        <f aca="false">$G717+(fade_gB-$G717)*3/3</f>
        <v>0.04</v>
      </c>
    </row>
    <row r="718" customFormat="false" ht="17.15" hidden="false" customHeight="false" outlineLevel="0" collapsed="false">
      <c r="A718" s="0" t="s">
        <v>521</v>
      </c>
      <c r="B718" s="0" t="s">
        <v>53</v>
      </c>
      <c r="C718" s="17" t="n">
        <f aca="false">C708/C715</f>
        <v>0.21</v>
      </c>
      <c r="D718" s="17" t="n">
        <f aca="false">D708/D715</f>
        <v>0.31</v>
      </c>
      <c r="E718" s="17" t="n">
        <f aca="false">E708/E715</f>
        <v>0.509054669699521</v>
      </c>
      <c r="F718" s="17" t="n">
        <f aca="false">F708/F715</f>
        <v>0.53667207433316</v>
      </c>
      <c r="G718" s="17" t="n">
        <f aca="false">G708/G715</f>
        <v>0.590496846752541</v>
      </c>
    </row>
    <row r="719" customFormat="false" ht="17.15" hidden="false" customHeight="false" outlineLevel="0" collapsed="false">
      <c r="A719" s="4" t="s">
        <v>470</v>
      </c>
      <c r="B719" s="0" t="s">
        <v>471</v>
      </c>
      <c r="D719" s="21" t="n">
        <f aca="false">D708/fx/D700*1000</f>
        <v>88.0716581635229</v>
      </c>
      <c r="E719" s="21" t="n">
        <f aca="false">E708/fx/E700*1000</f>
        <v>117.428877551364</v>
      </c>
      <c r="F719" s="21" t="n">
        <f aca="false">F708/fx/F700*1000</f>
        <v>133.086061224879</v>
      </c>
      <c r="G719" s="21" t="n">
        <f aca="false">G708/fx/G700*1000</f>
        <v>140.914653061637</v>
      </c>
    </row>
    <row r="720" customFormat="false" ht="17.15" hidden="false" customHeight="false" outlineLevel="0" collapsed="false">
      <c r="A720" s="6" t="s">
        <v>522</v>
      </c>
    </row>
    <row r="721" customFormat="false" ht="17.15" hidden="false" customHeight="false" outlineLevel="0" collapsed="false">
      <c r="A721" s="4" t="s">
        <v>523</v>
      </c>
      <c r="B721" s="0" t="s">
        <v>53</v>
      </c>
      <c r="D721" s="17" t="n">
        <f aca="false">a26_gp/D715-d_ai*D718</f>
        <v>0.216982337009188</v>
      </c>
      <c r="K721" s="8" t="s">
        <v>524</v>
      </c>
    </row>
    <row r="722" customFormat="false" ht="17.15" hidden="false" customHeight="false" outlineLevel="0" collapsed="false">
      <c r="A722" s="0" t="s">
        <v>525</v>
      </c>
      <c r="B722" s="0" t="s">
        <v>53</v>
      </c>
      <c r="D722" s="17" t="n">
        <f aca="false">D721+d_ai</f>
        <v>0.336982337009188</v>
      </c>
      <c r="E722" s="17" t="n">
        <f aca="false">$D$722+gmu_27</f>
        <v>0.336982337009188</v>
      </c>
      <c r="F722" s="17" t="n">
        <f aca="false">$D$722+gmu_28</f>
        <v>0.336982337009188</v>
      </c>
      <c r="G722" s="17" t="n">
        <f aca="false">$D$722+gmu_29</f>
        <v>0.336982337009188</v>
      </c>
      <c r="K722" s="4" t="s">
        <v>526</v>
      </c>
    </row>
    <row r="723" customFormat="false" ht="15" hidden="false" customHeight="false" outlineLevel="0" collapsed="false">
      <c r="A723" s="4" t="s">
        <v>387</v>
      </c>
      <c r="B723" s="0" t="s">
        <v>138</v>
      </c>
      <c r="C723" s="22" t="n">
        <f aca="false">a25_gp</f>
        <v>38.039</v>
      </c>
      <c r="D723" s="22" t="n">
        <f aca="false">a26_gp</f>
        <v>54.0725822</v>
      </c>
      <c r="E723" s="22" t="n">
        <f aca="false">E708*E722+E714*$D$721</f>
        <v>85.485834978675</v>
      </c>
      <c r="F723" s="22" t="n">
        <f aca="false">F708*F722+F714*$D$721</f>
        <v>94.304111135958</v>
      </c>
      <c r="G723" s="22" t="n">
        <f aca="false">G708*G722+G714*$D$721</f>
        <v>112.360802442052</v>
      </c>
    </row>
    <row r="724" customFormat="false" ht="15" hidden="false" customHeight="false" outlineLevel="0" collapsed="false">
      <c r="A724" s="4" t="s">
        <v>390</v>
      </c>
      <c r="B724" s="0" t="s">
        <v>53</v>
      </c>
      <c r="C724" s="17" t="n">
        <f aca="false">C723/C715</f>
        <v>0.229033326308818</v>
      </c>
      <c r="D724" s="17" t="n">
        <f aca="false">D723/D715</f>
        <v>0.254182337009188</v>
      </c>
      <c r="E724" s="17" t="n">
        <f aca="false">E723/E715</f>
        <v>0.278068897373131</v>
      </c>
      <c r="F724" s="17" t="n">
        <f aca="false">F723/F715</f>
        <v>0.281382985929168</v>
      </c>
      <c r="G724" s="17" t="n">
        <f aca="false">G723/G715</f>
        <v>0.287841958619493</v>
      </c>
    </row>
    <row r="725" customFormat="false" ht="15" hidden="false" customHeight="false" outlineLevel="0" collapsed="false">
      <c r="A725" s="4" t="s">
        <v>527</v>
      </c>
      <c r="B725" s="0" t="s">
        <v>138</v>
      </c>
      <c r="C725" s="22" t="n">
        <f aca="false">a25_opx</f>
        <v>21.301</v>
      </c>
      <c r="D725" s="22" t="n">
        <f aca="false">a26_opx</f>
        <v>25.21033346</v>
      </c>
      <c r="E725" s="22" t="n">
        <f aca="false">D725*(1+MAX(0,phi*E717))</f>
        <v>33.0658276471631</v>
      </c>
      <c r="F725" s="22" t="n">
        <f aca="false">E725*(1+MAX(0,phi*F717))</f>
        <v>35.1527249880825</v>
      </c>
      <c r="G725" s="22" t="n">
        <f aca="false">F725*(1+MAX(0,phi*G717))</f>
        <v>39.2063975304282</v>
      </c>
    </row>
    <row r="726" customFormat="false" ht="15" hidden="false" customHeight="false" outlineLevel="0" collapsed="false">
      <c r="A726" s="4" t="s">
        <v>392</v>
      </c>
      <c r="B726" s="0" t="s">
        <v>138</v>
      </c>
      <c r="C726" s="22" t="n">
        <f aca="false">C725</f>
        <v>21.301</v>
      </c>
      <c r="D726" s="22" t="n">
        <f aca="false">D725</f>
        <v>25.21033346</v>
      </c>
      <c r="E726" s="22" t="n">
        <f aca="false">E725+0*E715</f>
        <v>33.0658276471631</v>
      </c>
      <c r="F726" s="22" t="n">
        <f aca="false">F725+0*F715</f>
        <v>35.1527249880825</v>
      </c>
      <c r="G726" s="22" t="n">
        <f aca="false">G725+0*G715</f>
        <v>39.2063975304282</v>
      </c>
    </row>
    <row r="727" customFormat="false" ht="15" hidden="false" customHeight="false" outlineLevel="0" collapsed="false">
      <c r="A727" s="4" t="s">
        <v>395</v>
      </c>
      <c r="B727" s="0" t="s">
        <v>138</v>
      </c>
      <c r="C727" s="22" t="n">
        <f aca="false">C723-C726</f>
        <v>16.738</v>
      </c>
      <c r="D727" s="22" t="n">
        <f aca="false">D723-D726</f>
        <v>28.86224874</v>
      </c>
      <c r="E727" s="22" t="n">
        <f aca="false">E723-E726</f>
        <v>52.4200073315119</v>
      </c>
      <c r="F727" s="22" t="n">
        <f aca="false">F723-F726</f>
        <v>59.1513861478755</v>
      </c>
      <c r="G727" s="22" t="n">
        <f aca="false">G723-G726</f>
        <v>73.1544049116238</v>
      </c>
    </row>
    <row r="728" customFormat="false" ht="15" hidden="false" customHeight="false" outlineLevel="0" collapsed="false">
      <c r="A728" s="4" t="s">
        <v>397</v>
      </c>
      <c r="B728" s="0" t="s">
        <v>53</v>
      </c>
      <c r="C728" s="17" t="n">
        <f aca="false">C727/C715</f>
        <v>0.100779721227083</v>
      </c>
      <c r="D728" s="17" t="n">
        <f aca="false">D727/D715</f>
        <v>0.135674560703219</v>
      </c>
      <c r="E728" s="17" t="n">
        <f aca="false">E727/E715</f>
        <v>0.170512151429545</v>
      </c>
      <c r="F728" s="17" t="n">
        <f aca="false">F727/F715</f>
        <v>0.176494889307026</v>
      </c>
      <c r="G728" s="17" t="n">
        <f aca="false">G727/G715</f>
        <v>0.187404385993639</v>
      </c>
    </row>
    <row r="729" customFormat="false" ht="15" hidden="false" customHeight="false" outlineLevel="0" collapsed="false">
      <c r="A729" s="4" t="s">
        <v>399</v>
      </c>
      <c r="B729" s="0" t="s">
        <v>138</v>
      </c>
      <c r="C729" s="22" t="n">
        <f aca="false">a25_nop</f>
        <v>2.9762895</v>
      </c>
      <c r="D729" s="22" t="n">
        <f aca="false">a26_nop</f>
        <v>3.839</v>
      </c>
      <c r="E729" s="22" t="n">
        <f aca="false">nop_f</f>
        <v>3.5</v>
      </c>
      <c r="F729" s="22" t="n">
        <f aca="false">nop_f</f>
        <v>3.5</v>
      </c>
      <c r="G729" s="22" t="n">
        <f aca="false">nop_f</f>
        <v>3.5</v>
      </c>
    </row>
    <row r="730" customFormat="false" ht="17.15" hidden="false" customHeight="false" outlineLevel="0" collapsed="false">
      <c r="A730" s="4" t="s">
        <v>528</v>
      </c>
      <c r="B730" s="0" t="s">
        <v>53</v>
      </c>
      <c r="C730" s="17" t="n">
        <f aca="false">a25_ni/a25_pt</f>
        <v>0.766753475949514</v>
      </c>
      <c r="D730" s="17" t="n">
        <f aca="false">a26_ni/a26_pt</f>
        <v>0.759431002022174</v>
      </c>
      <c r="E730" s="17" t="n">
        <f aca="false">nir_f_hi</f>
        <v>0.78</v>
      </c>
      <c r="F730" s="17" t="n">
        <f aca="false">nir_f_hi</f>
        <v>0.78</v>
      </c>
      <c r="G730" s="17" t="n">
        <f aca="false">nir_f_hi</f>
        <v>0.78</v>
      </c>
    </row>
    <row r="731" customFormat="false" ht="15" hidden="false" customHeight="false" outlineLevel="0" collapsed="false">
      <c r="A731" s="4" t="s">
        <v>404</v>
      </c>
      <c r="B731" s="0" t="s">
        <v>138</v>
      </c>
      <c r="C731" s="22" t="n">
        <f aca="false">a25_ni</f>
        <v>15.116</v>
      </c>
      <c r="D731" s="22" t="n">
        <f aca="false">a26_ni</f>
        <v>24.8343420979946</v>
      </c>
      <c r="E731" s="22" t="n">
        <f aca="false">(E727+E729)*E730</f>
        <v>43.6176057185793</v>
      </c>
      <c r="F731" s="22" t="n">
        <f aca="false">(F727+F729)*F730</f>
        <v>48.8680811953429</v>
      </c>
      <c r="G731" s="22" t="n">
        <f aca="false">(G727+G729)*G730</f>
        <v>59.7904358310666</v>
      </c>
      <c r="H731" s="24" t="n">
        <f aca="false">H715*H735</f>
        <v>60.4259125912061</v>
      </c>
      <c r="I731" s="24" t="n">
        <f aca="false">I715*I735</f>
        <v>58.0783205299569</v>
      </c>
      <c r="J731" s="24" t="n">
        <f aca="false">J715*J735</f>
        <v>52.8332888980764</v>
      </c>
    </row>
    <row r="732" customFormat="false" ht="15" hidden="false" customHeight="false" outlineLevel="0" collapsed="false">
      <c r="A732" s="4" t="s">
        <v>529</v>
      </c>
      <c r="B732" s="4" t="s">
        <v>231</v>
      </c>
      <c r="C732" s="27" t="n">
        <f aca="false">a25_sh</f>
        <v>2.27650602409639</v>
      </c>
      <c r="D732" s="27" t="n">
        <f aca="false">a26_sh</f>
        <v>2.26895833333333</v>
      </c>
      <c r="E732" s="27" t="n">
        <f aca="false">D732*(1+sh_g)</f>
        <v>2.26895833333333</v>
      </c>
      <c r="F732" s="27" t="n">
        <f aca="false">E732*(1+sh_g)</f>
        <v>2.26895833333333</v>
      </c>
      <c r="G732" s="27" t="n">
        <f aca="false">F732*(1+sh_g)</f>
        <v>2.26895833333333</v>
      </c>
      <c r="H732" s="29" t="n">
        <f aca="false">G732*(1+sh_g)</f>
        <v>2.26895833333333</v>
      </c>
      <c r="I732" s="29" t="n">
        <f aca="false">H732*(1+sh_g)</f>
        <v>2.26895833333333</v>
      </c>
      <c r="J732" s="29" t="n">
        <f aca="false">I732*(1+sh_g)</f>
        <v>2.26895833333333</v>
      </c>
    </row>
    <row r="733" customFormat="false" ht="15" hidden="false" customHeight="false" outlineLevel="0" collapsed="false">
      <c r="A733" s="0" t="s">
        <v>410</v>
      </c>
      <c r="B733" s="0" t="s">
        <v>264</v>
      </c>
      <c r="C733" s="23" t="n">
        <f aca="false">C731/C732</f>
        <v>6.64</v>
      </c>
      <c r="D733" s="23" t="n">
        <f aca="false">D731/D732</f>
        <v>10.9452614149641</v>
      </c>
      <c r="E733" s="23" t="n">
        <f aca="false">E731/E732</f>
        <v>19.2236256954532</v>
      </c>
      <c r="F733" s="23" t="n">
        <f aca="false">F731/F732</f>
        <v>21.5376723659578</v>
      </c>
      <c r="G733" s="23" t="n">
        <f aca="false">G731/G732</f>
        <v>26.3514913221118</v>
      </c>
      <c r="H733" s="30" t="n">
        <f aca="false">H731/H732</f>
        <v>26.6315655530061</v>
      </c>
      <c r="I733" s="30" t="n">
        <f aca="false">I731/I732</f>
        <v>25.5969092410057</v>
      </c>
      <c r="J733" s="30" t="n">
        <f aca="false">J731/J732</f>
        <v>23.28526184104</v>
      </c>
    </row>
    <row r="734" customFormat="false" ht="17.15" hidden="false" customHeight="false" outlineLevel="0" collapsed="false">
      <c r="A734" s="0" t="s">
        <v>530</v>
      </c>
      <c r="B734" s="0" t="s">
        <v>53</v>
      </c>
      <c r="D734" s="17" t="n">
        <f aca="false">D733/C733-1</f>
        <v>0.648382743217484</v>
      </c>
      <c r="E734" s="17" t="n">
        <f aca="false">E733/D733-1</f>
        <v>0.756342308021178</v>
      </c>
      <c r="F734" s="17" t="n">
        <f aca="false">F733/E733-1</f>
        <v>0.120375141878251</v>
      </c>
      <c r="G734" s="17" t="n">
        <f aca="false">G733/F733-1</f>
        <v>0.223506926577764</v>
      </c>
      <c r="H734" s="25" t="n">
        <f aca="false">H733/G733-1</f>
        <v>0.0106284015379143</v>
      </c>
      <c r="I734" s="25" t="n">
        <f aca="false">I733/H733-1</f>
        <v>-0.038850750623017</v>
      </c>
      <c r="J734" s="25" t="n">
        <f aca="false">J733/I733-1</f>
        <v>-0.0903096298932248</v>
      </c>
    </row>
    <row r="735" customFormat="false" ht="17.15" hidden="false" customHeight="false" outlineLevel="0" collapsed="false">
      <c r="A735" s="4" t="s">
        <v>531</v>
      </c>
      <c r="B735" s="0" t="s">
        <v>53</v>
      </c>
      <c r="C735" s="17" t="n">
        <f aca="false">C731/C715</f>
        <v>0.0910136375952073</v>
      </c>
      <c r="D735" s="17" t="n">
        <f aca="false">D731/D715</f>
        <v>0.116740330417472</v>
      </c>
      <c r="E735" s="17" t="n">
        <f aca="false">E731/E715</f>
        <v>0.141879640425187</v>
      </c>
      <c r="F735" s="17" t="n">
        <f aca="false">F731/F715</f>
        <v>0.145811740736841</v>
      </c>
      <c r="G735" s="17" t="n">
        <f aca="false">G731/G715</f>
        <v>0.153169039222581</v>
      </c>
      <c r="H735" s="25" t="n">
        <f aca="false">$G735+(fade_mB-$G735)*1/3</f>
        <v>0.137822964141798</v>
      </c>
      <c r="I735" s="25" t="n">
        <f aca="false">$G735+(fade_mB-$G735)*2/3</f>
        <v>0.122476889061015</v>
      </c>
      <c r="J735" s="25" t="n">
        <f aca="false">$G735+(fade_mB-$G735)*3/3</f>
        <v>0.107130813980232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876</v>
      </c>
    </row>
    <row r="2" customFormat="false" ht="17.15" hidden="false" customHeight="false" outlineLevel="0" collapsed="false">
      <c r="A2" s="4" t="s">
        <v>877</v>
      </c>
      <c r="B2" s="0" t="s">
        <v>878</v>
      </c>
    </row>
    <row r="3" customFormat="false" ht="17.15" hidden="false" customHeight="false" outlineLevel="0" collapsed="false">
      <c r="A3" s="4" t="s">
        <v>879</v>
      </c>
      <c r="B3" s="0" t="s">
        <v>880</v>
      </c>
    </row>
    <row r="4" customFormat="false" ht="17.15" hidden="false" customHeight="false" outlineLevel="0" collapsed="false">
      <c r="A4" s="4" t="s">
        <v>881</v>
      </c>
      <c r="B4" s="0" t="s">
        <v>882</v>
      </c>
    </row>
    <row r="5" customFormat="false" ht="17.15" hidden="false" customHeight="false" outlineLevel="0" collapsed="false">
      <c r="A5" s="4" t="s">
        <v>883</v>
      </c>
      <c r="B5" s="0" t="s">
        <v>884</v>
      </c>
    </row>
    <row r="6" customFormat="false" ht="17.15" hidden="false" customHeight="false" outlineLevel="0" collapsed="false">
      <c r="A6" s="4" t="s">
        <v>885</v>
      </c>
      <c r="B6" s="0" t="s">
        <v>886</v>
      </c>
    </row>
    <row r="7" customFormat="false" ht="17.15" hidden="false" customHeight="false" outlineLevel="0" collapsed="false">
      <c r="A7" s="4" t="s">
        <v>887</v>
      </c>
      <c r="B7" s="0" t="s">
        <v>888</v>
      </c>
    </row>
    <row r="8" customFormat="false" ht="17.15" hidden="false" customHeight="false" outlineLevel="0" collapsed="false">
      <c r="A8" s="4" t="s">
        <v>889</v>
      </c>
      <c r="B8" s="0" t="s">
        <v>317</v>
      </c>
    </row>
    <row r="9" customFormat="false" ht="17.15" hidden="false" customHeight="false" outlineLevel="0" collapsed="false">
      <c r="A9" s="4" t="s">
        <v>890</v>
      </c>
      <c r="B9" s="0" t="s">
        <v>891</v>
      </c>
    </row>
    <row r="10" customFormat="false" ht="17.15" hidden="false" customHeight="false" outlineLevel="0" collapsed="false">
      <c r="A10" s="4" t="s">
        <v>892</v>
      </c>
      <c r="B10" s="0" t="s">
        <v>893</v>
      </c>
    </row>
    <row r="11" customFormat="false" ht="17.15" hidden="false" customHeight="false" outlineLevel="0" collapsed="false">
      <c r="A11" s="4" t="s">
        <v>894</v>
      </c>
      <c r="B11" s="0" t="s">
        <v>265</v>
      </c>
    </row>
    <row r="12" customFormat="false" ht="17.15" hidden="false" customHeight="false" outlineLevel="0" collapsed="false">
      <c r="A12" s="4" t="s">
        <v>895</v>
      </c>
      <c r="B12" s="0" t="s">
        <v>896</v>
      </c>
    </row>
    <row r="13" customFormat="false" ht="17.15" hidden="false" customHeight="false" outlineLevel="0" collapsed="false">
      <c r="A13" s="4" t="s">
        <v>897</v>
      </c>
      <c r="B13" s="0" t="s">
        <v>898</v>
      </c>
    </row>
    <row r="14" customFormat="false" ht="17.15" hidden="false" customHeight="false" outlineLevel="0" collapsed="false">
      <c r="A14" s="4" t="s">
        <v>899</v>
      </c>
      <c r="B14" s="0" t="s">
        <v>900</v>
      </c>
    </row>
    <row r="15" customFormat="false" ht="17.15" hidden="false" customHeight="false" outlineLevel="0" collapsed="false">
      <c r="A15" s="4" t="s">
        <v>901</v>
      </c>
      <c r="B15" s="0" t="s">
        <v>902</v>
      </c>
    </row>
    <row r="16" customFormat="false" ht="17.15" hidden="false" customHeight="false" outlineLevel="0" collapsed="false">
      <c r="A16" s="4" t="s">
        <v>903</v>
      </c>
    </row>
    <row r="17" customFormat="false" ht="17.15" hidden="false" customHeight="false" outlineLevel="0" collapsed="false">
      <c r="A17" s="4" t="s">
        <v>904</v>
      </c>
      <c r="B17" s="4" t="s">
        <v>905</v>
      </c>
    </row>
    <row r="18" customFormat="false" ht="17.15" hidden="false" customHeight="false" outlineLevel="0" collapsed="false">
      <c r="A18" s="4" t="s">
        <v>906</v>
      </c>
      <c r="B18" s="4" t="s">
        <v>905</v>
      </c>
    </row>
    <row r="19" customFormat="false" ht="15" hidden="false" customHeight="false" outlineLevel="0" collapsed="false">
      <c r="A19" s="0" t="s">
        <v>907</v>
      </c>
      <c r="B19" s="4" t="s">
        <v>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2026-10-29T07:23:49Z</dcterms:created>
  <dc:creator>openpyxl</dc:creator>
  <dc:description/>
  <dc:language>en-US</dc:language>
  <cp:lastModifiedBy/>
  <dcterms:modified xsi:type="dcterms:W3CDTF">2026-10-29T07:23:49Z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