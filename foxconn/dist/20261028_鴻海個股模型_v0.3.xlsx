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ons_feps" vbProcedure="false">In!$E$100</definedName>
    <definedName function="false" hidden="false" name="cons_tp" vbProcedure="false">In!$E$99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ade_gA" vbProcedure="false">In!$E$95</definedName>
    <definedName function="false" hidden="false" name="fade_gB" vbProcedure="false">In!$E$96</definedName>
    <definedName function="false" hidden="false" name="fade_gC" vbProcedure="false">In!$E$97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m10_f" vbProcedure="false">In!$E$98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Val!$B$38</definedName>
    <definedName function="false" hidden="false" name="old_rule_up" vbProcedure="false">Val!$B$39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Val!$B$155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tp_comp" vbProcedure="false">Val!$B$116</definedName>
    <definedName function="false" hidden="false" name="tp_comp_adj" vbProcedure="false">Val!$B$156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In!$E$92</definedName>
    <definedName function="false" hidden="false" name="tp_r" vbProcedure="false">In!$E$91</definedName>
    <definedName function="false" hidden="false" name="tp_roe" vbProcedure="false">In!$E$93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In!$E$94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<sst xmlns="http://schemas.openxmlformats.org/spreadsheetml/2006/main" count="3727" uniqueCount="913">
  <si>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2026-10-28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</si>
  <si>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：依個股模型原則補上官方四大產品類別——新增「雲端網路產品」＝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伺服器＋雲端網路非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與四類合計核對列，數值不變）；</t>
    </r>
    <r>
      <rPr>
        <sz val="11"/>
        <rFont val="Cambria"/>
        <family val="0"/>
        <charset val="1"/>
      </rPr>
      <t xml:space="preserve">v0.2.x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27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</si>
  <si>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</si>
  <si>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</si>
  <si>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</si>
  <si>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</si>
  <si>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</si>
  <si>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</si>
  <si>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</si>
  <si>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目標價（廣達、緯創、和碩、</t>
    </r>
    <r>
      <rPr>
        <sz val="11"/>
        <rFont val="Cambria"/>
        <family val="0"/>
        <charset val="1"/>
      </rPr>
      <t xml:space="preserve">Jabil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Flex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</si>
  <si>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</si>
  <si>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</si>
  <si>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。上游廣達模型改為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</si>
  <si>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</si>
  <si>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</si>
  <si>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26.71 </t>
    </r>
    <r>
      <rPr>
        <sz val="11"/>
        <color theme="1"/>
        <rFont val="Noto Sans CJK SC"/>
        <family val="2"/>
      </rPr>
      <t xml:space="preserve">比法人 </t>
    </r>
    <r>
      <rPr>
        <sz val="11"/>
        <color theme="1"/>
        <rFont val="Calibri"/>
        <family val="2"/>
        <charset val="1"/>
      </rPr>
      <t xml:space="preserve">22.0–25.0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6.9%–21.4%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營業利益是顆數以外最敏感的變數（</t>
    </r>
    <r>
      <rPr>
        <sz val="11"/>
        <color theme="1"/>
        <rFont val="Calibri"/>
        <family val="2"/>
        <charset val="1"/>
      </rPr>
      <t xml:space="preserve">0.60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−9.1%</t>
    </r>
    <r>
      <rPr>
        <sz val="11"/>
        <color theme="1"/>
        <rFont val="Noto Sans CJK SC"/>
        <family val="2"/>
      </rPr>
      <t xml:space="preserve">，回到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+10.6%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</si>
  <si>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31.42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27.71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，法人 </t>
    </r>
    <r>
      <rPr>
        <sz val="11"/>
        <color theme="1"/>
        <rFont val="Calibri"/>
        <family val="2"/>
        <charset val="1"/>
      </rPr>
      <t xml:space="preserve">28.0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之間；份額相對值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（廣達、緯創搶單）時 </t>
    </r>
    <r>
      <rPr>
        <sz val="11"/>
        <color theme="1"/>
        <rFont val="Calibri"/>
        <family val="2"/>
        <charset val="1"/>
      </rPr>
      <t xml:space="preserve">FY2028 EPS −14.3%</t>
    </r>
    <r>
      <rPr>
        <sz val="11"/>
        <color theme="1"/>
        <rFont val="Noto Sans CJK SC"/>
        <family val="2"/>
      </rPr>
      <t xml:space="preserve">，份額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市占目標五成）時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整櫃出貨份額。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</si>
  <si>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</si>
  <si>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</si>
  <si>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</si>
  <si>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</si>
  <si>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</si>
  <si>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</si>
  <si>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</si>
  <si>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</si>
  <si>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</si>
  <si>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</si>
  <si>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</si>
  <si>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</si>
  <si>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</si>
  <si>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</si>
  <si>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</si>
  <si>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</si>
  <si>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</si>
  <si>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</si>
  <si>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</si>
  <si>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</si>
  <si>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</si>
  <si>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</si>
  <si>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</si>
  <si>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</si>
  <si>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</si>
  <si>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</si>
  <si>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</si>
  <si>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</si>
  <si>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</si>
  <si>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</si>
  <si>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</si>
  <si>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</si>
  <si>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</si>
  <si>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</si>
  <si>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</si>
  <si>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</si>
  <si>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</si>
  <si>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</si>
  <si>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</si>
  <si>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</si>
  <si>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</si>
  <si>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</si>
  <si>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</si>
  <si>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</si>
  <si>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</si>
  <si>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</si>
  <si>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</si>
  <si>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</si>
  <si>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</si>
  <si>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</si>
  <si>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</si>
  <si>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</si>
  <si>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</si>
  <si>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</si>
  <si>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</si>
  <si>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</si>
  <si>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</si>
  <si>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</si>
  <si>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</si>
  <si>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</si>
  <si>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</si>
  <si>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</si>
  <si>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</si>
  <si>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</si>
  <si>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</si>
  <si>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</si>
  <si>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</si>
  <si>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</si>
  <si>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</si>
  <si>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</si>
  <si>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</si>
  <si>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</si>
  <si>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</si>
  <si>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</si>
  <si>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</si>
  <si>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</si>
  <si>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</si>
  <si>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</si>
  <si>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</si>
  <si>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</si>
  <si>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</si>
  <si>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</si>
  <si>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</si>
  <si>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</si>
  <si>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</si>
  <si>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</si>
  <si>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</si>
  <si>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</si>
  <si>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</si>
  <si>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</si>
  <si>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</si>
  <si>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</si>
  <si>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</si>
  <si>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</si>
  <si>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</si>
  <si>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</si>
  <si>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</si>
  <si>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</si>
  <si>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</si>
  <si>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</si>
  <si>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</si>
  <si>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</si>
  <si>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</si>
  <si>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</si>
  <si>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</si>
  <si>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</si>
  <si>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</si>
  <si>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</si>
  <si>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</si>
  <si>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</si>
  <si>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</si>
  <si>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</si>
  <si>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</si>
  <si>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</si>
  <si>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</si>
  <si>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</si>
  <si>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</si>
  <si>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</si>
  <si>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</si>
  <si>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</si>
  <si>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</si>
  <si>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</si>
  <si>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</si>
  <si>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</si>
  <si>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</si>
  <si>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</si>
  <si>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</si>
  <si>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</si>
  <si>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</si>
  <si>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</si>
  <si>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</si>
  <si>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</si>
  <si>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</si>
  <si>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</si>
  <si>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</si>
  <si>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</si>
  <si>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</si>
  <si>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</si>
  <si>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</si>
  <si>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</si>
  <si>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</si>
  <si>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</si>
  <si>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</si>
  <si>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</si>
  <si>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</si>
  <si>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</si>
  <si>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</si>
  <si>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</si>
  <si>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</si>
  <si>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</si>
  <si>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</si>
  <si>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</si>
  <si>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</si>
  <si>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</si>
  <si>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</si>
  <si>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</si>
  <si>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</si>
  <si>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</si>
  <si>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</si>
  <si>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</si>
  <si>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</si>
  <si>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</si>
  <si>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</si>
  <si>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</si>
  <si>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</si>
  <si>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</si>
  <si>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</si>
  <si>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</si>
  <si>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</si>
  <si>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</si>
  <si>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</si>
  <si>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</si>
  <si>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</si>
  <si>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</si>
  <si>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</si>
  <si>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</si>
  <si>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</si>
  <si>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</si>
  <si>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</si>
  <si>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</si>
  <si>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</si>
  <si>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</si>
  <si>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</si>
  <si>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</si>
  <si>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</si>
  <si>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</si>
  <si>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</si>
  <si>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</si>
  <si>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</si>
  <si>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</si>
  <si>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</si>
  <si>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</si>
  <si>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</si>
  <si>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</si>
  <si>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</si>
  <si>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</si>
  <si>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</si>
  <si>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</si>
  <si>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</si>
  <si>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</si>
  <si>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</si>
  <si>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</si>
  <si>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</si>
  <si>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</si>
  <si>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</si>
  <si>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</si>
  <si>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</si>
  <si>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</si>
  <si>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</si>
  <si>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</si>
  <si>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</si>
  <si>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</si>
  <si>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</si>
  <si>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</si>
  <si>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</si>
  <si>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</si>
  <si>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</si>
  <si>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</si>
  <si>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</si>
  <si>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</si>
  <si>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</si>
  <si>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</si>
  <si>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</si>
  <si>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</si>
  <si>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</si>
  <si>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</si>
  <si>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</si>
  <si>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</si>
  <si>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</si>
  <si>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</si>
  <si>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</si>
  <si>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</si>
  <si>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</si>
  <si>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</si>
  <si>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</si>
  <si>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</si>
  <si>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</si>
  <si>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</si>
  <si>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</si>
  <si>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</si>
  <si>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</si>
  <si>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</si>
  <si>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</si>
  <si>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</si>
  <si>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</si>
  <si>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</si>
  <si>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</si>
  <si>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</si>
  <si>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</si>
  <si>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</si>
  <si>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</si>
  <si>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</si>
  <si>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</si>
  <si>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</si>
  <si>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</si>
  <si>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</si>
  <si>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</si>
  <si>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</si>
  <si>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</si>
  <si>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</si>
  <si>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</si>
  <si>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</si>
  <si>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</si>
  <si>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</si>
  <si>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</si>
  <si>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</si>
  <si>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</si>
  <si>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</si>
  <si>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</si>
  <si>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</si>
  <si>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</si>
  <si>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</si>
  <si>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</si>
  <si>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</si>
  <si>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</si>
  <si>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</si>
  <si>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</si>
  <si>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</si>
  <si>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</si>
  <si>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</si>
  <si>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</si>
  <si>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</si>
  <si>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</si>
  <si>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</si>
  <si>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</si>
  <si>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</si>
  <si>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</si>
  <si>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</si>
  <si>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</si>
  <si>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</si>
  <si>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</si>
  <si>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</si>
  <si>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</si>
  <si>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</si>
  <si>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</si>
  <si>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</si>
  <si>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</si>
  <si>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</si>
  <si>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</si>
  <si>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</si>
  <si>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</si>
  <si>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</si>
  <si>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9.28%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11.25%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</si>
  <si>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13.15%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</si>
  <si>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</si>
  <si>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</si>
  <si>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</si>
  <si>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</si>
  <si>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</si>
  <si>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</si>
  <si>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</si>
  <si>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</si>
  <si>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</si>
  <si>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</si>
  <si>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</si>
  <si>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</si>
  <si>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</si>
  <si>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</si>
  <si>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</si>
  <si>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</si>
  <si>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</si>
  <si>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</si>
  <si>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347.45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338.50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</si>
  <si>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</si>
  <si>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</si>
  <si>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</si>
  <si>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239.5 ÷ Forward PE 11.37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</si>
  <si>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</si>
  <si>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</si>
  <si>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</si>
  <si>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</si>
  <si>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</si>
  <si>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</si>
  <si>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</si>
  <si>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</si>
  <si>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</si>
  <si>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</si>
  <si>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</si>
  <si>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</si>
  <si>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</si>
  <si>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</si>
  <si>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</si>
  <si>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</si>
  <si>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</si>
  <si>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</si>
  <si>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</si>
  <si>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</si>
  <si>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</si>
  <si>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</si>
  <si>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</si>
  <si>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</si>
  <si>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</si>
  <si>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</si>
  <si>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</si>
  <si>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</si>
  <si>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</si>
  <si>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</si>
  <si>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</si>
  <si>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</si>
  <si>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</si>
  <si>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</si>
  <si>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</si>
  <si>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</si>
  <si>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</si>
  <si>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</si>
  <si>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</si>
  <si>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</si>
  <si>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</si>
  <si>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</si>
  <si>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</si>
  <si>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</si>
  <si>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</si>
  <si>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</si>
  <si>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</si>
  <si>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</si>
  <si>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</si>
  <si>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</si>
  <si>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</si>
  <si>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</si>
  <si>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</si>
  <si>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</si>
  <si>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</si>
  <si>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</si>
  <si>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</si>
  <si>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</si>
  <si>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</si>
  <si>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</si>
  <si>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</si>
  <si>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</si>
  <si>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</si>
  <si>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</si>
  <si>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</si>
  <si>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</si>
  <si>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</si>
  <si>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</si>
  <si>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</si>
  <si>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</si>
  <si>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</si>
  <si>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</si>
  <si>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</si>
  <si>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</si>
  <si>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</si>
  <si>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</si>
  <si>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</si>
  <si>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</si>
  <si>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quanta/dist/20261028_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</si>
  <si>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</si>
  <si>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</si>
  <si>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</si>
  <si>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</si>
  <si>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</si>
  <si>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</si>
  <si>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</si>
  <si>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</si>
  <si>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</si>
  <si>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</si>
  <si>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</si>
  <si>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</si>
  <si>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</si>
  <si>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雲端網路產品</t>
  </si>
  <si>
    <t xml:space="preserve">  消費智能產品</t>
  </si>
  <si>
    <t xml:space="preserve">  電腦終端產品</t>
  </si>
  <si>
    <t xml:space="preserve">  元件及其他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</si>
  <si>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</si>
  <si>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</si>
  <si>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</si>
  <si>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</si>
  <si>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</si>
  <si>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</si>
  <si>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</si>
  <si>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</si>
  <si>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</si>
  <si>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</si>
  <si>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</si>
  <si>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</si>
  <si>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</si>
  <si>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</si>
  <si>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</si>
  <si>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</si>
  <si>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</si>
  <si>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</si>
  <si>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</si>
  <si>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</si>
  <si>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</si>
  <si>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</si>
  <si>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</si>
  <si>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</si>
  <si>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</si>
  <si>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</si>
  <si>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</si>
  <si>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r>
      <rPr>
        <sz val="11"/>
        <color theme="1"/>
        <rFont val="Noto Sans CJK SC"/>
        <family val="2"/>
      </rPr>
      <t xml:space="preserve">雲端網路產品（官方產品類別＝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</si>
  <si>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官方四大產品類別：雲端網路產品、消費智能產品（上列「消費智能」）、電腦終端產品（「電腦終端」）、元件及其他</t>
  </si>
  <si>
    <r>
      <rPr>
        <sz val="11"/>
        <color theme="1"/>
        <rFont val="Noto Sans CJK SC"/>
        <family val="2"/>
      </rPr>
      <t xml:space="preserve">檢查：四大產品類別合計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</si>
  <si>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</si>
  <si>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</si>
  <si>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</si>
  <si>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</si>
  <si>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</si>
  <si>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</si>
  <si>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</si>
  <si>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</si>
  <si>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</si>
  <si>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</si>
  <si>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</si>
  <si>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</si>
  <si>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</si>
  <si>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</si>
  <si>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</si>
  <si>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</si>
  <si>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</si>
  <si>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</si>
  <si>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</si>
  <si>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</si>
  <si>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</si>
  <si>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</si>
  <si>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</si>
  <si>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</si>
  <si>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</si>
  <si>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</si>
  <si>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</si>
  <si>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</si>
  <si>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</si>
  <si>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</si>
  <si>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</si>
  <si>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</si>
  <si>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</si>
  <si>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</si>
  <si>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</si>
  <si>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</si>
  <si>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</si>
  <si>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</si>
  <si>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</si>
  <si>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</si>
  <si>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</si>
  <si>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</si>
  <si>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</si>
  <si>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</si>
  <si>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</si>
  <si>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</si>
  <si>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</si>
  <si>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</si>
  <si>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</si>
  <si>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</si>
  <si>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</si>
  <si>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</si>
  <si>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</si>
  <si>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</si>
  <si>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</si>
  <si>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</si>
  <si>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</si>
  <si>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</si>
  <si>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</si>
  <si>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</si>
  <si>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</si>
  <si>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</si>
  <si>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</si>
  <si>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</si>
  <si>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</si>
  <si>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</si>
  <si>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</si>
  <si>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</si>
  <si>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</si>
  <si>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</si>
  <si>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</si>
  <si>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</si>
  <si>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</si>
  <si>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</si>
  <si>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</si>
  <si>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</si>
  <si>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</si>
  <si>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</si>
  <si>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</si>
  <si>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</si>
  <si>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</si>
  <si>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</si>
  <si>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</si>
  <si>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</si>
  <si>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</si>
  <si>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</si>
  <si>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</si>
  <si>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</si>
  <si>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</si>
  <si>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組裝期低倍數（約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</si>
  <si>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</si>
  <si>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</si>
  <si>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</si>
  <si>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</si>
  <si>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</si>
  <si>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</si>
  <si>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</si>
  <si>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</si>
  <si>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</si>
  <si>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</si>
  <si>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</si>
  <si>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</si>
  <si>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</si>
  <si>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</si>
  <si>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</si>
  <si>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</si>
  <si>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</si>
  <si>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</si>
  <si>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</si>
  <si>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</si>
  <si>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</si>
  <si>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</si>
  <si>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</si>
  <si>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</si>
  <si>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</si>
  <si>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</si>
  <si>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</si>
  <si>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</si>
  <si>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</si>
  <si>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</si>
  <si>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</si>
  <si>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</si>
  <si>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</si>
  <si>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</si>
  <si>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</si>
  <si>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</si>
  <si>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</si>
  <si>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</si>
  <si>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</si>
  <si>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</si>
  <si>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</si>
  <si>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</si>
  <si>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</si>
  <si>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</si>
  <si>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</si>
  <si>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</si>
  <si>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</si>
  <si>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</si>
  <si>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</si>
  <si>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</si>
  <si>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</si>
  <si>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</si>
  <si>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</si>
  <si>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</si>
  <si>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</si>
  <si>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</si>
  <si>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</si>
  <si>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</si>
  <si>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</si>
  <si>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</si>
  <si>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</si>
  <si>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</si>
  <si>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</si>
  <si>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</si>
  <si>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</si>
  <si>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</si>
  <si>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</si>
  <si>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</si>
  <si>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</si>
  <si>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</si>
  <si>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</si>
  <si>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</si>
  <si>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</si>
  <si>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</si>
  <si>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</si>
  <si>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</si>
  <si>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</si>
  <si>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Noto Sans CJK SC"/>
        <family val="2"/>
      </rPr>
      <t xml:space="preserve">和碩（</t>
    </r>
    <r>
      <rPr>
        <sz val="11"/>
        <color theme="1"/>
        <rFont val="Calibri"/>
        <family val="2"/>
        <charset val="1"/>
      </rPr>
      <t xml:space="preserve">Pegatron</t>
    </r>
    <r>
      <rPr>
        <sz val="11"/>
        <color theme="1"/>
        <rFont val="Noto Sans CJK SC"/>
        <family val="2"/>
      </rPr>
      <t xml:space="preserve">）</t>
    </r>
  </si>
  <si>
    <t xml:space="preserve">4938.TW</t>
  </si>
  <si>
    <t xml:space="preserve">2026-10-22</t>
  </si>
  <si>
    <t xml:space="preserve">Jabil</t>
  </si>
  <si>
    <t xml:space="preserve">JBL</t>
  </si>
  <si>
    <t xml:space="preserve">2026-10-23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</si>
  <si>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</si>
  <si>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</si>
  <si>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</si>
  <si>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電子代工與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伺服器組裝同業：廣達、緯創、和碩、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，鴻海子公司）為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</si>
  <si>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</si>
  <si>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</si>
  <si>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</si>
  <si>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</si>
  <si>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</si>
  <si>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</si>
  <si>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</si>
  <si>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</si>
  <si>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</si>
  <si>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</si>
  <si>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</si>
  <si>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</si>
  <si>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</si>
  <si>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</si>
  <si>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</si>
  <si>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</si>
  <si>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</si>
  <si>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</si>
  <si>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</si>
  <si>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</si>
  <si>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</si>
  <si>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</si>
  <si>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：廣達、緯創、和碩、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中位數；鴻海含消費電子與電動車等低倍數事業，同業含 </t>
    </r>
    <r>
      <rPr>
        <sz val="11"/>
        <color theme="1"/>
        <rFont val="Calibri"/>
        <family val="2"/>
        <charset val="1"/>
      </rPr>
      <t xml:space="preserve">EMS</t>
    </r>
    <r>
      <rPr>
        <sz val="11"/>
        <color theme="1"/>
        <rFont val="Noto Sans CJK SC"/>
        <family val="2"/>
      </rPr>
      <t xml:space="preserve">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</si>
  <si>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</si>
  <si>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</si>
  <si>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</si>
  <si>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</si>
  <si>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</si>
  <si>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</si>
  <si>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</si>
  <si>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</si>
  <si>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</si>
  <si>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</si>
  <si>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</si>
  <si>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</si>
  <si>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</si>
  <si>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</si>
  <si>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</si>
  <si>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</si>
  <si>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</si>
  <si>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</si>
  <si>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</si>
  <si>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</si>
  <si>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</si>
  <si>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</si>
  <si>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</si>
  <si>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</si>
  <si>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鴻海</t>
  </si>
  <si>
    <t xml:space="preserve">2317.TW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</si>
  <si>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</si>
  <si>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</si>
  <si>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</si>
  <si>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</si>
  <si>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</si>
  <si>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4938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</si>
  <si>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JBL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</si>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</sst>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General"/>
    <numFmt numFmtId="166" formatCode="#,##0.000"/>
    <numFmt numFmtId="167" formatCode="0.00%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  <numFmt numFmtId="17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投資建議：買進（依上檔空間固定規則）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NT$"&amp;TEXT(Val!$B$120,"#,##0")&amp;"（DCF "&amp;TEXT(Val!$B$105,"#,##0")&amp;"、Comparable（相對倍數調整後）"&amp;TEXT(tp_comp_adj,"#,##0")&amp;"；DCF 權重 "&amp;TEXT(tp_w_dcf,"0%")&amp;"），比現價 "&amp;TEXT(px,"#,##0")&amp;"（2026-10-22）"&amp;IF(Val!$B$123&gt;=0,"高 "&amp;TEXT(Val!$B$123,"0.0%"),"低 "&amp;TEXT(-Val!$B$123,"0.0%"))&amp;"，級距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"&amp;TEXT((tp_w_dcf*Val!$B$105+(1-tp_w_dcf)*Val!$B$116)/px-1,"+0.0%;−0.0%")&amp;"；Comparable 單獨（市場主流同業法、未調整）為 "&amp;TEXT(Val!$B$124,"+0.0%;−0.0%")&amp;"。"&amp;"以下為 2026-10-29 相對倍數調整前撰寫的說明，其中數字為調整前：主因是 EPS 與倍數兩者：本模型 12 個月後前瞻 EPS 27.78 比共識前瞻 EPS 21.06 高 31.9%（兩者期間差約一年），同業（廣達、緯創、和碩、Jabil、Flex）前瞻 P/E 中位數 14.7 倍也高於現價隱含 11.6 倍；DCF 只高 18.5%，因 ROE 10.1% 接近折現率 10%（再投"&amp;"資率 39.7%）。"</f>
        <v>重點觀察 1：目標價 NT$339（DCF 290、Comparable（相對倍數調整後）388；DCF 權重 50%），比現價 245（2026-10-22）高 38.4%，級距 25%–50%、投資建議 買進。相對倍數調整係數 0.95（本公司 10 年前瞻倍數中位數 ÷ 同業的中位數，夾在 0.5–2.0；Val 第 0.5 節），調整前加權上檔空間 +42.8%；Comparable 單獨（市場主流同業法、未調整）為 +67.2%。以下為 2026-10-29 相對倍數調整前撰寫的說明，其中數字為調整前：主因是 EPS 與倍數兩者：本模型 12 個月後前瞻 EPS 27.78 比共識前瞻 EPS 21.06 高 31.9%（兩者期間差約一年），同業（廣達、緯創、和碩、Jabil、Flex）前瞻 P/E 中位數 14.7 倍也高於現價隱含 11.6 倍；DCF 只高 18.5%，因 ROE 10.1% 接近折現率 10%（再投資率 39.7%）。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4" customFormat="false" ht="17.15" hidden="false" customHeight="false" outlineLevel="0" collapsed="false">
      <c r="A2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33</v>
      </c>
      <c r="H11" s="8" t="s">
        <v>53</v>
      </c>
      <c r="I11" s="4" t="s">
        <v>54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4" t="s">
        <v>57</v>
      </c>
      <c r="E12" s="7" t="n">
        <v>6764</v>
      </c>
      <c r="G12" s="8" t="s">
        <v>33</v>
      </c>
      <c r="H12" s="8" t="s">
        <v>58</v>
      </c>
      <c r="I12" s="8" t="s">
        <v>59</v>
      </c>
    </row>
    <row r="13" customFormat="false" ht="17.15" hidden="false" customHeight="false" outlineLevel="0" collapsed="false">
      <c r="A13" s="0" t="s">
        <v>60</v>
      </c>
      <c r="B13" s="4" t="s">
        <v>61</v>
      </c>
      <c r="C13" s="4" t="s">
        <v>57</v>
      </c>
      <c r="E13" s="7" t="n">
        <v>4052</v>
      </c>
      <c r="G13" s="8" t="s">
        <v>33</v>
      </c>
      <c r="H13" s="8" t="s">
        <v>58</v>
      </c>
      <c r="I13" s="4" t="s">
        <v>38</v>
      </c>
    </row>
    <row r="14" customFormat="false" ht="17.15" hidden="false" customHeight="false" outlineLevel="0" collapsed="false">
      <c r="A14" s="0" t="s">
        <v>62</v>
      </c>
      <c r="B14" s="4" t="s">
        <v>63</v>
      </c>
      <c r="C14" s="0" t="s">
        <v>64</v>
      </c>
      <c r="E14" s="7" t="n">
        <v>4.3</v>
      </c>
      <c r="G14" s="8" t="s">
        <v>33</v>
      </c>
      <c r="H14" s="8" t="s">
        <v>65</v>
      </c>
      <c r="I14" s="4" t="s">
        <v>66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64</v>
      </c>
      <c r="E15" s="7" t="n">
        <v>8.4</v>
      </c>
      <c r="G15" s="8" t="s">
        <v>33</v>
      </c>
      <c r="H15" s="8" t="s">
        <v>65</v>
      </c>
      <c r="I15" s="4" t="s">
        <v>38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71</v>
      </c>
      <c r="E16" s="7" t="n">
        <v>1</v>
      </c>
      <c r="G16" s="8" t="s">
        <v>72</v>
      </c>
      <c r="H16" s="8" t="s">
        <v>73</v>
      </c>
      <c r="I16" s="8" t="s">
        <v>74</v>
      </c>
    </row>
    <row r="17" customFormat="false" ht="17.15" hidden="false" customHeight="false" outlineLevel="0" collapsed="false">
      <c r="A17" s="0" t="s">
        <v>75</v>
      </c>
      <c r="B17" s="4" t="s">
        <v>76</v>
      </c>
      <c r="C17" s="0" t="s">
        <v>71</v>
      </c>
      <c r="E17" s="7" t="n">
        <v>1</v>
      </c>
      <c r="G17" s="8" t="s">
        <v>72</v>
      </c>
      <c r="H17" s="8" t="s">
        <v>77</v>
      </c>
      <c r="I17" s="4" t="s">
        <v>38</v>
      </c>
    </row>
    <row r="18" customFormat="false" ht="17.15" hidden="false" customHeight="false" outlineLevel="0" collapsed="false">
      <c r="A18" s="0" t="s">
        <v>78</v>
      </c>
      <c r="B18" s="4" t="s">
        <v>79</v>
      </c>
      <c r="C18" s="0" t="s">
        <v>71</v>
      </c>
      <c r="E18" s="7" t="n">
        <v>0.8</v>
      </c>
      <c r="G18" s="8" t="s">
        <v>72</v>
      </c>
      <c r="H18" s="8" t="s">
        <v>80</v>
      </c>
      <c r="I18" s="8" t="s">
        <v>74</v>
      </c>
    </row>
    <row r="19" customFormat="false" ht="17.15" hidden="false" customHeight="false" outlineLevel="0" collapsed="false">
      <c r="A19" s="0" t="s">
        <v>81</v>
      </c>
      <c r="B19" s="4" t="s">
        <v>82</v>
      </c>
      <c r="C19" s="0" t="s">
        <v>71</v>
      </c>
      <c r="E19" s="7" t="n">
        <v>0.85</v>
      </c>
      <c r="G19" s="8" t="s">
        <v>72</v>
      </c>
      <c r="H19" s="8" t="s">
        <v>83</v>
      </c>
      <c r="I19" s="4" t="s">
        <v>38</v>
      </c>
    </row>
    <row r="20" customFormat="false" ht="17.15" hidden="false" customHeight="false" outlineLevel="0" collapsed="false">
      <c r="A20" s="0" t="s">
        <v>84</v>
      </c>
      <c r="B20" s="4" t="s">
        <v>85</v>
      </c>
      <c r="C20" s="0" t="s">
        <v>71</v>
      </c>
      <c r="E20" s="7" t="n">
        <v>0.6</v>
      </c>
      <c r="G20" s="8" t="s">
        <v>72</v>
      </c>
      <c r="H20" s="8" t="s">
        <v>86</v>
      </c>
      <c r="I20" s="8" t="s">
        <v>74</v>
      </c>
    </row>
    <row r="21" customFormat="false" ht="17.15" hidden="false" customHeight="false" outlineLevel="0" collapsed="false">
      <c r="A21" s="0" t="s">
        <v>87</v>
      </c>
      <c r="B21" s="4" t="s">
        <v>88</v>
      </c>
      <c r="C21" s="0" t="s">
        <v>71</v>
      </c>
      <c r="E21" s="7" t="n">
        <v>0.6</v>
      </c>
      <c r="G21" s="8" t="s">
        <v>72</v>
      </c>
      <c r="H21" s="8" t="s">
        <v>89</v>
      </c>
      <c r="I21" s="4" t="s">
        <v>38</v>
      </c>
    </row>
    <row r="22" customFormat="false" ht="17.15" hidden="false" customHeight="false" outlineLevel="0" collapsed="false">
      <c r="A22" s="0" t="s">
        <v>90</v>
      </c>
      <c r="B22" s="4" t="s">
        <v>91</v>
      </c>
      <c r="C22" s="0" t="s">
        <v>92</v>
      </c>
      <c r="D22" s="7" t="n">
        <v>30.5</v>
      </c>
      <c r="E22" s="7" t="n">
        <v>32</v>
      </c>
      <c r="F22" s="7" t="n">
        <v>33</v>
      </c>
      <c r="G22" s="8" t="s">
        <v>33</v>
      </c>
      <c r="H22" s="8" t="s">
        <v>93</v>
      </c>
      <c r="I22" s="4" t="s">
        <v>94</v>
      </c>
    </row>
    <row r="23" customFormat="false" ht="17.15" hidden="false" customHeight="false" outlineLevel="0" collapsed="false">
      <c r="A23" s="6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64</v>
      </c>
      <c r="D24" s="7" t="n">
        <v>3.6</v>
      </c>
      <c r="E24" s="7" t="n">
        <v>4</v>
      </c>
      <c r="F24" s="7" t="n">
        <v>4.3</v>
      </c>
      <c r="G24" s="8" t="s">
        <v>33</v>
      </c>
      <c r="H24" s="8" t="s">
        <v>98</v>
      </c>
      <c r="I24" s="4" t="s">
        <v>99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64</v>
      </c>
      <c r="D25" s="7" t="n">
        <v>6.5</v>
      </c>
      <c r="E25" s="7" t="n">
        <v>6.75</v>
      </c>
      <c r="F25" s="7" t="n">
        <v>7</v>
      </c>
      <c r="G25" s="8" t="s">
        <v>33</v>
      </c>
      <c r="H25" s="8" t="s">
        <v>102</v>
      </c>
      <c r="I25" s="4" t="s">
        <v>38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0" t="s">
        <v>71</v>
      </c>
      <c r="D26" s="7" t="n">
        <v>0.85</v>
      </c>
      <c r="E26" s="7" t="n">
        <v>1</v>
      </c>
      <c r="F26" s="7" t="n">
        <v>1.2</v>
      </c>
      <c r="G26" s="8" t="s">
        <v>72</v>
      </c>
      <c r="H26" s="8" t="s">
        <v>105</v>
      </c>
      <c r="I26" s="4" t="s">
        <v>106</v>
      </c>
    </row>
    <row r="27" customFormat="false" ht="17.15" hidden="false" customHeight="false" outlineLevel="0" collapsed="false">
      <c r="A27" s="0" t="s">
        <v>107</v>
      </c>
      <c r="B27" s="4" t="s">
        <v>108</v>
      </c>
      <c r="C27" s="0" t="s">
        <v>71</v>
      </c>
      <c r="D27" s="7" t="n">
        <v>0.85</v>
      </c>
      <c r="E27" s="7" t="n">
        <v>1</v>
      </c>
      <c r="F27" s="7" t="n">
        <v>1.2</v>
      </c>
      <c r="G27" s="8" t="s">
        <v>72</v>
      </c>
      <c r="H27" s="8" t="s">
        <v>109</v>
      </c>
      <c r="I27" s="4" t="s">
        <v>38</v>
      </c>
    </row>
    <row r="28" customFormat="false" ht="17.15" hidden="false" customHeight="false" outlineLevel="0" collapsed="false">
      <c r="A28" s="0" t="s">
        <v>110</v>
      </c>
      <c r="B28" s="4" t="s">
        <v>111</v>
      </c>
      <c r="C28" s="0" t="s">
        <v>71</v>
      </c>
      <c r="D28" s="7" t="n">
        <v>0.85</v>
      </c>
      <c r="E28" s="7" t="n">
        <v>1</v>
      </c>
      <c r="F28" s="7" t="n">
        <v>1.15</v>
      </c>
      <c r="G28" s="8" t="s">
        <v>72</v>
      </c>
      <c r="H28" s="4" t="s">
        <v>112</v>
      </c>
      <c r="I28" s="8" t="s">
        <v>113</v>
      </c>
    </row>
    <row r="29" customFormat="false" ht="17.15" hidden="false" customHeight="false" outlineLevel="0" collapsed="false">
      <c r="A29" s="0" t="s">
        <v>114</v>
      </c>
      <c r="B29" s="4" t="s">
        <v>115</v>
      </c>
      <c r="C29" s="0" t="s">
        <v>71</v>
      </c>
      <c r="D29" s="7" t="n">
        <v>0.75</v>
      </c>
      <c r="E29" s="7" t="n">
        <v>1</v>
      </c>
      <c r="F29" s="7" t="n">
        <v>1.15</v>
      </c>
      <c r="G29" s="8" t="s">
        <v>72</v>
      </c>
      <c r="H29" s="4" t="s">
        <v>116</v>
      </c>
      <c r="I29" s="8" t="s">
        <v>117</v>
      </c>
    </row>
    <row r="30" customFormat="false" ht="17.15" hidden="false" customHeight="false" outlineLevel="0" collapsed="false">
      <c r="A30" s="0" t="s">
        <v>118</v>
      </c>
      <c r="B30" s="4" t="s">
        <v>119</v>
      </c>
      <c r="C30" s="0" t="s">
        <v>71</v>
      </c>
      <c r="D30" s="7" t="n">
        <v>0.7</v>
      </c>
      <c r="E30" s="7" t="n">
        <v>0.95</v>
      </c>
      <c r="F30" s="7" t="n">
        <v>1.15</v>
      </c>
      <c r="G30" s="8" t="s">
        <v>72</v>
      </c>
      <c r="H30" s="4" t="s">
        <v>38</v>
      </c>
      <c r="I30" s="8" t="s">
        <v>117</v>
      </c>
    </row>
    <row r="31" customFormat="false" ht="17.15" hidden="false" customHeight="false" outlineLevel="0" collapsed="false">
      <c r="A31" s="0" t="s">
        <v>120</v>
      </c>
      <c r="B31" s="4" t="s">
        <v>121</v>
      </c>
      <c r="C31" s="0" t="s">
        <v>52</v>
      </c>
      <c r="D31" s="7" t="n">
        <v>0</v>
      </c>
      <c r="E31" s="7" t="n">
        <v>0.1</v>
      </c>
      <c r="F31" s="7" t="n">
        <v>0.25</v>
      </c>
      <c r="G31" s="8" t="s">
        <v>72</v>
      </c>
      <c r="H31" s="8" t="s">
        <v>122</v>
      </c>
      <c r="I31" s="8" t="s">
        <v>123</v>
      </c>
    </row>
    <row r="32" customFormat="false" ht="17.15" hidden="false" customHeight="false" outlineLevel="0" collapsed="false">
      <c r="A32" s="0" t="s">
        <v>124</v>
      </c>
      <c r="B32" s="4" t="s">
        <v>125</v>
      </c>
      <c r="C32" s="0" t="s">
        <v>52</v>
      </c>
      <c r="D32" s="7" t="n">
        <v>0</v>
      </c>
      <c r="E32" s="7" t="n">
        <v>0.2</v>
      </c>
      <c r="F32" s="7" t="n">
        <v>0.4</v>
      </c>
      <c r="G32" s="8" t="s">
        <v>72</v>
      </c>
      <c r="H32" s="4" t="s">
        <v>38</v>
      </c>
      <c r="I32" s="8" t="s">
        <v>117</v>
      </c>
    </row>
    <row r="33" customFormat="false" ht="17.15" hidden="false" customHeight="false" outlineLevel="0" collapsed="false">
      <c r="A33" s="0" t="s">
        <v>126</v>
      </c>
      <c r="B33" s="4" t="s">
        <v>127</v>
      </c>
      <c r="C33" s="0" t="s">
        <v>52</v>
      </c>
      <c r="D33" s="7" t="n">
        <v>0</v>
      </c>
      <c r="E33" s="7" t="n">
        <v>0.25</v>
      </c>
      <c r="F33" s="7" t="n">
        <v>0.5</v>
      </c>
      <c r="G33" s="8" t="s">
        <v>72</v>
      </c>
      <c r="H33" s="4" t="s">
        <v>38</v>
      </c>
      <c r="I33" s="8" t="s">
        <v>117</v>
      </c>
    </row>
    <row r="34" customFormat="false" ht="17.15" hidden="false" customHeight="false" outlineLevel="0" collapsed="false">
      <c r="A34" s="0" t="s">
        <v>128</v>
      </c>
      <c r="B34" s="4" t="s">
        <v>129</v>
      </c>
      <c r="C34" s="0" t="s">
        <v>71</v>
      </c>
      <c r="D34" s="7" t="n">
        <v>0.7</v>
      </c>
      <c r="E34" s="7" t="n">
        <v>0.9</v>
      </c>
      <c r="F34" s="7" t="n">
        <v>1</v>
      </c>
      <c r="G34" s="8" t="s">
        <v>72</v>
      </c>
      <c r="H34" s="4" t="s">
        <v>130</v>
      </c>
      <c r="I34" s="4" t="s">
        <v>131</v>
      </c>
    </row>
    <row r="35" customFormat="false" ht="17.15" hidden="false" customHeight="false" outlineLevel="0" collapsed="false">
      <c r="A35" s="6" t="s">
        <v>132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52</v>
      </c>
      <c r="E36" s="7" t="n">
        <v>0.4</v>
      </c>
      <c r="G36" s="8" t="s">
        <v>135</v>
      </c>
      <c r="H36" s="8" t="s">
        <v>136</v>
      </c>
      <c r="I36" s="8" t="s">
        <v>137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52</v>
      </c>
      <c r="E37" s="7" t="n">
        <v>0.38</v>
      </c>
      <c r="G37" s="8" t="s">
        <v>135</v>
      </c>
      <c r="H37" s="4" t="s">
        <v>38</v>
      </c>
      <c r="I37" s="8" t="s">
        <v>117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0" t="s">
        <v>52</v>
      </c>
      <c r="E38" s="7" t="n">
        <v>0.15</v>
      </c>
      <c r="G38" s="8" t="s">
        <v>135</v>
      </c>
      <c r="H38" s="4" t="s">
        <v>142</v>
      </c>
      <c r="I38" s="8" t="s">
        <v>117</v>
      </c>
    </row>
    <row r="39" customFormat="false" ht="17.15" hidden="false" customHeight="false" outlineLevel="0" collapsed="false">
      <c r="A39" s="0" t="s">
        <v>143</v>
      </c>
      <c r="B39" s="0" t="s">
        <v>144</v>
      </c>
      <c r="C39" s="0" t="s">
        <v>52</v>
      </c>
      <c r="D39" s="7" t="n">
        <v>0.45</v>
      </c>
      <c r="E39" s="7" t="n">
        <v>0.5</v>
      </c>
      <c r="F39" s="7" t="n">
        <v>0.55</v>
      </c>
      <c r="G39" s="8" t="s">
        <v>145</v>
      </c>
      <c r="H39" s="8" t="s">
        <v>146</v>
      </c>
      <c r="I39" s="8" t="s">
        <v>147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52</v>
      </c>
      <c r="D40" s="7" t="n">
        <v>0.51</v>
      </c>
      <c r="E40" s="7" t="n">
        <v>0.53</v>
      </c>
      <c r="F40" s="7" t="n">
        <v>0.56</v>
      </c>
      <c r="G40" s="8" t="s">
        <v>145</v>
      </c>
      <c r="H40" s="8" t="s">
        <v>150</v>
      </c>
      <c r="I40" s="8" t="s">
        <v>151</v>
      </c>
    </row>
    <row r="41" customFormat="false" ht="17.15" hidden="false" customHeight="false" outlineLevel="0" collapsed="false">
      <c r="A41" s="0" t="s">
        <v>152</v>
      </c>
      <c r="B41" s="0" t="s">
        <v>153</v>
      </c>
      <c r="C41" s="0" t="s">
        <v>52</v>
      </c>
      <c r="D41" s="7" t="n">
        <v>0.52</v>
      </c>
      <c r="E41" s="7" t="n">
        <v>0.6</v>
      </c>
      <c r="F41" s="7" t="n">
        <v>0.68</v>
      </c>
      <c r="G41" s="8" t="s">
        <v>145</v>
      </c>
      <c r="H41" s="8" t="s">
        <v>154</v>
      </c>
      <c r="I41" s="8" t="s">
        <v>155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52</v>
      </c>
      <c r="D42" s="7" t="n">
        <v>0.28</v>
      </c>
      <c r="E42" s="7" t="n">
        <v>0.3</v>
      </c>
      <c r="F42" s="7" t="n">
        <v>0.32</v>
      </c>
      <c r="G42" s="8" t="s">
        <v>145</v>
      </c>
      <c r="H42" s="8" t="s">
        <v>158</v>
      </c>
      <c r="I42" s="8" t="s">
        <v>159</v>
      </c>
    </row>
    <row r="43" customFormat="false" ht="17.15" hidden="false" customHeight="false" outlineLevel="0" collapsed="false">
      <c r="A43" s="0" t="s">
        <v>160</v>
      </c>
      <c r="B43" s="0" t="s">
        <v>161</v>
      </c>
      <c r="C43" s="0" t="s">
        <v>52</v>
      </c>
      <c r="D43" s="7" t="n">
        <v>0.11</v>
      </c>
      <c r="E43" s="7" t="n">
        <v>0.12</v>
      </c>
      <c r="F43" s="7" t="n">
        <v>0.13</v>
      </c>
      <c r="G43" s="8" t="s">
        <v>145</v>
      </c>
      <c r="H43" s="8" t="s">
        <v>162</v>
      </c>
      <c r="I43" s="8" t="s">
        <v>163</v>
      </c>
    </row>
    <row r="44" customFormat="false" ht="17.15" hidden="false" customHeight="false" outlineLevel="0" collapsed="false">
      <c r="A44" s="0" t="s">
        <v>164</v>
      </c>
      <c r="B44" s="4" t="s">
        <v>165</v>
      </c>
      <c r="C44" s="0" t="s">
        <v>52</v>
      </c>
      <c r="D44" s="7" t="n">
        <v>0</v>
      </c>
      <c r="E44" s="7" t="n">
        <v>0.12</v>
      </c>
      <c r="F44" s="7" t="n">
        <v>0.25</v>
      </c>
      <c r="G44" s="8" t="s">
        <v>72</v>
      </c>
      <c r="H44" s="4" t="s">
        <v>166</v>
      </c>
      <c r="I44" s="8" t="s">
        <v>167</v>
      </c>
    </row>
    <row r="45" customFormat="false" ht="17.15" hidden="false" customHeight="false" outlineLevel="0" collapsed="false">
      <c r="A45" s="0" t="s">
        <v>168</v>
      </c>
      <c r="B45" s="4" t="s">
        <v>169</v>
      </c>
      <c r="C45" s="0" t="s">
        <v>52</v>
      </c>
      <c r="D45" s="7" t="n">
        <v>-0.05</v>
      </c>
      <c r="E45" s="7" t="n">
        <v>0.08</v>
      </c>
      <c r="F45" s="7" t="n">
        <v>0.2</v>
      </c>
      <c r="G45" s="8" t="s">
        <v>72</v>
      </c>
      <c r="H45" s="4" t="s">
        <v>38</v>
      </c>
      <c r="I45" s="8" t="s">
        <v>117</v>
      </c>
    </row>
    <row r="46" customFormat="false" ht="17.15" hidden="false" customHeight="false" outlineLevel="0" collapsed="false">
      <c r="A46" s="0" t="s">
        <v>170</v>
      </c>
      <c r="B46" s="4" t="s">
        <v>171</v>
      </c>
      <c r="C46" s="0" t="s">
        <v>52</v>
      </c>
      <c r="D46" s="7" t="n">
        <v>-0.05</v>
      </c>
      <c r="E46" s="7" t="n">
        <v>0.06</v>
      </c>
      <c r="F46" s="7" t="n">
        <v>0.15</v>
      </c>
      <c r="G46" s="8" t="s">
        <v>72</v>
      </c>
      <c r="H46" s="4" t="s">
        <v>38</v>
      </c>
      <c r="I46" s="8" t="s">
        <v>117</v>
      </c>
    </row>
    <row r="47" customFormat="false" ht="17.15" hidden="false" customHeight="false" outlineLevel="0" collapsed="false">
      <c r="A47" s="0" t="s">
        <v>172</v>
      </c>
      <c r="B47" s="4" t="s">
        <v>173</v>
      </c>
      <c r="C47" s="0" t="s">
        <v>52</v>
      </c>
      <c r="D47" s="7" t="n">
        <v>-0.08</v>
      </c>
      <c r="E47" s="7" t="n">
        <v>0.03</v>
      </c>
      <c r="F47" s="7" t="n">
        <v>0.08</v>
      </c>
      <c r="G47" s="8" t="s">
        <v>72</v>
      </c>
      <c r="H47" s="4" t="s">
        <v>174</v>
      </c>
      <c r="I47" s="8" t="s">
        <v>175</v>
      </c>
    </row>
    <row r="48" customFormat="false" ht="17.15" hidden="false" customHeight="false" outlineLevel="0" collapsed="false">
      <c r="A48" s="0" t="s">
        <v>176</v>
      </c>
      <c r="B48" s="4" t="s">
        <v>177</v>
      </c>
      <c r="C48" s="0" t="s">
        <v>52</v>
      </c>
      <c r="D48" s="7" t="n">
        <v>-0.08</v>
      </c>
      <c r="E48" s="7" t="n">
        <v>0.02</v>
      </c>
      <c r="F48" s="7" t="n">
        <v>0.06</v>
      </c>
      <c r="G48" s="8" t="s">
        <v>72</v>
      </c>
      <c r="H48" s="4" t="s">
        <v>38</v>
      </c>
      <c r="I48" s="8" t="s">
        <v>117</v>
      </c>
    </row>
    <row r="49" customFormat="false" ht="17.15" hidden="false" customHeight="false" outlineLevel="0" collapsed="false">
      <c r="A49" s="0" t="s">
        <v>178</v>
      </c>
      <c r="B49" s="4" t="s">
        <v>179</v>
      </c>
      <c r="C49" s="0" t="s">
        <v>52</v>
      </c>
      <c r="D49" s="7" t="n">
        <v>-0.08</v>
      </c>
      <c r="E49" s="7" t="n">
        <v>0.02</v>
      </c>
      <c r="F49" s="7" t="n">
        <v>0.06</v>
      </c>
      <c r="G49" s="8" t="s">
        <v>72</v>
      </c>
      <c r="H49" s="4" t="s">
        <v>38</v>
      </c>
      <c r="I49" s="8" t="s">
        <v>117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52</v>
      </c>
      <c r="D50" s="7" t="n">
        <v>-0.1</v>
      </c>
      <c r="E50" s="7" t="n">
        <v>-0.02</v>
      </c>
      <c r="F50" s="7" t="n">
        <v>0.05</v>
      </c>
      <c r="G50" s="8" t="s">
        <v>72</v>
      </c>
      <c r="H50" s="4" t="s">
        <v>182</v>
      </c>
      <c r="I50" s="8" t="s">
        <v>183</v>
      </c>
    </row>
    <row r="51" customFormat="false" ht="17.15" hidden="false" customHeight="false" outlineLevel="0" collapsed="false">
      <c r="A51" s="0" t="s">
        <v>184</v>
      </c>
      <c r="B51" s="4" t="s">
        <v>185</v>
      </c>
      <c r="C51" s="0" t="s">
        <v>52</v>
      </c>
      <c r="D51" s="7" t="n">
        <v>-0.1</v>
      </c>
      <c r="E51" s="7" t="n">
        <v>0</v>
      </c>
      <c r="F51" s="7" t="n">
        <v>0.05</v>
      </c>
      <c r="G51" s="8" t="s">
        <v>72</v>
      </c>
      <c r="H51" s="4" t="s">
        <v>38</v>
      </c>
      <c r="I51" s="8" t="s">
        <v>117</v>
      </c>
    </row>
    <row r="52" customFormat="false" ht="17.15" hidden="false" customHeight="false" outlineLevel="0" collapsed="false">
      <c r="A52" s="0" t="s">
        <v>186</v>
      </c>
      <c r="B52" s="4" t="s">
        <v>187</v>
      </c>
      <c r="C52" s="0" t="s">
        <v>52</v>
      </c>
      <c r="D52" s="7" t="n">
        <v>-0.1</v>
      </c>
      <c r="E52" s="7" t="n">
        <v>0</v>
      </c>
      <c r="F52" s="7" t="n">
        <v>0.05</v>
      </c>
      <c r="G52" s="8" t="s">
        <v>72</v>
      </c>
      <c r="H52" s="4" t="s">
        <v>38</v>
      </c>
      <c r="I52" s="8" t="s">
        <v>117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52</v>
      </c>
      <c r="D53" s="7" t="n">
        <v>-0.05</v>
      </c>
      <c r="E53" s="7" t="n">
        <v>0.08</v>
      </c>
      <c r="F53" s="7" t="n">
        <v>0.3</v>
      </c>
      <c r="G53" s="8" t="s">
        <v>72</v>
      </c>
      <c r="H53" s="4" t="s">
        <v>190</v>
      </c>
      <c r="I53" s="8" t="s">
        <v>191</v>
      </c>
    </row>
    <row r="54" customFormat="false" ht="17.15" hidden="false" customHeight="false" outlineLevel="0" collapsed="false">
      <c r="A54" s="0" t="s">
        <v>192</v>
      </c>
      <c r="B54" s="4" t="s">
        <v>193</v>
      </c>
      <c r="C54" s="0" t="s">
        <v>52</v>
      </c>
      <c r="D54" s="7" t="n">
        <v>-0.05</v>
      </c>
      <c r="E54" s="7" t="n">
        <v>0.06</v>
      </c>
      <c r="F54" s="7" t="n">
        <v>0.2</v>
      </c>
      <c r="G54" s="8" t="s">
        <v>72</v>
      </c>
      <c r="H54" s="4" t="s">
        <v>38</v>
      </c>
      <c r="I54" s="8" t="s">
        <v>117</v>
      </c>
    </row>
    <row r="55" customFormat="false" ht="17.15" hidden="false" customHeight="false" outlineLevel="0" collapsed="false">
      <c r="A55" s="0" t="s">
        <v>194</v>
      </c>
      <c r="B55" s="4" t="s">
        <v>195</v>
      </c>
      <c r="C55" s="0" t="s">
        <v>52</v>
      </c>
      <c r="D55" s="7" t="n">
        <v>-0.05</v>
      </c>
      <c r="E55" s="7" t="n">
        <v>0.05</v>
      </c>
      <c r="F55" s="7" t="n">
        <v>0.15</v>
      </c>
      <c r="G55" s="8" t="s">
        <v>72</v>
      </c>
      <c r="H55" s="4" t="s">
        <v>38</v>
      </c>
      <c r="I55" s="8" t="s">
        <v>117</v>
      </c>
    </row>
    <row r="56" customFormat="false" ht="17.15" hidden="false" customHeight="false" outlineLevel="0" collapsed="false">
      <c r="A56" s="6" t="s">
        <v>196</v>
      </c>
    </row>
    <row r="57" customFormat="false" ht="17.15" hidden="false" customHeight="false" outlineLevel="0" collapsed="false">
      <c r="A57" s="0" t="s">
        <v>197</v>
      </c>
      <c r="B57" s="0" t="s">
        <v>198</v>
      </c>
      <c r="C57" s="0" t="s">
        <v>199</v>
      </c>
      <c r="D57" s="7" t="n">
        <v>-0.015</v>
      </c>
      <c r="E57" s="7" t="n">
        <v>-0.005</v>
      </c>
      <c r="F57" s="7" t="n">
        <v>0.005</v>
      </c>
      <c r="G57" s="8" t="s">
        <v>72</v>
      </c>
      <c r="H57" s="4" t="s">
        <v>200</v>
      </c>
      <c r="I57" s="4" t="s">
        <v>201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199</v>
      </c>
      <c r="D58" s="7" t="n">
        <v>-0.005</v>
      </c>
      <c r="E58" s="7" t="n">
        <v>-0.002</v>
      </c>
      <c r="F58" s="7" t="n">
        <v>0</v>
      </c>
      <c r="G58" s="8" t="s">
        <v>72</v>
      </c>
      <c r="H58" s="4" t="s">
        <v>204</v>
      </c>
      <c r="I58" s="4" t="s">
        <v>205</v>
      </c>
    </row>
    <row r="59" customFormat="false" ht="17.15" hidden="false" customHeight="false" outlineLevel="0" collapsed="false">
      <c r="A59" s="6" t="s">
        <v>206</v>
      </c>
    </row>
    <row r="60" customFormat="false" ht="17.15" hidden="false" customHeight="false" outlineLevel="0" collapsed="false">
      <c r="A60" s="0" t="s">
        <v>207</v>
      </c>
      <c r="B60" s="0" t="s">
        <v>208</v>
      </c>
      <c r="C60" s="0" t="s">
        <v>209</v>
      </c>
      <c r="E60" s="7" t="n">
        <v>3026.9</v>
      </c>
      <c r="G60" s="8" t="s">
        <v>135</v>
      </c>
      <c r="H60" s="8" t="s">
        <v>210</v>
      </c>
      <c r="I60" s="8" t="s">
        <v>211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52</v>
      </c>
      <c r="D61" s="7" t="n">
        <v>0</v>
      </c>
      <c r="E61" s="7" t="n">
        <v>0.15</v>
      </c>
      <c r="F61" s="7" t="n">
        <v>0.25</v>
      </c>
      <c r="G61" s="8" t="s">
        <v>145</v>
      </c>
      <c r="H61" s="4" t="s">
        <v>214</v>
      </c>
      <c r="I61" s="8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52</v>
      </c>
      <c r="D62" s="7" t="n">
        <v>0.057</v>
      </c>
      <c r="E62" s="7" t="n">
        <v>0.06</v>
      </c>
      <c r="F62" s="7" t="n">
        <v>0.063</v>
      </c>
      <c r="G62" s="8" t="s">
        <v>145</v>
      </c>
      <c r="H62" s="8" t="s">
        <v>218</v>
      </c>
      <c r="I62" s="8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52</v>
      </c>
      <c r="D63" s="7" t="n">
        <v>0.02</v>
      </c>
      <c r="E63" s="7" t="n">
        <v>0.0215</v>
      </c>
      <c r="F63" s="7" t="n">
        <v>0.024</v>
      </c>
      <c r="G63" s="8" t="s">
        <v>72</v>
      </c>
      <c r="H63" s="8" t="s">
        <v>222</v>
      </c>
      <c r="I63" s="4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52</v>
      </c>
      <c r="D64" s="7" t="n">
        <v>0.6</v>
      </c>
      <c r="E64" s="7" t="n">
        <v>0.66</v>
      </c>
      <c r="F64" s="7" t="n">
        <v>0.72</v>
      </c>
      <c r="G64" s="8" t="s">
        <v>33</v>
      </c>
      <c r="H64" s="8" t="s">
        <v>226</v>
      </c>
      <c r="I64" s="4" t="s">
        <v>227</v>
      </c>
    </row>
    <row r="65" customFormat="false" ht="17.15" hidden="false" customHeight="false" outlineLevel="0" collapsed="false">
      <c r="A65" s="0" t="s">
        <v>228</v>
      </c>
      <c r="B65" s="4" t="s">
        <v>229</v>
      </c>
      <c r="C65" s="4" t="s">
        <v>230</v>
      </c>
      <c r="E65" s="0" t="n">
        <f aca="false">(49.919+59.974)/7.84</f>
        <v>14.0169642857143</v>
      </c>
      <c r="G65" s="0" t="s">
        <v>33</v>
      </c>
      <c r="H65" s="0" t="s">
        <v>231</v>
      </c>
      <c r="I65" s="0" t="s">
        <v>232</v>
      </c>
    </row>
    <row r="66" customFormat="false" ht="17.15" hidden="false" customHeight="false" outlineLevel="0" collapsed="false">
      <c r="A66" s="6" t="s">
        <v>233</v>
      </c>
    </row>
    <row r="67" customFormat="false" ht="17.15" hidden="false" customHeight="false" outlineLevel="0" collapsed="false">
      <c r="A67" s="0" t="s">
        <v>234</v>
      </c>
      <c r="B67" s="4" t="s">
        <v>235</v>
      </c>
      <c r="C67" s="0" t="s">
        <v>71</v>
      </c>
      <c r="D67" s="7" t="n">
        <v>0.2</v>
      </c>
      <c r="E67" s="7" t="n">
        <v>0.4</v>
      </c>
      <c r="F67" s="7" t="n">
        <v>0.7</v>
      </c>
      <c r="G67" s="8" t="s">
        <v>33</v>
      </c>
      <c r="H67" s="8" t="s">
        <v>236</v>
      </c>
      <c r="I67" s="4" t="s">
        <v>237</v>
      </c>
    </row>
    <row r="68" customFormat="false" ht="17.15" hidden="false" customHeight="false" outlineLevel="0" collapsed="false">
      <c r="A68" s="0" t="s">
        <v>238</v>
      </c>
      <c r="B68" s="4" t="s">
        <v>239</v>
      </c>
      <c r="C68" s="0" t="s">
        <v>199</v>
      </c>
      <c r="D68" s="7" t="n">
        <v>-0.002</v>
      </c>
      <c r="E68" s="7" t="n">
        <v>0</v>
      </c>
      <c r="F68" s="7" t="n">
        <v>0.002</v>
      </c>
      <c r="G68" s="8" t="s">
        <v>72</v>
      </c>
      <c r="H68" s="4" t="s">
        <v>240</v>
      </c>
      <c r="I68" s="4" t="s">
        <v>241</v>
      </c>
    </row>
    <row r="69" customFormat="false" ht="17.15" hidden="false" customHeight="false" outlineLevel="0" collapsed="false">
      <c r="A69" s="0" t="s">
        <v>242</v>
      </c>
      <c r="B69" s="4" t="s">
        <v>243</v>
      </c>
      <c r="C69" s="0" t="s">
        <v>52</v>
      </c>
      <c r="D69" s="7" t="n">
        <v>0.6</v>
      </c>
      <c r="E69" s="7" t="n">
        <v>0.66</v>
      </c>
      <c r="F69" s="7" t="n">
        <v>0.73</v>
      </c>
      <c r="G69" s="8" t="s">
        <v>33</v>
      </c>
      <c r="H69" s="4" t="s">
        <v>244</v>
      </c>
      <c r="I69" s="4" t="s">
        <v>245</v>
      </c>
    </row>
    <row r="70" customFormat="false" ht="17.15" hidden="false" customHeight="false" outlineLevel="0" collapsed="false">
      <c r="A70" s="0" t="s">
        <v>246</v>
      </c>
      <c r="B70" s="4" t="s">
        <v>247</v>
      </c>
      <c r="C70" s="0" t="s">
        <v>52</v>
      </c>
      <c r="D70" s="7" t="n">
        <v>0</v>
      </c>
      <c r="E70" s="7" t="n">
        <v>0</v>
      </c>
      <c r="F70" s="7" t="n">
        <v>0.01</v>
      </c>
      <c r="G70" s="8" t="s">
        <v>72</v>
      </c>
      <c r="H70" s="8" t="s">
        <v>248</v>
      </c>
      <c r="I70" s="8" t="s">
        <v>117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71</v>
      </c>
      <c r="D71" s="7" t="n">
        <v>0.8</v>
      </c>
      <c r="E71" s="7" t="n">
        <v>1</v>
      </c>
      <c r="F71" s="7" t="n">
        <v>1.2</v>
      </c>
      <c r="G71" s="8" t="s">
        <v>72</v>
      </c>
      <c r="H71" s="4" t="s">
        <v>251</v>
      </c>
      <c r="I71" s="8" t="s">
        <v>252</v>
      </c>
    </row>
    <row r="72" customFormat="false" ht="17.15" hidden="false" customHeight="false" outlineLevel="0" collapsed="false">
      <c r="A72" s="6" t="s">
        <v>253</v>
      </c>
    </row>
    <row r="73" customFormat="false" ht="17.15" hidden="false" customHeight="false" outlineLevel="0" collapsed="false">
      <c r="A73" s="0" t="s">
        <v>254</v>
      </c>
      <c r="B73" s="4" t="s">
        <v>255</v>
      </c>
      <c r="C73" s="0" t="s">
        <v>209</v>
      </c>
      <c r="E73" s="7" t="n">
        <v>11010.682</v>
      </c>
      <c r="G73" s="8" t="s">
        <v>145</v>
      </c>
      <c r="H73" s="8" t="s">
        <v>256</v>
      </c>
      <c r="I73" s="8" t="s">
        <v>257</v>
      </c>
    </row>
    <row r="74" customFormat="false" ht="17.15" hidden="false" customHeight="false" outlineLevel="0" collapsed="false">
      <c r="A74" s="0" t="s">
        <v>258</v>
      </c>
      <c r="B74" s="4" t="s">
        <v>259</v>
      </c>
      <c r="C74" s="0" t="s">
        <v>260</v>
      </c>
      <c r="E74" s="7" t="n">
        <v>18.67</v>
      </c>
      <c r="G74" s="8" t="s">
        <v>145</v>
      </c>
      <c r="H74" s="8" t="s">
        <v>256</v>
      </c>
      <c r="I74" s="4" t="s">
        <v>261</v>
      </c>
    </row>
    <row r="75" customFormat="false" ht="17.15" hidden="false" customHeight="false" outlineLevel="0" collapsed="false">
      <c r="A75" s="0" t="s">
        <v>262</v>
      </c>
      <c r="B75" s="4" t="s">
        <v>263</v>
      </c>
      <c r="C75" s="0" t="s">
        <v>209</v>
      </c>
      <c r="E75" s="7" t="n">
        <v>14019.401</v>
      </c>
      <c r="G75" s="8" t="s">
        <v>145</v>
      </c>
      <c r="H75" s="8" t="s">
        <v>256</v>
      </c>
      <c r="I75" s="4" t="s">
        <v>264</v>
      </c>
    </row>
    <row r="76" customFormat="false" ht="17.15" hidden="false" customHeight="false" outlineLevel="0" collapsed="false">
      <c r="A76" s="0" t="s">
        <v>265</v>
      </c>
      <c r="B76" s="4" t="s">
        <v>266</v>
      </c>
      <c r="C76" s="0" t="s">
        <v>260</v>
      </c>
      <c r="E76" s="7" t="n">
        <v>22.64</v>
      </c>
      <c r="G76" s="8" t="s">
        <v>145</v>
      </c>
      <c r="H76" s="8" t="s">
        <v>256</v>
      </c>
      <c r="I76" s="8" t="s">
        <v>117</v>
      </c>
    </row>
    <row r="77" customFormat="false" ht="17.15" hidden="false" customHeight="false" outlineLevel="0" collapsed="false">
      <c r="A77" s="0" t="s">
        <v>267</v>
      </c>
      <c r="B77" s="4" t="s">
        <v>268</v>
      </c>
      <c r="C77" s="0" t="s">
        <v>260</v>
      </c>
      <c r="E77" s="7" t="n">
        <v>22</v>
      </c>
      <c r="G77" s="8" t="s">
        <v>145</v>
      </c>
      <c r="H77" s="8" t="s">
        <v>269</v>
      </c>
      <c r="I77" s="4" t="s">
        <v>270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260</v>
      </c>
      <c r="E78" s="7" t="n">
        <v>25</v>
      </c>
      <c r="G78" s="8" t="s">
        <v>145</v>
      </c>
      <c r="H78" s="8" t="s">
        <v>273</v>
      </c>
      <c r="I78" s="8" t="s">
        <v>117</v>
      </c>
    </row>
    <row r="79" customFormat="false" ht="17.15" hidden="false" customHeight="false" outlineLevel="0" collapsed="false">
      <c r="A79" s="0" t="s">
        <v>274</v>
      </c>
      <c r="B79" s="4" t="s">
        <v>275</v>
      </c>
      <c r="C79" s="0" t="s">
        <v>260</v>
      </c>
      <c r="E79" s="7" t="n">
        <v>28</v>
      </c>
      <c r="G79" s="8" t="s">
        <v>145</v>
      </c>
      <c r="H79" s="8" t="s">
        <v>276</v>
      </c>
      <c r="I79" s="4" t="s">
        <v>277</v>
      </c>
    </row>
    <row r="80" customFormat="false" ht="17.15" hidden="false" customHeight="false" outlineLevel="0" collapsed="false">
      <c r="A80" s="0" t="s">
        <v>278</v>
      </c>
      <c r="B80" s="4" t="s">
        <v>279</v>
      </c>
      <c r="C80" s="0" t="s">
        <v>52</v>
      </c>
      <c r="E80" s="7" t="n">
        <v>0.057</v>
      </c>
      <c r="G80" s="8" t="s">
        <v>145</v>
      </c>
      <c r="H80" s="8" t="s">
        <v>256</v>
      </c>
      <c r="I80" s="4" t="s">
        <v>280</v>
      </c>
    </row>
    <row r="81" customFormat="false" ht="17.15" hidden="false" customHeight="false" outlineLevel="0" collapsed="false">
      <c r="A81" s="0" t="s">
        <v>281</v>
      </c>
      <c r="B81" s="4" t="s">
        <v>282</v>
      </c>
      <c r="C81" s="0" t="s">
        <v>52</v>
      </c>
      <c r="E81" s="0" t="n">
        <f aca="false">2600/(2600+2525+2350)</f>
        <v>0.347826086956522</v>
      </c>
      <c r="G81" s="0" t="s">
        <v>145</v>
      </c>
      <c r="H81" s="4" t="s">
        <v>283</v>
      </c>
      <c r="I81" s="4" t="s">
        <v>284</v>
      </c>
    </row>
    <row r="82" customFormat="false" ht="17.15" hidden="false" customHeight="false" outlineLevel="0" collapsed="false">
      <c r="A82" s="0" t="s">
        <v>285</v>
      </c>
      <c r="B82" s="4" t="s">
        <v>286</v>
      </c>
      <c r="C82" s="0" t="s">
        <v>52</v>
      </c>
      <c r="E82" s="7" t="n">
        <v>0.44</v>
      </c>
      <c r="G82" s="8" t="s">
        <v>145</v>
      </c>
      <c r="H82" s="8" t="s">
        <v>287</v>
      </c>
      <c r="I82" s="4" t="s">
        <v>288</v>
      </c>
    </row>
    <row r="83" customFormat="false" ht="17.15" hidden="false" customHeight="false" outlineLevel="0" collapsed="false">
      <c r="A83" s="6" t="s">
        <v>289</v>
      </c>
    </row>
    <row r="84" customFormat="false" ht="17.15" hidden="false" customHeight="false" outlineLevel="0" collapsed="false">
      <c r="A84" s="0" t="s">
        <v>290</v>
      </c>
      <c r="B84" s="4" t="s">
        <v>291</v>
      </c>
      <c r="C84" s="0" t="s">
        <v>260</v>
      </c>
      <c r="E84" s="7" t="n">
        <v>245</v>
      </c>
      <c r="G84" s="8" t="s">
        <v>145</v>
      </c>
      <c r="H84" s="4" t="s">
        <v>292</v>
      </c>
      <c r="I84" s="8" t="s">
        <v>293</v>
      </c>
    </row>
    <row r="85" customFormat="false" ht="17.15" hidden="false" customHeight="false" outlineLevel="0" collapsed="false">
      <c r="A85" s="0" t="s">
        <v>294</v>
      </c>
      <c r="B85" s="4" t="s">
        <v>295</v>
      </c>
      <c r="C85" s="0" t="s">
        <v>71</v>
      </c>
      <c r="E85" s="7" t="n">
        <v>16.08</v>
      </c>
      <c r="G85" s="8" t="s">
        <v>145</v>
      </c>
      <c r="H85" s="8" t="s">
        <v>296</v>
      </c>
      <c r="I85" s="8" t="s">
        <v>297</v>
      </c>
    </row>
    <row r="86" customFormat="false" ht="17.15" hidden="false" customHeight="false" outlineLevel="0" collapsed="false">
      <c r="A86" s="6" t="s">
        <v>298</v>
      </c>
    </row>
    <row r="87" customFormat="false" ht="17.15" hidden="false" customHeight="false" outlineLevel="0" collapsed="false">
      <c r="A87" s="0" t="s">
        <v>299</v>
      </c>
      <c r="B87" s="4" t="s">
        <v>300</v>
      </c>
      <c r="C87" s="4" t="s">
        <v>301</v>
      </c>
      <c r="E87" s="9" t="n">
        <v>0.3</v>
      </c>
      <c r="G87" s="8" t="s">
        <v>72</v>
      </c>
      <c r="H87" s="8" t="s">
        <v>302</v>
      </c>
      <c r="I87" s="4" t="s">
        <v>303</v>
      </c>
    </row>
    <row r="88" customFormat="false" ht="17.15" hidden="false" customHeight="false" outlineLevel="0" collapsed="false">
      <c r="A88" s="0" t="s">
        <v>304</v>
      </c>
      <c r="B88" s="4" t="s">
        <v>305</v>
      </c>
      <c r="C88" s="4" t="s">
        <v>301</v>
      </c>
      <c r="E88" s="9" t="n">
        <v>0.5</v>
      </c>
      <c r="G88" s="8" t="s">
        <v>72</v>
      </c>
      <c r="H88" s="8" t="s">
        <v>302</v>
      </c>
      <c r="I88" s="4" t="s">
        <v>303</v>
      </c>
    </row>
    <row r="89" customFormat="false" ht="17.15" hidden="false" customHeight="false" outlineLevel="0" collapsed="false">
      <c r="A89" s="0" t="s">
        <v>306</v>
      </c>
      <c r="B89" s="4" t="s">
        <v>307</v>
      </c>
      <c r="C89" s="4" t="s">
        <v>301</v>
      </c>
      <c r="E89" s="9" t="n">
        <v>0.2</v>
      </c>
      <c r="G89" s="8" t="s">
        <v>72</v>
      </c>
      <c r="H89" s="8" t="s">
        <v>302</v>
      </c>
      <c r="I89" s="4" t="s">
        <v>303</v>
      </c>
    </row>
    <row r="90" customFormat="false" ht="17.15" hidden="false" customHeight="false" outlineLevel="0" collapsed="false">
      <c r="A90" s="6" t="s">
        <v>308</v>
      </c>
    </row>
    <row r="91" customFormat="false" ht="17.15" hidden="false" customHeight="false" outlineLevel="0" collapsed="false">
      <c r="A91" s="0" t="s">
        <v>309</v>
      </c>
      <c r="B91" s="4" t="s">
        <v>310</v>
      </c>
      <c r="C91" s="0" t="s">
        <v>52</v>
      </c>
      <c r="E91" s="9" t="n">
        <v>0.1</v>
      </c>
      <c r="G91" s="8" t="s">
        <v>72</v>
      </c>
      <c r="H91" s="8" t="s">
        <v>311</v>
      </c>
      <c r="I91" s="8" t="s">
        <v>312</v>
      </c>
    </row>
    <row r="92" customFormat="false" ht="17.15" hidden="false" customHeight="false" outlineLevel="0" collapsed="false">
      <c r="A92" s="0" t="s">
        <v>313</v>
      </c>
      <c r="B92" s="4" t="s">
        <v>314</v>
      </c>
      <c r="C92" s="0" t="s">
        <v>52</v>
      </c>
      <c r="E92" s="9" t="n">
        <v>0.04</v>
      </c>
      <c r="G92" s="8" t="s">
        <v>72</v>
      </c>
      <c r="H92" s="8" t="s">
        <v>315</v>
      </c>
      <c r="I92" s="8" t="s">
        <v>316</v>
      </c>
    </row>
    <row r="93" customFormat="false" ht="17.15" hidden="false" customHeight="false" outlineLevel="0" collapsed="false">
      <c r="A93" s="0" t="s">
        <v>317</v>
      </c>
      <c r="B93" s="0" t="s">
        <v>318</v>
      </c>
      <c r="C93" s="0" t="s">
        <v>52</v>
      </c>
      <c r="E93" s="10" t="n">
        <f aca="false">AVERAGE(0.0928,0.0971,0.1125)</f>
        <v>0.1008</v>
      </c>
      <c r="G93" s="8" t="s">
        <v>33</v>
      </c>
      <c r="H93" s="8" t="s">
        <v>319</v>
      </c>
      <c r="I93" s="4" t="s">
        <v>320</v>
      </c>
    </row>
    <row r="94" customFormat="false" ht="17.15" hidden="false" customHeight="false" outlineLevel="0" collapsed="false">
      <c r="A94" s="0" t="s">
        <v>321</v>
      </c>
      <c r="B94" s="4" t="s">
        <v>322</v>
      </c>
      <c r="C94" s="0" t="s">
        <v>52</v>
      </c>
      <c r="E94" s="9" t="n">
        <v>0.5</v>
      </c>
      <c r="G94" s="8" t="s">
        <v>72</v>
      </c>
      <c r="H94" s="8" t="s">
        <v>323</v>
      </c>
      <c r="I94" s="8" t="s">
        <v>324</v>
      </c>
    </row>
    <row r="95" customFormat="false" ht="17.15" hidden="false" customHeight="false" outlineLevel="0" collapsed="false">
      <c r="A95" s="0" t="s">
        <v>325</v>
      </c>
      <c r="B95" s="4" t="s">
        <v>326</v>
      </c>
      <c r="C95" s="0" t="s">
        <v>52</v>
      </c>
      <c r="E95" s="10" t="n">
        <f aca="false">tp_g+0.02</f>
        <v>0.06</v>
      </c>
      <c r="G95" s="8" t="s">
        <v>72</v>
      </c>
      <c r="H95" s="4" t="s">
        <v>327</v>
      </c>
      <c r="I95" s="8" t="s">
        <v>328</v>
      </c>
    </row>
    <row r="96" customFormat="false" ht="17.15" hidden="false" customHeight="false" outlineLevel="0" collapsed="false">
      <c r="A96" s="0" t="s">
        <v>329</v>
      </c>
      <c r="B96" s="4" t="s">
        <v>330</v>
      </c>
      <c r="C96" s="0" t="s">
        <v>52</v>
      </c>
      <c r="E96" s="10" t="n">
        <f aca="false">tp_g</f>
        <v>0.04</v>
      </c>
      <c r="G96" s="8" t="s">
        <v>72</v>
      </c>
      <c r="H96" s="4" t="s">
        <v>38</v>
      </c>
      <c r="I96" s="8" t="s">
        <v>117</v>
      </c>
    </row>
    <row r="97" customFormat="false" ht="17.15" hidden="false" customHeight="false" outlineLevel="0" collapsed="false">
      <c r="A97" s="0" t="s">
        <v>331</v>
      </c>
      <c r="B97" s="4" t="s">
        <v>332</v>
      </c>
      <c r="C97" s="0" t="s">
        <v>52</v>
      </c>
      <c r="E97" s="10" t="n">
        <f aca="false">tp_g-0.02</f>
        <v>0.02</v>
      </c>
      <c r="G97" s="8" t="s">
        <v>72</v>
      </c>
      <c r="H97" s="4" t="s">
        <v>38</v>
      </c>
      <c r="I97" s="8" t="s">
        <v>117</v>
      </c>
    </row>
    <row r="98" customFormat="false" ht="17.15" hidden="false" customHeight="false" outlineLevel="0" collapsed="false">
      <c r="A98" s="0" t="s">
        <v>333</v>
      </c>
      <c r="B98" s="4" t="s">
        <v>334</v>
      </c>
      <c r="C98" s="0" t="s">
        <v>71</v>
      </c>
      <c r="E98" s="9" t="n">
        <v>0.8</v>
      </c>
      <c r="G98" s="8" t="s">
        <v>72</v>
      </c>
      <c r="H98" s="4" t="s">
        <v>335</v>
      </c>
      <c r="I98" s="4" t="s">
        <v>336</v>
      </c>
    </row>
    <row r="99" customFormat="false" ht="17.15" hidden="false" customHeight="false" outlineLevel="0" collapsed="false">
      <c r="A99" s="0" t="s">
        <v>337</v>
      </c>
      <c r="B99" s="4" t="s">
        <v>338</v>
      </c>
      <c r="C99" s="0" t="s">
        <v>260</v>
      </c>
      <c r="E99" s="7" t="n">
        <v>347.45</v>
      </c>
      <c r="G99" s="8" t="s">
        <v>145</v>
      </c>
      <c r="H99" s="8" t="s">
        <v>339</v>
      </c>
      <c r="I99" s="4" t="s">
        <v>340</v>
      </c>
    </row>
    <row r="100" customFormat="false" ht="17.15" hidden="false" customHeight="false" outlineLevel="0" collapsed="false">
      <c r="A100" s="0" t="s">
        <v>341</v>
      </c>
      <c r="B100" s="4" t="s">
        <v>342</v>
      </c>
      <c r="C100" s="0" t="s">
        <v>260</v>
      </c>
      <c r="E100" s="0" t="n">
        <f aca="false">239.5/11.37</f>
        <v>21.0642040457344</v>
      </c>
      <c r="G100" s="0" t="s">
        <v>145</v>
      </c>
      <c r="H100" s="0" t="s">
        <v>343</v>
      </c>
      <c r="I100" s="4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345</v>
      </c>
    </row>
    <row r="2" customFormat="false" ht="17.15" hidden="false" customHeight="false" outlineLevel="0" collapsed="false">
      <c r="A2" s="0" t="s">
        <v>346</v>
      </c>
    </row>
    <row r="3" customFormat="false" ht="17.15" hidden="false" customHeight="false" outlineLevel="0" collapsed="false">
      <c r="A3" s="5" t="s">
        <v>21</v>
      </c>
      <c r="B3" s="11" t="s">
        <v>347</v>
      </c>
      <c r="C3" s="11" t="s">
        <v>348</v>
      </c>
      <c r="D3" s="11" t="s">
        <v>349</v>
      </c>
      <c r="E3" s="11" t="s">
        <v>350</v>
      </c>
      <c r="F3" s="11" t="s">
        <v>351</v>
      </c>
      <c r="G3" s="5" t="s">
        <v>26</v>
      </c>
      <c r="H3" s="5" t="s">
        <v>352</v>
      </c>
      <c r="I3" s="5" t="s">
        <v>28</v>
      </c>
    </row>
    <row r="4" customFormat="false" ht="17.15" hidden="false" customHeight="false" outlineLevel="0" collapsed="false">
      <c r="A4" s="4" t="s">
        <v>353</v>
      </c>
      <c r="B4" s="12" t="n">
        <v>8103.105</v>
      </c>
      <c r="C4" s="13" t="n">
        <f aca="false">7669.8-q3_rev</f>
        <v>4642.9</v>
      </c>
      <c r="D4" s="13" t="n">
        <f aca="false">q3_rev</f>
        <v>3026.9</v>
      </c>
      <c r="E4" s="13" t="n">
        <f aca="false">D4*(1+q4g)</f>
        <v>3480.935</v>
      </c>
      <c r="F4" s="13" t="n">
        <f aca="false">SUM(C4:E4)</f>
        <v>11150.735</v>
      </c>
      <c r="G4" s="8" t="s">
        <v>354</v>
      </c>
      <c r="H4" s="8" t="s">
        <v>355</v>
      </c>
      <c r="I4" s="8" t="s">
        <v>356</v>
      </c>
    </row>
    <row r="5" customFormat="false" ht="17.15" hidden="false" customHeight="false" outlineLevel="0" collapsed="false">
      <c r="A5" s="4" t="s">
        <v>357</v>
      </c>
      <c r="B5" s="12" t="n">
        <v>498.161</v>
      </c>
      <c r="C5" s="13" t="n">
        <f aca="false">(C4-2525.894)*0.0618+154.533</f>
        <v>285.3639708</v>
      </c>
      <c r="D5" s="13" t="n">
        <f aca="false">D4*q_gm</f>
        <v>181.614</v>
      </c>
      <c r="E5" s="13" t="n">
        <f aca="false">E4*q_gm</f>
        <v>208.8561</v>
      </c>
      <c r="F5" s="13" t="n">
        <f aca="false">SUM(C5:E5)</f>
        <v>675.8340708</v>
      </c>
      <c r="G5" s="8" t="s">
        <v>358</v>
      </c>
      <c r="H5" s="8" t="s">
        <v>355</v>
      </c>
      <c r="I5" s="8" t="s">
        <v>359</v>
      </c>
    </row>
    <row r="6" customFormat="false" ht="15" hidden="false" customHeight="false" outlineLevel="0" collapsed="false">
      <c r="A6" s="4" t="s">
        <v>360</v>
      </c>
      <c r="B6" s="14" t="n">
        <f aca="false">B5/B4</f>
        <v>0.0614777915379352</v>
      </c>
      <c r="C6" s="14" t="n">
        <f aca="false">C5/C4</f>
        <v>0.0614624417497685</v>
      </c>
      <c r="D6" s="14" t="n">
        <f aca="false">D5/D4</f>
        <v>0.06</v>
      </c>
      <c r="E6" s="14" t="n">
        <f aca="false">E5/E4</f>
        <v>0.06</v>
      </c>
      <c r="F6" s="14" t="n">
        <f aca="false">F5/F4</f>
        <v>0.0606089258510762</v>
      </c>
      <c r="G6" s="8" t="s">
        <v>33</v>
      </c>
      <c r="H6" s="8" t="s">
        <v>117</v>
      </c>
      <c r="I6" s="8" t="s">
        <v>117</v>
      </c>
    </row>
    <row r="7" customFormat="false" ht="17.15" hidden="false" customHeight="false" outlineLevel="0" collapsed="false">
      <c r="A7" s="4" t="s">
        <v>361</v>
      </c>
      <c r="B7" s="13" t="n">
        <f aca="false">B5-B8</f>
        <v>238.938</v>
      </c>
      <c r="C7" s="13" t="n">
        <f aca="false">C5-C8</f>
        <v>114.9119708</v>
      </c>
      <c r="D7" s="13" t="n">
        <f aca="false">D4*q_opx</f>
        <v>65.07835</v>
      </c>
      <c r="E7" s="13" t="n">
        <f aca="false">E4*q_opx</f>
        <v>74.8401025</v>
      </c>
      <c r="F7" s="13" t="n">
        <f aca="false">SUM(C7:E7)</f>
        <v>254.8304233</v>
      </c>
      <c r="G7" s="8" t="s">
        <v>362</v>
      </c>
      <c r="H7" s="8" t="s">
        <v>355</v>
      </c>
      <c r="I7" s="8" t="s">
        <v>363</v>
      </c>
    </row>
    <row r="8" customFormat="false" ht="17.15" hidden="false" customHeight="false" outlineLevel="0" collapsed="false">
      <c r="A8" s="4" t="s">
        <v>364</v>
      </c>
      <c r="B8" s="12" t="n">
        <v>259.223</v>
      </c>
      <c r="C8" s="13" t="n">
        <f aca="false">75.649+94.803</f>
        <v>170.452</v>
      </c>
      <c r="D8" s="13" t="n">
        <f aca="false">D5-D7</f>
        <v>116.53565</v>
      </c>
      <c r="E8" s="13" t="n">
        <f aca="false">E5-E7</f>
        <v>134.0159975</v>
      </c>
      <c r="F8" s="13" t="n">
        <f aca="false">SUM(C8:E8)</f>
        <v>421.0036475</v>
      </c>
      <c r="G8" s="8" t="s">
        <v>365</v>
      </c>
      <c r="H8" s="8" t="s">
        <v>355</v>
      </c>
      <c r="I8" s="8" t="s">
        <v>366</v>
      </c>
    </row>
    <row r="9" customFormat="false" ht="15" hidden="false" customHeight="false" outlineLevel="0" collapsed="false">
      <c r="A9" s="4" t="s">
        <v>367</v>
      </c>
      <c r="B9" s="14" t="n">
        <f aca="false">B8/B4</f>
        <v>0.0319905764518663</v>
      </c>
      <c r="C9" s="14" t="n">
        <f aca="false">C8/C4</f>
        <v>0.0367123995778501</v>
      </c>
      <c r="D9" s="14" t="n">
        <f aca="false">D8/D4</f>
        <v>0.0385</v>
      </c>
      <c r="E9" s="14" t="n">
        <f aca="false">E8/E4</f>
        <v>0.0385</v>
      </c>
      <c r="F9" s="14" t="n">
        <f aca="false">F8/F4</f>
        <v>0.0377556858359561</v>
      </c>
      <c r="G9" s="8" t="s">
        <v>33</v>
      </c>
      <c r="H9" s="8" t="s">
        <v>117</v>
      </c>
      <c r="I9" s="8" t="s">
        <v>117</v>
      </c>
    </row>
    <row r="10" customFormat="false" ht="17.15" hidden="false" customHeight="false" outlineLevel="0" collapsed="false">
      <c r="A10" s="4" t="s">
        <v>368</v>
      </c>
      <c r="B10" s="12" t="n">
        <v>189.354</v>
      </c>
      <c r="C10" s="13" t="n">
        <f aca="false">49.919+59.974</f>
        <v>109.893</v>
      </c>
      <c r="D10" s="13" t="n">
        <f aca="false">D8*q_nio</f>
        <v>76.913529</v>
      </c>
      <c r="E10" s="13" t="n">
        <f aca="false">E8*q_nio</f>
        <v>88.45055835</v>
      </c>
      <c r="F10" s="13" t="n">
        <f aca="false">SUM(C10:E10)</f>
        <v>275.25708735</v>
      </c>
      <c r="G10" s="8" t="s">
        <v>369</v>
      </c>
      <c r="H10" s="8" t="s">
        <v>355</v>
      </c>
      <c r="I10" s="8" t="s">
        <v>370</v>
      </c>
    </row>
    <row r="11" customFormat="false" ht="17.15" hidden="false" customHeight="false" outlineLevel="0" collapsed="false">
      <c r="A11" s="4" t="s">
        <v>371</v>
      </c>
      <c r="B11" s="15" t="n">
        <f aca="false">B10/B8</f>
        <v>0.730467589681471</v>
      </c>
      <c r="C11" s="15" t="n">
        <f aca="false">C10/C8</f>
        <v>0.644715227747401</v>
      </c>
      <c r="D11" s="15" t="n">
        <f aca="false">D10/D8</f>
        <v>0.66</v>
      </c>
      <c r="E11" s="15" t="n">
        <f aca="false">E10/E8</f>
        <v>0.66</v>
      </c>
      <c r="F11" s="15" t="n">
        <f aca="false">F10/F8</f>
        <v>0.653811645064191</v>
      </c>
      <c r="G11" s="8" t="s">
        <v>33</v>
      </c>
      <c r="H11" s="8" t="s">
        <v>117</v>
      </c>
      <c r="I11" s="8" t="s">
        <v>117</v>
      </c>
    </row>
    <row r="12" customFormat="false" ht="17.15" hidden="false" customHeight="false" outlineLevel="0" collapsed="false">
      <c r="A12" s="4" t="s">
        <v>372</v>
      </c>
      <c r="B12" s="13" t="n">
        <f aca="false">189.354/13.61</f>
        <v>13.9128581925055</v>
      </c>
      <c r="C12" s="13" t="n">
        <f aca="false">q_sh</f>
        <v>14.0169642857143</v>
      </c>
      <c r="D12" s="13" t="n">
        <f aca="false">q_sh</f>
        <v>14.0169642857143</v>
      </c>
      <c r="E12" s="13" t="n">
        <f aca="false">q_sh</f>
        <v>14.0169642857143</v>
      </c>
      <c r="F12" s="13" t="n">
        <f aca="false">q_sh</f>
        <v>14.0169642857143</v>
      </c>
      <c r="G12" s="8" t="s">
        <v>33</v>
      </c>
      <c r="H12" s="8" t="s">
        <v>355</v>
      </c>
      <c r="I12" s="4" t="s">
        <v>373</v>
      </c>
    </row>
    <row r="13" customFormat="false" ht="17.15" hidden="false" customHeight="false" outlineLevel="0" collapsed="false">
      <c r="A13" s="0" t="s">
        <v>374</v>
      </c>
      <c r="B13" s="16" t="n">
        <f aca="false">B10/B12</f>
        <v>13.61</v>
      </c>
      <c r="C13" s="16" t="n">
        <f aca="false">C10/C12</f>
        <v>7.84</v>
      </c>
      <c r="D13" s="16" t="n">
        <f aca="false">D10/D12</f>
        <v>5.48717450028664</v>
      </c>
      <c r="E13" s="16" t="n">
        <f aca="false">E10/E12</f>
        <v>6.31025067532964</v>
      </c>
      <c r="F13" s="16" t="n">
        <f aca="false">F10/F12</f>
        <v>19.6374251756163</v>
      </c>
      <c r="G13" s="8" t="s">
        <v>33</v>
      </c>
      <c r="H13" s="4" t="s">
        <v>375</v>
      </c>
      <c r="I13" s="8" t="s">
        <v>117</v>
      </c>
    </row>
    <row r="14" customFormat="false" ht="17.15" hidden="false" customHeight="false" outlineLevel="0" collapsed="false">
      <c r="A14" s="4" t="s">
        <v>376</v>
      </c>
      <c r="B14" s="17" t="n">
        <v>13.61</v>
      </c>
      <c r="C14" s="17" t="n">
        <v>7.84</v>
      </c>
      <c r="G14" s="8" t="s">
        <v>135</v>
      </c>
      <c r="H14" s="8" t="s">
        <v>355</v>
      </c>
      <c r="I14" s="8" t="s">
        <v>377</v>
      </c>
    </row>
    <row r="15" customFormat="false" ht="17.15" hidden="false" customHeight="false" outlineLevel="0" collapsed="false">
      <c r="A15" s="0" t="s">
        <v>378</v>
      </c>
      <c r="B15" s="13" t="n">
        <f aca="false">B4*cl_25*ais_25</f>
        <v>1620.621</v>
      </c>
      <c r="F15" s="13" t="n">
        <f aca="false">F4*cl_26*ais_26</f>
        <v>3545.93373</v>
      </c>
      <c r="G15" s="8" t="s">
        <v>379</v>
      </c>
      <c r="H15" s="4" t="s">
        <v>380</v>
      </c>
      <c r="I15" s="4" t="s">
        <v>381</v>
      </c>
    </row>
    <row r="16" customFormat="false" ht="17.15" hidden="false" customHeight="false" outlineLevel="0" collapsed="false">
      <c r="A16" s="4" t="s">
        <v>382</v>
      </c>
      <c r="B16" s="13" t="n">
        <f aca="false">B4*cl_25-B15</f>
        <v>1620.621</v>
      </c>
      <c r="F16" s="13" t="n">
        <f aca="false">F4*cl_26-F15</f>
        <v>2363.95582</v>
      </c>
      <c r="G16" s="8" t="s">
        <v>33</v>
      </c>
      <c r="H16" s="8" t="s">
        <v>117</v>
      </c>
      <c r="I16" s="8" t="s">
        <v>117</v>
      </c>
    </row>
    <row r="17" customFormat="false" ht="17.15" hidden="false" customHeight="false" outlineLevel="0" collapsed="false">
      <c r="A17" s="4" t="s">
        <v>383</v>
      </c>
      <c r="B17" s="13" t="n">
        <f aca="false">B4*ce_25</f>
        <v>3079.1799</v>
      </c>
      <c r="F17" s="13" t="n">
        <f aca="false">F4*ce_26</f>
        <v>3345.2205</v>
      </c>
      <c r="G17" s="8" t="s">
        <v>379</v>
      </c>
      <c r="H17" s="8" t="s">
        <v>117</v>
      </c>
      <c r="I17" s="8" t="s">
        <v>117</v>
      </c>
    </row>
    <row r="18" customFormat="false" ht="17.15" hidden="false" customHeight="false" outlineLevel="0" collapsed="false">
      <c r="A18" s="4" t="s">
        <v>384</v>
      </c>
      <c r="B18" s="13" t="n">
        <f aca="false">B4*pc_25</f>
        <v>1215.46575</v>
      </c>
      <c r="F18" s="13" t="n">
        <f aca="false">F4*pc_26</f>
        <v>1338.0882</v>
      </c>
      <c r="G18" s="8" t="s">
        <v>379</v>
      </c>
      <c r="H18" s="8" t="s">
        <v>117</v>
      </c>
      <c r="I18" s="8" t="s">
        <v>117</v>
      </c>
    </row>
    <row r="19" customFormat="false" ht="17.15" hidden="false" customHeight="false" outlineLevel="0" collapsed="false">
      <c r="A19" s="4" t="s">
        <v>385</v>
      </c>
      <c r="B19" s="13" t="n">
        <f aca="false">B4-B15-B16-B17-B18</f>
        <v>567.217349999999</v>
      </c>
      <c r="F19" s="13" t="n">
        <f aca="false">F4-F15-F16-F17-F18</f>
        <v>557.53675</v>
      </c>
      <c r="G19" s="8" t="s">
        <v>33</v>
      </c>
      <c r="H19" s="8" t="s">
        <v>117</v>
      </c>
      <c r="I19" s="8" t="s">
        <v>386</v>
      </c>
    </row>
    <row r="20" customFormat="false" ht="17.15" hidden="false" customHeight="false" outlineLevel="0" collapsed="false">
      <c r="A20" s="4" t="s">
        <v>387</v>
      </c>
      <c r="B20" s="13" t="n">
        <f aca="false">B4-B15</f>
        <v>6482.484</v>
      </c>
      <c r="F20" s="13" t="n">
        <f aca="false">F4-F15</f>
        <v>7604.80127</v>
      </c>
      <c r="G20" s="8" t="s">
        <v>33</v>
      </c>
      <c r="H20" s="8" t="s">
        <v>117</v>
      </c>
      <c r="I20" s="8" t="s">
        <v>117</v>
      </c>
    </row>
    <row r="22" customFormat="false" ht="17.15" hidden="false" customHeight="false" outlineLevel="0" collapsed="false">
      <c r="A22" s="6" t="s">
        <v>388</v>
      </c>
    </row>
    <row r="23" customFormat="false" ht="17.15" hidden="false" customHeight="false" outlineLevel="0" collapsed="false">
      <c r="A23" s="0" t="s">
        <v>389</v>
      </c>
      <c r="B23" s="15" t="n">
        <f aca="false">F4/B4-1</f>
        <v>0.376106443147411</v>
      </c>
    </row>
    <row r="24" customFormat="false" ht="17.15" hidden="false" customHeight="false" outlineLevel="0" collapsed="false">
      <c r="A24" s="0" t="s">
        <v>390</v>
      </c>
      <c r="B24" s="15" t="n">
        <f aca="false">F7/B7-1</f>
        <v>0.0665127493324627</v>
      </c>
    </row>
    <row r="25" customFormat="false" ht="17.15" hidden="false" customHeight="false" outlineLevel="0" collapsed="false">
      <c r="A25" s="4" t="s">
        <v>391</v>
      </c>
      <c r="B25" s="16" t="n">
        <f aca="false">B24/B23</f>
        <v>0.176845546106196</v>
      </c>
    </row>
    <row r="26" customFormat="false" ht="17.15" hidden="false" customHeight="false" outlineLevel="0" collapsed="false">
      <c r="A26" s="0" t="s">
        <v>392</v>
      </c>
      <c r="B26" s="15" t="n">
        <f aca="false">F4/b_rev26-1</f>
        <v>0.0127197388862923</v>
      </c>
    </row>
    <row r="27" customFormat="false" ht="17.15" hidden="false" customHeight="false" outlineLevel="0" collapsed="false">
      <c r="A27" s="0" t="s">
        <v>393</v>
      </c>
      <c r="B27" s="15" t="n">
        <f aca="false">F13/b_eps26-1</f>
        <v>0.0518170956409363</v>
      </c>
    </row>
    <row r="28" customFormat="false" ht="17.15" hidden="false" customHeight="false" outlineLevel="0" collapsed="false">
      <c r="A28" s="0" t="s">
        <v>394</v>
      </c>
      <c r="B28" s="15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395</v>
      </c>
    </row>
    <row r="3" customFormat="false" ht="15" hidden="false" customHeight="false" outlineLevel="0" collapsed="false">
      <c r="A3" s="5" t="s">
        <v>21</v>
      </c>
      <c r="B3" s="5" t="s">
        <v>22</v>
      </c>
      <c r="C3" s="11" t="s">
        <v>396</v>
      </c>
      <c r="D3" s="11" t="s">
        <v>397</v>
      </c>
      <c r="E3" s="11" t="s">
        <v>398</v>
      </c>
      <c r="F3" s="11" t="s">
        <v>399</v>
      </c>
      <c r="G3" s="5" t="s">
        <v>400</v>
      </c>
    </row>
    <row r="4" customFormat="false" ht="17.15" hidden="false" customHeight="false" outlineLevel="0" collapsed="false">
      <c r="A4" s="4" t="s">
        <v>401</v>
      </c>
      <c r="B4" s="0" t="s">
        <v>402</v>
      </c>
      <c r="C4" s="18" t="n">
        <f aca="false">PL!D80</f>
        <v>23.3995380420639</v>
      </c>
      <c r="D4" s="18" t="n">
        <f aca="false">PL!E80</f>
        <v>41.6467658260637</v>
      </c>
      <c r="E4" s="18" t="n">
        <f aca="false">PL!F80</f>
        <v>52.792138191248</v>
      </c>
      <c r="F4" s="18" t="n">
        <f aca="false">PL!G80</f>
        <v>60.1385917361116</v>
      </c>
      <c r="G4" s="8" t="s">
        <v>403</v>
      </c>
    </row>
    <row r="5" customFormat="false" ht="17.15" hidden="false" customHeight="false" outlineLevel="0" collapsed="false">
      <c r="A5" s="4" t="s">
        <v>404</v>
      </c>
      <c r="B5" s="0" t="s">
        <v>405</v>
      </c>
      <c r="C5" s="16" t="n">
        <f aca="false">PL!D81</f>
        <v>27.1209</v>
      </c>
      <c r="D5" s="16" t="n">
        <f aca="false">PL!E81</f>
        <v>27.351</v>
      </c>
      <c r="E5" s="16" t="n">
        <f aca="false">PL!F81</f>
        <v>27.351</v>
      </c>
      <c r="F5" s="16" t="n">
        <f aca="false">PL!G81</f>
        <v>27.351</v>
      </c>
      <c r="G5" s="4" t="s">
        <v>406</v>
      </c>
    </row>
    <row r="6" customFormat="false" ht="17.15" hidden="false" customHeight="false" outlineLevel="0" collapsed="false">
      <c r="A6" s="0" t="s">
        <v>407</v>
      </c>
      <c r="B6" s="0" t="s">
        <v>32</v>
      </c>
      <c r="C6" s="19" t="n">
        <f aca="false">PL!D82</f>
        <v>634.61653128501</v>
      </c>
      <c r="D6" s="19" t="n">
        <f aca="false">PL!E82</f>
        <v>1139.08069210867</v>
      </c>
      <c r="E6" s="19" t="n">
        <f aca="false">PL!F82</f>
        <v>1443.91777166882</v>
      </c>
      <c r="F6" s="19" t="n">
        <f aca="false">PL!G82</f>
        <v>1644.85062257439</v>
      </c>
      <c r="G6" s="4" t="s">
        <v>408</v>
      </c>
    </row>
    <row r="7" customFormat="false" ht="17.15" hidden="false" customHeight="false" outlineLevel="0" collapsed="false">
      <c r="A7" s="4" t="s">
        <v>409</v>
      </c>
      <c r="B7" s="0" t="s">
        <v>52</v>
      </c>
      <c r="C7" s="15" t="n">
        <f aca="false">PL!D86</f>
        <v>0.174610057569922</v>
      </c>
      <c r="D7" s="15" t="n">
        <f aca="false">PL!E86</f>
        <v>0.174610057569922</v>
      </c>
      <c r="E7" s="15" t="n">
        <f aca="false">PL!F86</f>
        <v>0.174610057569922</v>
      </c>
      <c r="F7" s="15" t="n">
        <f aca="false">PL!G86</f>
        <v>0.165879554691426</v>
      </c>
      <c r="G7" s="8" t="s">
        <v>410</v>
      </c>
    </row>
    <row r="8" customFormat="false" ht="17.15" hidden="false" customHeight="false" outlineLevel="0" collapsed="false">
      <c r="A8" s="4" t="s">
        <v>411</v>
      </c>
      <c r="B8" s="0" t="s">
        <v>32</v>
      </c>
      <c r="C8" s="19" t="n">
        <f aca="false">PL!D87/fx</f>
        <v>110.8104290625</v>
      </c>
      <c r="D8" s="19" t="n">
        <f aca="false">PL!E87/fx</f>
        <v>198.894945225881</v>
      </c>
      <c r="E8" s="19" t="n">
        <f aca="false">PL!F87/fx</f>
        <v>252.122565237327</v>
      </c>
      <c r="F8" s="19" t="n">
        <f aca="false">PL!G87/fx</f>
        <v>272.847088806554</v>
      </c>
      <c r="G8" s="4" t="s">
        <v>412</v>
      </c>
    </row>
    <row r="9" customFormat="false" ht="17.15" hidden="false" customHeight="false" outlineLevel="0" collapsed="false">
      <c r="A9" s="4" t="s">
        <v>413</v>
      </c>
      <c r="B9" s="0" t="s">
        <v>52</v>
      </c>
      <c r="C9" s="15" t="n">
        <f aca="false">PL!D88</f>
        <v>0</v>
      </c>
      <c r="D9" s="15" t="n">
        <f aca="false">PL!E88</f>
        <v>0.1</v>
      </c>
      <c r="E9" s="15" t="n">
        <f aca="false">PL!F88</f>
        <v>0.2</v>
      </c>
      <c r="F9" s="15" t="n">
        <f aca="false">PL!G88</f>
        <v>0.25</v>
      </c>
      <c r="G9" s="8" t="s">
        <v>72</v>
      </c>
    </row>
    <row r="10" customFormat="false" ht="17.15" hidden="false" customHeight="false" outlineLevel="0" collapsed="false">
      <c r="A10" s="4" t="s">
        <v>414</v>
      </c>
      <c r="B10" s="0" t="s">
        <v>32</v>
      </c>
      <c r="C10" s="19" t="n">
        <f aca="false">PL!D89/fx</f>
        <v>110.8104290625</v>
      </c>
      <c r="D10" s="19" t="n">
        <f aca="false">PL!E89/fx</f>
        <v>179.005450703293</v>
      </c>
      <c r="E10" s="19" t="n">
        <f aca="false">PL!F89/fx</f>
        <v>201.698052189862</v>
      </c>
      <c r="F10" s="19" t="n">
        <f aca="false">PL!G89/fx</f>
        <v>204.635316604916</v>
      </c>
    </row>
    <row r="11" customFormat="false" ht="17.15" hidden="false" customHeight="false" outlineLevel="0" collapsed="false">
      <c r="A11" s="4" t="s">
        <v>415</v>
      </c>
      <c r="B11" s="4" t="s">
        <v>416</v>
      </c>
      <c r="C11" s="19" t="n">
        <f aca="false">PL!D103</f>
        <v>24.0630682003257</v>
      </c>
      <c r="D11" s="19" t="n">
        <f aca="false">PL!E103</f>
        <v>29.4659178112417</v>
      </c>
      <c r="E11" s="19" t="n">
        <f aca="false">PL!F103</f>
        <v>37.3514911462707</v>
      </c>
      <c r="F11" s="19" t="n">
        <f aca="false">PL!G103</f>
        <v>40.4217909343043</v>
      </c>
      <c r="G11" s="4" t="s">
        <v>417</v>
      </c>
    </row>
    <row r="12" customFormat="false" ht="17.15" hidden="false" customHeight="false" outlineLevel="0" collapsed="false">
      <c r="A12" s="4" t="s">
        <v>418</v>
      </c>
      <c r="B12" s="0" t="s">
        <v>405</v>
      </c>
      <c r="C12" s="16" t="n">
        <f aca="false">PL!D102</f>
        <v>4.7355819103481</v>
      </c>
      <c r="D12" s="16" t="n">
        <f aca="false">PL!E102</f>
        <v>4.29818371613545</v>
      </c>
      <c r="E12" s="16" t="n">
        <f aca="false">PL!F102</f>
        <v>3.82060774767595</v>
      </c>
      <c r="F12" s="16" t="n">
        <f aca="false">PL!G102</f>
        <v>3.4027287752739</v>
      </c>
    </row>
    <row r="13" customFormat="false" ht="17.15" hidden="false" customHeight="false" outlineLevel="0" collapsed="false">
      <c r="A13" s="4" t="s">
        <v>419</v>
      </c>
      <c r="B13" s="0" t="s">
        <v>52</v>
      </c>
      <c r="C13" s="14" t="n">
        <f aca="false">PL!D109</f>
        <v>0.0571989258510762</v>
      </c>
      <c r="D13" s="14" t="n">
        <f aca="false">PL!E109</f>
        <v>0.0607188184361838</v>
      </c>
      <c r="E13" s="14" t="n">
        <f aca="false">PL!F109</f>
        <v>0.0676186841675683</v>
      </c>
      <c r="F13" s="14" t="n">
        <f aca="false">PL!G109</f>
        <v>0.0717586036063991</v>
      </c>
      <c r="G13" s="4" t="s">
        <v>420</v>
      </c>
    </row>
    <row r="14" customFormat="false" ht="17.15" hidden="false" customHeight="false" outlineLevel="0" collapsed="false">
      <c r="A14" s="4" t="s">
        <v>421</v>
      </c>
      <c r="B14" s="0" t="s">
        <v>52</v>
      </c>
      <c r="C14" s="20" t="n">
        <v>0.133896123975753</v>
      </c>
      <c r="D14" s="20" t="n">
        <v>0.133896123975753</v>
      </c>
      <c r="E14" s="20" t="n">
        <v>0.127201317776965</v>
      </c>
      <c r="F14" s="20" t="n">
        <v>0.120506511578178</v>
      </c>
      <c r="G14" s="4" t="s">
        <v>422</v>
      </c>
    </row>
    <row r="15" customFormat="false" ht="17.15" hidden="false" customHeight="false" outlineLevel="0" collapsed="false">
      <c r="A15" s="4" t="s">
        <v>423</v>
      </c>
      <c r="B15" s="0" t="s">
        <v>52</v>
      </c>
      <c r="C15" s="15" t="n">
        <f aca="false">C7+C14</f>
        <v>0.308506181545675</v>
      </c>
      <c r="D15" s="15" t="n">
        <f aca="false">D7+D14</f>
        <v>0.308506181545675</v>
      </c>
      <c r="E15" s="15" t="n">
        <f aca="false">E7+E14</f>
        <v>0.301811375346887</v>
      </c>
      <c r="F15" s="15" t="n">
        <f aca="false">F7+F14</f>
        <v>0.286386066269604</v>
      </c>
      <c r="G15" s="4" t="s">
        <v>424</v>
      </c>
    </row>
    <row r="16" customFormat="false" ht="17.15" hidden="false" customHeight="false" outlineLevel="0" collapsed="false">
      <c r="A16" s="4" t="s">
        <v>425</v>
      </c>
      <c r="B16" s="0" t="s">
        <v>32</v>
      </c>
      <c r="C16" s="19" t="n">
        <f aca="false">C6*(1-C15)</f>
        <v>438.83340847251</v>
      </c>
      <c r="D16" s="19" t="n">
        <f aca="false">D6*(1-D15)</f>
        <v>787.667257313818</v>
      </c>
      <c r="E16" s="19" t="n">
        <f aca="false">E6*(1-E15)</f>
        <v>1008.12696311364</v>
      </c>
      <c r="F16" s="19" t="n">
        <f aca="false">F6*(1-F15)</f>
        <v>1173.7883231742</v>
      </c>
    </row>
    <row r="18" customFormat="false" ht="17.15" hidden="false" customHeight="false" outlineLevel="0" collapsed="false">
      <c r="A18" s="1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427</v>
      </c>
    </row>
    <row r="3" customFormat="false" ht="17.15" hidden="false" customHeight="false" outlineLevel="0" collapsed="false">
      <c r="A3" s="5" t="s">
        <v>428</v>
      </c>
      <c r="B3" s="5" t="s">
        <v>22</v>
      </c>
      <c r="C3" s="11" t="s">
        <v>347</v>
      </c>
      <c r="D3" s="11" t="s">
        <v>429</v>
      </c>
      <c r="E3" s="11" t="s">
        <v>430</v>
      </c>
      <c r="F3" s="11" t="s">
        <v>431</v>
      </c>
      <c r="G3" s="11" t="s">
        <v>432</v>
      </c>
      <c r="H3" s="5" t="s">
        <v>400</v>
      </c>
    </row>
    <row r="4" customFormat="false" ht="17.15" hidden="false" customHeight="false" outlineLevel="0" collapsed="false">
      <c r="A4" s="1" t="s">
        <v>433</v>
      </c>
    </row>
    <row r="5" customFormat="false" ht="15" hidden="false" customHeight="false" outlineLevel="0" collapsed="false">
      <c r="A5" s="4" t="s">
        <v>353</v>
      </c>
      <c r="B5" s="0" t="s">
        <v>209</v>
      </c>
      <c r="C5" s="19" t="n">
        <f aca="false">C96</f>
        <v>8103.105</v>
      </c>
      <c r="D5" s="19" t="n">
        <f aca="false">D96</f>
        <v>11150.735</v>
      </c>
      <c r="E5" s="19" t="n">
        <f aca="false">E96</f>
        <v>13734.8481819054</v>
      </c>
      <c r="F5" s="19" t="n">
        <f aca="false">F96</f>
        <v>14777.8617946476</v>
      </c>
      <c r="G5" s="19" t="n">
        <f aca="false">G96</f>
        <v>15145.6238902376</v>
      </c>
    </row>
    <row r="6" customFormat="false" ht="15" hidden="false" customHeight="false" outlineLevel="0" collapsed="false">
      <c r="A6" s="4" t="s">
        <v>434</v>
      </c>
      <c r="B6" s="0" t="s">
        <v>52</v>
      </c>
      <c r="D6" s="15" t="n">
        <f aca="false">D99</f>
        <v>0.376106443147411</v>
      </c>
      <c r="E6" s="15" t="n">
        <f aca="false">E99</f>
        <v>0.231743753385349</v>
      </c>
      <c r="F6" s="15" t="n">
        <f aca="false">F99</f>
        <v>0.0759392167229256</v>
      </c>
      <c r="G6" s="15" t="n">
        <f aca="false">G99</f>
        <v>0.0248860153586801</v>
      </c>
    </row>
    <row r="7" customFormat="false" ht="17.15" hidden="false" customHeight="false" outlineLevel="0" collapsed="false">
      <c r="A7" s="0" t="s">
        <v>435</v>
      </c>
      <c r="B7" s="0" t="s">
        <v>209</v>
      </c>
      <c r="C7" s="19" t="n">
        <f aca="false">C89</f>
        <v>1620.621</v>
      </c>
      <c r="D7" s="19" t="n">
        <f aca="false">D89</f>
        <v>3545.93373</v>
      </c>
      <c r="E7" s="19" t="n">
        <f aca="false">E89</f>
        <v>5728.17442250538</v>
      </c>
      <c r="F7" s="19" t="n">
        <f aca="false">F89</f>
        <v>6454.33767007557</v>
      </c>
      <c r="G7" s="19" t="n">
        <f aca="false">G89</f>
        <v>6548.3301313573</v>
      </c>
    </row>
    <row r="8" customFormat="false" ht="15" hidden="false" customHeight="false" outlineLevel="0" collapsed="false">
      <c r="A8" s="4" t="s">
        <v>436</v>
      </c>
      <c r="B8" s="0" t="s">
        <v>209</v>
      </c>
      <c r="C8" s="19" t="n">
        <f aca="false">C97</f>
        <v>3241.242</v>
      </c>
      <c r="D8" s="19" t="n">
        <f aca="false">D97</f>
        <v>5909.88955</v>
      </c>
      <c r="E8" s="19" t="n">
        <f aca="false">E97</f>
        <v>8375.80494090538</v>
      </c>
      <c r="F8" s="19" t="n">
        <f aca="false">F97</f>
        <v>9313.77862994757</v>
      </c>
      <c r="G8" s="19" t="n">
        <f aca="false">G97</f>
        <v>9579.33754882162</v>
      </c>
    </row>
    <row r="9" customFormat="false" ht="15" hidden="false" customHeight="false" outlineLevel="0" collapsed="false">
      <c r="A9" s="4" t="s">
        <v>437</v>
      </c>
      <c r="B9" s="0" t="s">
        <v>209</v>
      </c>
      <c r="C9" s="19" t="n">
        <f aca="false">C92</f>
        <v>3079.1799</v>
      </c>
      <c r="D9" s="19" t="n">
        <f aca="false">D92</f>
        <v>3345.2205</v>
      </c>
      <c r="E9" s="19" t="n">
        <f aca="false">E92</f>
        <v>3445.577115</v>
      </c>
      <c r="F9" s="19" t="n">
        <f aca="false">F92</f>
        <v>3514.4886573</v>
      </c>
      <c r="G9" s="19" t="n">
        <f aca="false">G92</f>
        <v>3584.778430446</v>
      </c>
    </row>
    <row r="10" customFormat="false" ht="15" hidden="false" customHeight="false" outlineLevel="0" collapsed="false">
      <c r="A10" s="4" t="s">
        <v>438</v>
      </c>
      <c r="B10" s="0" t="s">
        <v>209</v>
      </c>
      <c r="C10" s="19" t="n">
        <f aca="false">C93</f>
        <v>1215.46575</v>
      </c>
      <c r="D10" s="19" t="n">
        <f aca="false">D93</f>
        <v>1338.0882</v>
      </c>
      <c r="E10" s="19" t="n">
        <f aca="false">E93</f>
        <v>1311.326436</v>
      </c>
      <c r="F10" s="19" t="n">
        <f aca="false">F93</f>
        <v>1311.326436</v>
      </c>
      <c r="G10" s="19" t="n">
        <f aca="false">G93</f>
        <v>1311.326436</v>
      </c>
    </row>
    <row r="11" customFormat="false" ht="15" hidden="false" customHeight="false" outlineLevel="0" collapsed="false">
      <c r="A11" s="4" t="s">
        <v>439</v>
      </c>
      <c r="B11" s="0" t="s">
        <v>209</v>
      </c>
      <c r="C11" s="19" t="n">
        <f aca="false">C94</f>
        <v>567.217349999999</v>
      </c>
      <c r="D11" s="19" t="n">
        <f aca="false">D94</f>
        <v>557.53675</v>
      </c>
      <c r="E11" s="19" t="n">
        <f aca="false">E94</f>
        <v>602.13969</v>
      </c>
      <c r="F11" s="19" t="n">
        <f aca="false">F94</f>
        <v>638.2680714</v>
      </c>
      <c r="G11" s="19" t="n">
        <f aca="false">G94</f>
        <v>670.18147497</v>
      </c>
    </row>
    <row r="12" customFormat="false" ht="17.15" hidden="false" customHeight="false" outlineLevel="0" collapsed="false">
      <c r="A12" s="4" t="s">
        <v>440</v>
      </c>
      <c r="B12" s="0" t="s">
        <v>209</v>
      </c>
      <c r="C12" s="19" t="n">
        <f aca="false">C95</f>
        <v>6482.484</v>
      </c>
      <c r="D12" s="19" t="n">
        <f aca="false">D95</f>
        <v>7604.80127</v>
      </c>
      <c r="E12" s="19" t="n">
        <f aca="false">E95</f>
        <v>8006.6737594</v>
      </c>
      <c r="F12" s="19" t="n">
        <f aca="false">F95</f>
        <v>8323.524124572</v>
      </c>
      <c r="G12" s="19" t="n">
        <f aca="false">G95</f>
        <v>8597.29375888032</v>
      </c>
    </row>
    <row r="13" customFormat="false" ht="17.15" hidden="false" customHeight="false" outlineLevel="0" collapsed="false">
      <c r="A13" s="0" t="s">
        <v>441</v>
      </c>
      <c r="B13" s="0" t="s">
        <v>52</v>
      </c>
      <c r="C13" s="15" t="n">
        <f aca="false">C100</f>
        <v>0.2</v>
      </c>
      <c r="D13" s="15" t="n">
        <f aca="false">D100</f>
        <v>0.318</v>
      </c>
      <c r="E13" s="15" t="n">
        <f aca="false">E100</f>
        <v>0.417054076364078</v>
      </c>
      <c r="F13" s="15" t="n">
        <f aca="false">F100</f>
        <v>0.436757208841491</v>
      </c>
      <c r="G13" s="15" t="n">
        <f aca="false">G100</f>
        <v>0.43235789947076</v>
      </c>
    </row>
    <row r="14" customFormat="false" ht="15" hidden="false" customHeight="false" outlineLevel="0" collapsed="false">
      <c r="A14" s="4" t="s">
        <v>357</v>
      </c>
      <c r="B14" s="0" t="s">
        <v>209</v>
      </c>
      <c r="C14" s="19" t="n">
        <f aca="false">C107</f>
        <v>498.161</v>
      </c>
      <c r="D14" s="19" t="n">
        <f aca="false">D107</f>
        <v>675.8340708</v>
      </c>
      <c r="E14" s="19" t="n">
        <f aca="false">E107</f>
        <v>845.814490205574</v>
      </c>
      <c r="F14" s="19" t="n">
        <f aca="false">F107</f>
        <v>954.148080267577</v>
      </c>
      <c r="G14" s="19" t="n">
        <f aca="false">G107</f>
        <v>1004.64146320842</v>
      </c>
    </row>
    <row r="15" customFormat="false" ht="15" hidden="false" customHeight="false" outlineLevel="0" collapsed="false">
      <c r="A15" s="4" t="s">
        <v>360</v>
      </c>
      <c r="B15" s="0" t="s">
        <v>52</v>
      </c>
      <c r="C15" s="14" t="n">
        <f aca="false">C108</f>
        <v>0.0614777915379352</v>
      </c>
      <c r="D15" s="14" t="n">
        <f aca="false">D108</f>
        <v>0.0606089258510762</v>
      </c>
      <c r="E15" s="14" t="n">
        <f aca="false">E108</f>
        <v>0.0615816410202386</v>
      </c>
      <c r="F15" s="14" t="n">
        <f aca="false">F108</f>
        <v>0.0645660443659828</v>
      </c>
      <c r="G15" s="14" t="n">
        <f aca="false">G108</f>
        <v>0.0663321280449849</v>
      </c>
    </row>
    <row r="16" customFormat="false" ht="15" hidden="false" customHeight="false" outlineLevel="0" collapsed="false">
      <c r="A16" s="4" t="s">
        <v>367</v>
      </c>
      <c r="B16" s="0" t="s">
        <v>52</v>
      </c>
      <c r="C16" s="14" t="n">
        <f aca="false">C113</f>
        <v>0.0319905764518663</v>
      </c>
      <c r="D16" s="14" t="n">
        <f aca="false">D113</f>
        <v>0.0377556858359561</v>
      </c>
      <c r="E16" s="14" t="n">
        <f aca="false">E113</f>
        <v>0.0413082049311694</v>
      </c>
      <c r="F16" s="14" t="n">
        <f aca="false">F113</f>
        <v>0.0451511412681592</v>
      </c>
      <c r="G16" s="14" t="n">
        <f aca="false">G113</f>
        <v>0.0472000815201496</v>
      </c>
    </row>
    <row r="17" customFormat="false" ht="15" hidden="false" customHeight="false" outlineLevel="0" collapsed="false">
      <c r="A17" s="4" t="s">
        <v>368</v>
      </c>
      <c r="B17" s="0" t="s">
        <v>209</v>
      </c>
      <c r="C17" s="19" t="n">
        <f aca="false">C115</f>
        <v>189.354</v>
      </c>
      <c r="D17" s="19" t="n">
        <f aca="false">D115</f>
        <v>275.25708735</v>
      </c>
      <c r="E17" s="19" t="n">
        <f aca="false">E115</f>
        <v>374.458869441787</v>
      </c>
      <c r="F17" s="19" t="n">
        <f aca="false">F115</f>
        <v>440.376634850767</v>
      </c>
      <c r="G17" s="19" t="n">
        <f aca="false">G115</f>
        <v>471.817290313209</v>
      </c>
    </row>
    <row r="18" customFormat="false" ht="15" hidden="false" customHeight="false" outlineLevel="0" collapsed="false">
      <c r="A18" s="0" t="s">
        <v>374</v>
      </c>
      <c r="B18" s="0" t="s">
        <v>260</v>
      </c>
      <c r="C18" s="16" t="n">
        <f aca="false">C117</f>
        <v>13.61</v>
      </c>
      <c r="D18" s="16" t="n">
        <f aca="false">D117</f>
        <v>19.6374251756163</v>
      </c>
      <c r="E18" s="16" t="n">
        <f aca="false">E117</f>
        <v>26.7146909850819</v>
      </c>
      <c r="F18" s="16" t="n">
        <f aca="false">F117</f>
        <v>31.4174043590585</v>
      </c>
      <c r="G18" s="16" t="n">
        <f aca="false">G117</f>
        <v>33.6604474903366</v>
      </c>
    </row>
    <row r="19" customFormat="false" ht="17.15" hidden="false" customHeight="false" outlineLevel="0" collapsed="false">
      <c r="A19" s="0" t="s">
        <v>442</v>
      </c>
      <c r="B19" s="0" t="s">
        <v>52</v>
      </c>
      <c r="D19" s="15" t="n">
        <f aca="false">D118</f>
        <v>0.442867389832203</v>
      </c>
      <c r="E19" s="15" t="n">
        <f aca="false">E118</f>
        <v>0.360396831365319</v>
      </c>
      <c r="F19" s="15" t="n">
        <f aca="false">F118</f>
        <v>0.176034728479647</v>
      </c>
      <c r="G19" s="15" t="n">
        <f aca="false">G118</f>
        <v>0.0713949219242658</v>
      </c>
    </row>
    <row r="21" customFormat="false" ht="17.15" hidden="false" customHeight="false" outlineLevel="0" collapsed="false">
      <c r="A21" s="1" t="s">
        <v>443</v>
      </c>
    </row>
    <row r="22" customFormat="false" ht="15" hidden="false" customHeight="false" outlineLevel="0" collapsed="false">
      <c r="A22" s="4" t="s">
        <v>353</v>
      </c>
      <c r="B22" s="0" t="s">
        <v>209</v>
      </c>
      <c r="C22" s="19" t="n">
        <f aca="false">C142</f>
        <v>8103.105</v>
      </c>
      <c r="D22" s="19" t="n">
        <f aca="false">D142</f>
        <v>11150.735</v>
      </c>
      <c r="E22" s="19" t="n">
        <f aca="false">E142</f>
        <v>13734.8481819054</v>
      </c>
      <c r="F22" s="19" t="n">
        <f aca="false">F142</f>
        <v>13486.9942606325</v>
      </c>
      <c r="G22" s="19" t="n">
        <f aca="false">G142</f>
        <v>14163.374370534</v>
      </c>
    </row>
    <row r="23" customFormat="false" ht="15" hidden="false" customHeight="false" outlineLevel="0" collapsed="false">
      <c r="A23" s="4" t="s">
        <v>434</v>
      </c>
      <c r="B23" s="0" t="s">
        <v>52</v>
      </c>
      <c r="D23" s="15" t="n">
        <f aca="false">D145</f>
        <v>0.376106443147411</v>
      </c>
      <c r="E23" s="15" t="n">
        <f aca="false">E145</f>
        <v>0.231743753385349</v>
      </c>
      <c r="F23" s="15" t="n">
        <f aca="false">F145</f>
        <v>-0.0180456251128751</v>
      </c>
      <c r="G23" s="15" t="n">
        <f aca="false">G145</f>
        <v>0.0501505448012143</v>
      </c>
    </row>
    <row r="24" customFormat="false" ht="17.15" hidden="false" customHeight="false" outlineLevel="0" collapsed="false">
      <c r="A24" s="0" t="s">
        <v>435</v>
      </c>
      <c r="B24" s="0" t="s">
        <v>209</v>
      </c>
      <c r="C24" s="19" t="n">
        <f aca="false">C135</f>
        <v>1620.621</v>
      </c>
      <c r="D24" s="19" t="n">
        <f aca="false">D135</f>
        <v>3545.93373</v>
      </c>
      <c r="E24" s="19" t="n">
        <f aca="false">E135</f>
        <v>5728.17442250538</v>
      </c>
      <c r="F24" s="19" t="n">
        <f aca="false">F135</f>
        <v>5163.47013606046</v>
      </c>
      <c r="G24" s="19" t="n">
        <f aca="false">G135</f>
        <v>5566.08061165371</v>
      </c>
    </row>
    <row r="25" customFormat="false" ht="15" hidden="false" customHeight="false" outlineLevel="0" collapsed="false">
      <c r="A25" s="4" t="s">
        <v>436</v>
      </c>
      <c r="B25" s="0" t="s">
        <v>209</v>
      </c>
      <c r="C25" s="19" t="n">
        <f aca="false">C143</f>
        <v>3241.242</v>
      </c>
      <c r="D25" s="19" t="n">
        <f aca="false">D143</f>
        <v>5909.88955</v>
      </c>
      <c r="E25" s="19" t="n">
        <f aca="false">E143</f>
        <v>8375.80494090538</v>
      </c>
      <c r="F25" s="19" t="n">
        <f aca="false">F143</f>
        <v>8022.91109593246</v>
      </c>
      <c r="G25" s="19" t="n">
        <f aca="false">G143</f>
        <v>8597.08802911803</v>
      </c>
    </row>
    <row r="26" customFormat="false" ht="15" hidden="false" customHeight="false" outlineLevel="0" collapsed="false">
      <c r="A26" s="4" t="s">
        <v>437</v>
      </c>
      <c r="B26" s="0" t="s">
        <v>209</v>
      </c>
      <c r="C26" s="19" t="n">
        <f aca="false">C138</f>
        <v>3079.1799</v>
      </c>
      <c r="D26" s="19" t="n">
        <f aca="false">D138</f>
        <v>3345.2205</v>
      </c>
      <c r="E26" s="19" t="n">
        <f aca="false">E138</f>
        <v>3445.577115</v>
      </c>
      <c r="F26" s="19" t="n">
        <f aca="false">F138</f>
        <v>3514.4886573</v>
      </c>
      <c r="G26" s="19" t="n">
        <f aca="false">G138</f>
        <v>3584.778430446</v>
      </c>
    </row>
    <row r="27" customFormat="false" ht="15" hidden="false" customHeight="false" outlineLevel="0" collapsed="false">
      <c r="A27" s="4" t="s">
        <v>438</v>
      </c>
      <c r="B27" s="0" t="s">
        <v>209</v>
      </c>
      <c r="C27" s="19" t="n">
        <f aca="false">C139</f>
        <v>1215.46575</v>
      </c>
      <c r="D27" s="19" t="n">
        <f aca="false">D139</f>
        <v>1338.0882</v>
      </c>
      <c r="E27" s="19" t="n">
        <f aca="false">E139</f>
        <v>1311.326436</v>
      </c>
      <c r="F27" s="19" t="n">
        <f aca="false">F139</f>
        <v>1311.326436</v>
      </c>
      <c r="G27" s="19" t="n">
        <f aca="false">G139</f>
        <v>1311.326436</v>
      </c>
    </row>
    <row r="28" customFormat="false" ht="15" hidden="false" customHeight="false" outlineLevel="0" collapsed="false">
      <c r="A28" s="4" t="s">
        <v>439</v>
      </c>
      <c r="B28" s="0" t="s">
        <v>209</v>
      </c>
      <c r="C28" s="19" t="n">
        <f aca="false">C140</f>
        <v>567.217349999999</v>
      </c>
      <c r="D28" s="19" t="n">
        <f aca="false">D140</f>
        <v>557.53675</v>
      </c>
      <c r="E28" s="19" t="n">
        <f aca="false">E140</f>
        <v>602.13969</v>
      </c>
      <c r="F28" s="19" t="n">
        <f aca="false">F140</f>
        <v>638.2680714</v>
      </c>
      <c r="G28" s="19" t="n">
        <f aca="false">G140</f>
        <v>670.18147497</v>
      </c>
    </row>
    <row r="29" customFormat="false" ht="17.15" hidden="false" customHeight="false" outlineLevel="0" collapsed="false">
      <c r="A29" s="4" t="s">
        <v>440</v>
      </c>
      <c r="B29" s="0" t="s">
        <v>209</v>
      </c>
      <c r="C29" s="19" t="n">
        <f aca="false">C141</f>
        <v>6482.484</v>
      </c>
      <c r="D29" s="19" t="n">
        <f aca="false">D141</f>
        <v>7604.80127</v>
      </c>
      <c r="E29" s="19" t="n">
        <f aca="false">E141</f>
        <v>8006.6737594</v>
      </c>
      <c r="F29" s="19" t="n">
        <f aca="false">F141</f>
        <v>8323.524124572</v>
      </c>
      <c r="G29" s="19" t="n">
        <f aca="false">G141</f>
        <v>8597.29375888032</v>
      </c>
    </row>
    <row r="30" customFormat="false" ht="17.15" hidden="false" customHeight="false" outlineLevel="0" collapsed="false">
      <c r="A30" s="0" t="s">
        <v>441</v>
      </c>
      <c r="B30" s="0" t="s">
        <v>52</v>
      </c>
      <c r="C30" s="15" t="n">
        <f aca="false">C146</f>
        <v>0.2</v>
      </c>
      <c r="D30" s="15" t="n">
        <f aca="false">D146</f>
        <v>0.318</v>
      </c>
      <c r="E30" s="15" t="n">
        <f aca="false">E146</f>
        <v>0.417054076364078</v>
      </c>
      <c r="F30" s="15" t="n">
        <f aca="false">F146</f>
        <v>0.382848100642576</v>
      </c>
      <c r="G30" s="15" t="n">
        <f aca="false">G146</f>
        <v>0.392991137989939</v>
      </c>
    </row>
    <row r="31" customFormat="false" ht="15" hidden="false" customHeight="false" outlineLevel="0" collapsed="false">
      <c r="A31" s="4" t="s">
        <v>357</v>
      </c>
      <c r="B31" s="0" t="s">
        <v>209</v>
      </c>
      <c r="C31" s="19" t="n">
        <f aca="false">C153</f>
        <v>498.161</v>
      </c>
      <c r="D31" s="19" t="n">
        <f aca="false">D153</f>
        <v>675.8340708</v>
      </c>
      <c r="E31" s="19" t="n">
        <f aca="false">E153</f>
        <v>845.814490205574</v>
      </c>
      <c r="F31" s="19" t="n">
        <f aca="false">F153</f>
        <v>866.861316182841</v>
      </c>
      <c r="G31" s="19" t="n">
        <f aca="false">G153</f>
        <v>934.156609281439</v>
      </c>
    </row>
    <row r="32" customFormat="false" ht="15" hidden="false" customHeight="false" outlineLevel="0" collapsed="false">
      <c r="A32" s="4" t="s">
        <v>360</v>
      </c>
      <c r="B32" s="0" t="s">
        <v>52</v>
      </c>
      <c r="C32" s="14" t="n">
        <f aca="false">C154</f>
        <v>0.0614777915379352</v>
      </c>
      <c r="D32" s="14" t="n">
        <f aca="false">D154</f>
        <v>0.0606089258510762</v>
      </c>
      <c r="E32" s="14" t="n">
        <f aca="false">E154</f>
        <v>0.0615816410202386</v>
      </c>
      <c r="F32" s="14" t="n">
        <f aca="false">F154</f>
        <v>0.064273870028487</v>
      </c>
      <c r="G32" s="14" t="n">
        <f aca="false">G154</f>
        <v>0.0659557944909576</v>
      </c>
    </row>
    <row r="33" customFormat="false" ht="15" hidden="false" customHeight="false" outlineLevel="0" collapsed="false">
      <c r="A33" s="4" t="s">
        <v>367</v>
      </c>
      <c r="B33" s="0" t="s">
        <v>52</v>
      </c>
      <c r="C33" s="14" t="n">
        <f aca="false">C159</f>
        <v>0.0319905764518663</v>
      </c>
      <c r="D33" s="14" t="n">
        <f aca="false">D159</f>
        <v>0.0377556858359561</v>
      </c>
      <c r="E33" s="14" t="n">
        <f aca="false">E159</f>
        <v>0.0413082049311694</v>
      </c>
      <c r="F33" s="14" t="n">
        <f aca="false">F159</f>
        <v>0.0436278638518765</v>
      </c>
      <c r="G33" s="14" t="n">
        <f aca="false">G159</f>
        <v>0.0459013654722235</v>
      </c>
    </row>
    <row r="34" customFormat="false" ht="15" hidden="false" customHeight="false" outlineLevel="0" collapsed="false">
      <c r="A34" s="4" t="s">
        <v>368</v>
      </c>
      <c r="B34" s="0" t="s">
        <v>209</v>
      </c>
      <c r="C34" s="19" t="n">
        <f aca="false">C161</f>
        <v>189.354</v>
      </c>
      <c r="D34" s="19" t="n">
        <f aca="false">D161</f>
        <v>275.25708735</v>
      </c>
      <c r="E34" s="19" t="n">
        <f aca="false">E161</f>
        <v>374.458869441787</v>
      </c>
      <c r="F34" s="19" t="n">
        <f aca="false">F161</f>
        <v>388.349774586783</v>
      </c>
      <c r="G34" s="19" t="n">
        <f aca="false">G161</f>
        <v>429.078027379192</v>
      </c>
    </row>
    <row r="35" customFormat="false" ht="15" hidden="false" customHeight="false" outlineLevel="0" collapsed="false">
      <c r="A35" s="0" t="s">
        <v>374</v>
      </c>
      <c r="B35" s="0" t="s">
        <v>260</v>
      </c>
      <c r="C35" s="16" t="n">
        <f aca="false">C163</f>
        <v>13.61</v>
      </c>
      <c r="D35" s="16" t="n">
        <f aca="false">D163</f>
        <v>19.6374251756163</v>
      </c>
      <c r="E35" s="16" t="n">
        <f aca="false">E163</f>
        <v>26.7146909850819</v>
      </c>
      <c r="F35" s="16" t="n">
        <f aca="false">F163</f>
        <v>27.705697658271</v>
      </c>
      <c r="G35" s="16" t="n">
        <f aca="false">G163</f>
        <v>30.6113377071593</v>
      </c>
    </row>
    <row r="36" customFormat="false" ht="17.15" hidden="false" customHeight="false" outlineLevel="0" collapsed="false">
      <c r="A36" s="0" t="s">
        <v>442</v>
      </c>
      <c r="B36" s="0" t="s">
        <v>52</v>
      </c>
      <c r="D36" s="15" t="n">
        <f aca="false">D164</f>
        <v>0.442867389832203</v>
      </c>
      <c r="E36" s="15" t="n">
        <f aca="false">E164</f>
        <v>0.360396831365319</v>
      </c>
      <c r="F36" s="15" t="n">
        <f aca="false">F164</f>
        <v>0.037095943716605</v>
      </c>
      <c r="G36" s="15" t="n">
        <f aca="false">G164</f>
        <v>0.104875180720125</v>
      </c>
    </row>
    <row r="38" customFormat="false" ht="17.15" hidden="false" customHeight="false" outlineLevel="0" collapsed="false">
      <c r="A38" s="1" t="s">
        <v>444</v>
      </c>
    </row>
    <row r="39" customFormat="false" ht="15" hidden="false" customHeight="false" outlineLevel="0" collapsed="false">
      <c r="A39" s="4" t="s">
        <v>353</v>
      </c>
      <c r="B39" s="0" t="s">
        <v>209</v>
      </c>
      <c r="C39" s="19" t="n">
        <f aca="false">C188</f>
        <v>8103.105</v>
      </c>
      <c r="D39" s="19" t="n">
        <f aca="false">D188</f>
        <v>11150.735</v>
      </c>
      <c r="E39" s="19" t="n">
        <f aca="false">E188</f>
        <v>13734.8481819054</v>
      </c>
      <c r="F39" s="19" t="n">
        <f aca="false">F188</f>
        <v>12196.1267266173</v>
      </c>
      <c r="G39" s="19" t="n">
        <f aca="false">G188</f>
        <v>12526.2918376947</v>
      </c>
    </row>
    <row r="40" customFormat="false" ht="15" hidden="false" customHeight="false" outlineLevel="0" collapsed="false">
      <c r="A40" s="4" t="s">
        <v>434</v>
      </c>
      <c r="B40" s="0" t="s">
        <v>52</v>
      </c>
      <c r="D40" s="15" t="n">
        <f aca="false">D191</f>
        <v>0.376106443147411</v>
      </c>
      <c r="E40" s="15" t="n">
        <f aca="false">E191</f>
        <v>0.231743753385349</v>
      </c>
      <c r="F40" s="15" t="n">
        <f aca="false">F191</f>
        <v>-0.112030466948676</v>
      </c>
      <c r="G40" s="15" t="n">
        <f aca="false">G191</f>
        <v>0.0270713086603791</v>
      </c>
    </row>
    <row r="41" customFormat="false" ht="17.15" hidden="false" customHeight="false" outlineLevel="0" collapsed="false">
      <c r="A41" s="0" t="s">
        <v>435</v>
      </c>
      <c r="B41" s="0" t="s">
        <v>209</v>
      </c>
      <c r="C41" s="19" t="n">
        <f aca="false">C181</f>
        <v>1620.621</v>
      </c>
      <c r="D41" s="19" t="n">
        <f aca="false">D181</f>
        <v>3545.93373</v>
      </c>
      <c r="E41" s="19" t="n">
        <f aca="false">E181</f>
        <v>5728.17442250538</v>
      </c>
      <c r="F41" s="19" t="n">
        <f aca="false">F181</f>
        <v>3872.60260204534</v>
      </c>
      <c r="G41" s="19" t="n">
        <f aca="false">G181</f>
        <v>3928.99807881438</v>
      </c>
    </row>
    <row r="42" customFormat="false" ht="15" hidden="false" customHeight="false" outlineLevel="0" collapsed="false">
      <c r="A42" s="4" t="s">
        <v>436</v>
      </c>
      <c r="B42" s="0" t="s">
        <v>209</v>
      </c>
      <c r="C42" s="19" t="n">
        <f aca="false">C189</f>
        <v>3241.242</v>
      </c>
      <c r="D42" s="19" t="n">
        <f aca="false">D189</f>
        <v>5909.88955</v>
      </c>
      <c r="E42" s="19" t="n">
        <f aca="false">E189</f>
        <v>8375.80494090538</v>
      </c>
      <c r="F42" s="19" t="n">
        <f aca="false">F189</f>
        <v>6732.04356191734</v>
      </c>
      <c r="G42" s="19" t="n">
        <f aca="false">G189</f>
        <v>6960.0054962787</v>
      </c>
    </row>
    <row r="43" customFormat="false" ht="15" hidden="false" customHeight="false" outlineLevel="0" collapsed="false">
      <c r="A43" s="4" t="s">
        <v>437</v>
      </c>
      <c r="B43" s="0" t="s">
        <v>209</v>
      </c>
      <c r="C43" s="19" t="n">
        <f aca="false">C184</f>
        <v>3079.1799</v>
      </c>
      <c r="D43" s="19" t="n">
        <f aca="false">D184</f>
        <v>3345.2205</v>
      </c>
      <c r="E43" s="19" t="n">
        <f aca="false">E184</f>
        <v>3445.577115</v>
      </c>
      <c r="F43" s="19" t="n">
        <f aca="false">F184</f>
        <v>3514.4886573</v>
      </c>
      <c r="G43" s="19" t="n">
        <f aca="false">G184</f>
        <v>3584.778430446</v>
      </c>
    </row>
    <row r="44" customFormat="false" ht="15" hidden="false" customHeight="false" outlineLevel="0" collapsed="false">
      <c r="A44" s="4" t="s">
        <v>438</v>
      </c>
      <c r="B44" s="0" t="s">
        <v>209</v>
      </c>
      <c r="C44" s="19" t="n">
        <f aca="false">C185</f>
        <v>1215.46575</v>
      </c>
      <c r="D44" s="19" t="n">
        <f aca="false">D185</f>
        <v>1338.0882</v>
      </c>
      <c r="E44" s="19" t="n">
        <f aca="false">E185</f>
        <v>1311.326436</v>
      </c>
      <c r="F44" s="19" t="n">
        <f aca="false">F185</f>
        <v>1311.326436</v>
      </c>
      <c r="G44" s="19" t="n">
        <f aca="false">G185</f>
        <v>1311.326436</v>
      </c>
    </row>
    <row r="45" customFormat="false" ht="15" hidden="false" customHeight="false" outlineLevel="0" collapsed="false">
      <c r="A45" s="4" t="s">
        <v>439</v>
      </c>
      <c r="B45" s="0" t="s">
        <v>209</v>
      </c>
      <c r="C45" s="19" t="n">
        <f aca="false">C186</f>
        <v>567.217349999999</v>
      </c>
      <c r="D45" s="19" t="n">
        <f aca="false">D186</f>
        <v>557.53675</v>
      </c>
      <c r="E45" s="19" t="n">
        <f aca="false">E186</f>
        <v>602.13969</v>
      </c>
      <c r="F45" s="19" t="n">
        <f aca="false">F186</f>
        <v>638.2680714</v>
      </c>
      <c r="G45" s="19" t="n">
        <f aca="false">G186</f>
        <v>670.18147497</v>
      </c>
    </row>
    <row r="46" customFormat="false" ht="17.15" hidden="false" customHeight="false" outlineLevel="0" collapsed="false">
      <c r="A46" s="4" t="s">
        <v>440</v>
      </c>
      <c r="B46" s="0" t="s">
        <v>209</v>
      </c>
      <c r="C46" s="19" t="n">
        <f aca="false">C187</f>
        <v>6482.484</v>
      </c>
      <c r="D46" s="19" t="n">
        <f aca="false">D187</f>
        <v>7604.80127</v>
      </c>
      <c r="E46" s="19" t="n">
        <f aca="false">E187</f>
        <v>8006.6737594</v>
      </c>
      <c r="F46" s="19" t="n">
        <f aca="false">F187</f>
        <v>8323.524124572</v>
      </c>
      <c r="G46" s="19" t="n">
        <f aca="false">G187</f>
        <v>8597.29375888032</v>
      </c>
    </row>
    <row r="47" customFormat="false" ht="17.15" hidden="false" customHeight="false" outlineLevel="0" collapsed="false">
      <c r="A47" s="0" t="s">
        <v>441</v>
      </c>
      <c r="B47" s="0" t="s">
        <v>52</v>
      </c>
      <c r="C47" s="15" t="n">
        <f aca="false">C192</f>
        <v>0.2</v>
      </c>
      <c r="D47" s="15" t="n">
        <f aca="false">D192</f>
        <v>0.318</v>
      </c>
      <c r="E47" s="15" t="n">
        <f aca="false">E192</f>
        <v>0.417054076364078</v>
      </c>
      <c r="F47" s="15" t="n">
        <f aca="false">F192</f>
        <v>0.317527251794917</v>
      </c>
      <c r="G47" s="15" t="n">
        <f aca="false">G192</f>
        <v>0.313660110248354</v>
      </c>
    </row>
    <row r="48" customFormat="false" ht="15" hidden="false" customHeight="false" outlineLevel="0" collapsed="false">
      <c r="A48" s="4" t="s">
        <v>357</v>
      </c>
      <c r="B48" s="0" t="s">
        <v>209</v>
      </c>
      <c r="C48" s="19" t="n">
        <f aca="false">C199</f>
        <v>498.161</v>
      </c>
      <c r="D48" s="19" t="n">
        <f aca="false">D199</f>
        <v>675.8340708</v>
      </c>
      <c r="E48" s="19" t="n">
        <f aca="false">E199</f>
        <v>845.814490205574</v>
      </c>
      <c r="F48" s="19" t="n">
        <f aca="false">F199</f>
        <v>779.574552098105</v>
      </c>
      <c r="G48" s="19" t="n">
        <f aca="false">G199</f>
        <v>816.681852736462</v>
      </c>
    </row>
    <row r="49" customFormat="false" ht="15" hidden="false" customHeight="false" outlineLevel="0" collapsed="false">
      <c r="A49" s="4" t="s">
        <v>360</v>
      </c>
      <c r="B49" s="0" t="s">
        <v>52</v>
      </c>
      <c r="C49" s="14" t="n">
        <f aca="false">C200</f>
        <v>0.0614777915379352</v>
      </c>
      <c r="D49" s="14" t="n">
        <f aca="false">D200</f>
        <v>0.0606089258510762</v>
      </c>
      <c r="E49" s="14" t="n">
        <f aca="false">E200</f>
        <v>0.0615816410202386</v>
      </c>
      <c r="F49" s="14" t="n">
        <f aca="false">F200</f>
        <v>0.0639198468147046</v>
      </c>
      <c r="G49" s="14" t="n">
        <f aca="false">G200</f>
        <v>0.0651974154297495</v>
      </c>
    </row>
    <row r="50" customFormat="false" ht="15" hidden="false" customHeight="false" outlineLevel="0" collapsed="false">
      <c r="A50" s="4" t="s">
        <v>367</v>
      </c>
      <c r="B50" s="0" t="s">
        <v>52</v>
      </c>
      <c r="C50" s="14" t="n">
        <f aca="false">C205</f>
        <v>0.0319905764518663</v>
      </c>
      <c r="D50" s="14" t="n">
        <f aca="false">D205</f>
        <v>0.0377556858359561</v>
      </c>
      <c r="E50" s="14" t="n">
        <f aca="false">E205</f>
        <v>0.0413082049311694</v>
      </c>
      <c r="F50" s="14" t="n">
        <f aca="false">F205</f>
        <v>0.0410886174374941</v>
      </c>
      <c r="G50" s="14" t="n">
        <f aca="false">G205</f>
        <v>0.0427272542192893</v>
      </c>
    </row>
    <row r="51" customFormat="false" ht="15" hidden="false" customHeight="false" outlineLevel="0" collapsed="false">
      <c r="A51" s="4" t="s">
        <v>368</v>
      </c>
      <c r="B51" s="0" t="s">
        <v>209</v>
      </c>
      <c r="C51" s="19" t="n">
        <f aca="false">C207</f>
        <v>189.354</v>
      </c>
      <c r="D51" s="19" t="n">
        <f aca="false">D207</f>
        <v>275.25708735</v>
      </c>
      <c r="E51" s="19" t="n">
        <f aca="false">E207</f>
        <v>374.458869441787</v>
      </c>
      <c r="F51" s="19" t="n">
        <f aca="false">F207</f>
        <v>330.740510290857</v>
      </c>
      <c r="G51" s="19" t="n">
        <f aca="false">G207</f>
        <v>353.241276810966</v>
      </c>
    </row>
    <row r="52" customFormat="false" ht="15" hidden="false" customHeight="false" outlineLevel="0" collapsed="false">
      <c r="A52" s="0" t="s">
        <v>374</v>
      </c>
      <c r="B52" s="0" t="s">
        <v>260</v>
      </c>
      <c r="C52" s="16" t="n">
        <f aca="false">C209</f>
        <v>13.61</v>
      </c>
      <c r="D52" s="16" t="n">
        <f aca="false">D209</f>
        <v>19.6374251756163</v>
      </c>
      <c r="E52" s="16" t="n">
        <f aca="false">E209</f>
        <v>26.7146909850819</v>
      </c>
      <c r="F52" s="16" t="n">
        <f aca="false">F209</f>
        <v>23.5957303984814</v>
      </c>
      <c r="G52" s="16" t="n">
        <f aca="false">G209</f>
        <v>25.2009828669521</v>
      </c>
    </row>
    <row r="53" customFormat="false" ht="17.15" hidden="false" customHeight="false" outlineLevel="0" collapsed="false">
      <c r="A53" s="0" t="s">
        <v>442</v>
      </c>
      <c r="B53" s="0" t="s">
        <v>52</v>
      </c>
      <c r="D53" s="15" t="n">
        <f aca="false">D210</f>
        <v>0.442867389832203</v>
      </c>
      <c r="E53" s="15" t="n">
        <f aca="false">E210</f>
        <v>0.360396831365319</v>
      </c>
      <c r="F53" s="15" t="n">
        <f aca="false">F210</f>
        <v>-0.116750764152286</v>
      </c>
      <c r="G53" s="15" t="n">
        <f aca="false">G210</f>
        <v>0.0680314803297639</v>
      </c>
    </row>
    <row r="55" customFormat="false" ht="17.15" hidden="false" customHeight="false" outlineLevel="0" collapsed="false">
      <c r="A55" s="1" t="s">
        <v>445</v>
      </c>
    </row>
    <row r="56" customFormat="false" ht="17.15" hidden="false" customHeight="false" outlineLevel="0" collapsed="false">
      <c r="A56" s="4" t="s">
        <v>446</v>
      </c>
      <c r="D56" s="21" t="n">
        <f aca="false">D96-a26_rev</f>
        <v>0</v>
      </c>
    </row>
    <row r="57" customFormat="false" ht="17.15" hidden="false" customHeight="false" outlineLevel="0" collapsed="false">
      <c r="A57" s="4" t="s">
        <v>447</v>
      </c>
      <c r="D57" s="21" t="n">
        <f aca="false">D89-a26_ai</f>
        <v>0</v>
      </c>
    </row>
    <row r="58" customFormat="false" ht="17.15" hidden="false" customHeight="false" outlineLevel="0" collapsed="false">
      <c r="A58" s="4" t="s">
        <v>448</v>
      </c>
      <c r="D58" s="21" t="n">
        <f aca="false">D105*D95+D106-a26_gp</f>
        <v>0</v>
      </c>
    </row>
    <row r="75" customFormat="false" ht="17.15" hidden="false" customHeight="false" outlineLevel="0" collapsed="false">
      <c r="A75" s="1" t="s">
        <v>449</v>
      </c>
    </row>
    <row r="76" customFormat="false" ht="17.15" hidden="false" customHeight="false" outlineLevel="0" collapsed="false">
      <c r="A76" s="5" t="s">
        <v>21</v>
      </c>
      <c r="B76" s="5" t="s">
        <v>22</v>
      </c>
      <c r="C76" s="11" t="s">
        <v>347</v>
      </c>
      <c r="D76" s="11" t="s">
        <v>429</v>
      </c>
      <c r="E76" s="11" t="s">
        <v>430</v>
      </c>
      <c r="F76" s="11" t="s">
        <v>431</v>
      </c>
      <c r="G76" s="11" t="s">
        <v>432</v>
      </c>
      <c r="H76" s="5" t="s">
        <v>400</v>
      </c>
    </row>
    <row r="77" customFormat="false" ht="17.15" hidden="false" customHeight="false" outlineLevel="0" collapsed="false">
      <c r="A77" s="6" t="s">
        <v>450</v>
      </c>
    </row>
    <row r="78" customFormat="false" ht="17.15" hidden="false" customHeight="false" outlineLevel="0" collapsed="false">
      <c r="A78" s="0" t="s">
        <v>451</v>
      </c>
      <c r="B78" s="0" t="s">
        <v>32</v>
      </c>
      <c r="D78" s="22" t="n">
        <f aca="false">itc_26*1</f>
        <v>781.872916666666</v>
      </c>
      <c r="E78" s="22" t="n">
        <f aca="false">itc_27*1*1</f>
        <v>1565.35</v>
      </c>
      <c r="F78" s="22" t="n">
        <f aca="false">itc_28*um28_A*1</f>
        <v>1984.26388888889</v>
      </c>
      <c r="G78" s="22" t="n">
        <f aca="false">itc_29*um29_A*1</f>
        <v>2260.39027777778</v>
      </c>
    </row>
    <row r="79" customFormat="false" ht="17.15" hidden="false" customHeight="false" outlineLevel="0" collapsed="false">
      <c r="A79" s="4" t="s">
        <v>452</v>
      </c>
      <c r="B79" s="0" t="s">
        <v>32</v>
      </c>
      <c r="D79" s="22" t="n">
        <f aca="false">itpg_gb*(1-vr26)+itpg_vr*vr26</f>
        <v>33.41403216</v>
      </c>
      <c r="E79" s="22" t="n">
        <f aca="false">itpg_vr</f>
        <v>37.586352</v>
      </c>
      <c r="F79" s="22" t="n">
        <f aca="false">itpg_vr</f>
        <v>37.586352</v>
      </c>
      <c r="G79" s="22" t="n">
        <f aca="false">itpg_vr</f>
        <v>37.586352</v>
      </c>
    </row>
    <row r="80" customFormat="false" ht="17.15" hidden="false" customHeight="false" outlineLevel="0" collapsed="false">
      <c r="A80" s="4" t="s">
        <v>453</v>
      </c>
      <c r="B80" s="0" t="s">
        <v>402</v>
      </c>
      <c r="D80" s="18" t="n">
        <f aca="false">D78/D79</f>
        <v>23.3995380420639</v>
      </c>
      <c r="E80" s="18" t="n">
        <f aca="false">E78/E79</f>
        <v>41.6467658260637</v>
      </c>
      <c r="F80" s="18" t="n">
        <f aca="false">F78/F79</f>
        <v>52.792138191248</v>
      </c>
      <c r="G80" s="18" t="n">
        <f aca="false">G78/G79</f>
        <v>60.1385917361116</v>
      </c>
    </row>
    <row r="81" customFormat="false" ht="17.15" hidden="false" customHeight="false" outlineLevel="0" collapsed="false">
      <c r="A81" s="4" t="s">
        <v>404</v>
      </c>
      <c r="B81" s="0" t="s">
        <v>405</v>
      </c>
      <c r="D81" s="16" t="n">
        <f aca="false">(racks_gb*odm_gb*(1-vr26)+racks_vr*odm_vr*vr26)/1000</f>
        <v>27.1209</v>
      </c>
      <c r="E81" s="16" t="n">
        <f aca="false">racks_vr*odm_vr/1000</f>
        <v>27.351</v>
      </c>
      <c r="F81" s="16" t="n">
        <f aca="false">$E81*vpg_28</f>
        <v>27.351</v>
      </c>
      <c r="G81" s="16" t="n">
        <f aca="false">$E81*vpg_29</f>
        <v>27.351</v>
      </c>
      <c r="H81" s="4" t="s">
        <v>454</v>
      </c>
    </row>
    <row r="82" customFormat="false" ht="17.15" hidden="false" customHeight="false" outlineLevel="0" collapsed="false">
      <c r="A82" s="0" t="s">
        <v>455</v>
      </c>
      <c r="B82" s="0" t="s">
        <v>32</v>
      </c>
      <c r="D82" s="19" t="n">
        <f aca="false">D80*D81</f>
        <v>634.61653128501</v>
      </c>
      <c r="E82" s="19" t="n">
        <f aca="false">E80*E81</f>
        <v>1139.08069210867</v>
      </c>
      <c r="F82" s="19" t="n">
        <f aca="false">F80*F81</f>
        <v>1443.91777166882</v>
      </c>
      <c r="G82" s="19" t="n">
        <f aca="false">G80*G81</f>
        <v>1644.85062257439</v>
      </c>
    </row>
    <row r="83" customFormat="false" ht="17.15" hidden="false" customHeight="false" outlineLevel="0" collapsed="false">
      <c r="A83" s="0" t="s">
        <v>456</v>
      </c>
      <c r="B83" s="0" t="s">
        <v>209</v>
      </c>
      <c r="D83" s="19" t="n">
        <f aca="false">D82*fx</f>
        <v>20307.7290011203</v>
      </c>
      <c r="E83" s="19" t="n">
        <f aca="false">E82*fx</f>
        <v>36450.5821474774</v>
      </c>
      <c r="F83" s="19" t="n">
        <f aca="false">F82*fx</f>
        <v>46205.3686934024</v>
      </c>
      <c r="G83" s="19" t="n">
        <f aca="false">G82*fx</f>
        <v>52635.2199223804</v>
      </c>
    </row>
    <row r="84" customFormat="false" ht="17.15" hidden="false" customHeight="false" outlineLevel="0" collapsed="false">
      <c r="A84" s="4" t="s">
        <v>457</v>
      </c>
      <c r="B84" s="0" t="s">
        <v>52</v>
      </c>
      <c r="D84" s="15" t="n">
        <f aca="false">a26_ai/D83</f>
        <v>0.174610057569922</v>
      </c>
      <c r="H84" s="8" t="s">
        <v>458</v>
      </c>
    </row>
    <row r="85" customFormat="false" ht="17.15" hidden="false" customHeight="false" outlineLevel="0" collapsed="false">
      <c r="A85" s="4" t="s">
        <v>459</v>
      </c>
      <c r="B85" s="0" t="s">
        <v>71</v>
      </c>
      <c r="D85" s="16" t="n">
        <f aca="false">1</f>
        <v>1</v>
      </c>
      <c r="E85" s="16" t="n">
        <f aca="false">rel_27</f>
        <v>1</v>
      </c>
      <c r="F85" s="16" t="n">
        <f aca="false">rel_28</f>
        <v>1</v>
      </c>
      <c r="G85" s="16" t="n">
        <f aca="false">rel_29</f>
        <v>0.95</v>
      </c>
    </row>
    <row r="86" customFormat="false" ht="15" hidden="false" customHeight="false" outlineLevel="0" collapsed="false">
      <c r="A86" s="4" t="s">
        <v>460</v>
      </c>
      <c r="B86" s="0" t="s">
        <v>52</v>
      </c>
      <c r="D86" s="15" t="n">
        <f aca="false">$D$84*D85</f>
        <v>0.174610057569922</v>
      </c>
      <c r="E86" s="15" t="n">
        <f aca="false">$D$84*E85</f>
        <v>0.174610057569922</v>
      </c>
      <c r="F86" s="15" t="n">
        <f aca="false">$D$84*F85</f>
        <v>0.174610057569922</v>
      </c>
      <c r="G86" s="15" t="n">
        <f aca="false">$D$84*G85</f>
        <v>0.165879554691426</v>
      </c>
    </row>
    <row r="87" customFormat="false" ht="17.15" hidden="false" customHeight="false" outlineLevel="0" collapsed="false">
      <c r="A87" s="0" t="s">
        <v>461</v>
      </c>
      <c r="B87" s="0" t="s">
        <v>209</v>
      </c>
      <c r="D87" s="19" t="n">
        <f aca="false">D83*D86</f>
        <v>3545.93373</v>
      </c>
      <c r="E87" s="19" t="n">
        <f aca="false">E83*E86</f>
        <v>6364.6382472282</v>
      </c>
      <c r="F87" s="19" t="n">
        <f aca="false">F83*F86</f>
        <v>8067.92208759447</v>
      </c>
      <c r="G87" s="19" t="n">
        <f aca="false">G83*G86</f>
        <v>8731.10684180974</v>
      </c>
    </row>
    <row r="88" customFormat="false" ht="17.15" hidden="false" customHeight="false" outlineLevel="0" collapsed="false">
      <c r="A88" s="4" t="s">
        <v>462</v>
      </c>
      <c r="B88" s="0" t="s">
        <v>52</v>
      </c>
      <c r="D88" s="15" t="n">
        <f aca="false">0</f>
        <v>0</v>
      </c>
      <c r="E88" s="15" t="n">
        <f aca="false">cs_27</f>
        <v>0.1</v>
      </c>
      <c r="F88" s="15" t="n">
        <f aca="false">cs_28</f>
        <v>0.2</v>
      </c>
      <c r="G88" s="15" t="n">
        <f aca="false">cs_29</f>
        <v>0.25</v>
      </c>
      <c r="H88" s="8" t="s">
        <v>463</v>
      </c>
    </row>
    <row r="89" customFormat="false" ht="17.15" hidden="false" customHeight="false" outlineLevel="0" collapsed="false">
      <c r="A89" s="0" t="s">
        <v>464</v>
      </c>
      <c r="B89" s="0" t="s">
        <v>209</v>
      </c>
      <c r="C89" s="19" t="n">
        <f aca="false">a25_ai</f>
        <v>1620.621</v>
      </c>
      <c r="D89" s="19" t="n">
        <f aca="false">D87*(1-D88)</f>
        <v>3545.93373</v>
      </c>
      <c r="E89" s="19" t="n">
        <f aca="false">E87*(1-E88)</f>
        <v>5728.17442250538</v>
      </c>
      <c r="F89" s="19" t="n">
        <f aca="false">F87*(1-F88)</f>
        <v>6454.33767007557</v>
      </c>
      <c r="G89" s="19" t="n">
        <f aca="false">G87*(1-G88)</f>
        <v>6548.3301313573</v>
      </c>
    </row>
    <row r="90" customFormat="false" ht="17.15" hidden="false" customHeight="false" outlineLevel="0" collapsed="false">
      <c r="A90" s="6" t="s">
        <v>465</v>
      </c>
    </row>
    <row r="91" customFormat="false" ht="17.15" hidden="false" customHeight="false" outlineLevel="0" collapsed="false">
      <c r="A91" s="4" t="s">
        <v>382</v>
      </c>
      <c r="B91" s="0" t="s">
        <v>209</v>
      </c>
      <c r="C91" s="19" t="n">
        <f aca="false">a25_cn</f>
        <v>1620.621</v>
      </c>
      <c r="D91" s="19" t="n">
        <f aca="false">a26_cn</f>
        <v>2363.95582</v>
      </c>
      <c r="E91" s="19" t="n">
        <f aca="false">D91*(1+g_cn27)</f>
        <v>2647.6305184</v>
      </c>
      <c r="F91" s="19" t="n">
        <f aca="false">E91*(1+g_cn28)</f>
        <v>2859.440959872</v>
      </c>
      <c r="G91" s="19" t="n">
        <f aca="false">F91*(1+g_cn29)</f>
        <v>3031.00741746432</v>
      </c>
    </row>
    <row r="92" customFormat="false" ht="17.15" hidden="false" customHeight="false" outlineLevel="0" collapsed="false">
      <c r="A92" s="4" t="s">
        <v>383</v>
      </c>
      <c r="B92" s="0" t="s">
        <v>209</v>
      </c>
      <c r="C92" s="19" t="n">
        <f aca="false">a25_ce</f>
        <v>3079.1799</v>
      </c>
      <c r="D92" s="19" t="n">
        <f aca="false">a26_ce</f>
        <v>3345.2205</v>
      </c>
      <c r="E92" s="19" t="n">
        <f aca="false">D92*(1+g_ce27)</f>
        <v>3445.577115</v>
      </c>
      <c r="F92" s="19" t="n">
        <f aca="false">E92*(1+g_ce28)</f>
        <v>3514.4886573</v>
      </c>
      <c r="G92" s="19" t="n">
        <f aca="false">F92*(1+g_ce29)</f>
        <v>3584.778430446</v>
      </c>
    </row>
    <row r="93" customFormat="false" ht="15" hidden="false" customHeight="false" outlineLevel="0" collapsed="false">
      <c r="A93" s="4" t="s">
        <v>384</v>
      </c>
      <c r="B93" s="0" t="s">
        <v>209</v>
      </c>
      <c r="C93" s="19" t="n">
        <f aca="false">a25_pc</f>
        <v>1215.46575</v>
      </c>
      <c r="D93" s="19" t="n">
        <f aca="false">a26_pc</f>
        <v>1338.0882</v>
      </c>
      <c r="E93" s="19" t="n">
        <f aca="false">D93*(1+g_pc27)</f>
        <v>1311.326436</v>
      </c>
      <c r="F93" s="19" t="n">
        <f aca="false">E93*(1+g_pc28)</f>
        <v>1311.326436</v>
      </c>
      <c r="G93" s="19" t="n">
        <f aca="false">F93*(1+g_pc29)</f>
        <v>1311.326436</v>
      </c>
    </row>
    <row r="94" customFormat="false" ht="15" hidden="false" customHeight="false" outlineLevel="0" collapsed="false">
      <c r="A94" s="4" t="s">
        <v>466</v>
      </c>
      <c r="B94" s="0" t="s">
        <v>209</v>
      </c>
      <c r="C94" s="19" t="n">
        <f aca="false">a25_co</f>
        <v>567.217349999999</v>
      </c>
      <c r="D94" s="19" t="n">
        <f aca="false">a26_co</f>
        <v>557.53675</v>
      </c>
      <c r="E94" s="19" t="n">
        <f aca="false">D94*(1+g_co27)</f>
        <v>602.13969</v>
      </c>
      <c r="F94" s="19" t="n">
        <f aca="false">E94*(1+g_co28)</f>
        <v>638.2680714</v>
      </c>
      <c r="G94" s="19" t="n">
        <f aca="false">F94*(1+g_co29)</f>
        <v>670.18147497</v>
      </c>
    </row>
    <row r="95" customFormat="false" ht="17.15" hidden="false" customHeight="false" outlineLevel="0" collapsed="false">
      <c r="A95" s="4" t="s">
        <v>387</v>
      </c>
      <c r="B95" s="0" t="s">
        <v>209</v>
      </c>
      <c r="C95" s="19" t="n">
        <f aca="false">SUM(C91:C94)</f>
        <v>6482.484</v>
      </c>
      <c r="D95" s="19" t="n">
        <f aca="false">SUM(D91:D94)</f>
        <v>7604.80127</v>
      </c>
      <c r="E95" s="19" t="n">
        <f aca="false">SUM(E91:E94)</f>
        <v>8006.6737594</v>
      </c>
      <c r="F95" s="19" t="n">
        <f aca="false">SUM(F91:F94)</f>
        <v>8323.524124572</v>
      </c>
      <c r="G95" s="19" t="n">
        <f aca="false">SUM(G91:G94)</f>
        <v>8597.29375888032</v>
      </c>
    </row>
    <row r="96" customFormat="false" ht="15" hidden="false" customHeight="false" outlineLevel="0" collapsed="false">
      <c r="A96" s="4" t="s">
        <v>353</v>
      </c>
      <c r="B96" s="0" t="s">
        <v>209</v>
      </c>
      <c r="C96" s="19" t="n">
        <f aca="false">C89+C95</f>
        <v>8103.105</v>
      </c>
      <c r="D96" s="19" t="n">
        <f aca="false">D89+D95</f>
        <v>11150.735</v>
      </c>
      <c r="E96" s="19" t="n">
        <f aca="false">E89+E95</f>
        <v>13734.8481819054</v>
      </c>
      <c r="F96" s="19" t="n">
        <f aca="false">F89+F95</f>
        <v>14777.8617946476</v>
      </c>
      <c r="G96" s="19" t="n">
        <f aca="false">G89+G95</f>
        <v>15145.6238902376</v>
      </c>
    </row>
    <row r="97" customFormat="false" ht="17.15" hidden="false" customHeight="false" outlineLevel="0" collapsed="false">
      <c r="A97" s="4" t="s">
        <v>467</v>
      </c>
      <c r="B97" s="0" t="s">
        <v>209</v>
      </c>
      <c r="C97" s="19" t="n">
        <f aca="false">C89+C91</f>
        <v>3241.242</v>
      </c>
      <c r="D97" s="19" t="n">
        <f aca="false">D89+D91</f>
        <v>5909.88955</v>
      </c>
      <c r="E97" s="19" t="n">
        <f aca="false">E89+E91</f>
        <v>8375.80494090538</v>
      </c>
      <c r="F97" s="19" t="n">
        <f aca="false">F89+F91</f>
        <v>9313.77862994757</v>
      </c>
      <c r="G97" s="19" t="n">
        <f aca="false">G89+G91</f>
        <v>9579.33754882162</v>
      </c>
      <c r="H97" s="4" t="s">
        <v>468</v>
      </c>
    </row>
    <row r="98" customFormat="false" ht="17.15" hidden="false" customHeight="false" outlineLevel="0" collapsed="false">
      <c r="A98" s="4" t="s">
        <v>469</v>
      </c>
      <c r="B98" s="0" t="s">
        <v>209</v>
      </c>
      <c r="C98" s="23" t="n">
        <f aca="false">C97+C92+C93+C94-a25_rev</f>
        <v>0</v>
      </c>
      <c r="D98" s="23" t="n">
        <f aca="false">D97+D92+D93+D94-a26_rev</f>
        <v>0</v>
      </c>
      <c r="E98" s="23" t="n">
        <f aca="false">E97+E92+E93+E94-E96</f>
        <v>0</v>
      </c>
      <c r="F98" s="23" t="n">
        <f aca="false">F97+F92+F93+F94-F96</f>
        <v>0</v>
      </c>
      <c r="G98" s="23" t="n">
        <f aca="false">G97+G92+G93+G94-G96</f>
        <v>0</v>
      </c>
    </row>
    <row r="99" customFormat="false" ht="15" hidden="false" customHeight="false" outlineLevel="0" collapsed="false">
      <c r="A99" s="4" t="s">
        <v>470</v>
      </c>
      <c r="B99" s="0" t="s">
        <v>52</v>
      </c>
      <c r="D99" s="15" t="n">
        <f aca="false">D96/C96-1</f>
        <v>0.376106443147411</v>
      </c>
      <c r="E99" s="15" t="n">
        <f aca="false">E96/D96-1</f>
        <v>0.231743753385349</v>
      </c>
      <c r="F99" s="15" t="n">
        <f aca="false">F96/E96-1</f>
        <v>0.0759392167229256</v>
      </c>
      <c r="G99" s="15" t="n">
        <f aca="false">G96/F96-1</f>
        <v>0.0248860153586801</v>
      </c>
    </row>
    <row r="100" customFormat="false" ht="17.15" hidden="false" customHeight="false" outlineLevel="0" collapsed="false">
      <c r="A100" s="0" t="s">
        <v>471</v>
      </c>
      <c r="B100" s="0" t="s">
        <v>52</v>
      </c>
      <c r="C100" s="15" t="n">
        <f aca="false">C89/C96</f>
        <v>0.2</v>
      </c>
      <c r="D100" s="15" t="n">
        <f aca="false">D89/D96</f>
        <v>0.318</v>
      </c>
      <c r="E100" s="15" t="n">
        <f aca="false">E89/E96</f>
        <v>0.417054076364078</v>
      </c>
      <c r="F100" s="15" t="n">
        <f aca="false">F89/F96</f>
        <v>0.436757208841491</v>
      </c>
      <c r="G100" s="15" t="n">
        <f aca="false">G89/G96</f>
        <v>0.43235789947076</v>
      </c>
    </row>
    <row r="101" customFormat="false" ht="17.15" hidden="false" customHeight="false" outlineLevel="0" collapsed="false">
      <c r="A101" s="4" t="s">
        <v>472</v>
      </c>
      <c r="B101" s="0" t="s">
        <v>52</v>
      </c>
      <c r="C101" s="15" t="n">
        <f aca="false">(C89+C91)/C96</f>
        <v>0.4</v>
      </c>
      <c r="D101" s="15" t="n">
        <f aca="false">(D89+D91)/D96</f>
        <v>0.53</v>
      </c>
      <c r="E101" s="15" t="n">
        <f aca="false">(E89+E91)/E96</f>
        <v>0.609821443235162</v>
      </c>
      <c r="F101" s="15" t="n">
        <f aca="false">(F89+F91)/F96</f>
        <v>0.630252113558198</v>
      </c>
      <c r="G101" s="15" t="n">
        <f aca="false">(G89+G91)/G96</f>
        <v>0.632482202003983</v>
      </c>
    </row>
    <row r="102" customFormat="false" ht="17.15" hidden="false" customHeight="false" outlineLevel="0" collapsed="false">
      <c r="A102" s="4" t="s">
        <v>418</v>
      </c>
      <c r="B102" s="0" t="s">
        <v>405</v>
      </c>
      <c r="D102" s="16" t="n">
        <f aca="false">D89/fx/D80</f>
        <v>4.7355819103481</v>
      </c>
      <c r="E102" s="16" t="n">
        <f aca="false">E89/fx/E80</f>
        <v>4.29818371613545</v>
      </c>
      <c r="F102" s="16" t="n">
        <f aca="false">F89/fx/F80</f>
        <v>3.82060774767595</v>
      </c>
      <c r="G102" s="16" t="n">
        <f aca="false">G89/fx/G80</f>
        <v>3.4027287752739</v>
      </c>
    </row>
    <row r="103" customFormat="false" ht="17.15" hidden="false" customHeight="false" outlineLevel="0" collapsed="false">
      <c r="A103" s="4" t="s">
        <v>473</v>
      </c>
      <c r="B103" s="4" t="s">
        <v>416</v>
      </c>
      <c r="D103" s="19" t="n">
        <f aca="false">D87/fx/(odm_gb*(1-vr26)+odm_vr*vr26)</f>
        <v>24.0630682003257</v>
      </c>
      <c r="E103" s="19" t="n">
        <f aca="false">E87/fx/odm_vr</f>
        <v>29.4659178112417</v>
      </c>
      <c r="F103" s="19" t="n">
        <f aca="false">F87/fx/odm_vr</f>
        <v>37.3514911462707</v>
      </c>
      <c r="G103" s="19" t="n">
        <f aca="false">G87/fx/odm_vr</f>
        <v>40.4217909343043</v>
      </c>
      <c r="H103" s="4" t="s">
        <v>474</v>
      </c>
    </row>
    <row r="104" customFormat="false" ht="17.15" hidden="false" customHeight="false" outlineLevel="0" collapsed="false">
      <c r="A104" s="6" t="s">
        <v>475</v>
      </c>
    </row>
    <row r="105" customFormat="false" ht="17.15" hidden="false" customHeight="false" outlineLevel="0" collapsed="false">
      <c r="A105" s="4" t="s">
        <v>476</v>
      </c>
      <c r="B105" s="0" t="s">
        <v>52</v>
      </c>
      <c r="D105" s="14" t="n">
        <f aca="false">a26_gp/D96-d_ai*D100</f>
        <v>0.0621989258510762</v>
      </c>
      <c r="H105" s="8" t="s">
        <v>477</v>
      </c>
    </row>
    <row r="106" customFormat="false" ht="17.15" hidden="false" customHeight="false" outlineLevel="0" collapsed="false">
      <c r="A106" s="0" t="s">
        <v>478</v>
      </c>
      <c r="B106" s="0" t="s">
        <v>209</v>
      </c>
      <c r="D106" s="22" t="n">
        <f aca="false">($D$105+d_ai)*D87*(1-D88*(1-keep))</f>
        <v>202.8236004951</v>
      </c>
      <c r="E106" s="22" t="n">
        <f aca="false">($D$105+d_ai+vrd)*E87*(1-E88*(1-keep))</f>
        <v>347.807982730896</v>
      </c>
      <c r="F106" s="22" t="n">
        <f aca="false">($D$105+d_ai+vrd)*F87*(1-F88*(1-keep))</f>
        <v>436.433820423679</v>
      </c>
      <c r="G106" s="22" t="n">
        <f aca="false">($D$105+d_ai+vrd)*G87*(1-G88*(1-keep))</f>
        <v>469.899026179908</v>
      </c>
      <c r="H106" s="4" t="s">
        <v>479</v>
      </c>
    </row>
    <row r="107" customFormat="false" ht="15" hidden="false" customHeight="false" outlineLevel="0" collapsed="false">
      <c r="A107" s="4" t="s">
        <v>357</v>
      </c>
      <c r="B107" s="0" t="s">
        <v>209</v>
      </c>
      <c r="C107" s="19" t="n">
        <f aca="false">a25_gp</f>
        <v>498.161</v>
      </c>
      <c r="D107" s="19" t="n">
        <f aca="false">a26_gp</f>
        <v>675.8340708</v>
      </c>
      <c r="E107" s="19" t="n">
        <f aca="false">$D$105*E95+E106</f>
        <v>845.814490205574</v>
      </c>
      <c r="F107" s="19" t="n">
        <f aca="false">$D$105*F95+F106</f>
        <v>954.148080267577</v>
      </c>
      <c r="G107" s="19" t="n">
        <f aca="false">$D$105*G95+G106</f>
        <v>1004.64146320842</v>
      </c>
    </row>
    <row r="108" customFormat="false" ht="15" hidden="false" customHeight="false" outlineLevel="0" collapsed="false">
      <c r="A108" s="4" t="s">
        <v>360</v>
      </c>
      <c r="B108" s="0" t="s">
        <v>52</v>
      </c>
      <c r="C108" s="14" t="n">
        <f aca="false">C107/C96</f>
        <v>0.0614777915379352</v>
      </c>
      <c r="D108" s="14" t="n">
        <f aca="false">D107/D96</f>
        <v>0.0606089258510762</v>
      </c>
      <c r="E108" s="14" t="n">
        <f aca="false">E107/E96</f>
        <v>0.0615816410202386</v>
      </c>
      <c r="F108" s="14" t="n">
        <f aca="false">F107/F96</f>
        <v>0.0645660443659828</v>
      </c>
      <c r="G108" s="14" t="n">
        <f aca="false">G107/G96</f>
        <v>0.0663321280449849</v>
      </c>
    </row>
    <row r="109" customFormat="false" ht="17.15" hidden="false" customHeight="false" outlineLevel="0" collapsed="false">
      <c r="A109" s="0" t="s">
        <v>480</v>
      </c>
      <c r="B109" s="0" t="s">
        <v>52</v>
      </c>
      <c r="D109" s="14" t="n">
        <f aca="false">D106/D89</f>
        <v>0.0571989258510762</v>
      </c>
      <c r="E109" s="14" t="n">
        <f aca="false">E106/E89</f>
        <v>0.0607188184361838</v>
      </c>
      <c r="F109" s="14" t="n">
        <f aca="false">F106/F89</f>
        <v>0.0676186841675683</v>
      </c>
      <c r="G109" s="14" t="n">
        <f aca="false">G106/G89</f>
        <v>0.0717586036063991</v>
      </c>
      <c r="H109" s="4" t="s">
        <v>481</v>
      </c>
    </row>
    <row r="110" customFormat="false" ht="15" hidden="false" customHeight="false" outlineLevel="0" collapsed="false">
      <c r="A110" s="4" t="s">
        <v>482</v>
      </c>
      <c r="B110" s="0" t="s">
        <v>209</v>
      </c>
      <c r="C110" s="19" t="n">
        <f aca="false">a25_opx</f>
        <v>238.938</v>
      </c>
      <c r="D110" s="19" t="n">
        <f aca="false">a26_opx</f>
        <v>254.8304233</v>
      </c>
      <c r="E110" s="19" t="n">
        <f aca="false">D110*(1+MAX(0,phi*E99))</f>
        <v>278.452566808928</v>
      </c>
      <c r="F110" s="19" t="n">
        <f aca="false">E110*(1+MAX(0,phi*F99))</f>
        <v>286.910754736111</v>
      </c>
      <c r="G110" s="19" t="n">
        <f aca="false">F110*(1+MAX(0,phi*G99))</f>
        <v>289.766780915684</v>
      </c>
    </row>
    <row r="111" customFormat="false" ht="15" hidden="false" customHeight="false" outlineLevel="0" collapsed="false">
      <c r="A111" s="4" t="s">
        <v>361</v>
      </c>
      <c r="B111" s="0" t="s">
        <v>209</v>
      </c>
      <c r="C111" s="19" t="n">
        <f aca="false">C110</f>
        <v>238.938</v>
      </c>
      <c r="D111" s="19" t="n">
        <f aca="false">D110</f>
        <v>254.8304233</v>
      </c>
      <c r="E111" s="19" t="n">
        <f aca="false">E110+0*E96</f>
        <v>278.452566808928</v>
      </c>
      <c r="F111" s="19" t="n">
        <f aca="false">F110+0*F96</f>
        <v>286.910754736111</v>
      </c>
      <c r="G111" s="19" t="n">
        <f aca="false">G110+0*G96</f>
        <v>289.766780915684</v>
      </c>
    </row>
    <row r="112" customFormat="false" ht="15" hidden="false" customHeight="false" outlineLevel="0" collapsed="false">
      <c r="A112" s="4" t="s">
        <v>364</v>
      </c>
      <c r="B112" s="0" t="s">
        <v>209</v>
      </c>
      <c r="C112" s="19" t="n">
        <f aca="false">C107-C111</f>
        <v>259.223</v>
      </c>
      <c r="D112" s="19" t="n">
        <f aca="false">D107-D111</f>
        <v>421.0036475</v>
      </c>
      <c r="E112" s="19" t="n">
        <f aca="false">E107-E111</f>
        <v>567.361923396647</v>
      </c>
      <c r="F112" s="19" t="n">
        <f aca="false">F107-F111</f>
        <v>667.237325531466</v>
      </c>
      <c r="G112" s="19" t="n">
        <f aca="false">G107-G111</f>
        <v>714.874682292741</v>
      </c>
    </row>
    <row r="113" customFormat="false" ht="15" hidden="false" customHeight="false" outlineLevel="0" collapsed="false">
      <c r="A113" s="4" t="s">
        <v>367</v>
      </c>
      <c r="B113" s="0" t="s">
        <v>52</v>
      </c>
      <c r="C113" s="14" t="n">
        <f aca="false">C112/C96</f>
        <v>0.0319905764518663</v>
      </c>
      <c r="D113" s="14" t="n">
        <f aca="false">D112/D96</f>
        <v>0.0377556858359561</v>
      </c>
      <c r="E113" s="14" t="n">
        <f aca="false">E112/E96</f>
        <v>0.0413082049311694</v>
      </c>
      <c r="F113" s="14" t="n">
        <f aca="false">F112/F96</f>
        <v>0.0451511412681592</v>
      </c>
      <c r="G113" s="14" t="n">
        <f aca="false">G112/G96</f>
        <v>0.0472000815201496</v>
      </c>
    </row>
    <row r="114" customFormat="false" ht="17.15" hidden="false" customHeight="false" outlineLevel="0" collapsed="false">
      <c r="A114" s="4" t="s">
        <v>243</v>
      </c>
      <c r="B114" s="0" t="s">
        <v>52</v>
      </c>
      <c r="C114" s="15" t="n">
        <f aca="false">a25_ni/a25_oi</f>
        <v>0.730467589681471</v>
      </c>
      <c r="D114" s="15" t="n">
        <f aca="false">a26_ni/a26_oi</f>
        <v>0.653811645064191</v>
      </c>
      <c r="E114" s="15" t="n">
        <f aca="false">nio_f</f>
        <v>0.66</v>
      </c>
      <c r="F114" s="15" t="n">
        <f aca="false">nio_f</f>
        <v>0.66</v>
      </c>
      <c r="G114" s="15" t="n">
        <f aca="false">nio_f</f>
        <v>0.66</v>
      </c>
    </row>
    <row r="115" customFormat="false" ht="15" hidden="false" customHeight="false" outlineLevel="0" collapsed="false">
      <c r="A115" s="4" t="s">
        <v>368</v>
      </c>
      <c r="B115" s="0" t="s">
        <v>209</v>
      </c>
      <c r="C115" s="19" t="n">
        <f aca="false">a25_ni</f>
        <v>189.354</v>
      </c>
      <c r="D115" s="19" t="n">
        <f aca="false">a26_ni</f>
        <v>275.25708735</v>
      </c>
      <c r="E115" s="19" t="n">
        <f aca="false">E112*E114</f>
        <v>374.458869441787</v>
      </c>
      <c r="F115" s="19" t="n">
        <f aca="false">F112*F114</f>
        <v>440.376634850767</v>
      </c>
      <c r="G115" s="19" t="n">
        <f aca="false">G112*G114</f>
        <v>471.817290313209</v>
      </c>
    </row>
    <row r="116" customFormat="false" ht="15" hidden="false" customHeight="false" outlineLevel="0" collapsed="false">
      <c r="A116" s="4" t="s">
        <v>483</v>
      </c>
      <c r="B116" s="4" t="s">
        <v>230</v>
      </c>
      <c r="C116" s="23" t="n">
        <f aca="false">a25_sh</f>
        <v>13.9128581925055</v>
      </c>
      <c r="D116" s="23" t="n">
        <f aca="false">a26_sh</f>
        <v>14.0169642857143</v>
      </c>
      <c r="E116" s="23" t="n">
        <f aca="false">D116*(1+sh_g)</f>
        <v>14.0169642857143</v>
      </c>
      <c r="F116" s="23" t="n">
        <f aca="false">E116*(1+sh_g)</f>
        <v>14.0169642857143</v>
      </c>
      <c r="G116" s="23" t="n">
        <f aca="false">F116*(1+sh_g)</f>
        <v>14.0169642857143</v>
      </c>
    </row>
    <row r="117" customFormat="false" ht="15" hidden="false" customHeight="false" outlineLevel="0" collapsed="false">
      <c r="A117" s="0" t="s">
        <v>374</v>
      </c>
      <c r="B117" s="0" t="s">
        <v>260</v>
      </c>
      <c r="C117" s="22" t="n">
        <f aca="false">C115/C116</f>
        <v>13.61</v>
      </c>
      <c r="D117" s="22" t="n">
        <f aca="false">D115/D116</f>
        <v>19.6374251756163</v>
      </c>
      <c r="E117" s="22" t="n">
        <f aca="false">E115/E116</f>
        <v>26.7146909850819</v>
      </c>
      <c r="F117" s="22" t="n">
        <f aca="false">F115/F116</f>
        <v>31.4174043590585</v>
      </c>
      <c r="G117" s="22" t="n">
        <f aca="false">G115/G116</f>
        <v>33.6604474903366</v>
      </c>
    </row>
    <row r="118" customFormat="false" ht="17.15" hidden="false" customHeight="false" outlineLevel="0" collapsed="false">
      <c r="A118" s="0" t="s">
        <v>484</v>
      </c>
      <c r="B118" s="0" t="s">
        <v>52</v>
      </c>
      <c r="D118" s="15" t="n">
        <f aca="false">D117/C117-1</f>
        <v>0.442867389832203</v>
      </c>
      <c r="E118" s="15" t="n">
        <f aca="false">E117/D117-1</f>
        <v>0.360396831365319</v>
      </c>
      <c r="F118" s="15" t="n">
        <f aca="false">F117/E117-1</f>
        <v>0.176034728479647</v>
      </c>
      <c r="G118" s="15" t="n">
        <f aca="false">G117/F117-1</f>
        <v>0.0713949219242658</v>
      </c>
    </row>
    <row r="121" customFormat="false" ht="17.15" hidden="false" customHeight="false" outlineLevel="0" collapsed="false">
      <c r="A121" s="1" t="s">
        <v>485</v>
      </c>
    </row>
    <row r="122" customFormat="false" ht="17.15" hidden="false" customHeight="false" outlineLevel="0" collapsed="false">
      <c r="A122" s="5" t="s">
        <v>21</v>
      </c>
      <c r="B122" s="5" t="s">
        <v>22</v>
      </c>
      <c r="C122" s="11" t="s">
        <v>347</v>
      </c>
      <c r="D122" s="11" t="s">
        <v>429</v>
      </c>
      <c r="E122" s="11" t="s">
        <v>430</v>
      </c>
      <c r="F122" s="11" t="s">
        <v>431</v>
      </c>
      <c r="G122" s="11" t="s">
        <v>432</v>
      </c>
      <c r="H122" s="5" t="s">
        <v>400</v>
      </c>
    </row>
    <row r="123" customFormat="false" ht="17.15" hidden="false" customHeight="false" outlineLevel="0" collapsed="false">
      <c r="A123" s="6" t="s">
        <v>450</v>
      </c>
    </row>
    <row r="124" customFormat="false" ht="17.15" hidden="false" customHeight="false" outlineLevel="0" collapsed="false">
      <c r="A124" s="0" t="s">
        <v>451</v>
      </c>
      <c r="B124" s="0" t="s">
        <v>32</v>
      </c>
      <c r="D124" s="22" t="n">
        <f aca="false">itc_26*1</f>
        <v>781.872916666666</v>
      </c>
      <c r="E124" s="22" t="n">
        <f aca="false">itc_27*1*1</f>
        <v>1565.35</v>
      </c>
      <c r="F124" s="22" t="n">
        <f aca="false">itc_28*um28_B*1</f>
        <v>1587.41111111111</v>
      </c>
      <c r="G124" s="22" t="n">
        <f aca="false">itc_29*um29_B*1</f>
        <v>1921.33173611111</v>
      </c>
    </row>
    <row r="125" customFormat="false" ht="17.15" hidden="false" customHeight="false" outlineLevel="0" collapsed="false">
      <c r="A125" s="4" t="s">
        <v>452</v>
      </c>
      <c r="B125" s="0" t="s">
        <v>32</v>
      </c>
      <c r="D125" s="22" t="n">
        <f aca="false">itpg_gb*(1-vr26)+itpg_vr*vr26</f>
        <v>33.41403216</v>
      </c>
      <c r="E125" s="22" t="n">
        <f aca="false">itpg_vr</f>
        <v>37.586352</v>
      </c>
      <c r="F125" s="22" t="n">
        <f aca="false">itpg_vr</f>
        <v>37.586352</v>
      </c>
      <c r="G125" s="22" t="n">
        <f aca="false">itpg_vr</f>
        <v>37.586352</v>
      </c>
    </row>
    <row r="126" customFormat="false" ht="17.15" hidden="false" customHeight="false" outlineLevel="0" collapsed="false">
      <c r="A126" s="4" t="s">
        <v>453</v>
      </c>
      <c r="B126" s="0" t="s">
        <v>402</v>
      </c>
      <c r="D126" s="18" t="n">
        <f aca="false">D124/D125</f>
        <v>23.3995380420639</v>
      </c>
      <c r="E126" s="18" t="n">
        <f aca="false">E124/E125</f>
        <v>41.6467658260637</v>
      </c>
      <c r="F126" s="18" t="n">
        <f aca="false">F124/F125</f>
        <v>42.2337105529984</v>
      </c>
      <c r="G126" s="18" t="n">
        <f aca="false">G124/G125</f>
        <v>51.1178029756948</v>
      </c>
    </row>
    <row r="127" customFormat="false" ht="17.15" hidden="false" customHeight="false" outlineLevel="0" collapsed="false">
      <c r="A127" s="4" t="s">
        <v>404</v>
      </c>
      <c r="B127" s="0" t="s">
        <v>405</v>
      </c>
      <c r="D127" s="16" t="n">
        <f aca="false">(racks_gb*odm_gb*(1-vr26)+racks_vr*odm_vr*vr26)/1000</f>
        <v>27.1209</v>
      </c>
      <c r="E127" s="16" t="n">
        <f aca="false">racks_vr*odm_vr/1000</f>
        <v>27.351</v>
      </c>
      <c r="F127" s="16" t="n">
        <f aca="false">$E127*vpg_28</f>
        <v>27.351</v>
      </c>
      <c r="G127" s="16" t="n">
        <f aca="false">$E127*vpg_29</f>
        <v>27.351</v>
      </c>
      <c r="H127" s="4" t="s">
        <v>454</v>
      </c>
    </row>
    <row r="128" customFormat="false" ht="17.15" hidden="false" customHeight="false" outlineLevel="0" collapsed="false">
      <c r="A128" s="0" t="s">
        <v>455</v>
      </c>
      <c r="B128" s="0" t="s">
        <v>32</v>
      </c>
      <c r="D128" s="19" t="n">
        <f aca="false">D126*D127</f>
        <v>634.61653128501</v>
      </c>
      <c r="E128" s="19" t="n">
        <f aca="false">E126*E127</f>
        <v>1139.08069210867</v>
      </c>
      <c r="F128" s="19" t="n">
        <f aca="false">F126*F127</f>
        <v>1155.13421733506</v>
      </c>
      <c r="G128" s="19" t="n">
        <f aca="false">G126*G127</f>
        <v>1398.12302918823</v>
      </c>
    </row>
    <row r="129" customFormat="false" ht="17.15" hidden="false" customHeight="false" outlineLevel="0" collapsed="false">
      <c r="A129" s="0" t="s">
        <v>456</v>
      </c>
      <c r="B129" s="0" t="s">
        <v>209</v>
      </c>
      <c r="D129" s="19" t="n">
        <f aca="false">D128*fx</f>
        <v>20307.7290011203</v>
      </c>
      <c r="E129" s="19" t="n">
        <f aca="false">E128*fx</f>
        <v>36450.5821474774</v>
      </c>
      <c r="F129" s="19" t="n">
        <f aca="false">F128*fx</f>
        <v>36964.2949547219</v>
      </c>
      <c r="G129" s="19" t="n">
        <f aca="false">G128*fx</f>
        <v>44739.9369340233</v>
      </c>
    </row>
    <row r="130" customFormat="false" ht="17.15" hidden="false" customHeight="false" outlineLevel="0" collapsed="false">
      <c r="A130" s="4" t="s">
        <v>457</v>
      </c>
      <c r="B130" s="0" t="s">
        <v>52</v>
      </c>
      <c r="D130" s="15" t="n">
        <f aca="false">a26_ai/D129</f>
        <v>0.174610057569922</v>
      </c>
      <c r="H130" s="8" t="s">
        <v>458</v>
      </c>
    </row>
    <row r="131" customFormat="false" ht="17.15" hidden="false" customHeight="false" outlineLevel="0" collapsed="false">
      <c r="A131" s="4" t="s">
        <v>459</v>
      </c>
      <c r="B131" s="0" t="s">
        <v>71</v>
      </c>
      <c r="D131" s="16" t="n">
        <f aca="false">1</f>
        <v>1</v>
      </c>
      <c r="E131" s="16" t="n">
        <f aca="false">rel_27</f>
        <v>1</v>
      </c>
      <c r="F131" s="16" t="n">
        <f aca="false">rel_28</f>
        <v>1</v>
      </c>
      <c r="G131" s="16" t="n">
        <f aca="false">rel_29</f>
        <v>0.95</v>
      </c>
    </row>
    <row r="132" customFormat="false" ht="15" hidden="false" customHeight="false" outlineLevel="0" collapsed="false">
      <c r="A132" s="4" t="s">
        <v>460</v>
      </c>
      <c r="B132" s="0" t="s">
        <v>52</v>
      </c>
      <c r="D132" s="15" t="n">
        <f aca="false">$D$130*D131</f>
        <v>0.174610057569922</v>
      </c>
      <c r="E132" s="15" t="n">
        <f aca="false">$D$130*E131</f>
        <v>0.174610057569922</v>
      </c>
      <c r="F132" s="15" t="n">
        <f aca="false">$D$130*F131</f>
        <v>0.174610057569922</v>
      </c>
      <c r="G132" s="15" t="n">
        <f aca="false">$D$130*G131</f>
        <v>0.165879554691426</v>
      </c>
    </row>
    <row r="133" customFormat="false" ht="17.15" hidden="false" customHeight="false" outlineLevel="0" collapsed="false">
      <c r="A133" s="0" t="s">
        <v>461</v>
      </c>
      <c r="B133" s="0" t="s">
        <v>209</v>
      </c>
      <c r="D133" s="19" t="n">
        <f aca="false">D129*D132</f>
        <v>3545.93373</v>
      </c>
      <c r="E133" s="19" t="n">
        <f aca="false">E129*E132</f>
        <v>6364.6382472282</v>
      </c>
      <c r="F133" s="19" t="n">
        <f aca="false">F129*F132</f>
        <v>6454.33767007557</v>
      </c>
      <c r="G133" s="19" t="n">
        <f aca="false">G129*G132</f>
        <v>7421.44081553828</v>
      </c>
    </row>
    <row r="134" customFormat="false" ht="17.15" hidden="false" customHeight="false" outlineLevel="0" collapsed="false">
      <c r="A134" s="4" t="s">
        <v>462</v>
      </c>
      <c r="B134" s="0" t="s">
        <v>52</v>
      </c>
      <c r="D134" s="15" t="n">
        <f aca="false">0</f>
        <v>0</v>
      </c>
      <c r="E134" s="15" t="n">
        <f aca="false">cs_27</f>
        <v>0.1</v>
      </c>
      <c r="F134" s="15" t="n">
        <f aca="false">cs_28</f>
        <v>0.2</v>
      </c>
      <c r="G134" s="15" t="n">
        <f aca="false">cs_29</f>
        <v>0.25</v>
      </c>
      <c r="H134" s="8" t="s">
        <v>463</v>
      </c>
    </row>
    <row r="135" customFormat="false" ht="17.15" hidden="false" customHeight="false" outlineLevel="0" collapsed="false">
      <c r="A135" s="0" t="s">
        <v>464</v>
      </c>
      <c r="B135" s="0" t="s">
        <v>209</v>
      </c>
      <c r="C135" s="19" t="n">
        <f aca="false">a25_ai</f>
        <v>1620.621</v>
      </c>
      <c r="D135" s="19" t="n">
        <f aca="false">D133*(1-D134)</f>
        <v>3545.93373</v>
      </c>
      <c r="E135" s="19" t="n">
        <f aca="false">E133*(1-E134)</f>
        <v>5728.17442250538</v>
      </c>
      <c r="F135" s="19" t="n">
        <f aca="false">F133*(1-F134)</f>
        <v>5163.47013606046</v>
      </c>
      <c r="G135" s="19" t="n">
        <f aca="false">G133*(1-G134)</f>
        <v>5566.08061165371</v>
      </c>
    </row>
    <row r="136" customFormat="false" ht="17.15" hidden="false" customHeight="false" outlineLevel="0" collapsed="false">
      <c r="A136" s="6" t="s">
        <v>465</v>
      </c>
    </row>
    <row r="137" customFormat="false" ht="17.15" hidden="false" customHeight="false" outlineLevel="0" collapsed="false">
      <c r="A137" s="4" t="s">
        <v>382</v>
      </c>
      <c r="B137" s="0" t="s">
        <v>209</v>
      </c>
      <c r="C137" s="19" t="n">
        <f aca="false">a25_cn</f>
        <v>1620.621</v>
      </c>
      <c r="D137" s="19" t="n">
        <f aca="false">a26_cn</f>
        <v>2363.95582</v>
      </c>
      <c r="E137" s="19" t="n">
        <f aca="false">D137*(1+g_cn27)</f>
        <v>2647.6305184</v>
      </c>
      <c r="F137" s="19" t="n">
        <f aca="false">E137*(1+g_cn28)</f>
        <v>2859.440959872</v>
      </c>
      <c r="G137" s="19" t="n">
        <f aca="false">F137*(1+g_cn29)</f>
        <v>3031.00741746432</v>
      </c>
    </row>
    <row r="138" customFormat="false" ht="17.15" hidden="false" customHeight="false" outlineLevel="0" collapsed="false">
      <c r="A138" s="4" t="s">
        <v>383</v>
      </c>
      <c r="B138" s="0" t="s">
        <v>209</v>
      </c>
      <c r="C138" s="19" t="n">
        <f aca="false">a25_ce</f>
        <v>3079.1799</v>
      </c>
      <c r="D138" s="19" t="n">
        <f aca="false">a26_ce</f>
        <v>3345.2205</v>
      </c>
      <c r="E138" s="19" t="n">
        <f aca="false">D138*(1+g_ce27)</f>
        <v>3445.577115</v>
      </c>
      <c r="F138" s="19" t="n">
        <f aca="false">E138*(1+g_ce28)</f>
        <v>3514.4886573</v>
      </c>
      <c r="G138" s="19" t="n">
        <f aca="false">F138*(1+g_ce29)</f>
        <v>3584.778430446</v>
      </c>
    </row>
    <row r="139" customFormat="false" ht="15" hidden="false" customHeight="false" outlineLevel="0" collapsed="false">
      <c r="A139" s="4" t="s">
        <v>384</v>
      </c>
      <c r="B139" s="0" t="s">
        <v>209</v>
      </c>
      <c r="C139" s="19" t="n">
        <f aca="false">a25_pc</f>
        <v>1215.46575</v>
      </c>
      <c r="D139" s="19" t="n">
        <f aca="false">a26_pc</f>
        <v>1338.0882</v>
      </c>
      <c r="E139" s="19" t="n">
        <f aca="false">D139*(1+g_pc27)</f>
        <v>1311.326436</v>
      </c>
      <c r="F139" s="19" t="n">
        <f aca="false">E139*(1+g_pc28)</f>
        <v>1311.326436</v>
      </c>
      <c r="G139" s="19" t="n">
        <f aca="false">F139*(1+g_pc29)</f>
        <v>1311.326436</v>
      </c>
    </row>
    <row r="140" customFormat="false" ht="15" hidden="false" customHeight="false" outlineLevel="0" collapsed="false">
      <c r="A140" s="4" t="s">
        <v>466</v>
      </c>
      <c r="B140" s="0" t="s">
        <v>209</v>
      </c>
      <c r="C140" s="19" t="n">
        <f aca="false">a25_co</f>
        <v>567.217349999999</v>
      </c>
      <c r="D140" s="19" t="n">
        <f aca="false">a26_co</f>
        <v>557.53675</v>
      </c>
      <c r="E140" s="19" t="n">
        <f aca="false">D140*(1+g_co27)</f>
        <v>602.13969</v>
      </c>
      <c r="F140" s="19" t="n">
        <f aca="false">E140*(1+g_co28)</f>
        <v>638.2680714</v>
      </c>
      <c r="G140" s="19" t="n">
        <f aca="false">F140*(1+g_co29)</f>
        <v>670.18147497</v>
      </c>
    </row>
    <row r="141" customFormat="false" ht="17.15" hidden="false" customHeight="false" outlineLevel="0" collapsed="false">
      <c r="A141" s="4" t="s">
        <v>387</v>
      </c>
      <c r="B141" s="0" t="s">
        <v>209</v>
      </c>
      <c r="C141" s="19" t="n">
        <f aca="false">SUM(C137:C140)</f>
        <v>6482.484</v>
      </c>
      <c r="D141" s="19" t="n">
        <f aca="false">SUM(D137:D140)</f>
        <v>7604.80127</v>
      </c>
      <c r="E141" s="19" t="n">
        <f aca="false">SUM(E137:E140)</f>
        <v>8006.6737594</v>
      </c>
      <c r="F141" s="19" t="n">
        <f aca="false">SUM(F137:F140)</f>
        <v>8323.524124572</v>
      </c>
      <c r="G141" s="19" t="n">
        <f aca="false">SUM(G137:G140)</f>
        <v>8597.29375888032</v>
      </c>
    </row>
    <row r="142" customFormat="false" ht="15" hidden="false" customHeight="false" outlineLevel="0" collapsed="false">
      <c r="A142" s="4" t="s">
        <v>353</v>
      </c>
      <c r="B142" s="0" t="s">
        <v>209</v>
      </c>
      <c r="C142" s="19" t="n">
        <f aca="false">C135+C141</f>
        <v>8103.105</v>
      </c>
      <c r="D142" s="19" t="n">
        <f aca="false">D135+D141</f>
        <v>11150.735</v>
      </c>
      <c r="E142" s="19" t="n">
        <f aca="false">E135+E141</f>
        <v>13734.8481819054</v>
      </c>
      <c r="F142" s="19" t="n">
        <f aca="false">F135+F141</f>
        <v>13486.9942606325</v>
      </c>
      <c r="G142" s="19" t="n">
        <f aca="false">G135+G141</f>
        <v>14163.374370534</v>
      </c>
    </row>
    <row r="143" customFormat="false" ht="17.15" hidden="false" customHeight="false" outlineLevel="0" collapsed="false">
      <c r="A143" s="4" t="s">
        <v>467</v>
      </c>
      <c r="B143" s="0" t="s">
        <v>209</v>
      </c>
      <c r="C143" s="19" t="n">
        <f aca="false">C135+C137</f>
        <v>3241.242</v>
      </c>
      <c r="D143" s="19" t="n">
        <f aca="false">D135+D137</f>
        <v>5909.88955</v>
      </c>
      <c r="E143" s="19" t="n">
        <f aca="false">E135+E137</f>
        <v>8375.80494090538</v>
      </c>
      <c r="F143" s="19" t="n">
        <f aca="false">F135+F137</f>
        <v>8022.91109593246</v>
      </c>
      <c r="G143" s="19" t="n">
        <f aca="false">G135+G137</f>
        <v>8597.08802911803</v>
      </c>
      <c r="H143" s="4" t="s">
        <v>468</v>
      </c>
    </row>
    <row r="144" customFormat="false" ht="17.15" hidden="false" customHeight="false" outlineLevel="0" collapsed="false">
      <c r="A144" s="4" t="s">
        <v>469</v>
      </c>
      <c r="B144" s="0" t="s">
        <v>209</v>
      </c>
      <c r="C144" s="23" t="n">
        <f aca="false">C143+C138+C139+C140-a25_rev</f>
        <v>0</v>
      </c>
      <c r="D144" s="23" t="n">
        <f aca="false">D143+D138+D139+D140-a26_rev</f>
        <v>0</v>
      </c>
      <c r="E144" s="23" t="n">
        <f aca="false">E143+E138+E139+E140-E142</f>
        <v>0</v>
      </c>
      <c r="F144" s="23" t="n">
        <f aca="false">F143+F138+F139+F140-F142</f>
        <v>0</v>
      </c>
      <c r="G144" s="23" t="n">
        <f aca="false">G143+G138+G139+G140-G142</f>
        <v>0</v>
      </c>
    </row>
    <row r="145" customFormat="false" ht="15" hidden="false" customHeight="false" outlineLevel="0" collapsed="false">
      <c r="A145" s="4" t="s">
        <v>470</v>
      </c>
      <c r="B145" s="0" t="s">
        <v>52</v>
      </c>
      <c r="D145" s="15" t="n">
        <f aca="false">D142/C142-1</f>
        <v>0.376106443147411</v>
      </c>
      <c r="E145" s="15" t="n">
        <f aca="false">E142/D142-1</f>
        <v>0.231743753385349</v>
      </c>
      <c r="F145" s="15" t="n">
        <f aca="false">F142/E142-1</f>
        <v>-0.0180456251128751</v>
      </c>
      <c r="G145" s="15" t="n">
        <f aca="false">G142/F142-1</f>
        <v>0.0501505448012143</v>
      </c>
    </row>
    <row r="146" customFormat="false" ht="17.15" hidden="false" customHeight="false" outlineLevel="0" collapsed="false">
      <c r="A146" s="0" t="s">
        <v>471</v>
      </c>
      <c r="B146" s="0" t="s">
        <v>52</v>
      </c>
      <c r="C146" s="15" t="n">
        <f aca="false">C135/C142</f>
        <v>0.2</v>
      </c>
      <c r="D146" s="15" t="n">
        <f aca="false">D135/D142</f>
        <v>0.318</v>
      </c>
      <c r="E146" s="15" t="n">
        <f aca="false">E135/E142</f>
        <v>0.417054076364078</v>
      </c>
      <c r="F146" s="15" t="n">
        <f aca="false">F135/F142</f>
        <v>0.382848100642576</v>
      </c>
      <c r="G146" s="15" t="n">
        <f aca="false">G135/G142</f>
        <v>0.392991137989939</v>
      </c>
    </row>
    <row r="147" customFormat="false" ht="17.15" hidden="false" customHeight="false" outlineLevel="0" collapsed="false">
      <c r="A147" s="4" t="s">
        <v>472</v>
      </c>
      <c r="B147" s="0" t="s">
        <v>52</v>
      </c>
      <c r="C147" s="15" t="n">
        <f aca="false">(C135+C137)/C142</f>
        <v>0.4</v>
      </c>
      <c r="D147" s="15" t="n">
        <f aca="false">(D135+D137)/D142</f>
        <v>0.53</v>
      </c>
      <c r="E147" s="15" t="n">
        <f aca="false">(E135+E137)/E142</f>
        <v>0.609821443235162</v>
      </c>
      <c r="F147" s="15" t="n">
        <f aca="false">(F135+F137)/F142</f>
        <v>0.594862794547985</v>
      </c>
      <c r="G147" s="15" t="n">
        <f aca="false">(G135+G137)/G142</f>
        <v>0.60699433653351</v>
      </c>
    </row>
    <row r="148" customFormat="false" ht="17.15" hidden="false" customHeight="false" outlineLevel="0" collapsed="false">
      <c r="A148" s="4" t="s">
        <v>418</v>
      </c>
      <c r="B148" s="0" t="s">
        <v>405</v>
      </c>
      <c r="D148" s="16" t="n">
        <f aca="false">D135/fx/D126</f>
        <v>4.7355819103481</v>
      </c>
      <c r="E148" s="16" t="n">
        <f aca="false">E135/fx/E126</f>
        <v>4.29818371613545</v>
      </c>
      <c r="F148" s="16" t="n">
        <f aca="false">F135/fx/F126</f>
        <v>3.82060774767595</v>
      </c>
      <c r="G148" s="16" t="n">
        <f aca="false">G135/fx/G126</f>
        <v>3.4027287752739</v>
      </c>
    </row>
    <row r="149" customFormat="false" ht="17.15" hidden="false" customHeight="false" outlineLevel="0" collapsed="false">
      <c r="A149" s="4" t="s">
        <v>473</v>
      </c>
      <c r="B149" s="4" t="s">
        <v>416</v>
      </c>
      <c r="D149" s="19" t="n">
        <f aca="false">D133/fx/(odm_gb*(1-vr26)+odm_vr*vr26)</f>
        <v>24.0630682003257</v>
      </c>
      <c r="E149" s="19" t="n">
        <f aca="false">E133/fx/odm_vr</f>
        <v>29.4659178112417</v>
      </c>
      <c r="F149" s="19" t="n">
        <f aca="false">F133/fx/odm_vr</f>
        <v>29.8811929170165</v>
      </c>
      <c r="G149" s="19" t="n">
        <f aca="false">G133/fx/odm_vr</f>
        <v>34.3585222941587</v>
      </c>
      <c r="H149" s="4" t="s">
        <v>474</v>
      </c>
    </row>
    <row r="150" customFormat="false" ht="17.15" hidden="false" customHeight="false" outlineLevel="0" collapsed="false">
      <c r="A150" s="6" t="s">
        <v>475</v>
      </c>
    </row>
    <row r="151" customFormat="false" ht="17.15" hidden="false" customHeight="false" outlineLevel="0" collapsed="false">
      <c r="A151" s="4" t="s">
        <v>476</v>
      </c>
      <c r="B151" s="0" t="s">
        <v>52</v>
      </c>
      <c r="D151" s="14" t="n">
        <f aca="false">a26_gp/D142-d_ai*D146</f>
        <v>0.0621989258510762</v>
      </c>
      <c r="H151" s="8" t="s">
        <v>477</v>
      </c>
    </row>
    <row r="152" customFormat="false" ht="17.15" hidden="false" customHeight="false" outlineLevel="0" collapsed="false">
      <c r="A152" s="0" t="s">
        <v>478</v>
      </c>
      <c r="B152" s="0" t="s">
        <v>209</v>
      </c>
      <c r="D152" s="22" t="n">
        <f aca="false">($D$151+d_ai)*D133*(1-D134*(1-keep))</f>
        <v>202.8236004951</v>
      </c>
      <c r="E152" s="22" t="n">
        <f aca="false">($D$151+d_ai+vrd)*E133*(1-E134*(1-keep))</f>
        <v>347.807982730896</v>
      </c>
      <c r="F152" s="22" t="n">
        <f aca="false">($D$151+d_ai+vrd)*F133*(1-F134*(1-keep))</f>
        <v>349.147056338943</v>
      </c>
      <c r="G152" s="22" t="n">
        <f aca="false">($D$151+d_ai+vrd)*G133*(1-G134*(1-keep))</f>
        <v>399.414172252922</v>
      </c>
      <c r="H152" s="4" t="s">
        <v>479</v>
      </c>
    </row>
    <row r="153" customFormat="false" ht="15" hidden="false" customHeight="false" outlineLevel="0" collapsed="false">
      <c r="A153" s="4" t="s">
        <v>357</v>
      </c>
      <c r="B153" s="0" t="s">
        <v>209</v>
      </c>
      <c r="C153" s="19" t="n">
        <f aca="false">a25_gp</f>
        <v>498.161</v>
      </c>
      <c r="D153" s="19" t="n">
        <f aca="false">a26_gp</f>
        <v>675.8340708</v>
      </c>
      <c r="E153" s="19" t="n">
        <f aca="false">$D$151*E141+E152</f>
        <v>845.814490205574</v>
      </c>
      <c r="F153" s="19" t="n">
        <f aca="false">$D$151*F141+F152</f>
        <v>866.861316182841</v>
      </c>
      <c r="G153" s="19" t="n">
        <f aca="false">$D$151*G141+G152</f>
        <v>934.156609281439</v>
      </c>
    </row>
    <row r="154" customFormat="false" ht="15" hidden="false" customHeight="false" outlineLevel="0" collapsed="false">
      <c r="A154" s="4" t="s">
        <v>360</v>
      </c>
      <c r="B154" s="0" t="s">
        <v>52</v>
      </c>
      <c r="C154" s="14" t="n">
        <f aca="false">C153/C142</f>
        <v>0.0614777915379352</v>
      </c>
      <c r="D154" s="14" t="n">
        <f aca="false">D153/D142</f>
        <v>0.0606089258510762</v>
      </c>
      <c r="E154" s="14" t="n">
        <f aca="false">E153/E142</f>
        <v>0.0615816410202386</v>
      </c>
      <c r="F154" s="14" t="n">
        <f aca="false">F153/F142</f>
        <v>0.064273870028487</v>
      </c>
      <c r="G154" s="14" t="n">
        <f aca="false">G153/G142</f>
        <v>0.0659557944909576</v>
      </c>
    </row>
    <row r="155" customFormat="false" ht="17.15" hidden="false" customHeight="false" outlineLevel="0" collapsed="false">
      <c r="A155" s="0" t="s">
        <v>480</v>
      </c>
      <c r="B155" s="0" t="s">
        <v>52</v>
      </c>
      <c r="D155" s="14" t="n">
        <f aca="false">D152/D135</f>
        <v>0.0571989258510762</v>
      </c>
      <c r="E155" s="14" t="n">
        <f aca="false">E152/E135</f>
        <v>0.0607188184361838</v>
      </c>
      <c r="F155" s="14" t="n">
        <f aca="false">F152/F135</f>
        <v>0.0676186841675683</v>
      </c>
      <c r="G155" s="14" t="n">
        <f aca="false">G152/G135</f>
        <v>0.0717586036063991</v>
      </c>
      <c r="H155" s="4" t="s">
        <v>481</v>
      </c>
    </row>
    <row r="156" customFormat="false" ht="15" hidden="false" customHeight="false" outlineLevel="0" collapsed="false">
      <c r="A156" s="4" t="s">
        <v>482</v>
      </c>
      <c r="B156" s="0" t="s">
        <v>209</v>
      </c>
      <c r="C156" s="19" t="n">
        <f aca="false">a25_opx</f>
        <v>238.938</v>
      </c>
      <c r="D156" s="19" t="n">
        <f aca="false">a26_opx</f>
        <v>254.8304233</v>
      </c>
      <c r="E156" s="19" t="n">
        <f aca="false">D156*(1+MAX(0,phi*E145))</f>
        <v>278.452566808928</v>
      </c>
      <c r="F156" s="19" t="n">
        <f aca="false">E156*(1+MAX(0,phi*F145))</f>
        <v>278.452566808928</v>
      </c>
      <c r="G156" s="19" t="n">
        <f aca="false">F156*(1+MAX(0,phi*G145))</f>
        <v>284.038385979633</v>
      </c>
    </row>
    <row r="157" customFormat="false" ht="15" hidden="false" customHeight="false" outlineLevel="0" collapsed="false">
      <c r="A157" s="4" t="s">
        <v>361</v>
      </c>
      <c r="B157" s="0" t="s">
        <v>209</v>
      </c>
      <c r="C157" s="19" t="n">
        <f aca="false">C156</f>
        <v>238.938</v>
      </c>
      <c r="D157" s="19" t="n">
        <f aca="false">D156</f>
        <v>254.8304233</v>
      </c>
      <c r="E157" s="19" t="n">
        <f aca="false">E156+0*E142</f>
        <v>278.452566808928</v>
      </c>
      <c r="F157" s="19" t="n">
        <f aca="false">F156+0*F142</f>
        <v>278.452566808928</v>
      </c>
      <c r="G157" s="19" t="n">
        <f aca="false">G156+0*G142</f>
        <v>284.038385979633</v>
      </c>
    </row>
    <row r="158" customFormat="false" ht="15" hidden="false" customHeight="false" outlineLevel="0" collapsed="false">
      <c r="A158" s="4" t="s">
        <v>364</v>
      </c>
      <c r="B158" s="0" t="s">
        <v>209</v>
      </c>
      <c r="C158" s="19" t="n">
        <f aca="false">C153-C157</f>
        <v>259.223</v>
      </c>
      <c r="D158" s="19" t="n">
        <f aca="false">D153-D157</f>
        <v>421.0036475</v>
      </c>
      <c r="E158" s="19" t="n">
        <f aca="false">E153-E157</f>
        <v>567.361923396647</v>
      </c>
      <c r="F158" s="19" t="n">
        <f aca="false">F153-F157</f>
        <v>588.408749373913</v>
      </c>
      <c r="G158" s="19" t="n">
        <f aca="false">G153-G157</f>
        <v>650.118223301805</v>
      </c>
    </row>
    <row r="159" customFormat="false" ht="15" hidden="false" customHeight="false" outlineLevel="0" collapsed="false">
      <c r="A159" s="4" t="s">
        <v>367</v>
      </c>
      <c r="B159" s="0" t="s">
        <v>52</v>
      </c>
      <c r="C159" s="14" t="n">
        <f aca="false">C158/C142</f>
        <v>0.0319905764518663</v>
      </c>
      <c r="D159" s="14" t="n">
        <f aca="false">D158/D142</f>
        <v>0.0377556858359561</v>
      </c>
      <c r="E159" s="14" t="n">
        <f aca="false">E158/E142</f>
        <v>0.0413082049311694</v>
      </c>
      <c r="F159" s="14" t="n">
        <f aca="false">F158/F142</f>
        <v>0.0436278638518765</v>
      </c>
      <c r="G159" s="14" t="n">
        <f aca="false">G158/G142</f>
        <v>0.0459013654722235</v>
      </c>
    </row>
    <row r="160" customFormat="false" ht="17.15" hidden="false" customHeight="false" outlineLevel="0" collapsed="false">
      <c r="A160" s="4" t="s">
        <v>243</v>
      </c>
      <c r="B160" s="0" t="s">
        <v>52</v>
      </c>
      <c r="C160" s="15" t="n">
        <f aca="false">a25_ni/a25_oi</f>
        <v>0.730467589681471</v>
      </c>
      <c r="D160" s="15" t="n">
        <f aca="false">a26_ni/a26_oi</f>
        <v>0.653811645064191</v>
      </c>
      <c r="E160" s="15" t="n">
        <f aca="false">nio_f</f>
        <v>0.66</v>
      </c>
      <c r="F160" s="15" t="n">
        <f aca="false">nio_f</f>
        <v>0.66</v>
      </c>
      <c r="G160" s="15" t="n">
        <f aca="false">nio_f</f>
        <v>0.66</v>
      </c>
    </row>
    <row r="161" customFormat="false" ht="15" hidden="false" customHeight="false" outlineLevel="0" collapsed="false">
      <c r="A161" s="4" t="s">
        <v>368</v>
      </c>
      <c r="B161" s="0" t="s">
        <v>209</v>
      </c>
      <c r="C161" s="19" t="n">
        <f aca="false">a25_ni</f>
        <v>189.354</v>
      </c>
      <c r="D161" s="19" t="n">
        <f aca="false">a26_ni</f>
        <v>275.25708735</v>
      </c>
      <c r="E161" s="19" t="n">
        <f aca="false">E158*E160</f>
        <v>374.458869441787</v>
      </c>
      <c r="F161" s="19" t="n">
        <f aca="false">F158*F160</f>
        <v>388.349774586783</v>
      </c>
      <c r="G161" s="19" t="n">
        <f aca="false">G158*G160</f>
        <v>429.078027379192</v>
      </c>
    </row>
    <row r="162" customFormat="false" ht="15" hidden="false" customHeight="false" outlineLevel="0" collapsed="false">
      <c r="A162" s="4" t="s">
        <v>483</v>
      </c>
      <c r="B162" s="4" t="s">
        <v>230</v>
      </c>
      <c r="C162" s="23" t="n">
        <f aca="false">a25_sh</f>
        <v>13.9128581925055</v>
      </c>
      <c r="D162" s="23" t="n">
        <f aca="false">a26_sh</f>
        <v>14.0169642857143</v>
      </c>
      <c r="E162" s="23" t="n">
        <f aca="false">D162*(1+sh_g)</f>
        <v>14.0169642857143</v>
      </c>
      <c r="F162" s="23" t="n">
        <f aca="false">E162*(1+sh_g)</f>
        <v>14.0169642857143</v>
      </c>
      <c r="G162" s="23" t="n">
        <f aca="false">F162*(1+sh_g)</f>
        <v>14.0169642857143</v>
      </c>
    </row>
    <row r="163" customFormat="false" ht="15" hidden="false" customHeight="false" outlineLevel="0" collapsed="false">
      <c r="A163" s="0" t="s">
        <v>374</v>
      </c>
      <c r="B163" s="0" t="s">
        <v>260</v>
      </c>
      <c r="C163" s="22" t="n">
        <f aca="false">C161/C162</f>
        <v>13.61</v>
      </c>
      <c r="D163" s="22" t="n">
        <f aca="false">D161/D162</f>
        <v>19.6374251756163</v>
      </c>
      <c r="E163" s="22" t="n">
        <f aca="false">E161/E162</f>
        <v>26.7146909850819</v>
      </c>
      <c r="F163" s="22" t="n">
        <f aca="false">F161/F162</f>
        <v>27.705697658271</v>
      </c>
      <c r="G163" s="22" t="n">
        <f aca="false">G161/G162</f>
        <v>30.6113377071593</v>
      </c>
    </row>
    <row r="164" customFormat="false" ht="17.15" hidden="false" customHeight="false" outlineLevel="0" collapsed="false">
      <c r="A164" s="0" t="s">
        <v>484</v>
      </c>
      <c r="B164" s="0" t="s">
        <v>52</v>
      </c>
      <c r="D164" s="15" t="n">
        <f aca="false">D163/C163-1</f>
        <v>0.442867389832203</v>
      </c>
      <c r="E164" s="15" t="n">
        <f aca="false">E163/D163-1</f>
        <v>0.360396831365319</v>
      </c>
      <c r="F164" s="15" t="n">
        <f aca="false">F163/E163-1</f>
        <v>0.037095943716605</v>
      </c>
      <c r="G164" s="15" t="n">
        <f aca="false">G163/F163-1</f>
        <v>0.104875180720125</v>
      </c>
    </row>
    <row r="167" customFormat="false" ht="17.15" hidden="false" customHeight="false" outlineLevel="0" collapsed="false">
      <c r="A167" s="1" t="s">
        <v>486</v>
      </c>
    </row>
    <row r="168" customFormat="false" ht="17.15" hidden="false" customHeight="false" outlineLevel="0" collapsed="false">
      <c r="A168" s="5" t="s">
        <v>21</v>
      </c>
      <c r="B168" s="5" t="s">
        <v>22</v>
      </c>
      <c r="C168" s="11" t="s">
        <v>347</v>
      </c>
      <c r="D168" s="11" t="s">
        <v>429</v>
      </c>
      <c r="E168" s="11" t="s">
        <v>430</v>
      </c>
      <c r="F168" s="11" t="s">
        <v>431</v>
      </c>
      <c r="G168" s="11" t="s">
        <v>432</v>
      </c>
      <c r="H168" s="5" t="s">
        <v>400</v>
      </c>
    </row>
    <row r="169" customFormat="false" ht="17.15" hidden="false" customHeight="false" outlineLevel="0" collapsed="false">
      <c r="A169" s="6" t="s">
        <v>450</v>
      </c>
    </row>
    <row r="170" customFormat="false" ht="17.15" hidden="false" customHeight="false" outlineLevel="0" collapsed="false">
      <c r="A170" s="0" t="s">
        <v>451</v>
      </c>
      <c r="B170" s="0" t="s">
        <v>32</v>
      </c>
      <c r="D170" s="22" t="n">
        <f aca="false">itc_26*1</f>
        <v>781.872916666666</v>
      </c>
      <c r="E170" s="22" t="n">
        <f aca="false">itc_27*1*1</f>
        <v>1565.35</v>
      </c>
      <c r="F170" s="22" t="n">
        <f aca="false">itc_28*um28_C*1</f>
        <v>1190.55833333333</v>
      </c>
      <c r="G170" s="22" t="n">
        <f aca="false">itc_29*um29_C*1</f>
        <v>1356.23416666667</v>
      </c>
    </row>
    <row r="171" customFormat="false" ht="17.15" hidden="false" customHeight="false" outlineLevel="0" collapsed="false">
      <c r="A171" s="4" t="s">
        <v>452</v>
      </c>
      <c r="B171" s="0" t="s">
        <v>32</v>
      </c>
      <c r="D171" s="22" t="n">
        <f aca="false">itpg_gb*(1-vr26)+itpg_vr*vr26</f>
        <v>33.41403216</v>
      </c>
      <c r="E171" s="22" t="n">
        <f aca="false">itpg_vr</f>
        <v>37.586352</v>
      </c>
      <c r="F171" s="22" t="n">
        <f aca="false">itpg_vr</f>
        <v>37.586352</v>
      </c>
      <c r="G171" s="22" t="n">
        <f aca="false">itpg_vr</f>
        <v>37.586352</v>
      </c>
    </row>
    <row r="172" customFormat="false" ht="17.15" hidden="false" customHeight="false" outlineLevel="0" collapsed="false">
      <c r="A172" s="4" t="s">
        <v>453</v>
      </c>
      <c r="B172" s="0" t="s">
        <v>402</v>
      </c>
      <c r="D172" s="18" t="n">
        <f aca="false">D170/D171</f>
        <v>23.3995380420639</v>
      </c>
      <c r="E172" s="18" t="n">
        <f aca="false">E170/E171</f>
        <v>41.6467658260637</v>
      </c>
      <c r="F172" s="18" t="n">
        <f aca="false">F170/F171</f>
        <v>31.6752829147488</v>
      </c>
      <c r="G172" s="18" t="n">
        <f aca="false">G170/G171</f>
        <v>36.0831550416669</v>
      </c>
    </row>
    <row r="173" customFormat="false" ht="17.15" hidden="false" customHeight="false" outlineLevel="0" collapsed="false">
      <c r="A173" s="4" t="s">
        <v>404</v>
      </c>
      <c r="B173" s="0" t="s">
        <v>405</v>
      </c>
      <c r="D173" s="16" t="n">
        <f aca="false">(racks_gb*odm_gb*(1-vr26)+racks_vr*odm_vr*vr26)/1000</f>
        <v>27.1209</v>
      </c>
      <c r="E173" s="16" t="n">
        <f aca="false">racks_vr*odm_vr/1000</f>
        <v>27.351</v>
      </c>
      <c r="F173" s="16" t="n">
        <f aca="false">$E173*vpg_28</f>
        <v>27.351</v>
      </c>
      <c r="G173" s="16" t="n">
        <f aca="false">$E173*vpg_29</f>
        <v>27.351</v>
      </c>
      <c r="H173" s="4" t="s">
        <v>454</v>
      </c>
    </row>
    <row r="174" customFormat="false" ht="17.15" hidden="false" customHeight="false" outlineLevel="0" collapsed="false">
      <c r="A174" s="0" t="s">
        <v>455</v>
      </c>
      <c r="B174" s="0" t="s">
        <v>32</v>
      </c>
      <c r="D174" s="19" t="n">
        <f aca="false">D172*D173</f>
        <v>634.61653128501</v>
      </c>
      <c r="E174" s="19" t="n">
        <f aca="false">E172*E173</f>
        <v>1139.08069210867</v>
      </c>
      <c r="F174" s="19" t="n">
        <f aca="false">F172*F173</f>
        <v>866.350663001294</v>
      </c>
      <c r="G174" s="19" t="n">
        <f aca="false">G172*G173</f>
        <v>986.910373544632</v>
      </c>
    </row>
    <row r="175" customFormat="false" ht="17.15" hidden="false" customHeight="false" outlineLevel="0" collapsed="false">
      <c r="A175" s="0" t="s">
        <v>456</v>
      </c>
      <c r="B175" s="0" t="s">
        <v>209</v>
      </c>
      <c r="D175" s="19" t="n">
        <f aca="false">D174*fx</f>
        <v>20307.7290011203</v>
      </c>
      <c r="E175" s="19" t="n">
        <f aca="false">E174*fx</f>
        <v>36450.5821474774</v>
      </c>
      <c r="F175" s="19" t="n">
        <f aca="false">F174*fx</f>
        <v>27723.2212160414</v>
      </c>
      <c r="G175" s="19" t="n">
        <f aca="false">G174*fx</f>
        <v>31581.1319534282</v>
      </c>
    </row>
    <row r="176" customFormat="false" ht="17.15" hidden="false" customHeight="false" outlineLevel="0" collapsed="false">
      <c r="A176" s="4" t="s">
        <v>457</v>
      </c>
      <c r="B176" s="0" t="s">
        <v>52</v>
      </c>
      <c r="D176" s="15" t="n">
        <f aca="false">a26_ai/D175</f>
        <v>0.174610057569922</v>
      </c>
      <c r="H176" s="8" t="s">
        <v>458</v>
      </c>
    </row>
    <row r="177" customFormat="false" ht="17.15" hidden="false" customHeight="false" outlineLevel="0" collapsed="false">
      <c r="A177" s="4" t="s">
        <v>459</v>
      </c>
      <c r="B177" s="0" t="s">
        <v>71</v>
      </c>
      <c r="D177" s="16" t="n">
        <f aca="false">1</f>
        <v>1</v>
      </c>
      <c r="E177" s="16" t="n">
        <f aca="false">rel_27</f>
        <v>1</v>
      </c>
      <c r="F177" s="16" t="n">
        <f aca="false">rel_28</f>
        <v>1</v>
      </c>
      <c r="G177" s="16" t="n">
        <f aca="false">rel_29</f>
        <v>0.95</v>
      </c>
    </row>
    <row r="178" customFormat="false" ht="15" hidden="false" customHeight="false" outlineLevel="0" collapsed="false">
      <c r="A178" s="4" t="s">
        <v>460</v>
      </c>
      <c r="B178" s="0" t="s">
        <v>52</v>
      </c>
      <c r="D178" s="15" t="n">
        <f aca="false">$D$176*D177</f>
        <v>0.174610057569922</v>
      </c>
      <c r="E178" s="15" t="n">
        <f aca="false">$D$176*E177</f>
        <v>0.174610057569922</v>
      </c>
      <c r="F178" s="15" t="n">
        <f aca="false">$D$176*F177</f>
        <v>0.174610057569922</v>
      </c>
      <c r="G178" s="15" t="n">
        <f aca="false">$D$176*G177</f>
        <v>0.165879554691426</v>
      </c>
    </row>
    <row r="179" customFormat="false" ht="17.15" hidden="false" customHeight="false" outlineLevel="0" collapsed="false">
      <c r="A179" s="0" t="s">
        <v>461</v>
      </c>
      <c r="B179" s="0" t="s">
        <v>209</v>
      </c>
      <c r="D179" s="19" t="n">
        <f aca="false">D175*D178</f>
        <v>3545.93373</v>
      </c>
      <c r="E179" s="19" t="n">
        <f aca="false">E175*E178</f>
        <v>6364.6382472282</v>
      </c>
      <c r="F179" s="19" t="n">
        <f aca="false">F175*F178</f>
        <v>4840.75325255668</v>
      </c>
      <c r="G179" s="19" t="n">
        <f aca="false">G175*G178</f>
        <v>5238.66410508584</v>
      </c>
    </row>
    <row r="180" customFormat="false" ht="17.15" hidden="false" customHeight="false" outlineLevel="0" collapsed="false">
      <c r="A180" s="4" t="s">
        <v>462</v>
      </c>
      <c r="B180" s="0" t="s">
        <v>52</v>
      </c>
      <c r="D180" s="15" t="n">
        <f aca="false">0</f>
        <v>0</v>
      </c>
      <c r="E180" s="15" t="n">
        <f aca="false">cs_27</f>
        <v>0.1</v>
      </c>
      <c r="F180" s="15" t="n">
        <f aca="false">cs_28</f>
        <v>0.2</v>
      </c>
      <c r="G180" s="15" t="n">
        <f aca="false">cs_29</f>
        <v>0.25</v>
      </c>
      <c r="H180" s="8" t="s">
        <v>463</v>
      </c>
    </row>
    <row r="181" customFormat="false" ht="17.15" hidden="false" customHeight="false" outlineLevel="0" collapsed="false">
      <c r="A181" s="0" t="s">
        <v>464</v>
      </c>
      <c r="B181" s="0" t="s">
        <v>209</v>
      </c>
      <c r="C181" s="19" t="n">
        <f aca="false">a25_ai</f>
        <v>1620.621</v>
      </c>
      <c r="D181" s="19" t="n">
        <f aca="false">D179*(1-D180)</f>
        <v>3545.93373</v>
      </c>
      <c r="E181" s="19" t="n">
        <f aca="false">E179*(1-E180)</f>
        <v>5728.17442250538</v>
      </c>
      <c r="F181" s="19" t="n">
        <f aca="false">F179*(1-F180)</f>
        <v>3872.60260204534</v>
      </c>
      <c r="G181" s="19" t="n">
        <f aca="false">G179*(1-G180)</f>
        <v>3928.99807881438</v>
      </c>
    </row>
    <row r="182" customFormat="false" ht="17.15" hidden="false" customHeight="false" outlineLevel="0" collapsed="false">
      <c r="A182" s="6" t="s">
        <v>465</v>
      </c>
    </row>
    <row r="183" customFormat="false" ht="17.15" hidden="false" customHeight="false" outlineLevel="0" collapsed="false">
      <c r="A183" s="4" t="s">
        <v>382</v>
      </c>
      <c r="B183" s="0" t="s">
        <v>209</v>
      </c>
      <c r="C183" s="19" t="n">
        <f aca="false">a25_cn</f>
        <v>1620.621</v>
      </c>
      <c r="D183" s="19" t="n">
        <f aca="false">a26_cn</f>
        <v>2363.95582</v>
      </c>
      <c r="E183" s="19" t="n">
        <f aca="false">D183*(1+g_cn27)</f>
        <v>2647.6305184</v>
      </c>
      <c r="F183" s="19" t="n">
        <f aca="false">E183*(1+g_cn28)</f>
        <v>2859.440959872</v>
      </c>
      <c r="G183" s="19" t="n">
        <f aca="false">F183*(1+g_cn29)</f>
        <v>3031.00741746432</v>
      </c>
    </row>
    <row r="184" customFormat="false" ht="17.15" hidden="false" customHeight="false" outlineLevel="0" collapsed="false">
      <c r="A184" s="4" t="s">
        <v>383</v>
      </c>
      <c r="B184" s="0" t="s">
        <v>209</v>
      </c>
      <c r="C184" s="19" t="n">
        <f aca="false">a25_ce</f>
        <v>3079.1799</v>
      </c>
      <c r="D184" s="19" t="n">
        <f aca="false">a26_ce</f>
        <v>3345.2205</v>
      </c>
      <c r="E184" s="19" t="n">
        <f aca="false">D184*(1+g_ce27)</f>
        <v>3445.577115</v>
      </c>
      <c r="F184" s="19" t="n">
        <f aca="false">E184*(1+g_ce28)</f>
        <v>3514.4886573</v>
      </c>
      <c r="G184" s="19" t="n">
        <f aca="false">F184*(1+g_ce29)</f>
        <v>3584.778430446</v>
      </c>
    </row>
    <row r="185" customFormat="false" ht="15" hidden="false" customHeight="false" outlineLevel="0" collapsed="false">
      <c r="A185" s="4" t="s">
        <v>384</v>
      </c>
      <c r="B185" s="0" t="s">
        <v>209</v>
      </c>
      <c r="C185" s="19" t="n">
        <f aca="false">a25_pc</f>
        <v>1215.46575</v>
      </c>
      <c r="D185" s="19" t="n">
        <f aca="false">a26_pc</f>
        <v>1338.0882</v>
      </c>
      <c r="E185" s="19" t="n">
        <f aca="false">D185*(1+g_pc27)</f>
        <v>1311.326436</v>
      </c>
      <c r="F185" s="19" t="n">
        <f aca="false">E185*(1+g_pc28)</f>
        <v>1311.326436</v>
      </c>
      <c r="G185" s="19" t="n">
        <f aca="false">F185*(1+g_pc29)</f>
        <v>1311.326436</v>
      </c>
    </row>
    <row r="186" customFormat="false" ht="15" hidden="false" customHeight="false" outlineLevel="0" collapsed="false">
      <c r="A186" s="4" t="s">
        <v>466</v>
      </c>
      <c r="B186" s="0" t="s">
        <v>209</v>
      </c>
      <c r="C186" s="19" t="n">
        <f aca="false">a25_co</f>
        <v>567.217349999999</v>
      </c>
      <c r="D186" s="19" t="n">
        <f aca="false">a26_co</f>
        <v>557.53675</v>
      </c>
      <c r="E186" s="19" t="n">
        <f aca="false">D186*(1+g_co27)</f>
        <v>602.13969</v>
      </c>
      <c r="F186" s="19" t="n">
        <f aca="false">E186*(1+g_co28)</f>
        <v>638.2680714</v>
      </c>
      <c r="G186" s="19" t="n">
        <f aca="false">F186*(1+g_co29)</f>
        <v>670.18147497</v>
      </c>
    </row>
    <row r="187" customFormat="false" ht="17.15" hidden="false" customHeight="false" outlineLevel="0" collapsed="false">
      <c r="A187" s="4" t="s">
        <v>387</v>
      </c>
      <c r="B187" s="0" t="s">
        <v>209</v>
      </c>
      <c r="C187" s="19" t="n">
        <f aca="false">SUM(C183:C186)</f>
        <v>6482.484</v>
      </c>
      <c r="D187" s="19" t="n">
        <f aca="false">SUM(D183:D186)</f>
        <v>7604.80127</v>
      </c>
      <c r="E187" s="19" t="n">
        <f aca="false">SUM(E183:E186)</f>
        <v>8006.6737594</v>
      </c>
      <c r="F187" s="19" t="n">
        <f aca="false">SUM(F183:F186)</f>
        <v>8323.524124572</v>
      </c>
      <c r="G187" s="19" t="n">
        <f aca="false">SUM(G183:G186)</f>
        <v>8597.29375888032</v>
      </c>
    </row>
    <row r="188" customFormat="false" ht="15" hidden="false" customHeight="false" outlineLevel="0" collapsed="false">
      <c r="A188" s="4" t="s">
        <v>353</v>
      </c>
      <c r="B188" s="0" t="s">
        <v>209</v>
      </c>
      <c r="C188" s="19" t="n">
        <f aca="false">C181+C187</f>
        <v>8103.105</v>
      </c>
      <c r="D188" s="19" t="n">
        <f aca="false">D181+D187</f>
        <v>11150.735</v>
      </c>
      <c r="E188" s="19" t="n">
        <f aca="false">E181+E187</f>
        <v>13734.8481819054</v>
      </c>
      <c r="F188" s="19" t="n">
        <f aca="false">F181+F187</f>
        <v>12196.1267266173</v>
      </c>
      <c r="G188" s="19" t="n">
        <f aca="false">G181+G187</f>
        <v>12526.2918376947</v>
      </c>
    </row>
    <row r="189" customFormat="false" ht="17.15" hidden="false" customHeight="false" outlineLevel="0" collapsed="false">
      <c r="A189" s="4" t="s">
        <v>467</v>
      </c>
      <c r="B189" s="0" t="s">
        <v>209</v>
      </c>
      <c r="C189" s="19" t="n">
        <f aca="false">C181+C183</f>
        <v>3241.242</v>
      </c>
      <c r="D189" s="19" t="n">
        <f aca="false">D181+D183</f>
        <v>5909.88955</v>
      </c>
      <c r="E189" s="19" t="n">
        <f aca="false">E181+E183</f>
        <v>8375.80494090538</v>
      </c>
      <c r="F189" s="19" t="n">
        <f aca="false">F181+F183</f>
        <v>6732.04356191734</v>
      </c>
      <c r="G189" s="19" t="n">
        <f aca="false">G181+G183</f>
        <v>6960.0054962787</v>
      </c>
      <c r="H189" s="4" t="s">
        <v>468</v>
      </c>
    </row>
    <row r="190" customFormat="false" ht="17.15" hidden="false" customHeight="false" outlineLevel="0" collapsed="false">
      <c r="A190" s="4" t="s">
        <v>469</v>
      </c>
      <c r="B190" s="0" t="s">
        <v>209</v>
      </c>
      <c r="C190" s="23" t="n">
        <f aca="false">C189+C184+C185+C186-a25_rev</f>
        <v>0</v>
      </c>
      <c r="D190" s="23" t="n">
        <f aca="false">D189+D184+D185+D186-a26_rev</f>
        <v>0</v>
      </c>
      <c r="E190" s="23" t="n">
        <f aca="false">E189+E184+E185+E186-E188</f>
        <v>0</v>
      </c>
      <c r="F190" s="23" t="n">
        <f aca="false">F189+F184+F185+F186-F188</f>
        <v>0</v>
      </c>
      <c r="G190" s="23" t="n">
        <f aca="false">G189+G184+G185+G186-G188</f>
        <v>0</v>
      </c>
    </row>
    <row r="191" customFormat="false" ht="15" hidden="false" customHeight="false" outlineLevel="0" collapsed="false">
      <c r="A191" s="4" t="s">
        <v>470</v>
      </c>
      <c r="B191" s="0" t="s">
        <v>52</v>
      </c>
      <c r="D191" s="15" t="n">
        <f aca="false">D188/C188-1</f>
        <v>0.376106443147411</v>
      </c>
      <c r="E191" s="15" t="n">
        <f aca="false">E188/D188-1</f>
        <v>0.231743753385349</v>
      </c>
      <c r="F191" s="15" t="n">
        <f aca="false">F188/E188-1</f>
        <v>-0.112030466948676</v>
      </c>
      <c r="G191" s="15" t="n">
        <f aca="false">G188/F188-1</f>
        <v>0.0270713086603791</v>
      </c>
    </row>
    <row r="192" customFormat="false" ht="17.15" hidden="false" customHeight="false" outlineLevel="0" collapsed="false">
      <c r="A192" s="0" t="s">
        <v>471</v>
      </c>
      <c r="B192" s="0" t="s">
        <v>52</v>
      </c>
      <c r="C192" s="15" t="n">
        <f aca="false">C181/C188</f>
        <v>0.2</v>
      </c>
      <c r="D192" s="15" t="n">
        <f aca="false">D181/D188</f>
        <v>0.318</v>
      </c>
      <c r="E192" s="15" t="n">
        <f aca="false">E181/E188</f>
        <v>0.417054076364078</v>
      </c>
      <c r="F192" s="15" t="n">
        <f aca="false">F181/F188</f>
        <v>0.317527251794917</v>
      </c>
      <c r="G192" s="15" t="n">
        <f aca="false">G181/G188</f>
        <v>0.313660110248354</v>
      </c>
    </row>
    <row r="193" customFormat="false" ht="17.15" hidden="false" customHeight="false" outlineLevel="0" collapsed="false">
      <c r="A193" s="4" t="s">
        <v>472</v>
      </c>
      <c r="B193" s="0" t="s">
        <v>52</v>
      </c>
      <c r="C193" s="15" t="n">
        <f aca="false">(C181+C183)/C188</f>
        <v>0.4</v>
      </c>
      <c r="D193" s="15" t="n">
        <f aca="false">(D181+D183)/D188</f>
        <v>0.53</v>
      </c>
      <c r="E193" s="15" t="n">
        <f aca="false">(E181+E183)/E188</f>
        <v>0.609821443235162</v>
      </c>
      <c r="F193" s="15" t="n">
        <f aca="false">(F181+F183)/F188</f>
        <v>0.551982093398968</v>
      </c>
      <c r="G193" s="15" t="n">
        <f aca="false">(G181+G183)/G188</f>
        <v>0.555631753312208</v>
      </c>
    </row>
    <row r="194" customFormat="false" ht="17.15" hidden="false" customHeight="false" outlineLevel="0" collapsed="false">
      <c r="A194" s="4" t="s">
        <v>418</v>
      </c>
      <c r="B194" s="0" t="s">
        <v>405</v>
      </c>
      <c r="D194" s="16" t="n">
        <f aca="false">D181/fx/D172</f>
        <v>4.7355819103481</v>
      </c>
      <c r="E194" s="16" t="n">
        <f aca="false">E181/fx/E172</f>
        <v>4.29818371613545</v>
      </c>
      <c r="F194" s="16" t="n">
        <f aca="false">F181/fx/F172</f>
        <v>3.82060774767595</v>
      </c>
      <c r="G194" s="16" t="n">
        <f aca="false">G181/fx/G172</f>
        <v>3.4027287752739</v>
      </c>
    </row>
    <row r="195" customFormat="false" ht="17.15" hidden="false" customHeight="false" outlineLevel="0" collapsed="false">
      <c r="A195" s="4" t="s">
        <v>473</v>
      </c>
      <c r="B195" s="4" t="s">
        <v>416</v>
      </c>
      <c r="D195" s="19" t="n">
        <f aca="false">D179/fx/(odm_gb*(1-vr26)+odm_vr*vr26)</f>
        <v>24.0630682003257</v>
      </c>
      <c r="E195" s="19" t="n">
        <f aca="false">E179/fx/odm_vr</f>
        <v>29.4659178112417</v>
      </c>
      <c r="F195" s="19" t="n">
        <f aca="false">F179/fx/odm_vr</f>
        <v>22.4108946877624</v>
      </c>
      <c r="G195" s="19" t="n">
        <f aca="false">G179/fx/odm_vr</f>
        <v>24.2530745605826</v>
      </c>
      <c r="H195" s="4" t="s">
        <v>474</v>
      </c>
    </row>
    <row r="196" customFormat="false" ht="17.15" hidden="false" customHeight="false" outlineLevel="0" collapsed="false">
      <c r="A196" s="6" t="s">
        <v>475</v>
      </c>
    </row>
    <row r="197" customFormat="false" ht="17.15" hidden="false" customHeight="false" outlineLevel="0" collapsed="false">
      <c r="A197" s="4" t="s">
        <v>476</v>
      </c>
      <c r="B197" s="0" t="s">
        <v>52</v>
      </c>
      <c r="D197" s="14" t="n">
        <f aca="false">a26_gp/D188-d_ai*D192</f>
        <v>0.0621989258510762</v>
      </c>
      <c r="H197" s="8" t="s">
        <v>477</v>
      </c>
    </row>
    <row r="198" customFormat="false" ht="17.15" hidden="false" customHeight="false" outlineLevel="0" collapsed="false">
      <c r="A198" s="0" t="s">
        <v>478</v>
      </c>
      <c r="B198" s="0" t="s">
        <v>209</v>
      </c>
      <c r="D198" s="22" t="n">
        <f aca="false">($D$197+d_ai)*D179*(1-D180*(1-keep))</f>
        <v>202.8236004951</v>
      </c>
      <c r="E198" s="22" t="n">
        <f aca="false">($D$197+d_ai+vrd)*E179*(1-E180*(1-keep))</f>
        <v>347.807982730896</v>
      </c>
      <c r="F198" s="22" t="n">
        <f aca="false">($D$197+d_ai+vrd)*F179*(1-F180*(1-keep))</f>
        <v>261.860292254207</v>
      </c>
      <c r="G198" s="22" t="n">
        <f aca="false">($D$197+d_ai+vrd)*G179*(1-G180*(1-keep))</f>
        <v>281.939415707945</v>
      </c>
      <c r="H198" s="4" t="s">
        <v>479</v>
      </c>
    </row>
    <row r="199" customFormat="false" ht="15" hidden="false" customHeight="false" outlineLevel="0" collapsed="false">
      <c r="A199" s="4" t="s">
        <v>357</v>
      </c>
      <c r="B199" s="0" t="s">
        <v>209</v>
      </c>
      <c r="C199" s="19" t="n">
        <f aca="false">a25_gp</f>
        <v>498.161</v>
      </c>
      <c r="D199" s="19" t="n">
        <f aca="false">a26_gp</f>
        <v>675.8340708</v>
      </c>
      <c r="E199" s="19" t="n">
        <f aca="false">$D$197*E187+E198</f>
        <v>845.814490205574</v>
      </c>
      <c r="F199" s="19" t="n">
        <f aca="false">$D$197*F187+F198</f>
        <v>779.574552098105</v>
      </c>
      <c r="G199" s="19" t="n">
        <f aca="false">$D$197*G187+G198</f>
        <v>816.681852736462</v>
      </c>
    </row>
    <row r="200" customFormat="false" ht="15" hidden="false" customHeight="false" outlineLevel="0" collapsed="false">
      <c r="A200" s="4" t="s">
        <v>360</v>
      </c>
      <c r="B200" s="0" t="s">
        <v>52</v>
      </c>
      <c r="C200" s="14" t="n">
        <f aca="false">C199/C188</f>
        <v>0.0614777915379352</v>
      </c>
      <c r="D200" s="14" t="n">
        <f aca="false">D199/D188</f>
        <v>0.0606089258510762</v>
      </c>
      <c r="E200" s="14" t="n">
        <f aca="false">E199/E188</f>
        <v>0.0615816410202386</v>
      </c>
      <c r="F200" s="14" t="n">
        <f aca="false">F199/F188</f>
        <v>0.0639198468147046</v>
      </c>
      <c r="G200" s="14" t="n">
        <f aca="false">G199/G188</f>
        <v>0.0651974154297495</v>
      </c>
    </row>
    <row r="201" customFormat="false" ht="17.15" hidden="false" customHeight="false" outlineLevel="0" collapsed="false">
      <c r="A201" s="0" t="s">
        <v>480</v>
      </c>
      <c r="B201" s="0" t="s">
        <v>52</v>
      </c>
      <c r="D201" s="14" t="n">
        <f aca="false">D198/D181</f>
        <v>0.0571989258510762</v>
      </c>
      <c r="E201" s="14" t="n">
        <f aca="false">E198/E181</f>
        <v>0.0607188184361838</v>
      </c>
      <c r="F201" s="14" t="n">
        <f aca="false">F198/F181</f>
        <v>0.0676186841675683</v>
      </c>
      <c r="G201" s="14" t="n">
        <f aca="false">G198/G181</f>
        <v>0.0717586036063991</v>
      </c>
      <c r="H201" s="4" t="s">
        <v>481</v>
      </c>
    </row>
    <row r="202" customFormat="false" ht="15" hidden="false" customHeight="false" outlineLevel="0" collapsed="false">
      <c r="A202" s="4" t="s">
        <v>482</v>
      </c>
      <c r="B202" s="0" t="s">
        <v>209</v>
      </c>
      <c r="C202" s="19" t="n">
        <f aca="false">a25_opx</f>
        <v>238.938</v>
      </c>
      <c r="D202" s="19" t="n">
        <f aca="false">a26_opx</f>
        <v>254.8304233</v>
      </c>
      <c r="E202" s="19" t="n">
        <f aca="false">D202*(1+MAX(0,phi*E191))</f>
        <v>278.452566808928</v>
      </c>
      <c r="F202" s="19" t="n">
        <f aca="false">E202*(1+MAX(0,phi*F191))</f>
        <v>278.452566808928</v>
      </c>
      <c r="G202" s="19" t="n">
        <f aca="false">F202*(1+MAX(0,phi*G191))</f>
        <v>281.467796962271</v>
      </c>
    </row>
    <row r="203" customFormat="false" ht="15" hidden="false" customHeight="false" outlineLevel="0" collapsed="false">
      <c r="A203" s="4" t="s">
        <v>361</v>
      </c>
      <c r="B203" s="0" t="s">
        <v>209</v>
      </c>
      <c r="C203" s="19" t="n">
        <f aca="false">C202</f>
        <v>238.938</v>
      </c>
      <c r="D203" s="19" t="n">
        <f aca="false">D202</f>
        <v>254.8304233</v>
      </c>
      <c r="E203" s="19" t="n">
        <f aca="false">E202+0*E188</f>
        <v>278.452566808928</v>
      </c>
      <c r="F203" s="19" t="n">
        <f aca="false">F202+0*F188</f>
        <v>278.452566808928</v>
      </c>
      <c r="G203" s="19" t="n">
        <f aca="false">G202+0*G188</f>
        <v>281.467796962271</v>
      </c>
    </row>
    <row r="204" customFormat="false" ht="15" hidden="false" customHeight="false" outlineLevel="0" collapsed="false">
      <c r="A204" s="4" t="s">
        <v>364</v>
      </c>
      <c r="B204" s="0" t="s">
        <v>209</v>
      </c>
      <c r="C204" s="19" t="n">
        <f aca="false">C199-C203</f>
        <v>259.223</v>
      </c>
      <c r="D204" s="19" t="n">
        <f aca="false">D199-D203</f>
        <v>421.0036475</v>
      </c>
      <c r="E204" s="19" t="n">
        <f aca="false">E199-E203</f>
        <v>567.361923396647</v>
      </c>
      <c r="F204" s="19" t="n">
        <f aca="false">F199-F203</f>
        <v>501.121985289177</v>
      </c>
      <c r="G204" s="19" t="n">
        <f aca="false">G199-G203</f>
        <v>535.21405577419</v>
      </c>
    </row>
    <row r="205" customFormat="false" ht="15" hidden="false" customHeight="false" outlineLevel="0" collapsed="false">
      <c r="A205" s="4" t="s">
        <v>367</v>
      </c>
      <c r="B205" s="0" t="s">
        <v>52</v>
      </c>
      <c r="C205" s="14" t="n">
        <f aca="false">C204/C188</f>
        <v>0.0319905764518663</v>
      </c>
      <c r="D205" s="14" t="n">
        <f aca="false">D204/D188</f>
        <v>0.0377556858359561</v>
      </c>
      <c r="E205" s="14" t="n">
        <f aca="false">E204/E188</f>
        <v>0.0413082049311694</v>
      </c>
      <c r="F205" s="14" t="n">
        <f aca="false">F204/F188</f>
        <v>0.0410886174374941</v>
      </c>
      <c r="G205" s="14" t="n">
        <f aca="false">G204/G188</f>
        <v>0.0427272542192893</v>
      </c>
    </row>
    <row r="206" customFormat="false" ht="17.15" hidden="false" customHeight="false" outlineLevel="0" collapsed="false">
      <c r="A206" s="4" t="s">
        <v>243</v>
      </c>
      <c r="B206" s="0" t="s">
        <v>52</v>
      </c>
      <c r="C206" s="15" t="n">
        <f aca="false">a25_ni/a25_oi</f>
        <v>0.730467589681471</v>
      </c>
      <c r="D206" s="15" t="n">
        <f aca="false">a26_ni/a26_oi</f>
        <v>0.653811645064191</v>
      </c>
      <c r="E206" s="15" t="n">
        <f aca="false">nio_f</f>
        <v>0.66</v>
      </c>
      <c r="F206" s="15" t="n">
        <f aca="false">nio_f</f>
        <v>0.66</v>
      </c>
      <c r="G206" s="15" t="n">
        <f aca="false">nio_f</f>
        <v>0.66</v>
      </c>
    </row>
    <row r="207" customFormat="false" ht="15" hidden="false" customHeight="false" outlineLevel="0" collapsed="false">
      <c r="A207" s="4" t="s">
        <v>368</v>
      </c>
      <c r="B207" s="0" t="s">
        <v>209</v>
      </c>
      <c r="C207" s="19" t="n">
        <f aca="false">a25_ni</f>
        <v>189.354</v>
      </c>
      <c r="D207" s="19" t="n">
        <f aca="false">a26_ni</f>
        <v>275.25708735</v>
      </c>
      <c r="E207" s="19" t="n">
        <f aca="false">E204*E206</f>
        <v>374.458869441787</v>
      </c>
      <c r="F207" s="19" t="n">
        <f aca="false">F204*F206</f>
        <v>330.740510290857</v>
      </c>
      <c r="G207" s="19" t="n">
        <f aca="false">G204*G206</f>
        <v>353.241276810966</v>
      </c>
    </row>
    <row r="208" customFormat="false" ht="15" hidden="false" customHeight="false" outlineLevel="0" collapsed="false">
      <c r="A208" s="4" t="s">
        <v>483</v>
      </c>
      <c r="B208" s="4" t="s">
        <v>230</v>
      </c>
      <c r="C208" s="23" t="n">
        <f aca="false">a25_sh</f>
        <v>13.9128581925055</v>
      </c>
      <c r="D208" s="23" t="n">
        <f aca="false">a26_sh</f>
        <v>14.0169642857143</v>
      </c>
      <c r="E208" s="23" t="n">
        <f aca="false">D208*(1+sh_g)</f>
        <v>14.0169642857143</v>
      </c>
      <c r="F208" s="23" t="n">
        <f aca="false">E208*(1+sh_g)</f>
        <v>14.0169642857143</v>
      </c>
      <c r="G208" s="23" t="n">
        <f aca="false">F208*(1+sh_g)</f>
        <v>14.0169642857143</v>
      </c>
    </row>
    <row r="209" customFormat="false" ht="15" hidden="false" customHeight="false" outlineLevel="0" collapsed="false">
      <c r="A209" s="0" t="s">
        <v>374</v>
      </c>
      <c r="B209" s="0" t="s">
        <v>260</v>
      </c>
      <c r="C209" s="22" t="n">
        <f aca="false">C207/C208</f>
        <v>13.61</v>
      </c>
      <c r="D209" s="22" t="n">
        <f aca="false">D207/D208</f>
        <v>19.6374251756163</v>
      </c>
      <c r="E209" s="22" t="n">
        <f aca="false">E207/E208</f>
        <v>26.7146909850819</v>
      </c>
      <c r="F209" s="22" t="n">
        <f aca="false">F207/F208</f>
        <v>23.5957303984814</v>
      </c>
      <c r="G209" s="22" t="n">
        <f aca="false">G207/G208</f>
        <v>25.2009828669521</v>
      </c>
    </row>
    <row r="210" customFormat="false" ht="17.15" hidden="false" customHeight="false" outlineLevel="0" collapsed="false">
      <c r="A210" s="0" t="s">
        <v>484</v>
      </c>
      <c r="B210" s="0" t="s">
        <v>52</v>
      </c>
      <c r="D210" s="15" t="n">
        <f aca="false">D209/C209-1</f>
        <v>0.442867389832203</v>
      </c>
      <c r="E210" s="15" t="n">
        <f aca="false">E209/D209-1</f>
        <v>0.360396831365319</v>
      </c>
      <c r="F210" s="15" t="n">
        <f aca="false">F209/E209-1</f>
        <v>-0.116750764152286</v>
      </c>
      <c r="G210" s="15" t="n">
        <f aca="false">G209/F209-1</f>
        <v>0.0680314803297639</v>
      </c>
    </row>
    <row r="213" customFormat="false" ht="17.15" hidden="false" customHeight="false" outlineLevel="0" collapsed="false">
      <c r="A213" s="1" t="s">
        <v>487</v>
      </c>
    </row>
    <row r="214" customFormat="false" ht="17.15" hidden="false" customHeight="false" outlineLevel="0" collapsed="false">
      <c r="A214" s="1" t="s">
        <v>488</v>
      </c>
    </row>
    <row r="215" customFormat="false" ht="17.15" hidden="false" customHeight="false" outlineLevel="0" collapsed="false">
      <c r="A215" s="5" t="s">
        <v>21</v>
      </c>
      <c r="B215" s="5" t="s">
        <v>22</v>
      </c>
      <c r="C215" s="11" t="s">
        <v>347</v>
      </c>
      <c r="D215" s="11" t="s">
        <v>429</v>
      </c>
      <c r="E215" s="11" t="s">
        <v>430</v>
      </c>
      <c r="F215" s="11" t="s">
        <v>431</v>
      </c>
      <c r="G215" s="11" t="s">
        <v>432</v>
      </c>
      <c r="H215" s="11" t="s">
        <v>489</v>
      </c>
      <c r="I215" s="11" t="s">
        <v>490</v>
      </c>
      <c r="J215" s="11" t="s">
        <v>491</v>
      </c>
      <c r="K215" s="5" t="s">
        <v>400</v>
      </c>
    </row>
    <row r="216" customFormat="false" ht="17.15" hidden="false" customHeight="false" outlineLevel="0" collapsed="false">
      <c r="A216" s="4" t="s">
        <v>492</v>
      </c>
      <c r="B216" s="0" t="s">
        <v>209</v>
      </c>
      <c r="C216" s="19" t="n">
        <f aca="false">C96</f>
        <v>8103.105</v>
      </c>
      <c r="D216" s="19" t="n">
        <f aca="false">D96</f>
        <v>11150.735</v>
      </c>
      <c r="E216" s="19" t="n">
        <f aca="false">E96</f>
        <v>13734.8481819054</v>
      </c>
      <c r="F216" s="19" t="n">
        <f aca="false">F96</f>
        <v>14777.8617946476</v>
      </c>
      <c r="G216" s="19" t="n">
        <f aca="false">G96</f>
        <v>15145.6238902376</v>
      </c>
      <c r="H216" s="24" t="n">
        <f aca="false">G216*(1+H217)</f>
        <v>15699.8125205419</v>
      </c>
      <c r="I216" s="24" t="n">
        <f aca="false">H216*(1+I217)</f>
        <v>16458.0402798684</v>
      </c>
      <c r="J216" s="24" t="n">
        <f aca="false">I216*(1+J217)</f>
        <v>17445.5226966605</v>
      </c>
      <c r="K216" s="8" t="s">
        <v>493</v>
      </c>
    </row>
    <row r="217" customFormat="false" ht="15" hidden="false" customHeight="false" outlineLevel="0" collapsed="false">
      <c r="A217" s="4" t="s">
        <v>434</v>
      </c>
      <c r="B217" s="0" t="s">
        <v>52</v>
      </c>
      <c r="C217" s="15"/>
      <c r="D217" s="15" t="n">
        <f aca="false">D216/C216-1</f>
        <v>0.376106443147411</v>
      </c>
      <c r="E217" s="15" t="n">
        <f aca="false">E216/D216-1</f>
        <v>0.231743753385349</v>
      </c>
      <c r="F217" s="15" t="n">
        <f aca="false">F216/E216-1</f>
        <v>0.0759392167229256</v>
      </c>
      <c r="G217" s="15" t="n">
        <f aca="false">G216/F216-1</f>
        <v>0.0248860153586801</v>
      </c>
      <c r="H217" s="25" t="n">
        <f aca="false">$G$217+($C$223-$G$217)*1/3</f>
        <v>0.0365906769057867</v>
      </c>
      <c r="I217" s="25" t="n">
        <f aca="false">$G$217+($C$223-$G$217)*2/3</f>
        <v>0.0482953384528934</v>
      </c>
      <c r="J217" s="25" t="n">
        <f aca="false">$G$217+($C$223-$G$217)*3/3</f>
        <v>0.06</v>
      </c>
    </row>
    <row r="218" customFormat="false" ht="15" hidden="false" customHeight="false" outlineLevel="0" collapsed="false">
      <c r="A218" s="4" t="s">
        <v>494</v>
      </c>
      <c r="B218" s="0" t="s">
        <v>209</v>
      </c>
      <c r="C218" s="19" t="n">
        <f aca="false">C115</f>
        <v>189.354</v>
      </c>
      <c r="D218" s="19" t="n">
        <f aca="false">D115</f>
        <v>275.25708735</v>
      </c>
      <c r="E218" s="19" t="n">
        <f aca="false">E115</f>
        <v>374.458869441787</v>
      </c>
      <c r="F218" s="19" t="n">
        <f aca="false">F115</f>
        <v>440.376634850767</v>
      </c>
      <c r="G218" s="19" t="n">
        <f aca="false">G115</f>
        <v>471.817290313209</v>
      </c>
      <c r="H218" s="24" t="n">
        <f aca="false">H216*H219</f>
        <v>489.081404341623</v>
      </c>
      <c r="I218" s="24" t="n">
        <f aca="false">I216*I219</f>
        <v>512.701756295318</v>
      </c>
      <c r="J218" s="24" t="n">
        <f aca="false">J216*J219</f>
        <v>543.463861673037</v>
      </c>
    </row>
    <row r="219" customFormat="false" ht="15" hidden="false" customHeight="false" outlineLevel="0" collapsed="false">
      <c r="A219" s="4" t="s">
        <v>495</v>
      </c>
      <c r="B219" s="0" t="s">
        <v>52</v>
      </c>
      <c r="C219" s="15" t="n">
        <f aca="false">C218/C216</f>
        <v>0.0233680792733156</v>
      </c>
      <c r="D219" s="15" t="n">
        <f aca="false">D218/D216</f>
        <v>0.0246851070669333</v>
      </c>
      <c r="E219" s="15" t="n">
        <f aca="false">E218/E216</f>
        <v>0.0272634152545718</v>
      </c>
      <c r="F219" s="15" t="n">
        <f aca="false">F218/F216</f>
        <v>0.0297997532369851</v>
      </c>
      <c r="G219" s="15" t="n">
        <f aca="false">G218/G216</f>
        <v>0.0311520538032987</v>
      </c>
      <c r="H219" s="25" t="n">
        <f aca="false">$G$219+($C$224-$G$219)*1/3</f>
        <v>0.0311520538032987</v>
      </c>
      <c r="I219" s="25" t="n">
        <f aca="false">$G$219+($C$224-$G$219)*2/3</f>
        <v>0.0311520538032987</v>
      </c>
      <c r="J219" s="25" t="n">
        <f aca="false">$G$219+($C$224-$G$219)*3/3</f>
        <v>0.0311520538032987</v>
      </c>
    </row>
    <row r="220" customFormat="false" ht="17.15" hidden="false" customHeight="false" outlineLevel="0" collapsed="false">
      <c r="A220" s="4" t="s">
        <v>496</v>
      </c>
      <c r="B220" s="4" t="s">
        <v>230</v>
      </c>
      <c r="C220" s="21" t="n">
        <f aca="false">C116</f>
        <v>13.9128581925055</v>
      </c>
      <c r="D220" s="21" t="n">
        <f aca="false">D116</f>
        <v>14.0169642857143</v>
      </c>
      <c r="E220" s="21" t="n">
        <f aca="false">E116</f>
        <v>14.0169642857143</v>
      </c>
      <c r="F220" s="21" t="n">
        <f aca="false">F116</f>
        <v>14.0169642857143</v>
      </c>
      <c r="G220" s="21" t="n">
        <f aca="false">G116</f>
        <v>14.0169642857143</v>
      </c>
      <c r="H220" s="26" t="n">
        <f aca="false">G220*(1+sh_g)</f>
        <v>14.0169642857143</v>
      </c>
      <c r="I220" s="26" t="n">
        <f aca="false">H220*(1+sh_g)</f>
        <v>14.0169642857143</v>
      </c>
      <c r="J220" s="26" t="n">
        <f aca="false">I220*(1+sh_g)</f>
        <v>14.0169642857143</v>
      </c>
      <c r="K220" s="8" t="s">
        <v>497</v>
      </c>
    </row>
    <row r="221" customFormat="false" ht="17.15" hidden="false" customHeight="false" outlineLevel="0" collapsed="false">
      <c r="A221" s="0" t="s">
        <v>498</v>
      </c>
      <c r="B221" s="0" t="s">
        <v>260</v>
      </c>
      <c r="C221" s="16" t="n">
        <f aca="false">C117</f>
        <v>13.61</v>
      </c>
      <c r="D221" s="16" t="n">
        <f aca="false">D117</f>
        <v>19.6374251756163</v>
      </c>
      <c r="E221" s="16" t="n">
        <f aca="false">E117</f>
        <v>26.7146909850819</v>
      </c>
      <c r="F221" s="16" t="n">
        <f aca="false">F117</f>
        <v>31.4174043590585</v>
      </c>
      <c r="G221" s="16" t="n">
        <f aca="false">G117</f>
        <v>33.6604474903366</v>
      </c>
      <c r="H221" s="27" t="n">
        <f aca="false">H218/H220</f>
        <v>34.8921060489597</v>
      </c>
      <c r="I221" s="27" t="n">
        <f aca="false">I218/I220</f>
        <v>36.5772321199284</v>
      </c>
      <c r="J221" s="27" t="n">
        <f aca="false">J218/J220</f>
        <v>38.7718660471241</v>
      </c>
    </row>
    <row r="222" customFormat="false" ht="17.15" hidden="false" customHeight="false" outlineLevel="0" collapsed="false">
      <c r="A222" s="0" t="s">
        <v>442</v>
      </c>
      <c r="B222" s="0" t="s">
        <v>52</v>
      </c>
      <c r="C222" s="15"/>
      <c r="D222" s="15" t="n">
        <f aca="false">D221/C221-1</f>
        <v>0.442867389832203</v>
      </c>
      <c r="E222" s="15" t="n">
        <f aca="false">E221/D221-1</f>
        <v>0.360396831365319</v>
      </c>
      <c r="F222" s="15" t="n">
        <f aca="false">F221/E221-1</f>
        <v>0.176034728479647</v>
      </c>
      <c r="G222" s="15" t="n">
        <f aca="false">G221/F221-1</f>
        <v>0.0713949219242658</v>
      </c>
      <c r="H222" s="25" t="n">
        <f aca="false">H221/G221-1</f>
        <v>0.0365906769057867</v>
      </c>
      <c r="I222" s="25" t="n">
        <f aca="false">I221/H221-1</f>
        <v>0.0482953384528932</v>
      </c>
      <c r="J222" s="25" t="n">
        <f aca="false">J221/I221-1</f>
        <v>0.0600000000000003</v>
      </c>
    </row>
    <row r="223" customFormat="false" ht="17.15" hidden="false" customHeight="false" outlineLevel="0" collapsed="false">
      <c r="A223" s="4" t="s">
        <v>499</v>
      </c>
      <c r="B223" s="0" t="s">
        <v>52</v>
      </c>
      <c r="C223" s="15" t="n">
        <f aca="false">fade_gA</f>
        <v>0.06</v>
      </c>
      <c r="K223" s="8" t="s">
        <v>500</v>
      </c>
    </row>
    <row r="224" customFormat="false" ht="17.15" hidden="false" customHeight="false" outlineLevel="0" collapsed="false">
      <c r="A224" s="4" t="s">
        <v>501</v>
      </c>
      <c r="B224" s="0" t="s">
        <v>52</v>
      </c>
      <c r="C224" s="15" t="n">
        <f aca="false">G219</f>
        <v>0.0311520538032987</v>
      </c>
      <c r="K224" s="4" t="s">
        <v>502</v>
      </c>
    </row>
    <row r="226" customFormat="false" ht="17.15" hidden="false" customHeight="false" outlineLevel="0" collapsed="false">
      <c r="A226" s="1" t="s">
        <v>503</v>
      </c>
    </row>
    <row r="227" customFormat="false" ht="17.15" hidden="false" customHeight="false" outlineLevel="0" collapsed="false">
      <c r="A227" s="5" t="s">
        <v>21</v>
      </c>
      <c r="B227" s="5" t="s">
        <v>22</v>
      </c>
      <c r="C227" s="11" t="s">
        <v>347</v>
      </c>
      <c r="D227" s="11" t="s">
        <v>429</v>
      </c>
      <c r="E227" s="11" t="s">
        <v>430</v>
      </c>
      <c r="F227" s="11" t="s">
        <v>431</v>
      </c>
      <c r="G227" s="11" t="s">
        <v>432</v>
      </c>
      <c r="H227" s="11" t="s">
        <v>489</v>
      </c>
      <c r="I227" s="11" t="s">
        <v>490</v>
      </c>
      <c r="J227" s="11" t="s">
        <v>491</v>
      </c>
      <c r="K227" s="5" t="s">
        <v>400</v>
      </c>
    </row>
    <row r="228" customFormat="false" ht="17.15" hidden="false" customHeight="false" outlineLevel="0" collapsed="false">
      <c r="A228" s="4" t="s">
        <v>492</v>
      </c>
      <c r="B228" s="0" t="s">
        <v>209</v>
      </c>
      <c r="C228" s="19" t="n">
        <f aca="false">C142</f>
        <v>8103.105</v>
      </c>
      <c r="D228" s="19" t="n">
        <f aca="false">D142</f>
        <v>11150.735</v>
      </c>
      <c r="E228" s="19" t="n">
        <f aca="false">E142</f>
        <v>13734.8481819054</v>
      </c>
      <c r="F228" s="19" t="n">
        <f aca="false">F142</f>
        <v>13486.9942606325</v>
      </c>
      <c r="G228" s="19" t="n">
        <f aca="false">G142</f>
        <v>14163.374370534</v>
      </c>
      <c r="H228" s="24" t="n">
        <f aca="false">G228*(1+H229)</f>
        <v>14825.753322745</v>
      </c>
      <c r="I228" s="24" t="n">
        <f aca="false">H228*(1+I229)</f>
        <v>15468.9466134263</v>
      </c>
      <c r="J228" s="24" t="n">
        <f aca="false">I228*(1+J229)</f>
        <v>16087.7044779633</v>
      </c>
      <c r="K228" s="8" t="s">
        <v>493</v>
      </c>
    </row>
    <row r="229" customFormat="false" ht="15" hidden="false" customHeight="false" outlineLevel="0" collapsed="false">
      <c r="A229" s="4" t="s">
        <v>434</v>
      </c>
      <c r="B229" s="0" t="s">
        <v>52</v>
      </c>
      <c r="C229" s="15"/>
      <c r="D229" s="15" t="n">
        <f aca="false">D228/C228-1</f>
        <v>0.376106443147411</v>
      </c>
      <c r="E229" s="15" t="n">
        <f aca="false">E228/D228-1</f>
        <v>0.231743753385349</v>
      </c>
      <c r="F229" s="15" t="n">
        <f aca="false">F228/E228-1</f>
        <v>-0.0180456251128751</v>
      </c>
      <c r="G229" s="15" t="n">
        <f aca="false">G228/F228-1</f>
        <v>0.0501505448012143</v>
      </c>
      <c r="H229" s="25" t="n">
        <f aca="false">$G$229+($C$235-$G$229)*1/3</f>
        <v>0.0467670298674762</v>
      </c>
      <c r="I229" s="25" t="n">
        <f aca="false">$G$229+($C$235-$G$229)*2/3</f>
        <v>0.0433835149337381</v>
      </c>
      <c r="J229" s="25" t="n">
        <f aca="false">$G$229+($C$235-$G$229)*3/3</f>
        <v>0.04</v>
      </c>
    </row>
    <row r="230" customFormat="false" ht="15" hidden="false" customHeight="false" outlineLevel="0" collapsed="false">
      <c r="A230" s="4" t="s">
        <v>494</v>
      </c>
      <c r="B230" s="0" t="s">
        <v>209</v>
      </c>
      <c r="C230" s="19" t="n">
        <f aca="false">C161</f>
        <v>189.354</v>
      </c>
      <c r="D230" s="19" t="n">
        <f aca="false">D161</f>
        <v>275.25708735</v>
      </c>
      <c r="E230" s="19" t="n">
        <f aca="false">E161</f>
        <v>374.458869441787</v>
      </c>
      <c r="F230" s="19" t="n">
        <f aca="false">F161</f>
        <v>388.349774586783</v>
      </c>
      <c r="G230" s="19" t="n">
        <f aca="false">G161</f>
        <v>429.078027379192</v>
      </c>
      <c r="H230" s="24" t="n">
        <f aca="false">H228*H231</f>
        <v>434.173241224408</v>
      </c>
      <c r="I230" s="24" t="n">
        <f aca="false">I228*I231</f>
        <v>437.388195535487</v>
      </c>
      <c r="J230" s="24" t="n">
        <f aca="false">J228*J231</f>
        <v>438.637876094159</v>
      </c>
    </row>
    <row r="231" customFormat="false" ht="15" hidden="false" customHeight="false" outlineLevel="0" collapsed="false">
      <c r="A231" s="4" t="s">
        <v>495</v>
      </c>
      <c r="B231" s="0" t="s">
        <v>52</v>
      </c>
      <c r="C231" s="15" t="n">
        <f aca="false">C230/C228</f>
        <v>0.0233680792733156</v>
      </c>
      <c r="D231" s="15" t="n">
        <f aca="false">D230/D228</f>
        <v>0.0246851070669333</v>
      </c>
      <c r="E231" s="15" t="n">
        <f aca="false">E230/E228</f>
        <v>0.0272634152545718</v>
      </c>
      <c r="F231" s="15" t="n">
        <f aca="false">F230/F228</f>
        <v>0.0287943901422385</v>
      </c>
      <c r="G231" s="15" t="n">
        <f aca="false">G230/G228</f>
        <v>0.0302949012116675</v>
      </c>
      <c r="H231" s="25" t="n">
        <f aca="false">$G$231+($C$236-$G$231)*1/3</f>
        <v>0.0292850711712786</v>
      </c>
      <c r="I231" s="25" t="n">
        <f aca="false">$G$231+($C$236-$G$231)*2/3</f>
        <v>0.0282752411308897</v>
      </c>
      <c r="J231" s="25" t="n">
        <f aca="false">$G$231+($C$236-$G$231)*3/3</f>
        <v>0.0272654110905007</v>
      </c>
    </row>
    <row r="232" customFormat="false" ht="17.15" hidden="false" customHeight="false" outlineLevel="0" collapsed="false">
      <c r="A232" s="4" t="s">
        <v>496</v>
      </c>
      <c r="B232" s="4" t="s">
        <v>230</v>
      </c>
      <c r="C232" s="21" t="n">
        <f aca="false">C162</f>
        <v>13.9128581925055</v>
      </c>
      <c r="D232" s="21" t="n">
        <f aca="false">D162</f>
        <v>14.0169642857143</v>
      </c>
      <c r="E232" s="21" t="n">
        <f aca="false">E162</f>
        <v>14.0169642857143</v>
      </c>
      <c r="F232" s="21" t="n">
        <f aca="false">F162</f>
        <v>14.0169642857143</v>
      </c>
      <c r="G232" s="21" t="n">
        <f aca="false">G162</f>
        <v>14.0169642857143</v>
      </c>
      <c r="H232" s="26" t="n">
        <f aca="false">G232*(1+sh_g)</f>
        <v>14.0169642857143</v>
      </c>
      <c r="I232" s="26" t="n">
        <f aca="false">H232*(1+sh_g)</f>
        <v>14.0169642857143</v>
      </c>
      <c r="J232" s="26" t="n">
        <f aca="false">I232*(1+sh_g)</f>
        <v>14.0169642857143</v>
      </c>
      <c r="K232" s="8" t="s">
        <v>497</v>
      </c>
    </row>
    <row r="233" customFormat="false" ht="17.15" hidden="false" customHeight="false" outlineLevel="0" collapsed="false">
      <c r="A233" s="0" t="s">
        <v>498</v>
      </c>
      <c r="B233" s="0" t="s">
        <v>260</v>
      </c>
      <c r="C233" s="16" t="n">
        <f aca="false">C163</f>
        <v>13.61</v>
      </c>
      <c r="D233" s="16" t="n">
        <f aca="false">D163</f>
        <v>19.6374251756163</v>
      </c>
      <c r="E233" s="16" t="n">
        <f aca="false">E163</f>
        <v>26.7146909850819</v>
      </c>
      <c r="F233" s="16" t="n">
        <f aca="false">F163</f>
        <v>27.705697658271</v>
      </c>
      <c r="G233" s="16" t="n">
        <f aca="false">G163</f>
        <v>30.6113377071593</v>
      </c>
      <c r="H233" s="27" t="n">
        <f aca="false">H230/H232</f>
        <v>30.9748410835937</v>
      </c>
      <c r="I233" s="27" t="n">
        <f aca="false">I230/I232</f>
        <v>31.2042027517514</v>
      </c>
      <c r="J233" s="27" t="n">
        <f aca="false">J230/J232</f>
        <v>31.2933576167564</v>
      </c>
    </row>
    <row r="234" customFormat="false" ht="17.15" hidden="false" customHeight="false" outlineLevel="0" collapsed="false">
      <c r="A234" s="0" t="s">
        <v>442</v>
      </c>
      <c r="B234" s="0" t="s">
        <v>52</v>
      </c>
      <c r="C234" s="15"/>
      <c r="D234" s="15" t="n">
        <f aca="false">D233/C233-1</f>
        <v>0.442867389832203</v>
      </c>
      <c r="E234" s="15" t="n">
        <f aca="false">E233/D233-1</f>
        <v>0.360396831365319</v>
      </c>
      <c r="F234" s="15" t="n">
        <f aca="false">F233/E233-1</f>
        <v>0.037095943716605</v>
      </c>
      <c r="G234" s="15" t="n">
        <f aca="false">G233/F233-1</f>
        <v>0.104875180720125</v>
      </c>
      <c r="H234" s="25" t="n">
        <f aca="false">H233/G233-1</f>
        <v>0.0118747955385603</v>
      </c>
      <c r="I234" s="25" t="n">
        <f aca="false">I233/H233-1</f>
        <v>0.00740477303947129</v>
      </c>
      <c r="J234" s="25" t="n">
        <f aca="false">J233/I233-1</f>
        <v>0.00285714285714289</v>
      </c>
    </row>
    <row r="235" customFormat="false" ht="17.15" hidden="false" customHeight="false" outlineLevel="0" collapsed="false">
      <c r="A235" s="4" t="s">
        <v>499</v>
      </c>
      <c r="B235" s="0" t="s">
        <v>52</v>
      </c>
      <c r="C235" s="15" t="n">
        <f aca="false">fade_gB</f>
        <v>0.04</v>
      </c>
      <c r="K235" s="8" t="s">
        <v>504</v>
      </c>
    </row>
    <row r="236" customFormat="false" ht="17.15" hidden="false" customHeight="false" outlineLevel="0" collapsed="false">
      <c r="A236" s="4" t="s">
        <v>501</v>
      </c>
      <c r="B236" s="0" t="s">
        <v>52</v>
      </c>
      <c r="C236" s="15" t="n">
        <f aca="false">G231*(1+nim10_f)/2</f>
        <v>0.0272654110905007</v>
      </c>
      <c r="K236" s="4" t="s">
        <v>505</v>
      </c>
    </row>
    <row r="238" customFormat="false" ht="17.15" hidden="false" customHeight="false" outlineLevel="0" collapsed="false">
      <c r="A238" s="1" t="s">
        <v>506</v>
      </c>
    </row>
    <row r="239" customFormat="false" ht="17.15" hidden="false" customHeight="false" outlineLevel="0" collapsed="false">
      <c r="A239" s="5" t="s">
        <v>21</v>
      </c>
      <c r="B239" s="5" t="s">
        <v>22</v>
      </c>
      <c r="C239" s="11" t="s">
        <v>347</v>
      </c>
      <c r="D239" s="11" t="s">
        <v>429</v>
      </c>
      <c r="E239" s="11" t="s">
        <v>430</v>
      </c>
      <c r="F239" s="11" t="s">
        <v>431</v>
      </c>
      <c r="G239" s="11" t="s">
        <v>432</v>
      </c>
      <c r="H239" s="11" t="s">
        <v>489</v>
      </c>
      <c r="I239" s="11" t="s">
        <v>490</v>
      </c>
      <c r="J239" s="11" t="s">
        <v>491</v>
      </c>
      <c r="K239" s="5" t="s">
        <v>400</v>
      </c>
    </row>
    <row r="240" customFormat="false" ht="17.15" hidden="false" customHeight="false" outlineLevel="0" collapsed="false">
      <c r="A240" s="4" t="s">
        <v>492</v>
      </c>
      <c r="B240" s="0" t="s">
        <v>209</v>
      </c>
      <c r="C240" s="19" t="n">
        <f aca="false">C188</f>
        <v>8103.105</v>
      </c>
      <c r="D240" s="19" t="n">
        <f aca="false">D188</f>
        <v>11150.735</v>
      </c>
      <c r="E240" s="19" t="n">
        <f aca="false">E188</f>
        <v>13734.8481819054</v>
      </c>
      <c r="F240" s="19" t="n">
        <f aca="false">F188</f>
        <v>12196.1267266173</v>
      </c>
      <c r="G240" s="19" t="n">
        <f aca="false">G188</f>
        <v>12526.2918376947</v>
      </c>
      <c r="H240" s="24" t="n">
        <f aca="false">G240*(1+H241)</f>
        <v>12835.8691917515</v>
      </c>
      <c r="I240" s="24" t="n">
        <f aca="false">H240*(1+I241)</f>
        <v>13122.8420399129</v>
      </c>
      <c r="J240" s="24" t="n">
        <f aca="false">I240*(1+J241)</f>
        <v>13385.2988807111</v>
      </c>
      <c r="K240" s="8" t="s">
        <v>493</v>
      </c>
    </row>
    <row r="241" customFormat="false" ht="15" hidden="false" customHeight="false" outlineLevel="0" collapsed="false">
      <c r="A241" s="4" t="s">
        <v>434</v>
      </c>
      <c r="B241" s="0" t="s">
        <v>52</v>
      </c>
      <c r="C241" s="15"/>
      <c r="D241" s="15" t="n">
        <f aca="false">D240/C240-1</f>
        <v>0.376106443147411</v>
      </c>
      <c r="E241" s="15" t="n">
        <f aca="false">E240/D240-1</f>
        <v>0.231743753385349</v>
      </c>
      <c r="F241" s="15" t="n">
        <f aca="false">F240/E240-1</f>
        <v>-0.112030466948676</v>
      </c>
      <c r="G241" s="15" t="n">
        <f aca="false">G240/F240-1</f>
        <v>0.0270713086603791</v>
      </c>
      <c r="H241" s="25" t="n">
        <f aca="false">$G$241+($C$247-$G$241)*1/3</f>
        <v>0.0247142057735861</v>
      </c>
      <c r="I241" s="25" t="n">
        <f aca="false">$G$241+($C$247-$G$241)*2/3</f>
        <v>0.022357102886793</v>
      </c>
      <c r="J241" s="25" t="n">
        <f aca="false">$G$241+($C$247-$G$241)*3/3</f>
        <v>0.02</v>
      </c>
    </row>
    <row r="242" customFormat="false" ht="15" hidden="false" customHeight="false" outlineLevel="0" collapsed="false">
      <c r="A242" s="4" t="s">
        <v>494</v>
      </c>
      <c r="B242" s="0" t="s">
        <v>209</v>
      </c>
      <c r="C242" s="19" t="n">
        <f aca="false">C207</f>
        <v>189.354</v>
      </c>
      <c r="D242" s="19" t="n">
        <f aca="false">D207</f>
        <v>275.25708735</v>
      </c>
      <c r="E242" s="19" t="n">
        <f aca="false">E207</f>
        <v>374.458869441787</v>
      </c>
      <c r="F242" s="19" t="n">
        <f aca="false">F207</f>
        <v>330.740510290857</v>
      </c>
      <c r="G242" s="19" t="n">
        <f aca="false">G207</f>
        <v>353.241276810966</v>
      </c>
      <c r="H242" s="24" t="n">
        <f aca="false">H240*H243</f>
        <v>337.83993078621</v>
      </c>
      <c r="I242" s="24" t="n">
        <f aca="false">I240*I243</f>
        <v>320.722120529631</v>
      </c>
      <c r="J242" s="24" t="n">
        <f aca="false">J240*J243</f>
        <v>301.972211944822</v>
      </c>
    </row>
    <row r="243" customFormat="false" ht="15" hidden="false" customHeight="false" outlineLevel="0" collapsed="false">
      <c r="A243" s="4" t="s">
        <v>495</v>
      </c>
      <c r="B243" s="0" t="s">
        <v>52</v>
      </c>
      <c r="C243" s="15" t="n">
        <f aca="false">C242/C240</f>
        <v>0.0233680792733156</v>
      </c>
      <c r="D243" s="15" t="n">
        <f aca="false">D242/D240</f>
        <v>0.0246851070669333</v>
      </c>
      <c r="E243" s="15" t="n">
        <f aca="false">E242/E240</f>
        <v>0.0272634152545718</v>
      </c>
      <c r="F243" s="15" t="n">
        <f aca="false">F242/F240</f>
        <v>0.0271184875087461</v>
      </c>
      <c r="G243" s="15" t="n">
        <f aca="false">G242/G240</f>
        <v>0.028199987784731</v>
      </c>
      <c r="H243" s="25" t="n">
        <f aca="false">$G$243+($C$248-$G$243)*1/3</f>
        <v>0.0263199885990822</v>
      </c>
      <c r="I243" s="25" t="n">
        <f aca="false">$G$243+($C$248-$G$243)*2/3</f>
        <v>0.0244399894134335</v>
      </c>
      <c r="J243" s="25" t="n">
        <f aca="false">$G$243+($C$248-$G$243)*3/3</f>
        <v>0.0225599902277848</v>
      </c>
    </row>
    <row r="244" customFormat="false" ht="17.15" hidden="false" customHeight="false" outlineLevel="0" collapsed="false">
      <c r="A244" s="4" t="s">
        <v>496</v>
      </c>
      <c r="B244" s="4" t="s">
        <v>230</v>
      </c>
      <c r="C244" s="21" t="n">
        <f aca="false">C208</f>
        <v>13.9128581925055</v>
      </c>
      <c r="D244" s="21" t="n">
        <f aca="false">D208</f>
        <v>14.0169642857143</v>
      </c>
      <c r="E244" s="21" t="n">
        <f aca="false">E208</f>
        <v>14.0169642857143</v>
      </c>
      <c r="F244" s="21" t="n">
        <f aca="false">F208</f>
        <v>14.0169642857143</v>
      </c>
      <c r="G244" s="21" t="n">
        <f aca="false">G208</f>
        <v>14.0169642857143</v>
      </c>
      <c r="H244" s="26" t="n">
        <f aca="false">G244*(1+sh_g)</f>
        <v>14.0169642857143</v>
      </c>
      <c r="I244" s="26" t="n">
        <f aca="false">H244*(1+sh_g)</f>
        <v>14.0169642857143</v>
      </c>
      <c r="J244" s="26" t="n">
        <f aca="false">I244*(1+sh_g)</f>
        <v>14.0169642857143</v>
      </c>
      <c r="K244" s="8" t="s">
        <v>497</v>
      </c>
    </row>
    <row r="245" customFormat="false" ht="17.15" hidden="false" customHeight="false" outlineLevel="0" collapsed="false">
      <c r="A245" s="0" t="s">
        <v>498</v>
      </c>
      <c r="B245" s="0" t="s">
        <v>260</v>
      </c>
      <c r="C245" s="16" t="n">
        <f aca="false">C209</f>
        <v>13.61</v>
      </c>
      <c r="D245" s="16" t="n">
        <f aca="false">D209</f>
        <v>19.6374251756163</v>
      </c>
      <c r="E245" s="16" t="n">
        <f aca="false">E209</f>
        <v>26.7146909850819</v>
      </c>
      <c r="F245" s="16" t="n">
        <f aca="false">F209</f>
        <v>23.5957303984814</v>
      </c>
      <c r="G245" s="16" t="n">
        <f aca="false">G209</f>
        <v>25.2009828669521</v>
      </c>
      <c r="H245" s="27" t="n">
        <f aca="false">H242/H244</f>
        <v>24.1022181336744</v>
      </c>
      <c r="I245" s="27" t="n">
        <f aca="false">I242/I244</f>
        <v>22.8809971968397</v>
      </c>
      <c r="J245" s="27" t="n">
        <f aca="false">J242/J244</f>
        <v>21.5433388991783</v>
      </c>
    </row>
    <row r="246" customFormat="false" ht="17.15" hidden="false" customHeight="false" outlineLevel="0" collapsed="false">
      <c r="A246" s="0" t="s">
        <v>442</v>
      </c>
      <c r="B246" s="0" t="s">
        <v>52</v>
      </c>
      <c r="C246" s="15"/>
      <c r="D246" s="15" t="n">
        <f aca="false">D245/C245-1</f>
        <v>0.442867389832203</v>
      </c>
      <c r="E246" s="15" t="n">
        <f aca="false">E245/D245-1</f>
        <v>0.360396831365319</v>
      </c>
      <c r="F246" s="15" t="n">
        <f aca="false">F245/E245-1</f>
        <v>-0.116750764152286</v>
      </c>
      <c r="G246" s="15" t="n">
        <f aca="false">G245/F245-1</f>
        <v>0.0680314803297639</v>
      </c>
      <c r="H246" s="25" t="n">
        <f aca="false">H245/G245-1</f>
        <v>-0.0436000746113197</v>
      </c>
      <c r="I246" s="25" t="n">
        <f aca="false">I245/H245-1</f>
        <v>-0.0506684044622634</v>
      </c>
      <c r="J246" s="25" t="n">
        <f aca="false">J245/I245-1</f>
        <v>-0.0584615384615383</v>
      </c>
    </row>
    <row r="247" customFormat="false" ht="17.15" hidden="false" customHeight="false" outlineLevel="0" collapsed="false">
      <c r="A247" s="4" t="s">
        <v>499</v>
      </c>
      <c r="B247" s="0" t="s">
        <v>52</v>
      </c>
      <c r="C247" s="15" t="n">
        <f aca="false">fade_gC</f>
        <v>0.02</v>
      </c>
      <c r="K247" s="8" t="s">
        <v>507</v>
      </c>
    </row>
    <row r="248" customFormat="false" ht="17.15" hidden="false" customHeight="false" outlineLevel="0" collapsed="false">
      <c r="A248" s="4" t="s">
        <v>501</v>
      </c>
      <c r="B248" s="0" t="s">
        <v>52</v>
      </c>
      <c r="C248" s="15" t="n">
        <f aca="false">G243*nim10_f</f>
        <v>0.0225599902277848</v>
      </c>
      <c r="K248" s="4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509</v>
      </c>
    </row>
    <row r="2" customFormat="false" ht="17.15" hidden="false" customHeight="false" outlineLevel="0" collapsed="false">
      <c r="A2" s="4" t="s">
        <v>510</v>
      </c>
    </row>
    <row r="3" customFormat="false" ht="17.15" hidden="false" customHeight="false" outlineLevel="0" collapsed="false">
      <c r="A3" s="4" t="s">
        <v>511</v>
      </c>
    </row>
    <row r="4" customFormat="false" ht="17.15" hidden="false" customHeight="false" outlineLevel="0" collapsed="false">
      <c r="A4" s="6" t="s">
        <v>512</v>
      </c>
    </row>
    <row r="5" customFormat="false" ht="15" hidden="false" customHeight="false" outlineLevel="0" collapsed="false">
      <c r="A5" s="5" t="s">
        <v>21</v>
      </c>
      <c r="B5" s="11" t="s">
        <v>513</v>
      </c>
      <c r="C5" s="11" t="s">
        <v>514</v>
      </c>
      <c r="D5" s="11" t="s">
        <v>515</v>
      </c>
      <c r="E5" s="5" t="s">
        <v>400</v>
      </c>
    </row>
    <row r="6" customFormat="false" ht="17.15" hidden="false" customHeight="false" outlineLevel="0" collapsed="false">
      <c r="A6" s="4" t="s">
        <v>516</v>
      </c>
      <c r="B6" s="28" t="n">
        <f aca="false">px</f>
        <v>245</v>
      </c>
    </row>
    <row r="7" customFormat="false" ht="17.15" hidden="false" customHeight="false" outlineLevel="0" collapsed="false">
      <c r="A7" s="4" t="s">
        <v>517</v>
      </c>
      <c r="B7" s="18" t="n">
        <f aca="false">px/PL!D18</f>
        <v>12.4761773913321</v>
      </c>
      <c r="C7" s="18" t="n">
        <f aca="false">px/PL!D35</f>
        <v>12.4761773913321</v>
      </c>
      <c r="D7" s="18" t="n">
        <f aca="false">px/PL!D52</f>
        <v>12.4761773913321</v>
      </c>
    </row>
    <row r="8" customFormat="false" ht="17.15" hidden="false" customHeight="false" outlineLevel="0" collapsed="false">
      <c r="A8" s="4" t="s">
        <v>518</v>
      </c>
      <c r="B8" s="18" t="n">
        <f aca="false">px/PL!E18</f>
        <v>9.17098386564956</v>
      </c>
      <c r="C8" s="18" t="n">
        <f aca="false">px/PL!E35</f>
        <v>9.17098386564956</v>
      </c>
      <c r="D8" s="18" t="n">
        <f aca="false">px/PL!E52</f>
        <v>9.17098386564956</v>
      </c>
      <c r="E8" s="8" t="s">
        <v>519</v>
      </c>
    </row>
    <row r="9" customFormat="false" ht="17.15" hidden="false" customHeight="false" outlineLevel="0" collapsed="false">
      <c r="A9" s="4" t="s">
        <v>520</v>
      </c>
      <c r="B9" s="18" t="n">
        <f aca="false">px/PL!F18</f>
        <v>7.79822537851889</v>
      </c>
      <c r="C9" s="18" t="n">
        <f aca="false">px/PL!F35</f>
        <v>8.84294642285826</v>
      </c>
      <c r="D9" s="18" t="n">
        <f aca="false">px/PL!F52</f>
        <v>10.3832344183661</v>
      </c>
    </row>
    <row r="10" customFormat="false" ht="17.15" hidden="false" customHeight="false" outlineLevel="0" collapsed="false">
      <c r="A10" s="4" t="s">
        <v>521</v>
      </c>
      <c r="B10" s="18" t="n">
        <f aca="false">px/PL!G18</f>
        <v>7.27857227894359</v>
      </c>
      <c r="C10" s="18" t="n">
        <f aca="false">px/PL!G35</f>
        <v>8.00357051834098</v>
      </c>
      <c r="D10" s="18" t="n">
        <f aca="false">px/PL!G52</f>
        <v>9.7218430445142</v>
      </c>
    </row>
    <row r="11" customFormat="false" ht="17.15" hidden="false" customHeight="false" outlineLevel="0" collapsed="false">
      <c r="A11" s="4" t="s">
        <v>522</v>
      </c>
      <c r="B11" s="16" t="n">
        <f aca="false">0.2*PL!D18+0.8*PL!E18</f>
        <v>25.2992378231888</v>
      </c>
    </row>
    <row r="12" customFormat="false" ht="17.15" hidden="false" customHeight="false" outlineLevel="0" collapsed="false">
      <c r="A12" s="4" t="s">
        <v>523</v>
      </c>
      <c r="B12" s="18" t="n">
        <f aca="false">px/B11</f>
        <v>9.68408620497799</v>
      </c>
    </row>
    <row r="13" customFormat="false" ht="17.15" hidden="false" customHeight="false" outlineLevel="0" collapsed="false">
      <c r="A13" s="4" t="s">
        <v>295</v>
      </c>
      <c r="B13" s="18" t="n">
        <f aca="false">pe_ttm</f>
        <v>16.08</v>
      </c>
    </row>
    <row r="15" customFormat="false" ht="17.15" hidden="false" customHeight="false" outlineLevel="0" collapsed="false">
      <c r="A15" s="6" t="s">
        <v>524</v>
      </c>
    </row>
    <row r="16" customFormat="false" ht="17.15" hidden="false" customHeight="false" outlineLevel="0" collapsed="false">
      <c r="A16" s="5" t="s">
        <v>525</v>
      </c>
      <c r="B16" s="5" t="s">
        <v>526</v>
      </c>
      <c r="C16" s="11" t="s">
        <v>527</v>
      </c>
      <c r="D16" s="5" t="s">
        <v>528</v>
      </c>
      <c r="E16" s="5" t="s">
        <v>529</v>
      </c>
      <c r="F16" s="5" t="s">
        <v>400</v>
      </c>
    </row>
    <row r="17" customFormat="false" ht="17.15" hidden="false" customHeight="false" outlineLevel="0" collapsed="false">
      <c r="A17" s="0" t="s">
        <v>513</v>
      </c>
      <c r="B17" s="0" t="n">
        <f aca="false">INDEX({2026,2027,2028,2029},MATCH(MAX(PL!D96:G96),PL!D96:G96,0))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530</v>
      </c>
    </row>
    <row r="18" customFormat="false" ht="15" hidden="false" customHeight="false" outlineLevel="0" collapsed="false">
      <c r="A18" s="0" t="s">
        <v>514</v>
      </c>
      <c r="B18" s="0" t="n">
        <f aca="false">INDEX({2026,2027,2028,2029},MATCH(MAX(PL!D142:G142),PL!D142:G142,0))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38</v>
      </c>
    </row>
    <row r="19" customFormat="false" ht="15" hidden="false" customHeight="false" outlineLevel="0" collapsed="false">
      <c r="A19" s="0" t="s">
        <v>515</v>
      </c>
      <c r="B19" s="0" t="n">
        <f aca="false">INDEX({2026,2027,2028,2029},MATCH(MAX(PL!D188:G188),PL!D188:G188,0))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38</v>
      </c>
    </row>
    <row r="21" customFormat="false" ht="17.15" hidden="false" customHeight="false" outlineLevel="0" collapsed="false">
      <c r="A21" s="6" t="s">
        <v>531</v>
      </c>
    </row>
    <row r="22" customFormat="false" ht="17.15" hidden="false" customHeight="false" outlineLevel="0" collapsed="false">
      <c r="A22" s="5" t="s">
        <v>525</v>
      </c>
      <c r="B22" s="11" t="s">
        <v>532</v>
      </c>
      <c r="C22" s="5" t="s">
        <v>533</v>
      </c>
      <c r="D22" s="5" t="s">
        <v>534</v>
      </c>
      <c r="E22" s="5" t="s">
        <v>535</v>
      </c>
      <c r="F22" s="5" t="s">
        <v>536</v>
      </c>
      <c r="G22" s="5" t="s">
        <v>537</v>
      </c>
    </row>
    <row r="23" customFormat="false" ht="15" hidden="false" customHeight="false" outlineLevel="0" collapsed="false">
      <c r="A23" s="10" t="s">
        <v>513</v>
      </c>
      <c r="B23" s="29" t="n">
        <f aca="false">PL!E18</f>
        <v>26.7146909850819</v>
      </c>
      <c r="C23" s="29" t="n">
        <f aca="false">B23</f>
        <v>26.7146909850819</v>
      </c>
      <c r="D23" s="30" t="n">
        <f aca="false">D17</f>
        <v>9.92</v>
      </c>
      <c r="E23" s="31" t="n">
        <f aca="false">C23*D23</f>
        <v>265.009734572013</v>
      </c>
      <c r="F23" s="32" t="n">
        <f aca="false">E23/px-1</f>
        <v>0.0816723860082151</v>
      </c>
      <c r="G23" s="30" t="n">
        <f aca="false">px/C23</f>
        <v>9.17098386564956</v>
      </c>
    </row>
    <row r="24" customFormat="false" ht="15" hidden="false" customHeight="false" outlineLevel="0" collapsed="false">
      <c r="A24" s="10" t="s">
        <v>514</v>
      </c>
      <c r="B24" s="29" t="n">
        <f aca="false">PL!E35</f>
        <v>26.7146909850819</v>
      </c>
      <c r="C24" s="29" t="n">
        <f aca="false">B24</f>
        <v>26.7146909850819</v>
      </c>
      <c r="D24" s="30" t="n">
        <f aca="false">D18</f>
        <v>9.92</v>
      </c>
      <c r="E24" s="31" t="n">
        <f aca="false">C24*D24</f>
        <v>265.009734572013</v>
      </c>
      <c r="F24" s="32" t="n">
        <f aca="false">E24/px-1</f>
        <v>0.0816723860082151</v>
      </c>
      <c r="G24" s="30" t="n">
        <f aca="false">px/C24</f>
        <v>9.17098386564956</v>
      </c>
    </row>
    <row r="25" customFormat="false" ht="15" hidden="false" customHeight="false" outlineLevel="0" collapsed="false">
      <c r="A25" s="10" t="s">
        <v>515</v>
      </c>
      <c r="B25" s="29" t="n">
        <f aca="false">PL!E52</f>
        <v>26.7146909850819</v>
      </c>
      <c r="C25" s="29" t="n">
        <f aca="false">B25</f>
        <v>26.7146909850819</v>
      </c>
      <c r="D25" s="30" t="n">
        <f aca="false">D19</f>
        <v>9.25</v>
      </c>
      <c r="E25" s="31" t="n">
        <f aca="false">C25*D25</f>
        <v>247.110891612008</v>
      </c>
      <c r="F25" s="32" t="n">
        <f aca="false">E25/px-1</f>
        <v>0.00861588413064407</v>
      </c>
      <c r="G25" s="30" t="n">
        <f aca="false">px/C25</f>
        <v>9.17098386564956</v>
      </c>
    </row>
    <row r="26" customFormat="false" ht="17.15" hidden="false" customHeight="false" outlineLevel="0" collapsed="false">
      <c r="A26" s="6" t="s">
        <v>538</v>
      </c>
    </row>
    <row r="27" customFormat="false" ht="17.15" hidden="false" customHeight="false" outlineLevel="0" collapsed="false">
      <c r="A27" s="11" t="s">
        <v>539</v>
      </c>
      <c r="B27" s="5" t="s">
        <v>540</v>
      </c>
      <c r="C27" s="5" t="s">
        <v>541</v>
      </c>
      <c r="D27" s="5" t="s">
        <v>542</v>
      </c>
    </row>
    <row r="28" customFormat="false" ht="15" hidden="false" customHeight="false" outlineLevel="0" collapsed="false">
      <c r="A28" s="17" t="n">
        <v>1</v>
      </c>
      <c r="B28" s="18" t="n">
        <f aca="false">px*A28/PL!F18</f>
        <v>7.79822537851889</v>
      </c>
      <c r="C28" s="18" t="n">
        <f aca="false">px*A28/PL!F52</f>
        <v>10.3832344183661</v>
      </c>
      <c r="D28" s="18" t="n">
        <f aca="false">pe_mid</f>
        <v>9.92</v>
      </c>
    </row>
    <row r="29" customFormat="false" ht="15" hidden="false" customHeight="false" outlineLevel="0" collapsed="false">
      <c r="A29" s="17" t="n">
        <v>1.1</v>
      </c>
      <c r="B29" s="18" t="n">
        <f aca="false">px*A29/PL!F18</f>
        <v>8.57804791637078</v>
      </c>
      <c r="C29" s="18" t="n">
        <f aca="false">px*A29/PL!F52</f>
        <v>11.4215578602027</v>
      </c>
      <c r="D29" s="18" t="n">
        <f aca="false">pe_mid</f>
        <v>9.92</v>
      </c>
    </row>
    <row r="30" customFormat="false" ht="15" hidden="false" customHeight="false" outlineLevel="0" collapsed="false">
      <c r="A30" s="17" t="n">
        <v>1.21</v>
      </c>
      <c r="B30" s="18" t="n">
        <f aca="false">px*A30/PL!F18</f>
        <v>9.43585270800786</v>
      </c>
      <c r="C30" s="18" t="n">
        <f aca="false">px*A30/PL!F52</f>
        <v>12.563713646223</v>
      </c>
      <c r="D30" s="18" t="n">
        <f aca="false">pe_mid</f>
        <v>9.92</v>
      </c>
    </row>
    <row r="31" customFormat="false" ht="15" hidden="false" customHeight="false" outlineLevel="0" collapsed="false">
      <c r="A31" s="17" t="n">
        <v>1.5</v>
      </c>
      <c r="B31" s="18" t="n">
        <f aca="false">px*A31/PL!F18</f>
        <v>11.6973380677783</v>
      </c>
      <c r="C31" s="18" t="n">
        <f aca="false">px*A31/PL!F52</f>
        <v>15.5748516275492</v>
      </c>
      <c r="D31" s="18" t="n">
        <f aca="false">pe_mid</f>
        <v>9.92</v>
      </c>
    </row>
    <row r="32" customFormat="false" ht="15" hidden="false" customHeight="false" outlineLevel="0" collapsed="false">
      <c r="A32" s="17" t="n">
        <v>2</v>
      </c>
      <c r="B32" s="18" t="n">
        <f aca="false">px*A32/PL!F18</f>
        <v>15.5964507570378</v>
      </c>
      <c r="C32" s="18" t="n">
        <f aca="false">px*A32/PL!F52</f>
        <v>20.7664688367322</v>
      </c>
      <c r="D32" s="18" t="n">
        <f aca="false">pe_mid</f>
        <v>9.92</v>
      </c>
    </row>
    <row r="33" customFormat="false" ht="17.15" hidden="false" customHeight="false" outlineLevel="0" collapsed="false">
      <c r="A33" s="4" t="s">
        <v>543</v>
      </c>
    </row>
    <row r="35" customFormat="false" ht="17.15" hidden="false" customHeight="false" outlineLevel="0" collapsed="false">
      <c r="A35" s="6" t="s">
        <v>544</v>
      </c>
    </row>
    <row r="37" customFormat="false" ht="17.15" hidden="false" customHeight="false" outlineLevel="0" collapsed="false">
      <c r="A37" s="1" t="s">
        <v>545</v>
      </c>
    </row>
    <row r="38" customFormat="false" ht="17.15" hidden="false" customHeight="false" outlineLevel="0" collapsed="false">
      <c r="A38" s="33" t="s">
        <v>546</v>
      </c>
      <c r="B38" s="31" t="n">
        <f aca="false">tp_wA*B40+tp_wB*B41+tp_wC*B42</f>
        <v>261.429965980012</v>
      </c>
      <c r="C38" s="10"/>
      <c r="D38" s="10"/>
      <c r="E38" s="34" t="s">
        <v>547</v>
      </c>
    </row>
    <row r="39" customFormat="false" ht="17.15" hidden="false" customHeight="false" outlineLevel="0" collapsed="false">
      <c r="A39" s="34" t="s">
        <v>548</v>
      </c>
      <c r="B39" s="35" t="n">
        <f aca="false">B38/px-1</f>
        <v>0.067061085632701</v>
      </c>
      <c r="C39" s="34"/>
      <c r="D39" s="34"/>
      <c r="E39" s="34" t="s">
        <v>549</v>
      </c>
    </row>
    <row r="40" customFormat="false" ht="17.15" hidden="false" customHeight="false" outlineLevel="0" collapsed="false">
      <c r="A40" s="4" t="s">
        <v>550</v>
      </c>
      <c r="B40" s="28" t="n">
        <f aca="false">E23</f>
        <v>265.009734572013</v>
      </c>
      <c r="E40" s="4" t="s">
        <v>551</v>
      </c>
    </row>
    <row r="41" customFormat="false" ht="17.15" hidden="false" customHeight="false" outlineLevel="0" collapsed="false">
      <c r="A41" s="4" t="s">
        <v>552</v>
      </c>
      <c r="B41" s="28" t="n">
        <f aca="false">E24</f>
        <v>265.009734572013</v>
      </c>
      <c r="E41" s="4" t="s">
        <v>553</v>
      </c>
    </row>
    <row r="42" customFormat="false" ht="17.15" hidden="false" customHeight="false" outlineLevel="0" collapsed="false">
      <c r="A42" s="4" t="s">
        <v>554</v>
      </c>
      <c r="B42" s="28" t="n">
        <f aca="false">E25</f>
        <v>247.110891612008</v>
      </c>
      <c r="E42" s="4" t="s">
        <v>555</v>
      </c>
    </row>
    <row r="43" customFormat="false" ht="17.15" hidden="false" customHeight="false" outlineLevel="0" collapsed="false">
      <c r="A43" s="4" t="s">
        <v>556</v>
      </c>
      <c r="B43" s="36" t="n">
        <f aca="false">tp_wA</f>
        <v>0.3</v>
      </c>
      <c r="C43" s="36" t="n">
        <f aca="false">tp_wB</f>
        <v>0.5</v>
      </c>
      <c r="D43" s="36" t="n">
        <f aca="false">tp_wC</f>
        <v>0.2</v>
      </c>
      <c r="E43" s="8" t="s">
        <v>557</v>
      </c>
    </row>
    <row r="44" customFormat="false" ht="17.15" hidden="false" customHeight="false" outlineLevel="0" collapsed="false">
      <c r="A44" s="4" t="s">
        <v>558</v>
      </c>
      <c r="B44" s="0" t="s">
        <v>559</v>
      </c>
    </row>
    <row r="50" customFormat="false" ht="17.15" hidden="false" customHeight="false" outlineLevel="0" collapsed="false">
      <c r="A50" s="6" t="s">
        <v>560</v>
      </c>
    </row>
    <row r="51" customFormat="false" ht="17.15" hidden="false" customHeight="false" outlineLevel="0" collapsed="false">
      <c r="A51" s="4" t="s">
        <v>561</v>
      </c>
    </row>
    <row r="53" customFormat="false" ht="17.15" hidden="false" customHeight="false" outlineLevel="0" collapsed="false">
      <c r="A53" s="6" t="s">
        <v>562</v>
      </c>
    </row>
    <row r="54" customFormat="false" ht="17.15" hidden="false" customHeight="false" outlineLevel="0" collapsed="false">
      <c r="A54" s="5" t="s">
        <v>563</v>
      </c>
      <c r="B54" s="11" t="s">
        <v>564</v>
      </c>
      <c r="C54" s="11" t="s">
        <v>565</v>
      </c>
      <c r="D54" s="5" t="s">
        <v>566</v>
      </c>
    </row>
    <row r="55" customFormat="false" ht="17.15" hidden="false" customHeight="false" outlineLevel="0" collapsed="false">
      <c r="A55" s="0" t="s">
        <v>567</v>
      </c>
      <c r="B55" s="17" t="n">
        <v>6.85</v>
      </c>
      <c r="C55" s="16" t="n">
        <f aca="false">84.2/8.6</f>
        <v>9.79069767441861</v>
      </c>
      <c r="D55" s="8" t="s">
        <v>568</v>
      </c>
    </row>
    <row r="56" customFormat="false" ht="15" hidden="false" customHeight="false" outlineLevel="0" collapsed="false">
      <c r="A56" s="0" t="s">
        <v>569</v>
      </c>
      <c r="B56" s="17" t="n">
        <v>10.8</v>
      </c>
      <c r="C56" s="16" t="n">
        <f aca="false">95.2/8.01</f>
        <v>11.8851435705368</v>
      </c>
    </row>
    <row r="57" customFormat="false" ht="15" hidden="false" customHeight="false" outlineLevel="0" collapsed="false">
      <c r="A57" s="0" t="s">
        <v>570</v>
      </c>
      <c r="B57" s="17" t="n">
        <v>6.5</v>
      </c>
      <c r="C57" s="16" t="n">
        <f aca="false">70.8/8.03</f>
        <v>8.81693648816937</v>
      </c>
    </row>
    <row r="58" customFormat="false" ht="15" hidden="false" customHeight="false" outlineLevel="0" collapsed="false">
      <c r="A58" s="0" t="s">
        <v>571</v>
      </c>
      <c r="B58" s="17" t="n">
        <v>8.55</v>
      </c>
      <c r="C58" s="16" t="n">
        <f aca="false">90.8/8.32</f>
        <v>10.9134615384615</v>
      </c>
    </row>
    <row r="59" customFormat="false" ht="15" hidden="false" customHeight="false" outlineLevel="0" collapsed="false">
      <c r="A59" s="0" t="s">
        <v>572</v>
      </c>
      <c r="B59" s="17" t="n">
        <v>10.3</v>
      </c>
      <c r="C59" s="16" t="n">
        <f aca="false">92/7.34</f>
        <v>12.5340599455041</v>
      </c>
    </row>
    <row r="60" customFormat="false" ht="15" hidden="false" customHeight="false" outlineLevel="0" collapsed="false">
      <c r="A60" s="0" t="s">
        <v>573</v>
      </c>
      <c r="B60" s="17" t="n">
        <v>8.83</v>
      </c>
      <c r="C60" s="16" t="n">
        <f aca="false">104/10.05</f>
        <v>10.3482587064677</v>
      </c>
    </row>
    <row r="61" customFormat="false" ht="15" hidden="false" customHeight="false" outlineLevel="0" collapsed="false">
      <c r="A61" s="0" t="s">
        <v>574</v>
      </c>
      <c r="B61" s="17" t="n">
        <v>8.78</v>
      </c>
      <c r="C61" s="16" t="n">
        <f aca="false">99.9/10.21</f>
        <v>9.7845249755142</v>
      </c>
    </row>
    <row r="62" customFormat="false" ht="15" hidden="false" customHeight="false" outlineLevel="0" collapsed="false">
      <c r="A62" s="0" t="s">
        <v>575</v>
      </c>
      <c r="B62" s="17" t="n">
        <v>9.59</v>
      </c>
      <c r="C62" s="16" t="n">
        <f aca="false">104.5/10.25</f>
        <v>10.1951219512195</v>
      </c>
    </row>
    <row r="63" customFormat="false" ht="15" hidden="false" customHeight="false" outlineLevel="0" collapsed="false">
      <c r="A63" s="0" t="s">
        <v>576</v>
      </c>
      <c r="B63" s="17" t="n">
        <v>16.2</v>
      </c>
      <c r="C63" s="16" t="n">
        <f aca="false">184/11.01</f>
        <v>16.7120799273388</v>
      </c>
    </row>
    <row r="64" customFormat="false" ht="15" hidden="false" customHeight="false" outlineLevel="0" collapsed="false">
      <c r="A64" s="0" t="s">
        <v>577</v>
      </c>
      <c r="B64" s="17" t="n">
        <v>16.8</v>
      </c>
      <c r="C64" s="16" t="n">
        <f aca="false">230.5/13.61</f>
        <v>16.9360764144012</v>
      </c>
    </row>
    <row r="65" customFormat="false" ht="17.15" hidden="false" customHeight="false" outlineLevel="0" collapsed="false">
      <c r="A65" s="0" t="s">
        <v>578</v>
      </c>
      <c r="B65" s="16" t="n">
        <f aca="false">PERCENTILE(B55:B64,0.25)</f>
        <v>8.6075</v>
      </c>
      <c r="C65" s="16" t="n">
        <f aca="false">PERCENTILE(C55:C64,0.25)</f>
        <v>9.89180374361883</v>
      </c>
    </row>
    <row r="66" customFormat="false" ht="15" hidden="false" customHeight="false" outlineLevel="0" collapsed="false">
      <c r="A66" s="4" t="s">
        <v>579</v>
      </c>
      <c r="B66" s="16" t="n">
        <f aca="false">MEDIAN(B55:B64)</f>
        <v>9.21</v>
      </c>
      <c r="C66" s="16" t="n">
        <f aca="false">MEDIAN(C55:C64)</f>
        <v>10.6308601224646</v>
      </c>
    </row>
    <row r="67" customFormat="false" ht="17.15" hidden="false" customHeight="false" outlineLevel="0" collapsed="false">
      <c r="A67" s="0" t="s">
        <v>580</v>
      </c>
      <c r="B67" s="16" t="n">
        <f aca="false">PERCENTILE(B55:B64,0.75)</f>
        <v>10.675</v>
      </c>
      <c r="C67" s="16" t="n">
        <f aca="false">PERCENTILE(C55:C64,0.75)</f>
        <v>12.3718308517623</v>
      </c>
    </row>
    <row r="68" customFormat="false" ht="15" hidden="false" customHeight="false" outlineLevel="0" collapsed="false">
      <c r="A68" s="4" t="s">
        <v>581</v>
      </c>
      <c r="B68" s="16" t="n">
        <f aca="false">MIN(B55:B64)</f>
        <v>6.5</v>
      </c>
      <c r="C68" s="16" t="n">
        <f aca="false">MIN(C55:C64)</f>
        <v>8.81693648816937</v>
      </c>
    </row>
    <row r="69" customFormat="false" ht="15" hidden="false" customHeight="false" outlineLevel="0" collapsed="false">
      <c r="A69" s="4" t="s">
        <v>582</v>
      </c>
      <c r="B69" s="16" t="n">
        <f aca="false">MAX(B55:B64)</f>
        <v>16.8</v>
      </c>
      <c r="C69" s="16" t="n">
        <f aca="false">MAX(C55:C64)</f>
        <v>16.9360764144012</v>
      </c>
    </row>
    <row r="70" customFormat="false" ht="17.15" hidden="false" customHeight="false" outlineLevel="0" collapsed="false">
      <c r="A70" s="1" t="s">
        <v>583</v>
      </c>
      <c r="B70" s="16" t="n">
        <f aca="false">ROUND(AVERAGE(B65,C65),2)</f>
        <v>9.25</v>
      </c>
    </row>
    <row r="71" customFormat="false" ht="17.15" hidden="false" customHeight="false" outlineLevel="0" collapsed="false">
      <c r="A71" s="1" t="s">
        <v>584</v>
      </c>
      <c r="B71" s="16" t="n">
        <f aca="false">ROUND(AVERAGE(B66,C66),2)</f>
        <v>9.92</v>
      </c>
    </row>
    <row r="72" customFormat="false" ht="17.15" hidden="false" customHeight="false" outlineLevel="0" collapsed="false">
      <c r="A72" s="1" t="s">
        <v>585</v>
      </c>
      <c r="B72" s="16" t="n">
        <f aca="false">ROUND(AVERAGE(B67,C67),2)</f>
        <v>11.52</v>
      </c>
    </row>
    <row r="73" customFormat="false" ht="17.15" hidden="false" customHeight="false" outlineLevel="0" collapsed="false">
      <c r="A73" s="1" t="s">
        <v>586</v>
      </c>
      <c r="B73" s="16" t="n">
        <f aca="false">ROUND(MIN(B68,C68),2)</f>
        <v>6.5</v>
      </c>
    </row>
    <row r="74" customFormat="false" ht="17.15" hidden="false" customHeight="false" outlineLevel="0" collapsed="false">
      <c r="A74" s="1" t="s">
        <v>587</v>
      </c>
      <c r="B74" s="16" t="n">
        <f aca="false">ROUND(MAX(B69,C69),2)</f>
        <v>16.94</v>
      </c>
    </row>
    <row r="76" customFormat="false" ht="17.15" hidden="false" customHeight="false" outlineLevel="0" collapsed="false">
      <c r="A76" s="6" t="s">
        <v>588</v>
      </c>
    </row>
    <row r="77" customFormat="false" ht="17.15" hidden="false" customHeight="false" outlineLevel="0" collapsed="false">
      <c r="A77" s="5" t="s">
        <v>589</v>
      </c>
      <c r="B77" s="5" t="s">
        <v>590</v>
      </c>
      <c r="C77" s="5" t="s">
        <v>591</v>
      </c>
      <c r="D77" s="5" t="s">
        <v>24</v>
      </c>
      <c r="E77" s="5" t="s">
        <v>592</v>
      </c>
      <c r="F77" s="5" t="s">
        <v>535</v>
      </c>
      <c r="G77" s="5" t="s">
        <v>593</v>
      </c>
      <c r="H77" s="5" t="s">
        <v>594</v>
      </c>
    </row>
    <row r="78" customFormat="false" ht="17.15" hidden="false" customHeight="false" outlineLevel="0" collapsed="false">
      <c r="A78" s="4" t="s">
        <v>595</v>
      </c>
      <c r="B78" s="0" t="s">
        <v>596</v>
      </c>
      <c r="C78" s="16" t="n">
        <f aca="false">B70</f>
        <v>9.25</v>
      </c>
      <c r="D78" s="8" t="s">
        <v>597</v>
      </c>
      <c r="E78" s="22" t="n">
        <f aca="false">C23</f>
        <v>26.7146909850819</v>
      </c>
      <c r="F78" s="19" t="n">
        <f aca="false">C78*E78</f>
        <v>247.110891612008</v>
      </c>
      <c r="G78" s="15" t="n">
        <f aca="false">F78/px-1</f>
        <v>0.00861588413064407</v>
      </c>
      <c r="H78" s="16" t="n">
        <f aca="false">px/E78</f>
        <v>9.17098386564956</v>
      </c>
    </row>
    <row r="79" customFormat="false" ht="17.15" hidden="false" customHeight="false" outlineLevel="0" collapsed="false">
      <c r="A79" s="4" t="s">
        <v>598</v>
      </c>
      <c r="B79" s="4" t="s">
        <v>599</v>
      </c>
      <c r="C79" s="16" t="n">
        <f aca="false">B71</f>
        <v>9.92</v>
      </c>
      <c r="D79" s="8" t="s">
        <v>597</v>
      </c>
      <c r="E79" s="22" t="n">
        <f aca="false">C23</f>
        <v>26.7146909850819</v>
      </c>
      <c r="F79" s="19" t="n">
        <f aca="false">C79*E79</f>
        <v>265.009734572013</v>
      </c>
      <c r="G79" s="15" t="n">
        <f aca="false">F79/px-1</f>
        <v>0.0816723860082151</v>
      </c>
      <c r="H79" s="16" t="n">
        <f aca="false">px/E79</f>
        <v>9.17098386564956</v>
      </c>
    </row>
    <row r="80" customFormat="false" ht="17.15" hidden="false" customHeight="false" outlineLevel="0" collapsed="false">
      <c r="A80" s="4" t="s">
        <v>600</v>
      </c>
      <c r="B80" s="0" t="s">
        <v>601</v>
      </c>
      <c r="C80" s="16" t="n">
        <f aca="false">B72</f>
        <v>11.52</v>
      </c>
      <c r="D80" s="8" t="s">
        <v>597</v>
      </c>
      <c r="E80" s="22" t="n">
        <f aca="false">C23</f>
        <v>26.7146909850819</v>
      </c>
      <c r="F80" s="19" t="n">
        <f aca="false">C80*E80</f>
        <v>307.753240148144</v>
      </c>
      <c r="G80" s="15" t="n">
        <f aca="false">F80/px-1</f>
        <v>0.256135674074056</v>
      </c>
      <c r="H80" s="16" t="n">
        <f aca="false">px/E80</f>
        <v>9.17098386564956</v>
      </c>
    </row>
    <row r="85" customFormat="false" ht="17.15" hidden="false" customHeight="false" outlineLevel="0" collapsed="false">
      <c r="A85" s="6" t="s">
        <v>602</v>
      </c>
    </row>
    <row r="86" customFormat="false" ht="17.15" hidden="false" customHeight="false" outlineLevel="0" collapsed="false">
      <c r="A86" s="6" t="s">
        <v>603</v>
      </c>
    </row>
    <row r="87" customFormat="false" ht="17.15" hidden="false" customHeight="false" outlineLevel="0" collapsed="false">
      <c r="A87" s="5" t="s">
        <v>21</v>
      </c>
      <c r="B87" s="11" t="s">
        <v>604</v>
      </c>
      <c r="C87" s="11" t="s">
        <v>605</v>
      </c>
      <c r="D87" s="11" t="s">
        <v>606</v>
      </c>
      <c r="E87" s="5" t="s">
        <v>400</v>
      </c>
    </row>
    <row r="88" customFormat="false" ht="17.15" hidden="false" customHeight="false" outlineLevel="0" collapsed="false">
      <c r="A88" s="4" t="s">
        <v>607</v>
      </c>
      <c r="E88" s="0" t="s">
        <v>608</v>
      </c>
    </row>
    <row r="89" customFormat="false" ht="15" hidden="false" customHeight="false" outlineLevel="0" collapsed="false">
      <c r="A89" s="0" t="s">
        <v>609</v>
      </c>
      <c r="B89" s="16" t="n">
        <f aca="false">PL!E221</f>
        <v>26.7146909850819</v>
      </c>
      <c r="C89" s="16" t="n">
        <f aca="false">PL!E233</f>
        <v>26.7146909850819</v>
      </c>
      <c r="D89" s="16" t="n">
        <f aca="false">PL!E245</f>
        <v>26.7146909850819</v>
      </c>
    </row>
    <row r="90" customFormat="false" ht="15" hidden="false" customHeight="false" outlineLevel="0" collapsed="false">
      <c r="A90" s="0" t="s">
        <v>610</v>
      </c>
      <c r="B90" s="16" t="n">
        <f aca="false">PL!F221</f>
        <v>31.4174043590585</v>
      </c>
      <c r="C90" s="16" t="n">
        <f aca="false">PL!F233</f>
        <v>27.705697658271</v>
      </c>
      <c r="D90" s="16" t="n">
        <f aca="false">PL!F245</f>
        <v>23.5957303984814</v>
      </c>
    </row>
    <row r="91" customFormat="false" ht="15" hidden="false" customHeight="false" outlineLevel="0" collapsed="false">
      <c r="A91" s="0" t="s">
        <v>611</v>
      </c>
      <c r="B91" s="16" t="n">
        <f aca="false">PL!G221</f>
        <v>33.6604474903366</v>
      </c>
      <c r="C91" s="16" t="n">
        <f aca="false">PL!G233</f>
        <v>30.6113377071593</v>
      </c>
      <c r="D91" s="16" t="n">
        <f aca="false">PL!G245</f>
        <v>25.2009828669521</v>
      </c>
    </row>
    <row r="92" customFormat="false" ht="15" hidden="false" customHeight="false" outlineLevel="0" collapsed="false">
      <c r="A92" s="0" t="s">
        <v>612</v>
      </c>
      <c r="B92" s="16" t="n">
        <f aca="false">PL!H221</f>
        <v>34.8921060489597</v>
      </c>
      <c r="C92" s="16" t="n">
        <f aca="false">PL!H233</f>
        <v>30.9748410835937</v>
      </c>
      <c r="D92" s="16" t="n">
        <f aca="false">PL!H245</f>
        <v>24.1022181336744</v>
      </c>
    </row>
    <row r="93" customFormat="false" ht="15" hidden="false" customHeight="false" outlineLevel="0" collapsed="false">
      <c r="A93" s="0" t="s">
        <v>613</v>
      </c>
      <c r="B93" s="16" t="n">
        <f aca="false">PL!I221</f>
        <v>36.5772321199284</v>
      </c>
      <c r="C93" s="16" t="n">
        <f aca="false">PL!I233</f>
        <v>31.2042027517514</v>
      </c>
      <c r="D93" s="16" t="n">
        <f aca="false">PL!I245</f>
        <v>22.8809971968397</v>
      </c>
    </row>
    <row r="94" customFormat="false" ht="15" hidden="false" customHeight="false" outlineLevel="0" collapsed="false">
      <c r="A94" s="0" t="s">
        <v>614</v>
      </c>
      <c r="B94" s="16" t="n">
        <f aca="false">PL!J221</f>
        <v>38.7718660471241</v>
      </c>
      <c r="C94" s="16" t="n">
        <f aca="false">PL!J233</f>
        <v>31.2933576167564</v>
      </c>
      <c r="D94" s="16" t="n">
        <f aca="false">PL!J245</f>
        <v>21.5433388991783</v>
      </c>
    </row>
    <row r="95" customFormat="false" ht="17.15" hidden="false" customHeight="false" outlineLevel="0" collapsed="false">
      <c r="A95" s="4" t="s">
        <v>615</v>
      </c>
    </row>
    <row r="96" customFormat="false" ht="17.15" hidden="false" customHeight="false" outlineLevel="0" collapsed="false">
      <c r="A96" s="4" t="s">
        <v>616</v>
      </c>
      <c r="B96" s="15" t="n">
        <f aca="false">MIN(tp_g/tp_roe,0.8)</f>
        <v>0.396825396825397</v>
      </c>
      <c r="E96" s="8" t="s">
        <v>617</v>
      </c>
    </row>
    <row r="97" customFormat="false" ht="15" hidden="false" customHeight="false" outlineLevel="0" collapsed="false">
      <c r="A97" s="0" t="s">
        <v>609</v>
      </c>
      <c r="B97" s="16" t="n">
        <f aca="false">B89*(1-$B$96)</f>
        <v>16.1136231338589</v>
      </c>
      <c r="C97" s="16" t="n">
        <f aca="false">C89*(1-$B$96)</f>
        <v>16.1136231338589</v>
      </c>
      <c r="D97" s="16" t="n">
        <f aca="false">D89*(1-$B$96)</f>
        <v>16.1136231338589</v>
      </c>
    </row>
    <row r="98" customFormat="false" ht="15" hidden="false" customHeight="false" outlineLevel="0" collapsed="false">
      <c r="A98" s="0" t="s">
        <v>610</v>
      </c>
      <c r="B98" s="16" t="n">
        <f aca="false">B90*(1-$B$96)</f>
        <v>18.9501804070512</v>
      </c>
      <c r="C98" s="16" t="n">
        <f aca="false">C90*(1-$B$96)</f>
        <v>16.7113731907032</v>
      </c>
      <c r="D98" s="16" t="n">
        <f aca="false">D90*(1-$B$96)</f>
        <v>14.232345319719</v>
      </c>
    </row>
    <row r="99" customFormat="false" ht="15" hidden="false" customHeight="false" outlineLevel="0" collapsed="false">
      <c r="A99" s="0" t="s">
        <v>611</v>
      </c>
      <c r="B99" s="16" t="n">
        <f aca="false">B91*(1-$B$96)</f>
        <v>20.3031270576633</v>
      </c>
      <c r="C99" s="16" t="n">
        <f aca="false">C91*(1-$B$96)</f>
        <v>18.4639814741596</v>
      </c>
      <c r="D99" s="16" t="n">
        <f aca="false">D91*(1-$B$96)</f>
        <v>15.2005928403838</v>
      </c>
    </row>
    <row r="100" customFormat="false" ht="15" hidden="false" customHeight="false" outlineLevel="0" collapsed="false">
      <c r="A100" s="0" t="s">
        <v>612</v>
      </c>
      <c r="B100" s="16" t="n">
        <f aca="false">B92*(1-$B$96)</f>
        <v>21.0460322200074</v>
      </c>
      <c r="C100" s="16" t="n">
        <f aca="false">C92*(1-$B$96)</f>
        <v>18.683237478993</v>
      </c>
      <c r="D100" s="16" t="n">
        <f aca="false">D92*(1-$B$96)</f>
        <v>14.5378458584068</v>
      </c>
    </row>
    <row r="101" customFormat="false" ht="15" hidden="false" customHeight="false" outlineLevel="0" collapsed="false">
      <c r="A101" s="0" t="s">
        <v>613</v>
      </c>
      <c r="B101" s="16" t="n">
        <f aca="false">B93*(1-$B$96)</f>
        <v>22.0624574691632</v>
      </c>
      <c r="C101" s="16" t="n">
        <f aca="false">C93*(1-$B$96)</f>
        <v>18.8215826121675</v>
      </c>
      <c r="D101" s="16" t="n">
        <f aca="false">D93*(1-$B$96)</f>
        <v>13.801236404443</v>
      </c>
    </row>
    <row r="102" customFormat="false" ht="15" hidden="false" customHeight="false" outlineLevel="0" collapsed="false">
      <c r="A102" s="0" t="s">
        <v>614</v>
      </c>
      <c r="B102" s="16" t="n">
        <f aca="false">B94*(1-$B$96)</f>
        <v>23.386204917313</v>
      </c>
      <c r="C102" s="16" t="n">
        <f aca="false">C94*(1-$B$96)</f>
        <v>18.875358562488</v>
      </c>
      <c r="D102" s="16" t="n">
        <f aca="false">D94*(1-$B$96)</f>
        <v>12.9943948915679</v>
      </c>
    </row>
    <row r="103" customFormat="false" ht="17.15" hidden="false" customHeight="false" outlineLevel="0" collapsed="false">
      <c r="A103" s="0" t="s">
        <v>618</v>
      </c>
      <c r="B103" s="28" t="n">
        <f aca="false">SUMPRODUCT(B97:B102,1/(1+tp_r)^{1;2;3;4;5;6})+B102*(1+tp_g)/(tp_r-tp_g)/(1+tp_r)^6</f>
        <v>315.654422734555</v>
      </c>
      <c r="C103" s="28" t="n">
        <f aca="false">SUMPRODUCT(C97:C102,1/(1+tp_r)^{1;2;3;4;5;6})+C102*(1+tp_g)/(tp_r-tp_g)/(1+tp_r)^6</f>
        <v>262.114897855152</v>
      </c>
      <c r="D103" s="28" t="n">
        <f aca="false">SUMPRODUCT(D97:D102,1/(1+tp_r)^{1;2;3;4;5;6})+D102*(1+tp_g)/(tp_r-tp_g)/(1+tp_r)^6</f>
        <v>190.805421654744</v>
      </c>
      <c r="E103" s="8" t="s">
        <v>619</v>
      </c>
    </row>
    <row r="104" customFormat="false" ht="17.15" hidden="false" customHeight="false" outlineLevel="0" collapsed="false">
      <c r="A104" s="0" t="s">
        <v>620</v>
      </c>
      <c r="B104" s="28" t="n">
        <f aca="false">B103*(1+tp_r)</f>
        <v>347.21986500801</v>
      </c>
      <c r="C104" s="28" t="n">
        <f aca="false">C103*(1+tp_r)</f>
        <v>288.326387640668</v>
      </c>
      <c r="D104" s="28" t="n">
        <f aca="false">D103*(1+tp_r)</f>
        <v>209.885963820218</v>
      </c>
    </row>
    <row r="105" customFormat="false" ht="17.15" hidden="false" customHeight="false" outlineLevel="0" collapsed="false">
      <c r="A105" s="0" t="s">
        <v>621</v>
      </c>
      <c r="B105" s="31" t="n">
        <f aca="false">tp_wA*B104+tp_wB*C104+tp_wC*D104</f>
        <v>290.306346086781</v>
      </c>
      <c r="E105" s="8" t="s">
        <v>622</v>
      </c>
    </row>
    <row r="107" customFormat="false" ht="17.15" hidden="false" customHeight="false" outlineLevel="0" collapsed="false">
      <c r="A107" s="6" t="s">
        <v>623</v>
      </c>
    </row>
    <row r="108" customFormat="false" ht="17.15" hidden="false" customHeight="false" outlineLevel="0" collapsed="false">
      <c r="A108" s="5" t="s">
        <v>624</v>
      </c>
      <c r="B108" s="5" t="s">
        <v>625</v>
      </c>
      <c r="C108" s="5" t="s">
        <v>626</v>
      </c>
      <c r="D108" s="5" t="s">
        <v>627</v>
      </c>
      <c r="E108" s="5" t="s">
        <v>628</v>
      </c>
      <c r="F108" s="5" t="s">
        <v>26</v>
      </c>
    </row>
    <row r="109" customFormat="false" ht="17.15" hidden="false" customHeight="false" outlineLevel="0" collapsed="false">
      <c r="A109" s="4" t="s">
        <v>629</v>
      </c>
      <c r="B109" s="0" t="s">
        <v>630</v>
      </c>
      <c r="C109" s="37" t="n">
        <v>11.31</v>
      </c>
      <c r="D109" s="8" t="s">
        <v>631</v>
      </c>
      <c r="E109" s="8" t="s">
        <v>632</v>
      </c>
      <c r="F109" s="8" t="s">
        <v>633</v>
      </c>
    </row>
    <row r="110" customFormat="false" ht="17.15" hidden="false" customHeight="false" outlineLevel="0" collapsed="false">
      <c r="A110" s="4" t="s">
        <v>634</v>
      </c>
      <c r="B110" s="0" t="s">
        <v>635</v>
      </c>
      <c r="C110" s="37" t="n">
        <v>9.93</v>
      </c>
      <c r="D110" s="8" t="s">
        <v>636</v>
      </c>
      <c r="E110" s="8" t="s">
        <v>632</v>
      </c>
      <c r="F110" s="8" t="s">
        <v>633</v>
      </c>
    </row>
    <row r="111" customFormat="false" ht="17.15" hidden="false" customHeight="false" outlineLevel="0" collapsed="false">
      <c r="A111" s="4" t="s">
        <v>637</v>
      </c>
      <c r="B111" s="0" t="s">
        <v>638</v>
      </c>
      <c r="C111" s="37" t="n">
        <v>14.88</v>
      </c>
      <c r="D111" s="8" t="s">
        <v>639</v>
      </c>
      <c r="E111" s="8" t="s">
        <v>632</v>
      </c>
      <c r="F111" s="8" t="s">
        <v>633</v>
      </c>
    </row>
    <row r="112" customFormat="false" ht="17.15" hidden="false" customHeight="false" outlineLevel="0" collapsed="false">
      <c r="A112" s="0" t="s">
        <v>640</v>
      </c>
      <c r="B112" s="0" t="s">
        <v>641</v>
      </c>
      <c r="C112" s="37" t="n">
        <v>15.49</v>
      </c>
      <c r="D112" s="8" t="s">
        <v>642</v>
      </c>
      <c r="E112" s="8" t="s">
        <v>632</v>
      </c>
      <c r="F112" s="8" t="s">
        <v>633</v>
      </c>
    </row>
    <row r="113" customFormat="false" ht="17.15" hidden="false" customHeight="false" outlineLevel="0" collapsed="false">
      <c r="A113" s="0" t="s">
        <v>643</v>
      </c>
      <c r="B113" s="0" t="s">
        <v>644</v>
      </c>
      <c r="C113" s="37" t="n">
        <v>14.74</v>
      </c>
      <c r="D113" s="8" t="s">
        <v>642</v>
      </c>
      <c r="E113" s="8" t="s">
        <v>632</v>
      </c>
      <c r="F113" s="8" t="s">
        <v>633</v>
      </c>
    </row>
    <row r="114" customFormat="false" ht="17.15" hidden="false" customHeight="false" outlineLevel="0" collapsed="false">
      <c r="A114" s="4" t="s">
        <v>645</v>
      </c>
      <c r="B114" s="18" t="n">
        <f aca="false">MEDIAN(C109:C113)</f>
        <v>14.74</v>
      </c>
      <c r="E114" s="4" t="s">
        <v>646</v>
      </c>
    </row>
    <row r="115" customFormat="false" ht="17.15" hidden="false" customHeight="false" outlineLevel="0" collapsed="false">
      <c r="A115" s="0" t="s">
        <v>647</v>
      </c>
      <c r="B115" s="16" t="n">
        <f aca="false">tp_wA*(0.166666666666667*B89+0.833333333333333*B90)+tp_wB*(0.166666666666667*C89+0.833333333333333*C90)+tp_wC*(0.166666666666667*D89+0.833333333333333*D90)</f>
        <v>27.7834620113048</v>
      </c>
      <c r="E115" s="4" t="s">
        <v>648</v>
      </c>
    </row>
    <row r="116" customFormat="false" ht="17.15" hidden="false" customHeight="false" outlineLevel="0" collapsed="false">
      <c r="A116" s="0" t="s">
        <v>649</v>
      </c>
      <c r="B116" s="31" t="n">
        <f aca="false">B114*B115</f>
        <v>409.528230046632</v>
      </c>
      <c r="E116" s="4" t="s">
        <v>650</v>
      </c>
    </row>
    <row r="118" customFormat="false" ht="17.15" hidden="false" customHeight="false" outlineLevel="0" collapsed="false">
      <c r="A118" s="6" t="s">
        <v>651</v>
      </c>
    </row>
    <row r="119" customFormat="false" ht="15" hidden="false" customHeight="false" outlineLevel="0" collapsed="false">
      <c r="A119" s="5" t="s">
        <v>21</v>
      </c>
      <c r="B119" s="5" t="s">
        <v>652</v>
      </c>
      <c r="C119" s="5"/>
      <c r="D119" s="5"/>
      <c r="E119" s="5" t="s">
        <v>400</v>
      </c>
    </row>
    <row r="120" customFormat="false" ht="17.15" hidden="false" customHeight="false" outlineLevel="0" collapsed="false">
      <c r="A120" s="1" t="s">
        <v>653</v>
      </c>
      <c r="B120" s="31" t="n">
        <f aca="false">tp_w_dcf*B105+(1-tp_w_dcf)*tp_comp_adj</f>
        <v>339.099436397115</v>
      </c>
      <c r="E120" s="8" t="s">
        <v>654</v>
      </c>
    </row>
    <row r="121" customFormat="false" ht="17.15" hidden="false" customHeight="false" outlineLevel="0" collapsed="false">
      <c r="A121" s="0" t="s">
        <v>655</v>
      </c>
      <c r="B121" s="28" t="n">
        <f aca="false">B116</f>
        <v>409.528230046632</v>
      </c>
      <c r="E121" s="4" t="s">
        <v>656</v>
      </c>
    </row>
    <row r="122" customFormat="false" ht="17.15" hidden="false" customHeight="false" outlineLevel="0" collapsed="false">
      <c r="A122" s="4" t="s">
        <v>657</v>
      </c>
      <c r="B122" s="28" t="n">
        <f aca="false">cons_tp</f>
        <v>347.45</v>
      </c>
      <c r="E122" s="8" t="s">
        <v>339</v>
      </c>
    </row>
    <row r="123" customFormat="false" ht="17.15" hidden="false" customHeight="false" outlineLevel="0" collapsed="false">
      <c r="A123" s="4" t="s">
        <v>658</v>
      </c>
      <c r="B123" s="15" t="n">
        <f aca="false">B120/px-1</f>
        <v>0.384079332233124</v>
      </c>
      <c r="E123" s="4" t="s">
        <v>659</v>
      </c>
    </row>
    <row r="124" customFormat="false" ht="17.15" hidden="false" customHeight="false" outlineLevel="0" collapsed="false">
      <c r="A124" s="4" t="s">
        <v>660</v>
      </c>
      <c r="B124" s="15" t="n">
        <f aca="false">B121/px-1</f>
        <v>0.671543796108704</v>
      </c>
    </row>
    <row r="125" customFormat="false" ht="17.15" hidden="false" customHeight="false" outlineLevel="0" collapsed="false">
      <c r="A125" s="4" t="s">
        <v>661</v>
      </c>
      <c r="B125" s="15" t="n">
        <f aca="false">B115/cons_feps-1</f>
        <v>0.318989407384281</v>
      </c>
      <c r="E125" s="4" t="s">
        <v>662</v>
      </c>
    </row>
    <row r="126" customFormat="false" ht="17.15" hidden="false" customHeight="false" outlineLevel="0" collapsed="false">
      <c r="A126" s="4" t="s">
        <v>663</v>
      </c>
      <c r="B126" s="15" t="n">
        <f aca="false">(cons_tp/cons_feps)/B114-1</f>
        <v>0.119050741736374</v>
      </c>
      <c r="E126" s="0" t="str">
        <f aca="false">"共識目標價 ÷ 共識前瞻 EPS 隱含 "&amp;TEXT(cons_tp/cons_feps,"0.0")&amp;"x，同業中位數 "&amp;TEXT(B114,"0.0")&amp;"x"</f>
        <v>共識目標價 ÷ 共識前瞻 EPS 隱含 16.5x，同業中位數 14.7x</v>
      </c>
    </row>
    <row r="127" customFormat="false" ht="17.15" hidden="false" customHeight="false" outlineLevel="0" collapsed="false">
      <c r="A127" s="4" t="s">
        <v>664</v>
      </c>
      <c r="B127" s="38" t="str">
        <f aca="false">TEXT(D104,"#,##0")&amp;"～"&amp;TEXT(B104,"#,##0")</f>
        <v>210～347</v>
      </c>
      <c r="E127" s="8" t="s">
        <v>665</v>
      </c>
    </row>
    <row r="128" customFormat="false" ht="17.15" hidden="false" customHeight="false" outlineLevel="0" collapsed="false">
      <c r="A128" s="4" t="s">
        <v>666</v>
      </c>
      <c r="B128" s="36" t="n">
        <f aca="false">IF(px/B90&lt;=MIN($B$132:$K$132),0,IF(px/B90&gt;=MAX($B$132:$K$132),1,PERCENTRANK($B$132:$K$132,px/B90)))</f>
        <v>0.0235</v>
      </c>
      <c r="C128" s="36" t="n">
        <f aca="false">IF(px/C90&lt;=MIN($B$132:$K$132),0,IF(px/C90&gt;=MAX($B$132:$K$132),1,PERCENTRANK($B$132:$K$132,px/C90)))</f>
        <v>0.171</v>
      </c>
      <c r="D128" s="36" t="n">
        <f aca="false">IF(px/D90&lt;=MIN($B$132:$K$132),0,IF(px/D90&gt;=MAX($B$132:$K$132),1,PERCENTRANK($B$132:$K$132,px/D90)))</f>
        <v>0.593</v>
      </c>
      <c r="E128" s="4" t="s">
        <v>667</v>
      </c>
    </row>
    <row r="129" customFormat="false" ht="17.15" hidden="false" customHeight="false" outlineLevel="0" collapsed="false">
      <c r="A129" s="4" t="s">
        <v>668</v>
      </c>
      <c r="B129" s="0" t="s">
        <v>669</v>
      </c>
    </row>
    <row r="131" customFormat="false" ht="17.15" hidden="false" customHeight="false" outlineLevel="0" collapsed="false">
      <c r="A131" s="1" t="s">
        <v>670</v>
      </c>
      <c r="B131" s="8" t="s">
        <v>567</v>
      </c>
      <c r="C131" s="8" t="s">
        <v>569</v>
      </c>
      <c r="D131" s="8" t="s">
        <v>570</v>
      </c>
      <c r="E131" s="8" t="s">
        <v>571</v>
      </c>
      <c r="F131" s="8" t="s">
        <v>572</v>
      </c>
      <c r="G131" s="8" t="s">
        <v>573</v>
      </c>
      <c r="H131" s="8" t="s">
        <v>574</v>
      </c>
      <c r="I131" s="8" t="s">
        <v>575</v>
      </c>
      <c r="J131" s="8" t="s">
        <v>576</v>
      </c>
      <c r="K131" s="8" t="s">
        <v>577</v>
      </c>
    </row>
    <row r="132" customFormat="false" ht="17.15" hidden="false" customHeight="false" outlineLevel="0" collapsed="false">
      <c r="A132" s="4" t="s">
        <v>671</v>
      </c>
      <c r="B132" s="37" t="n">
        <f aca="false">(6.85+84.2/8.6)/2</f>
        <v>8.3203488372093</v>
      </c>
      <c r="C132" s="37" t="n">
        <f aca="false">(10.8+95.2/8.01)/2</f>
        <v>11.3425717852684</v>
      </c>
      <c r="D132" s="37" t="n">
        <f aca="false">(6.5+70.8/8.03)/2</f>
        <v>7.65846824408468</v>
      </c>
      <c r="E132" s="37" t="n">
        <f aca="false">(8.55+90.8/8.32)/2</f>
        <v>9.73173076923077</v>
      </c>
      <c r="F132" s="37" t="n">
        <f aca="false">(10.3+92/7.34)/2</f>
        <v>11.417029972752</v>
      </c>
      <c r="G132" s="37" t="n">
        <f aca="false">(8.83+104/10.05)/2</f>
        <v>9.58912935323383</v>
      </c>
      <c r="H132" s="37" t="n">
        <f aca="false">(8.78+99.9/10.21)/2</f>
        <v>9.2822624877571</v>
      </c>
      <c r="I132" s="37" t="n">
        <f aca="false">(9.59+104.5/10.25)/2</f>
        <v>9.89256097560976</v>
      </c>
      <c r="J132" s="37" t="n">
        <f aca="false">(16.2+184/11.01)/2</f>
        <v>16.4560399636694</v>
      </c>
      <c r="K132" s="37" t="n">
        <f aca="false">(16.8+230.5/13.61)/2</f>
        <v>16.8680382072006</v>
      </c>
    </row>
    <row r="134" customFormat="false" ht="17.15" hidden="false" customHeight="false" outlineLevel="0" collapsed="false">
      <c r="A134" s="6" t="s">
        <v>672</v>
      </c>
    </row>
    <row r="135" customFormat="false" ht="17.15" hidden="false" customHeight="false" outlineLevel="0" collapsed="false">
      <c r="A135" s="4" t="s">
        <v>673</v>
      </c>
      <c r="B135" s="0" t="str">
        <f aca="false">IF(B123&gt;0.5,"大於 50%",IF(B123&gt;0.25,"25%–50%",IF(B123&gt;=0,"0%–25%",IF(B123&gt;=-0.25,"0%～−25%",IF(B123&gt;=-0.5,"−25%～−50%","小於 −50%")))))</f>
        <v>25%–50%</v>
      </c>
      <c r="E135" s="4" t="s">
        <v>674</v>
      </c>
    </row>
    <row r="136" customFormat="false" ht="17.15" hidden="false" customHeight="false" outlineLevel="0" collapsed="false">
      <c r="A136" s="4" t="s">
        <v>675</v>
      </c>
      <c r="B136" s="0" t="str">
        <f aca="false">IF(B123&gt;0.5,"強力買進",IF(B123&gt;0.25,"買進",IF(B123&gt;=-0.25,"中立",IF(B123&gt;=-0.5,"放空","強力放空"))))</f>
        <v>買進</v>
      </c>
      <c r="E136" s="4" t="s">
        <v>676</v>
      </c>
    </row>
    <row r="139" customFormat="false" ht="17.15" hidden="false" customHeight="false" outlineLevel="0" collapsed="false">
      <c r="A139" s="6" t="s">
        <v>677</v>
      </c>
    </row>
    <row r="140" customFormat="false" ht="17.15" hidden="false" customHeight="false" outlineLevel="0" collapsed="false">
      <c r="A140" s="4" t="s">
        <v>678</v>
      </c>
    </row>
    <row r="141" customFormat="false" ht="17.15" hidden="false" customHeight="false" outlineLevel="0" collapsed="false">
      <c r="A141" s="5" t="s">
        <v>679</v>
      </c>
      <c r="B141" s="5" t="s">
        <v>625</v>
      </c>
      <c r="C141" s="5" t="s">
        <v>680</v>
      </c>
      <c r="D141" s="11" t="s">
        <v>681</v>
      </c>
      <c r="E141" s="11" t="s">
        <v>682</v>
      </c>
      <c r="F141" s="11" t="s">
        <v>683</v>
      </c>
      <c r="G141" s="11" t="s">
        <v>684</v>
      </c>
      <c r="H141" s="11" t="s">
        <v>685</v>
      </c>
      <c r="I141" s="11" t="s">
        <v>686</v>
      </c>
      <c r="J141" s="11" t="s">
        <v>687</v>
      </c>
      <c r="K141" s="11" t="s">
        <v>688</v>
      </c>
      <c r="L141" s="11" t="s">
        <v>689</v>
      </c>
      <c r="M141" s="11" t="s">
        <v>690</v>
      </c>
      <c r="N141" s="5" t="s">
        <v>691</v>
      </c>
      <c r="O141" s="11" t="s">
        <v>692</v>
      </c>
      <c r="P141" s="5" t="s">
        <v>693</v>
      </c>
      <c r="Q141" s="5" t="s">
        <v>628</v>
      </c>
    </row>
    <row r="142" customFormat="false" ht="17.15" hidden="false" customHeight="false" outlineLevel="0" collapsed="false">
      <c r="A142" s="4" t="s">
        <v>694</v>
      </c>
      <c r="B142" s="0" t="s">
        <v>695</v>
      </c>
      <c r="C142" s="4" t="s">
        <v>696</v>
      </c>
      <c r="D142" s="17" t="n">
        <v>10.848</v>
      </c>
      <c r="E142" s="17" t="n">
        <v>9.9185</v>
      </c>
      <c r="F142" s="17" t="n">
        <v>9.3295</v>
      </c>
      <c r="G142" s="17" t="n">
        <v>9.257</v>
      </c>
      <c r="H142" s="17" t="n">
        <v>10.6005</v>
      </c>
      <c r="I142" s="17" t="n">
        <v>9.4585</v>
      </c>
      <c r="J142" s="17" t="n">
        <v>9.4125</v>
      </c>
      <c r="K142" s="17" t="n">
        <v>13.1225</v>
      </c>
      <c r="L142" s="17" t="n">
        <v>12.1295</v>
      </c>
      <c r="M142" s="17" t="n">
        <v>12.3225</v>
      </c>
      <c r="N142" s="8" t="n">
        <f aca="false">COUNT(D142:M142)</f>
        <v>10</v>
      </c>
      <c r="O142" s="16" t="n">
        <f aca="false">IF(N142&gt;0,MEDIAN(D142:M142),"")</f>
        <v>10.2595</v>
      </c>
      <c r="P142" s="16" t="n">
        <f aca="false">IF(N142&gt;=7,O142,"")</f>
        <v>10.2595</v>
      </c>
      <c r="Q142" s="8" t="s">
        <v>697</v>
      </c>
    </row>
    <row r="143" customFormat="false" ht="17.15" hidden="false" customHeight="false" outlineLevel="0" collapsed="false">
      <c r="A143" s="4" t="s">
        <v>629</v>
      </c>
      <c r="B143" s="0" t="s">
        <v>630</v>
      </c>
      <c r="C143" s="4" t="s">
        <v>698</v>
      </c>
      <c r="D143" s="17" t="n">
        <v>12.7245</v>
      </c>
      <c r="E143" s="17" t="n">
        <v>11.81</v>
      </c>
      <c r="F143" s="17" t="n">
        <v>13.5865</v>
      </c>
      <c r="G143" s="17" t="n">
        <v>13.292</v>
      </c>
      <c r="H143" s="17" t="n">
        <v>11.727</v>
      </c>
      <c r="I143" s="17" t="n">
        <v>10.8985</v>
      </c>
      <c r="J143" s="17" t="n">
        <v>13.589</v>
      </c>
      <c r="K143" s="17" t="n">
        <v>17.484</v>
      </c>
      <c r="L143" s="17" t="n">
        <v>13.758</v>
      </c>
      <c r="M143" s="17" t="n">
        <v>12.6305</v>
      </c>
      <c r="N143" s="8" t="n">
        <f aca="false">COUNT(D143:M143)</f>
        <v>10</v>
      </c>
      <c r="O143" s="16" t="n">
        <f aca="false">IF(N143&gt;0,MEDIAN(D143:M143),"")</f>
        <v>13.00825</v>
      </c>
      <c r="P143" s="16" t="n">
        <f aca="false">IF(N143&gt;=7,O143,"")</f>
        <v>13.00825</v>
      </c>
      <c r="Q143" s="8" t="s">
        <v>699</v>
      </c>
    </row>
    <row r="144" customFormat="false" ht="17.15" hidden="false" customHeight="false" outlineLevel="0" collapsed="false">
      <c r="A144" s="4" t="s">
        <v>634</v>
      </c>
      <c r="B144" s="0" t="s">
        <v>635</v>
      </c>
      <c r="C144" s="4" t="s">
        <v>698</v>
      </c>
      <c r="D144" s="17" t="n">
        <v>12.7785</v>
      </c>
      <c r="E144" s="17" t="n">
        <v>10.006</v>
      </c>
      <c r="F144" s="17" t="n">
        <v>11.2365</v>
      </c>
      <c r="G144" s="17" t="n">
        <v>11.9755</v>
      </c>
      <c r="H144" s="17" t="n">
        <v>9.5475</v>
      </c>
      <c r="I144" s="17" t="n">
        <v>8.593</v>
      </c>
      <c r="J144" s="17" t="n">
        <v>13.692</v>
      </c>
      <c r="K144" s="17" t="n">
        <v>15.2985</v>
      </c>
      <c r="L144" s="17" t="n">
        <v>12.5875</v>
      </c>
      <c r="M144" s="17" t="n">
        <v>9.8065</v>
      </c>
      <c r="N144" s="8" t="n">
        <f aca="false">COUNT(D144:M144)</f>
        <v>10</v>
      </c>
      <c r="O144" s="16" t="n">
        <f aca="false">IF(N144&gt;0,MEDIAN(D144:M144),"")</f>
        <v>11.606</v>
      </c>
      <c r="P144" s="16" t="n">
        <f aca="false">IF(N144&gt;=7,O144,"")</f>
        <v>11.606</v>
      </c>
      <c r="Q144" s="8" t="s">
        <v>700</v>
      </c>
    </row>
    <row r="145" customFormat="false" ht="17.15" hidden="false" customHeight="false" outlineLevel="0" collapsed="false">
      <c r="A145" s="4" t="s">
        <v>637</v>
      </c>
      <c r="B145" s="0" t="s">
        <v>638</v>
      </c>
      <c r="C145" s="4" t="s">
        <v>698</v>
      </c>
      <c r="D145" s="17" t="n">
        <v>9.302</v>
      </c>
      <c r="E145" s="17" t="n">
        <v>9.0565</v>
      </c>
      <c r="F145" s="17" t="n">
        <v>11.1375</v>
      </c>
      <c r="G145" s="17" t="n">
        <v>10.7015</v>
      </c>
      <c r="H145" s="17" t="n">
        <v>9.878</v>
      </c>
      <c r="I145" s="17" t="n">
        <v>10.213</v>
      </c>
      <c r="J145" s="17" t="n">
        <v>10.962</v>
      </c>
      <c r="K145" s="17" t="n">
        <v>13.801</v>
      </c>
      <c r="L145" s="17" t="n">
        <v>12.288</v>
      </c>
      <c r="M145" s="17" t="n">
        <v>13.158</v>
      </c>
      <c r="N145" s="8" t="n">
        <f aca="false">COUNT(D145:M145)</f>
        <v>10</v>
      </c>
      <c r="O145" s="16" t="n">
        <f aca="false">IF(N145&gt;0,MEDIAN(D145:M145),"")</f>
        <v>10.83175</v>
      </c>
      <c r="P145" s="16" t="n">
        <f aca="false">IF(N145&gt;=7,O145,"")</f>
        <v>10.83175</v>
      </c>
      <c r="Q145" s="8" t="s">
        <v>701</v>
      </c>
    </row>
    <row r="146" customFormat="false" ht="17.15" hidden="false" customHeight="false" outlineLevel="0" collapsed="false">
      <c r="A146" s="0" t="s">
        <v>640</v>
      </c>
      <c r="B146" s="0" t="s">
        <v>641</v>
      </c>
      <c r="C146" s="4" t="s">
        <v>698</v>
      </c>
      <c r="D146" s="17" t="n">
        <v>11.5985</v>
      </c>
      <c r="E146" s="17" t="n">
        <v>9.68</v>
      </c>
      <c r="F146" s="17" t="n">
        <v>8.736</v>
      </c>
      <c r="G146" s="17" t="n">
        <v>9.3285</v>
      </c>
      <c r="H146" s="17" t="n">
        <v>9.6105</v>
      </c>
      <c r="I146" s="17" t="n">
        <v>7.918</v>
      </c>
      <c r="J146" s="17" t="n">
        <v>10.0715</v>
      </c>
      <c r="K146" s="17" t="n">
        <v>12.7625</v>
      </c>
      <c r="L146" s="17" t="n">
        <v>17.214</v>
      </c>
      <c r="M146" s="17" t="n">
        <v>19.1985</v>
      </c>
      <c r="N146" s="8" t="n">
        <f aca="false">COUNT(D146:M146)</f>
        <v>10</v>
      </c>
      <c r="O146" s="16" t="n">
        <f aca="false">IF(N146&gt;0,MEDIAN(D146:M146),"")</f>
        <v>9.87575</v>
      </c>
      <c r="P146" s="16" t="n">
        <f aca="false">IF(N146&gt;=7,O146,"")</f>
        <v>9.87575</v>
      </c>
      <c r="Q146" s="8" t="s">
        <v>702</v>
      </c>
    </row>
    <row r="147" customFormat="false" ht="17.15" hidden="false" customHeight="false" outlineLevel="0" collapsed="false">
      <c r="A147" s="0" t="s">
        <v>643</v>
      </c>
      <c r="B147" s="0" t="s">
        <v>644</v>
      </c>
      <c r="C147" s="4" t="s">
        <v>698</v>
      </c>
      <c r="D147" s="17" t="n">
        <v>9.263</v>
      </c>
      <c r="E147" s="17" t="n">
        <v>7.8895</v>
      </c>
      <c r="F147" s="17" t="n">
        <v>5.7955</v>
      </c>
      <c r="G147" s="17" t="n">
        <v>6.5425</v>
      </c>
      <c r="H147" s="17" t="n">
        <v>7.915</v>
      </c>
      <c r="I147" s="17" t="n">
        <v>5.8745</v>
      </c>
      <c r="J147" s="17" t="n">
        <v>6.966</v>
      </c>
      <c r="K147" s="17" t="n">
        <v>11.761</v>
      </c>
      <c r="L147" s="17" t="n">
        <v>14.6165</v>
      </c>
      <c r="M147" s="17" t="n">
        <v>18.4415</v>
      </c>
      <c r="N147" s="8" t="n">
        <f aca="false">COUNT(D147:M147)</f>
        <v>10</v>
      </c>
      <c r="O147" s="16" t="n">
        <f aca="false">IF(N147&gt;0,MEDIAN(D147:M147),"")</f>
        <v>7.90225</v>
      </c>
      <c r="P147" s="16" t="n">
        <f aca="false">IF(N147&gt;=7,O147,"")</f>
        <v>7.90225</v>
      </c>
      <c r="Q147" s="8" t="s">
        <v>703</v>
      </c>
    </row>
    <row r="149" customFormat="false" ht="17.15" hidden="false" customHeight="false" outlineLevel="0" collapsed="false">
      <c r="A149" s="4" t="s">
        <v>704</v>
      </c>
      <c r="B149" s="16" t="n">
        <f aca="false">P142</f>
        <v>10.2595</v>
      </c>
      <c r="E149" s="4" t="s">
        <v>705</v>
      </c>
    </row>
    <row r="150" customFormat="false" ht="15" hidden="false" customHeight="false" outlineLevel="0" collapsed="false">
      <c r="A150" s="4" t="s">
        <v>706</v>
      </c>
      <c r="B150" s="39" t="n">
        <f aca="false">COUNT(P143:P147)</f>
        <v>5</v>
      </c>
    </row>
    <row r="151" customFormat="false" ht="17.15" hidden="false" customHeight="false" outlineLevel="0" collapsed="false">
      <c r="A151" s="4" t="s">
        <v>707</v>
      </c>
      <c r="B151" s="16" t="n">
        <f aca="false">IF(B150&gt;0,MEDIAN(P143:P147),"")</f>
        <v>10.83175</v>
      </c>
    </row>
    <row r="152" customFormat="false" ht="17.15" hidden="false" customHeight="false" outlineLevel="0" collapsed="false">
      <c r="A152" s="4" t="s">
        <v>708</v>
      </c>
      <c r="B152" s="16" t="n">
        <f aca="false">IF(AND(ISNUMBER(B149),B150&gt;=2),B149/B151,"")</f>
        <v>0.947169201652549</v>
      </c>
      <c r="E152" s="4" t="s">
        <v>709</v>
      </c>
    </row>
    <row r="153" customFormat="false" ht="17.15" hidden="false" customHeight="false" outlineLevel="0" collapsed="false">
      <c r="A153" s="4" t="s">
        <v>710</v>
      </c>
      <c r="B153" s="17" t="n">
        <v>0.5</v>
      </c>
      <c r="E153" s="8" t="s">
        <v>711</v>
      </c>
    </row>
    <row r="154" customFormat="false" ht="17.15" hidden="false" customHeight="false" outlineLevel="0" collapsed="false">
      <c r="A154" s="4" t="s">
        <v>712</v>
      </c>
      <c r="B154" s="17" t="n">
        <v>2</v>
      </c>
      <c r="E154" s="8" t="s">
        <v>713</v>
      </c>
    </row>
    <row r="155" customFormat="false" ht="17.15" hidden="false" customHeight="false" outlineLevel="0" collapsed="false">
      <c r="A155" s="1" t="s">
        <v>714</v>
      </c>
      <c r="B155" s="29" t="n">
        <f aca="false">IF(ISNUMBER(B152),MIN(MAX(B152,B153),B154),1)</f>
        <v>0.947169201652549</v>
      </c>
      <c r="E155" s="4" t="s">
        <v>715</v>
      </c>
    </row>
    <row r="156" customFormat="false" ht="17.15" hidden="false" customHeight="false" outlineLevel="0" collapsed="false">
      <c r="A156" s="6" t="s">
        <v>716</v>
      </c>
      <c r="B156" s="31" t="n">
        <f aca="false">Val!$B$116*B155</f>
        <v>387.89252670745</v>
      </c>
      <c r="E156" s="4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718</v>
      </c>
    </row>
    <row r="3" customFormat="false" ht="17.15" hidden="false" customHeight="false" outlineLevel="0" collapsed="false">
      <c r="A3" s="5" t="s">
        <v>21</v>
      </c>
      <c r="B3" s="5" t="s">
        <v>719</v>
      </c>
      <c r="C3" s="5" t="s">
        <v>720</v>
      </c>
      <c r="D3" s="5" t="s">
        <v>721</v>
      </c>
      <c r="E3" s="5" t="s">
        <v>722</v>
      </c>
      <c r="F3" s="5" t="s">
        <v>723</v>
      </c>
      <c r="G3" s="5" t="s">
        <v>724</v>
      </c>
      <c r="H3" s="5" t="s">
        <v>725</v>
      </c>
      <c r="I3" s="5" t="s">
        <v>726</v>
      </c>
      <c r="J3" s="5" t="s">
        <v>400</v>
      </c>
    </row>
    <row r="4" customFormat="false" ht="17.15" hidden="false" customHeight="false" outlineLevel="0" collapsed="false">
      <c r="A4" s="6" t="s">
        <v>727</v>
      </c>
    </row>
    <row r="5" customFormat="false" ht="17.15" hidden="false" customHeight="false" outlineLevel="0" collapsed="false">
      <c r="A5" s="0" t="s">
        <v>728</v>
      </c>
      <c r="B5" s="19" t="n">
        <f aca="false">b_rev26</f>
        <v>11010.682</v>
      </c>
      <c r="C5" s="19" t="n">
        <f aca="false">PL!D96</f>
        <v>11150.735</v>
      </c>
      <c r="D5" s="15" t="n">
        <f aca="false">C5/B5-1</f>
        <v>0.0127197388862923</v>
      </c>
      <c r="E5" s="19" t="n">
        <f aca="false">PL!D142</f>
        <v>11150.735</v>
      </c>
      <c r="F5" s="15" t="n">
        <f aca="false">E5/B5-1</f>
        <v>0.0127197388862923</v>
      </c>
      <c r="G5" s="19" t="n">
        <f aca="false">PL!D188</f>
        <v>11150.735</v>
      </c>
      <c r="H5" s="15" t="n">
        <f aca="false">G5/B5-1</f>
        <v>0.0127197388862923</v>
      </c>
      <c r="I5" s="4" t="s">
        <v>729</v>
      </c>
      <c r="J5" s="8" t="s">
        <v>730</v>
      </c>
    </row>
    <row r="6" customFormat="false" ht="17.15" hidden="false" customHeight="false" outlineLevel="0" collapsed="false">
      <c r="A6" s="0" t="s">
        <v>731</v>
      </c>
      <c r="B6" s="22" t="n">
        <f aca="false">b_eps26</f>
        <v>18.67</v>
      </c>
      <c r="C6" s="22" t="n">
        <f aca="false">PL!D117</f>
        <v>19.6374251756163</v>
      </c>
      <c r="D6" s="15" t="n">
        <f aca="false">C6/B6-1</f>
        <v>0.0518170956409363</v>
      </c>
      <c r="E6" s="22" t="n">
        <f aca="false">PL!D163</f>
        <v>19.6374251756163</v>
      </c>
      <c r="F6" s="15" t="n">
        <f aca="false">E6/B6-1</f>
        <v>0.0518170956409363</v>
      </c>
      <c r="G6" s="22" t="n">
        <f aca="false">PL!D209</f>
        <v>19.6374251756163</v>
      </c>
      <c r="H6" s="15" t="n">
        <f aca="false">G6/B6-1</f>
        <v>0.0518170956409363</v>
      </c>
      <c r="I6" s="4" t="s">
        <v>729</v>
      </c>
      <c r="J6" s="4" t="s">
        <v>732</v>
      </c>
    </row>
    <row r="7" customFormat="false" ht="17.15" hidden="false" customHeight="false" outlineLevel="0" collapsed="false">
      <c r="A7" s="0" t="s">
        <v>733</v>
      </c>
      <c r="B7" s="19" t="n">
        <f aca="false">b_rev27</f>
        <v>14019.401</v>
      </c>
      <c r="C7" s="19" t="n">
        <f aca="false">PL!E96</f>
        <v>13734.8481819054</v>
      </c>
      <c r="D7" s="15" t="n">
        <f aca="false">C7/B7-1</f>
        <v>-0.0202970738974242</v>
      </c>
      <c r="E7" s="19" t="n">
        <f aca="false">PL!E142</f>
        <v>13734.8481819054</v>
      </c>
      <c r="F7" s="15" t="n">
        <f aca="false">E7/B7-1</f>
        <v>-0.0202970738974242</v>
      </c>
      <c r="G7" s="19" t="n">
        <f aca="false">PL!E188</f>
        <v>13734.8481819054</v>
      </c>
      <c r="H7" s="15" t="n">
        <f aca="false">G7/B7-1</f>
        <v>-0.0202970738974242</v>
      </c>
      <c r="I7" s="4" t="s">
        <v>729</v>
      </c>
      <c r="J7" s="4" t="s">
        <v>734</v>
      </c>
    </row>
    <row r="8" customFormat="false" ht="17.15" hidden="false" customHeight="false" outlineLevel="0" collapsed="false">
      <c r="A8" s="0" t="s">
        <v>735</v>
      </c>
      <c r="B8" s="22" t="n">
        <f aca="false">b_eps27a</f>
        <v>22.64</v>
      </c>
      <c r="C8" s="22" t="n">
        <f aca="false">PL!E117</f>
        <v>26.7146909850819</v>
      </c>
      <c r="D8" s="15" t="n">
        <f aca="false">C8/B8-1</f>
        <v>0.179977517008919</v>
      </c>
      <c r="E8" s="22" t="n">
        <f aca="false">PL!E163</f>
        <v>26.7146909850819</v>
      </c>
      <c r="F8" s="15" t="n">
        <f aca="false">E8/B8-1</f>
        <v>0.179977517008919</v>
      </c>
      <c r="G8" s="22" t="n">
        <f aca="false">PL!E209</f>
        <v>26.7146909850819</v>
      </c>
      <c r="H8" s="15" t="n">
        <f aca="false">G8/B8-1</f>
        <v>0.179977517008919</v>
      </c>
      <c r="I8" s="4" t="s">
        <v>729</v>
      </c>
    </row>
    <row r="9" customFormat="false" ht="17.15" hidden="false" customHeight="false" outlineLevel="0" collapsed="false">
      <c r="A9" s="0" t="s">
        <v>736</v>
      </c>
      <c r="B9" s="22" t="n">
        <f aca="false">b_eps27b</f>
        <v>22</v>
      </c>
      <c r="C9" s="22" t="n">
        <f aca="false">PL!E117</f>
        <v>26.7146909850819</v>
      </c>
      <c r="D9" s="15" t="n">
        <f aca="false">C9/B9-1</f>
        <v>0.214304135685542</v>
      </c>
      <c r="E9" s="22" t="n">
        <f aca="false">PL!E163</f>
        <v>26.7146909850819</v>
      </c>
      <c r="F9" s="15" t="n">
        <f aca="false">E9/B9-1</f>
        <v>0.214304135685542</v>
      </c>
      <c r="G9" s="22" t="n">
        <f aca="false">PL!E209</f>
        <v>26.7146909850819</v>
      </c>
      <c r="H9" s="15" t="n">
        <f aca="false">G9/B9-1</f>
        <v>0.214304135685542</v>
      </c>
      <c r="I9" s="4" t="s">
        <v>737</v>
      </c>
    </row>
    <row r="10" customFormat="false" ht="17.15" hidden="false" customHeight="false" outlineLevel="0" collapsed="false">
      <c r="A10" s="0" t="s">
        <v>738</v>
      </c>
      <c r="B10" s="22" t="n">
        <f aca="false">b_eps27c</f>
        <v>25</v>
      </c>
      <c r="C10" s="22" t="n">
        <f aca="false">PL!E117</f>
        <v>26.7146909850819</v>
      </c>
      <c r="D10" s="15" t="n">
        <f aca="false">C10/B10-1</f>
        <v>0.068587639403277</v>
      </c>
      <c r="E10" s="22" t="n">
        <f aca="false">PL!E163</f>
        <v>26.7146909850819</v>
      </c>
      <c r="F10" s="15" t="n">
        <f aca="false">E10/B10-1</f>
        <v>0.068587639403277</v>
      </c>
      <c r="G10" s="22" t="n">
        <f aca="false">PL!E209</f>
        <v>26.7146909850819</v>
      </c>
      <c r="H10" s="15" t="n">
        <f aca="false">G10/B10-1</f>
        <v>0.068587639403277</v>
      </c>
      <c r="I10" s="4" t="s">
        <v>739</v>
      </c>
      <c r="J10" s="4" t="s">
        <v>740</v>
      </c>
    </row>
    <row r="11" customFormat="false" ht="17.15" hidden="false" customHeight="false" outlineLevel="0" collapsed="false">
      <c r="A11" s="0" t="s">
        <v>741</v>
      </c>
      <c r="B11" s="22" t="n">
        <f aca="false">b_eps28</f>
        <v>28</v>
      </c>
      <c r="C11" s="22" t="n">
        <f aca="false">PL!F117</f>
        <v>31.4174043590585</v>
      </c>
      <c r="D11" s="15" t="n">
        <f aca="false">C11/B11-1</f>
        <v>0.122050155680661</v>
      </c>
      <c r="E11" s="22" t="n">
        <f aca="false">PL!F163</f>
        <v>27.705697658271</v>
      </c>
      <c r="F11" s="15" t="n">
        <f aca="false">E11/B11-1</f>
        <v>-0.0105107979188922</v>
      </c>
      <c r="G11" s="22" t="n">
        <f aca="false">PL!F209</f>
        <v>23.5957303984814</v>
      </c>
      <c r="H11" s="15" t="n">
        <f aca="false">G11/B11-1</f>
        <v>-0.157295342911378</v>
      </c>
      <c r="I11" s="4" t="s">
        <v>739</v>
      </c>
      <c r="J11" s="4" t="s">
        <v>277</v>
      </c>
    </row>
    <row r="12" customFormat="false" ht="17.15" hidden="false" customHeight="false" outlineLevel="0" collapsed="false">
      <c r="A12" s="0" t="s">
        <v>742</v>
      </c>
      <c r="B12" s="14" t="n">
        <f aca="false">b_gm27</f>
        <v>0.057</v>
      </c>
      <c r="C12" s="14" t="n">
        <f aca="false">PL!E108</f>
        <v>0.0615816410202386</v>
      </c>
      <c r="D12" s="15" t="n">
        <f aca="false">C12-B12</f>
        <v>0.00458164102023862</v>
      </c>
      <c r="E12" s="14" t="n">
        <f aca="false">PL!E154</f>
        <v>0.0615816410202386</v>
      </c>
      <c r="F12" s="15" t="n">
        <f aca="false">E12-B12</f>
        <v>0.00458164102023862</v>
      </c>
      <c r="G12" s="14" t="n">
        <f aca="false">PL!E200</f>
        <v>0.0615816410202386</v>
      </c>
      <c r="H12" s="15" t="n">
        <f aca="false">G12-B12</f>
        <v>0.00458164102023862</v>
      </c>
      <c r="I12" s="4" t="s">
        <v>729</v>
      </c>
    </row>
    <row r="13" customFormat="false" ht="17.15" hidden="false" customHeight="false" outlineLevel="0" collapsed="false">
      <c r="A13" s="6" t="s">
        <v>743</v>
      </c>
    </row>
    <row r="14" customFormat="false" ht="17.15" hidden="false" customHeight="false" outlineLevel="0" collapsed="false">
      <c r="A14" s="0" t="s">
        <v>744</v>
      </c>
      <c r="B14" s="15" t="n">
        <f aca="false">rk_sh</f>
        <v>0.347826086956522</v>
      </c>
      <c r="C14" s="15" t="n">
        <f aca="false">PL!D84</f>
        <v>0.174610057569922</v>
      </c>
      <c r="D14" s="15" t="n">
        <f aca="false">C14-B14</f>
        <v>-0.1732160293866</v>
      </c>
      <c r="E14" s="15" t="n">
        <f aca="false">PL!D130</f>
        <v>0.174610057569922</v>
      </c>
      <c r="F14" s="15" t="n">
        <f aca="false">E14-B14</f>
        <v>-0.1732160293866</v>
      </c>
      <c r="G14" s="15" t="n">
        <f aca="false">PL!D176</f>
        <v>0.174610057569922</v>
      </c>
      <c r="H14" s="15" t="n">
        <f aca="false">G14-B14</f>
        <v>-0.1732160293866</v>
      </c>
      <c r="I14" s="4" t="s">
        <v>745</v>
      </c>
      <c r="J14" s="4" t="s">
        <v>746</v>
      </c>
    </row>
    <row r="15" customFormat="false" ht="17.15" hidden="false" customHeight="false" outlineLevel="0" collapsed="false">
      <c r="A15" s="0" t="s">
        <v>747</v>
      </c>
      <c r="B15" s="15" t="n">
        <f aca="false">rk_sh2</f>
        <v>0.44</v>
      </c>
      <c r="C15" s="15" t="n">
        <f aca="false">PL!D84</f>
        <v>0.174610057569922</v>
      </c>
      <c r="D15" s="15" t="n">
        <f aca="false">C15-B15</f>
        <v>-0.265389942430078</v>
      </c>
      <c r="E15" s="15" t="n">
        <f aca="false">PL!D130</f>
        <v>0.174610057569922</v>
      </c>
      <c r="F15" s="15" t="n">
        <f aca="false">E15-B15</f>
        <v>-0.265389942430078</v>
      </c>
      <c r="G15" s="15" t="n">
        <f aca="false">PL!D176</f>
        <v>0.174610057569922</v>
      </c>
      <c r="H15" s="15" t="n">
        <f aca="false">G15-B15</f>
        <v>-0.265389942430078</v>
      </c>
      <c r="I15" s="8" t="s">
        <v>748</v>
      </c>
      <c r="J15" s="4" t="s">
        <v>38</v>
      </c>
    </row>
    <row r="16" customFormat="false" ht="17.15" hidden="false" customHeight="false" outlineLevel="0" collapsed="false">
      <c r="A16" s="0" t="s">
        <v>749</v>
      </c>
      <c r="C16" s="19" t="n">
        <f aca="false">PL!D103</f>
        <v>24.0630682003257</v>
      </c>
      <c r="E16" s="19" t="n">
        <f aca="false">PL!D149</f>
        <v>24.0630682003257</v>
      </c>
      <c r="G16" s="19" t="n">
        <f aca="false">PL!D195</f>
        <v>24.0630682003257</v>
      </c>
      <c r="I16" s="8" t="s">
        <v>117</v>
      </c>
      <c r="J16" s="4" t="s">
        <v>750</v>
      </c>
    </row>
    <row r="17" customFormat="false" ht="17.15" hidden="false" customHeight="false" outlineLevel="0" collapsed="false">
      <c r="A17" s="0" t="s">
        <v>751</v>
      </c>
      <c r="C17" s="16" t="n">
        <f aca="false">PL!D102</f>
        <v>4.7355819103481</v>
      </c>
      <c r="E17" s="16" t="n">
        <f aca="false">PL!D148</f>
        <v>4.7355819103481</v>
      </c>
      <c r="G17" s="16" t="n">
        <f aca="false">PL!D194</f>
        <v>4.7355819103481</v>
      </c>
      <c r="I17" s="8" t="s">
        <v>117</v>
      </c>
    </row>
    <row r="18" customFormat="false" ht="17.15" hidden="false" customHeight="false" outlineLevel="0" collapsed="false">
      <c r="A18" s="0" t="s">
        <v>752</v>
      </c>
      <c r="C18" s="16" t="n">
        <f aca="false">Units!C10/(Units!C14*Units!C6)</f>
        <v>1.30407103943907</v>
      </c>
      <c r="E18" s="16" t="n">
        <f aca="false">Units!C10/(Units!C14*Units!C6)</f>
        <v>1.30407103943907</v>
      </c>
      <c r="G18" s="16" t="n">
        <f aca="false">Units!C10/(Units!C14*Units!C6)</f>
        <v>1.30407103943907</v>
      </c>
      <c r="I18" s="4" t="s">
        <v>753</v>
      </c>
      <c r="J18" s="4" t="s">
        <v>754</v>
      </c>
    </row>
    <row r="19" customFormat="false" ht="17.15" hidden="false" customHeight="false" outlineLevel="0" collapsed="false">
      <c r="A19" s="6" t="s">
        <v>755</v>
      </c>
    </row>
    <row r="20" customFormat="false" ht="17.15" hidden="false" customHeight="false" outlineLevel="0" collapsed="false">
      <c r="A20" s="4" t="s">
        <v>756</v>
      </c>
      <c r="C20" s="14" t="n">
        <f aca="false">PL!D105</f>
        <v>0.0621989258510762</v>
      </c>
      <c r="E20" s="14" t="n">
        <f aca="false">PL!D151</f>
        <v>0.0621989258510762</v>
      </c>
      <c r="G20" s="14" t="n">
        <f aca="false">PL!D197</f>
        <v>0.0621989258510762</v>
      </c>
      <c r="I20" s="8" t="s">
        <v>757</v>
      </c>
      <c r="J20" s="8" t="s">
        <v>758</v>
      </c>
    </row>
    <row r="21" customFormat="false" ht="17.15" hidden="false" customHeight="false" outlineLevel="0" collapsed="false">
      <c r="A21" s="0" t="s">
        <v>759</v>
      </c>
      <c r="B21" s="14" t="n">
        <f aca="false">a26_gp/a26_rev</f>
        <v>0.0606089258510762</v>
      </c>
      <c r="C21" s="14" t="n">
        <f aca="false">PL!E108</f>
        <v>0.0615816410202386</v>
      </c>
      <c r="D21" s="15" t="n">
        <f aca="false">C21-B21</f>
        <v>0.000972715169162433</v>
      </c>
      <c r="E21" s="14" t="n">
        <f aca="false">PL!E154</f>
        <v>0.0615816410202386</v>
      </c>
      <c r="F21" s="15" t="n">
        <f aca="false">E21-B21</f>
        <v>0.000972715169162433</v>
      </c>
      <c r="G21" s="14" t="n">
        <f aca="false">PL!E200</f>
        <v>0.0615816410202386</v>
      </c>
      <c r="H21" s="15" t="n">
        <f aca="false">G21-B21</f>
        <v>0.000972715169162433</v>
      </c>
      <c r="I21" s="4" t="s">
        <v>760</v>
      </c>
    </row>
    <row r="22" customFormat="false" ht="17.15" hidden="false" customHeight="false" outlineLevel="0" collapsed="false">
      <c r="A22" s="0" t="s">
        <v>761</v>
      </c>
      <c r="C22" s="15" t="n">
        <f aca="false">PL!D100</f>
        <v>0.318</v>
      </c>
      <c r="E22" s="15" t="n">
        <f aca="false">PL!D146</f>
        <v>0.318</v>
      </c>
      <c r="G22" s="15" t="n">
        <f aca="false">PL!D192</f>
        <v>0.318</v>
      </c>
      <c r="I22" s="8" t="s">
        <v>117</v>
      </c>
    </row>
    <row r="23" customFormat="false" ht="17.15" hidden="false" customHeight="false" outlineLevel="0" collapsed="false">
      <c r="A23" s="0" t="s">
        <v>762</v>
      </c>
      <c r="C23" s="16" t="n">
        <f aca="false">Q!E13</f>
        <v>6.31025067532964</v>
      </c>
      <c r="E23" s="16" t="n">
        <f aca="false">Q!E13</f>
        <v>6.31025067532964</v>
      </c>
      <c r="G23" s="16" t="n">
        <f aca="false">Q!E13</f>
        <v>6.31025067532964</v>
      </c>
      <c r="I23" s="8" t="s">
        <v>117</v>
      </c>
      <c r="J23" s="4" t="s">
        <v>763</v>
      </c>
    </row>
    <row r="24" customFormat="false" ht="17.15" hidden="false" customHeight="false" outlineLevel="0" collapsed="false">
      <c r="A24" s="6" t="s">
        <v>764</v>
      </c>
    </row>
    <row r="25" customFormat="false" ht="17.15" hidden="false" customHeight="false" outlineLevel="0" collapsed="false">
      <c r="A25" s="0" t="s">
        <v>765</v>
      </c>
      <c r="J25" s="4" t="s">
        <v>766</v>
      </c>
    </row>
    <row r="27" customFormat="false" ht="17.15" hidden="false" customHeight="false" outlineLevel="0" collapsed="false">
      <c r="A27" s="6" t="s">
        <v>767</v>
      </c>
    </row>
    <row r="28" customFormat="false" ht="17.15" hidden="false" customHeight="false" outlineLevel="0" collapsed="false">
      <c r="A28" s="0" t="s">
        <v>768</v>
      </c>
      <c r="B28" s="16" t="n">
        <f aca="false">cons_feps</f>
        <v>21.0642040457344</v>
      </c>
      <c r="C28" s="16" t="n">
        <f aca="false">Val!B115</f>
        <v>27.7834620113048</v>
      </c>
      <c r="D28" s="15" t="n">
        <f aca="false">C28/B28-1</f>
        <v>0.318989407384281</v>
      </c>
      <c r="I28" s="8" t="s">
        <v>343</v>
      </c>
      <c r="J28" s="4" t="s">
        <v>769</v>
      </c>
    </row>
    <row r="29" customFormat="false" ht="17.15" hidden="false" customHeight="false" outlineLevel="0" collapsed="false">
      <c r="A29" s="4" t="s">
        <v>770</v>
      </c>
      <c r="B29" s="16" t="n">
        <f aca="false">cons_tp</f>
        <v>347.45</v>
      </c>
      <c r="C29" s="16" t="n">
        <f aca="false">Val!B120</f>
        <v>339.099436397115</v>
      </c>
      <c r="D29" s="15" t="n">
        <f aca="false">C29/B29-1</f>
        <v>-0.0240338569661378</v>
      </c>
      <c r="I29" s="8" t="s">
        <v>339</v>
      </c>
      <c r="J29" s="4" t="s">
        <v>769</v>
      </c>
    </row>
    <row r="30" customFormat="false" ht="17.15" hidden="false" customHeight="false" outlineLevel="0" collapsed="false">
      <c r="A30" s="0" t="s">
        <v>771</v>
      </c>
      <c r="B30" s="16" t="n">
        <f aca="false">cons_tp</f>
        <v>347.45</v>
      </c>
      <c r="C30" s="16" t="n">
        <f aca="false">Val!B116</f>
        <v>409.528230046632</v>
      </c>
      <c r="D30" s="15" t="n">
        <f aca="false">C30/B30-1</f>
        <v>0.178668096263153</v>
      </c>
      <c r="I30" s="4" t="s">
        <v>38</v>
      </c>
      <c r="J30" s="4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5" t="s">
        <v>773</v>
      </c>
      <c r="B3" s="5" t="s">
        <v>774</v>
      </c>
      <c r="C3" s="11" t="s">
        <v>775</v>
      </c>
      <c r="D3" s="11" t="s">
        <v>776</v>
      </c>
      <c r="E3" s="11" t="s">
        <v>777</v>
      </c>
      <c r="F3" s="11" t="s">
        <v>532</v>
      </c>
      <c r="G3" s="11" t="s">
        <v>778</v>
      </c>
      <c r="H3" s="11" t="s">
        <v>779</v>
      </c>
      <c r="I3" s="11" t="s">
        <v>780</v>
      </c>
      <c r="J3" s="11" t="s">
        <v>781</v>
      </c>
      <c r="K3" s="11" t="s">
        <v>782</v>
      </c>
      <c r="L3" s="11" t="s">
        <v>783</v>
      </c>
    </row>
    <row r="4" customFormat="false" ht="17.15" hidden="false" customHeight="false" outlineLevel="0" collapsed="false">
      <c r="A4" s="4" t="s">
        <v>784</v>
      </c>
      <c r="B4" s="0" t="s">
        <v>785</v>
      </c>
      <c r="C4" s="19" t="n">
        <f aca="false">PL!E96</f>
        <v>13734.8481819054</v>
      </c>
      <c r="D4" s="19" t="n">
        <f aca="false">PL!E89</f>
        <v>5728.17442250538</v>
      </c>
      <c r="E4" s="14" t="n">
        <f aca="false">PL!E108</f>
        <v>0.0615816410202386</v>
      </c>
      <c r="F4" s="16" t="n">
        <f aca="false">PL!E117</f>
        <v>26.7146909850819</v>
      </c>
      <c r="G4" s="15" t="n">
        <f aca="false">F4/F$4-1</f>
        <v>0</v>
      </c>
      <c r="H4" s="19" t="n">
        <f aca="false">PL!F96</f>
        <v>14777.8617946476</v>
      </c>
      <c r="I4" s="19" t="n">
        <f aca="false">PL!F89</f>
        <v>6454.33767007557</v>
      </c>
      <c r="J4" s="14" t="n">
        <f aca="false">PL!F108</f>
        <v>0.0645660443659828</v>
      </c>
      <c r="K4" s="16" t="n">
        <f aca="false">PL!F117</f>
        <v>31.4174043590585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786</v>
      </c>
      <c r="B5" s="4" t="s">
        <v>787</v>
      </c>
      <c r="C5" s="19" t="n">
        <f aca="false">E61</f>
        <v>12875.6220185296</v>
      </c>
      <c r="D5" s="19" t="n">
        <f aca="false">E54</f>
        <v>4868.94825912957</v>
      </c>
      <c r="E5" s="14" t="n">
        <f aca="false">E73</f>
        <v>0.0616392195774147</v>
      </c>
      <c r="F5" s="16" t="n">
        <f aca="false">E82</f>
        <v>24.6280009689634</v>
      </c>
      <c r="G5" s="15" t="n">
        <f aca="false">F5/F$4-1</f>
        <v>-0.0781102060017745</v>
      </c>
      <c r="H5" s="19" t="n">
        <f aca="false">F61</f>
        <v>13164.2773771287</v>
      </c>
      <c r="I5" s="19" t="n">
        <f aca="false">F54</f>
        <v>4840.75325255668</v>
      </c>
      <c r="J5" s="14" t="n">
        <f aca="false">F73</f>
        <v>0.0641918732759164</v>
      </c>
      <c r="K5" s="16" t="n">
        <f aca="false">F82</f>
        <v>26.9337806029711</v>
      </c>
      <c r="L5" s="15" t="n">
        <f aca="false">K5/K$4-1</f>
        <v>-0.142711463520209</v>
      </c>
    </row>
    <row r="6" customFormat="false" ht="17.15" hidden="false" customHeight="false" outlineLevel="0" collapsed="false">
      <c r="A6" s="4" t="s">
        <v>788</v>
      </c>
      <c r="B6" s="4" t="s">
        <v>789</v>
      </c>
      <c r="C6" s="19" t="n">
        <f aca="false">E107</f>
        <v>14594.0743452812</v>
      </c>
      <c r="D6" s="19" t="n">
        <f aca="false">E100</f>
        <v>6587.40058588119</v>
      </c>
      <c r="E6" s="14" t="n">
        <f aca="false">E119</f>
        <v>0.0615308423384564</v>
      </c>
      <c r="F6" s="16" t="n">
        <f aca="false">E128</f>
        <v>28.8013810012004</v>
      </c>
      <c r="G6" s="15" t="n">
        <f aca="false">F6/F$4-1</f>
        <v>0.0781102060017747</v>
      </c>
      <c r="H6" s="19" t="n">
        <f aca="false">F107</f>
        <v>15746.0124451589</v>
      </c>
      <c r="I6" s="19" t="n">
        <f aca="false">F100</f>
        <v>7422.48832058691</v>
      </c>
      <c r="J6" s="14" t="n">
        <f aca="false">F119</f>
        <v>0.0647537372958579</v>
      </c>
      <c r="K6" s="16" t="n">
        <f aca="false">F128</f>
        <v>34.1026754770258</v>
      </c>
      <c r="L6" s="15" t="n">
        <f aca="false">K6/K$4-1</f>
        <v>0.0854708137972908</v>
      </c>
    </row>
    <row r="7" customFormat="false" ht="17.15" hidden="false" customHeight="false" outlineLevel="0" collapsed="false">
      <c r="A7" s="4" t="s">
        <v>790</v>
      </c>
      <c r="B7" s="4" t="s">
        <v>791</v>
      </c>
      <c r="C7" s="19" t="n">
        <f aca="false">E153</f>
        <v>14371.3120066282</v>
      </c>
      <c r="D7" s="19" t="n">
        <f aca="false">E146</f>
        <v>6364.6382472282</v>
      </c>
      <c r="E7" s="14" t="n">
        <f aca="false">E165</f>
        <v>0.0590988283992883</v>
      </c>
      <c r="F7" s="16" t="n">
        <f aca="false">E174</f>
        <v>26.6061632847457</v>
      </c>
      <c r="G7" s="15" t="n">
        <f aca="false">F7/F$4-1</f>
        <v>-0.0040624726071804</v>
      </c>
      <c r="H7" s="19" t="n">
        <f aca="false">F153</f>
        <v>16391.4462121665</v>
      </c>
      <c r="I7" s="19" t="n">
        <f aca="false">F146</f>
        <v>8067.92208759447</v>
      </c>
      <c r="J7" s="14" t="n">
        <f aca="false">F165</f>
        <v>0.0587535035324987</v>
      </c>
      <c r="K7" s="16" t="n">
        <f aca="false">F174</f>
        <v>31.2084964499672</v>
      </c>
      <c r="L7" s="15" t="n">
        <f aca="false">K7/K$4-1</f>
        <v>-0.0066494324834645</v>
      </c>
    </row>
    <row r="8" customFormat="false" ht="17.15" hidden="false" customHeight="false" outlineLevel="0" collapsed="false">
      <c r="A8" s="4" t="s">
        <v>792</v>
      </c>
      <c r="B8" s="4" t="s">
        <v>793</v>
      </c>
      <c r="C8" s="19" t="n">
        <f aca="false">E199</f>
        <v>12780.1524448211</v>
      </c>
      <c r="D8" s="19" t="n">
        <f aca="false">E192</f>
        <v>4773.47868542115</v>
      </c>
      <c r="E8" s="14" t="n">
        <f aca="false">E211</f>
        <v>0.0657695341205433</v>
      </c>
      <c r="F8" s="16" t="n">
        <f aca="false">E220</f>
        <v>26.8774825355862</v>
      </c>
      <c r="G8" s="15" t="n">
        <f aca="false">F8/F$4-1</f>
        <v>0.00609370891077043</v>
      </c>
      <c r="H8" s="19" t="n">
        <f aca="false">F199</f>
        <v>13164.2773771287</v>
      </c>
      <c r="I8" s="19" t="n">
        <f aca="false">F192</f>
        <v>4840.75325255668</v>
      </c>
      <c r="J8" s="14" t="n">
        <f aca="false">F211</f>
        <v>0.0718035058459122</v>
      </c>
      <c r="K8" s="16" t="n">
        <f aca="false">F220</f>
        <v>31.6545164676722</v>
      </c>
      <c r="L8" s="15" t="n">
        <f aca="false">K8/K$4-1</f>
        <v>0.00754715780794113</v>
      </c>
    </row>
    <row r="9" customFormat="false" ht="17.15" hidden="false" customHeight="false" outlineLevel="0" collapsed="false">
      <c r="A9" s="4" t="s">
        <v>794</v>
      </c>
      <c r="B9" s="4" t="s">
        <v>795</v>
      </c>
      <c r="C9" s="19" t="n">
        <f aca="false">E245</f>
        <v>13734.8481819054</v>
      </c>
      <c r="D9" s="19" t="n">
        <f aca="false">E238</f>
        <v>5728.17442250538</v>
      </c>
      <c r="E9" s="14" t="n">
        <f aca="false">E257</f>
        <v>0.0610700646416362</v>
      </c>
      <c r="F9" s="16" t="n">
        <f aca="false">E266</f>
        <v>26.3838461833675</v>
      </c>
      <c r="G9" s="15" t="n">
        <f aca="false">F9/F$4-1</f>
        <v>-0.0123843768920695</v>
      </c>
      <c r="H9" s="19" t="n">
        <f aca="false">F245</f>
        <v>14777.8617946476</v>
      </c>
      <c r="I9" s="19" t="n">
        <f aca="false">F238</f>
        <v>6454.33767007557</v>
      </c>
      <c r="J9" s="14" t="n">
        <f aca="false">F257</f>
        <v>0.0633606179266945</v>
      </c>
      <c r="K9" s="16" t="n">
        <f aca="false">F266</f>
        <v>30.57863553053</v>
      </c>
      <c r="L9" s="15" t="n">
        <f aca="false">K9/K$4-1</f>
        <v>-0.0266975851646588</v>
      </c>
    </row>
    <row r="10" customFormat="false" ht="17.15" hidden="false" customHeight="false" outlineLevel="0" collapsed="false">
      <c r="A10" s="4" t="s">
        <v>796</v>
      </c>
      <c r="B10" s="4" t="s">
        <v>797</v>
      </c>
      <c r="C10" s="19" t="n">
        <f aca="false">E291</f>
        <v>13734.8481819054</v>
      </c>
      <c r="D10" s="19" t="n">
        <f aca="false">E284</f>
        <v>5728.17442250538</v>
      </c>
      <c r="E10" s="14" t="n">
        <f aca="false">E303</f>
        <v>0.0618374292095399</v>
      </c>
      <c r="F10" s="16" t="n">
        <f aca="false">E312</f>
        <v>26.8801133859391</v>
      </c>
      <c r="G10" s="15" t="n">
        <f aca="false">F10/F$4-1</f>
        <v>0.00619218844603453</v>
      </c>
      <c r="H10" s="19" t="n">
        <f aca="false">F291</f>
        <v>14777.8617946476</v>
      </c>
      <c r="I10" s="19" t="n">
        <f aca="false">F284</f>
        <v>6454.33767007557</v>
      </c>
      <c r="J10" s="14" t="n">
        <f aca="false">F303</f>
        <v>0.0651687575856269</v>
      </c>
      <c r="K10" s="16" t="n">
        <f aca="false">F312</f>
        <v>31.8367887733227</v>
      </c>
      <c r="L10" s="15" t="n">
        <f aca="false">K10/K$4-1</f>
        <v>0.0133487925823295</v>
      </c>
    </row>
    <row r="11" customFormat="false" ht="17.15" hidden="false" customHeight="false" outlineLevel="0" collapsed="false">
      <c r="A11" s="4" t="s">
        <v>798</v>
      </c>
      <c r="B11" s="0" t="s">
        <v>799</v>
      </c>
      <c r="C11" s="19" t="n">
        <f aca="false">E337</f>
        <v>13734.8481819054</v>
      </c>
      <c r="D11" s="19" t="n">
        <f aca="false">E330</f>
        <v>5728.17442250538</v>
      </c>
      <c r="E11" s="14" t="n">
        <f aca="false">E349</f>
        <v>0.0615816410202386</v>
      </c>
      <c r="F11" s="16" t="n">
        <f aca="false">E358</f>
        <v>26.7146909850819</v>
      </c>
      <c r="G11" s="15" t="n">
        <f aca="false">F11/F$4-1</f>
        <v>0</v>
      </c>
      <c r="H11" s="19" t="n">
        <f aca="false">F337</f>
        <v>13809.7111441362</v>
      </c>
      <c r="I11" s="19" t="n">
        <f aca="false">F330</f>
        <v>5486.18701956424</v>
      </c>
      <c r="J11" s="14" t="n">
        <f aca="false">F349</f>
        <v>0.0643520344436292</v>
      </c>
      <c r="K11" s="16" t="n">
        <f aca="false">F358</f>
        <v>28.7046040695167</v>
      </c>
      <c r="L11" s="15" t="n">
        <f aca="false">K11/K$4-1</f>
        <v>-0.0863470533255439</v>
      </c>
    </row>
    <row r="12" customFormat="false" ht="17.15" hidden="false" customHeight="false" outlineLevel="0" collapsed="false">
      <c r="A12" s="4" t="s">
        <v>800</v>
      </c>
      <c r="B12" s="0" t="s">
        <v>801</v>
      </c>
      <c r="C12" s="19" t="n">
        <f aca="false">E383</f>
        <v>13734.8481819054</v>
      </c>
      <c r="D12" s="19" t="n">
        <f aca="false">E376</f>
        <v>5728.17442250538</v>
      </c>
      <c r="E12" s="14" t="n">
        <f aca="false">E395</f>
        <v>0.0615816410202386</v>
      </c>
      <c r="F12" s="16" t="n">
        <f aca="false">E404</f>
        <v>26.7146909850819</v>
      </c>
      <c r="G12" s="15" t="n">
        <f aca="false">F12/F$4-1</f>
        <v>0</v>
      </c>
      <c r="H12" s="19" t="n">
        <f aca="false">F383</f>
        <v>16068.7293286627</v>
      </c>
      <c r="I12" s="19" t="n">
        <f aca="false">F376</f>
        <v>7745.20520409069</v>
      </c>
      <c r="J12" s="14" t="n">
        <f aca="false">F395</f>
        <v>0.0648112755558492</v>
      </c>
      <c r="K12" s="16" t="n">
        <f aca="false">F404</f>
        <v>35.0344714117809</v>
      </c>
      <c r="L12" s="15" t="n">
        <f aca="false">K12/K$4-1</f>
        <v>0.115129404434059</v>
      </c>
    </row>
    <row r="13" customFormat="false" ht="17.15" hidden="false" customHeight="false" outlineLevel="0" collapsed="false">
      <c r="A13" s="0" t="s">
        <v>802</v>
      </c>
      <c r="B13" s="0" t="s">
        <v>803</v>
      </c>
      <c r="C13" s="19" t="n">
        <f aca="false">E429</f>
        <v>12589.2132974043</v>
      </c>
      <c r="D13" s="19" t="n">
        <f aca="false">E422</f>
        <v>4582.5395380043</v>
      </c>
      <c r="E13" s="14" t="n">
        <f aca="false">E441</f>
        <v>0.0616601590044905</v>
      </c>
      <c r="F13" s="16" t="n">
        <f aca="false">E450</f>
        <v>23.9324376302573</v>
      </c>
      <c r="G13" s="15" t="n">
        <f aca="false">F13/F$4-1</f>
        <v>-0.1041469413357</v>
      </c>
      <c r="H13" s="19" t="n">
        <f aca="false">F429</f>
        <v>13486.9942606325</v>
      </c>
      <c r="I13" s="19" t="n">
        <f aca="false">F422</f>
        <v>5163.47013606046</v>
      </c>
      <c r="J13" s="14" t="n">
        <f aca="false">F441</f>
        <v>0.064273870028487</v>
      </c>
      <c r="K13" s="16" t="n">
        <f aca="false">F450</f>
        <v>27.8388728153519</v>
      </c>
      <c r="L13" s="15" t="n">
        <f aca="false">K13/K$4-1</f>
        <v>-0.113902838783524</v>
      </c>
    </row>
    <row r="14" customFormat="false" ht="17.15" hidden="false" customHeight="false" outlineLevel="0" collapsed="false">
      <c r="A14" s="0" t="s">
        <v>804</v>
      </c>
      <c r="B14" s="0" t="s">
        <v>801</v>
      </c>
      <c r="C14" s="19" t="n">
        <f aca="false">E475</f>
        <v>14880.4830664065</v>
      </c>
      <c r="D14" s="19" t="n">
        <f aca="false">E468</f>
        <v>6873.80930700646</v>
      </c>
      <c r="E14" s="14" t="n">
        <f aca="false">E487</f>
        <v>0.0615152130926628</v>
      </c>
      <c r="F14" s="16" t="n">
        <f aca="false">E496</f>
        <v>29.4969443399066</v>
      </c>
      <c r="G14" s="15" t="n">
        <f aca="false">F14/F$4-1</f>
        <v>0.1041469413357</v>
      </c>
      <c r="H14" s="19" t="n">
        <f aca="false">F475</f>
        <v>16068.7293286627</v>
      </c>
      <c r="I14" s="19" t="n">
        <f aca="false">F468</f>
        <v>7745.20520409069</v>
      </c>
      <c r="J14" s="14" t="n">
        <f aca="false">F487</f>
        <v>0.0648112755558492</v>
      </c>
      <c r="K14" s="16" t="n">
        <f aca="false">F496</f>
        <v>34.9979870175404</v>
      </c>
      <c r="L14" s="15" t="n">
        <f aca="false">K14/K$4-1</f>
        <v>0.113968124723504</v>
      </c>
    </row>
    <row r="15" customFormat="false" ht="17.15" hidden="false" customHeight="false" outlineLevel="0" collapsed="false">
      <c r="A15" s="4" t="s">
        <v>805</v>
      </c>
      <c r="B15" s="0" t="s">
        <v>806</v>
      </c>
      <c r="C15" s="19" t="n">
        <f aca="false">E521</f>
        <v>13366.8739269054</v>
      </c>
      <c r="D15" s="19" t="n">
        <f aca="false">E514</f>
        <v>5728.17442250538</v>
      </c>
      <c r="E15" s="14" t="n">
        <f aca="false">E533</f>
        <v>0.0615646478977634</v>
      </c>
      <c r="F15" s="16" t="n">
        <f aca="false">E542</f>
        <v>25.7953952420968</v>
      </c>
      <c r="G15" s="15" t="n">
        <f aca="false">F15/F$4-1</f>
        <v>-0.0344116180680685</v>
      </c>
      <c r="H15" s="19" t="n">
        <f aca="false">F521</f>
        <v>14094.7677685476</v>
      </c>
      <c r="I15" s="19" t="n">
        <f aca="false">F514</f>
        <v>6454.33767007557</v>
      </c>
      <c r="J15" s="14" t="n">
        <f aca="false">F533</f>
        <v>0.0646807652711552</v>
      </c>
      <c r="K15" s="16" t="n">
        <f aca="false">F542</f>
        <v>29.6913445566641</v>
      </c>
      <c r="L15" s="15" t="n">
        <f aca="false">K15/K$4-1</f>
        <v>-0.0549396055341763</v>
      </c>
    </row>
    <row r="16" customFormat="false" ht="17.15" hidden="false" customHeight="false" outlineLevel="0" collapsed="false">
      <c r="A16" s="4" t="s">
        <v>807</v>
      </c>
      <c r="B16" s="0" t="s">
        <v>808</v>
      </c>
      <c r="C16" s="19" t="n">
        <f aca="false">E567</f>
        <v>13902.1092069054</v>
      </c>
      <c r="D16" s="19" t="n">
        <f aca="false">E560</f>
        <v>5728.17442250538</v>
      </c>
      <c r="E16" s="14" t="n">
        <f aca="false">E579</f>
        <v>0.0615890677849105</v>
      </c>
      <c r="F16" s="16" t="n">
        <f aca="false">E588</f>
        <v>27.1325526864388</v>
      </c>
      <c r="G16" s="15" t="n">
        <f aca="false">F16/F$4-1</f>
        <v>0.0156416445763949</v>
      </c>
      <c r="H16" s="19" t="n">
        <f aca="false">F567</f>
        <v>15092.9815657476</v>
      </c>
      <c r="I16" s="19" t="n">
        <f aca="false">F560</f>
        <v>6454.33767007557</v>
      </c>
      <c r="J16" s="14" t="n">
        <f aca="false">F579</f>
        <v>0.064516622332216</v>
      </c>
      <c r="K16" s="16" t="n">
        <f aca="false">F588</f>
        <v>32.2148441466096</v>
      </c>
      <c r="L16" s="15" t="n">
        <f aca="false">K16/K$4-1</f>
        <v>0.0253821028127414</v>
      </c>
    </row>
    <row r="17" customFormat="false" ht="17.15" hidden="false" customHeight="false" outlineLevel="0" collapsed="false">
      <c r="A17" s="4" t="s">
        <v>809</v>
      </c>
      <c r="B17" s="4" t="s">
        <v>810</v>
      </c>
      <c r="C17" s="19" t="n">
        <f aca="false">E613</f>
        <v>13451.1734835054</v>
      </c>
      <c r="D17" s="19" t="n">
        <f aca="false">E606</f>
        <v>5728.17442250538</v>
      </c>
      <c r="E17" s="14" t="n">
        <f aca="false">E625</f>
        <v>0.0615686229673208</v>
      </c>
      <c r="F17" s="16" t="n">
        <f aca="false">E634</f>
        <v>26.0059975395807</v>
      </c>
      <c r="G17" s="15" t="n">
        <f aca="false">F17/F$4-1</f>
        <v>-0.0265282292015653</v>
      </c>
      <c r="H17" s="19" t="n">
        <f aca="false">F613</f>
        <v>14164.1788637756</v>
      </c>
      <c r="I17" s="19" t="n">
        <f aca="false">F606</f>
        <v>6454.33767007557</v>
      </c>
      <c r="J17" s="14" t="n">
        <f aca="false">F625</f>
        <v>0.0646686030982552</v>
      </c>
      <c r="K17" s="16" t="n">
        <f aca="false">F634</f>
        <v>29.8650767890686</v>
      </c>
      <c r="L17" s="15" t="n">
        <f aca="false">K17/K$4-1</f>
        <v>-0.0494097969472235</v>
      </c>
    </row>
    <row r="18" customFormat="false" ht="17.15" hidden="false" customHeight="false" outlineLevel="0" collapsed="false">
      <c r="A18" s="4" t="s">
        <v>811</v>
      </c>
      <c r="B18" s="0" t="s">
        <v>812</v>
      </c>
      <c r="C18" s="19" t="n">
        <f aca="false">E659</f>
        <v>14042.1624385054</v>
      </c>
      <c r="D18" s="19" t="n">
        <f aca="false">E652</f>
        <v>5728.17442250538</v>
      </c>
      <c r="E18" s="14" t="n">
        <f aca="false">E671</f>
        <v>0.0615951503660912</v>
      </c>
      <c r="F18" s="16" t="n">
        <f aca="false">E680</f>
        <v>27.4824422177083</v>
      </c>
      <c r="G18" s="15" t="n">
        <f aca="false">F18/F$4-1</f>
        <v>0.0287389149683626</v>
      </c>
      <c r="H18" s="19" t="n">
        <f aca="false">F659</f>
        <v>15464.3545647756</v>
      </c>
      <c r="I18" s="19" t="n">
        <f aca="false">F652</f>
        <v>6454.33767007557</v>
      </c>
      <c r="J18" s="14" t="n">
        <f aca="false">F671</f>
        <v>0.0644609633721584</v>
      </c>
      <c r="K18" s="16" t="n">
        <f aca="false">F680</f>
        <v>33.157392174525</v>
      </c>
      <c r="L18" s="15" t="n">
        <f aca="false">K18/K$4-1</f>
        <v>0.0553829271056523</v>
      </c>
    </row>
    <row r="19" customFormat="false" ht="17.15" hidden="false" customHeight="false" outlineLevel="0" collapsed="false">
      <c r="A19" s="0" t="s">
        <v>813</v>
      </c>
      <c r="B19" s="0" t="s">
        <v>814</v>
      </c>
      <c r="C19" s="19" t="n">
        <f aca="false">E705</f>
        <v>13734.8481819054</v>
      </c>
      <c r="D19" s="19" t="n">
        <f aca="false">E698</f>
        <v>5728.17442250538</v>
      </c>
      <c r="E19" s="14" t="n">
        <f aca="false">E717</f>
        <v>0.0603066693765175</v>
      </c>
      <c r="F19" s="16" t="n">
        <f aca="false">E726</f>
        <v>25.8901459937538</v>
      </c>
      <c r="G19" s="15" t="n">
        <f aca="false">F19/F$4-1</f>
        <v>-0.0308648522937642</v>
      </c>
      <c r="H19" s="19" t="n">
        <f aca="false">F705</f>
        <v>14777.8617946476</v>
      </c>
      <c r="I19" s="19" t="n">
        <f aca="false">F698</f>
        <v>6454.33767007557</v>
      </c>
      <c r="J19" s="14" t="n">
        <f aca="false">F717</f>
        <v>0.0627082683406006</v>
      </c>
      <c r="K19" s="16" t="n">
        <f aca="false">F726</f>
        <v>30.1247127690199</v>
      </c>
      <c r="L19" s="15" t="n">
        <f aca="false">K19/K$4-1</f>
        <v>-0.041145715771581</v>
      </c>
    </row>
    <row r="20" customFormat="false" ht="17.15" hidden="false" customHeight="false" outlineLevel="0" collapsed="false">
      <c r="A20" s="0" t="s">
        <v>815</v>
      </c>
      <c r="B20" s="4" t="s">
        <v>816</v>
      </c>
      <c r="C20" s="19" t="n">
        <f aca="false">E751</f>
        <v>13734.8481819054</v>
      </c>
      <c r="D20" s="19" t="n">
        <f aca="false">E744</f>
        <v>5728.17442250538</v>
      </c>
      <c r="E20" s="14" t="n">
        <f aca="false">E763</f>
        <v>0.0628566126639597</v>
      </c>
      <c r="F20" s="16" t="n">
        <f aca="false">E772</f>
        <v>27.53923597641</v>
      </c>
      <c r="G20" s="15" t="n">
        <f aca="false">F20/F$4-1</f>
        <v>0.0308648522937638</v>
      </c>
      <c r="H20" s="19" t="n">
        <f aca="false">F751</f>
        <v>14777.8617946476</v>
      </c>
      <c r="I20" s="19" t="n">
        <f aca="false">F744</f>
        <v>6454.33767007557</v>
      </c>
      <c r="J20" s="14" t="n">
        <f aca="false">F763</f>
        <v>0.0664238203913649</v>
      </c>
      <c r="K20" s="16" t="n">
        <f aca="false">F772</f>
        <v>32.7100959490971</v>
      </c>
      <c r="L20" s="15" t="n">
        <f aca="false">K20/K$4-1</f>
        <v>0.0411457157715807</v>
      </c>
    </row>
    <row r="21" customFormat="false" ht="17.15" hidden="false" customHeight="false" outlineLevel="0" collapsed="false">
      <c r="A21" s="0" t="s">
        <v>817</v>
      </c>
      <c r="B21" s="0" t="s">
        <v>818</v>
      </c>
      <c r="C21" s="19" t="n">
        <f aca="false">E797</f>
        <v>13734.8481819054</v>
      </c>
      <c r="D21" s="19" t="n">
        <f aca="false">E790</f>
        <v>5728.17442250538</v>
      </c>
      <c r="E21" s="14" t="n">
        <f aca="false">E809</f>
        <v>0.0602053625682372</v>
      </c>
      <c r="F21" s="16" t="n">
        <f aca="false">E818</f>
        <v>25.8246292257799</v>
      </c>
      <c r="G21" s="15" t="n">
        <f aca="false">F21/F$4-1</f>
        <v>-0.0333173144244521</v>
      </c>
      <c r="H21" s="19" t="n">
        <f aca="false">F797</f>
        <v>14777.8617946476</v>
      </c>
      <c r="I21" s="19" t="n">
        <f aca="false">F790</f>
        <v>6454.33767007557</v>
      </c>
      <c r="J21" s="14" t="n">
        <f aca="false">F809</f>
        <v>0.0629609616234903</v>
      </c>
      <c r="K21" s="16" t="n">
        <f aca="false">F818</f>
        <v>30.3005436965309</v>
      </c>
      <c r="L21" s="15" t="n">
        <f aca="false">K21/K$4-1</f>
        <v>-0.0355491067869059</v>
      </c>
    </row>
    <row r="22" customFormat="false" ht="17.15" hidden="false" customHeight="false" outlineLevel="0" collapsed="false">
      <c r="A22" s="0" t="s">
        <v>819</v>
      </c>
      <c r="B22" s="0" t="s">
        <v>820</v>
      </c>
      <c r="C22" s="19" t="n">
        <f aca="false">E843</f>
        <v>13734.8481819054</v>
      </c>
      <c r="D22" s="19" t="n">
        <f aca="false">E836</f>
        <v>5728.17442250538</v>
      </c>
      <c r="E22" s="14" t="n">
        <f aca="false">E855</f>
        <v>0.0624991599882396</v>
      </c>
      <c r="F22" s="16" t="n">
        <f aca="false">E864</f>
        <v>27.3080654912833</v>
      </c>
      <c r="G22" s="15" t="n">
        <f aca="false">F22/F$4-1</f>
        <v>0.0222115429496346</v>
      </c>
      <c r="H22" s="19" t="n">
        <f aca="false">F843</f>
        <v>14777.8617946476</v>
      </c>
      <c r="I22" s="19" t="n">
        <f aca="false">F836</f>
        <v>6454.33767007557</v>
      </c>
      <c r="J22" s="14" t="n">
        <f aca="false">F855</f>
        <v>0.0656360995276444</v>
      </c>
      <c r="K22" s="16" t="n">
        <f aca="false">F864</f>
        <v>32.1619781340769</v>
      </c>
      <c r="L22" s="15" t="n">
        <f aca="false">K22/K$4-1</f>
        <v>0.0236994045246044</v>
      </c>
    </row>
    <row r="23" customFormat="false" ht="17.15" hidden="false" customHeight="false" outlineLevel="0" collapsed="false">
      <c r="A23" s="4" t="s">
        <v>821</v>
      </c>
      <c r="B23" s="4" t="s">
        <v>822</v>
      </c>
      <c r="C23" s="19" t="n">
        <f aca="false">E889</f>
        <v>13734.8481819054</v>
      </c>
      <c r="D23" s="19" t="n">
        <f aca="false">E882</f>
        <v>5728.17442250538</v>
      </c>
      <c r="E23" s="14" t="n">
        <f aca="false">E901</f>
        <v>0.0615816410202386</v>
      </c>
      <c r="F23" s="16" t="n">
        <f aca="false">E910</f>
        <v>25.4212583108906</v>
      </c>
      <c r="G23" s="15" t="n">
        <f aca="false">F23/F$4-1</f>
        <v>-0.0484165313727031</v>
      </c>
      <c r="H23" s="19" t="n">
        <f aca="false">F889</f>
        <v>14777.8617946476</v>
      </c>
      <c r="I23" s="19" t="n">
        <f aca="false">F882</f>
        <v>6454.33767007557</v>
      </c>
      <c r="J23" s="14" t="n">
        <f aca="false">F901</f>
        <v>0.0645660443659828</v>
      </c>
      <c r="K23" s="16" t="n">
        <f aca="false">F910</f>
        <v>30.0257494207053</v>
      </c>
      <c r="L23" s="15" t="n">
        <f aca="false">K23/K$4-1</f>
        <v>-0.0442956688098248</v>
      </c>
    </row>
    <row r="24" customFormat="false" ht="17.15" hidden="false" customHeight="false" outlineLevel="0" collapsed="false">
      <c r="A24" s="4" t="s">
        <v>823</v>
      </c>
      <c r="B24" s="0" t="s">
        <v>824</v>
      </c>
      <c r="C24" s="19" t="n">
        <f aca="false">E935</f>
        <v>13734.8481819054</v>
      </c>
      <c r="D24" s="19" t="n">
        <f aca="false">E928</f>
        <v>5728.17442250538</v>
      </c>
      <c r="E24" s="14" t="n">
        <f aca="false">E947</f>
        <v>0.0615816410202386</v>
      </c>
      <c r="F24" s="16" t="n">
        <f aca="false">E956</f>
        <v>24.2860827137108</v>
      </c>
      <c r="G24" s="15" t="n">
        <f aca="false">F24/F$4-1</f>
        <v>-0.0909090909090909</v>
      </c>
      <c r="H24" s="19" t="n">
        <f aca="false">F935</f>
        <v>14777.8617946476</v>
      </c>
      <c r="I24" s="19" t="n">
        <f aca="false">F928</f>
        <v>6454.33767007557</v>
      </c>
      <c r="J24" s="14" t="n">
        <f aca="false">F947</f>
        <v>0.0645660443659828</v>
      </c>
      <c r="K24" s="16" t="n">
        <f aca="false">F956</f>
        <v>28.5612766900532</v>
      </c>
      <c r="L24" s="15" t="n">
        <f aca="false">K24/K$4-1</f>
        <v>-0.0909090909090911</v>
      </c>
    </row>
    <row r="25" customFormat="false" ht="17.15" hidden="false" customHeight="false" outlineLevel="0" collapsed="false">
      <c r="A25" s="4" t="s">
        <v>825</v>
      </c>
      <c r="B25" s="0" t="s">
        <v>826</v>
      </c>
      <c r="C25" s="19" t="n">
        <f aca="false">E981</f>
        <v>13734.8481819054</v>
      </c>
      <c r="D25" s="19" t="n">
        <f aca="false">E974</f>
        <v>5728.17442250538</v>
      </c>
      <c r="E25" s="14" t="n">
        <f aca="false">E993</f>
        <v>0.0615816410202386</v>
      </c>
      <c r="F25" s="16" t="n">
        <f aca="false">E1002</f>
        <v>29.5480673016815</v>
      </c>
      <c r="G25" s="15" t="n">
        <f aca="false">F25/F$4-1</f>
        <v>0.106060606060606</v>
      </c>
      <c r="H25" s="19" t="n">
        <f aca="false">F981</f>
        <v>14777.8617946476</v>
      </c>
      <c r="I25" s="19" t="n">
        <f aca="false">F974</f>
        <v>6454.33767007557</v>
      </c>
      <c r="J25" s="14" t="n">
        <f aca="false">F993</f>
        <v>0.0645660443659828</v>
      </c>
      <c r="K25" s="16" t="n">
        <f aca="false">F1002</f>
        <v>34.7495533062314</v>
      </c>
      <c r="L25" s="15" t="n">
        <f aca="false">K25/K$4-1</f>
        <v>0.106060606060606</v>
      </c>
    </row>
    <row r="26" customFormat="false" ht="17.15" hidden="false" customHeight="false" outlineLevel="0" collapsed="false">
      <c r="A26" s="4" t="s">
        <v>827</v>
      </c>
      <c r="B26" s="0" t="s">
        <v>828</v>
      </c>
      <c r="C26" s="19" t="n">
        <f aca="false">PL!E142</f>
        <v>13734.8481819054</v>
      </c>
      <c r="D26" s="19" t="n">
        <f aca="false">PL!E135</f>
        <v>5728.17442250538</v>
      </c>
      <c r="E26" s="14" t="n">
        <f aca="false">PL!E154</f>
        <v>0.0615816410202386</v>
      </c>
      <c r="F26" s="16" t="n">
        <f aca="false">PL!E163</f>
        <v>26.7146909850819</v>
      </c>
      <c r="G26" s="15" t="n">
        <f aca="false">F26/F$4-1</f>
        <v>0</v>
      </c>
      <c r="H26" s="19" t="n">
        <f aca="false">PL!F142</f>
        <v>13486.9942606325</v>
      </c>
      <c r="I26" s="19" t="n">
        <f aca="false">PL!F135</f>
        <v>5163.47013606046</v>
      </c>
      <c r="J26" s="14" t="n">
        <f aca="false">PL!F154</f>
        <v>0.064273870028487</v>
      </c>
      <c r="K26" s="16" t="n">
        <f aca="false">PL!F163</f>
        <v>27.705697658271</v>
      </c>
      <c r="L26" s="15" t="n">
        <f aca="false">K26/K$4-1</f>
        <v>-0.118141736292651</v>
      </c>
    </row>
    <row r="27" customFormat="false" ht="17.15" hidden="false" customHeight="false" outlineLevel="0" collapsed="false">
      <c r="A27" s="4" t="s">
        <v>829</v>
      </c>
      <c r="B27" s="0" t="s">
        <v>830</v>
      </c>
      <c r="C27" s="19" t="n">
        <f aca="false">PL!E188</f>
        <v>13734.8481819054</v>
      </c>
      <c r="D27" s="19" t="n">
        <f aca="false">PL!E181</f>
        <v>5728.17442250538</v>
      </c>
      <c r="E27" s="14" t="n">
        <f aca="false">PL!E200</f>
        <v>0.0615816410202386</v>
      </c>
      <c r="F27" s="16" t="n">
        <f aca="false">PL!E209</f>
        <v>26.7146909850819</v>
      </c>
      <c r="G27" s="15" t="n">
        <f aca="false">F27/F$4-1</f>
        <v>0</v>
      </c>
      <c r="H27" s="19" t="n">
        <f aca="false">PL!F188</f>
        <v>12196.1267266173</v>
      </c>
      <c r="I27" s="19" t="n">
        <f aca="false">PL!F181</f>
        <v>3872.60260204534</v>
      </c>
      <c r="J27" s="14" t="n">
        <f aca="false">PL!F200</f>
        <v>0.0639198468147046</v>
      </c>
      <c r="K27" s="16" t="n">
        <f aca="false">PL!F209</f>
        <v>23.5957303984814</v>
      </c>
      <c r="L27" s="15" t="n">
        <f aca="false">K27/K$4-1</f>
        <v>-0.24895990359948</v>
      </c>
    </row>
    <row r="29" customFormat="false" ht="17.15" hidden="false" customHeight="false" outlineLevel="0" collapsed="false">
      <c r="A29" s="4" t="s">
        <v>831</v>
      </c>
    </row>
    <row r="40" customFormat="false" ht="17.15" hidden="false" customHeight="false" outlineLevel="0" collapsed="false">
      <c r="A40" s="1" t="s">
        <v>832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1" t="s">
        <v>347</v>
      </c>
      <c r="D41" s="11" t="s">
        <v>429</v>
      </c>
      <c r="E41" s="11" t="s">
        <v>430</v>
      </c>
      <c r="F41" s="11" t="s">
        <v>431</v>
      </c>
      <c r="G41" s="11" t="s">
        <v>432</v>
      </c>
      <c r="H41" s="5" t="s">
        <v>400</v>
      </c>
    </row>
    <row r="42" customFormat="false" ht="17.15" hidden="false" customHeight="false" outlineLevel="0" collapsed="false">
      <c r="A42" s="6" t="s">
        <v>450</v>
      </c>
    </row>
    <row r="43" customFormat="false" ht="17.15" hidden="false" customHeight="false" outlineLevel="0" collapsed="false">
      <c r="A43" s="0" t="s">
        <v>451</v>
      </c>
      <c r="B43" s="0" t="s">
        <v>32</v>
      </c>
      <c r="D43" s="22" t="n">
        <f aca="false">itc_26*1</f>
        <v>781.872916666666</v>
      </c>
      <c r="E43" s="22" t="n">
        <f aca="false">itc_27*1*1</f>
        <v>1565.35</v>
      </c>
      <c r="F43" s="22" t="n">
        <f aca="false">itc_28*um28_A*1</f>
        <v>1984.26388888889</v>
      </c>
      <c r="G43" s="22" t="n">
        <f aca="false">itc_29*um29_A*1</f>
        <v>2260.39027777778</v>
      </c>
    </row>
    <row r="44" customFormat="false" ht="17.15" hidden="false" customHeight="false" outlineLevel="0" collapsed="false">
      <c r="A44" s="4" t="s">
        <v>452</v>
      </c>
      <c r="B44" s="0" t="s">
        <v>32</v>
      </c>
      <c r="D44" s="22" t="n">
        <f aca="false">itpg_gb*(1-vr26)+itpg_vr*vr26</f>
        <v>33.41403216</v>
      </c>
      <c r="E44" s="22" t="n">
        <f aca="false">itpg_vr</f>
        <v>37.586352</v>
      </c>
      <c r="F44" s="22" t="n">
        <f aca="false">itpg_vr</f>
        <v>37.586352</v>
      </c>
      <c r="G44" s="22" t="n">
        <f aca="false">itpg_vr</f>
        <v>37.586352</v>
      </c>
    </row>
    <row r="45" customFormat="false" ht="17.15" hidden="false" customHeight="false" outlineLevel="0" collapsed="false">
      <c r="A45" s="4" t="s">
        <v>453</v>
      </c>
      <c r="B45" s="0" t="s">
        <v>402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404</v>
      </c>
      <c r="B46" s="0" t="s">
        <v>405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454</v>
      </c>
    </row>
    <row r="47" customFormat="false" ht="17.15" hidden="false" customHeight="false" outlineLevel="0" collapsed="false">
      <c r="A47" s="0" t="s">
        <v>455</v>
      </c>
      <c r="B47" s="0" t="s">
        <v>32</v>
      </c>
      <c r="D47" s="19" t="n">
        <f aca="false">D45*D46</f>
        <v>634.61653128501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456</v>
      </c>
      <c r="B48" s="0" t="s">
        <v>209</v>
      </c>
      <c r="D48" s="19" t="n">
        <f aca="false">D47*fx</f>
        <v>20307.7290011203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457</v>
      </c>
      <c r="B49" s="0" t="s">
        <v>52</v>
      </c>
      <c r="D49" s="15" t="n">
        <f aca="false">a26_ai/D48</f>
        <v>0.174610057569922</v>
      </c>
      <c r="H49" s="8" t="s">
        <v>458</v>
      </c>
    </row>
    <row r="50" customFormat="false" ht="17.15" hidden="false" customHeight="false" outlineLevel="0" collapsed="false">
      <c r="A50" s="4" t="s">
        <v>459</v>
      </c>
      <c r="B50" s="0" t="s">
        <v>71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460</v>
      </c>
      <c r="B51" s="0" t="s">
        <v>52</v>
      </c>
      <c r="D51" s="15" t="n">
        <f aca="false">$D$49*D50</f>
        <v>0.174610057569922</v>
      </c>
      <c r="E51" s="15" t="n">
        <f aca="false">$D$49*E50</f>
        <v>0.148418548934434</v>
      </c>
      <c r="F51" s="15" t="n">
        <f aca="false">$D$49*F50</f>
        <v>0.130957543177442</v>
      </c>
      <c r="G51" s="15" t="n">
        <f aca="false">$D$49*G50</f>
        <v>0.122227040298946</v>
      </c>
    </row>
    <row r="52" customFormat="false" ht="17.15" hidden="false" customHeight="false" outlineLevel="0" collapsed="false">
      <c r="A52" s="0" t="s">
        <v>461</v>
      </c>
      <c r="B52" s="0" t="s">
        <v>209</v>
      </c>
      <c r="D52" s="19" t="n">
        <f aca="false">D48*D51</f>
        <v>3545.93373</v>
      </c>
      <c r="E52" s="19" t="n">
        <f aca="false">E48*E51</f>
        <v>5409.94251014397</v>
      </c>
      <c r="F52" s="19" t="n">
        <f aca="false">F48*F51</f>
        <v>6050.94156569585</v>
      </c>
      <c r="G52" s="19" t="n">
        <f aca="false">G48*G51</f>
        <v>6433.44714659665</v>
      </c>
    </row>
    <row r="53" customFormat="false" ht="17.15" hidden="false" customHeight="false" outlineLevel="0" collapsed="false">
      <c r="A53" s="4" t="s">
        <v>462</v>
      </c>
      <c r="B53" s="0" t="s">
        <v>52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463</v>
      </c>
    </row>
    <row r="54" customFormat="false" ht="17.15" hidden="false" customHeight="false" outlineLevel="0" collapsed="false">
      <c r="A54" s="0" t="s">
        <v>464</v>
      </c>
      <c r="B54" s="0" t="s">
        <v>209</v>
      </c>
      <c r="C54" s="19" t="n">
        <f aca="false">a25_ai</f>
        <v>1620.621</v>
      </c>
      <c r="D54" s="19" t="n">
        <f aca="false">D52*(1-D53)</f>
        <v>3545.93373</v>
      </c>
      <c r="E54" s="19" t="n">
        <f aca="false">E52*(1-E53)</f>
        <v>4868.94825912957</v>
      </c>
      <c r="F54" s="19" t="n">
        <f aca="false">F52*(1-F53)</f>
        <v>4840.75325255668</v>
      </c>
      <c r="G54" s="19" t="n">
        <f aca="false">G52*(1-G53)</f>
        <v>4825.08535994749</v>
      </c>
    </row>
    <row r="55" customFormat="false" ht="17.15" hidden="false" customHeight="false" outlineLevel="0" collapsed="false">
      <c r="A55" s="6" t="s">
        <v>465</v>
      </c>
    </row>
    <row r="56" customFormat="false" ht="17.15" hidden="false" customHeight="false" outlineLevel="0" collapsed="false">
      <c r="A56" s="4" t="s">
        <v>382</v>
      </c>
      <c r="B56" s="0" t="s">
        <v>209</v>
      </c>
      <c r="C56" s="19" t="n">
        <f aca="false">a25_cn</f>
        <v>1620.621</v>
      </c>
      <c r="D56" s="19" t="n">
        <f aca="false">a26_cn</f>
        <v>2363.95582</v>
      </c>
      <c r="E56" s="19" t="n">
        <f aca="false">D56*(1+g_cn27)</f>
        <v>2647.6305184</v>
      </c>
      <c r="F56" s="19" t="n">
        <f aca="false">E56*(1+g_cn28)</f>
        <v>2859.440959872</v>
      </c>
      <c r="G56" s="19" t="n">
        <f aca="false">F56*(1+g_cn29)</f>
        <v>3031.00741746432</v>
      </c>
    </row>
    <row r="57" customFormat="false" ht="17.15" hidden="false" customHeight="false" outlineLevel="0" collapsed="false">
      <c r="A57" s="4" t="s">
        <v>383</v>
      </c>
      <c r="B57" s="0" t="s">
        <v>209</v>
      </c>
      <c r="C57" s="19" t="n">
        <f aca="false">a25_ce</f>
        <v>3079.1799</v>
      </c>
      <c r="D57" s="19" t="n">
        <f aca="false">a26_ce</f>
        <v>3345.2205</v>
      </c>
      <c r="E57" s="19" t="n">
        <f aca="false">D57*(1+g_ce27)</f>
        <v>3445.577115</v>
      </c>
      <c r="F57" s="19" t="n">
        <f aca="false">E57*(1+g_ce28)</f>
        <v>3514.4886573</v>
      </c>
      <c r="G57" s="19" t="n">
        <f aca="false">F57*(1+g_ce29)</f>
        <v>3584.778430446</v>
      </c>
    </row>
    <row r="58" customFormat="false" ht="15" hidden="false" customHeight="false" outlineLevel="0" collapsed="false">
      <c r="A58" s="4" t="s">
        <v>384</v>
      </c>
      <c r="B58" s="0" t="s">
        <v>209</v>
      </c>
      <c r="C58" s="19" t="n">
        <f aca="false">a25_pc</f>
        <v>1215.46575</v>
      </c>
      <c r="D58" s="19" t="n">
        <f aca="false">a26_pc</f>
        <v>1338.0882</v>
      </c>
      <c r="E58" s="19" t="n">
        <f aca="false">D58*(1+g_pc27)</f>
        <v>1311.326436</v>
      </c>
      <c r="F58" s="19" t="n">
        <f aca="false">E58*(1+g_pc28)</f>
        <v>1311.326436</v>
      </c>
      <c r="G58" s="19" t="n">
        <f aca="false">F58*(1+g_pc29)</f>
        <v>1311.326436</v>
      </c>
    </row>
    <row r="59" customFormat="false" ht="15" hidden="false" customHeight="false" outlineLevel="0" collapsed="false">
      <c r="A59" s="4" t="s">
        <v>466</v>
      </c>
      <c r="B59" s="0" t="s">
        <v>209</v>
      </c>
      <c r="C59" s="19" t="n">
        <f aca="false">a25_co</f>
        <v>567.217349999999</v>
      </c>
      <c r="D59" s="19" t="n">
        <f aca="false">a26_co</f>
        <v>557.53675</v>
      </c>
      <c r="E59" s="19" t="n">
        <f aca="false">D59*(1+g_co27)</f>
        <v>602.13969</v>
      </c>
      <c r="F59" s="19" t="n">
        <f aca="false">E59*(1+g_co28)</f>
        <v>638.2680714</v>
      </c>
      <c r="G59" s="19" t="n">
        <f aca="false">F59*(1+g_co29)</f>
        <v>670.18147497</v>
      </c>
    </row>
    <row r="60" customFormat="false" ht="17.15" hidden="false" customHeight="false" outlineLevel="0" collapsed="false">
      <c r="A60" s="4" t="s">
        <v>387</v>
      </c>
      <c r="B60" s="0" t="s">
        <v>209</v>
      </c>
      <c r="C60" s="19" t="n">
        <f aca="false">SUM(C56:C59)</f>
        <v>6482.484</v>
      </c>
      <c r="D60" s="19" t="n">
        <f aca="false">SUM(D56:D59)</f>
        <v>7604.80127</v>
      </c>
      <c r="E60" s="19" t="n">
        <f aca="false">SUM(E56:E59)</f>
        <v>8006.6737594</v>
      </c>
      <c r="F60" s="19" t="n">
        <f aca="false">SUM(F56:F59)</f>
        <v>8323.524124572</v>
      </c>
      <c r="G60" s="19" t="n">
        <f aca="false">SUM(G56:G59)</f>
        <v>8597.29375888032</v>
      </c>
    </row>
    <row r="61" customFormat="false" ht="15" hidden="false" customHeight="false" outlineLevel="0" collapsed="false">
      <c r="A61" s="4" t="s">
        <v>353</v>
      </c>
      <c r="B61" s="0" t="s">
        <v>209</v>
      </c>
      <c r="C61" s="19" t="n">
        <f aca="false">C54+C60</f>
        <v>8103.105</v>
      </c>
      <c r="D61" s="19" t="n">
        <f aca="false">D54+D60</f>
        <v>11150.735</v>
      </c>
      <c r="E61" s="19" t="n">
        <f aca="false">E54+E60</f>
        <v>12875.6220185296</v>
      </c>
      <c r="F61" s="19" t="n">
        <f aca="false">F54+F60</f>
        <v>13164.2773771287</v>
      </c>
      <c r="G61" s="19" t="n">
        <f aca="false">G54+G60</f>
        <v>13422.3791188278</v>
      </c>
    </row>
    <row r="62" customFormat="false" ht="17.15" hidden="false" customHeight="false" outlineLevel="0" collapsed="false">
      <c r="A62" s="4" t="s">
        <v>467</v>
      </c>
      <c r="B62" s="0" t="s">
        <v>209</v>
      </c>
      <c r="C62" s="19" t="n">
        <f aca="false">C54+C56</f>
        <v>3241.242</v>
      </c>
      <c r="D62" s="19" t="n">
        <f aca="false">D54+D56</f>
        <v>5909.88955</v>
      </c>
      <c r="E62" s="19" t="n">
        <f aca="false">E54+E56</f>
        <v>7516.57877752957</v>
      </c>
      <c r="F62" s="19" t="n">
        <f aca="false">F54+F56</f>
        <v>7700.19421242868</v>
      </c>
      <c r="G62" s="19" t="n">
        <f aca="false">G54+G56</f>
        <v>7856.09277741181</v>
      </c>
      <c r="H62" s="4" t="s">
        <v>468</v>
      </c>
    </row>
    <row r="63" customFormat="false" ht="17.15" hidden="false" customHeight="false" outlineLevel="0" collapsed="false">
      <c r="A63" s="4" t="s">
        <v>469</v>
      </c>
      <c r="B63" s="0" t="s">
        <v>209</v>
      </c>
      <c r="C63" s="23" t="n">
        <f aca="false">C62+C57+C58+C59-a25_rev</f>
        <v>0</v>
      </c>
      <c r="D63" s="23" t="n">
        <f aca="false">D62+D57+D58+D59-a26_rev</f>
        <v>0</v>
      </c>
      <c r="E63" s="23" t="n">
        <f aca="false">E62+E57+E58+E59-E61</f>
        <v>0</v>
      </c>
      <c r="F63" s="23" t="n">
        <f aca="false">F62+F57+F58+F59-F61</f>
        <v>0</v>
      </c>
      <c r="G63" s="23" t="n">
        <f aca="false">G62+G57+G58+G59-G61</f>
        <v>0</v>
      </c>
    </row>
    <row r="64" customFormat="false" ht="15" hidden="false" customHeight="false" outlineLevel="0" collapsed="false">
      <c r="A64" s="4" t="s">
        <v>470</v>
      </c>
      <c r="B64" s="0" t="s">
        <v>52</v>
      </c>
      <c r="D64" s="15" t="n">
        <f aca="false">D61/C61-1</f>
        <v>0.376106443147411</v>
      </c>
      <c r="E64" s="15" t="n">
        <f aca="false">E61/D61-1</f>
        <v>0.154688190377547</v>
      </c>
      <c r="F64" s="15" t="n">
        <f aca="false">F61/E61-1</f>
        <v>0.0224187505802591</v>
      </c>
      <c r="G64" s="15" t="n">
        <f aca="false">G61/F61-1</f>
        <v>0.0196062217701025</v>
      </c>
    </row>
    <row r="65" customFormat="false" ht="17.15" hidden="false" customHeight="false" outlineLevel="0" collapsed="false">
      <c r="A65" s="0" t="s">
        <v>471</v>
      </c>
      <c r="B65" s="0" t="s">
        <v>52</v>
      </c>
      <c r="C65" s="15" t="n">
        <f aca="false">C54/C61</f>
        <v>0.2</v>
      </c>
      <c r="D65" s="15" t="n">
        <f aca="false">D54/D61</f>
        <v>0.318</v>
      </c>
      <c r="E65" s="15" t="n">
        <f aca="false">E54/E61</f>
        <v>0.378152469226152</v>
      </c>
      <c r="F65" s="15" t="n">
        <f aca="false">F54/F61</f>
        <v>0.367718873879617</v>
      </c>
      <c r="G65" s="15" t="n">
        <f aca="false">G54/G61</f>
        <v>0.359480634336967</v>
      </c>
    </row>
    <row r="66" customFormat="false" ht="17.15" hidden="false" customHeight="false" outlineLevel="0" collapsed="false">
      <c r="A66" s="4" t="s">
        <v>472</v>
      </c>
      <c r="B66" s="0" t="s">
        <v>52</v>
      </c>
      <c r="C66" s="15" t="n">
        <f aca="false">(C54+C56)/C61</f>
        <v>0.4</v>
      </c>
      <c r="D66" s="15" t="n">
        <f aca="false">(D54+D56)/D61</f>
        <v>0.53</v>
      </c>
      <c r="E66" s="15" t="n">
        <f aca="false">(E54+E56)/E61</f>
        <v>0.583783740056388</v>
      </c>
      <c r="F66" s="15" t="n">
        <f aca="false">(F54+F56)/F61</f>
        <v>0.584931021417615</v>
      </c>
      <c r="G66" s="15" t="n">
        <f aca="false">(G54+G56)/G61</f>
        <v>0.585298083734792</v>
      </c>
    </row>
    <row r="67" customFormat="false" ht="17.15" hidden="false" customHeight="false" outlineLevel="0" collapsed="false">
      <c r="A67" s="4" t="s">
        <v>418</v>
      </c>
      <c r="B67" s="0" t="s">
        <v>405</v>
      </c>
      <c r="D67" s="16" t="n">
        <f aca="false">D54/fx/D45</f>
        <v>4.7355819103481</v>
      </c>
      <c r="E67" s="16" t="n">
        <f aca="false">E54/fx/E45</f>
        <v>3.65345615871513</v>
      </c>
      <c r="F67" s="16" t="n">
        <f aca="false">F54/fx/F45</f>
        <v>2.86545581075697</v>
      </c>
      <c r="G67" s="16" t="n">
        <f aca="false">G54/fx/G45</f>
        <v>2.50727383441234</v>
      </c>
    </row>
    <row r="68" customFormat="false" ht="17.15" hidden="false" customHeight="false" outlineLevel="0" collapsed="false">
      <c r="A68" s="4" t="s">
        <v>473</v>
      </c>
      <c r="B68" s="4" t="s">
        <v>416</v>
      </c>
      <c r="D68" s="19" t="n">
        <f aca="false">D52/fx/(odm_gb*(1-vr26)+odm_vr*vr26)</f>
        <v>24.0630682003257</v>
      </c>
      <c r="E68" s="19" t="n">
        <f aca="false">E52/fx/odm_vr</f>
        <v>25.0460301395554</v>
      </c>
      <c r="F68" s="19" t="n">
        <f aca="false">F52/fx/odm_vr</f>
        <v>28.013618359703</v>
      </c>
      <c r="G68" s="19" t="n">
        <f aca="false">G52/fx/odm_vr</f>
        <v>29.78447753054</v>
      </c>
      <c r="H68" s="4" t="s">
        <v>474</v>
      </c>
    </row>
    <row r="69" customFormat="false" ht="17.15" hidden="false" customHeight="false" outlineLevel="0" collapsed="false">
      <c r="A69" s="6" t="s">
        <v>475</v>
      </c>
    </row>
    <row r="70" customFormat="false" ht="17.15" hidden="false" customHeight="false" outlineLevel="0" collapsed="false">
      <c r="A70" s="4" t="s">
        <v>476</v>
      </c>
      <c r="B70" s="0" t="s">
        <v>52</v>
      </c>
      <c r="D70" s="14" t="n">
        <f aca="false">a26_gp/D61-d_ai*D65</f>
        <v>0.0621989258510762</v>
      </c>
      <c r="H70" s="8" t="s">
        <v>477</v>
      </c>
    </row>
    <row r="71" customFormat="false" ht="17.15" hidden="false" customHeight="false" outlineLevel="0" collapsed="false">
      <c r="A71" s="0" t="s">
        <v>478</v>
      </c>
      <c r="B71" s="0" t="s">
        <v>209</v>
      </c>
      <c r="D71" s="22" t="n">
        <f aca="false">($D$70+d_ai)*D52*(1-D53*(1-keep))</f>
        <v>202.8236004951</v>
      </c>
      <c r="E71" s="22" t="n">
        <f aca="false">($D$70+d_ai+vrd)*E52*(1-E53*(1-keep))</f>
        <v>295.636785321262</v>
      </c>
      <c r="F71" s="22" t="n">
        <f aca="false">($D$70+d_ai+vrd)*F52*(1-F53*(1-keep))</f>
        <v>327.325365317759</v>
      </c>
      <c r="G71" s="22" t="n">
        <f aca="false">($D$70+d_ai+vrd)*G52*(1-G53*(1-keep))</f>
        <v>346.241387711511</v>
      </c>
      <c r="H71" s="4" t="s">
        <v>479</v>
      </c>
    </row>
    <row r="72" customFormat="false" ht="15" hidden="false" customHeight="false" outlineLevel="0" collapsed="false">
      <c r="A72" s="4" t="s">
        <v>357</v>
      </c>
      <c r="B72" s="0" t="s">
        <v>209</v>
      </c>
      <c r="C72" s="19" t="n">
        <f aca="false">a25_gp</f>
        <v>498.161</v>
      </c>
      <c r="D72" s="19" t="n">
        <f aca="false">a26_gp</f>
        <v>675.8340708</v>
      </c>
      <c r="E72" s="19" t="n">
        <f aca="false">$D$70*E60+E71</f>
        <v>793.64329279594</v>
      </c>
      <c r="F72" s="19" t="n">
        <f aca="false">$D$70*F60+F71</f>
        <v>845.039625161657</v>
      </c>
      <c r="G72" s="19" t="n">
        <f aca="false">$D$70*G60+G71</f>
        <v>880.983824740028</v>
      </c>
    </row>
    <row r="73" customFormat="false" ht="15" hidden="false" customHeight="false" outlineLevel="0" collapsed="false">
      <c r="A73" s="4" t="s">
        <v>360</v>
      </c>
      <c r="B73" s="0" t="s">
        <v>52</v>
      </c>
      <c r="C73" s="14" t="n">
        <f aca="false">C72/C61</f>
        <v>0.0614777915379352</v>
      </c>
      <c r="D73" s="14" t="n">
        <f aca="false">D72/D61</f>
        <v>0.0606089258510762</v>
      </c>
      <c r="E73" s="14" t="n">
        <f aca="false">E72/E61</f>
        <v>0.0616392195774147</v>
      </c>
      <c r="F73" s="14" t="n">
        <f aca="false">F72/F61</f>
        <v>0.0641918732759164</v>
      </c>
      <c r="G73" s="14" t="n">
        <f aca="false">G72/G61</f>
        <v>0.0656354448746167</v>
      </c>
    </row>
    <row r="74" customFormat="false" ht="17.15" hidden="false" customHeight="false" outlineLevel="0" collapsed="false">
      <c r="A74" s="0" t="s">
        <v>480</v>
      </c>
      <c r="B74" s="0" t="s">
        <v>52</v>
      </c>
      <c r="D74" s="14" t="n">
        <f aca="false">D71/D54</f>
        <v>0.0571989258510762</v>
      </c>
      <c r="E74" s="14" t="n">
        <f aca="false">E71/E54</f>
        <v>0.0607188184361838</v>
      </c>
      <c r="F74" s="14" t="n">
        <f aca="false">F71/F54</f>
        <v>0.0676186841675683</v>
      </c>
      <c r="G74" s="14" t="n">
        <f aca="false">G71/G54</f>
        <v>0.0717586036063991</v>
      </c>
      <c r="H74" s="4" t="s">
        <v>481</v>
      </c>
    </row>
    <row r="75" customFormat="false" ht="15" hidden="false" customHeight="false" outlineLevel="0" collapsed="false">
      <c r="A75" s="4" t="s">
        <v>482</v>
      </c>
      <c r="B75" s="0" t="s">
        <v>209</v>
      </c>
      <c r="C75" s="19" t="n">
        <f aca="false">a25_opx</f>
        <v>238.938</v>
      </c>
      <c r="D75" s="19" t="n">
        <f aca="false">a26_opx</f>
        <v>254.8304233</v>
      </c>
      <c r="E75" s="19" t="n">
        <f aca="false">D75*(1+MAX(0,phi*E64))</f>
        <v>270.598126113368</v>
      </c>
      <c r="F75" s="19" t="n">
        <f aca="false">E75*(1+MAX(0,phi*F64))</f>
        <v>273.024714872097</v>
      </c>
      <c r="G75" s="19" t="n">
        <f aca="false">F75*(1+MAX(0,phi*G64))</f>
        <v>275.165908115497</v>
      </c>
    </row>
    <row r="76" customFormat="false" ht="15" hidden="false" customHeight="false" outlineLevel="0" collapsed="false">
      <c r="A76" s="4" t="s">
        <v>361</v>
      </c>
      <c r="B76" s="0" t="s">
        <v>209</v>
      </c>
      <c r="C76" s="19" t="n">
        <f aca="false">C75</f>
        <v>238.938</v>
      </c>
      <c r="D76" s="19" t="n">
        <f aca="false">D75</f>
        <v>254.8304233</v>
      </c>
      <c r="E76" s="19" t="n">
        <f aca="false">E75+0*E61</f>
        <v>270.598126113368</v>
      </c>
      <c r="F76" s="19" t="n">
        <f aca="false">F75+0*F61</f>
        <v>273.024714872097</v>
      </c>
      <c r="G76" s="19" t="n">
        <f aca="false">G75+0*G61</f>
        <v>275.165908115497</v>
      </c>
    </row>
    <row r="77" customFormat="false" ht="15" hidden="false" customHeight="false" outlineLevel="0" collapsed="false">
      <c r="A77" s="4" t="s">
        <v>364</v>
      </c>
      <c r="B77" s="0" t="s">
        <v>209</v>
      </c>
      <c r="C77" s="19" t="n">
        <f aca="false">C72-C76</f>
        <v>259.223</v>
      </c>
      <c r="D77" s="19" t="n">
        <f aca="false">D72-D76</f>
        <v>421.0036475</v>
      </c>
      <c r="E77" s="19" t="n">
        <f aca="false">E72-E76</f>
        <v>523.045166682571</v>
      </c>
      <c r="F77" s="19" t="n">
        <f aca="false">F72-F76</f>
        <v>572.01491028956</v>
      </c>
      <c r="G77" s="19" t="n">
        <f aca="false">G72-G76</f>
        <v>605.817916624531</v>
      </c>
    </row>
    <row r="78" customFormat="false" ht="15" hidden="false" customHeight="false" outlineLevel="0" collapsed="false">
      <c r="A78" s="4" t="s">
        <v>367</v>
      </c>
      <c r="B78" s="0" t="s">
        <v>52</v>
      </c>
      <c r="C78" s="14" t="n">
        <f aca="false">C77/C61</f>
        <v>0.0319905764518663</v>
      </c>
      <c r="D78" s="14" t="n">
        <f aca="false">D77/D61</f>
        <v>0.0377556858359561</v>
      </c>
      <c r="E78" s="14" t="n">
        <f aca="false">E77/E61</f>
        <v>0.0406229047365515</v>
      </c>
      <c r="F78" s="14" t="n">
        <f aca="false">F77/F61</f>
        <v>0.0434520554302028</v>
      </c>
      <c r="G78" s="14" t="n">
        <f aca="false">G77/G61</f>
        <v>0.0451349132118269</v>
      </c>
    </row>
    <row r="79" customFormat="false" ht="17.15" hidden="false" customHeight="false" outlineLevel="0" collapsed="false">
      <c r="A79" s="4" t="s">
        <v>243</v>
      </c>
      <c r="B79" s="0" t="s">
        <v>52</v>
      </c>
      <c r="C79" s="15" t="n">
        <f aca="false">a25_ni/a25_oi</f>
        <v>0.730467589681471</v>
      </c>
      <c r="D79" s="15" t="n">
        <f aca="false">a26_ni/a26_oi</f>
        <v>0.653811645064191</v>
      </c>
      <c r="E79" s="15" t="n">
        <f aca="false">nio_f</f>
        <v>0.66</v>
      </c>
      <c r="F79" s="15" t="n">
        <f aca="false">nio_f</f>
        <v>0.66</v>
      </c>
      <c r="G79" s="15" t="n">
        <f aca="false">nio_f</f>
        <v>0.66</v>
      </c>
    </row>
    <row r="80" customFormat="false" ht="15" hidden="false" customHeight="false" outlineLevel="0" collapsed="false">
      <c r="A80" s="4" t="s">
        <v>368</v>
      </c>
      <c r="B80" s="0" t="s">
        <v>209</v>
      </c>
      <c r="C80" s="19" t="n">
        <f aca="false">a25_ni</f>
        <v>189.354</v>
      </c>
      <c r="D80" s="19" t="n">
        <f aca="false">a26_ni</f>
        <v>275.25708735</v>
      </c>
      <c r="E80" s="19" t="n">
        <f aca="false">E77*E79</f>
        <v>345.209810010497</v>
      </c>
      <c r="F80" s="19" t="n">
        <f aca="false">F77*F79</f>
        <v>377.52984079111</v>
      </c>
      <c r="G80" s="19" t="n">
        <f aca="false">G77*G79</f>
        <v>399.83982497219</v>
      </c>
    </row>
    <row r="81" customFormat="false" ht="15" hidden="false" customHeight="false" outlineLevel="0" collapsed="false">
      <c r="A81" s="4" t="s">
        <v>483</v>
      </c>
      <c r="B81" s="4" t="s">
        <v>230</v>
      </c>
      <c r="C81" s="23" t="n">
        <f aca="false">a25_sh</f>
        <v>13.9128581925055</v>
      </c>
      <c r="D81" s="23" t="n">
        <f aca="false">a26_sh</f>
        <v>14.0169642857143</v>
      </c>
      <c r="E81" s="23" t="n">
        <f aca="false">D81*(1+sh_g)</f>
        <v>14.0169642857143</v>
      </c>
      <c r="F81" s="23" t="n">
        <f aca="false">E81*(1+sh_g)</f>
        <v>14.0169642857143</v>
      </c>
      <c r="G81" s="23" t="n">
        <f aca="false">F81*(1+sh_g)</f>
        <v>14.0169642857143</v>
      </c>
    </row>
    <row r="82" customFormat="false" ht="15" hidden="false" customHeight="false" outlineLevel="0" collapsed="false">
      <c r="A82" s="0" t="s">
        <v>374</v>
      </c>
      <c r="B82" s="0" t="s">
        <v>260</v>
      </c>
      <c r="C82" s="22" t="n">
        <f aca="false">C80/C81</f>
        <v>13.61</v>
      </c>
      <c r="D82" s="22" t="n">
        <f aca="false">D80/D81</f>
        <v>19.6374251756163</v>
      </c>
      <c r="E82" s="22" t="n">
        <f aca="false">E80/E81</f>
        <v>24.6280009689634</v>
      </c>
      <c r="F82" s="22" t="n">
        <f aca="false">F80/F81</f>
        <v>26.9337806029711</v>
      </c>
      <c r="G82" s="22" t="n">
        <f aca="false">G80/G81</f>
        <v>28.5254222542107</v>
      </c>
    </row>
    <row r="83" customFormat="false" ht="17.15" hidden="false" customHeight="false" outlineLevel="0" collapsed="false">
      <c r="A83" s="0" t="s">
        <v>484</v>
      </c>
      <c r="B83" s="0" t="s">
        <v>52</v>
      </c>
      <c r="D83" s="15" t="n">
        <f aca="false">D82/C82-1</f>
        <v>0.442867389832203</v>
      </c>
      <c r="E83" s="15" t="n">
        <f aca="false">E82/D82-1</f>
        <v>0.254135954623212</v>
      </c>
      <c r="F83" s="15" t="n">
        <f aca="false">F82/E82-1</f>
        <v>0.0936243114864832</v>
      </c>
      <c r="G83" s="15" t="n">
        <f aca="false">G82/F82-1</f>
        <v>0.0590946245052584</v>
      </c>
    </row>
    <row r="86" customFormat="false" ht="17.15" hidden="false" customHeight="false" outlineLevel="0" collapsed="false">
      <c r="A86" s="1" t="s">
        <v>833</v>
      </c>
    </row>
    <row r="87" customFormat="false" ht="17.15" hidden="false" customHeight="false" outlineLevel="0" collapsed="false">
      <c r="A87" s="5" t="s">
        <v>21</v>
      </c>
      <c r="B87" s="5" t="s">
        <v>22</v>
      </c>
      <c r="C87" s="11" t="s">
        <v>347</v>
      </c>
      <c r="D87" s="11" t="s">
        <v>429</v>
      </c>
      <c r="E87" s="11" t="s">
        <v>430</v>
      </c>
      <c r="F87" s="11" t="s">
        <v>431</v>
      </c>
      <c r="G87" s="11" t="s">
        <v>432</v>
      </c>
      <c r="H87" s="5" t="s">
        <v>400</v>
      </c>
    </row>
    <row r="88" customFormat="false" ht="17.15" hidden="false" customHeight="false" outlineLevel="0" collapsed="false">
      <c r="A88" s="6" t="s">
        <v>450</v>
      </c>
    </row>
    <row r="89" customFormat="false" ht="17.15" hidden="false" customHeight="false" outlineLevel="0" collapsed="false">
      <c r="A89" s="0" t="s">
        <v>451</v>
      </c>
      <c r="B89" s="0" t="s">
        <v>32</v>
      </c>
      <c r="D89" s="22" t="n">
        <f aca="false">itc_26*1</f>
        <v>781.872916666666</v>
      </c>
      <c r="E89" s="22" t="n">
        <f aca="false">itc_27*1*1</f>
        <v>1565.35</v>
      </c>
      <c r="F89" s="22" t="n">
        <f aca="false">itc_28*um28_A*1</f>
        <v>1984.26388888889</v>
      </c>
      <c r="G89" s="22" t="n">
        <f aca="false">itc_29*um29_A*1</f>
        <v>2260.39027777778</v>
      </c>
    </row>
    <row r="90" customFormat="false" ht="17.15" hidden="false" customHeight="false" outlineLevel="0" collapsed="false">
      <c r="A90" s="4" t="s">
        <v>452</v>
      </c>
      <c r="B90" s="0" t="s">
        <v>32</v>
      </c>
      <c r="D90" s="22" t="n">
        <f aca="false">itpg_gb*(1-vr26)+itpg_vr*vr26</f>
        <v>33.41403216</v>
      </c>
      <c r="E90" s="22" t="n">
        <f aca="false">itpg_vr</f>
        <v>37.586352</v>
      </c>
      <c r="F90" s="22" t="n">
        <f aca="false">itpg_vr</f>
        <v>37.586352</v>
      </c>
      <c r="G90" s="22" t="n">
        <f aca="false">itpg_vr</f>
        <v>37.586352</v>
      </c>
    </row>
    <row r="91" customFormat="false" ht="17.15" hidden="false" customHeight="false" outlineLevel="0" collapsed="false">
      <c r="A91" s="4" t="s">
        <v>453</v>
      </c>
      <c r="B91" s="0" t="s">
        <v>402</v>
      </c>
      <c r="D91" s="18" t="n">
        <f aca="false">D89/D90</f>
        <v>23.3995380420639</v>
      </c>
      <c r="E91" s="18" t="n">
        <f aca="false">E89/E90</f>
        <v>41.6467658260637</v>
      </c>
      <c r="F91" s="18" t="n">
        <f aca="false">F89/F90</f>
        <v>52.792138191248</v>
      </c>
      <c r="G91" s="18" t="n">
        <f aca="false">G89/G90</f>
        <v>60.1385917361116</v>
      </c>
    </row>
    <row r="92" customFormat="false" ht="17.15" hidden="false" customHeight="false" outlineLevel="0" collapsed="false">
      <c r="A92" s="4" t="s">
        <v>404</v>
      </c>
      <c r="B92" s="0" t="s">
        <v>405</v>
      </c>
      <c r="D92" s="16" t="n">
        <f aca="false">(racks_gb*odm_gb*(1-vr26)+racks_vr*odm_vr*vr26)/1000</f>
        <v>27.1209</v>
      </c>
      <c r="E92" s="16" t="n">
        <f aca="false">racks_vr*odm_vr/1000</f>
        <v>27.351</v>
      </c>
      <c r="F92" s="16" t="n">
        <f aca="false">$E92*vpg_28</f>
        <v>27.351</v>
      </c>
      <c r="G92" s="16" t="n">
        <f aca="false">$E92*vpg_29</f>
        <v>27.351</v>
      </c>
      <c r="H92" s="4" t="s">
        <v>454</v>
      </c>
    </row>
    <row r="93" customFormat="false" ht="17.15" hidden="false" customHeight="false" outlineLevel="0" collapsed="false">
      <c r="A93" s="0" t="s">
        <v>455</v>
      </c>
      <c r="B93" s="0" t="s">
        <v>32</v>
      </c>
      <c r="D93" s="19" t="n">
        <f aca="false">D91*D92</f>
        <v>634.61653128501</v>
      </c>
      <c r="E93" s="19" t="n">
        <f aca="false">E91*E92</f>
        <v>1139.08069210867</v>
      </c>
      <c r="F93" s="19" t="n">
        <f aca="false">F91*F92</f>
        <v>1443.91777166882</v>
      </c>
      <c r="G93" s="19" t="n">
        <f aca="false">G91*G92</f>
        <v>1644.85062257439</v>
      </c>
    </row>
    <row r="94" customFormat="false" ht="17.15" hidden="false" customHeight="false" outlineLevel="0" collapsed="false">
      <c r="A94" s="0" t="s">
        <v>456</v>
      </c>
      <c r="B94" s="0" t="s">
        <v>209</v>
      </c>
      <c r="D94" s="19" t="n">
        <f aca="false">D93*fx</f>
        <v>20307.7290011203</v>
      </c>
      <c r="E94" s="19" t="n">
        <f aca="false">E93*fx</f>
        <v>36450.5821474774</v>
      </c>
      <c r="F94" s="19" t="n">
        <f aca="false">F93*fx</f>
        <v>46205.3686934024</v>
      </c>
      <c r="G94" s="19" t="n">
        <f aca="false">G93*fx</f>
        <v>52635.2199223804</v>
      </c>
    </row>
    <row r="95" customFormat="false" ht="17.15" hidden="false" customHeight="false" outlineLevel="0" collapsed="false">
      <c r="A95" s="4" t="s">
        <v>457</v>
      </c>
      <c r="B95" s="0" t="s">
        <v>52</v>
      </c>
      <c r="D95" s="15" t="n">
        <f aca="false">a26_ai/D94</f>
        <v>0.174610057569922</v>
      </c>
      <c r="H95" s="8" t="s">
        <v>458</v>
      </c>
    </row>
    <row r="96" customFormat="false" ht="17.15" hidden="false" customHeight="false" outlineLevel="0" collapsed="false">
      <c r="A96" s="4" t="s">
        <v>459</v>
      </c>
      <c r="B96" s="0" t="s">
        <v>71</v>
      </c>
      <c r="D96" s="16" t="n">
        <f aca="false">1</f>
        <v>1</v>
      </c>
      <c r="E96" s="16" t="n">
        <f aca="false">RHI_27</f>
        <v>1.15</v>
      </c>
      <c r="F96" s="16" t="n">
        <f aca="false">RHI_28</f>
        <v>1.15</v>
      </c>
      <c r="G96" s="16" t="n">
        <f aca="false">RHI_29</f>
        <v>1.15</v>
      </c>
    </row>
    <row r="97" customFormat="false" ht="15" hidden="false" customHeight="false" outlineLevel="0" collapsed="false">
      <c r="A97" s="4" t="s">
        <v>460</v>
      </c>
      <c r="B97" s="0" t="s">
        <v>52</v>
      </c>
      <c r="D97" s="15" t="n">
        <f aca="false">$D$95*D96</f>
        <v>0.174610057569922</v>
      </c>
      <c r="E97" s="15" t="n">
        <f aca="false">$D$95*E96</f>
        <v>0.20080156620541</v>
      </c>
      <c r="F97" s="15" t="n">
        <f aca="false">$D$95*F96</f>
        <v>0.20080156620541</v>
      </c>
      <c r="G97" s="15" t="n">
        <f aca="false">$D$95*G96</f>
        <v>0.20080156620541</v>
      </c>
    </row>
    <row r="98" customFormat="false" ht="17.15" hidden="false" customHeight="false" outlineLevel="0" collapsed="false">
      <c r="A98" s="0" t="s">
        <v>461</v>
      </c>
      <c r="B98" s="0" t="s">
        <v>209</v>
      </c>
      <c r="D98" s="19" t="n">
        <f aca="false">D94*D97</f>
        <v>3545.93373</v>
      </c>
      <c r="E98" s="19" t="n">
        <f aca="false">E94*E97</f>
        <v>7319.33398431243</v>
      </c>
      <c r="F98" s="19" t="n">
        <f aca="false">F94*F97</f>
        <v>9278.11040073363</v>
      </c>
      <c r="G98" s="19" t="n">
        <f aca="false">G94*G97</f>
        <v>10569.2345979802</v>
      </c>
    </row>
    <row r="99" customFormat="false" ht="17.15" hidden="false" customHeight="false" outlineLevel="0" collapsed="false">
      <c r="A99" s="4" t="s">
        <v>462</v>
      </c>
      <c r="B99" s="0" t="s">
        <v>52</v>
      </c>
      <c r="D99" s="15" t="n">
        <f aca="false">0</f>
        <v>0</v>
      </c>
      <c r="E99" s="15" t="n">
        <f aca="false">cs_27</f>
        <v>0.1</v>
      </c>
      <c r="F99" s="15" t="n">
        <f aca="false">cs_28</f>
        <v>0.2</v>
      </c>
      <c r="G99" s="15" t="n">
        <f aca="false">cs_29</f>
        <v>0.25</v>
      </c>
      <c r="H99" s="8" t="s">
        <v>463</v>
      </c>
    </row>
    <row r="100" customFormat="false" ht="17.15" hidden="false" customHeight="false" outlineLevel="0" collapsed="false">
      <c r="A100" s="0" t="s">
        <v>464</v>
      </c>
      <c r="B100" s="0" t="s">
        <v>209</v>
      </c>
      <c r="C100" s="19" t="n">
        <f aca="false">a25_ai</f>
        <v>1620.621</v>
      </c>
      <c r="D100" s="19" t="n">
        <f aca="false">D98*(1-D99)</f>
        <v>3545.93373</v>
      </c>
      <c r="E100" s="19" t="n">
        <f aca="false">E98*(1-E99)</f>
        <v>6587.40058588119</v>
      </c>
      <c r="F100" s="19" t="n">
        <f aca="false">F98*(1-F99)</f>
        <v>7422.48832058691</v>
      </c>
      <c r="G100" s="19" t="n">
        <f aca="false">G98*(1-G99)</f>
        <v>7926.92594848515</v>
      </c>
    </row>
    <row r="101" customFormat="false" ht="17.15" hidden="false" customHeight="false" outlineLevel="0" collapsed="false">
      <c r="A101" s="6" t="s">
        <v>465</v>
      </c>
    </row>
    <row r="102" customFormat="false" ht="17.15" hidden="false" customHeight="false" outlineLevel="0" collapsed="false">
      <c r="A102" s="4" t="s">
        <v>382</v>
      </c>
      <c r="B102" s="0" t="s">
        <v>209</v>
      </c>
      <c r="C102" s="19" t="n">
        <f aca="false">a25_cn</f>
        <v>1620.621</v>
      </c>
      <c r="D102" s="19" t="n">
        <f aca="false">a26_cn</f>
        <v>2363.95582</v>
      </c>
      <c r="E102" s="19" t="n">
        <f aca="false">D102*(1+g_cn27)</f>
        <v>2647.6305184</v>
      </c>
      <c r="F102" s="19" t="n">
        <f aca="false">E102*(1+g_cn28)</f>
        <v>2859.440959872</v>
      </c>
      <c r="G102" s="19" t="n">
        <f aca="false">F102*(1+g_cn29)</f>
        <v>3031.00741746432</v>
      </c>
    </row>
    <row r="103" customFormat="false" ht="17.15" hidden="false" customHeight="false" outlineLevel="0" collapsed="false">
      <c r="A103" s="4" t="s">
        <v>383</v>
      </c>
      <c r="B103" s="0" t="s">
        <v>209</v>
      </c>
      <c r="C103" s="19" t="n">
        <f aca="false">a25_ce</f>
        <v>3079.1799</v>
      </c>
      <c r="D103" s="19" t="n">
        <f aca="false">a26_ce</f>
        <v>3345.2205</v>
      </c>
      <c r="E103" s="19" t="n">
        <f aca="false">D103*(1+g_ce27)</f>
        <v>3445.577115</v>
      </c>
      <c r="F103" s="19" t="n">
        <f aca="false">E103*(1+g_ce28)</f>
        <v>3514.4886573</v>
      </c>
      <c r="G103" s="19" t="n">
        <f aca="false">F103*(1+g_ce29)</f>
        <v>3584.778430446</v>
      </c>
    </row>
    <row r="104" customFormat="false" ht="15" hidden="false" customHeight="false" outlineLevel="0" collapsed="false">
      <c r="A104" s="4" t="s">
        <v>384</v>
      </c>
      <c r="B104" s="0" t="s">
        <v>209</v>
      </c>
      <c r="C104" s="19" t="n">
        <f aca="false">a25_pc</f>
        <v>1215.46575</v>
      </c>
      <c r="D104" s="19" t="n">
        <f aca="false">a26_pc</f>
        <v>1338.0882</v>
      </c>
      <c r="E104" s="19" t="n">
        <f aca="false">D104*(1+g_pc27)</f>
        <v>1311.326436</v>
      </c>
      <c r="F104" s="19" t="n">
        <f aca="false">E104*(1+g_pc28)</f>
        <v>1311.326436</v>
      </c>
      <c r="G104" s="19" t="n">
        <f aca="false">F104*(1+g_pc29)</f>
        <v>1311.326436</v>
      </c>
    </row>
    <row r="105" customFormat="false" ht="15" hidden="false" customHeight="false" outlineLevel="0" collapsed="false">
      <c r="A105" s="4" t="s">
        <v>466</v>
      </c>
      <c r="B105" s="0" t="s">
        <v>209</v>
      </c>
      <c r="C105" s="19" t="n">
        <f aca="false">a25_co</f>
        <v>567.217349999999</v>
      </c>
      <c r="D105" s="19" t="n">
        <f aca="false">a26_co</f>
        <v>557.53675</v>
      </c>
      <c r="E105" s="19" t="n">
        <f aca="false">D105*(1+g_co27)</f>
        <v>602.13969</v>
      </c>
      <c r="F105" s="19" t="n">
        <f aca="false">E105*(1+g_co28)</f>
        <v>638.2680714</v>
      </c>
      <c r="G105" s="19" t="n">
        <f aca="false">F105*(1+g_co29)</f>
        <v>670.18147497</v>
      </c>
    </row>
    <row r="106" customFormat="false" ht="17.15" hidden="false" customHeight="false" outlineLevel="0" collapsed="false">
      <c r="A106" s="4" t="s">
        <v>387</v>
      </c>
      <c r="B106" s="0" t="s">
        <v>209</v>
      </c>
      <c r="C106" s="19" t="n">
        <f aca="false">SUM(C102:C105)</f>
        <v>6482.484</v>
      </c>
      <c r="D106" s="19" t="n">
        <f aca="false">SUM(D102:D105)</f>
        <v>7604.80127</v>
      </c>
      <c r="E106" s="19" t="n">
        <f aca="false">SUM(E102:E105)</f>
        <v>8006.6737594</v>
      </c>
      <c r="F106" s="19" t="n">
        <f aca="false">SUM(F102:F105)</f>
        <v>8323.524124572</v>
      </c>
      <c r="G106" s="19" t="n">
        <f aca="false">SUM(G102:G105)</f>
        <v>8597.29375888032</v>
      </c>
    </row>
    <row r="107" customFormat="false" ht="15" hidden="false" customHeight="false" outlineLevel="0" collapsed="false">
      <c r="A107" s="4" t="s">
        <v>353</v>
      </c>
      <c r="B107" s="0" t="s">
        <v>209</v>
      </c>
      <c r="C107" s="19" t="n">
        <f aca="false">C100+C106</f>
        <v>8103.105</v>
      </c>
      <c r="D107" s="19" t="n">
        <f aca="false">D100+D106</f>
        <v>11150.735</v>
      </c>
      <c r="E107" s="19" t="n">
        <f aca="false">E100+E106</f>
        <v>14594.0743452812</v>
      </c>
      <c r="F107" s="19" t="n">
        <f aca="false">F100+F106</f>
        <v>15746.0124451589</v>
      </c>
      <c r="G107" s="19" t="n">
        <f aca="false">G100+G106</f>
        <v>16524.2197073655</v>
      </c>
    </row>
    <row r="108" customFormat="false" ht="17.15" hidden="false" customHeight="false" outlineLevel="0" collapsed="false">
      <c r="A108" s="4" t="s">
        <v>467</v>
      </c>
      <c r="B108" s="0" t="s">
        <v>209</v>
      </c>
      <c r="C108" s="19" t="n">
        <f aca="false">C100+C102</f>
        <v>3241.242</v>
      </c>
      <c r="D108" s="19" t="n">
        <f aca="false">D100+D102</f>
        <v>5909.88955</v>
      </c>
      <c r="E108" s="19" t="n">
        <f aca="false">E100+E102</f>
        <v>9235.03110428119</v>
      </c>
      <c r="F108" s="19" t="n">
        <f aca="false">F100+F102</f>
        <v>10281.9292804589</v>
      </c>
      <c r="G108" s="19" t="n">
        <f aca="false">G100+G102</f>
        <v>10957.9333659495</v>
      </c>
      <c r="H108" s="4" t="s">
        <v>468</v>
      </c>
    </row>
    <row r="109" customFormat="false" ht="17.15" hidden="false" customHeight="false" outlineLevel="0" collapsed="false">
      <c r="A109" s="4" t="s">
        <v>469</v>
      </c>
      <c r="B109" s="0" t="s">
        <v>209</v>
      </c>
      <c r="C109" s="23" t="n">
        <f aca="false">C108+C103+C104+C105-a25_rev</f>
        <v>0</v>
      </c>
      <c r="D109" s="23" t="n">
        <f aca="false">D108+D103+D104+D105-a26_rev</f>
        <v>0</v>
      </c>
      <c r="E109" s="23" t="n">
        <f aca="false">E108+E103+E104+E105-E107</f>
        <v>0</v>
      </c>
      <c r="F109" s="23" t="n">
        <f aca="false">F108+F103+F104+F105-F107</f>
        <v>0</v>
      </c>
      <c r="G109" s="23" t="n">
        <f aca="false">G108+G103+G104+G105-G107</f>
        <v>0</v>
      </c>
    </row>
    <row r="110" customFormat="false" ht="15" hidden="false" customHeight="false" outlineLevel="0" collapsed="false">
      <c r="A110" s="4" t="s">
        <v>470</v>
      </c>
      <c r="B110" s="0" t="s">
        <v>52</v>
      </c>
      <c r="D110" s="15" t="n">
        <f aca="false">D107/C107-1</f>
        <v>0.376106443147411</v>
      </c>
      <c r="E110" s="15" t="n">
        <f aca="false">E107/D107-1</f>
        <v>0.308799316393151</v>
      </c>
      <c r="F110" s="15" t="n">
        <f aca="false">F107/E107-1</f>
        <v>0.0789319056915856</v>
      </c>
      <c r="G110" s="15" t="n">
        <f aca="false">G107/F107-1</f>
        <v>0.0494224975953088</v>
      </c>
    </row>
    <row r="111" customFormat="false" ht="17.15" hidden="false" customHeight="false" outlineLevel="0" collapsed="false">
      <c r="A111" s="0" t="s">
        <v>471</v>
      </c>
      <c r="B111" s="0" t="s">
        <v>52</v>
      </c>
      <c r="C111" s="15" t="n">
        <f aca="false">C100/C107</f>
        <v>0.2</v>
      </c>
      <c r="D111" s="15" t="n">
        <f aca="false">D100/D107</f>
        <v>0.318</v>
      </c>
      <c r="E111" s="15" t="n">
        <f aca="false">E100/E107</f>
        <v>0.451375019068006</v>
      </c>
      <c r="F111" s="15" t="n">
        <f aca="false">F100/F107</f>
        <v>0.471388444943656</v>
      </c>
      <c r="G111" s="15" t="n">
        <f aca="false">G100/G107</f>
        <v>0.479715598610192</v>
      </c>
    </row>
    <row r="112" customFormat="false" ht="17.15" hidden="false" customHeight="false" outlineLevel="0" collapsed="false">
      <c r="A112" s="4" t="s">
        <v>472</v>
      </c>
      <c r="B112" s="0" t="s">
        <v>52</v>
      </c>
      <c r="C112" s="15" t="n">
        <f aca="false">(C100+C102)/C107</f>
        <v>0.4</v>
      </c>
      <c r="D112" s="15" t="n">
        <f aca="false">(D100+D102)/D107</f>
        <v>0.53</v>
      </c>
      <c r="E112" s="15" t="n">
        <f aca="false">(E100+E102)/E107</f>
        <v>0.632793206735117</v>
      </c>
      <c r="F112" s="15" t="n">
        <f aca="false">(F100+F102)/F107</f>
        <v>0.652986228498764</v>
      </c>
      <c r="G112" s="15" t="n">
        <f aca="false">(G100+G102)/G107</f>
        <v>0.663143770780602</v>
      </c>
    </row>
    <row r="113" customFormat="false" ht="17.15" hidden="false" customHeight="false" outlineLevel="0" collapsed="false">
      <c r="A113" s="4" t="s">
        <v>418</v>
      </c>
      <c r="B113" s="0" t="s">
        <v>405</v>
      </c>
      <c r="D113" s="16" t="n">
        <f aca="false">D100/fx/D91</f>
        <v>4.7355819103481</v>
      </c>
      <c r="E113" s="16" t="n">
        <f aca="false">E100/fx/E91</f>
        <v>4.94291127355576</v>
      </c>
      <c r="F113" s="16" t="n">
        <f aca="false">F100/fx/F91</f>
        <v>4.39369890982735</v>
      </c>
      <c r="G113" s="16" t="n">
        <f aca="false">G100/fx/G91</f>
        <v>4.11909272796314</v>
      </c>
    </row>
    <row r="114" customFormat="false" ht="17.15" hidden="false" customHeight="false" outlineLevel="0" collapsed="false">
      <c r="A114" s="4" t="s">
        <v>473</v>
      </c>
      <c r="B114" s="4" t="s">
        <v>416</v>
      </c>
      <c r="D114" s="19" t="n">
        <f aca="false">D98/fx/(odm_gb*(1-vr26)+odm_vr*vr26)</f>
        <v>24.0630682003257</v>
      </c>
      <c r="E114" s="19" t="n">
        <f aca="false">E98/fx/odm_vr</f>
        <v>33.8858054829279</v>
      </c>
      <c r="F114" s="19" t="n">
        <f aca="false">F98/fx/odm_vr</f>
        <v>42.9542148182113</v>
      </c>
      <c r="G114" s="19" t="n">
        <f aca="false">G98/fx/odm_vr</f>
        <v>48.9316416573158</v>
      </c>
      <c r="H114" s="4" t="s">
        <v>474</v>
      </c>
    </row>
    <row r="115" customFormat="false" ht="17.15" hidden="false" customHeight="false" outlineLevel="0" collapsed="false">
      <c r="A115" s="6" t="s">
        <v>475</v>
      </c>
    </row>
    <row r="116" customFormat="false" ht="17.15" hidden="false" customHeight="false" outlineLevel="0" collapsed="false">
      <c r="A116" s="4" t="s">
        <v>476</v>
      </c>
      <c r="B116" s="0" t="s">
        <v>52</v>
      </c>
      <c r="D116" s="14" t="n">
        <f aca="false">a26_gp/D107-d_ai*D111</f>
        <v>0.0621989258510762</v>
      </c>
      <c r="H116" s="8" t="s">
        <v>477</v>
      </c>
    </row>
    <row r="117" customFormat="false" ht="17.15" hidden="false" customHeight="false" outlineLevel="0" collapsed="false">
      <c r="A117" s="0" t="s">
        <v>478</v>
      </c>
      <c r="B117" s="0" t="s">
        <v>209</v>
      </c>
      <c r="D117" s="22" t="n">
        <f aca="false">($D$116+d_ai)*D98*(1-D99*(1-keep))</f>
        <v>202.8236004951</v>
      </c>
      <c r="E117" s="22" t="n">
        <f aca="false">($D$116+d_ai+vrd)*E98*(1-E99*(1-keep))</f>
        <v>399.979180140531</v>
      </c>
      <c r="F117" s="22" t="n">
        <f aca="false">($D$116+d_ai+vrd)*F98*(1-F99*(1-keep))</f>
        <v>501.898893487231</v>
      </c>
      <c r="G117" s="22" t="n">
        <f aca="false">($D$116+d_ai+vrd)*G98*(1-G99*(1-keep))</f>
        <v>568.825136954625</v>
      </c>
      <c r="H117" s="4" t="s">
        <v>479</v>
      </c>
    </row>
    <row r="118" customFormat="false" ht="15" hidden="false" customHeight="false" outlineLevel="0" collapsed="false">
      <c r="A118" s="4" t="s">
        <v>357</v>
      </c>
      <c r="B118" s="0" t="s">
        <v>209</v>
      </c>
      <c r="C118" s="19" t="n">
        <f aca="false">a25_gp</f>
        <v>498.161</v>
      </c>
      <c r="D118" s="19" t="n">
        <f aca="false">a26_gp</f>
        <v>675.8340708</v>
      </c>
      <c r="E118" s="19" t="n">
        <f aca="false">$D$116*E106+E117</f>
        <v>897.985687615209</v>
      </c>
      <c r="F118" s="19" t="n">
        <f aca="false">$D$116*F106+F117</f>
        <v>1019.61315333113</v>
      </c>
      <c r="G118" s="19" t="n">
        <f aca="false">$D$116*G106+G117</f>
        <v>1103.56757398314</v>
      </c>
    </row>
    <row r="119" customFormat="false" ht="15" hidden="false" customHeight="false" outlineLevel="0" collapsed="false">
      <c r="A119" s="4" t="s">
        <v>360</v>
      </c>
      <c r="B119" s="0" t="s">
        <v>52</v>
      </c>
      <c r="C119" s="14" t="n">
        <f aca="false">C118/C107</f>
        <v>0.0614777915379352</v>
      </c>
      <c r="D119" s="14" t="n">
        <f aca="false">D118/D107</f>
        <v>0.0606089258510762</v>
      </c>
      <c r="E119" s="14" t="n">
        <f aca="false">E118/E107</f>
        <v>0.0615308423384564</v>
      </c>
      <c r="F119" s="14" t="n">
        <f aca="false">F118/F107</f>
        <v>0.0647537372958579</v>
      </c>
      <c r="G119" s="14" t="n">
        <f aca="false">G118/G107</f>
        <v>0.0667848523879914</v>
      </c>
    </row>
    <row r="120" customFormat="false" ht="17.15" hidden="false" customHeight="false" outlineLevel="0" collapsed="false">
      <c r="A120" s="0" t="s">
        <v>480</v>
      </c>
      <c r="B120" s="0" t="s">
        <v>52</v>
      </c>
      <c r="D120" s="14" t="n">
        <f aca="false">D117/D100</f>
        <v>0.0571989258510762</v>
      </c>
      <c r="E120" s="14" t="n">
        <f aca="false">E117/E100</f>
        <v>0.0607188184361838</v>
      </c>
      <c r="F120" s="14" t="n">
        <f aca="false">F117/F100</f>
        <v>0.0676186841675683</v>
      </c>
      <c r="G120" s="14" t="n">
        <f aca="false">G117/G100</f>
        <v>0.0717586036063991</v>
      </c>
      <c r="H120" s="4" t="s">
        <v>481</v>
      </c>
    </row>
    <row r="121" customFormat="false" ht="15" hidden="false" customHeight="false" outlineLevel="0" collapsed="false">
      <c r="A121" s="4" t="s">
        <v>482</v>
      </c>
      <c r="B121" s="0" t="s">
        <v>209</v>
      </c>
      <c r="C121" s="19" t="n">
        <f aca="false">a25_opx</f>
        <v>238.938</v>
      </c>
      <c r="D121" s="19" t="n">
        <f aca="false">a26_opx</f>
        <v>254.8304233</v>
      </c>
      <c r="E121" s="19" t="n">
        <f aca="false">D121*(1+MAX(0,phi*E110))</f>
        <v>286.307007504487</v>
      </c>
      <c r="F121" s="19" t="n">
        <f aca="false">E121*(1+MAX(0,phi*F110))</f>
        <v>295.346510590561</v>
      </c>
      <c r="G121" s="19" t="n">
        <f aca="false">F121*(1+MAX(0,phi*G110))</f>
        <v>301.185215474339</v>
      </c>
    </row>
    <row r="122" customFormat="false" ht="15" hidden="false" customHeight="false" outlineLevel="0" collapsed="false">
      <c r="A122" s="4" t="s">
        <v>361</v>
      </c>
      <c r="B122" s="0" t="s">
        <v>209</v>
      </c>
      <c r="C122" s="19" t="n">
        <f aca="false">C121</f>
        <v>238.938</v>
      </c>
      <c r="D122" s="19" t="n">
        <f aca="false">D121</f>
        <v>254.8304233</v>
      </c>
      <c r="E122" s="19" t="n">
        <f aca="false">E121+0*E107</f>
        <v>286.307007504487</v>
      </c>
      <c r="F122" s="19" t="n">
        <f aca="false">F121+0*F107</f>
        <v>295.346510590561</v>
      </c>
      <c r="G122" s="19" t="n">
        <f aca="false">G121+0*G107</f>
        <v>301.185215474339</v>
      </c>
    </row>
    <row r="123" customFormat="false" ht="15" hidden="false" customHeight="false" outlineLevel="0" collapsed="false">
      <c r="A123" s="4" t="s">
        <v>364</v>
      </c>
      <c r="B123" s="0" t="s">
        <v>209</v>
      </c>
      <c r="C123" s="19" t="n">
        <f aca="false">C118-C122</f>
        <v>259.223</v>
      </c>
      <c r="D123" s="19" t="n">
        <f aca="false">D118-D122</f>
        <v>421.0036475</v>
      </c>
      <c r="E123" s="19" t="n">
        <f aca="false">E118-E122</f>
        <v>611.678680110722</v>
      </c>
      <c r="F123" s="19" t="n">
        <f aca="false">F118-F122</f>
        <v>724.266642740568</v>
      </c>
      <c r="G123" s="19" t="n">
        <f aca="false">G118-G122</f>
        <v>802.382358508804</v>
      </c>
    </row>
    <row r="124" customFormat="false" ht="15" hidden="false" customHeight="false" outlineLevel="0" collapsed="false">
      <c r="A124" s="4" t="s">
        <v>367</v>
      </c>
      <c r="B124" s="0" t="s">
        <v>52</v>
      </c>
      <c r="C124" s="14" t="n">
        <f aca="false">C123/C107</f>
        <v>0.0319905764518663</v>
      </c>
      <c r="D124" s="14" t="n">
        <f aca="false">D123/D107</f>
        <v>0.0377556858359561</v>
      </c>
      <c r="E124" s="14" t="n">
        <f aca="false">E123/E107</f>
        <v>0.0419128110244622</v>
      </c>
      <c r="F124" s="14" t="n">
        <f aca="false">F123/F107</f>
        <v>0.0459968290551709</v>
      </c>
      <c r="G124" s="14" t="n">
        <f aca="false">G123/G107</f>
        <v>0.0485579575143963</v>
      </c>
    </row>
    <row r="125" customFormat="false" ht="17.15" hidden="false" customHeight="false" outlineLevel="0" collapsed="false">
      <c r="A125" s="4" t="s">
        <v>243</v>
      </c>
      <c r="B125" s="0" t="s">
        <v>52</v>
      </c>
      <c r="C125" s="15" t="n">
        <f aca="false">a25_ni/a25_oi</f>
        <v>0.730467589681471</v>
      </c>
      <c r="D125" s="15" t="n">
        <f aca="false">a26_ni/a26_oi</f>
        <v>0.653811645064191</v>
      </c>
      <c r="E125" s="15" t="n">
        <f aca="false">nio_f</f>
        <v>0.66</v>
      </c>
      <c r="F125" s="15" t="n">
        <f aca="false">nio_f</f>
        <v>0.66</v>
      </c>
      <c r="G125" s="15" t="n">
        <f aca="false">nio_f</f>
        <v>0.66</v>
      </c>
    </row>
    <row r="126" customFormat="false" ht="15" hidden="false" customHeight="false" outlineLevel="0" collapsed="false">
      <c r="A126" s="4" t="s">
        <v>368</v>
      </c>
      <c r="B126" s="0" t="s">
        <v>209</v>
      </c>
      <c r="C126" s="19" t="n">
        <f aca="false">a25_ni</f>
        <v>189.354</v>
      </c>
      <c r="D126" s="19" t="n">
        <f aca="false">a26_ni</f>
        <v>275.25708735</v>
      </c>
      <c r="E126" s="19" t="n">
        <f aca="false">E123*E125</f>
        <v>403.707928873076</v>
      </c>
      <c r="F126" s="19" t="n">
        <f aca="false">F123*F125</f>
        <v>478.015984208775</v>
      </c>
      <c r="G126" s="19" t="n">
        <f aca="false">G123*G125</f>
        <v>529.57235661581</v>
      </c>
    </row>
    <row r="127" customFormat="false" ht="15" hidden="false" customHeight="false" outlineLevel="0" collapsed="false">
      <c r="A127" s="4" t="s">
        <v>483</v>
      </c>
      <c r="B127" s="4" t="s">
        <v>230</v>
      </c>
      <c r="C127" s="23" t="n">
        <f aca="false">a25_sh</f>
        <v>13.9128581925055</v>
      </c>
      <c r="D127" s="23" t="n">
        <f aca="false">a26_sh</f>
        <v>14.0169642857143</v>
      </c>
      <c r="E127" s="23" t="n">
        <f aca="false">D127*(1+sh_g)</f>
        <v>14.0169642857143</v>
      </c>
      <c r="F127" s="23" t="n">
        <f aca="false">E127*(1+sh_g)</f>
        <v>14.0169642857143</v>
      </c>
      <c r="G127" s="23" t="n">
        <f aca="false">F127*(1+sh_g)</f>
        <v>14.0169642857143</v>
      </c>
    </row>
    <row r="128" customFormat="false" ht="15" hidden="false" customHeight="false" outlineLevel="0" collapsed="false">
      <c r="A128" s="0" t="s">
        <v>374</v>
      </c>
      <c r="B128" s="0" t="s">
        <v>260</v>
      </c>
      <c r="C128" s="22" t="n">
        <f aca="false">C126/C127</f>
        <v>13.61</v>
      </c>
      <c r="D128" s="22" t="n">
        <f aca="false">D126/D127</f>
        <v>19.6374251756163</v>
      </c>
      <c r="E128" s="22" t="n">
        <f aca="false">E126/E127</f>
        <v>28.8013810012004</v>
      </c>
      <c r="F128" s="22" t="n">
        <f aca="false">F126/F127</f>
        <v>34.1026754770258</v>
      </c>
      <c r="G128" s="22" t="n">
        <f aca="false">G126/G127</f>
        <v>37.7808165749225</v>
      </c>
    </row>
    <row r="129" customFormat="false" ht="17.15" hidden="false" customHeight="false" outlineLevel="0" collapsed="false">
      <c r="A129" s="0" t="s">
        <v>484</v>
      </c>
      <c r="B129" s="0" t="s">
        <v>52</v>
      </c>
      <c r="D129" s="15" t="n">
        <f aca="false">D128/C128-1</f>
        <v>0.442867389832203</v>
      </c>
      <c r="E129" s="15" t="n">
        <f aca="false">E128/D128-1</f>
        <v>0.466657708107425</v>
      </c>
      <c r="F129" s="15" t="n">
        <f aca="false">F128/E128-1</f>
        <v>0.184063898727787</v>
      </c>
      <c r="G129" s="15" t="n">
        <f aca="false">G128/F128-1</f>
        <v>0.107854913036795</v>
      </c>
    </row>
    <row r="132" customFormat="false" ht="17.15" hidden="false" customHeight="false" outlineLevel="0" collapsed="false">
      <c r="A132" s="1" t="s">
        <v>834</v>
      </c>
    </row>
    <row r="133" customFormat="false" ht="17.15" hidden="false" customHeight="false" outlineLevel="0" collapsed="false">
      <c r="A133" s="5" t="s">
        <v>21</v>
      </c>
      <c r="B133" s="5" t="s">
        <v>22</v>
      </c>
      <c r="C133" s="11" t="s">
        <v>347</v>
      </c>
      <c r="D133" s="11" t="s">
        <v>429</v>
      </c>
      <c r="E133" s="11" t="s">
        <v>430</v>
      </c>
      <c r="F133" s="11" t="s">
        <v>431</v>
      </c>
      <c r="G133" s="11" t="s">
        <v>432</v>
      </c>
      <c r="H133" s="5" t="s">
        <v>400</v>
      </c>
    </row>
    <row r="134" customFormat="false" ht="17.15" hidden="false" customHeight="false" outlineLevel="0" collapsed="false">
      <c r="A134" s="6" t="s">
        <v>450</v>
      </c>
    </row>
    <row r="135" customFormat="false" ht="17.15" hidden="false" customHeight="false" outlineLevel="0" collapsed="false">
      <c r="A135" s="0" t="s">
        <v>451</v>
      </c>
      <c r="B135" s="0" t="s">
        <v>32</v>
      </c>
      <c r="D135" s="22" t="n">
        <f aca="false">itc_26*1</f>
        <v>781.872916666666</v>
      </c>
      <c r="E135" s="22" t="n">
        <f aca="false">itc_27*1*1</f>
        <v>1565.35</v>
      </c>
      <c r="F135" s="22" t="n">
        <f aca="false">itc_28*um28_A*1</f>
        <v>1984.26388888889</v>
      </c>
      <c r="G135" s="22" t="n">
        <f aca="false">itc_29*um29_A*1</f>
        <v>2260.39027777778</v>
      </c>
    </row>
    <row r="136" customFormat="false" ht="17.15" hidden="false" customHeight="false" outlineLevel="0" collapsed="false">
      <c r="A136" s="4" t="s">
        <v>452</v>
      </c>
      <c r="B136" s="0" t="s">
        <v>32</v>
      </c>
      <c r="D136" s="22" t="n">
        <f aca="false">itpg_gb*(1-vr26)+itpg_vr*vr26</f>
        <v>33.41403216</v>
      </c>
      <c r="E136" s="22" t="n">
        <f aca="false">itpg_vr</f>
        <v>37.586352</v>
      </c>
      <c r="F136" s="22" t="n">
        <f aca="false">itpg_vr</f>
        <v>37.586352</v>
      </c>
      <c r="G136" s="22" t="n">
        <f aca="false">itpg_vr</f>
        <v>37.586352</v>
      </c>
    </row>
    <row r="137" customFormat="false" ht="17.15" hidden="false" customHeight="false" outlineLevel="0" collapsed="false">
      <c r="A137" s="4" t="s">
        <v>453</v>
      </c>
      <c r="B137" s="0" t="s">
        <v>402</v>
      </c>
      <c r="D137" s="18" t="n">
        <f aca="false">D135/D136</f>
        <v>23.3995380420639</v>
      </c>
      <c r="E137" s="18" t="n">
        <f aca="false">E135/E136</f>
        <v>41.6467658260637</v>
      </c>
      <c r="F137" s="18" t="n">
        <f aca="false">F135/F136</f>
        <v>52.792138191248</v>
      </c>
      <c r="G137" s="18" t="n">
        <f aca="false">G135/G136</f>
        <v>60.1385917361116</v>
      </c>
    </row>
    <row r="138" customFormat="false" ht="17.15" hidden="false" customHeight="false" outlineLevel="0" collapsed="false">
      <c r="A138" s="4" t="s">
        <v>404</v>
      </c>
      <c r="B138" s="0" t="s">
        <v>405</v>
      </c>
      <c r="D138" s="16" t="n">
        <f aca="false">(racks_gb*odm_gb*(1-vr26)+racks_vr*odm_vr*vr26)/1000</f>
        <v>27.1209</v>
      </c>
      <c r="E138" s="16" t="n">
        <f aca="false">racks_vr*odm_vr/1000</f>
        <v>27.351</v>
      </c>
      <c r="F138" s="16" t="n">
        <f aca="false">$E138*vpg_28</f>
        <v>27.351</v>
      </c>
      <c r="G138" s="16" t="n">
        <f aca="false">$E138*vpg_29</f>
        <v>27.351</v>
      </c>
      <c r="H138" s="4" t="s">
        <v>454</v>
      </c>
    </row>
    <row r="139" customFormat="false" ht="17.15" hidden="false" customHeight="false" outlineLevel="0" collapsed="false">
      <c r="A139" s="0" t="s">
        <v>455</v>
      </c>
      <c r="B139" s="0" t="s">
        <v>32</v>
      </c>
      <c r="D139" s="19" t="n">
        <f aca="false">D137*D138</f>
        <v>634.61653128501</v>
      </c>
      <c r="E139" s="19" t="n">
        <f aca="false">E137*E138</f>
        <v>1139.08069210867</v>
      </c>
      <c r="F139" s="19" t="n">
        <f aca="false">F137*F138</f>
        <v>1443.91777166882</v>
      </c>
      <c r="G139" s="19" t="n">
        <f aca="false">G137*G138</f>
        <v>1644.85062257439</v>
      </c>
    </row>
    <row r="140" customFormat="false" ht="17.15" hidden="false" customHeight="false" outlineLevel="0" collapsed="false">
      <c r="A140" s="0" t="s">
        <v>456</v>
      </c>
      <c r="B140" s="0" t="s">
        <v>209</v>
      </c>
      <c r="D140" s="19" t="n">
        <f aca="false">D139*fx</f>
        <v>20307.7290011203</v>
      </c>
      <c r="E140" s="19" t="n">
        <f aca="false">E139*fx</f>
        <v>36450.5821474774</v>
      </c>
      <c r="F140" s="19" t="n">
        <f aca="false">F139*fx</f>
        <v>46205.3686934024</v>
      </c>
      <c r="G140" s="19" t="n">
        <f aca="false">G139*fx</f>
        <v>52635.2199223804</v>
      </c>
    </row>
    <row r="141" customFormat="false" ht="17.15" hidden="false" customHeight="false" outlineLevel="0" collapsed="false">
      <c r="A141" s="4" t="s">
        <v>457</v>
      </c>
      <c r="B141" s="0" t="s">
        <v>52</v>
      </c>
      <c r="D141" s="15" t="n">
        <f aca="false">a26_ai/D140</f>
        <v>0.174610057569922</v>
      </c>
      <c r="H141" s="8" t="s">
        <v>458</v>
      </c>
    </row>
    <row r="142" customFormat="false" ht="17.15" hidden="false" customHeight="false" outlineLevel="0" collapsed="false">
      <c r="A142" s="4" t="s">
        <v>459</v>
      </c>
      <c r="B142" s="0" t="s">
        <v>71</v>
      </c>
      <c r="D142" s="16" t="n">
        <f aca="false">1</f>
        <v>1</v>
      </c>
      <c r="E142" s="16" t="n">
        <f aca="false">rel_27</f>
        <v>1</v>
      </c>
      <c r="F142" s="16" t="n">
        <f aca="false">rel_28</f>
        <v>1</v>
      </c>
      <c r="G142" s="16" t="n">
        <f aca="false">rel_29</f>
        <v>0.95</v>
      </c>
    </row>
    <row r="143" customFormat="false" ht="15" hidden="false" customHeight="false" outlineLevel="0" collapsed="false">
      <c r="A143" s="4" t="s">
        <v>460</v>
      </c>
      <c r="B143" s="0" t="s">
        <v>52</v>
      </c>
      <c r="D143" s="15" t="n">
        <f aca="false">$D$141*D142</f>
        <v>0.174610057569922</v>
      </c>
      <c r="E143" s="15" t="n">
        <f aca="false">$D$141*E142</f>
        <v>0.174610057569922</v>
      </c>
      <c r="F143" s="15" t="n">
        <f aca="false">$D$141*F142</f>
        <v>0.174610057569922</v>
      </c>
      <c r="G143" s="15" t="n">
        <f aca="false">$D$141*G142</f>
        <v>0.165879554691426</v>
      </c>
    </row>
    <row r="144" customFormat="false" ht="17.15" hidden="false" customHeight="false" outlineLevel="0" collapsed="false">
      <c r="A144" s="0" t="s">
        <v>461</v>
      </c>
      <c r="B144" s="0" t="s">
        <v>209</v>
      </c>
      <c r="D144" s="19" t="n">
        <f aca="false">D140*D143</f>
        <v>3545.93373</v>
      </c>
      <c r="E144" s="19" t="n">
        <f aca="false">E140*E143</f>
        <v>6364.6382472282</v>
      </c>
      <c r="F144" s="19" t="n">
        <f aca="false">F140*F143</f>
        <v>8067.92208759447</v>
      </c>
      <c r="G144" s="19" t="n">
        <f aca="false">G140*G143</f>
        <v>8731.10684180974</v>
      </c>
    </row>
    <row r="145" customFormat="false" ht="17.15" hidden="false" customHeight="false" outlineLevel="0" collapsed="false">
      <c r="A145" s="4" t="s">
        <v>462</v>
      </c>
      <c r="B145" s="0" t="s">
        <v>52</v>
      </c>
      <c r="D145" s="15" t="n">
        <f aca="false">0</f>
        <v>0</v>
      </c>
      <c r="E145" s="15" t="n">
        <f aca="false">CSLO_27</f>
        <v>0</v>
      </c>
      <c r="F145" s="15" t="n">
        <f aca="false">CSLO_28</f>
        <v>0</v>
      </c>
      <c r="G145" s="15" t="n">
        <f aca="false">CSLO_29</f>
        <v>0</v>
      </c>
      <c r="H145" s="8" t="s">
        <v>463</v>
      </c>
    </row>
    <row r="146" customFormat="false" ht="17.15" hidden="false" customHeight="false" outlineLevel="0" collapsed="false">
      <c r="A146" s="0" t="s">
        <v>464</v>
      </c>
      <c r="B146" s="0" t="s">
        <v>209</v>
      </c>
      <c r="C146" s="19" t="n">
        <f aca="false">a25_ai</f>
        <v>1620.621</v>
      </c>
      <c r="D146" s="19" t="n">
        <f aca="false">D144*(1-D145)</f>
        <v>3545.93373</v>
      </c>
      <c r="E146" s="19" t="n">
        <f aca="false">E144*(1-E145)</f>
        <v>6364.6382472282</v>
      </c>
      <c r="F146" s="19" t="n">
        <f aca="false">F144*(1-F145)</f>
        <v>8067.92208759447</v>
      </c>
      <c r="G146" s="19" t="n">
        <f aca="false">G144*(1-G145)</f>
        <v>8731.10684180974</v>
      </c>
    </row>
    <row r="147" customFormat="false" ht="17.15" hidden="false" customHeight="false" outlineLevel="0" collapsed="false">
      <c r="A147" s="6" t="s">
        <v>465</v>
      </c>
    </row>
    <row r="148" customFormat="false" ht="17.15" hidden="false" customHeight="false" outlineLevel="0" collapsed="false">
      <c r="A148" s="4" t="s">
        <v>382</v>
      </c>
      <c r="B148" s="0" t="s">
        <v>209</v>
      </c>
      <c r="C148" s="19" t="n">
        <f aca="false">a25_cn</f>
        <v>1620.621</v>
      </c>
      <c r="D148" s="19" t="n">
        <f aca="false">a26_cn</f>
        <v>2363.95582</v>
      </c>
      <c r="E148" s="19" t="n">
        <f aca="false">D148*(1+g_cn27)</f>
        <v>2647.6305184</v>
      </c>
      <c r="F148" s="19" t="n">
        <f aca="false">E148*(1+g_cn28)</f>
        <v>2859.440959872</v>
      </c>
      <c r="G148" s="19" t="n">
        <f aca="false">F148*(1+g_cn29)</f>
        <v>3031.00741746432</v>
      </c>
    </row>
    <row r="149" customFormat="false" ht="17.15" hidden="false" customHeight="false" outlineLevel="0" collapsed="false">
      <c r="A149" s="4" t="s">
        <v>383</v>
      </c>
      <c r="B149" s="0" t="s">
        <v>209</v>
      </c>
      <c r="C149" s="19" t="n">
        <f aca="false">a25_ce</f>
        <v>3079.1799</v>
      </c>
      <c r="D149" s="19" t="n">
        <f aca="false">a26_ce</f>
        <v>3345.2205</v>
      </c>
      <c r="E149" s="19" t="n">
        <f aca="false">D149*(1+g_ce27)</f>
        <v>3445.577115</v>
      </c>
      <c r="F149" s="19" t="n">
        <f aca="false">E149*(1+g_ce28)</f>
        <v>3514.4886573</v>
      </c>
      <c r="G149" s="19" t="n">
        <f aca="false">F149*(1+g_ce29)</f>
        <v>3584.778430446</v>
      </c>
    </row>
    <row r="150" customFormat="false" ht="15" hidden="false" customHeight="false" outlineLevel="0" collapsed="false">
      <c r="A150" s="4" t="s">
        <v>384</v>
      </c>
      <c r="B150" s="0" t="s">
        <v>209</v>
      </c>
      <c r="C150" s="19" t="n">
        <f aca="false">a25_pc</f>
        <v>1215.46575</v>
      </c>
      <c r="D150" s="19" t="n">
        <f aca="false">a26_pc</f>
        <v>1338.0882</v>
      </c>
      <c r="E150" s="19" t="n">
        <f aca="false">D150*(1+g_pc27)</f>
        <v>1311.326436</v>
      </c>
      <c r="F150" s="19" t="n">
        <f aca="false">E150*(1+g_pc28)</f>
        <v>1311.326436</v>
      </c>
      <c r="G150" s="19" t="n">
        <f aca="false">F150*(1+g_pc29)</f>
        <v>1311.326436</v>
      </c>
    </row>
    <row r="151" customFormat="false" ht="15" hidden="false" customHeight="false" outlineLevel="0" collapsed="false">
      <c r="A151" s="4" t="s">
        <v>466</v>
      </c>
      <c r="B151" s="0" t="s">
        <v>209</v>
      </c>
      <c r="C151" s="19" t="n">
        <f aca="false">a25_co</f>
        <v>567.217349999999</v>
      </c>
      <c r="D151" s="19" t="n">
        <f aca="false">a26_co</f>
        <v>557.53675</v>
      </c>
      <c r="E151" s="19" t="n">
        <f aca="false">D151*(1+g_co27)</f>
        <v>602.13969</v>
      </c>
      <c r="F151" s="19" t="n">
        <f aca="false">E151*(1+g_co28)</f>
        <v>638.2680714</v>
      </c>
      <c r="G151" s="19" t="n">
        <f aca="false">F151*(1+g_co29)</f>
        <v>670.18147497</v>
      </c>
    </row>
    <row r="152" customFormat="false" ht="17.15" hidden="false" customHeight="false" outlineLevel="0" collapsed="false">
      <c r="A152" s="4" t="s">
        <v>387</v>
      </c>
      <c r="B152" s="0" t="s">
        <v>209</v>
      </c>
      <c r="C152" s="19" t="n">
        <f aca="false">SUM(C148:C151)</f>
        <v>6482.484</v>
      </c>
      <c r="D152" s="19" t="n">
        <f aca="false">SUM(D148:D151)</f>
        <v>7604.80127</v>
      </c>
      <c r="E152" s="19" t="n">
        <f aca="false">SUM(E148:E151)</f>
        <v>8006.6737594</v>
      </c>
      <c r="F152" s="19" t="n">
        <f aca="false">SUM(F148:F151)</f>
        <v>8323.524124572</v>
      </c>
      <c r="G152" s="19" t="n">
        <f aca="false">SUM(G148:G151)</f>
        <v>8597.29375888032</v>
      </c>
    </row>
    <row r="153" customFormat="false" ht="15" hidden="false" customHeight="false" outlineLevel="0" collapsed="false">
      <c r="A153" s="4" t="s">
        <v>353</v>
      </c>
      <c r="B153" s="0" t="s">
        <v>209</v>
      </c>
      <c r="C153" s="19" t="n">
        <f aca="false">C146+C152</f>
        <v>8103.105</v>
      </c>
      <c r="D153" s="19" t="n">
        <f aca="false">D146+D152</f>
        <v>11150.735</v>
      </c>
      <c r="E153" s="19" t="n">
        <f aca="false">E146+E152</f>
        <v>14371.3120066282</v>
      </c>
      <c r="F153" s="19" t="n">
        <f aca="false">F146+F152</f>
        <v>16391.4462121665</v>
      </c>
      <c r="G153" s="19" t="n">
        <f aca="false">G146+G152</f>
        <v>17328.4006006901</v>
      </c>
    </row>
    <row r="154" customFormat="false" ht="17.15" hidden="false" customHeight="false" outlineLevel="0" collapsed="false">
      <c r="A154" s="4" t="s">
        <v>467</v>
      </c>
      <c r="B154" s="0" t="s">
        <v>209</v>
      </c>
      <c r="C154" s="19" t="n">
        <f aca="false">C146+C148</f>
        <v>3241.242</v>
      </c>
      <c r="D154" s="19" t="n">
        <f aca="false">D146+D148</f>
        <v>5909.88955</v>
      </c>
      <c r="E154" s="19" t="n">
        <f aca="false">E146+E148</f>
        <v>9012.2687656282</v>
      </c>
      <c r="F154" s="19" t="n">
        <f aca="false">F146+F148</f>
        <v>10927.3630474665</v>
      </c>
      <c r="G154" s="19" t="n">
        <f aca="false">G146+G148</f>
        <v>11762.1142592741</v>
      </c>
      <c r="H154" s="4" t="s">
        <v>468</v>
      </c>
    </row>
    <row r="155" customFormat="false" ht="17.15" hidden="false" customHeight="false" outlineLevel="0" collapsed="false">
      <c r="A155" s="4" t="s">
        <v>469</v>
      </c>
      <c r="B155" s="0" t="s">
        <v>209</v>
      </c>
      <c r="C155" s="23" t="n">
        <f aca="false">C154+C149+C150+C151-a25_rev</f>
        <v>0</v>
      </c>
      <c r="D155" s="23" t="n">
        <f aca="false">D154+D149+D150+D151-a26_rev</f>
        <v>0</v>
      </c>
      <c r="E155" s="23" t="n">
        <f aca="false">E154+E149+E150+E151-E153</f>
        <v>0</v>
      </c>
      <c r="F155" s="23" t="n">
        <f aca="false">F154+F149+F150+F151-F153</f>
        <v>0</v>
      </c>
      <c r="G155" s="23" t="n">
        <f aca="false">G154+G149+G150+G151-G153</f>
        <v>0</v>
      </c>
    </row>
    <row r="156" customFormat="false" ht="15" hidden="false" customHeight="false" outlineLevel="0" collapsed="false">
      <c r="A156" s="4" t="s">
        <v>470</v>
      </c>
      <c r="B156" s="0" t="s">
        <v>52</v>
      </c>
      <c r="D156" s="15" t="n">
        <f aca="false">D153/C153-1</f>
        <v>0.376106443147411</v>
      </c>
      <c r="E156" s="15" t="n">
        <f aca="false">E153/D153-1</f>
        <v>0.288821948205943</v>
      </c>
      <c r="F156" s="15" t="n">
        <f aca="false">F153/E153-1</f>
        <v>0.140567138519194</v>
      </c>
      <c r="G156" s="15" t="n">
        <f aca="false">G153/F153-1</f>
        <v>0.0571611788487669</v>
      </c>
    </row>
    <row r="157" customFormat="false" ht="17.15" hidden="false" customHeight="false" outlineLevel="0" collapsed="false">
      <c r="A157" s="0" t="s">
        <v>471</v>
      </c>
      <c r="B157" s="0" t="s">
        <v>52</v>
      </c>
      <c r="C157" s="15" t="n">
        <f aca="false">C146/C153</f>
        <v>0.2</v>
      </c>
      <c r="D157" s="15" t="n">
        <f aca="false">D146/D153</f>
        <v>0.318</v>
      </c>
      <c r="E157" s="15" t="n">
        <f aca="false">E146/E153</f>
        <v>0.442871064541133</v>
      </c>
      <c r="F157" s="15" t="n">
        <f aca="false">F146/F153</f>
        <v>0.492203188368217</v>
      </c>
      <c r="G157" s="15" t="n">
        <f aca="false">G146/G153</f>
        <v>0.503861091569065</v>
      </c>
    </row>
    <row r="158" customFormat="false" ht="17.15" hidden="false" customHeight="false" outlineLevel="0" collapsed="false">
      <c r="A158" s="4" t="s">
        <v>472</v>
      </c>
      <c r="B158" s="0" t="s">
        <v>52</v>
      </c>
      <c r="C158" s="15" t="n">
        <f aca="false">(C146+C148)/C153</f>
        <v>0.4</v>
      </c>
      <c r="D158" s="15" t="n">
        <f aca="false">(D146+D148)/D153</f>
        <v>0.53</v>
      </c>
      <c r="E158" s="15" t="n">
        <f aca="false">(E146+E148)/E153</f>
        <v>0.627101322514719</v>
      </c>
      <c r="F158" s="15" t="n">
        <f aca="false">(F146+F148)/F153</f>
        <v>0.666650331278011</v>
      </c>
      <c r="G158" s="15" t="n">
        <f aca="false">(G146+G148)/G153</f>
        <v>0.678776681721316</v>
      </c>
    </row>
    <row r="159" customFormat="false" ht="17.15" hidden="false" customHeight="false" outlineLevel="0" collapsed="false">
      <c r="A159" s="4" t="s">
        <v>418</v>
      </c>
      <c r="B159" s="0" t="s">
        <v>405</v>
      </c>
      <c r="D159" s="16" t="n">
        <f aca="false">D146/fx/D137</f>
        <v>4.7355819103481</v>
      </c>
      <c r="E159" s="16" t="n">
        <f aca="false">E146/fx/E137</f>
        <v>4.77575968459494</v>
      </c>
      <c r="F159" s="16" t="n">
        <f aca="false">F146/fx/F137</f>
        <v>4.77575968459494</v>
      </c>
      <c r="G159" s="16" t="n">
        <f aca="false">G146/fx/G137</f>
        <v>4.5369717003652</v>
      </c>
    </row>
    <row r="160" customFormat="false" ht="17.15" hidden="false" customHeight="false" outlineLevel="0" collapsed="false">
      <c r="A160" s="4" t="s">
        <v>473</v>
      </c>
      <c r="B160" s="4" t="s">
        <v>416</v>
      </c>
      <c r="D160" s="19" t="n">
        <f aca="false">D144/fx/(odm_gb*(1-vr26)+odm_vr*vr26)</f>
        <v>24.0630682003257</v>
      </c>
      <c r="E160" s="19" t="n">
        <f aca="false">E144/fx/odm_vr</f>
        <v>29.4659178112417</v>
      </c>
      <c r="F160" s="19" t="n">
        <f aca="false">F144/fx/odm_vr</f>
        <v>37.3514911462707</v>
      </c>
      <c r="G160" s="19" t="n">
        <f aca="false">G144/fx/odm_vr</f>
        <v>40.4217909343043</v>
      </c>
      <c r="H160" s="4" t="s">
        <v>474</v>
      </c>
    </row>
    <row r="161" customFormat="false" ht="17.15" hidden="false" customHeight="false" outlineLevel="0" collapsed="false">
      <c r="A161" s="6" t="s">
        <v>475</v>
      </c>
    </row>
    <row r="162" customFormat="false" ht="17.15" hidden="false" customHeight="false" outlineLevel="0" collapsed="false">
      <c r="A162" s="4" t="s">
        <v>476</v>
      </c>
      <c r="B162" s="0" t="s">
        <v>52</v>
      </c>
      <c r="D162" s="14" t="n">
        <f aca="false">a26_gp/D153-d_ai*D157</f>
        <v>0.0621989258510762</v>
      </c>
      <c r="H162" s="8" t="s">
        <v>477</v>
      </c>
    </row>
    <row r="163" customFormat="false" ht="17.15" hidden="false" customHeight="false" outlineLevel="0" collapsed="false">
      <c r="A163" s="0" t="s">
        <v>478</v>
      </c>
      <c r="B163" s="0" t="s">
        <v>209</v>
      </c>
      <c r="D163" s="22" t="n">
        <f aca="false">($D$162+d_ai)*D144*(1-D145*(1-keep))</f>
        <v>202.8236004951</v>
      </c>
      <c r="E163" s="22" t="n">
        <f aca="false">($D$162+d_ai+vrd)*E144*(1-E145*(1-keep))</f>
        <v>351.321194677673</v>
      </c>
      <c r="F163" s="22" t="n">
        <f aca="false">($D$162+d_ai+vrd)*F144*(1-F145*(1-keep))</f>
        <v>445.340633085387</v>
      </c>
      <c r="G163" s="22" t="n">
        <f aca="false">($D$162+d_ai+vrd)*G144*(1-G145*(1-keep))</f>
        <v>481.94771915888</v>
      </c>
      <c r="H163" s="4" t="s">
        <v>479</v>
      </c>
    </row>
    <row r="164" customFormat="false" ht="15" hidden="false" customHeight="false" outlineLevel="0" collapsed="false">
      <c r="A164" s="4" t="s">
        <v>357</v>
      </c>
      <c r="B164" s="0" t="s">
        <v>209</v>
      </c>
      <c r="C164" s="19" t="n">
        <f aca="false">a25_gp</f>
        <v>498.161</v>
      </c>
      <c r="D164" s="19" t="n">
        <f aca="false">a26_gp</f>
        <v>675.8340708</v>
      </c>
      <c r="E164" s="19" t="n">
        <f aca="false">$D$162*E152+E163</f>
        <v>849.327702152351</v>
      </c>
      <c r="F164" s="19" t="n">
        <f aca="false">$D$162*F152+F163</f>
        <v>963.054892929284</v>
      </c>
      <c r="G164" s="19" t="n">
        <f aca="false">$D$162*G152+G163</f>
        <v>1016.6901561874</v>
      </c>
    </row>
    <row r="165" customFormat="false" ht="15" hidden="false" customHeight="false" outlineLevel="0" collapsed="false">
      <c r="A165" s="4" t="s">
        <v>360</v>
      </c>
      <c r="B165" s="0" t="s">
        <v>52</v>
      </c>
      <c r="C165" s="14" t="n">
        <f aca="false">C164/C153</f>
        <v>0.0614777915379352</v>
      </c>
      <c r="D165" s="14" t="n">
        <f aca="false">D164/D153</f>
        <v>0.0606089258510762</v>
      </c>
      <c r="E165" s="14" t="n">
        <f aca="false">E164/E153</f>
        <v>0.0590988283992883</v>
      </c>
      <c r="F165" s="14" t="n">
        <f aca="false">F164/F153</f>
        <v>0.0587535035324987</v>
      </c>
      <c r="G165" s="14" t="n">
        <f aca="false">G164/G153</f>
        <v>0.0586718982100927</v>
      </c>
    </row>
    <row r="166" customFormat="false" ht="17.15" hidden="false" customHeight="false" outlineLevel="0" collapsed="false">
      <c r="A166" s="0" t="s">
        <v>480</v>
      </c>
      <c r="B166" s="0" t="s">
        <v>52</v>
      </c>
      <c r="D166" s="14" t="n">
        <f aca="false">D163/D146</f>
        <v>0.0571989258510762</v>
      </c>
      <c r="E166" s="14" t="n">
        <f aca="false">E163/E146</f>
        <v>0.0551989258510762</v>
      </c>
      <c r="F166" s="14" t="n">
        <f aca="false">F163/F146</f>
        <v>0.0551989258510762</v>
      </c>
      <c r="G166" s="14" t="n">
        <f aca="false">G163/G146</f>
        <v>0.0551989258510762</v>
      </c>
      <c r="H166" s="4" t="s">
        <v>481</v>
      </c>
    </row>
    <row r="167" customFormat="false" ht="15" hidden="false" customHeight="false" outlineLevel="0" collapsed="false">
      <c r="A167" s="4" t="s">
        <v>482</v>
      </c>
      <c r="B167" s="0" t="s">
        <v>209</v>
      </c>
      <c r="C167" s="19" t="n">
        <f aca="false">a25_opx</f>
        <v>238.938</v>
      </c>
      <c r="D167" s="19" t="n">
        <f aca="false">a26_opx</f>
        <v>254.8304233</v>
      </c>
      <c r="E167" s="19" t="n">
        <f aca="false">D167*(1+MAX(0,phi*E156))</f>
        <v>284.27067102786</v>
      </c>
      <c r="F167" s="19" t="n">
        <f aca="false">E167*(1+MAX(0,phi*F156))</f>
        <v>300.254316944387</v>
      </c>
      <c r="G167" s="19" t="n">
        <f aca="false">F167*(1+MAX(0,phi*G156))</f>
        <v>307.119473228776</v>
      </c>
    </row>
    <row r="168" customFormat="false" ht="15" hidden="false" customHeight="false" outlineLevel="0" collapsed="false">
      <c r="A168" s="4" t="s">
        <v>361</v>
      </c>
      <c r="B168" s="0" t="s">
        <v>209</v>
      </c>
      <c r="C168" s="19" t="n">
        <f aca="false">C167</f>
        <v>238.938</v>
      </c>
      <c r="D168" s="19" t="n">
        <f aca="false">D167</f>
        <v>254.8304233</v>
      </c>
      <c r="E168" s="19" t="n">
        <f aca="false">E167+0*E153</f>
        <v>284.27067102786</v>
      </c>
      <c r="F168" s="19" t="n">
        <f aca="false">F167+0*F153</f>
        <v>300.254316944387</v>
      </c>
      <c r="G168" s="19" t="n">
        <f aca="false">G167+0*G153</f>
        <v>307.119473228776</v>
      </c>
    </row>
    <row r="169" customFormat="false" ht="15" hidden="false" customHeight="false" outlineLevel="0" collapsed="false">
      <c r="A169" s="4" t="s">
        <v>364</v>
      </c>
      <c r="B169" s="0" t="s">
        <v>209</v>
      </c>
      <c r="C169" s="19" t="n">
        <f aca="false">C164-C168</f>
        <v>259.223</v>
      </c>
      <c r="D169" s="19" t="n">
        <f aca="false">D164-D168</f>
        <v>421.0036475</v>
      </c>
      <c r="E169" s="19" t="n">
        <f aca="false">E164-E168</f>
        <v>565.05703112449</v>
      </c>
      <c r="F169" s="19" t="n">
        <f aca="false">F164-F168</f>
        <v>662.800575984897</v>
      </c>
      <c r="G169" s="19" t="n">
        <f aca="false">G164-G168</f>
        <v>709.57068295862</v>
      </c>
    </row>
    <row r="170" customFormat="false" ht="15" hidden="false" customHeight="false" outlineLevel="0" collapsed="false">
      <c r="A170" s="4" t="s">
        <v>367</v>
      </c>
      <c r="B170" s="0" t="s">
        <v>52</v>
      </c>
      <c r="C170" s="14" t="n">
        <f aca="false">C169/C153</f>
        <v>0.0319905764518663</v>
      </c>
      <c r="D170" s="14" t="n">
        <f aca="false">D169/D153</f>
        <v>0.0377556858359561</v>
      </c>
      <c r="E170" s="14" t="n">
        <f aca="false">E169/E153</f>
        <v>0.0393184025831379</v>
      </c>
      <c r="F170" s="14" t="n">
        <f aca="false">F169/F153</f>
        <v>0.0404357594446387</v>
      </c>
      <c r="G170" s="14" t="n">
        <f aca="false">G169/G153</f>
        <v>0.0409484233028618</v>
      </c>
    </row>
    <row r="171" customFormat="false" ht="17.15" hidden="false" customHeight="false" outlineLevel="0" collapsed="false">
      <c r="A171" s="4" t="s">
        <v>243</v>
      </c>
      <c r="B171" s="0" t="s">
        <v>52</v>
      </c>
      <c r="C171" s="15" t="n">
        <f aca="false">a25_ni/a25_oi</f>
        <v>0.730467589681471</v>
      </c>
      <c r="D171" s="15" t="n">
        <f aca="false">a26_ni/a26_oi</f>
        <v>0.653811645064191</v>
      </c>
      <c r="E171" s="15" t="n">
        <f aca="false">nio_f</f>
        <v>0.66</v>
      </c>
      <c r="F171" s="15" t="n">
        <f aca="false">nio_f</f>
        <v>0.66</v>
      </c>
      <c r="G171" s="15" t="n">
        <f aca="false">nio_f</f>
        <v>0.66</v>
      </c>
    </row>
    <row r="172" customFormat="false" ht="15" hidden="false" customHeight="false" outlineLevel="0" collapsed="false">
      <c r="A172" s="4" t="s">
        <v>368</v>
      </c>
      <c r="B172" s="0" t="s">
        <v>209</v>
      </c>
      <c r="C172" s="19" t="n">
        <f aca="false">a25_ni</f>
        <v>189.354</v>
      </c>
      <c r="D172" s="19" t="n">
        <f aca="false">a26_ni</f>
        <v>275.25708735</v>
      </c>
      <c r="E172" s="19" t="n">
        <f aca="false">E169*E171</f>
        <v>372.937640542164</v>
      </c>
      <c r="F172" s="19" t="n">
        <f aca="false">F169*F171</f>
        <v>437.448380150032</v>
      </c>
      <c r="G172" s="19" t="n">
        <f aca="false">G169*G171</f>
        <v>468.316650752689</v>
      </c>
    </row>
    <row r="173" customFormat="false" ht="15" hidden="false" customHeight="false" outlineLevel="0" collapsed="false">
      <c r="A173" s="4" t="s">
        <v>483</v>
      </c>
      <c r="B173" s="4" t="s">
        <v>230</v>
      </c>
      <c r="C173" s="23" t="n">
        <f aca="false">a25_sh</f>
        <v>13.9128581925055</v>
      </c>
      <c r="D173" s="23" t="n">
        <f aca="false">a26_sh</f>
        <v>14.0169642857143</v>
      </c>
      <c r="E173" s="23" t="n">
        <f aca="false">D173*(1+sh_g)</f>
        <v>14.0169642857143</v>
      </c>
      <c r="F173" s="23" t="n">
        <f aca="false">E173*(1+sh_g)</f>
        <v>14.0169642857143</v>
      </c>
      <c r="G173" s="23" t="n">
        <f aca="false">F173*(1+sh_g)</f>
        <v>14.0169642857143</v>
      </c>
    </row>
    <row r="174" customFormat="false" ht="15" hidden="false" customHeight="false" outlineLevel="0" collapsed="false">
      <c r="A174" s="0" t="s">
        <v>374</v>
      </c>
      <c r="B174" s="0" t="s">
        <v>260</v>
      </c>
      <c r="C174" s="22" t="n">
        <f aca="false">C172/C173</f>
        <v>13.61</v>
      </c>
      <c r="D174" s="22" t="n">
        <f aca="false">D172/D173</f>
        <v>19.6374251756163</v>
      </c>
      <c r="E174" s="22" t="n">
        <f aca="false">E172/E173</f>
        <v>26.6061632847457</v>
      </c>
      <c r="F174" s="22" t="n">
        <f aca="false">F172/F173</f>
        <v>31.2084964499672</v>
      </c>
      <c r="G174" s="22" t="n">
        <f aca="false">G172/G173</f>
        <v>33.4107044297734</v>
      </c>
    </row>
    <row r="175" customFormat="false" ht="17.15" hidden="false" customHeight="false" outlineLevel="0" collapsed="false">
      <c r="A175" s="0" t="s">
        <v>484</v>
      </c>
      <c r="B175" s="0" t="s">
        <v>52</v>
      </c>
      <c r="D175" s="15" t="n">
        <f aca="false">D174/C174-1</f>
        <v>0.442867389832203</v>
      </c>
      <c r="E175" s="15" t="n">
        <f aca="false">E174/D174-1</f>
        <v>0.354870256503002</v>
      </c>
      <c r="F175" s="15" t="n">
        <f aca="false">F174/E174-1</f>
        <v>0.172979963926636</v>
      </c>
      <c r="G175" s="15" t="n">
        <f aca="false">G174/F174-1</f>
        <v>0.0705643728571375</v>
      </c>
    </row>
    <row r="178" customFormat="false" ht="17.15" hidden="false" customHeight="false" outlineLevel="0" collapsed="false">
      <c r="A178" s="1" t="s">
        <v>835</v>
      </c>
    </row>
    <row r="179" customFormat="false" ht="17.15" hidden="false" customHeight="false" outlineLevel="0" collapsed="false">
      <c r="A179" s="5" t="s">
        <v>21</v>
      </c>
      <c r="B179" s="5" t="s">
        <v>22</v>
      </c>
      <c r="C179" s="11" t="s">
        <v>347</v>
      </c>
      <c r="D179" s="11" t="s">
        <v>429</v>
      </c>
      <c r="E179" s="11" t="s">
        <v>430</v>
      </c>
      <c r="F179" s="11" t="s">
        <v>431</v>
      </c>
      <c r="G179" s="11" t="s">
        <v>432</v>
      </c>
      <c r="H179" s="5" t="s">
        <v>400</v>
      </c>
    </row>
    <row r="180" customFormat="false" ht="17.15" hidden="false" customHeight="false" outlineLevel="0" collapsed="false">
      <c r="A180" s="6" t="s">
        <v>450</v>
      </c>
    </row>
    <row r="181" customFormat="false" ht="17.15" hidden="false" customHeight="false" outlineLevel="0" collapsed="false">
      <c r="A181" s="0" t="s">
        <v>451</v>
      </c>
      <c r="B181" s="0" t="s">
        <v>32</v>
      </c>
      <c r="D181" s="22" t="n">
        <f aca="false">itc_26*1</f>
        <v>781.872916666666</v>
      </c>
      <c r="E181" s="22" t="n">
        <f aca="false">itc_27*1*1</f>
        <v>1565.35</v>
      </c>
      <c r="F181" s="22" t="n">
        <f aca="false">itc_28*um28_A*1</f>
        <v>1984.26388888889</v>
      </c>
      <c r="G181" s="22" t="n">
        <f aca="false">itc_29*um29_A*1</f>
        <v>2260.39027777778</v>
      </c>
    </row>
    <row r="182" customFormat="false" ht="17.15" hidden="false" customHeight="false" outlineLevel="0" collapsed="false">
      <c r="A182" s="4" t="s">
        <v>452</v>
      </c>
      <c r="B182" s="0" t="s">
        <v>32</v>
      </c>
      <c r="D182" s="22" t="n">
        <f aca="false">itpg_gb*(1-vr26)+itpg_vr*vr26</f>
        <v>33.41403216</v>
      </c>
      <c r="E182" s="22" t="n">
        <f aca="false">itpg_vr</f>
        <v>37.586352</v>
      </c>
      <c r="F182" s="22" t="n">
        <f aca="false">itpg_vr</f>
        <v>37.586352</v>
      </c>
      <c r="G182" s="22" t="n">
        <f aca="false">itpg_vr</f>
        <v>37.586352</v>
      </c>
    </row>
    <row r="183" customFormat="false" ht="17.15" hidden="false" customHeight="false" outlineLevel="0" collapsed="false">
      <c r="A183" s="4" t="s">
        <v>453</v>
      </c>
      <c r="B183" s="0" t="s">
        <v>402</v>
      </c>
      <c r="D183" s="18" t="n">
        <f aca="false">D181/D182</f>
        <v>23.3995380420639</v>
      </c>
      <c r="E183" s="18" t="n">
        <f aca="false">E181/E182</f>
        <v>41.6467658260637</v>
      </c>
      <c r="F183" s="18" t="n">
        <f aca="false">F181/F182</f>
        <v>52.792138191248</v>
      </c>
      <c r="G183" s="18" t="n">
        <f aca="false">G181/G182</f>
        <v>60.1385917361116</v>
      </c>
    </row>
    <row r="184" customFormat="false" ht="17.15" hidden="false" customHeight="false" outlineLevel="0" collapsed="false">
      <c r="A184" s="4" t="s">
        <v>404</v>
      </c>
      <c r="B184" s="0" t="s">
        <v>405</v>
      </c>
      <c r="D184" s="16" t="n">
        <f aca="false">(racks_gb*odm_gb*(1-vr26)+racks_vr*odm_vr*vr26)/1000</f>
        <v>27.1209</v>
      </c>
      <c r="E184" s="16" t="n">
        <f aca="false">racks_vr*odm_vr/1000</f>
        <v>27.351</v>
      </c>
      <c r="F184" s="16" t="n">
        <f aca="false">$E184*vpg_28</f>
        <v>27.351</v>
      </c>
      <c r="G184" s="16" t="n">
        <f aca="false">$E184*vpg_29</f>
        <v>27.351</v>
      </c>
      <c r="H184" s="4" t="s">
        <v>454</v>
      </c>
    </row>
    <row r="185" customFormat="false" ht="17.15" hidden="false" customHeight="false" outlineLevel="0" collapsed="false">
      <c r="A185" s="0" t="s">
        <v>455</v>
      </c>
      <c r="B185" s="0" t="s">
        <v>32</v>
      </c>
      <c r="D185" s="19" t="n">
        <f aca="false">D183*D184</f>
        <v>634.61653128501</v>
      </c>
      <c r="E185" s="19" t="n">
        <f aca="false">E183*E184</f>
        <v>1139.08069210867</v>
      </c>
      <c r="F185" s="19" t="n">
        <f aca="false">F183*F184</f>
        <v>1443.91777166882</v>
      </c>
      <c r="G185" s="19" t="n">
        <f aca="false">G183*G184</f>
        <v>1644.85062257439</v>
      </c>
    </row>
    <row r="186" customFormat="false" ht="17.15" hidden="false" customHeight="false" outlineLevel="0" collapsed="false">
      <c r="A186" s="0" t="s">
        <v>456</v>
      </c>
      <c r="B186" s="0" t="s">
        <v>209</v>
      </c>
      <c r="D186" s="19" t="n">
        <f aca="false">D185*fx</f>
        <v>20307.7290011203</v>
      </c>
      <c r="E186" s="19" t="n">
        <f aca="false">E185*fx</f>
        <v>36450.5821474774</v>
      </c>
      <c r="F186" s="19" t="n">
        <f aca="false">F185*fx</f>
        <v>46205.3686934024</v>
      </c>
      <c r="G186" s="19" t="n">
        <f aca="false">G185*fx</f>
        <v>52635.2199223804</v>
      </c>
    </row>
    <row r="187" customFormat="false" ht="17.15" hidden="false" customHeight="false" outlineLevel="0" collapsed="false">
      <c r="A187" s="4" t="s">
        <v>457</v>
      </c>
      <c r="B187" s="0" t="s">
        <v>52</v>
      </c>
      <c r="D187" s="15" t="n">
        <f aca="false">a26_ai/D186</f>
        <v>0.174610057569922</v>
      </c>
      <c r="H187" s="8" t="s">
        <v>458</v>
      </c>
    </row>
    <row r="188" customFormat="false" ht="17.15" hidden="false" customHeight="false" outlineLevel="0" collapsed="false">
      <c r="A188" s="4" t="s">
        <v>459</v>
      </c>
      <c r="B188" s="0" t="s">
        <v>71</v>
      </c>
      <c r="D188" s="16" t="n">
        <f aca="false">1</f>
        <v>1</v>
      </c>
      <c r="E188" s="16" t="n">
        <f aca="false">rel_27</f>
        <v>1</v>
      </c>
      <c r="F188" s="16" t="n">
        <f aca="false">rel_28</f>
        <v>1</v>
      </c>
      <c r="G188" s="16" t="n">
        <f aca="false">rel_29</f>
        <v>0.95</v>
      </c>
    </row>
    <row r="189" customFormat="false" ht="15" hidden="false" customHeight="false" outlineLevel="0" collapsed="false">
      <c r="A189" s="4" t="s">
        <v>460</v>
      </c>
      <c r="B189" s="0" t="s">
        <v>52</v>
      </c>
      <c r="D189" s="15" t="n">
        <f aca="false">$D$187*D188</f>
        <v>0.174610057569922</v>
      </c>
      <c r="E189" s="15" t="n">
        <f aca="false">$D$187*E188</f>
        <v>0.174610057569922</v>
      </c>
      <c r="F189" s="15" t="n">
        <f aca="false">$D$187*F188</f>
        <v>0.174610057569922</v>
      </c>
      <c r="G189" s="15" t="n">
        <f aca="false">$D$187*G188</f>
        <v>0.165879554691426</v>
      </c>
    </row>
    <row r="190" customFormat="false" ht="17.15" hidden="false" customHeight="false" outlineLevel="0" collapsed="false">
      <c r="A190" s="0" t="s">
        <v>461</v>
      </c>
      <c r="B190" s="0" t="s">
        <v>209</v>
      </c>
      <c r="D190" s="19" t="n">
        <f aca="false">D186*D189</f>
        <v>3545.93373</v>
      </c>
      <c r="E190" s="19" t="n">
        <f aca="false">E186*E189</f>
        <v>6364.6382472282</v>
      </c>
      <c r="F190" s="19" t="n">
        <f aca="false">F186*F189</f>
        <v>8067.92208759447</v>
      </c>
      <c r="G190" s="19" t="n">
        <f aca="false">G186*G189</f>
        <v>8731.10684180974</v>
      </c>
    </row>
    <row r="191" customFormat="false" ht="17.15" hidden="false" customHeight="false" outlineLevel="0" collapsed="false">
      <c r="A191" s="4" t="s">
        <v>462</v>
      </c>
      <c r="B191" s="0" t="s">
        <v>52</v>
      </c>
      <c r="D191" s="15" t="n">
        <f aca="false">0</f>
        <v>0</v>
      </c>
      <c r="E191" s="15" t="n">
        <f aca="false">CSHI_27</f>
        <v>0.25</v>
      </c>
      <c r="F191" s="15" t="n">
        <f aca="false">CSHI_28</f>
        <v>0.4</v>
      </c>
      <c r="G191" s="15" t="n">
        <f aca="false">CSHI_29</f>
        <v>0.5</v>
      </c>
      <c r="H191" s="8" t="s">
        <v>463</v>
      </c>
    </row>
    <row r="192" customFormat="false" ht="17.15" hidden="false" customHeight="false" outlineLevel="0" collapsed="false">
      <c r="A192" s="0" t="s">
        <v>464</v>
      </c>
      <c r="B192" s="0" t="s">
        <v>209</v>
      </c>
      <c r="C192" s="19" t="n">
        <f aca="false">a25_ai</f>
        <v>1620.621</v>
      </c>
      <c r="D192" s="19" t="n">
        <f aca="false">D190*(1-D191)</f>
        <v>3545.93373</v>
      </c>
      <c r="E192" s="19" t="n">
        <f aca="false">E190*(1-E191)</f>
        <v>4773.47868542115</v>
      </c>
      <c r="F192" s="19" t="n">
        <f aca="false">F190*(1-F191)</f>
        <v>4840.75325255668</v>
      </c>
      <c r="G192" s="19" t="n">
        <f aca="false">G190*(1-G191)</f>
        <v>4365.55342090487</v>
      </c>
    </row>
    <row r="193" customFormat="false" ht="17.15" hidden="false" customHeight="false" outlineLevel="0" collapsed="false">
      <c r="A193" s="6" t="s">
        <v>465</v>
      </c>
    </row>
    <row r="194" customFormat="false" ht="17.15" hidden="false" customHeight="false" outlineLevel="0" collapsed="false">
      <c r="A194" s="4" t="s">
        <v>382</v>
      </c>
      <c r="B194" s="0" t="s">
        <v>209</v>
      </c>
      <c r="C194" s="19" t="n">
        <f aca="false">a25_cn</f>
        <v>1620.621</v>
      </c>
      <c r="D194" s="19" t="n">
        <f aca="false">a26_cn</f>
        <v>2363.95582</v>
      </c>
      <c r="E194" s="19" t="n">
        <f aca="false">D194*(1+g_cn27)</f>
        <v>2647.6305184</v>
      </c>
      <c r="F194" s="19" t="n">
        <f aca="false">E194*(1+g_cn28)</f>
        <v>2859.440959872</v>
      </c>
      <c r="G194" s="19" t="n">
        <f aca="false">F194*(1+g_cn29)</f>
        <v>3031.00741746432</v>
      </c>
    </row>
    <row r="195" customFormat="false" ht="17.15" hidden="false" customHeight="false" outlineLevel="0" collapsed="false">
      <c r="A195" s="4" t="s">
        <v>383</v>
      </c>
      <c r="B195" s="0" t="s">
        <v>209</v>
      </c>
      <c r="C195" s="19" t="n">
        <f aca="false">a25_ce</f>
        <v>3079.1799</v>
      </c>
      <c r="D195" s="19" t="n">
        <f aca="false">a26_ce</f>
        <v>3345.2205</v>
      </c>
      <c r="E195" s="19" t="n">
        <f aca="false">D195*(1+g_ce27)</f>
        <v>3445.577115</v>
      </c>
      <c r="F195" s="19" t="n">
        <f aca="false">E195*(1+g_ce28)</f>
        <v>3514.4886573</v>
      </c>
      <c r="G195" s="19" t="n">
        <f aca="false">F195*(1+g_ce29)</f>
        <v>3584.778430446</v>
      </c>
    </row>
    <row r="196" customFormat="false" ht="15" hidden="false" customHeight="false" outlineLevel="0" collapsed="false">
      <c r="A196" s="4" t="s">
        <v>384</v>
      </c>
      <c r="B196" s="0" t="s">
        <v>209</v>
      </c>
      <c r="C196" s="19" t="n">
        <f aca="false">a25_pc</f>
        <v>1215.46575</v>
      </c>
      <c r="D196" s="19" t="n">
        <f aca="false">a26_pc</f>
        <v>1338.0882</v>
      </c>
      <c r="E196" s="19" t="n">
        <f aca="false">D196*(1+g_pc27)</f>
        <v>1311.326436</v>
      </c>
      <c r="F196" s="19" t="n">
        <f aca="false">E196*(1+g_pc28)</f>
        <v>1311.326436</v>
      </c>
      <c r="G196" s="19" t="n">
        <f aca="false">F196*(1+g_pc29)</f>
        <v>1311.326436</v>
      </c>
    </row>
    <row r="197" customFormat="false" ht="15" hidden="false" customHeight="false" outlineLevel="0" collapsed="false">
      <c r="A197" s="4" t="s">
        <v>466</v>
      </c>
      <c r="B197" s="0" t="s">
        <v>209</v>
      </c>
      <c r="C197" s="19" t="n">
        <f aca="false">a25_co</f>
        <v>567.217349999999</v>
      </c>
      <c r="D197" s="19" t="n">
        <f aca="false">a26_co</f>
        <v>557.53675</v>
      </c>
      <c r="E197" s="19" t="n">
        <f aca="false">D197*(1+g_co27)</f>
        <v>602.13969</v>
      </c>
      <c r="F197" s="19" t="n">
        <f aca="false">E197*(1+g_co28)</f>
        <v>638.2680714</v>
      </c>
      <c r="G197" s="19" t="n">
        <f aca="false">F197*(1+g_co29)</f>
        <v>670.18147497</v>
      </c>
    </row>
    <row r="198" customFormat="false" ht="17.15" hidden="false" customHeight="false" outlineLevel="0" collapsed="false">
      <c r="A198" s="4" t="s">
        <v>387</v>
      </c>
      <c r="B198" s="0" t="s">
        <v>209</v>
      </c>
      <c r="C198" s="19" t="n">
        <f aca="false">SUM(C194:C197)</f>
        <v>6482.484</v>
      </c>
      <c r="D198" s="19" t="n">
        <f aca="false">SUM(D194:D197)</f>
        <v>7604.80127</v>
      </c>
      <c r="E198" s="19" t="n">
        <f aca="false">SUM(E194:E197)</f>
        <v>8006.6737594</v>
      </c>
      <c r="F198" s="19" t="n">
        <f aca="false">SUM(F194:F197)</f>
        <v>8323.524124572</v>
      </c>
      <c r="G198" s="19" t="n">
        <f aca="false">SUM(G194:G197)</f>
        <v>8597.29375888032</v>
      </c>
    </row>
    <row r="199" customFormat="false" ht="15" hidden="false" customHeight="false" outlineLevel="0" collapsed="false">
      <c r="A199" s="4" t="s">
        <v>353</v>
      </c>
      <c r="B199" s="0" t="s">
        <v>209</v>
      </c>
      <c r="C199" s="19" t="n">
        <f aca="false">C192+C198</f>
        <v>8103.105</v>
      </c>
      <c r="D199" s="19" t="n">
        <f aca="false">D192+D198</f>
        <v>11150.735</v>
      </c>
      <c r="E199" s="19" t="n">
        <f aca="false">E192+E198</f>
        <v>12780.1524448211</v>
      </c>
      <c r="F199" s="19" t="n">
        <f aca="false">F192+F198</f>
        <v>13164.2773771287</v>
      </c>
      <c r="G199" s="19" t="n">
        <f aca="false">G192+G198</f>
        <v>12962.8471797852</v>
      </c>
    </row>
    <row r="200" customFormat="false" ht="17.15" hidden="false" customHeight="false" outlineLevel="0" collapsed="false">
      <c r="A200" s="4" t="s">
        <v>467</v>
      </c>
      <c r="B200" s="0" t="s">
        <v>209</v>
      </c>
      <c r="C200" s="19" t="n">
        <f aca="false">C192+C194</f>
        <v>3241.242</v>
      </c>
      <c r="D200" s="19" t="n">
        <f aca="false">D192+D194</f>
        <v>5909.88955</v>
      </c>
      <c r="E200" s="19" t="n">
        <f aca="false">E192+E194</f>
        <v>7421.10920382115</v>
      </c>
      <c r="F200" s="19" t="n">
        <f aca="false">F192+F194</f>
        <v>7700.19421242868</v>
      </c>
      <c r="G200" s="19" t="n">
        <f aca="false">G192+G194</f>
        <v>7396.56083836919</v>
      </c>
      <c r="H200" s="4" t="s">
        <v>468</v>
      </c>
    </row>
    <row r="201" customFormat="false" ht="17.15" hidden="false" customHeight="false" outlineLevel="0" collapsed="false">
      <c r="A201" s="4" t="s">
        <v>469</v>
      </c>
      <c r="B201" s="0" t="s">
        <v>209</v>
      </c>
      <c r="C201" s="23" t="n">
        <f aca="false">C200+C195+C196+C197-a25_rev</f>
        <v>0</v>
      </c>
      <c r="D201" s="23" t="n">
        <f aca="false">D200+D195+D196+D197-a26_rev</f>
        <v>0</v>
      </c>
      <c r="E201" s="23" t="n">
        <f aca="false">E200+E195+E196+E197-E199</f>
        <v>0</v>
      </c>
      <c r="F201" s="23" t="n">
        <f aca="false">F200+F195+F196+F197-F199</f>
        <v>0</v>
      </c>
      <c r="G201" s="23" t="n">
        <f aca="false">G200+G195+G196+G197-G199</f>
        <v>0</v>
      </c>
    </row>
    <row r="202" customFormat="false" ht="15" hidden="false" customHeight="false" outlineLevel="0" collapsed="false">
      <c r="A202" s="4" t="s">
        <v>470</v>
      </c>
      <c r="B202" s="0" t="s">
        <v>52</v>
      </c>
      <c r="D202" s="15" t="n">
        <f aca="false">D199/C199-1</f>
        <v>0.376106443147411</v>
      </c>
      <c r="E202" s="15" t="n">
        <f aca="false">E199/D199-1</f>
        <v>0.146126461154458</v>
      </c>
      <c r="F202" s="15" t="n">
        <f aca="false">F199/E199-1</f>
        <v>0.0300563654436836</v>
      </c>
      <c r="G202" s="15" t="n">
        <f aca="false">G199/F199-1</f>
        <v>-0.0153012726466436</v>
      </c>
    </row>
    <row r="203" customFormat="false" ht="17.15" hidden="false" customHeight="false" outlineLevel="0" collapsed="false">
      <c r="A203" s="0" t="s">
        <v>471</v>
      </c>
      <c r="B203" s="0" t="s">
        <v>52</v>
      </c>
      <c r="C203" s="15" t="n">
        <f aca="false">C192/C199</f>
        <v>0.2</v>
      </c>
      <c r="D203" s="15" t="n">
        <f aca="false">D192/D199</f>
        <v>0.318</v>
      </c>
      <c r="E203" s="15" t="n">
        <f aca="false">E192/E199</f>
        <v>0.373507178887799</v>
      </c>
      <c r="F203" s="15" t="n">
        <f aca="false">F192/F199</f>
        <v>0.367718873879617</v>
      </c>
      <c r="G203" s="15" t="n">
        <f aca="false">G192/G199</f>
        <v>0.33677427191402</v>
      </c>
    </row>
    <row r="204" customFormat="false" ht="17.15" hidden="false" customHeight="false" outlineLevel="0" collapsed="false">
      <c r="A204" s="4" t="s">
        <v>472</v>
      </c>
      <c r="B204" s="0" t="s">
        <v>52</v>
      </c>
      <c r="C204" s="15" t="n">
        <f aca="false">(C192+C194)/C199</f>
        <v>0.4</v>
      </c>
      <c r="D204" s="15" t="n">
        <f aca="false">(D192+D194)/D199</f>
        <v>0.53</v>
      </c>
      <c r="E204" s="15" t="n">
        <f aca="false">(E192+E194)/E199</f>
        <v>0.580674544835213</v>
      </c>
      <c r="F204" s="15" t="n">
        <f aca="false">(F192+F194)/F199</f>
        <v>0.584931021417615</v>
      </c>
      <c r="G204" s="15" t="n">
        <f aca="false">(G192+G194)/G199</f>
        <v>0.570596932586207</v>
      </c>
    </row>
    <row r="205" customFormat="false" ht="17.15" hidden="false" customHeight="false" outlineLevel="0" collapsed="false">
      <c r="A205" s="4" t="s">
        <v>418</v>
      </c>
      <c r="B205" s="0" t="s">
        <v>405</v>
      </c>
      <c r="D205" s="16" t="n">
        <f aca="false">D192/fx/D183</f>
        <v>4.7355819103481</v>
      </c>
      <c r="E205" s="16" t="n">
        <f aca="false">E192/fx/E183</f>
        <v>3.58181976344621</v>
      </c>
      <c r="F205" s="16" t="n">
        <f aca="false">F192/fx/F183</f>
        <v>2.86545581075697</v>
      </c>
      <c r="G205" s="16" t="n">
        <f aca="false">G192/fx/G183</f>
        <v>2.2684858501826</v>
      </c>
    </row>
    <row r="206" customFormat="false" ht="17.15" hidden="false" customHeight="false" outlineLevel="0" collapsed="false">
      <c r="A206" s="4" t="s">
        <v>473</v>
      </c>
      <c r="B206" s="4" t="s">
        <v>416</v>
      </c>
      <c r="D206" s="19" t="n">
        <f aca="false">D190/fx/(odm_gb*(1-vr26)+odm_vr*vr26)</f>
        <v>24.0630682003257</v>
      </c>
      <c r="E206" s="19" t="n">
        <f aca="false">E190/fx/odm_vr</f>
        <v>29.4659178112417</v>
      </c>
      <c r="F206" s="19" t="n">
        <f aca="false">F190/fx/odm_vr</f>
        <v>37.3514911462707</v>
      </c>
      <c r="G206" s="19" t="n">
        <f aca="false">G190/fx/odm_vr</f>
        <v>40.4217909343043</v>
      </c>
      <c r="H206" s="4" t="s">
        <v>474</v>
      </c>
    </row>
    <row r="207" customFormat="false" ht="17.15" hidden="false" customHeight="false" outlineLevel="0" collapsed="false">
      <c r="A207" s="6" t="s">
        <v>475</v>
      </c>
    </row>
    <row r="208" customFormat="false" ht="17.15" hidden="false" customHeight="false" outlineLevel="0" collapsed="false">
      <c r="A208" s="4" t="s">
        <v>476</v>
      </c>
      <c r="B208" s="0" t="s">
        <v>52</v>
      </c>
      <c r="D208" s="14" t="n">
        <f aca="false">a26_gp/D199-d_ai*D203</f>
        <v>0.0621989258510762</v>
      </c>
      <c r="H208" s="8" t="s">
        <v>477</v>
      </c>
    </row>
    <row r="209" customFormat="false" ht="17.15" hidden="false" customHeight="false" outlineLevel="0" collapsed="false">
      <c r="A209" s="0" t="s">
        <v>478</v>
      </c>
      <c r="B209" s="0" t="s">
        <v>209</v>
      </c>
      <c r="D209" s="22" t="n">
        <f aca="false">($D$208+d_ai)*D190*(1-D191*(1-keep))</f>
        <v>202.8236004951</v>
      </c>
      <c r="E209" s="22" t="n">
        <f aca="false">($D$208+d_ai+vrd)*E190*(1-E191*(1-keep))</f>
        <v>342.538164810731</v>
      </c>
      <c r="F209" s="22" t="n">
        <f aca="false">($D$208+d_ai+vrd)*F190*(1-F191*(1-keep))</f>
        <v>427.527007761971</v>
      </c>
      <c r="G209" s="22" t="n">
        <f aca="false">($D$208+d_ai+vrd)*G190*(1-G191*(1-keep))</f>
        <v>457.850333200936</v>
      </c>
      <c r="H209" s="4" t="s">
        <v>479</v>
      </c>
    </row>
    <row r="210" customFormat="false" ht="15" hidden="false" customHeight="false" outlineLevel="0" collapsed="false">
      <c r="A210" s="4" t="s">
        <v>357</v>
      </c>
      <c r="B210" s="0" t="s">
        <v>209</v>
      </c>
      <c r="C210" s="19" t="n">
        <f aca="false">a25_gp</f>
        <v>498.161</v>
      </c>
      <c r="D210" s="19" t="n">
        <f aca="false">a26_gp</f>
        <v>675.8340708</v>
      </c>
      <c r="E210" s="19" t="n">
        <f aca="false">$D$208*E198+E209</f>
        <v>840.544672285409</v>
      </c>
      <c r="F210" s="19" t="n">
        <f aca="false">$D$208*F198+F209</f>
        <v>945.241267605869</v>
      </c>
      <c r="G210" s="19" t="n">
        <f aca="false">$D$208*G198+G209</f>
        <v>992.592770229453</v>
      </c>
    </row>
    <row r="211" customFormat="false" ht="15" hidden="false" customHeight="false" outlineLevel="0" collapsed="false">
      <c r="A211" s="4" t="s">
        <v>360</v>
      </c>
      <c r="B211" s="0" t="s">
        <v>52</v>
      </c>
      <c r="C211" s="14" t="n">
        <f aca="false">C210/C199</f>
        <v>0.0614777915379352</v>
      </c>
      <c r="D211" s="14" t="n">
        <f aca="false">D210/D199</f>
        <v>0.0606089258510762</v>
      </c>
      <c r="E211" s="14" t="n">
        <f aca="false">E210/E199</f>
        <v>0.0657695341205433</v>
      </c>
      <c r="F211" s="14" t="n">
        <f aca="false">F210/F199</f>
        <v>0.0718035058459122</v>
      </c>
      <c r="G211" s="14" t="n">
        <f aca="false">G210/G199</f>
        <v>0.076572126205217</v>
      </c>
    </row>
    <row r="212" customFormat="false" ht="17.15" hidden="false" customHeight="false" outlineLevel="0" collapsed="false">
      <c r="A212" s="0" t="s">
        <v>480</v>
      </c>
      <c r="B212" s="0" t="s">
        <v>52</v>
      </c>
      <c r="D212" s="14" t="n">
        <f aca="false">D209/D192</f>
        <v>0.0571989258510762</v>
      </c>
      <c r="E212" s="14" t="n">
        <f aca="false">E209/E192</f>
        <v>0.0717586036063991</v>
      </c>
      <c r="F212" s="14" t="n">
        <f aca="false">F209/F192</f>
        <v>0.0883182813617219</v>
      </c>
      <c r="G212" s="14" t="n">
        <f aca="false">G209/G192</f>
        <v>0.104877959117045</v>
      </c>
      <c r="H212" s="4" t="s">
        <v>481</v>
      </c>
    </row>
    <row r="213" customFormat="false" ht="15" hidden="false" customHeight="false" outlineLevel="0" collapsed="false">
      <c r="A213" s="4" t="s">
        <v>482</v>
      </c>
      <c r="B213" s="0" t="s">
        <v>209</v>
      </c>
      <c r="C213" s="19" t="n">
        <f aca="false">a25_opx</f>
        <v>238.938</v>
      </c>
      <c r="D213" s="19" t="n">
        <f aca="false">a26_opx</f>
        <v>254.8304233</v>
      </c>
      <c r="E213" s="19" t="n">
        <f aca="false">D213*(1+MAX(0,phi*E202))</f>
        <v>269.725410480529</v>
      </c>
      <c r="F213" s="19" t="n">
        <f aca="false">E213*(1+MAX(0,phi*F202))</f>
        <v>272.968196683269</v>
      </c>
      <c r="G213" s="19" t="n">
        <f aca="false">F213*(1+MAX(0,phi*G202))</f>
        <v>272.968196683269</v>
      </c>
    </row>
    <row r="214" customFormat="false" ht="15" hidden="false" customHeight="false" outlineLevel="0" collapsed="false">
      <c r="A214" s="4" t="s">
        <v>361</v>
      </c>
      <c r="B214" s="0" t="s">
        <v>209</v>
      </c>
      <c r="C214" s="19" t="n">
        <f aca="false">C213</f>
        <v>238.938</v>
      </c>
      <c r="D214" s="19" t="n">
        <f aca="false">D213</f>
        <v>254.8304233</v>
      </c>
      <c r="E214" s="19" t="n">
        <f aca="false">E213+0*E199</f>
        <v>269.725410480529</v>
      </c>
      <c r="F214" s="19" t="n">
        <f aca="false">F213+0*F199</f>
        <v>272.968196683269</v>
      </c>
      <c r="G214" s="19" t="n">
        <f aca="false">G213+0*G199</f>
        <v>272.968196683269</v>
      </c>
    </row>
    <row r="215" customFormat="false" ht="15" hidden="false" customHeight="false" outlineLevel="0" collapsed="false">
      <c r="A215" s="4" t="s">
        <v>364</v>
      </c>
      <c r="B215" s="0" t="s">
        <v>209</v>
      </c>
      <c r="C215" s="19" t="n">
        <f aca="false">C210-C214</f>
        <v>259.223</v>
      </c>
      <c r="D215" s="19" t="n">
        <f aca="false">D210-D214</f>
        <v>421.0036475</v>
      </c>
      <c r="E215" s="19" t="n">
        <f aca="false">E210-E214</f>
        <v>570.81926180488</v>
      </c>
      <c r="F215" s="19" t="n">
        <f aca="false">F210-F214</f>
        <v>672.2730709226</v>
      </c>
      <c r="G215" s="19" t="n">
        <f aca="false">G210-G214</f>
        <v>719.624573546184</v>
      </c>
    </row>
    <row r="216" customFormat="false" ht="15" hidden="false" customHeight="false" outlineLevel="0" collapsed="false">
      <c r="A216" s="4" t="s">
        <v>367</v>
      </c>
      <c r="B216" s="0" t="s">
        <v>52</v>
      </c>
      <c r="C216" s="14" t="n">
        <f aca="false">C215/C199</f>
        <v>0.0319905764518663</v>
      </c>
      <c r="D216" s="14" t="n">
        <f aca="false">D215/D199</f>
        <v>0.0377556858359561</v>
      </c>
      <c r="E216" s="14" t="n">
        <f aca="false">E215/E199</f>
        <v>0.0446645111839954</v>
      </c>
      <c r="F216" s="14" t="n">
        <f aca="false">F215/F199</f>
        <v>0.0510679812999529</v>
      </c>
      <c r="G216" s="14" t="n">
        <f aca="false">G215/G199</f>
        <v>0.055514391519511</v>
      </c>
    </row>
    <row r="217" customFormat="false" ht="17.15" hidden="false" customHeight="false" outlineLevel="0" collapsed="false">
      <c r="A217" s="4" t="s">
        <v>243</v>
      </c>
      <c r="B217" s="0" t="s">
        <v>52</v>
      </c>
      <c r="C217" s="15" t="n">
        <f aca="false">a25_ni/a25_oi</f>
        <v>0.730467589681471</v>
      </c>
      <c r="D217" s="15" t="n">
        <f aca="false">a26_ni/a26_oi</f>
        <v>0.653811645064191</v>
      </c>
      <c r="E217" s="15" t="n">
        <f aca="false">nio_f</f>
        <v>0.66</v>
      </c>
      <c r="F217" s="15" t="n">
        <f aca="false">nio_f</f>
        <v>0.66</v>
      </c>
      <c r="G217" s="15" t="n">
        <f aca="false">nio_f</f>
        <v>0.66</v>
      </c>
    </row>
    <row r="218" customFormat="false" ht="15" hidden="false" customHeight="false" outlineLevel="0" collapsed="false">
      <c r="A218" s="4" t="s">
        <v>368</v>
      </c>
      <c r="B218" s="0" t="s">
        <v>209</v>
      </c>
      <c r="C218" s="19" t="n">
        <f aca="false">a25_ni</f>
        <v>189.354</v>
      </c>
      <c r="D218" s="19" t="n">
        <f aca="false">a26_ni</f>
        <v>275.25708735</v>
      </c>
      <c r="E218" s="19" t="n">
        <f aca="false">E215*E217</f>
        <v>376.740712791221</v>
      </c>
      <c r="F218" s="19" t="n">
        <f aca="false">F215*F217</f>
        <v>443.700226808916</v>
      </c>
      <c r="G218" s="19" t="n">
        <f aca="false">G215*G217</f>
        <v>474.952218540482</v>
      </c>
    </row>
    <row r="219" customFormat="false" ht="15" hidden="false" customHeight="false" outlineLevel="0" collapsed="false">
      <c r="A219" s="4" t="s">
        <v>483</v>
      </c>
      <c r="B219" s="4" t="s">
        <v>230</v>
      </c>
      <c r="C219" s="23" t="n">
        <f aca="false">a25_sh</f>
        <v>13.9128581925055</v>
      </c>
      <c r="D219" s="23" t="n">
        <f aca="false">a26_sh</f>
        <v>14.0169642857143</v>
      </c>
      <c r="E219" s="23" t="n">
        <f aca="false">D219*(1+sh_g)</f>
        <v>14.0169642857143</v>
      </c>
      <c r="F219" s="23" t="n">
        <f aca="false">E219*(1+sh_g)</f>
        <v>14.0169642857143</v>
      </c>
      <c r="G219" s="23" t="n">
        <f aca="false">F219*(1+sh_g)</f>
        <v>14.0169642857143</v>
      </c>
    </row>
    <row r="220" customFormat="false" ht="15" hidden="false" customHeight="false" outlineLevel="0" collapsed="false">
      <c r="A220" s="0" t="s">
        <v>374</v>
      </c>
      <c r="B220" s="0" t="s">
        <v>260</v>
      </c>
      <c r="C220" s="22" t="n">
        <f aca="false">C218/C219</f>
        <v>13.61</v>
      </c>
      <c r="D220" s="22" t="n">
        <f aca="false">D218/D219</f>
        <v>19.6374251756163</v>
      </c>
      <c r="E220" s="22" t="n">
        <f aca="false">E218/E219</f>
        <v>26.8774825355862</v>
      </c>
      <c r="F220" s="22" t="n">
        <f aca="false">F218/F219</f>
        <v>31.6545164676722</v>
      </c>
      <c r="G220" s="22" t="n">
        <f aca="false">G218/G219</f>
        <v>33.884099927724</v>
      </c>
    </row>
    <row r="221" customFormat="false" ht="17.15" hidden="false" customHeight="false" outlineLevel="0" collapsed="false">
      <c r="A221" s="0" t="s">
        <v>484</v>
      </c>
      <c r="B221" s="0" t="s">
        <v>52</v>
      </c>
      <c r="D221" s="15" t="n">
        <f aca="false">D220/C220-1</f>
        <v>0.442867389832203</v>
      </c>
      <c r="E221" s="15" t="n">
        <f aca="false">E220/D220-1</f>
        <v>0.368686693658793</v>
      </c>
      <c r="F221" s="15" t="n">
        <f aca="false">F220/E220-1</f>
        <v>0.177733681931005</v>
      </c>
      <c r="G221" s="15" t="n">
        <f aca="false">G220/F220-1</f>
        <v>0.0704349239492823</v>
      </c>
    </row>
    <row r="224" customFormat="false" ht="17.15" hidden="false" customHeight="false" outlineLevel="0" collapsed="false">
      <c r="A224" s="1" t="s">
        <v>836</v>
      </c>
    </row>
    <row r="225" customFormat="false" ht="17.15" hidden="false" customHeight="false" outlineLevel="0" collapsed="false">
      <c r="A225" s="5" t="s">
        <v>21</v>
      </c>
      <c r="B225" s="5" t="s">
        <v>22</v>
      </c>
      <c r="C225" s="11" t="s">
        <v>347</v>
      </c>
      <c r="D225" s="11" t="s">
        <v>429</v>
      </c>
      <c r="E225" s="11" t="s">
        <v>430</v>
      </c>
      <c r="F225" s="11" t="s">
        <v>431</v>
      </c>
      <c r="G225" s="11" t="s">
        <v>432</v>
      </c>
      <c r="H225" s="5" t="s">
        <v>400</v>
      </c>
    </row>
    <row r="226" customFormat="false" ht="17.15" hidden="false" customHeight="false" outlineLevel="0" collapsed="false">
      <c r="A226" s="6" t="s">
        <v>450</v>
      </c>
    </row>
    <row r="227" customFormat="false" ht="17.15" hidden="false" customHeight="false" outlineLevel="0" collapsed="false">
      <c r="A227" s="0" t="s">
        <v>451</v>
      </c>
      <c r="B227" s="0" t="s">
        <v>32</v>
      </c>
      <c r="D227" s="22" t="n">
        <f aca="false">itc_26*1</f>
        <v>781.872916666666</v>
      </c>
      <c r="E227" s="22" t="n">
        <f aca="false">itc_27*1*1</f>
        <v>1565.35</v>
      </c>
      <c r="F227" s="22" t="n">
        <f aca="false">itc_28*um28_A*1</f>
        <v>1984.26388888889</v>
      </c>
      <c r="G227" s="22" t="n">
        <f aca="false">itc_29*um29_A*1</f>
        <v>2260.39027777778</v>
      </c>
    </row>
    <row r="228" customFormat="false" ht="17.15" hidden="false" customHeight="false" outlineLevel="0" collapsed="false">
      <c r="A228" s="4" t="s">
        <v>452</v>
      </c>
      <c r="B228" s="0" t="s">
        <v>32</v>
      </c>
      <c r="D228" s="22" t="n">
        <f aca="false">itpg_gb*(1-vr26)+itpg_vr*vr26</f>
        <v>33.41403216</v>
      </c>
      <c r="E228" s="22" t="n">
        <f aca="false">itpg_vr</f>
        <v>37.586352</v>
      </c>
      <c r="F228" s="22" t="n">
        <f aca="false">itpg_vr</f>
        <v>37.586352</v>
      </c>
      <c r="G228" s="22" t="n">
        <f aca="false">itpg_vr</f>
        <v>37.586352</v>
      </c>
    </row>
    <row r="229" customFormat="false" ht="17.15" hidden="false" customHeight="false" outlineLevel="0" collapsed="false">
      <c r="A229" s="4" t="s">
        <v>453</v>
      </c>
      <c r="B229" s="0" t="s">
        <v>402</v>
      </c>
      <c r="D229" s="18" t="n">
        <f aca="false">D227/D228</f>
        <v>23.3995380420639</v>
      </c>
      <c r="E229" s="18" t="n">
        <f aca="false">E227/E228</f>
        <v>41.6467658260637</v>
      </c>
      <c r="F229" s="18" t="n">
        <f aca="false">F227/F228</f>
        <v>52.792138191248</v>
      </c>
      <c r="G229" s="18" t="n">
        <f aca="false">G227/G228</f>
        <v>60.1385917361116</v>
      </c>
    </row>
    <row r="230" customFormat="false" ht="17.15" hidden="false" customHeight="false" outlineLevel="0" collapsed="false">
      <c r="A230" s="4" t="s">
        <v>404</v>
      </c>
      <c r="B230" s="0" t="s">
        <v>405</v>
      </c>
      <c r="D230" s="16" t="n">
        <f aca="false">(racks_gb*odm_gb*(1-vr26)+racks_vr*odm_vr*vr26)/1000</f>
        <v>27.1209</v>
      </c>
      <c r="E230" s="16" t="n">
        <f aca="false">racks_vr*odm_vr/1000</f>
        <v>27.351</v>
      </c>
      <c r="F230" s="16" t="n">
        <f aca="false">$E230*vpg_28</f>
        <v>27.351</v>
      </c>
      <c r="G230" s="16" t="n">
        <f aca="false">$E230*vpg_29</f>
        <v>27.351</v>
      </c>
      <c r="H230" s="4" t="s">
        <v>454</v>
      </c>
    </row>
    <row r="231" customFormat="false" ht="17.15" hidden="false" customHeight="false" outlineLevel="0" collapsed="false">
      <c r="A231" s="0" t="s">
        <v>455</v>
      </c>
      <c r="B231" s="0" t="s">
        <v>32</v>
      </c>
      <c r="D231" s="19" t="n">
        <f aca="false">D229*D230</f>
        <v>634.61653128501</v>
      </c>
      <c r="E231" s="19" t="n">
        <f aca="false">E229*E230</f>
        <v>1139.08069210867</v>
      </c>
      <c r="F231" s="19" t="n">
        <f aca="false">F229*F230</f>
        <v>1443.91777166882</v>
      </c>
      <c r="G231" s="19" t="n">
        <f aca="false">G229*G230</f>
        <v>1644.85062257439</v>
      </c>
    </row>
    <row r="232" customFormat="false" ht="17.15" hidden="false" customHeight="false" outlineLevel="0" collapsed="false">
      <c r="A232" s="0" t="s">
        <v>456</v>
      </c>
      <c r="B232" s="0" t="s">
        <v>209</v>
      </c>
      <c r="D232" s="19" t="n">
        <f aca="false">D231*fx</f>
        <v>20307.7290011203</v>
      </c>
      <c r="E232" s="19" t="n">
        <f aca="false">E231*fx</f>
        <v>36450.5821474774</v>
      </c>
      <c r="F232" s="19" t="n">
        <f aca="false">F231*fx</f>
        <v>46205.3686934024</v>
      </c>
      <c r="G232" s="19" t="n">
        <f aca="false">G231*fx</f>
        <v>52635.2199223804</v>
      </c>
    </row>
    <row r="233" customFormat="false" ht="17.15" hidden="false" customHeight="false" outlineLevel="0" collapsed="false">
      <c r="A233" s="4" t="s">
        <v>457</v>
      </c>
      <c r="B233" s="0" t="s">
        <v>52</v>
      </c>
      <c r="D233" s="15" t="n">
        <f aca="false">a26_ai/D232</f>
        <v>0.174610057569922</v>
      </c>
      <c r="H233" s="8" t="s">
        <v>458</v>
      </c>
    </row>
    <row r="234" customFormat="false" ht="17.15" hidden="false" customHeight="false" outlineLevel="0" collapsed="false">
      <c r="A234" s="4" t="s">
        <v>459</v>
      </c>
      <c r="B234" s="0" t="s">
        <v>71</v>
      </c>
      <c r="D234" s="16" t="n">
        <f aca="false">1</f>
        <v>1</v>
      </c>
      <c r="E234" s="16" t="n">
        <f aca="false">rel_27</f>
        <v>1</v>
      </c>
      <c r="F234" s="16" t="n">
        <f aca="false">rel_28</f>
        <v>1</v>
      </c>
      <c r="G234" s="16" t="n">
        <f aca="false">rel_29</f>
        <v>0.95</v>
      </c>
    </row>
    <row r="235" customFormat="false" ht="15" hidden="false" customHeight="false" outlineLevel="0" collapsed="false">
      <c r="A235" s="4" t="s">
        <v>460</v>
      </c>
      <c r="B235" s="0" t="s">
        <v>52</v>
      </c>
      <c r="D235" s="15" t="n">
        <f aca="false">$D$233*D234</f>
        <v>0.174610057569922</v>
      </c>
      <c r="E235" s="15" t="n">
        <f aca="false">$D$233*E234</f>
        <v>0.174610057569922</v>
      </c>
      <c r="F235" s="15" t="n">
        <f aca="false">$D$233*F234</f>
        <v>0.174610057569922</v>
      </c>
      <c r="G235" s="15" t="n">
        <f aca="false">$D$233*G234</f>
        <v>0.165879554691426</v>
      </c>
    </row>
    <row r="236" customFormat="false" ht="17.15" hidden="false" customHeight="false" outlineLevel="0" collapsed="false">
      <c r="A236" s="0" t="s">
        <v>461</v>
      </c>
      <c r="B236" s="0" t="s">
        <v>209</v>
      </c>
      <c r="D236" s="19" t="n">
        <f aca="false">D232*D235</f>
        <v>3545.93373</v>
      </c>
      <c r="E236" s="19" t="n">
        <f aca="false">E232*E235</f>
        <v>6364.6382472282</v>
      </c>
      <c r="F236" s="19" t="n">
        <f aca="false">F232*F235</f>
        <v>8067.92208759447</v>
      </c>
      <c r="G236" s="19" t="n">
        <f aca="false">G232*G235</f>
        <v>8731.10684180974</v>
      </c>
    </row>
    <row r="237" customFormat="false" ht="17.15" hidden="false" customHeight="false" outlineLevel="0" collapsed="false">
      <c r="A237" s="4" t="s">
        <v>462</v>
      </c>
      <c r="B237" s="0" t="s">
        <v>52</v>
      </c>
      <c r="D237" s="15" t="n">
        <f aca="false">0</f>
        <v>0</v>
      </c>
      <c r="E237" s="15" t="n">
        <f aca="false">cs_27</f>
        <v>0.1</v>
      </c>
      <c r="F237" s="15" t="n">
        <f aca="false">cs_28</f>
        <v>0.2</v>
      </c>
      <c r="G237" s="15" t="n">
        <f aca="false">cs_29</f>
        <v>0.25</v>
      </c>
      <c r="H237" s="8" t="s">
        <v>463</v>
      </c>
    </row>
    <row r="238" customFormat="false" ht="17.15" hidden="false" customHeight="false" outlineLevel="0" collapsed="false">
      <c r="A238" s="0" t="s">
        <v>464</v>
      </c>
      <c r="B238" s="0" t="s">
        <v>209</v>
      </c>
      <c r="C238" s="19" t="n">
        <f aca="false">a25_ai</f>
        <v>1620.621</v>
      </c>
      <c r="D238" s="19" t="n">
        <f aca="false">D236*(1-D237)</f>
        <v>3545.93373</v>
      </c>
      <c r="E238" s="19" t="n">
        <f aca="false">E236*(1-E237)</f>
        <v>5728.17442250538</v>
      </c>
      <c r="F238" s="19" t="n">
        <f aca="false">F236*(1-F237)</f>
        <v>6454.33767007557</v>
      </c>
      <c r="G238" s="19" t="n">
        <f aca="false">G236*(1-G237)</f>
        <v>6548.3301313573</v>
      </c>
    </row>
    <row r="239" customFormat="false" ht="17.15" hidden="false" customHeight="false" outlineLevel="0" collapsed="false">
      <c r="A239" s="6" t="s">
        <v>465</v>
      </c>
    </row>
    <row r="240" customFormat="false" ht="17.15" hidden="false" customHeight="false" outlineLevel="0" collapsed="false">
      <c r="A240" s="4" t="s">
        <v>382</v>
      </c>
      <c r="B240" s="0" t="s">
        <v>209</v>
      </c>
      <c r="C240" s="19" t="n">
        <f aca="false">a25_cn</f>
        <v>1620.621</v>
      </c>
      <c r="D240" s="19" t="n">
        <f aca="false">a26_cn</f>
        <v>2363.95582</v>
      </c>
      <c r="E240" s="19" t="n">
        <f aca="false">D240*(1+g_cn27)</f>
        <v>2647.6305184</v>
      </c>
      <c r="F240" s="19" t="n">
        <f aca="false">E240*(1+g_cn28)</f>
        <v>2859.440959872</v>
      </c>
      <c r="G240" s="19" t="n">
        <f aca="false">F240*(1+g_cn29)</f>
        <v>3031.00741746432</v>
      </c>
    </row>
    <row r="241" customFormat="false" ht="17.15" hidden="false" customHeight="false" outlineLevel="0" collapsed="false">
      <c r="A241" s="4" t="s">
        <v>383</v>
      </c>
      <c r="B241" s="0" t="s">
        <v>209</v>
      </c>
      <c r="C241" s="19" t="n">
        <f aca="false">a25_ce</f>
        <v>3079.1799</v>
      </c>
      <c r="D241" s="19" t="n">
        <f aca="false">a26_ce</f>
        <v>3345.2205</v>
      </c>
      <c r="E241" s="19" t="n">
        <f aca="false">D241*(1+g_ce27)</f>
        <v>3445.577115</v>
      </c>
      <c r="F241" s="19" t="n">
        <f aca="false">E241*(1+g_ce28)</f>
        <v>3514.4886573</v>
      </c>
      <c r="G241" s="19" t="n">
        <f aca="false">F241*(1+g_ce29)</f>
        <v>3584.778430446</v>
      </c>
    </row>
    <row r="242" customFormat="false" ht="15" hidden="false" customHeight="false" outlineLevel="0" collapsed="false">
      <c r="A242" s="4" t="s">
        <v>384</v>
      </c>
      <c r="B242" s="0" t="s">
        <v>209</v>
      </c>
      <c r="C242" s="19" t="n">
        <f aca="false">a25_pc</f>
        <v>1215.46575</v>
      </c>
      <c r="D242" s="19" t="n">
        <f aca="false">a26_pc</f>
        <v>1338.0882</v>
      </c>
      <c r="E242" s="19" t="n">
        <f aca="false">D242*(1+g_pc27)</f>
        <v>1311.326436</v>
      </c>
      <c r="F242" s="19" t="n">
        <f aca="false">E242*(1+g_pc28)</f>
        <v>1311.326436</v>
      </c>
      <c r="G242" s="19" t="n">
        <f aca="false">F242*(1+g_pc29)</f>
        <v>1311.326436</v>
      </c>
    </row>
    <row r="243" customFormat="false" ht="15" hidden="false" customHeight="false" outlineLevel="0" collapsed="false">
      <c r="A243" s="4" t="s">
        <v>466</v>
      </c>
      <c r="B243" s="0" t="s">
        <v>209</v>
      </c>
      <c r="C243" s="19" t="n">
        <f aca="false">a25_co</f>
        <v>567.217349999999</v>
      </c>
      <c r="D243" s="19" t="n">
        <f aca="false">a26_co</f>
        <v>557.53675</v>
      </c>
      <c r="E243" s="19" t="n">
        <f aca="false">D243*(1+g_co27)</f>
        <v>602.13969</v>
      </c>
      <c r="F243" s="19" t="n">
        <f aca="false">E243*(1+g_co28)</f>
        <v>638.2680714</v>
      </c>
      <c r="G243" s="19" t="n">
        <f aca="false">F243*(1+g_co29)</f>
        <v>670.18147497</v>
      </c>
    </row>
    <row r="244" customFormat="false" ht="17.15" hidden="false" customHeight="false" outlineLevel="0" collapsed="false">
      <c r="A244" s="4" t="s">
        <v>387</v>
      </c>
      <c r="B244" s="0" t="s">
        <v>209</v>
      </c>
      <c r="C244" s="19" t="n">
        <f aca="false">SUM(C240:C243)</f>
        <v>6482.484</v>
      </c>
      <c r="D244" s="19" t="n">
        <f aca="false">SUM(D240:D243)</f>
        <v>7604.80127</v>
      </c>
      <c r="E244" s="19" t="n">
        <f aca="false">SUM(E240:E243)</f>
        <v>8006.6737594</v>
      </c>
      <c r="F244" s="19" t="n">
        <f aca="false">SUM(F240:F243)</f>
        <v>8323.524124572</v>
      </c>
      <c r="G244" s="19" t="n">
        <f aca="false">SUM(G240:G243)</f>
        <v>8597.29375888032</v>
      </c>
    </row>
    <row r="245" customFormat="false" ht="15" hidden="false" customHeight="false" outlineLevel="0" collapsed="false">
      <c r="A245" s="4" t="s">
        <v>353</v>
      </c>
      <c r="B245" s="0" t="s">
        <v>209</v>
      </c>
      <c r="C245" s="19" t="n">
        <f aca="false">C238+C244</f>
        <v>8103.105</v>
      </c>
      <c r="D245" s="19" t="n">
        <f aca="false">D238+D244</f>
        <v>11150.735</v>
      </c>
      <c r="E245" s="19" t="n">
        <f aca="false">E238+E244</f>
        <v>13734.8481819054</v>
      </c>
      <c r="F245" s="19" t="n">
        <f aca="false">F238+F244</f>
        <v>14777.8617946476</v>
      </c>
      <c r="G245" s="19" t="n">
        <f aca="false">G238+G244</f>
        <v>15145.6238902376</v>
      </c>
    </row>
    <row r="246" customFormat="false" ht="17.15" hidden="false" customHeight="false" outlineLevel="0" collapsed="false">
      <c r="A246" s="4" t="s">
        <v>467</v>
      </c>
      <c r="B246" s="0" t="s">
        <v>209</v>
      </c>
      <c r="C246" s="19" t="n">
        <f aca="false">C238+C240</f>
        <v>3241.242</v>
      </c>
      <c r="D246" s="19" t="n">
        <f aca="false">D238+D240</f>
        <v>5909.88955</v>
      </c>
      <c r="E246" s="19" t="n">
        <f aca="false">E238+E240</f>
        <v>8375.80494090538</v>
      </c>
      <c r="F246" s="19" t="n">
        <f aca="false">F238+F240</f>
        <v>9313.77862994757</v>
      </c>
      <c r="G246" s="19" t="n">
        <f aca="false">G238+G240</f>
        <v>9579.33754882162</v>
      </c>
      <c r="H246" s="4" t="s">
        <v>468</v>
      </c>
    </row>
    <row r="247" customFormat="false" ht="17.15" hidden="false" customHeight="false" outlineLevel="0" collapsed="false">
      <c r="A247" s="4" t="s">
        <v>469</v>
      </c>
      <c r="B247" s="0" t="s">
        <v>209</v>
      </c>
      <c r="C247" s="23" t="n">
        <f aca="false">C246+C241+C242+C243-a25_rev</f>
        <v>0</v>
      </c>
      <c r="D247" s="23" t="n">
        <f aca="false">D246+D241+D242+D243-a26_rev</f>
        <v>0</v>
      </c>
      <c r="E247" s="23" t="n">
        <f aca="false">E246+E241+E242+E243-E245</f>
        <v>0</v>
      </c>
      <c r="F247" s="23" t="n">
        <f aca="false">F246+F241+F242+F243-F245</f>
        <v>0</v>
      </c>
      <c r="G247" s="23" t="n">
        <f aca="false">G246+G241+G242+G243-G245</f>
        <v>0</v>
      </c>
    </row>
    <row r="248" customFormat="false" ht="15" hidden="false" customHeight="false" outlineLevel="0" collapsed="false">
      <c r="A248" s="4" t="s">
        <v>470</v>
      </c>
      <c r="B248" s="0" t="s">
        <v>52</v>
      </c>
      <c r="D248" s="15" t="n">
        <f aca="false">D245/C245-1</f>
        <v>0.376106443147411</v>
      </c>
      <c r="E248" s="15" t="n">
        <f aca="false">E245/D245-1</f>
        <v>0.231743753385349</v>
      </c>
      <c r="F248" s="15" t="n">
        <f aca="false">F245/E245-1</f>
        <v>0.0759392167229256</v>
      </c>
      <c r="G248" s="15" t="n">
        <f aca="false">G245/F245-1</f>
        <v>0.0248860153586801</v>
      </c>
    </row>
    <row r="249" customFormat="false" ht="17.15" hidden="false" customHeight="false" outlineLevel="0" collapsed="false">
      <c r="A249" s="0" t="s">
        <v>471</v>
      </c>
      <c r="B249" s="0" t="s">
        <v>52</v>
      </c>
      <c r="C249" s="15" t="n">
        <f aca="false">C238/C245</f>
        <v>0.2</v>
      </c>
      <c r="D249" s="15" t="n">
        <f aca="false">D238/D245</f>
        <v>0.318</v>
      </c>
      <c r="E249" s="15" t="n">
        <f aca="false">E238/E245</f>
        <v>0.417054076364078</v>
      </c>
      <c r="F249" s="15" t="n">
        <f aca="false">F238/F245</f>
        <v>0.436757208841491</v>
      </c>
      <c r="G249" s="15" t="n">
        <f aca="false">G238/G245</f>
        <v>0.43235789947076</v>
      </c>
    </row>
    <row r="250" customFormat="false" ht="17.15" hidden="false" customHeight="false" outlineLevel="0" collapsed="false">
      <c r="A250" s="4" t="s">
        <v>472</v>
      </c>
      <c r="B250" s="0" t="s">
        <v>52</v>
      </c>
      <c r="C250" s="15" t="n">
        <f aca="false">(C238+C240)/C245</f>
        <v>0.4</v>
      </c>
      <c r="D250" s="15" t="n">
        <f aca="false">(D238+D240)/D245</f>
        <v>0.53</v>
      </c>
      <c r="E250" s="15" t="n">
        <f aca="false">(E238+E240)/E245</f>
        <v>0.609821443235162</v>
      </c>
      <c r="F250" s="15" t="n">
        <f aca="false">(F238+F240)/F245</f>
        <v>0.630252113558198</v>
      </c>
      <c r="G250" s="15" t="n">
        <f aca="false">(G238+G240)/G245</f>
        <v>0.632482202003983</v>
      </c>
    </row>
    <row r="251" customFormat="false" ht="17.15" hidden="false" customHeight="false" outlineLevel="0" collapsed="false">
      <c r="A251" s="4" t="s">
        <v>418</v>
      </c>
      <c r="B251" s="0" t="s">
        <v>405</v>
      </c>
      <c r="D251" s="16" t="n">
        <f aca="false">D238/fx/D229</f>
        <v>4.7355819103481</v>
      </c>
      <c r="E251" s="16" t="n">
        <f aca="false">E238/fx/E229</f>
        <v>4.29818371613545</v>
      </c>
      <c r="F251" s="16" t="n">
        <f aca="false">F238/fx/F229</f>
        <v>3.82060774767595</v>
      </c>
      <c r="G251" s="16" t="n">
        <f aca="false">G238/fx/G229</f>
        <v>3.4027287752739</v>
      </c>
    </row>
    <row r="252" customFormat="false" ht="17.15" hidden="false" customHeight="false" outlineLevel="0" collapsed="false">
      <c r="A252" s="4" t="s">
        <v>473</v>
      </c>
      <c r="B252" s="4" t="s">
        <v>416</v>
      </c>
      <c r="D252" s="19" t="n">
        <f aca="false">D236/fx/(odm_gb*(1-vr26)+odm_vr*vr26)</f>
        <v>24.0630682003257</v>
      </c>
      <c r="E252" s="19" t="n">
        <f aca="false">E236/fx/odm_vr</f>
        <v>29.4659178112417</v>
      </c>
      <c r="F252" s="19" t="n">
        <f aca="false">F236/fx/odm_vr</f>
        <v>37.3514911462707</v>
      </c>
      <c r="G252" s="19" t="n">
        <f aca="false">G236/fx/odm_vr</f>
        <v>40.4217909343043</v>
      </c>
      <c r="H252" s="4" t="s">
        <v>474</v>
      </c>
    </row>
    <row r="253" customFormat="false" ht="17.15" hidden="false" customHeight="false" outlineLevel="0" collapsed="false">
      <c r="A253" s="6" t="s">
        <v>475</v>
      </c>
    </row>
    <row r="254" customFormat="false" ht="17.15" hidden="false" customHeight="false" outlineLevel="0" collapsed="false">
      <c r="A254" s="4" t="s">
        <v>476</v>
      </c>
      <c r="B254" s="0" t="s">
        <v>52</v>
      </c>
      <c r="D254" s="14" t="n">
        <f aca="false">a26_gp/D245-d_ai*D249</f>
        <v>0.0621989258510762</v>
      </c>
      <c r="H254" s="8" t="s">
        <v>477</v>
      </c>
    </row>
    <row r="255" customFormat="false" ht="17.15" hidden="false" customHeight="false" outlineLevel="0" collapsed="false">
      <c r="A255" s="0" t="s">
        <v>478</v>
      </c>
      <c r="B255" s="0" t="s">
        <v>209</v>
      </c>
      <c r="D255" s="22" t="n">
        <f aca="false">($D$254+d_ai)*D236*(1-D237*(1-keep_lo))</f>
        <v>202.8236004951</v>
      </c>
      <c r="E255" s="22" t="n">
        <f aca="false">($D$254+d_ai+vrd)*E236*(1-E237*(1-keep_lo))</f>
        <v>340.781558837343</v>
      </c>
      <c r="F255" s="22" t="n">
        <f aca="false">($D$254+d_ai+vrd)*F236*(1-F237*(1-keep_lo))</f>
        <v>418.620195100264</v>
      </c>
      <c r="G255" s="22" t="n">
        <f aca="false">($D$254+d_ai+vrd)*G236*(1-G237*(1-keep_lo))</f>
        <v>445.801640221964</v>
      </c>
      <c r="H255" s="4" t="s">
        <v>479</v>
      </c>
    </row>
    <row r="256" customFormat="false" ht="15" hidden="false" customHeight="false" outlineLevel="0" collapsed="false">
      <c r="A256" s="4" t="s">
        <v>357</v>
      </c>
      <c r="B256" s="0" t="s">
        <v>209</v>
      </c>
      <c r="C256" s="19" t="n">
        <f aca="false">a25_gp</f>
        <v>498.161</v>
      </c>
      <c r="D256" s="19" t="n">
        <f aca="false">a26_gp</f>
        <v>675.8340708</v>
      </c>
      <c r="E256" s="19" t="n">
        <f aca="false">$D$254*E244+E255</f>
        <v>838.788066312021</v>
      </c>
      <c r="F256" s="19" t="n">
        <f aca="false">$D$254*F244+F255</f>
        <v>936.334454944161</v>
      </c>
      <c r="G256" s="19" t="n">
        <f aca="false">$D$254*G244+G255</f>
        <v>980.544077250481</v>
      </c>
    </row>
    <row r="257" customFormat="false" ht="15" hidden="false" customHeight="false" outlineLevel="0" collapsed="false">
      <c r="A257" s="4" t="s">
        <v>360</v>
      </c>
      <c r="B257" s="0" t="s">
        <v>52</v>
      </c>
      <c r="C257" s="14" t="n">
        <f aca="false">C256/C245</f>
        <v>0.0614777915379352</v>
      </c>
      <c r="D257" s="14" t="n">
        <f aca="false">D256/D245</f>
        <v>0.0606089258510762</v>
      </c>
      <c r="E257" s="14" t="n">
        <f aca="false">E256/E245</f>
        <v>0.0610700646416362</v>
      </c>
      <c r="F257" s="14" t="n">
        <f aca="false">F256/F245</f>
        <v>0.0633606179266945</v>
      </c>
      <c r="G257" s="14" t="n">
        <f aca="false">G256/G245</f>
        <v>0.0647410819360507</v>
      </c>
    </row>
    <row r="258" customFormat="false" ht="17.15" hidden="false" customHeight="false" outlineLevel="0" collapsed="false">
      <c r="A258" s="0" t="s">
        <v>480</v>
      </c>
      <c r="B258" s="0" t="s">
        <v>52</v>
      </c>
      <c r="D258" s="14" t="n">
        <f aca="false">D255/D238</f>
        <v>0.0571989258510762</v>
      </c>
      <c r="E258" s="14" t="n">
        <f aca="false">E255/E238</f>
        <v>0.0594921756394932</v>
      </c>
      <c r="F258" s="14" t="n">
        <f aca="false">F255/F238</f>
        <v>0.0648587378750145</v>
      </c>
      <c r="G258" s="14" t="n">
        <f aca="false">G255/G238</f>
        <v>0.0680786752163273</v>
      </c>
      <c r="H258" s="4" t="s">
        <v>481</v>
      </c>
    </row>
    <row r="259" customFormat="false" ht="15" hidden="false" customHeight="false" outlineLevel="0" collapsed="false">
      <c r="A259" s="4" t="s">
        <v>482</v>
      </c>
      <c r="B259" s="0" t="s">
        <v>209</v>
      </c>
      <c r="C259" s="19" t="n">
        <f aca="false">a25_opx</f>
        <v>238.938</v>
      </c>
      <c r="D259" s="19" t="n">
        <f aca="false">a26_opx</f>
        <v>254.8304233</v>
      </c>
      <c r="E259" s="19" t="n">
        <f aca="false">D259*(1+MAX(0,phi*E248))</f>
        <v>278.452566808928</v>
      </c>
      <c r="F259" s="19" t="n">
        <f aca="false">E259*(1+MAX(0,phi*F248))</f>
        <v>286.910754736111</v>
      </c>
      <c r="G259" s="19" t="n">
        <f aca="false">F259*(1+MAX(0,phi*G248))</f>
        <v>289.766780915684</v>
      </c>
    </row>
    <row r="260" customFormat="false" ht="15" hidden="false" customHeight="false" outlineLevel="0" collapsed="false">
      <c r="A260" s="4" t="s">
        <v>361</v>
      </c>
      <c r="B260" s="0" t="s">
        <v>209</v>
      </c>
      <c r="C260" s="19" t="n">
        <f aca="false">C259</f>
        <v>238.938</v>
      </c>
      <c r="D260" s="19" t="n">
        <f aca="false">D259</f>
        <v>254.8304233</v>
      </c>
      <c r="E260" s="19" t="n">
        <f aca="false">E259+0*E245</f>
        <v>278.452566808928</v>
      </c>
      <c r="F260" s="19" t="n">
        <f aca="false">F259+0*F245</f>
        <v>286.910754736111</v>
      </c>
      <c r="G260" s="19" t="n">
        <f aca="false">G259+0*G245</f>
        <v>289.766780915684</v>
      </c>
    </row>
    <row r="261" customFormat="false" ht="15" hidden="false" customHeight="false" outlineLevel="0" collapsed="false">
      <c r="A261" s="4" t="s">
        <v>364</v>
      </c>
      <c r="B261" s="0" t="s">
        <v>209</v>
      </c>
      <c r="C261" s="19" t="n">
        <f aca="false">C256-C260</f>
        <v>259.223</v>
      </c>
      <c r="D261" s="19" t="n">
        <f aca="false">D256-D260</f>
        <v>421.0036475</v>
      </c>
      <c r="E261" s="19" t="n">
        <f aca="false">E256-E260</f>
        <v>560.335499503093</v>
      </c>
      <c r="F261" s="19" t="n">
        <f aca="false">F256-F260</f>
        <v>649.42370020805</v>
      </c>
      <c r="G261" s="19" t="n">
        <f aca="false">G256-G260</f>
        <v>690.777296334797</v>
      </c>
    </row>
    <row r="262" customFormat="false" ht="15" hidden="false" customHeight="false" outlineLevel="0" collapsed="false">
      <c r="A262" s="4" t="s">
        <v>367</v>
      </c>
      <c r="B262" s="0" t="s">
        <v>52</v>
      </c>
      <c r="C262" s="14" t="n">
        <f aca="false">C261/C245</f>
        <v>0.0319905764518663</v>
      </c>
      <c r="D262" s="14" t="n">
        <f aca="false">D261/D245</f>
        <v>0.0377556858359561</v>
      </c>
      <c r="E262" s="14" t="n">
        <f aca="false">E261/E245</f>
        <v>0.0407966285525669</v>
      </c>
      <c r="F262" s="14" t="n">
        <f aca="false">F261/F245</f>
        <v>0.043945714828871</v>
      </c>
      <c r="G262" s="14" t="n">
        <f aca="false">G261/G245</f>
        <v>0.0456090354112153</v>
      </c>
    </row>
    <row r="263" customFormat="false" ht="17.15" hidden="false" customHeight="false" outlineLevel="0" collapsed="false">
      <c r="A263" s="4" t="s">
        <v>243</v>
      </c>
      <c r="B263" s="0" t="s">
        <v>52</v>
      </c>
      <c r="C263" s="15" t="n">
        <f aca="false">a25_ni/a25_oi</f>
        <v>0.730467589681471</v>
      </c>
      <c r="D263" s="15" t="n">
        <f aca="false">a26_ni/a26_oi</f>
        <v>0.653811645064191</v>
      </c>
      <c r="E263" s="15" t="n">
        <f aca="false">nio_f</f>
        <v>0.66</v>
      </c>
      <c r="F263" s="15" t="n">
        <f aca="false">nio_f</f>
        <v>0.66</v>
      </c>
      <c r="G263" s="15" t="n">
        <f aca="false">nio_f</f>
        <v>0.66</v>
      </c>
    </row>
    <row r="264" customFormat="false" ht="15" hidden="false" customHeight="false" outlineLevel="0" collapsed="false">
      <c r="A264" s="4" t="s">
        <v>368</v>
      </c>
      <c r="B264" s="0" t="s">
        <v>209</v>
      </c>
      <c r="C264" s="19" t="n">
        <f aca="false">a25_ni</f>
        <v>189.354</v>
      </c>
      <c r="D264" s="19" t="n">
        <f aca="false">a26_ni</f>
        <v>275.25708735</v>
      </c>
      <c r="E264" s="19" t="n">
        <f aca="false">E261*E263</f>
        <v>369.821429672041</v>
      </c>
      <c r="F264" s="19" t="n">
        <f aca="false">F261*F263</f>
        <v>428.619642137313</v>
      </c>
      <c r="G264" s="19" t="n">
        <f aca="false">G261*G263</f>
        <v>455.913015580966</v>
      </c>
    </row>
    <row r="265" customFormat="false" ht="15" hidden="false" customHeight="false" outlineLevel="0" collapsed="false">
      <c r="A265" s="4" t="s">
        <v>483</v>
      </c>
      <c r="B265" s="4" t="s">
        <v>230</v>
      </c>
      <c r="C265" s="23" t="n">
        <f aca="false">a25_sh</f>
        <v>13.9128581925055</v>
      </c>
      <c r="D265" s="23" t="n">
        <f aca="false">a26_sh</f>
        <v>14.0169642857143</v>
      </c>
      <c r="E265" s="23" t="n">
        <f aca="false">D265*(1+sh_g)</f>
        <v>14.0169642857143</v>
      </c>
      <c r="F265" s="23" t="n">
        <f aca="false">E265*(1+sh_g)</f>
        <v>14.0169642857143</v>
      </c>
      <c r="G265" s="23" t="n">
        <f aca="false">F265*(1+sh_g)</f>
        <v>14.0169642857143</v>
      </c>
    </row>
    <row r="266" customFormat="false" ht="15" hidden="false" customHeight="false" outlineLevel="0" collapsed="false">
      <c r="A266" s="0" t="s">
        <v>374</v>
      </c>
      <c r="B266" s="0" t="s">
        <v>260</v>
      </c>
      <c r="C266" s="22" t="n">
        <f aca="false">C264/C265</f>
        <v>13.61</v>
      </c>
      <c r="D266" s="22" t="n">
        <f aca="false">D264/D265</f>
        <v>19.6374251756163</v>
      </c>
      <c r="E266" s="22" t="n">
        <f aca="false">E264/E265</f>
        <v>26.3838461833675</v>
      </c>
      <c r="F266" s="22" t="n">
        <f aca="false">F264/F265</f>
        <v>30.57863553053</v>
      </c>
      <c r="G266" s="22" t="n">
        <f aca="false">G264/G265</f>
        <v>32.525802754996</v>
      </c>
    </row>
    <row r="267" customFormat="false" ht="17.15" hidden="false" customHeight="false" outlineLevel="0" collapsed="false">
      <c r="A267" s="0" t="s">
        <v>484</v>
      </c>
      <c r="B267" s="0" t="s">
        <v>52</v>
      </c>
      <c r="D267" s="15" t="n">
        <f aca="false">D266/C266-1</f>
        <v>0.442867389832203</v>
      </c>
      <c r="E267" s="15" t="n">
        <f aca="false">E266/D266-1</f>
        <v>0.343549164282913</v>
      </c>
      <c r="F267" s="15" t="n">
        <f aca="false">F266/E266-1</f>
        <v>0.158990820292416</v>
      </c>
      <c r="G267" s="15" t="n">
        <f aca="false">G266/F266-1</f>
        <v>0.0636773744375179</v>
      </c>
    </row>
    <row r="270" customFormat="false" ht="17.15" hidden="false" customHeight="false" outlineLevel="0" collapsed="false">
      <c r="A270" s="1" t="s">
        <v>837</v>
      </c>
    </row>
    <row r="271" customFormat="false" ht="17.15" hidden="false" customHeight="false" outlineLevel="0" collapsed="false">
      <c r="A271" s="5" t="s">
        <v>21</v>
      </c>
      <c r="B271" s="5" t="s">
        <v>22</v>
      </c>
      <c r="C271" s="11" t="s">
        <v>347</v>
      </c>
      <c r="D271" s="11" t="s">
        <v>429</v>
      </c>
      <c r="E271" s="11" t="s">
        <v>430</v>
      </c>
      <c r="F271" s="11" t="s">
        <v>431</v>
      </c>
      <c r="G271" s="11" t="s">
        <v>432</v>
      </c>
      <c r="H271" s="5" t="s">
        <v>400</v>
      </c>
    </row>
    <row r="272" customFormat="false" ht="17.15" hidden="false" customHeight="false" outlineLevel="0" collapsed="false">
      <c r="A272" s="6" t="s">
        <v>450</v>
      </c>
    </row>
    <row r="273" customFormat="false" ht="17.15" hidden="false" customHeight="false" outlineLevel="0" collapsed="false">
      <c r="A273" s="0" t="s">
        <v>451</v>
      </c>
      <c r="B273" s="0" t="s">
        <v>32</v>
      </c>
      <c r="D273" s="22" t="n">
        <f aca="false">itc_26*1</f>
        <v>781.872916666666</v>
      </c>
      <c r="E273" s="22" t="n">
        <f aca="false">itc_27*1*1</f>
        <v>1565.35</v>
      </c>
      <c r="F273" s="22" t="n">
        <f aca="false">itc_28*um28_A*1</f>
        <v>1984.26388888889</v>
      </c>
      <c r="G273" s="22" t="n">
        <f aca="false">itc_29*um29_A*1</f>
        <v>2260.39027777778</v>
      </c>
    </row>
    <row r="274" customFormat="false" ht="17.15" hidden="false" customHeight="false" outlineLevel="0" collapsed="false">
      <c r="A274" s="4" t="s">
        <v>452</v>
      </c>
      <c r="B274" s="0" t="s">
        <v>32</v>
      </c>
      <c r="D274" s="22" t="n">
        <f aca="false">itpg_gb*(1-vr26)+itpg_vr*vr26</f>
        <v>33.41403216</v>
      </c>
      <c r="E274" s="22" t="n">
        <f aca="false">itpg_vr</f>
        <v>37.586352</v>
      </c>
      <c r="F274" s="22" t="n">
        <f aca="false">itpg_vr</f>
        <v>37.586352</v>
      </c>
      <c r="G274" s="22" t="n">
        <f aca="false">itpg_vr</f>
        <v>37.586352</v>
      </c>
    </row>
    <row r="275" customFormat="false" ht="17.15" hidden="false" customHeight="false" outlineLevel="0" collapsed="false">
      <c r="A275" s="4" t="s">
        <v>453</v>
      </c>
      <c r="B275" s="0" t="s">
        <v>402</v>
      </c>
      <c r="D275" s="18" t="n">
        <f aca="false">D273/D274</f>
        <v>23.3995380420639</v>
      </c>
      <c r="E275" s="18" t="n">
        <f aca="false">E273/E274</f>
        <v>41.6467658260637</v>
      </c>
      <c r="F275" s="18" t="n">
        <f aca="false">F273/F274</f>
        <v>52.792138191248</v>
      </c>
      <c r="G275" s="18" t="n">
        <f aca="false">G273/G274</f>
        <v>60.1385917361116</v>
      </c>
    </row>
    <row r="276" customFormat="false" ht="17.15" hidden="false" customHeight="false" outlineLevel="0" collapsed="false">
      <c r="A276" s="4" t="s">
        <v>404</v>
      </c>
      <c r="B276" s="0" t="s">
        <v>405</v>
      </c>
      <c r="D276" s="16" t="n">
        <f aca="false">(racks_gb*odm_gb*(1-vr26)+racks_vr*odm_vr*vr26)/1000</f>
        <v>27.1209</v>
      </c>
      <c r="E276" s="16" t="n">
        <f aca="false">racks_vr*odm_vr/1000</f>
        <v>27.351</v>
      </c>
      <c r="F276" s="16" t="n">
        <f aca="false">$E276*vpg_28</f>
        <v>27.351</v>
      </c>
      <c r="G276" s="16" t="n">
        <f aca="false">$E276*vpg_29</f>
        <v>27.351</v>
      </c>
      <c r="H276" s="4" t="s">
        <v>454</v>
      </c>
    </row>
    <row r="277" customFormat="false" ht="17.15" hidden="false" customHeight="false" outlineLevel="0" collapsed="false">
      <c r="A277" s="0" t="s">
        <v>455</v>
      </c>
      <c r="B277" s="0" t="s">
        <v>32</v>
      </c>
      <c r="D277" s="19" t="n">
        <f aca="false">D275*D276</f>
        <v>634.61653128501</v>
      </c>
      <c r="E277" s="19" t="n">
        <f aca="false">E275*E276</f>
        <v>1139.08069210867</v>
      </c>
      <c r="F277" s="19" t="n">
        <f aca="false">F275*F276</f>
        <v>1443.91777166882</v>
      </c>
      <c r="G277" s="19" t="n">
        <f aca="false">G275*G276</f>
        <v>1644.85062257439</v>
      </c>
    </row>
    <row r="278" customFormat="false" ht="17.15" hidden="false" customHeight="false" outlineLevel="0" collapsed="false">
      <c r="A278" s="0" t="s">
        <v>456</v>
      </c>
      <c r="B278" s="0" t="s">
        <v>209</v>
      </c>
      <c r="D278" s="19" t="n">
        <f aca="false">D277*fx</f>
        <v>20307.7290011203</v>
      </c>
      <c r="E278" s="19" t="n">
        <f aca="false">E277*fx</f>
        <v>36450.5821474774</v>
      </c>
      <c r="F278" s="19" t="n">
        <f aca="false">F277*fx</f>
        <v>46205.3686934024</v>
      </c>
      <c r="G278" s="19" t="n">
        <f aca="false">G277*fx</f>
        <v>52635.2199223804</v>
      </c>
    </row>
    <row r="279" customFormat="false" ht="17.15" hidden="false" customHeight="false" outlineLevel="0" collapsed="false">
      <c r="A279" s="4" t="s">
        <v>457</v>
      </c>
      <c r="B279" s="0" t="s">
        <v>52</v>
      </c>
      <c r="D279" s="15" t="n">
        <f aca="false">a26_ai/D278</f>
        <v>0.174610057569922</v>
      </c>
      <c r="H279" s="8" t="s">
        <v>458</v>
      </c>
    </row>
    <row r="280" customFormat="false" ht="17.15" hidden="false" customHeight="false" outlineLevel="0" collapsed="false">
      <c r="A280" s="4" t="s">
        <v>459</v>
      </c>
      <c r="B280" s="0" t="s">
        <v>71</v>
      </c>
      <c r="D280" s="16" t="n">
        <f aca="false">1</f>
        <v>1</v>
      </c>
      <c r="E280" s="16" t="n">
        <f aca="false">rel_27</f>
        <v>1</v>
      </c>
      <c r="F280" s="16" t="n">
        <f aca="false">rel_28</f>
        <v>1</v>
      </c>
      <c r="G280" s="16" t="n">
        <f aca="false">rel_29</f>
        <v>0.95</v>
      </c>
    </row>
    <row r="281" customFormat="false" ht="15" hidden="false" customHeight="false" outlineLevel="0" collapsed="false">
      <c r="A281" s="4" t="s">
        <v>460</v>
      </c>
      <c r="B281" s="0" t="s">
        <v>52</v>
      </c>
      <c r="D281" s="15" t="n">
        <f aca="false">$D$279*D280</f>
        <v>0.174610057569922</v>
      </c>
      <c r="E281" s="15" t="n">
        <f aca="false">$D$279*E280</f>
        <v>0.174610057569922</v>
      </c>
      <c r="F281" s="15" t="n">
        <f aca="false">$D$279*F280</f>
        <v>0.174610057569922</v>
      </c>
      <c r="G281" s="15" t="n">
        <f aca="false">$D$279*G280</f>
        <v>0.165879554691426</v>
      </c>
    </row>
    <row r="282" customFormat="false" ht="17.15" hidden="false" customHeight="false" outlineLevel="0" collapsed="false">
      <c r="A282" s="0" t="s">
        <v>461</v>
      </c>
      <c r="B282" s="0" t="s">
        <v>209</v>
      </c>
      <c r="D282" s="19" t="n">
        <f aca="false">D278*D281</f>
        <v>3545.93373</v>
      </c>
      <c r="E282" s="19" t="n">
        <f aca="false">E278*E281</f>
        <v>6364.6382472282</v>
      </c>
      <c r="F282" s="19" t="n">
        <f aca="false">F278*F281</f>
        <v>8067.92208759447</v>
      </c>
      <c r="G282" s="19" t="n">
        <f aca="false">G278*G281</f>
        <v>8731.10684180974</v>
      </c>
    </row>
    <row r="283" customFormat="false" ht="17.15" hidden="false" customHeight="false" outlineLevel="0" collapsed="false">
      <c r="A283" s="4" t="s">
        <v>462</v>
      </c>
      <c r="B283" s="0" t="s">
        <v>52</v>
      </c>
      <c r="D283" s="15" t="n">
        <f aca="false">0</f>
        <v>0</v>
      </c>
      <c r="E283" s="15" t="n">
        <f aca="false">cs_27</f>
        <v>0.1</v>
      </c>
      <c r="F283" s="15" t="n">
        <f aca="false">cs_28</f>
        <v>0.2</v>
      </c>
      <c r="G283" s="15" t="n">
        <f aca="false">cs_29</f>
        <v>0.25</v>
      </c>
      <c r="H283" s="8" t="s">
        <v>463</v>
      </c>
    </row>
    <row r="284" customFormat="false" ht="17.15" hidden="false" customHeight="false" outlineLevel="0" collapsed="false">
      <c r="A284" s="0" t="s">
        <v>464</v>
      </c>
      <c r="B284" s="0" t="s">
        <v>209</v>
      </c>
      <c r="C284" s="19" t="n">
        <f aca="false">a25_ai</f>
        <v>1620.621</v>
      </c>
      <c r="D284" s="19" t="n">
        <f aca="false">D282*(1-D283)</f>
        <v>3545.93373</v>
      </c>
      <c r="E284" s="19" t="n">
        <f aca="false">E282*(1-E283)</f>
        <v>5728.17442250538</v>
      </c>
      <c r="F284" s="19" t="n">
        <f aca="false">F282*(1-F283)</f>
        <v>6454.33767007557</v>
      </c>
      <c r="G284" s="19" t="n">
        <f aca="false">G282*(1-G283)</f>
        <v>6548.3301313573</v>
      </c>
    </row>
    <row r="285" customFormat="false" ht="17.15" hidden="false" customHeight="false" outlineLevel="0" collapsed="false">
      <c r="A285" s="6" t="s">
        <v>465</v>
      </c>
    </row>
    <row r="286" customFormat="false" ht="17.15" hidden="false" customHeight="false" outlineLevel="0" collapsed="false">
      <c r="A286" s="4" t="s">
        <v>382</v>
      </c>
      <c r="B286" s="0" t="s">
        <v>209</v>
      </c>
      <c r="C286" s="19" t="n">
        <f aca="false">a25_cn</f>
        <v>1620.621</v>
      </c>
      <c r="D286" s="19" t="n">
        <f aca="false">a26_cn</f>
        <v>2363.95582</v>
      </c>
      <c r="E286" s="19" t="n">
        <f aca="false">D286*(1+g_cn27)</f>
        <v>2647.6305184</v>
      </c>
      <c r="F286" s="19" t="n">
        <f aca="false">E286*(1+g_cn28)</f>
        <v>2859.440959872</v>
      </c>
      <c r="G286" s="19" t="n">
        <f aca="false">F286*(1+g_cn29)</f>
        <v>3031.00741746432</v>
      </c>
    </row>
    <row r="287" customFormat="false" ht="17.15" hidden="false" customHeight="false" outlineLevel="0" collapsed="false">
      <c r="A287" s="4" t="s">
        <v>383</v>
      </c>
      <c r="B287" s="0" t="s">
        <v>209</v>
      </c>
      <c r="C287" s="19" t="n">
        <f aca="false">a25_ce</f>
        <v>3079.1799</v>
      </c>
      <c r="D287" s="19" t="n">
        <f aca="false">a26_ce</f>
        <v>3345.2205</v>
      </c>
      <c r="E287" s="19" t="n">
        <f aca="false">D287*(1+g_ce27)</f>
        <v>3445.577115</v>
      </c>
      <c r="F287" s="19" t="n">
        <f aca="false">E287*(1+g_ce28)</f>
        <v>3514.4886573</v>
      </c>
      <c r="G287" s="19" t="n">
        <f aca="false">F287*(1+g_ce29)</f>
        <v>3584.778430446</v>
      </c>
    </row>
    <row r="288" customFormat="false" ht="15" hidden="false" customHeight="false" outlineLevel="0" collapsed="false">
      <c r="A288" s="4" t="s">
        <v>384</v>
      </c>
      <c r="B288" s="0" t="s">
        <v>209</v>
      </c>
      <c r="C288" s="19" t="n">
        <f aca="false">a25_pc</f>
        <v>1215.46575</v>
      </c>
      <c r="D288" s="19" t="n">
        <f aca="false">a26_pc</f>
        <v>1338.0882</v>
      </c>
      <c r="E288" s="19" t="n">
        <f aca="false">D288*(1+g_pc27)</f>
        <v>1311.326436</v>
      </c>
      <c r="F288" s="19" t="n">
        <f aca="false">E288*(1+g_pc28)</f>
        <v>1311.326436</v>
      </c>
      <c r="G288" s="19" t="n">
        <f aca="false">F288*(1+g_pc29)</f>
        <v>1311.326436</v>
      </c>
    </row>
    <row r="289" customFormat="false" ht="15" hidden="false" customHeight="false" outlineLevel="0" collapsed="false">
      <c r="A289" s="4" t="s">
        <v>466</v>
      </c>
      <c r="B289" s="0" t="s">
        <v>209</v>
      </c>
      <c r="C289" s="19" t="n">
        <f aca="false">a25_co</f>
        <v>567.217349999999</v>
      </c>
      <c r="D289" s="19" t="n">
        <f aca="false">a26_co</f>
        <v>557.53675</v>
      </c>
      <c r="E289" s="19" t="n">
        <f aca="false">D289*(1+g_co27)</f>
        <v>602.13969</v>
      </c>
      <c r="F289" s="19" t="n">
        <f aca="false">E289*(1+g_co28)</f>
        <v>638.2680714</v>
      </c>
      <c r="G289" s="19" t="n">
        <f aca="false">F289*(1+g_co29)</f>
        <v>670.18147497</v>
      </c>
    </row>
    <row r="290" customFormat="false" ht="17.15" hidden="false" customHeight="false" outlineLevel="0" collapsed="false">
      <c r="A290" s="4" t="s">
        <v>387</v>
      </c>
      <c r="B290" s="0" t="s">
        <v>209</v>
      </c>
      <c r="C290" s="19" t="n">
        <f aca="false">SUM(C286:C289)</f>
        <v>6482.484</v>
      </c>
      <c r="D290" s="19" t="n">
        <f aca="false">SUM(D286:D289)</f>
        <v>7604.80127</v>
      </c>
      <c r="E290" s="19" t="n">
        <f aca="false">SUM(E286:E289)</f>
        <v>8006.6737594</v>
      </c>
      <c r="F290" s="19" t="n">
        <f aca="false">SUM(F286:F289)</f>
        <v>8323.524124572</v>
      </c>
      <c r="G290" s="19" t="n">
        <f aca="false">SUM(G286:G289)</f>
        <v>8597.29375888032</v>
      </c>
    </row>
    <row r="291" customFormat="false" ht="15" hidden="false" customHeight="false" outlineLevel="0" collapsed="false">
      <c r="A291" s="4" t="s">
        <v>353</v>
      </c>
      <c r="B291" s="0" t="s">
        <v>209</v>
      </c>
      <c r="C291" s="19" t="n">
        <f aca="false">C284+C290</f>
        <v>8103.105</v>
      </c>
      <c r="D291" s="19" t="n">
        <f aca="false">D284+D290</f>
        <v>11150.735</v>
      </c>
      <c r="E291" s="19" t="n">
        <f aca="false">E284+E290</f>
        <v>13734.8481819054</v>
      </c>
      <c r="F291" s="19" t="n">
        <f aca="false">F284+F290</f>
        <v>14777.8617946476</v>
      </c>
      <c r="G291" s="19" t="n">
        <f aca="false">G284+G290</f>
        <v>15145.6238902376</v>
      </c>
    </row>
    <row r="292" customFormat="false" ht="17.15" hidden="false" customHeight="false" outlineLevel="0" collapsed="false">
      <c r="A292" s="4" t="s">
        <v>467</v>
      </c>
      <c r="B292" s="0" t="s">
        <v>209</v>
      </c>
      <c r="C292" s="19" t="n">
        <f aca="false">C284+C286</f>
        <v>3241.242</v>
      </c>
      <c r="D292" s="19" t="n">
        <f aca="false">D284+D286</f>
        <v>5909.88955</v>
      </c>
      <c r="E292" s="19" t="n">
        <f aca="false">E284+E286</f>
        <v>8375.80494090538</v>
      </c>
      <c r="F292" s="19" t="n">
        <f aca="false">F284+F286</f>
        <v>9313.77862994757</v>
      </c>
      <c r="G292" s="19" t="n">
        <f aca="false">G284+G286</f>
        <v>9579.33754882162</v>
      </c>
      <c r="H292" s="4" t="s">
        <v>468</v>
      </c>
    </row>
    <row r="293" customFormat="false" ht="17.15" hidden="false" customHeight="false" outlineLevel="0" collapsed="false">
      <c r="A293" s="4" t="s">
        <v>469</v>
      </c>
      <c r="B293" s="0" t="s">
        <v>209</v>
      </c>
      <c r="C293" s="23" t="n">
        <f aca="false">C292+C287+C288+C289-a25_rev</f>
        <v>0</v>
      </c>
      <c r="D293" s="23" t="n">
        <f aca="false">D292+D287+D288+D289-a26_rev</f>
        <v>0</v>
      </c>
      <c r="E293" s="23" t="n">
        <f aca="false">E292+E287+E288+E289-E291</f>
        <v>0</v>
      </c>
      <c r="F293" s="23" t="n">
        <f aca="false">F292+F287+F288+F289-F291</f>
        <v>0</v>
      </c>
      <c r="G293" s="23" t="n">
        <f aca="false">G292+G287+G288+G289-G291</f>
        <v>0</v>
      </c>
    </row>
    <row r="294" customFormat="false" ht="15" hidden="false" customHeight="false" outlineLevel="0" collapsed="false">
      <c r="A294" s="4" t="s">
        <v>470</v>
      </c>
      <c r="B294" s="0" t="s">
        <v>52</v>
      </c>
      <c r="D294" s="15" t="n">
        <f aca="false">D291/C291-1</f>
        <v>0.376106443147411</v>
      </c>
      <c r="E294" s="15" t="n">
        <f aca="false">E291/D291-1</f>
        <v>0.231743753385349</v>
      </c>
      <c r="F294" s="15" t="n">
        <f aca="false">F291/E291-1</f>
        <v>0.0759392167229256</v>
      </c>
      <c r="G294" s="15" t="n">
        <f aca="false">G291/F291-1</f>
        <v>0.0248860153586801</v>
      </c>
    </row>
    <row r="295" customFormat="false" ht="17.15" hidden="false" customHeight="false" outlineLevel="0" collapsed="false">
      <c r="A295" s="0" t="s">
        <v>471</v>
      </c>
      <c r="B295" s="0" t="s">
        <v>52</v>
      </c>
      <c r="C295" s="15" t="n">
        <f aca="false">C284/C291</f>
        <v>0.2</v>
      </c>
      <c r="D295" s="15" t="n">
        <f aca="false">D284/D291</f>
        <v>0.318</v>
      </c>
      <c r="E295" s="15" t="n">
        <f aca="false">E284/E291</f>
        <v>0.417054076364078</v>
      </c>
      <c r="F295" s="15" t="n">
        <f aca="false">F284/F291</f>
        <v>0.436757208841491</v>
      </c>
      <c r="G295" s="15" t="n">
        <f aca="false">G284/G291</f>
        <v>0.43235789947076</v>
      </c>
    </row>
    <row r="296" customFormat="false" ht="17.15" hidden="false" customHeight="false" outlineLevel="0" collapsed="false">
      <c r="A296" s="4" t="s">
        <v>472</v>
      </c>
      <c r="B296" s="0" t="s">
        <v>52</v>
      </c>
      <c r="C296" s="15" t="n">
        <f aca="false">(C284+C286)/C291</f>
        <v>0.4</v>
      </c>
      <c r="D296" s="15" t="n">
        <f aca="false">(D284+D286)/D291</f>
        <v>0.53</v>
      </c>
      <c r="E296" s="15" t="n">
        <f aca="false">(E284+E286)/E291</f>
        <v>0.609821443235162</v>
      </c>
      <c r="F296" s="15" t="n">
        <f aca="false">(F284+F286)/F291</f>
        <v>0.630252113558198</v>
      </c>
      <c r="G296" s="15" t="n">
        <f aca="false">(G284+G286)/G291</f>
        <v>0.632482202003983</v>
      </c>
    </row>
    <row r="297" customFormat="false" ht="17.15" hidden="false" customHeight="false" outlineLevel="0" collapsed="false">
      <c r="A297" s="4" t="s">
        <v>418</v>
      </c>
      <c r="B297" s="0" t="s">
        <v>405</v>
      </c>
      <c r="D297" s="16" t="n">
        <f aca="false">D284/fx/D275</f>
        <v>4.7355819103481</v>
      </c>
      <c r="E297" s="16" t="n">
        <f aca="false">E284/fx/E275</f>
        <v>4.29818371613545</v>
      </c>
      <c r="F297" s="16" t="n">
        <f aca="false">F284/fx/F275</f>
        <v>3.82060774767595</v>
      </c>
      <c r="G297" s="16" t="n">
        <f aca="false">G284/fx/G275</f>
        <v>3.4027287752739</v>
      </c>
    </row>
    <row r="298" customFormat="false" ht="17.15" hidden="false" customHeight="false" outlineLevel="0" collapsed="false">
      <c r="A298" s="4" t="s">
        <v>473</v>
      </c>
      <c r="B298" s="4" t="s">
        <v>416</v>
      </c>
      <c r="D298" s="19" t="n">
        <f aca="false">D282/fx/(odm_gb*(1-vr26)+odm_vr*vr26)</f>
        <v>24.0630682003257</v>
      </c>
      <c r="E298" s="19" t="n">
        <f aca="false">E282/fx/odm_vr</f>
        <v>29.4659178112417</v>
      </c>
      <c r="F298" s="19" t="n">
        <f aca="false">F282/fx/odm_vr</f>
        <v>37.3514911462707</v>
      </c>
      <c r="G298" s="19" t="n">
        <f aca="false">G282/fx/odm_vr</f>
        <v>40.4217909343043</v>
      </c>
      <c r="H298" s="4" t="s">
        <v>474</v>
      </c>
    </row>
    <row r="299" customFormat="false" ht="17.15" hidden="false" customHeight="false" outlineLevel="0" collapsed="false">
      <c r="A299" s="6" t="s">
        <v>475</v>
      </c>
    </row>
    <row r="300" customFormat="false" ht="17.15" hidden="false" customHeight="false" outlineLevel="0" collapsed="false">
      <c r="A300" s="4" t="s">
        <v>476</v>
      </c>
      <c r="B300" s="0" t="s">
        <v>52</v>
      </c>
      <c r="D300" s="14" t="n">
        <f aca="false">a26_gp/D291-d_ai*D295</f>
        <v>0.0621989258510762</v>
      </c>
      <c r="H300" s="8" t="s">
        <v>477</v>
      </c>
    </row>
    <row r="301" customFormat="false" ht="17.15" hidden="false" customHeight="false" outlineLevel="0" collapsed="false">
      <c r="A301" s="0" t="s">
        <v>478</v>
      </c>
      <c r="B301" s="0" t="s">
        <v>209</v>
      </c>
      <c r="D301" s="22" t="n">
        <f aca="false">($D$300+d_ai)*D282*(1-D283*(1-keep_hi))</f>
        <v>202.8236004951</v>
      </c>
      <c r="E301" s="22" t="n">
        <f aca="false">($D$300+d_ai+vrd)*E282*(1-E283*(1-keep_hi))</f>
        <v>351.321194677673</v>
      </c>
      <c r="F301" s="22" t="n">
        <f aca="false">($D$300+d_ai+vrd)*F282*(1-F283*(1-keep_hi))</f>
        <v>445.340633085387</v>
      </c>
      <c r="G301" s="22" t="n">
        <f aca="false">($D$300+d_ai+vrd)*G282*(1-G283*(1-keep_hi))</f>
        <v>481.94771915888</v>
      </c>
      <c r="H301" s="4" t="s">
        <v>479</v>
      </c>
    </row>
    <row r="302" customFormat="false" ht="15" hidden="false" customHeight="false" outlineLevel="0" collapsed="false">
      <c r="A302" s="4" t="s">
        <v>357</v>
      </c>
      <c r="B302" s="0" t="s">
        <v>209</v>
      </c>
      <c r="C302" s="19" t="n">
        <f aca="false">a25_gp</f>
        <v>498.161</v>
      </c>
      <c r="D302" s="19" t="n">
        <f aca="false">a26_gp</f>
        <v>675.8340708</v>
      </c>
      <c r="E302" s="19" t="n">
        <f aca="false">$D$300*E290+E301</f>
        <v>849.327702152351</v>
      </c>
      <c r="F302" s="19" t="n">
        <f aca="false">$D$300*F290+F301</f>
        <v>963.054892929284</v>
      </c>
      <c r="G302" s="19" t="n">
        <f aca="false">$D$300*G290+G301</f>
        <v>1016.6901561874</v>
      </c>
    </row>
    <row r="303" customFormat="false" ht="15" hidden="false" customHeight="false" outlineLevel="0" collapsed="false">
      <c r="A303" s="4" t="s">
        <v>360</v>
      </c>
      <c r="B303" s="0" t="s">
        <v>52</v>
      </c>
      <c r="C303" s="14" t="n">
        <f aca="false">C302/C291</f>
        <v>0.0614777915379352</v>
      </c>
      <c r="D303" s="14" t="n">
        <f aca="false">D302/D291</f>
        <v>0.0606089258510762</v>
      </c>
      <c r="E303" s="14" t="n">
        <f aca="false">E302/E291</f>
        <v>0.0618374292095399</v>
      </c>
      <c r="F303" s="14" t="n">
        <f aca="false">F302/F291</f>
        <v>0.0651687575856269</v>
      </c>
      <c r="G303" s="14" t="n">
        <f aca="false">G302/G291</f>
        <v>0.067127651099452</v>
      </c>
    </row>
    <row r="304" customFormat="false" ht="17.15" hidden="false" customHeight="false" outlineLevel="0" collapsed="false">
      <c r="A304" s="0" t="s">
        <v>480</v>
      </c>
      <c r="B304" s="0" t="s">
        <v>52</v>
      </c>
      <c r="D304" s="14" t="n">
        <f aca="false">D301/D284</f>
        <v>0.0571989258510762</v>
      </c>
      <c r="E304" s="14" t="n">
        <f aca="false">E301/E284</f>
        <v>0.0613321398345291</v>
      </c>
      <c r="F304" s="14" t="n">
        <f aca="false">F301/F284</f>
        <v>0.0689986573138452</v>
      </c>
      <c r="G304" s="14" t="n">
        <f aca="false">G301/G284</f>
        <v>0.0735985678014349</v>
      </c>
      <c r="H304" s="4" t="s">
        <v>481</v>
      </c>
    </row>
    <row r="305" customFormat="false" ht="15" hidden="false" customHeight="false" outlineLevel="0" collapsed="false">
      <c r="A305" s="4" t="s">
        <v>482</v>
      </c>
      <c r="B305" s="0" t="s">
        <v>209</v>
      </c>
      <c r="C305" s="19" t="n">
        <f aca="false">a25_opx</f>
        <v>238.938</v>
      </c>
      <c r="D305" s="19" t="n">
        <f aca="false">a26_opx</f>
        <v>254.8304233</v>
      </c>
      <c r="E305" s="19" t="n">
        <f aca="false">D305*(1+MAX(0,phi*E294))</f>
        <v>278.452566808928</v>
      </c>
      <c r="F305" s="19" t="n">
        <f aca="false">E305*(1+MAX(0,phi*F294))</f>
        <v>286.910754736111</v>
      </c>
      <c r="G305" s="19" t="n">
        <f aca="false">F305*(1+MAX(0,phi*G294))</f>
        <v>289.766780915684</v>
      </c>
    </row>
    <row r="306" customFormat="false" ht="15" hidden="false" customHeight="false" outlineLevel="0" collapsed="false">
      <c r="A306" s="4" t="s">
        <v>361</v>
      </c>
      <c r="B306" s="0" t="s">
        <v>209</v>
      </c>
      <c r="C306" s="19" t="n">
        <f aca="false">C305</f>
        <v>238.938</v>
      </c>
      <c r="D306" s="19" t="n">
        <f aca="false">D305</f>
        <v>254.8304233</v>
      </c>
      <c r="E306" s="19" t="n">
        <f aca="false">E305+0*E291</f>
        <v>278.452566808928</v>
      </c>
      <c r="F306" s="19" t="n">
        <f aca="false">F305+0*F291</f>
        <v>286.910754736111</v>
      </c>
      <c r="G306" s="19" t="n">
        <f aca="false">G305+0*G291</f>
        <v>289.766780915684</v>
      </c>
    </row>
    <row r="307" customFormat="false" ht="15" hidden="false" customHeight="false" outlineLevel="0" collapsed="false">
      <c r="A307" s="4" t="s">
        <v>364</v>
      </c>
      <c r="B307" s="0" t="s">
        <v>209</v>
      </c>
      <c r="C307" s="19" t="n">
        <f aca="false">C302-C306</f>
        <v>259.223</v>
      </c>
      <c r="D307" s="19" t="n">
        <f aca="false">D302-D306</f>
        <v>421.0036475</v>
      </c>
      <c r="E307" s="19" t="n">
        <f aca="false">E302-E306</f>
        <v>570.875135343423</v>
      </c>
      <c r="F307" s="19" t="n">
        <f aca="false">F302-F306</f>
        <v>676.144138193173</v>
      </c>
      <c r="G307" s="19" t="n">
        <f aca="false">G302-G306</f>
        <v>726.923375271713</v>
      </c>
    </row>
    <row r="308" customFormat="false" ht="15" hidden="false" customHeight="false" outlineLevel="0" collapsed="false">
      <c r="A308" s="4" t="s">
        <v>367</v>
      </c>
      <c r="B308" s="0" t="s">
        <v>52</v>
      </c>
      <c r="C308" s="14" t="n">
        <f aca="false">C307/C291</f>
        <v>0.0319905764518663</v>
      </c>
      <c r="D308" s="14" t="n">
        <f aca="false">D307/D291</f>
        <v>0.0377556858359561</v>
      </c>
      <c r="E308" s="14" t="n">
        <f aca="false">E307/E291</f>
        <v>0.0415639931204706</v>
      </c>
      <c r="F308" s="14" t="n">
        <f aca="false">F307/F291</f>
        <v>0.0457538544878033</v>
      </c>
      <c r="G308" s="14" t="n">
        <f aca="false">G307/G291</f>
        <v>0.0479956045746167</v>
      </c>
    </row>
    <row r="309" customFormat="false" ht="17.15" hidden="false" customHeight="false" outlineLevel="0" collapsed="false">
      <c r="A309" s="4" t="s">
        <v>243</v>
      </c>
      <c r="B309" s="0" t="s">
        <v>52</v>
      </c>
      <c r="C309" s="15" t="n">
        <f aca="false">a25_ni/a25_oi</f>
        <v>0.730467589681471</v>
      </c>
      <c r="D309" s="15" t="n">
        <f aca="false">a26_ni/a26_oi</f>
        <v>0.653811645064191</v>
      </c>
      <c r="E309" s="15" t="n">
        <f aca="false">nio_f</f>
        <v>0.66</v>
      </c>
      <c r="F309" s="15" t="n">
        <f aca="false">nio_f</f>
        <v>0.66</v>
      </c>
      <c r="G309" s="15" t="n">
        <f aca="false">nio_f</f>
        <v>0.66</v>
      </c>
    </row>
    <row r="310" customFormat="false" ht="15" hidden="false" customHeight="false" outlineLevel="0" collapsed="false">
      <c r="A310" s="4" t="s">
        <v>368</v>
      </c>
      <c r="B310" s="0" t="s">
        <v>209</v>
      </c>
      <c r="C310" s="19" t="n">
        <f aca="false">a25_ni</f>
        <v>189.354</v>
      </c>
      <c r="D310" s="19" t="n">
        <f aca="false">a26_ni</f>
        <v>275.25708735</v>
      </c>
      <c r="E310" s="19" t="n">
        <f aca="false">E307*E309</f>
        <v>376.777589326659</v>
      </c>
      <c r="F310" s="19" t="n">
        <f aca="false">F307*F309</f>
        <v>446.255131207494</v>
      </c>
      <c r="G310" s="19" t="n">
        <f aca="false">G307*G309</f>
        <v>479.76942767933</v>
      </c>
    </row>
    <row r="311" customFormat="false" ht="15" hidden="false" customHeight="false" outlineLevel="0" collapsed="false">
      <c r="A311" s="4" t="s">
        <v>483</v>
      </c>
      <c r="B311" s="4" t="s">
        <v>230</v>
      </c>
      <c r="C311" s="23" t="n">
        <f aca="false">a25_sh</f>
        <v>13.9128581925055</v>
      </c>
      <c r="D311" s="23" t="n">
        <f aca="false">a26_sh</f>
        <v>14.0169642857143</v>
      </c>
      <c r="E311" s="23" t="n">
        <f aca="false">D311*(1+sh_g)</f>
        <v>14.0169642857143</v>
      </c>
      <c r="F311" s="23" t="n">
        <f aca="false">E311*(1+sh_g)</f>
        <v>14.0169642857143</v>
      </c>
      <c r="G311" s="23" t="n">
        <f aca="false">F311*(1+sh_g)</f>
        <v>14.0169642857143</v>
      </c>
    </row>
    <row r="312" customFormat="false" ht="15" hidden="false" customHeight="false" outlineLevel="0" collapsed="false">
      <c r="A312" s="0" t="s">
        <v>374</v>
      </c>
      <c r="B312" s="0" t="s">
        <v>260</v>
      </c>
      <c r="C312" s="22" t="n">
        <f aca="false">C310/C311</f>
        <v>13.61</v>
      </c>
      <c r="D312" s="22" t="n">
        <f aca="false">D310/D311</f>
        <v>19.6374251756163</v>
      </c>
      <c r="E312" s="22" t="n">
        <f aca="false">E310/E311</f>
        <v>26.8801133859391</v>
      </c>
      <c r="F312" s="22" t="n">
        <f aca="false">F310/F311</f>
        <v>31.8367887733227</v>
      </c>
      <c r="G312" s="22" t="n">
        <f aca="false">G310/G311</f>
        <v>34.2277698580069</v>
      </c>
    </row>
    <row r="313" customFormat="false" ht="17.15" hidden="false" customHeight="false" outlineLevel="0" collapsed="false">
      <c r="A313" s="0" t="s">
        <v>484</v>
      </c>
      <c r="B313" s="0" t="s">
        <v>52</v>
      </c>
      <c r="D313" s="15" t="n">
        <f aca="false">D312/C312-1</f>
        <v>0.442867389832203</v>
      </c>
      <c r="E313" s="15" t="n">
        <f aca="false">E312/D312-1</f>
        <v>0.368820664906521</v>
      </c>
      <c r="F313" s="15" t="n">
        <f aca="false">F312/E312-1</f>
        <v>0.184399348180444</v>
      </c>
      <c r="G313" s="15" t="n">
        <f aca="false">G312/F312-1</f>
        <v>0.0751012013714028</v>
      </c>
    </row>
    <row r="316" customFormat="false" ht="17.15" hidden="false" customHeight="false" outlineLevel="0" collapsed="false">
      <c r="A316" s="1" t="s">
        <v>838</v>
      </c>
    </row>
    <row r="317" customFormat="false" ht="17.15" hidden="false" customHeight="false" outlineLevel="0" collapsed="false">
      <c r="A317" s="5" t="s">
        <v>21</v>
      </c>
      <c r="B317" s="5" t="s">
        <v>22</v>
      </c>
      <c r="C317" s="11" t="s">
        <v>347</v>
      </c>
      <c r="D317" s="11" t="s">
        <v>429</v>
      </c>
      <c r="E317" s="11" t="s">
        <v>430</v>
      </c>
      <c r="F317" s="11" t="s">
        <v>431</v>
      </c>
      <c r="G317" s="11" t="s">
        <v>432</v>
      </c>
      <c r="H317" s="5" t="s">
        <v>400</v>
      </c>
    </row>
    <row r="318" customFormat="false" ht="17.15" hidden="false" customHeight="false" outlineLevel="0" collapsed="false">
      <c r="A318" s="6" t="s">
        <v>450</v>
      </c>
    </row>
    <row r="319" customFormat="false" ht="17.15" hidden="false" customHeight="false" outlineLevel="0" collapsed="false">
      <c r="A319" s="0" t="s">
        <v>451</v>
      </c>
      <c r="B319" s="0" t="s">
        <v>32</v>
      </c>
      <c r="D319" s="22" t="n">
        <f aca="false">itc_26*1</f>
        <v>781.872916666666</v>
      </c>
      <c r="E319" s="22" t="n">
        <f aca="false">itc_27*1*1</f>
        <v>1565.35</v>
      </c>
      <c r="F319" s="22" t="n">
        <f aca="false">itc_28*um28_A*1</f>
        <v>1984.26388888889</v>
      </c>
      <c r="G319" s="22" t="n">
        <f aca="false">itc_29*um29_A*1</f>
        <v>2260.39027777778</v>
      </c>
    </row>
    <row r="320" customFormat="false" ht="17.15" hidden="false" customHeight="false" outlineLevel="0" collapsed="false">
      <c r="A320" s="4" t="s">
        <v>452</v>
      </c>
      <c r="B320" s="0" t="s">
        <v>32</v>
      </c>
      <c r="D320" s="22" t="n">
        <f aca="false">itpg_gb*(1-vr26)+itpg_vr*vr26</f>
        <v>33.41403216</v>
      </c>
      <c r="E320" s="22" t="n">
        <f aca="false">itpg_vr</f>
        <v>37.586352</v>
      </c>
      <c r="F320" s="22" t="n">
        <f aca="false">itpg_vr</f>
        <v>37.586352</v>
      </c>
      <c r="G320" s="22" t="n">
        <f aca="false">itpg_vr</f>
        <v>37.586352</v>
      </c>
    </row>
    <row r="321" customFormat="false" ht="17.15" hidden="false" customHeight="false" outlineLevel="0" collapsed="false">
      <c r="A321" s="4" t="s">
        <v>453</v>
      </c>
      <c r="B321" s="0" t="s">
        <v>402</v>
      </c>
      <c r="D321" s="18" t="n">
        <f aca="false">D319/D320</f>
        <v>23.3995380420639</v>
      </c>
      <c r="E321" s="18" t="n">
        <f aca="false">E319/E320</f>
        <v>41.6467658260637</v>
      </c>
      <c r="F321" s="18" t="n">
        <f aca="false">F319/F320</f>
        <v>52.792138191248</v>
      </c>
      <c r="G321" s="18" t="n">
        <f aca="false">G319/G320</f>
        <v>60.1385917361116</v>
      </c>
    </row>
    <row r="322" customFormat="false" ht="17.15" hidden="false" customHeight="false" outlineLevel="0" collapsed="false">
      <c r="A322" s="4" t="s">
        <v>404</v>
      </c>
      <c r="B322" s="0" t="s">
        <v>405</v>
      </c>
      <c r="D322" s="16" t="n">
        <f aca="false">(racks_gb*odm_gb*(1-vr26)+racks_vr*odm_vr*vr26)/1000</f>
        <v>27.1209</v>
      </c>
      <c r="E322" s="16" t="n">
        <f aca="false">racks_vr*odm_vr/1000</f>
        <v>27.351</v>
      </c>
      <c r="F322" s="16" t="n">
        <f aca="false">$E322*VPLO_28</f>
        <v>23.24835</v>
      </c>
      <c r="G322" s="16" t="n">
        <f aca="false">$E322*VPLO_29</f>
        <v>23.24835</v>
      </c>
      <c r="H322" s="4" t="s">
        <v>454</v>
      </c>
    </row>
    <row r="323" customFormat="false" ht="17.15" hidden="false" customHeight="false" outlineLevel="0" collapsed="false">
      <c r="A323" s="0" t="s">
        <v>455</v>
      </c>
      <c r="B323" s="0" t="s">
        <v>32</v>
      </c>
      <c r="D323" s="19" t="n">
        <f aca="false">D321*D322</f>
        <v>634.61653128501</v>
      </c>
      <c r="E323" s="19" t="n">
        <f aca="false">E321*E322</f>
        <v>1139.08069210867</v>
      </c>
      <c r="F323" s="19" t="n">
        <f aca="false">F321*F322</f>
        <v>1227.3301059185</v>
      </c>
      <c r="G323" s="19" t="n">
        <f aca="false">G321*G322</f>
        <v>1398.12302918823</v>
      </c>
    </row>
    <row r="324" customFormat="false" ht="17.15" hidden="false" customHeight="false" outlineLevel="0" collapsed="false">
      <c r="A324" s="0" t="s">
        <v>456</v>
      </c>
      <c r="B324" s="0" t="s">
        <v>209</v>
      </c>
      <c r="D324" s="19" t="n">
        <f aca="false">D323*fx</f>
        <v>20307.7290011203</v>
      </c>
      <c r="E324" s="19" t="n">
        <f aca="false">E323*fx</f>
        <v>36450.5821474774</v>
      </c>
      <c r="F324" s="19" t="n">
        <f aca="false">F323*fx</f>
        <v>39274.563389392</v>
      </c>
      <c r="G324" s="19" t="n">
        <f aca="false">G323*fx</f>
        <v>44739.9369340233</v>
      </c>
    </row>
    <row r="325" customFormat="false" ht="17.15" hidden="false" customHeight="false" outlineLevel="0" collapsed="false">
      <c r="A325" s="4" t="s">
        <v>457</v>
      </c>
      <c r="B325" s="0" t="s">
        <v>52</v>
      </c>
      <c r="D325" s="15" t="n">
        <f aca="false">a26_ai/D324</f>
        <v>0.174610057569922</v>
      </c>
      <c r="H325" s="8" t="s">
        <v>458</v>
      </c>
    </row>
    <row r="326" customFormat="false" ht="17.15" hidden="false" customHeight="false" outlineLevel="0" collapsed="false">
      <c r="A326" s="4" t="s">
        <v>459</v>
      </c>
      <c r="B326" s="0" t="s">
        <v>71</v>
      </c>
      <c r="D326" s="16" t="n">
        <f aca="false">1</f>
        <v>1</v>
      </c>
      <c r="E326" s="16" t="n">
        <f aca="false">rel_27</f>
        <v>1</v>
      </c>
      <c r="F326" s="16" t="n">
        <f aca="false">rel_28</f>
        <v>1</v>
      </c>
      <c r="G326" s="16" t="n">
        <f aca="false">rel_29</f>
        <v>0.95</v>
      </c>
    </row>
    <row r="327" customFormat="false" ht="15" hidden="false" customHeight="false" outlineLevel="0" collapsed="false">
      <c r="A327" s="4" t="s">
        <v>460</v>
      </c>
      <c r="B327" s="0" t="s">
        <v>52</v>
      </c>
      <c r="D327" s="15" t="n">
        <f aca="false">$D$325*D326</f>
        <v>0.174610057569922</v>
      </c>
      <c r="E327" s="15" t="n">
        <f aca="false">$D$325*E326</f>
        <v>0.174610057569922</v>
      </c>
      <c r="F327" s="15" t="n">
        <f aca="false">$D$325*F326</f>
        <v>0.174610057569922</v>
      </c>
      <c r="G327" s="15" t="n">
        <f aca="false">$D$325*G326</f>
        <v>0.165879554691426</v>
      </c>
    </row>
    <row r="328" customFormat="false" ht="17.15" hidden="false" customHeight="false" outlineLevel="0" collapsed="false">
      <c r="A328" s="0" t="s">
        <v>461</v>
      </c>
      <c r="B328" s="0" t="s">
        <v>209</v>
      </c>
      <c r="D328" s="19" t="n">
        <f aca="false">D324*D327</f>
        <v>3545.93373</v>
      </c>
      <c r="E328" s="19" t="n">
        <f aca="false">E324*E327</f>
        <v>6364.6382472282</v>
      </c>
      <c r="F328" s="19" t="n">
        <f aca="false">F324*F327</f>
        <v>6857.7337744553</v>
      </c>
      <c r="G328" s="19" t="n">
        <f aca="false">G324*G327</f>
        <v>7421.44081553828</v>
      </c>
    </row>
    <row r="329" customFormat="false" ht="17.15" hidden="false" customHeight="false" outlineLevel="0" collapsed="false">
      <c r="A329" s="4" t="s">
        <v>462</v>
      </c>
      <c r="B329" s="0" t="s">
        <v>52</v>
      </c>
      <c r="D329" s="15" t="n">
        <f aca="false">0</f>
        <v>0</v>
      </c>
      <c r="E329" s="15" t="n">
        <f aca="false">cs_27</f>
        <v>0.1</v>
      </c>
      <c r="F329" s="15" t="n">
        <f aca="false">cs_28</f>
        <v>0.2</v>
      </c>
      <c r="G329" s="15" t="n">
        <f aca="false">cs_29</f>
        <v>0.25</v>
      </c>
      <c r="H329" s="8" t="s">
        <v>463</v>
      </c>
    </row>
    <row r="330" customFormat="false" ht="17.15" hidden="false" customHeight="false" outlineLevel="0" collapsed="false">
      <c r="A330" s="0" t="s">
        <v>464</v>
      </c>
      <c r="B330" s="0" t="s">
        <v>209</v>
      </c>
      <c r="C330" s="19" t="n">
        <f aca="false">a25_ai</f>
        <v>1620.621</v>
      </c>
      <c r="D330" s="19" t="n">
        <f aca="false">D328*(1-D329)</f>
        <v>3545.93373</v>
      </c>
      <c r="E330" s="19" t="n">
        <f aca="false">E328*(1-E329)</f>
        <v>5728.17442250538</v>
      </c>
      <c r="F330" s="19" t="n">
        <f aca="false">F328*(1-F329)</f>
        <v>5486.18701956424</v>
      </c>
      <c r="G330" s="19" t="n">
        <f aca="false">G328*(1-G329)</f>
        <v>5566.08061165371</v>
      </c>
    </row>
    <row r="331" customFormat="false" ht="17.15" hidden="false" customHeight="false" outlineLevel="0" collapsed="false">
      <c r="A331" s="6" t="s">
        <v>465</v>
      </c>
    </row>
    <row r="332" customFormat="false" ht="17.15" hidden="false" customHeight="false" outlineLevel="0" collapsed="false">
      <c r="A332" s="4" t="s">
        <v>382</v>
      </c>
      <c r="B332" s="0" t="s">
        <v>209</v>
      </c>
      <c r="C332" s="19" t="n">
        <f aca="false">a25_cn</f>
        <v>1620.621</v>
      </c>
      <c r="D332" s="19" t="n">
        <f aca="false">a26_cn</f>
        <v>2363.95582</v>
      </c>
      <c r="E332" s="19" t="n">
        <f aca="false">D332*(1+g_cn27)</f>
        <v>2647.6305184</v>
      </c>
      <c r="F332" s="19" t="n">
        <f aca="false">E332*(1+g_cn28)</f>
        <v>2859.440959872</v>
      </c>
      <c r="G332" s="19" t="n">
        <f aca="false">F332*(1+g_cn29)</f>
        <v>3031.00741746432</v>
      </c>
    </row>
    <row r="333" customFormat="false" ht="17.15" hidden="false" customHeight="false" outlineLevel="0" collapsed="false">
      <c r="A333" s="4" t="s">
        <v>383</v>
      </c>
      <c r="B333" s="0" t="s">
        <v>209</v>
      </c>
      <c r="C333" s="19" t="n">
        <f aca="false">a25_ce</f>
        <v>3079.1799</v>
      </c>
      <c r="D333" s="19" t="n">
        <f aca="false">a26_ce</f>
        <v>3345.2205</v>
      </c>
      <c r="E333" s="19" t="n">
        <f aca="false">D333*(1+g_ce27)</f>
        <v>3445.577115</v>
      </c>
      <c r="F333" s="19" t="n">
        <f aca="false">E333*(1+g_ce28)</f>
        <v>3514.4886573</v>
      </c>
      <c r="G333" s="19" t="n">
        <f aca="false">F333*(1+g_ce29)</f>
        <v>3584.778430446</v>
      </c>
    </row>
    <row r="334" customFormat="false" ht="15" hidden="false" customHeight="false" outlineLevel="0" collapsed="false">
      <c r="A334" s="4" t="s">
        <v>384</v>
      </c>
      <c r="B334" s="0" t="s">
        <v>209</v>
      </c>
      <c r="C334" s="19" t="n">
        <f aca="false">a25_pc</f>
        <v>1215.46575</v>
      </c>
      <c r="D334" s="19" t="n">
        <f aca="false">a26_pc</f>
        <v>1338.0882</v>
      </c>
      <c r="E334" s="19" t="n">
        <f aca="false">D334*(1+g_pc27)</f>
        <v>1311.326436</v>
      </c>
      <c r="F334" s="19" t="n">
        <f aca="false">E334*(1+g_pc28)</f>
        <v>1311.326436</v>
      </c>
      <c r="G334" s="19" t="n">
        <f aca="false">F334*(1+g_pc29)</f>
        <v>1311.326436</v>
      </c>
    </row>
    <row r="335" customFormat="false" ht="15" hidden="false" customHeight="false" outlineLevel="0" collapsed="false">
      <c r="A335" s="4" t="s">
        <v>466</v>
      </c>
      <c r="B335" s="0" t="s">
        <v>209</v>
      </c>
      <c r="C335" s="19" t="n">
        <f aca="false">a25_co</f>
        <v>567.217349999999</v>
      </c>
      <c r="D335" s="19" t="n">
        <f aca="false">a26_co</f>
        <v>557.53675</v>
      </c>
      <c r="E335" s="19" t="n">
        <f aca="false">D335*(1+g_co27)</f>
        <v>602.13969</v>
      </c>
      <c r="F335" s="19" t="n">
        <f aca="false">E335*(1+g_co28)</f>
        <v>638.2680714</v>
      </c>
      <c r="G335" s="19" t="n">
        <f aca="false">F335*(1+g_co29)</f>
        <v>670.18147497</v>
      </c>
    </row>
    <row r="336" customFormat="false" ht="17.15" hidden="false" customHeight="false" outlineLevel="0" collapsed="false">
      <c r="A336" s="4" t="s">
        <v>387</v>
      </c>
      <c r="B336" s="0" t="s">
        <v>209</v>
      </c>
      <c r="C336" s="19" t="n">
        <f aca="false">SUM(C332:C335)</f>
        <v>6482.484</v>
      </c>
      <c r="D336" s="19" t="n">
        <f aca="false">SUM(D332:D335)</f>
        <v>7604.80127</v>
      </c>
      <c r="E336" s="19" t="n">
        <f aca="false">SUM(E332:E335)</f>
        <v>8006.6737594</v>
      </c>
      <c r="F336" s="19" t="n">
        <f aca="false">SUM(F332:F335)</f>
        <v>8323.524124572</v>
      </c>
      <c r="G336" s="19" t="n">
        <f aca="false">SUM(G332:G335)</f>
        <v>8597.29375888032</v>
      </c>
    </row>
    <row r="337" customFormat="false" ht="15" hidden="false" customHeight="false" outlineLevel="0" collapsed="false">
      <c r="A337" s="4" t="s">
        <v>353</v>
      </c>
      <c r="B337" s="0" t="s">
        <v>209</v>
      </c>
      <c r="C337" s="19" t="n">
        <f aca="false">C330+C336</f>
        <v>8103.105</v>
      </c>
      <c r="D337" s="19" t="n">
        <f aca="false">D330+D336</f>
        <v>11150.735</v>
      </c>
      <c r="E337" s="19" t="n">
        <f aca="false">E330+E336</f>
        <v>13734.8481819054</v>
      </c>
      <c r="F337" s="19" t="n">
        <f aca="false">F330+F336</f>
        <v>13809.7111441362</v>
      </c>
      <c r="G337" s="19" t="n">
        <f aca="false">G330+G336</f>
        <v>14163.374370534</v>
      </c>
    </row>
    <row r="338" customFormat="false" ht="17.15" hidden="false" customHeight="false" outlineLevel="0" collapsed="false">
      <c r="A338" s="4" t="s">
        <v>467</v>
      </c>
      <c r="B338" s="0" t="s">
        <v>209</v>
      </c>
      <c r="C338" s="19" t="n">
        <f aca="false">C330+C332</f>
        <v>3241.242</v>
      </c>
      <c r="D338" s="19" t="n">
        <f aca="false">D330+D332</f>
        <v>5909.88955</v>
      </c>
      <c r="E338" s="19" t="n">
        <f aca="false">E330+E332</f>
        <v>8375.80494090538</v>
      </c>
      <c r="F338" s="19" t="n">
        <f aca="false">F330+F332</f>
        <v>8345.62797943624</v>
      </c>
      <c r="G338" s="19" t="n">
        <f aca="false">G330+G332</f>
        <v>8597.08802911803</v>
      </c>
      <c r="H338" s="4" t="s">
        <v>468</v>
      </c>
    </row>
    <row r="339" customFormat="false" ht="17.15" hidden="false" customHeight="false" outlineLevel="0" collapsed="false">
      <c r="A339" s="4" t="s">
        <v>469</v>
      </c>
      <c r="B339" s="0" t="s">
        <v>209</v>
      </c>
      <c r="C339" s="23" t="n">
        <f aca="false">C338+C333+C334+C335-a25_rev</f>
        <v>0</v>
      </c>
      <c r="D339" s="23" t="n">
        <f aca="false">D338+D333+D334+D335-a26_rev</f>
        <v>0</v>
      </c>
      <c r="E339" s="23" t="n">
        <f aca="false">E338+E333+E334+E335-E337</f>
        <v>0</v>
      </c>
      <c r="F339" s="23" t="n">
        <f aca="false">F338+F333+F334+F335-F337</f>
        <v>0</v>
      </c>
      <c r="G339" s="23" t="n">
        <f aca="false">G338+G333+G334+G335-G337</f>
        <v>0</v>
      </c>
    </row>
    <row r="340" customFormat="false" ht="15" hidden="false" customHeight="false" outlineLevel="0" collapsed="false">
      <c r="A340" s="4" t="s">
        <v>470</v>
      </c>
      <c r="B340" s="0" t="s">
        <v>52</v>
      </c>
      <c r="D340" s="15" t="n">
        <f aca="false">D337/C337-1</f>
        <v>0.376106443147411</v>
      </c>
      <c r="E340" s="15" t="n">
        <f aca="false">E337/D337-1</f>
        <v>0.231743753385349</v>
      </c>
      <c r="F340" s="15" t="n">
        <f aca="false">F337/E337-1</f>
        <v>0.0054505853460749</v>
      </c>
      <c r="G340" s="15" t="n">
        <f aca="false">G337/F337-1</f>
        <v>0.0256097482928135</v>
      </c>
    </row>
    <row r="341" customFormat="false" ht="17.15" hidden="false" customHeight="false" outlineLevel="0" collapsed="false">
      <c r="A341" s="0" t="s">
        <v>471</v>
      </c>
      <c r="B341" s="0" t="s">
        <v>52</v>
      </c>
      <c r="C341" s="15" t="n">
        <f aca="false">C330/C337</f>
        <v>0.2</v>
      </c>
      <c r="D341" s="15" t="n">
        <f aca="false">D330/D337</f>
        <v>0.318</v>
      </c>
      <c r="E341" s="15" t="n">
        <f aca="false">E330/E337</f>
        <v>0.417054076364078</v>
      </c>
      <c r="F341" s="15" t="n">
        <f aca="false">F330/F337</f>
        <v>0.397270222548698</v>
      </c>
      <c r="G341" s="15" t="n">
        <f aca="false">G330/G337</f>
        <v>0.392991137989939</v>
      </c>
    </row>
    <row r="342" customFormat="false" ht="17.15" hidden="false" customHeight="false" outlineLevel="0" collapsed="false">
      <c r="A342" s="4" t="s">
        <v>472</v>
      </c>
      <c r="B342" s="0" t="s">
        <v>52</v>
      </c>
      <c r="C342" s="15" t="n">
        <f aca="false">(C330+C332)/C337</f>
        <v>0.4</v>
      </c>
      <c r="D342" s="15" t="n">
        <f aca="false">(D330+D332)/D337</f>
        <v>0.53</v>
      </c>
      <c r="E342" s="15" t="n">
        <f aca="false">(E330+E332)/E337</f>
        <v>0.609821443235162</v>
      </c>
      <c r="F342" s="15" t="n">
        <f aca="false">(F330+F332)/F337</f>
        <v>0.604330379711084</v>
      </c>
      <c r="G342" s="15" t="n">
        <f aca="false">(G330+G332)/G337</f>
        <v>0.60699433653351</v>
      </c>
    </row>
    <row r="343" customFormat="false" ht="17.15" hidden="false" customHeight="false" outlineLevel="0" collapsed="false">
      <c r="A343" s="4" t="s">
        <v>418</v>
      </c>
      <c r="B343" s="0" t="s">
        <v>405</v>
      </c>
      <c r="D343" s="16" t="n">
        <f aca="false">D330/fx/D321</f>
        <v>4.7355819103481</v>
      </c>
      <c r="E343" s="16" t="n">
        <f aca="false">E330/fx/E321</f>
        <v>4.29818371613545</v>
      </c>
      <c r="F343" s="16" t="n">
        <f aca="false">F330/fx/F321</f>
        <v>3.24751658552456</v>
      </c>
      <c r="G343" s="16" t="n">
        <f aca="false">G330/fx/G321</f>
        <v>2.89231945898281</v>
      </c>
    </row>
    <row r="344" customFormat="false" ht="17.15" hidden="false" customHeight="false" outlineLevel="0" collapsed="false">
      <c r="A344" s="4" t="s">
        <v>473</v>
      </c>
      <c r="B344" s="4" t="s">
        <v>416</v>
      </c>
      <c r="D344" s="19" t="n">
        <f aca="false">D328/fx/(odm_gb*(1-vr26)+odm_vr*vr26)</f>
        <v>24.0630682003257</v>
      </c>
      <c r="E344" s="19" t="n">
        <f aca="false">E328/fx/odm_vr</f>
        <v>29.4659178112417</v>
      </c>
      <c r="F344" s="19" t="n">
        <f aca="false">F328/fx/odm_vr</f>
        <v>31.7487674743301</v>
      </c>
      <c r="G344" s="19" t="n">
        <f aca="false">G328/fx/odm_vr</f>
        <v>34.3585222941587</v>
      </c>
      <c r="H344" s="4" t="s">
        <v>474</v>
      </c>
    </row>
    <row r="345" customFormat="false" ht="17.15" hidden="false" customHeight="false" outlineLevel="0" collapsed="false">
      <c r="A345" s="6" t="s">
        <v>475</v>
      </c>
    </row>
    <row r="346" customFormat="false" ht="17.15" hidden="false" customHeight="false" outlineLevel="0" collapsed="false">
      <c r="A346" s="4" t="s">
        <v>476</v>
      </c>
      <c r="B346" s="0" t="s">
        <v>52</v>
      </c>
      <c r="D346" s="14" t="n">
        <f aca="false">a26_gp/D337-d_ai*D341</f>
        <v>0.0621989258510762</v>
      </c>
      <c r="H346" s="8" t="s">
        <v>477</v>
      </c>
    </row>
    <row r="347" customFormat="false" ht="17.15" hidden="false" customHeight="false" outlineLevel="0" collapsed="false">
      <c r="A347" s="0" t="s">
        <v>478</v>
      </c>
      <c r="B347" s="0" t="s">
        <v>209</v>
      </c>
      <c r="D347" s="22" t="n">
        <f aca="false">($D$346+d_ai)*D328*(1-D329*(1-keep))</f>
        <v>202.8236004951</v>
      </c>
      <c r="E347" s="22" t="n">
        <f aca="false">($D$346+d_ai+vrd)*E328*(1-E329*(1-keep))</f>
        <v>347.807982730896</v>
      </c>
      <c r="F347" s="22" t="n">
        <f aca="false">($D$346+d_ai+vrd)*F328*(1-F329*(1-keep))</f>
        <v>370.968747360127</v>
      </c>
      <c r="G347" s="22" t="n">
        <f aca="false">($D$346+d_ai+vrd)*G328*(1-G329*(1-keep))</f>
        <v>399.414172252921</v>
      </c>
      <c r="H347" s="4" t="s">
        <v>479</v>
      </c>
    </row>
    <row r="348" customFormat="false" ht="15" hidden="false" customHeight="false" outlineLevel="0" collapsed="false">
      <c r="A348" s="4" t="s">
        <v>357</v>
      </c>
      <c r="B348" s="0" t="s">
        <v>209</v>
      </c>
      <c r="C348" s="19" t="n">
        <f aca="false">a25_gp</f>
        <v>498.161</v>
      </c>
      <c r="D348" s="19" t="n">
        <f aca="false">a26_gp</f>
        <v>675.8340708</v>
      </c>
      <c r="E348" s="19" t="n">
        <f aca="false">$D$346*E336+E347</f>
        <v>845.814490205574</v>
      </c>
      <c r="F348" s="19" t="n">
        <f aca="false">$D$346*F336+F347</f>
        <v>888.683007204025</v>
      </c>
      <c r="G348" s="19" t="n">
        <f aca="false">$D$346*G336+G347</f>
        <v>934.156609281439</v>
      </c>
    </row>
    <row r="349" customFormat="false" ht="15" hidden="false" customHeight="false" outlineLevel="0" collapsed="false">
      <c r="A349" s="4" t="s">
        <v>360</v>
      </c>
      <c r="B349" s="0" t="s">
        <v>52</v>
      </c>
      <c r="C349" s="14" t="n">
        <f aca="false">C348/C337</f>
        <v>0.0614777915379352</v>
      </c>
      <c r="D349" s="14" t="n">
        <f aca="false">D348/D337</f>
        <v>0.0606089258510762</v>
      </c>
      <c r="E349" s="14" t="n">
        <f aca="false">E348/E337</f>
        <v>0.0615816410202386</v>
      </c>
      <c r="F349" s="14" t="n">
        <f aca="false">F348/F337</f>
        <v>0.0643520344436292</v>
      </c>
      <c r="G349" s="14" t="n">
        <f aca="false">G348/G337</f>
        <v>0.0659557944909576</v>
      </c>
    </row>
    <row r="350" customFormat="false" ht="17.15" hidden="false" customHeight="false" outlineLevel="0" collapsed="false">
      <c r="A350" s="0" t="s">
        <v>480</v>
      </c>
      <c r="B350" s="0" t="s">
        <v>52</v>
      </c>
      <c r="D350" s="14" t="n">
        <f aca="false">D347/D330</f>
        <v>0.0571989258510762</v>
      </c>
      <c r="E350" s="14" t="n">
        <f aca="false">E347/E330</f>
        <v>0.0607188184361838</v>
      </c>
      <c r="F350" s="14" t="n">
        <f aca="false">F347/F330</f>
        <v>0.0676186841675683</v>
      </c>
      <c r="G350" s="14" t="n">
        <f aca="false">G347/G330</f>
        <v>0.0717586036063991</v>
      </c>
      <c r="H350" s="4" t="s">
        <v>481</v>
      </c>
    </row>
    <row r="351" customFormat="false" ht="15" hidden="false" customHeight="false" outlineLevel="0" collapsed="false">
      <c r="A351" s="4" t="s">
        <v>482</v>
      </c>
      <c r="B351" s="0" t="s">
        <v>209</v>
      </c>
      <c r="C351" s="19" t="n">
        <f aca="false">a25_opx</f>
        <v>238.938</v>
      </c>
      <c r="D351" s="19" t="n">
        <f aca="false">a26_opx</f>
        <v>254.8304233</v>
      </c>
      <c r="E351" s="19" t="n">
        <f aca="false">D351*(1+MAX(0,phi*E340))</f>
        <v>278.452566808928</v>
      </c>
      <c r="F351" s="19" t="n">
        <f aca="false">E351*(1+MAX(0,phi*F340))</f>
        <v>279.059658601018</v>
      </c>
      <c r="G351" s="19" t="n">
        <f aca="false">F351*(1+MAX(0,phi*G340))</f>
        <v>281.918317647198</v>
      </c>
    </row>
    <row r="352" customFormat="false" ht="15" hidden="false" customHeight="false" outlineLevel="0" collapsed="false">
      <c r="A352" s="4" t="s">
        <v>361</v>
      </c>
      <c r="B352" s="0" t="s">
        <v>209</v>
      </c>
      <c r="C352" s="19" t="n">
        <f aca="false">C351</f>
        <v>238.938</v>
      </c>
      <c r="D352" s="19" t="n">
        <f aca="false">D351</f>
        <v>254.8304233</v>
      </c>
      <c r="E352" s="19" t="n">
        <f aca="false">E351+0*E337</f>
        <v>278.452566808928</v>
      </c>
      <c r="F352" s="19" t="n">
        <f aca="false">F351+0*F337</f>
        <v>279.059658601018</v>
      </c>
      <c r="G352" s="19" t="n">
        <f aca="false">G351+0*G337</f>
        <v>281.918317647198</v>
      </c>
    </row>
    <row r="353" customFormat="false" ht="15" hidden="false" customHeight="false" outlineLevel="0" collapsed="false">
      <c r="A353" s="4" t="s">
        <v>364</v>
      </c>
      <c r="B353" s="0" t="s">
        <v>209</v>
      </c>
      <c r="C353" s="19" t="n">
        <f aca="false">C348-C352</f>
        <v>259.223</v>
      </c>
      <c r="D353" s="19" t="n">
        <f aca="false">D348-D352</f>
        <v>421.0036475</v>
      </c>
      <c r="E353" s="19" t="n">
        <f aca="false">E348-E352</f>
        <v>567.361923396647</v>
      </c>
      <c r="F353" s="19" t="n">
        <f aca="false">F348-F352</f>
        <v>609.623348603007</v>
      </c>
      <c r="G353" s="19" t="n">
        <f aca="false">G348-G352</f>
        <v>652.23829163424</v>
      </c>
    </row>
    <row r="354" customFormat="false" ht="15" hidden="false" customHeight="false" outlineLevel="0" collapsed="false">
      <c r="A354" s="4" t="s">
        <v>367</v>
      </c>
      <c r="B354" s="0" t="s">
        <v>52</v>
      </c>
      <c r="C354" s="14" t="n">
        <f aca="false">C353/C337</f>
        <v>0.0319905764518663</v>
      </c>
      <c r="D354" s="14" t="n">
        <f aca="false">D353/D337</f>
        <v>0.0377556858359561</v>
      </c>
      <c r="E354" s="14" t="n">
        <f aca="false">E353/E337</f>
        <v>0.0413082049311694</v>
      </c>
      <c r="F354" s="14" t="n">
        <f aca="false">F353/F337</f>
        <v>0.0441445401891596</v>
      </c>
      <c r="G354" s="14" t="n">
        <f aca="false">G353/G337</f>
        <v>0.0460510521413018</v>
      </c>
    </row>
    <row r="355" customFormat="false" ht="17.15" hidden="false" customHeight="false" outlineLevel="0" collapsed="false">
      <c r="A355" s="4" t="s">
        <v>243</v>
      </c>
      <c r="B355" s="0" t="s">
        <v>52</v>
      </c>
      <c r="C355" s="15" t="n">
        <f aca="false">a25_ni/a25_oi</f>
        <v>0.730467589681471</v>
      </c>
      <c r="D355" s="15" t="n">
        <f aca="false">a26_ni/a26_oi</f>
        <v>0.653811645064191</v>
      </c>
      <c r="E355" s="15" t="n">
        <f aca="false">nio_f</f>
        <v>0.66</v>
      </c>
      <c r="F355" s="15" t="n">
        <f aca="false">nio_f</f>
        <v>0.66</v>
      </c>
      <c r="G355" s="15" t="n">
        <f aca="false">nio_f</f>
        <v>0.66</v>
      </c>
    </row>
    <row r="356" customFormat="false" ht="15" hidden="false" customHeight="false" outlineLevel="0" collapsed="false">
      <c r="A356" s="4" t="s">
        <v>368</v>
      </c>
      <c r="B356" s="0" t="s">
        <v>209</v>
      </c>
      <c r="C356" s="19" t="n">
        <f aca="false">a25_ni</f>
        <v>189.354</v>
      </c>
      <c r="D356" s="19" t="n">
        <f aca="false">a26_ni</f>
        <v>275.25708735</v>
      </c>
      <c r="E356" s="19" t="n">
        <f aca="false">E353*E355</f>
        <v>374.458869441787</v>
      </c>
      <c r="F356" s="19" t="n">
        <f aca="false">F353*F355</f>
        <v>402.351410077985</v>
      </c>
      <c r="G356" s="19" t="n">
        <f aca="false">G353*G355</f>
        <v>430.477272478599</v>
      </c>
    </row>
    <row r="357" customFormat="false" ht="15" hidden="false" customHeight="false" outlineLevel="0" collapsed="false">
      <c r="A357" s="4" t="s">
        <v>483</v>
      </c>
      <c r="B357" s="4" t="s">
        <v>230</v>
      </c>
      <c r="C357" s="23" t="n">
        <f aca="false">a25_sh</f>
        <v>13.9128581925055</v>
      </c>
      <c r="D357" s="23" t="n">
        <f aca="false">a26_sh</f>
        <v>14.0169642857143</v>
      </c>
      <c r="E357" s="23" t="n">
        <f aca="false">D357*(1+sh_g)</f>
        <v>14.0169642857143</v>
      </c>
      <c r="F357" s="23" t="n">
        <f aca="false">E357*(1+sh_g)</f>
        <v>14.0169642857143</v>
      </c>
      <c r="G357" s="23" t="n">
        <f aca="false">F357*(1+sh_g)</f>
        <v>14.0169642857143</v>
      </c>
    </row>
    <row r="358" customFormat="false" ht="15" hidden="false" customHeight="false" outlineLevel="0" collapsed="false">
      <c r="A358" s="0" t="s">
        <v>374</v>
      </c>
      <c r="B358" s="0" t="s">
        <v>260</v>
      </c>
      <c r="C358" s="22" t="n">
        <f aca="false">C356/C357</f>
        <v>13.61</v>
      </c>
      <c r="D358" s="22" t="n">
        <f aca="false">D356/D357</f>
        <v>19.6374251756163</v>
      </c>
      <c r="E358" s="22" t="n">
        <f aca="false">E356/E357</f>
        <v>26.7146909850819</v>
      </c>
      <c r="F358" s="22" t="n">
        <f aca="false">F356/F357</f>
        <v>28.7046040695167</v>
      </c>
      <c r="G358" s="22" t="n">
        <f aca="false">G356/G357</f>
        <v>30.7111628241309</v>
      </c>
    </row>
    <row r="359" customFormat="false" ht="17.15" hidden="false" customHeight="false" outlineLevel="0" collapsed="false">
      <c r="A359" s="0" t="s">
        <v>484</v>
      </c>
      <c r="B359" s="0" t="s">
        <v>52</v>
      </c>
      <c r="D359" s="15" t="n">
        <f aca="false">D358/C358-1</f>
        <v>0.442867389832203</v>
      </c>
      <c r="E359" s="15" t="n">
        <f aca="false">E358/D358-1</f>
        <v>0.360396831365319</v>
      </c>
      <c r="F359" s="15" t="n">
        <f aca="false">F358/E358-1</f>
        <v>0.0744875950669237</v>
      </c>
      <c r="G359" s="15" t="n">
        <f aca="false">G358/F358-1</f>
        <v>0.0699037251917738</v>
      </c>
    </row>
    <row r="362" customFormat="false" ht="17.15" hidden="false" customHeight="false" outlineLevel="0" collapsed="false">
      <c r="A362" s="1" t="s">
        <v>839</v>
      </c>
    </row>
    <row r="363" customFormat="false" ht="17.15" hidden="false" customHeight="false" outlineLevel="0" collapsed="false">
      <c r="A363" s="5" t="s">
        <v>21</v>
      </c>
      <c r="B363" s="5" t="s">
        <v>22</v>
      </c>
      <c r="C363" s="11" t="s">
        <v>347</v>
      </c>
      <c r="D363" s="11" t="s">
        <v>429</v>
      </c>
      <c r="E363" s="11" t="s">
        <v>430</v>
      </c>
      <c r="F363" s="11" t="s">
        <v>431</v>
      </c>
      <c r="G363" s="11" t="s">
        <v>432</v>
      </c>
      <c r="H363" s="5" t="s">
        <v>400</v>
      </c>
    </row>
    <row r="364" customFormat="false" ht="17.15" hidden="false" customHeight="false" outlineLevel="0" collapsed="false">
      <c r="A364" s="6" t="s">
        <v>450</v>
      </c>
    </row>
    <row r="365" customFormat="false" ht="17.15" hidden="false" customHeight="false" outlineLevel="0" collapsed="false">
      <c r="A365" s="0" t="s">
        <v>451</v>
      </c>
      <c r="B365" s="0" t="s">
        <v>32</v>
      </c>
      <c r="D365" s="22" t="n">
        <f aca="false">itc_26*1</f>
        <v>781.872916666666</v>
      </c>
      <c r="E365" s="22" t="n">
        <f aca="false">itc_27*1*1</f>
        <v>1565.35</v>
      </c>
      <c r="F365" s="22" t="n">
        <f aca="false">itc_28*um28_A*1</f>
        <v>1984.26388888889</v>
      </c>
      <c r="G365" s="22" t="n">
        <f aca="false">itc_29*um29_A*1</f>
        <v>2260.39027777778</v>
      </c>
    </row>
    <row r="366" customFormat="false" ht="17.15" hidden="false" customHeight="false" outlineLevel="0" collapsed="false">
      <c r="A366" s="4" t="s">
        <v>452</v>
      </c>
      <c r="B366" s="0" t="s">
        <v>32</v>
      </c>
      <c r="D366" s="22" t="n">
        <f aca="false">itpg_gb*(1-vr26)+itpg_vr*vr26</f>
        <v>33.41403216</v>
      </c>
      <c r="E366" s="22" t="n">
        <f aca="false">itpg_vr</f>
        <v>37.586352</v>
      </c>
      <c r="F366" s="22" t="n">
        <f aca="false">itpg_vr</f>
        <v>37.586352</v>
      </c>
      <c r="G366" s="22" t="n">
        <f aca="false">itpg_vr</f>
        <v>37.586352</v>
      </c>
    </row>
    <row r="367" customFormat="false" ht="17.15" hidden="false" customHeight="false" outlineLevel="0" collapsed="false">
      <c r="A367" s="4" t="s">
        <v>453</v>
      </c>
      <c r="B367" s="0" t="s">
        <v>402</v>
      </c>
      <c r="D367" s="18" t="n">
        <f aca="false">D365/D366</f>
        <v>23.3995380420639</v>
      </c>
      <c r="E367" s="18" t="n">
        <f aca="false">E365/E366</f>
        <v>41.6467658260637</v>
      </c>
      <c r="F367" s="18" t="n">
        <f aca="false">F365/F366</f>
        <v>52.792138191248</v>
      </c>
      <c r="G367" s="18" t="n">
        <f aca="false">G365/G366</f>
        <v>60.1385917361116</v>
      </c>
    </row>
    <row r="368" customFormat="false" ht="17.15" hidden="false" customHeight="false" outlineLevel="0" collapsed="false">
      <c r="A368" s="4" t="s">
        <v>404</v>
      </c>
      <c r="B368" s="0" t="s">
        <v>405</v>
      </c>
      <c r="D368" s="16" t="n">
        <f aca="false">(racks_gb*odm_gb*(1-vr26)+racks_vr*odm_vr*vr26)/1000</f>
        <v>27.1209</v>
      </c>
      <c r="E368" s="16" t="n">
        <f aca="false">racks_vr*odm_vr/1000</f>
        <v>27.351</v>
      </c>
      <c r="F368" s="16" t="n">
        <f aca="false">$E368*VPHI_28</f>
        <v>32.8212</v>
      </c>
      <c r="G368" s="16" t="n">
        <f aca="false">$E368*VPHI_29</f>
        <v>32.8212</v>
      </c>
      <c r="H368" s="4" t="s">
        <v>454</v>
      </c>
    </row>
    <row r="369" customFormat="false" ht="17.15" hidden="false" customHeight="false" outlineLevel="0" collapsed="false">
      <c r="A369" s="0" t="s">
        <v>455</v>
      </c>
      <c r="B369" s="0" t="s">
        <v>32</v>
      </c>
      <c r="D369" s="19" t="n">
        <f aca="false">D367*D368</f>
        <v>634.61653128501</v>
      </c>
      <c r="E369" s="19" t="n">
        <f aca="false">E367*E368</f>
        <v>1139.08069210867</v>
      </c>
      <c r="F369" s="19" t="n">
        <f aca="false">F367*F368</f>
        <v>1732.70132600259</v>
      </c>
      <c r="G369" s="19" t="n">
        <f aca="false">G367*G368</f>
        <v>1973.82074708926</v>
      </c>
    </row>
    <row r="370" customFormat="false" ht="17.15" hidden="false" customHeight="false" outlineLevel="0" collapsed="false">
      <c r="A370" s="0" t="s">
        <v>456</v>
      </c>
      <c r="B370" s="0" t="s">
        <v>209</v>
      </c>
      <c r="D370" s="19" t="n">
        <f aca="false">D369*fx</f>
        <v>20307.7290011203</v>
      </c>
      <c r="E370" s="19" t="n">
        <f aca="false">E369*fx</f>
        <v>36450.5821474774</v>
      </c>
      <c r="F370" s="19" t="n">
        <f aca="false">F369*fx</f>
        <v>55446.4424320828</v>
      </c>
      <c r="G370" s="19" t="n">
        <f aca="false">G369*fx</f>
        <v>63162.2639068565</v>
      </c>
    </row>
    <row r="371" customFormat="false" ht="17.15" hidden="false" customHeight="false" outlineLevel="0" collapsed="false">
      <c r="A371" s="4" t="s">
        <v>457</v>
      </c>
      <c r="B371" s="0" t="s">
        <v>52</v>
      </c>
      <c r="D371" s="15" t="n">
        <f aca="false">a26_ai/D370</f>
        <v>0.174610057569922</v>
      </c>
      <c r="H371" s="8" t="s">
        <v>458</v>
      </c>
    </row>
    <row r="372" customFormat="false" ht="17.15" hidden="false" customHeight="false" outlineLevel="0" collapsed="false">
      <c r="A372" s="4" t="s">
        <v>459</v>
      </c>
      <c r="B372" s="0" t="s">
        <v>71</v>
      </c>
      <c r="D372" s="16" t="n">
        <f aca="false">1</f>
        <v>1</v>
      </c>
      <c r="E372" s="16" t="n">
        <f aca="false">rel_27</f>
        <v>1</v>
      </c>
      <c r="F372" s="16" t="n">
        <f aca="false">rel_28</f>
        <v>1</v>
      </c>
      <c r="G372" s="16" t="n">
        <f aca="false">rel_29</f>
        <v>0.95</v>
      </c>
    </row>
    <row r="373" customFormat="false" ht="15" hidden="false" customHeight="false" outlineLevel="0" collapsed="false">
      <c r="A373" s="4" t="s">
        <v>460</v>
      </c>
      <c r="B373" s="0" t="s">
        <v>52</v>
      </c>
      <c r="D373" s="15" t="n">
        <f aca="false">$D$371*D372</f>
        <v>0.174610057569922</v>
      </c>
      <c r="E373" s="15" t="n">
        <f aca="false">$D$371*E372</f>
        <v>0.174610057569922</v>
      </c>
      <c r="F373" s="15" t="n">
        <f aca="false">$D$371*F372</f>
        <v>0.174610057569922</v>
      </c>
      <c r="G373" s="15" t="n">
        <f aca="false">$D$371*G372</f>
        <v>0.165879554691426</v>
      </c>
    </row>
    <row r="374" customFormat="false" ht="17.15" hidden="false" customHeight="false" outlineLevel="0" collapsed="false">
      <c r="A374" s="0" t="s">
        <v>461</v>
      </c>
      <c r="B374" s="0" t="s">
        <v>209</v>
      </c>
      <c r="D374" s="19" t="n">
        <f aca="false">D370*D373</f>
        <v>3545.93373</v>
      </c>
      <c r="E374" s="19" t="n">
        <f aca="false">E370*E373</f>
        <v>6364.6382472282</v>
      </c>
      <c r="F374" s="19" t="n">
        <f aca="false">F370*F373</f>
        <v>9681.50650511336</v>
      </c>
      <c r="G374" s="19" t="n">
        <f aca="false">G370*G373</f>
        <v>10477.3282101717</v>
      </c>
    </row>
    <row r="375" customFormat="false" ht="17.15" hidden="false" customHeight="false" outlineLevel="0" collapsed="false">
      <c r="A375" s="4" t="s">
        <v>462</v>
      </c>
      <c r="B375" s="0" t="s">
        <v>52</v>
      </c>
      <c r="D375" s="15" t="n">
        <f aca="false">0</f>
        <v>0</v>
      </c>
      <c r="E375" s="15" t="n">
        <f aca="false">cs_27</f>
        <v>0.1</v>
      </c>
      <c r="F375" s="15" t="n">
        <f aca="false">cs_28</f>
        <v>0.2</v>
      </c>
      <c r="G375" s="15" t="n">
        <f aca="false">cs_29</f>
        <v>0.25</v>
      </c>
      <c r="H375" s="8" t="s">
        <v>463</v>
      </c>
    </row>
    <row r="376" customFormat="false" ht="17.15" hidden="false" customHeight="false" outlineLevel="0" collapsed="false">
      <c r="A376" s="0" t="s">
        <v>464</v>
      </c>
      <c r="B376" s="0" t="s">
        <v>209</v>
      </c>
      <c r="C376" s="19" t="n">
        <f aca="false">a25_ai</f>
        <v>1620.621</v>
      </c>
      <c r="D376" s="19" t="n">
        <f aca="false">D374*(1-D375)</f>
        <v>3545.93373</v>
      </c>
      <c r="E376" s="19" t="n">
        <f aca="false">E374*(1-E375)</f>
        <v>5728.17442250538</v>
      </c>
      <c r="F376" s="19" t="n">
        <f aca="false">F374*(1-F375)</f>
        <v>7745.20520409069</v>
      </c>
      <c r="G376" s="19" t="n">
        <f aca="false">G374*(1-G375)</f>
        <v>7857.99615762876</v>
      </c>
    </row>
    <row r="377" customFormat="false" ht="17.15" hidden="false" customHeight="false" outlineLevel="0" collapsed="false">
      <c r="A377" s="6" t="s">
        <v>465</v>
      </c>
    </row>
    <row r="378" customFormat="false" ht="17.15" hidden="false" customHeight="false" outlineLevel="0" collapsed="false">
      <c r="A378" s="4" t="s">
        <v>382</v>
      </c>
      <c r="B378" s="0" t="s">
        <v>209</v>
      </c>
      <c r="C378" s="19" t="n">
        <f aca="false">a25_cn</f>
        <v>1620.621</v>
      </c>
      <c r="D378" s="19" t="n">
        <f aca="false">a26_cn</f>
        <v>2363.95582</v>
      </c>
      <c r="E378" s="19" t="n">
        <f aca="false">D378*(1+g_cn27)</f>
        <v>2647.6305184</v>
      </c>
      <c r="F378" s="19" t="n">
        <f aca="false">E378*(1+g_cn28)</f>
        <v>2859.440959872</v>
      </c>
      <c r="G378" s="19" t="n">
        <f aca="false">F378*(1+g_cn29)</f>
        <v>3031.00741746432</v>
      </c>
    </row>
    <row r="379" customFormat="false" ht="17.15" hidden="false" customHeight="false" outlineLevel="0" collapsed="false">
      <c r="A379" s="4" t="s">
        <v>383</v>
      </c>
      <c r="B379" s="0" t="s">
        <v>209</v>
      </c>
      <c r="C379" s="19" t="n">
        <f aca="false">a25_ce</f>
        <v>3079.1799</v>
      </c>
      <c r="D379" s="19" t="n">
        <f aca="false">a26_ce</f>
        <v>3345.2205</v>
      </c>
      <c r="E379" s="19" t="n">
        <f aca="false">D379*(1+g_ce27)</f>
        <v>3445.577115</v>
      </c>
      <c r="F379" s="19" t="n">
        <f aca="false">E379*(1+g_ce28)</f>
        <v>3514.4886573</v>
      </c>
      <c r="G379" s="19" t="n">
        <f aca="false">F379*(1+g_ce29)</f>
        <v>3584.778430446</v>
      </c>
    </row>
    <row r="380" customFormat="false" ht="15" hidden="false" customHeight="false" outlineLevel="0" collapsed="false">
      <c r="A380" s="4" t="s">
        <v>384</v>
      </c>
      <c r="B380" s="0" t="s">
        <v>209</v>
      </c>
      <c r="C380" s="19" t="n">
        <f aca="false">a25_pc</f>
        <v>1215.46575</v>
      </c>
      <c r="D380" s="19" t="n">
        <f aca="false">a26_pc</f>
        <v>1338.0882</v>
      </c>
      <c r="E380" s="19" t="n">
        <f aca="false">D380*(1+g_pc27)</f>
        <v>1311.326436</v>
      </c>
      <c r="F380" s="19" t="n">
        <f aca="false">E380*(1+g_pc28)</f>
        <v>1311.326436</v>
      </c>
      <c r="G380" s="19" t="n">
        <f aca="false">F380*(1+g_pc29)</f>
        <v>1311.326436</v>
      </c>
    </row>
    <row r="381" customFormat="false" ht="15" hidden="false" customHeight="false" outlineLevel="0" collapsed="false">
      <c r="A381" s="4" t="s">
        <v>466</v>
      </c>
      <c r="B381" s="0" t="s">
        <v>209</v>
      </c>
      <c r="C381" s="19" t="n">
        <f aca="false">a25_co</f>
        <v>567.217349999999</v>
      </c>
      <c r="D381" s="19" t="n">
        <f aca="false">a26_co</f>
        <v>557.53675</v>
      </c>
      <c r="E381" s="19" t="n">
        <f aca="false">D381*(1+g_co27)</f>
        <v>602.13969</v>
      </c>
      <c r="F381" s="19" t="n">
        <f aca="false">E381*(1+g_co28)</f>
        <v>638.2680714</v>
      </c>
      <c r="G381" s="19" t="n">
        <f aca="false">F381*(1+g_co29)</f>
        <v>670.18147497</v>
      </c>
    </row>
    <row r="382" customFormat="false" ht="17.15" hidden="false" customHeight="false" outlineLevel="0" collapsed="false">
      <c r="A382" s="4" t="s">
        <v>387</v>
      </c>
      <c r="B382" s="0" t="s">
        <v>209</v>
      </c>
      <c r="C382" s="19" t="n">
        <f aca="false">SUM(C378:C381)</f>
        <v>6482.484</v>
      </c>
      <c r="D382" s="19" t="n">
        <f aca="false">SUM(D378:D381)</f>
        <v>7604.80127</v>
      </c>
      <c r="E382" s="19" t="n">
        <f aca="false">SUM(E378:E381)</f>
        <v>8006.6737594</v>
      </c>
      <c r="F382" s="19" t="n">
        <f aca="false">SUM(F378:F381)</f>
        <v>8323.524124572</v>
      </c>
      <c r="G382" s="19" t="n">
        <f aca="false">SUM(G378:G381)</f>
        <v>8597.29375888032</v>
      </c>
    </row>
    <row r="383" customFormat="false" ht="15" hidden="false" customHeight="false" outlineLevel="0" collapsed="false">
      <c r="A383" s="4" t="s">
        <v>353</v>
      </c>
      <c r="B383" s="0" t="s">
        <v>209</v>
      </c>
      <c r="C383" s="19" t="n">
        <f aca="false">C376+C382</f>
        <v>8103.105</v>
      </c>
      <c r="D383" s="19" t="n">
        <f aca="false">D376+D382</f>
        <v>11150.735</v>
      </c>
      <c r="E383" s="19" t="n">
        <f aca="false">E376+E382</f>
        <v>13734.8481819054</v>
      </c>
      <c r="F383" s="19" t="n">
        <f aca="false">F376+F382</f>
        <v>16068.7293286627</v>
      </c>
      <c r="G383" s="19" t="n">
        <f aca="false">G376+G382</f>
        <v>16455.2899165091</v>
      </c>
    </row>
    <row r="384" customFormat="false" ht="17.15" hidden="false" customHeight="false" outlineLevel="0" collapsed="false">
      <c r="A384" s="4" t="s">
        <v>467</v>
      </c>
      <c r="B384" s="0" t="s">
        <v>209</v>
      </c>
      <c r="C384" s="19" t="n">
        <f aca="false">C376+C378</f>
        <v>3241.242</v>
      </c>
      <c r="D384" s="19" t="n">
        <f aca="false">D376+D378</f>
        <v>5909.88955</v>
      </c>
      <c r="E384" s="19" t="n">
        <f aca="false">E376+E378</f>
        <v>8375.80494090538</v>
      </c>
      <c r="F384" s="19" t="n">
        <f aca="false">F376+F378</f>
        <v>10604.6461639627</v>
      </c>
      <c r="G384" s="19" t="n">
        <f aca="false">G376+G378</f>
        <v>10889.0035750931</v>
      </c>
      <c r="H384" s="4" t="s">
        <v>468</v>
      </c>
    </row>
    <row r="385" customFormat="false" ht="17.15" hidden="false" customHeight="false" outlineLevel="0" collapsed="false">
      <c r="A385" s="4" t="s">
        <v>469</v>
      </c>
      <c r="B385" s="0" t="s">
        <v>209</v>
      </c>
      <c r="C385" s="23" t="n">
        <f aca="false">C384+C379+C380+C381-a25_rev</f>
        <v>0</v>
      </c>
      <c r="D385" s="23" t="n">
        <f aca="false">D384+D379+D380+D381-a26_rev</f>
        <v>0</v>
      </c>
      <c r="E385" s="23" t="n">
        <f aca="false">E384+E379+E380+E381-E383</f>
        <v>0</v>
      </c>
      <c r="F385" s="23" t="n">
        <f aca="false">F384+F379+F380+F381-F383</f>
        <v>0</v>
      </c>
      <c r="G385" s="23" t="n">
        <f aca="false">G384+G379+G380+G381-G383</f>
        <v>0</v>
      </c>
    </row>
    <row r="386" customFormat="false" ht="15" hidden="false" customHeight="false" outlineLevel="0" collapsed="false">
      <c r="A386" s="4" t="s">
        <v>470</v>
      </c>
      <c r="B386" s="0" t="s">
        <v>52</v>
      </c>
      <c r="D386" s="15" t="n">
        <f aca="false">D383/C383-1</f>
        <v>0.376106443147411</v>
      </c>
      <c r="E386" s="15" t="n">
        <f aca="false">E383/D383-1</f>
        <v>0.231743753385349</v>
      </c>
      <c r="F386" s="15" t="n">
        <f aca="false">F383/E383-1</f>
        <v>0.169924058558727</v>
      </c>
      <c r="G386" s="15" t="n">
        <f aca="false">G383/F383-1</f>
        <v>0.0240566991913207</v>
      </c>
    </row>
    <row r="387" customFormat="false" ht="17.15" hidden="false" customHeight="false" outlineLevel="0" collapsed="false">
      <c r="A387" s="0" t="s">
        <v>471</v>
      </c>
      <c r="B387" s="0" t="s">
        <v>52</v>
      </c>
      <c r="C387" s="15" t="n">
        <f aca="false">C376/C383</f>
        <v>0.2</v>
      </c>
      <c r="D387" s="15" t="n">
        <f aca="false">D376/D383</f>
        <v>0.318</v>
      </c>
      <c r="E387" s="15" t="n">
        <f aca="false">E376/E383</f>
        <v>0.417054076364078</v>
      </c>
      <c r="F387" s="15" t="n">
        <f aca="false">F376/F383</f>
        <v>0.482004833467145</v>
      </c>
      <c r="G387" s="15" t="n">
        <f aca="false">G376/G383</f>
        <v>0.477536172106277</v>
      </c>
    </row>
    <row r="388" customFormat="false" ht="17.15" hidden="false" customHeight="false" outlineLevel="0" collapsed="false">
      <c r="A388" s="4" t="s">
        <v>472</v>
      </c>
      <c r="B388" s="0" t="s">
        <v>52</v>
      </c>
      <c r="C388" s="15" t="n">
        <f aca="false">(C376+C378)/C383</f>
        <v>0.4</v>
      </c>
      <c r="D388" s="15" t="n">
        <f aca="false">(D376+D378)/D383</f>
        <v>0.53</v>
      </c>
      <c r="E388" s="15" t="n">
        <f aca="false">(E376+E378)/E383</f>
        <v>0.609821443235162</v>
      </c>
      <c r="F388" s="15" t="n">
        <f aca="false">(F376+F378)/F383</f>
        <v>0.659955491629733</v>
      </c>
      <c r="G388" s="15" t="n">
        <f aca="false">(G376+G378)/G383</f>
        <v>0.661732709076641</v>
      </c>
    </row>
    <row r="389" customFormat="false" ht="17.15" hidden="false" customHeight="false" outlineLevel="0" collapsed="false">
      <c r="A389" s="4" t="s">
        <v>418</v>
      </c>
      <c r="B389" s="0" t="s">
        <v>405</v>
      </c>
      <c r="D389" s="16" t="n">
        <f aca="false">D376/fx/D367</f>
        <v>4.7355819103481</v>
      </c>
      <c r="E389" s="16" t="n">
        <f aca="false">E376/fx/E367</f>
        <v>4.29818371613545</v>
      </c>
      <c r="F389" s="16" t="n">
        <f aca="false">F376/fx/F367</f>
        <v>4.58472929721114</v>
      </c>
      <c r="G389" s="16" t="n">
        <f aca="false">G376/fx/G367</f>
        <v>4.08327453032867</v>
      </c>
    </row>
    <row r="390" customFormat="false" ht="17.15" hidden="false" customHeight="false" outlineLevel="0" collapsed="false">
      <c r="A390" s="4" t="s">
        <v>473</v>
      </c>
      <c r="B390" s="4" t="s">
        <v>416</v>
      </c>
      <c r="D390" s="19" t="n">
        <f aca="false">D374/fx/(odm_gb*(1-vr26)+odm_vr*vr26)</f>
        <v>24.0630682003257</v>
      </c>
      <c r="E390" s="19" t="n">
        <f aca="false">E374/fx/odm_vr</f>
        <v>29.4659178112417</v>
      </c>
      <c r="F390" s="19" t="n">
        <f aca="false">F374/fx/odm_vr</f>
        <v>44.8217893755248</v>
      </c>
      <c r="G390" s="19" t="n">
        <f aca="false">G374/fx/odm_vr</f>
        <v>48.5061491211652</v>
      </c>
      <c r="H390" s="4" t="s">
        <v>474</v>
      </c>
    </row>
    <row r="391" customFormat="false" ht="17.15" hidden="false" customHeight="false" outlineLevel="0" collapsed="false">
      <c r="A391" s="6" t="s">
        <v>475</v>
      </c>
    </row>
    <row r="392" customFormat="false" ht="17.15" hidden="false" customHeight="false" outlineLevel="0" collapsed="false">
      <c r="A392" s="4" t="s">
        <v>476</v>
      </c>
      <c r="B392" s="0" t="s">
        <v>52</v>
      </c>
      <c r="D392" s="14" t="n">
        <f aca="false">a26_gp/D383-d_ai*D387</f>
        <v>0.0621989258510762</v>
      </c>
      <c r="H392" s="8" t="s">
        <v>477</v>
      </c>
    </row>
    <row r="393" customFormat="false" ht="17.15" hidden="false" customHeight="false" outlineLevel="0" collapsed="false">
      <c r="A393" s="0" t="s">
        <v>478</v>
      </c>
      <c r="B393" s="0" t="s">
        <v>209</v>
      </c>
      <c r="D393" s="22" t="n">
        <f aca="false">($D$392+d_ai)*D374*(1-D375*(1-keep))</f>
        <v>202.8236004951</v>
      </c>
      <c r="E393" s="22" t="n">
        <f aca="false">($D$392+d_ai+vrd)*E374*(1-E375*(1-keep))</f>
        <v>347.807982730896</v>
      </c>
      <c r="F393" s="22" t="n">
        <f aca="false">($D$392+d_ai+vrd)*F374*(1-F375*(1-keep))</f>
        <v>523.720584508415</v>
      </c>
      <c r="G393" s="22" t="n">
        <f aca="false">($D$392+d_ai+vrd)*G374*(1-G375*(1-keep))</f>
        <v>563.878831415889</v>
      </c>
      <c r="H393" s="4" t="s">
        <v>479</v>
      </c>
    </row>
    <row r="394" customFormat="false" ht="15" hidden="false" customHeight="false" outlineLevel="0" collapsed="false">
      <c r="A394" s="4" t="s">
        <v>357</v>
      </c>
      <c r="B394" s="0" t="s">
        <v>209</v>
      </c>
      <c r="C394" s="19" t="n">
        <f aca="false">a25_gp</f>
        <v>498.161</v>
      </c>
      <c r="D394" s="19" t="n">
        <f aca="false">a26_gp</f>
        <v>675.8340708</v>
      </c>
      <c r="E394" s="19" t="n">
        <f aca="false">$D$392*E382+E393</f>
        <v>845.814490205574</v>
      </c>
      <c r="F394" s="19" t="n">
        <f aca="false">$D$392*F382+F393</f>
        <v>1041.43484435231</v>
      </c>
      <c r="G394" s="19" t="n">
        <f aca="false">$D$392*G382+G393</f>
        <v>1098.62126844441</v>
      </c>
    </row>
    <row r="395" customFormat="false" ht="15" hidden="false" customHeight="false" outlineLevel="0" collapsed="false">
      <c r="A395" s="4" t="s">
        <v>360</v>
      </c>
      <c r="B395" s="0" t="s">
        <v>52</v>
      </c>
      <c r="C395" s="14" t="n">
        <f aca="false">C394/C383</f>
        <v>0.0614777915379352</v>
      </c>
      <c r="D395" s="14" t="n">
        <f aca="false">D394/D383</f>
        <v>0.0606089258510762</v>
      </c>
      <c r="E395" s="14" t="n">
        <f aca="false">E394/E383</f>
        <v>0.0615816410202386</v>
      </c>
      <c r="F395" s="14" t="n">
        <f aca="false">F394/F383</f>
        <v>0.0648112755558492</v>
      </c>
      <c r="G395" s="14" t="n">
        <f aca="false">G394/G383</f>
        <v>0.0667640177729226</v>
      </c>
    </row>
    <row r="396" customFormat="false" ht="17.15" hidden="false" customHeight="false" outlineLevel="0" collapsed="false">
      <c r="A396" s="0" t="s">
        <v>480</v>
      </c>
      <c r="B396" s="0" t="s">
        <v>52</v>
      </c>
      <c r="D396" s="14" t="n">
        <f aca="false">D393/D376</f>
        <v>0.0571989258510762</v>
      </c>
      <c r="E396" s="14" t="n">
        <f aca="false">E393/E376</f>
        <v>0.0607188184361838</v>
      </c>
      <c r="F396" s="14" t="n">
        <f aca="false">F393/F376</f>
        <v>0.0676186841675683</v>
      </c>
      <c r="G396" s="14" t="n">
        <f aca="false">G393/G376</f>
        <v>0.0717586036063991</v>
      </c>
      <c r="H396" s="4" t="s">
        <v>481</v>
      </c>
    </row>
    <row r="397" customFormat="false" ht="15" hidden="false" customHeight="false" outlineLevel="0" collapsed="false">
      <c r="A397" s="4" t="s">
        <v>482</v>
      </c>
      <c r="B397" s="0" t="s">
        <v>209</v>
      </c>
      <c r="C397" s="19" t="n">
        <f aca="false">a25_opx</f>
        <v>238.938</v>
      </c>
      <c r="D397" s="19" t="n">
        <f aca="false">a26_opx</f>
        <v>254.8304233</v>
      </c>
      <c r="E397" s="19" t="n">
        <f aca="false">D397*(1+MAX(0,phi*E386))</f>
        <v>278.452566808928</v>
      </c>
      <c r="F397" s="19" t="n">
        <f aca="false">E397*(1+MAX(0,phi*F386))</f>
        <v>297.378882916235</v>
      </c>
      <c r="G397" s="19" t="n">
        <f aca="false">F397*(1+MAX(0,phi*G386))</f>
        <v>300.240464649102</v>
      </c>
    </row>
    <row r="398" customFormat="false" ht="15" hidden="false" customHeight="false" outlineLevel="0" collapsed="false">
      <c r="A398" s="4" t="s">
        <v>361</v>
      </c>
      <c r="B398" s="0" t="s">
        <v>209</v>
      </c>
      <c r="C398" s="19" t="n">
        <f aca="false">C397</f>
        <v>238.938</v>
      </c>
      <c r="D398" s="19" t="n">
        <f aca="false">D397</f>
        <v>254.8304233</v>
      </c>
      <c r="E398" s="19" t="n">
        <f aca="false">E397+0*E383</f>
        <v>278.452566808928</v>
      </c>
      <c r="F398" s="19" t="n">
        <f aca="false">F397+0*F383</f>
        <v>297.378882916235</v>
      </c>
      <c r="G398" s="19" t="n">
        <f aca="false">G397+0*G383</f>
        <v>300.240464649102</v>
      </c>
    </row>
    <row r="399" customFormat="false" ht="15" hidden="false" customHeight="false" outlineLevel="0" collapsed="false">
      <c r="A399" s="4" t="s">
        <v>364</v>
      </c>
      <c r="B399" s="0" t="s">
        <v>209</v>
      </c>
      <c r="C399" s="19" t="n">
        <f aca="false">C394-C398</f>
        <v>259.223</v>
      </c>
      <c r="D399" s="19" t="n">
        <f aca="false">D394-D398</f>
        <v>421.0036475</v>
      </c>
      <c r="E399" s="19" t="n">
        <f aca="false">E394-E398</f>
        <v>567.361923396647</v>
      </c>
      <c r="F399" s="19" t="n">
        <f aca="false">F394-F398</f>
        <v>744.055961436077</v>
      </c>
      <c r="G399" s="19" t="n">
        <f aca="false">G394-G398</f>
        <v>798.380803795305</v>
      </c>
    </row>
    <row r="400" customFormat="false" ht="15" hidden="false" customHeight="false" outlineLevel="0" collapsed="false">
      <c r="A400" s="4" t="s">
        <v>367</v>
      </c>
      <c r="B400" s="0" t="s">
        <v>52</v>
      </c>
      <c r="C400" s="14" t="n">
        <f aca="false">C399/C383</f>
        <v>0.0319905764518663</v>
      </c>
      <c r="D400" s="14" t="n">
        <f aca="false">D399/D383</f>
        <v>0.0377556858359561</v>
      </c>
      <c r="E400" s="14" t="n">
        <f aca="false">E399/E383</f>
        <v>0.0413082049311694</v>
      </c>
      <c r="F400" s="14" t="n">
        <f aca="false">F399/F383</f>
        <v>0.0463045923680389</v>
      </c>
      <c r="G400" s="14" t="n">
        <f aca="false">G399/G383</f>
        <v>0.0485181852064675</v>
      </c>
    </row>
    <row r="401" customFormat="false" ht="17.15" hidden="false" customHeight="false" outlineLevel="0" collapsed="false">
      <c r="A401" s="4" t="s">
        <v>243</v>
      </c>
      <c r="B401" s="0" t="s">
        <v>52</v>
      </c>
      <c r="C401" s="15" t="n">
        <f aca="false">a25_ni/a25_oi</f>
        <v>0.730467589681471</v>
      </c>
      <c r="D401" s="15" t="n">
        <f aca="false">a26_ni/a26_oi</f>
        <v>0.653811645064191</v>
      </c>
      <c r="E401" s="15" t="n">
        <f aca="false">nio_f</f>
        <v>0.66</v>
      </c>
      <c r="F401" s="15" t="n">
        <f aca="false">nio_f</f>
        <v>0.66</v>
      </c>
      <c r="G401" s="15" t="n">
        <f aca="false">nio_f</f>
        <v>0.66</v>
      </c>
    </row>
    <row r="402" customFormat="false" ht="15" hidden="false" customHeight="false" outlineLevel="0" collapsed="false">
      <c r="A402" s="4" t="s">
        <v>368</v>
      </c>
      <c r="B402" s="0" t="s">
        <v>209</v>
      </c>
      <c r="C402" s="19" t="n">
        <f aca="false">a25_ni</f>
        <v>189.354</v>
      </c>
      <c r="D402" s="19" t="n">
        <f aca="false">a26_ni</f>
        <v>275.25708735</v>
      </c>
      <c r="E402" s="19" t="n">
        <f aca="false">E399*E401</f>
        <v>374.458869441787</v>
      </c>
      <c r="F402" s="19" t="n">
        <f aca="false">F399*F401</f>
        <v>491.076934547811</v>
      </c>
      <c r="G402" s="19" t="n">
        <f aca="false">G399*G401</f>
        <v>526.931330504901</v>
      </c>
    </row>
    <row r="403" customFormat="false" ht="15" hidden="false" customHeight="false" outlineLevel="0" collapsed="false">
      <c r="A403" s="4" t="s">
        <v>483</v>
      </c>
      <c r="B403" s="4" t="s">
        <v>230</v>
      </c>
      <c r="C403" s="23" t="n">
        <f aca="false">a25_sh</f>
        <v>13.9128581925055</v>
      </c>
      <c r="D403" s="23" t="n">
        <f aca="false">a26_sh</f>
        <v>14.0169642857143</v>
      </c>
      <c r="E403" s="23" t="n">
        <f aca="false">D403*(1+sh_g)</f>
        <v>14.0169642857143</v>
      </c>
      <c r="F403" s="23" t="n">
        <f aca="false">E403*(1+sh_g)</f>
        <v>14.0169642857143</v>
      </c>
      <c r="G403" s="23" t="n">
        <f aca="false">F403*(1+sh_g)</f>
        <v>14.0169642857143</v>
      </c>
    </row>
    <row r="404" customFormat="false" ht="15" hidden="false" customHeight="false" outlineLevel="0" collapsed="false">
      <c r="A404" s="0" t="s">
        <v>374</v>
      </c>
      <c r="B404" s="0" t="s">
        <v>260</v>
      </c>
      <c r="C404" s="22" t="n">
        <f aca="false">C402/C403</f>
        <v>13.61</v>
      </c>
      <c r="D404" s="22" t="n">
        <f aca="false">D402/D403</f>
        <v>19.6374251756163</v>
      </c>
      <c r="E404" s="22" t="n">
        <f aca="false">E402/E403</f>
        <v>26.7146909850819</v>
      </c>
      <c r="F404" s="22" t="n">
        <f aca="false">F402/F403</f>
        <v>35.0344714117809</v>
      </c>
      <c r="G404" s="22" t="n">
        <f aca="false">G402/G403</f>
        <v>37.5924001634174</v>
      </c>
    </row>
    <row r="405" customFormat="false" ht="17.15" hidden="false" customHeight="false" outlineLevel="0" collapsed="false">
      <c r="A405" s="0" t="s">
        <v>484</v>
      </c>
      <c r="B405" s="0" t="s">
        <v>52</v>
      </c>
      <c r="D405" s="15" t="n">
        <f aca="false">D404/C404-1</f>
        <v>0.442867389832203</v>
      </c>
      <c r="E405" s="15" t="n">
        <f aca="false">E404/D404-1</f>
        <v>0.360396831365319</v>
      </c>
      <c r="F405" s="15" t="n">
        <f aca="false">F404/E404-1</f>
        <v>0.311430906363279</v>
      </c>
      <c r="G405" s="15" t="n">
        <f aca="false">G404/F404-1</f>
        <v>0.0730117695104233</v>
      </c>
    </row>
    <row r="408" customFormat="false" ht="17.15" hidden="false" customHeight="false" outlineLevel="0" collapsed="false">
      <c r="A408" s="1" t="s">
        <v>840</v>
      </c>
    </row>
    <row r="409" customFormat="false" ht="17.15" hidden="false" customHeight="false" outlineLevel="0" collapsed="false">
      <c r="A409" s="5" t="s">
        <v>21</v>
      </c>
      <c r="B409" s="5" t="s">
        <v>22</v>
      </c>
      <c r="C409" s="11" t="s">
        <v>347</v>
      </c>
      <c r="D409" s="11" t="s">
        <v>429</v>
      </c>
      <c r="E409" s="11" t="s">
        <v>430</v>
      </c>
      <c r="F409" s="11" t="s">
        <v>431</v>
      </c>
      <c r="G409" s="11" t="s">
        <v>432</v>
      </c>
      <c r="H409" s="5" t="s">
        <v>400</v>
      </c>
    </row>
    <row r="410" customFormat="false" ht="17.15" hidden="false" customHeight="false" outlineLevel="0" collapsed="false">
      <c r="A410" s="6" t="s">
        <v>450</v>
      </c>
    </row>
    <row r="411" customFormat="false" ht="17.15" hidden="false" customHeight="false" outlineLevel="0" collapsed="false">
      <c r="A411" s="0" t="s">
        <v>451</v>
      </c>
      <c r="B411" s="0" t="s">
        <v>32</v>
      </c>
      <c r="D411" s="22" t="n">
        <f aca="false">itc_26*1</f>
        <v>781.872916666666</v>
      </c>
      <c r="E411" s="22" t="n">
        <f aca="false">itc_27*1*mf_lo</f>
        <v>1252.28</v>
      </c>
      <c r="F411" s="22" t="n">
        <f aca="false">itc_28*um28_A*mf_lo</f>
        <v>1587.41111111111</v>
      </c>
      <c r="G411" s="22" t="n">
        <f aca="false">itc_29*um29_A*mf_lo</f>
        <v>1808.31222222222</v>
      </c>
    </row>
    <row r="412" customFormat="false" ht="17.15" hidden="false" customHeight="false" outlineLevel="0" collapsed="false">
      <c r="A412" s="4" t="s">
        <v>452</v>
      </c>
      <c r="B412" s="0" t="s">
        <v>32</v>
      </c>
      <c r="D412" s="22" t="n">
        <f aca="false">itpg_gb*(1-vr26)+itpg_vr*vr26</f>
        <v>33.41403216</v>
      </c>
      <c r="E412" s="22" t="n">
        <f aca="false">itpg_vr</f>
        <v>37.586352</v>
      </c>
      <c r="F412" s="22" t="n">
        <f aca="false">itpg_vr</f>
        <v>37.586352</v>
      </c>
      <c r="G412" s="22" t="n">
        <f aca="false">itpg_vr</f>
        <v>37.586352</v>
      </c>
    </row>
    <row r="413" customFormat="false" ht="17.15" hidden="false" customHeight="false" outlineLevel="0" collapsed="false">
      <c r="A413" s="4" t="s">
        <v>453</v>
      </c>
      <c r="B413" s="0" t="s">
        <v>402</v>
      </c>
      <c r="D413" s="18" t="n">
        <f aca="false">D411/D412</f>
        <v>23.3995380420639</v>
      </c>
      <c r="E413" s="18" t="n">
        <f aca="false">E411/E412</f>
        <v>33.3174126608509</v>
      </c>
      <c r="F413" s="18" t="n">
        <f aca="false">F411/F412</f>
        <v>42.2337105529984</v>
      </c>
      <c r="G413" s="18" t="n">
        <f aca="false">G411/G412</f>
        <v>48.1108733888892</v>
      </c>
    </row>
    <row r="414" customFormat="false" ht="17.15" hidden="false" customHeight="false" outlineLevel="0" collapsed="false">
      <c r="A414" s="4" t="s">
        <v>404</v>
      </c>
      <c r="B414" s="0" t="s">
        <v>405</v>
      </c>
      <c r="D414" s="16" t="n">
        <f aca="false">(racks_gb*odm_gb*(1-vr26)+racks_vr*odm_vr*vr26)/1000</f>
        <v>27.1209</v>
      </c>
      <c r="E414" s="16" t="n">
        <f aca="false">racks_vr*odm_vr/1000</f>
        <v>27.351</v>
      </c>
      <c r="F414" s="16" t="n">
        <f aca="false">$E414*vpg_28</f>
        <v>27.351</v>
      </c>
      <c r="G414" s="16" t="n">
        <f aca="false">$E414*vpg_29</f>
        <v>27.351</v>
      </c>
      <c r="H414" s="4" t="s">
        <v>454</v>
      </c>
    </row>
    <row r="415" customFormat="false" ht="17.15" hidden="false" customHeight="false" outlineLevel="0" collapsed="false">
      <c r="A415" s="0" t="s">
        <v>455</v>
      </c>
      <c r="B415" s="0" t="s">
        <v>32</v>
      </c>
      <c r="D415" s="19" t="n">
        <f aca="false">D413*D414</f>
        <v>634.61653128501</v>
      </c>
      <c r="E415" s="19" t="n">
        <f aca="false">E413*E414</f>
        <v>911.264553686934</v>
      </c>
      <c r="F415" s="19" t="n">
        <f aca="false">F413*F414</f>
        <v>1155.13421733506</v>
      </c>
      <c r="G415" s="19" t="n">
        <f aca="false">G413*G414</f>
        <v>1315.88049805951</v>
      </c>
    </row>
    <row r="416" customFormat="false" ht="17.15" hidden="false" customHeight="false" outlineLevel="0" collapsed="false">
      <c r="A416" s="0" t="s">
        <v>456</v>
      </c>
      <c r="B416" s="0" t="s">
        <v>209</v>
      </c>
      <c r="D416" s="19" t="n">
        <f aca="false">D415*fx</f>
        <v>20307.7290011203</v>
      </c>
      <c r="E416" s="19" t="n">
        <f aca="false">E415*fx</f>
        <v>29160.4657179819</v>
      </c>
      <c r="F416" s="19" t="n">
        <f aca="false">F415*fx</f>
        <v>36964.2949547219</v>
      </c>
      <c r="G416" s="19" t="n">
        <f aca="false">G415*fx</f>
        <v>42108.1759379043</v>
      </c>
    </row>
    <row r="417" customFormat="false" ht="17.15" hidden="false" customHeight="false" outlineLevel="0" collapsed="false">
      <c r="A417" s="4" t="s">
        <v>457</v>
      </c>
      <c r="B417" s="0" t="s">
        <v>52</v>
      </c>
      <c r="D417" s="15" t="n">
        <f aca="false">a26_ai/D416</f>
        <v>0.174610057569922</v>
      </c>
      <c r="H417" s="8" t="s">
        <v>458</v>
      </c>
    </row>
    <row r="418" customFormat="false" ht="17.15" hidden="false" customHeight="false" outlineLevel="0" collapsed="false">
      <c r="A418" s="4" t="s">
        <v>459</v>
      </c>
      <c r="B418" s="0" t="s">
        <v>71</v>
      </c>
      <c r="D418" s="16" t="n">
        <f aca="false">1</f>
        <v>1</v>
      </c>
      <c r="E418" s="16" t="n">
        <f aca="false">rel_27</f>
        <v>1</v>
      </c>
      <c r="F418" s="16" t="n">
        <f aca="false">rel_28</f>
        <v>1</v>
      </c>
      <c r="G418" s="16" t="n">
        <f aca="false">rel_29</f>
        <v>0.95</v>
      </c>
    </row>
    <row r="419" customFormat="false" ht="15" hidden="false" customHeight="false" outlineLevel="0" collapsed="false">
      <c r="A419" s="4" t="s">
        <v>460</v>
      </c>
      <c r="B419" s="0" t="s">
        <v>52</v>
      </c>
      <c r="D419" s="15" t="n">
        <f aca="false">$D$417*D418</f>
        <v>0.174610057569922</v>
      </c>
      <c r="E419" s="15" t="n">
        <f aca="false">$D$417*E418</f>
        <v>0.174610057569922</v>
      </c>
      <c r="F419" s="15" t="n">
        <f aca="false">$D$417*F418</f>
        <v>0.174610057569922</v>
      </c>
      <c r="G419" s="15" t="n">
        <f aca="false">$D$417*G418</f>
        <v>0.165879554691426</v>
      </c>
    </row>
    <row r="420" customFormat="false" ht="17.15" hidden="false" customHeight="false" outlineLevel="0" collapsed="false">
      <c r="A420" s="0" t="s">
        <v>461</v>
      </c>
      <c r="B420" s="0" t="s">
        <v>209</v>
      </c>
      <c r="D420" s="19" t="n">
        <f aca="false">D416*D419</f>
        <v>3545.93373</v>
      </c>
      <c r="E420" s="19" t="n">
        <f aca="false">E416*E419</f>
        <v>5091.71059778256</v>
      </c>
      <c r="F420" s="19" t="n">
        <f aca="false">F416*F419</f>
        <v>6454.33767007557</v>
      </c>
      <c r="G420" s="19" t="n">
        <f aca="false">G416*G419</f>
        <v>6984.88547344779</v>
      </c>
    </row>
    <row r="421" customFormat="false" ht="17.15" hidden="false" customHeight="false" outlineLevel="0" collapsed="false">
      <c r="A421" s="4" t="s">
        <v>462</v>
      </c>
      <c r="B421" s="0" t="s">
        <v>52</v>
      </c>
      <c r="D421" s="15" t="n">
        <f aca="false">0</f>
        <v>0</v>
      </c>
      <c r="E421" s="15" t="n">
        <f aca="false">cs_27</f>
        <v>0.1</v>
      </c>
      <c r="F421" s="15" t="n">
        <f aca="false">cs_28</f>
        <v>0.2</v>
      </c>
      <c r="G421" s="15" t="n">
        <f aca="false">cs_29</f>
        <v>0.25</v>
      </c>
      <c r="H421" s="8" t="s">
        <v>463</v>
      </c>
    </row>
    <row r="422" customFormat="false" ht="17.15" hidden="false" customHeight="false" outlineLevel="0" collapsed="false">
      <c r="A422" s="0" t="s">
        <v>464</v>
      </c>
      <c r="B422" s="0" t="s">
        <v>209</v>
      </c>
      <c r="C422" s="19" t="n">
        <f aca="false">a25_ai</f>
        <v>1620.621</v>
      </c>
      <c r="D422" s="19" t="n">
        <f aca="false">D420*(1-D421)</f>
        <v>3545.93373</v>
      </c>
      <c r="E422" s="19" t="n">
        <f aca="false">E420*(1-E421)</f>
        <v>4582.5395380043</v>
      </c>
      <c r="F422" s="19" t="n">
        <f aca="false">F420*(1-F421)</f>
        <v>5163.47013606046</v>
      </c>
      <c r="G422" s="19" t="n">
        <f aca="false">G420*(1-G421)</f>
        <v>5238.66410508584</v>
      </c>
    </row>
    <row r="423" customFormat="false" ht="17.15" hidden="false" customHeight="false" outlineLevel="0" collapsed="false">
      <c r="A423" s="6" t="s">
        <v>465</v>
      </c>
    </row>
    <row r="424" customFormat="false" ht="17.15" hidden="false" customHeight="false" outlineLevel="0" collapsed="false">
      <c r="A424" s="4" t="s">
        <v>382</v>
      </c>
      <c r="B424" s="0" t="s">
        <v>209</v>
      </c>
      <c r="C424" s="19" t="n">
        <f aca="false">a25_cn</f>
        <v>1620.621</v>
      </c>
      <c r="D424" s="19" t="n">
        <f aca="false">a26_cn</f>
        <v>2363.95582</v>
      </c>
      <c r="E424" s="19" t="n">
        <f aca="false">D424*(1+g_cn27)</f>
        <v>2647.6305184</v>
      </c>
      <c r="F424" s="19" t="n">
        <f aca="false">E424*(1+g_cn28)</f>
        <v>2859.440959872</v>
      </c>
      <c r="G424" s="19" t="n">
        <f aca="false">F424*(1+g_cn29)</f>
        <v>3031.00741746432</v>
      </c>
    </row>
    <row r="425" customFormat="false" ht="17.15" hidden="false" customHeight="false" outlineLevel="0" collapsed="false">
      <c r="A425" s="4" t="s">
        <v>383</v>
      </c>
      <c r="B425" s="0" t="s">
        <v>209</v>
      </c>
      <c r="C425" s="19" t="n">
        <f aca="false">a25_ce</f>
        <v>3079.1799</v>
      </c>
      <c r="D425" s="19" t="n">
        <f aca="false">a26_ce</f>
        <v>3345.2205</v>
      </c>
      <c r="E425" s="19" t="n">
        <f aca="false">D425*(1+g_ce27)</f>
        <v>3445.577115</v>
      </c>
      <c r="F425" s="19" t="n">
        <f aca="false">E425*(1+g_ce28)</f>
        <v>3514.4886573</v>
      </c>
      <c r="G425" s="19" t="n">
        <f aca="false">F425*(1+g_ce29)</f>
        <v>3584.778430446</v>
      </c>
    </row>
    <row r="426" customFormat="false" ht="15" hidden="false" customHeight="false" outlineLevel="0" collapsed="false">
      <c r="A426" s="4" t="s">
        <v>384</v>
      </c>
      <c r="B426" s="0" t="s">
        <v>209</v>
      </c>
      <c r="C426" s="19" t="n">
        <f aca="false">a25_pc</f>
        <v>1215.46575</v>
      </c>
      <c r="D426" s="19" t="n">
        <f aca="false">a26_pc</f>
        <v>1338.0882</v>
      </c>
      <c r="E426" s="19" t="n">
        <f aca="false">D426*(1+g_pc27)</f>
        <v>1311.326436</v>
      </c>
      <c r="F426" s="19" t="n">
        <f aca="false">E426*(1+g_pc28)</f>
        <v>1311.326436</v>
      </c>
      <c r="G426" s="19" t="n">
        <f aca="false">F426*(1+g_pc29)</f>
        <v>1311.326436</v>
      </c>
    </row>
    <row r="427" customFormat="false" ht="15" hidden="false" customHeight="false" outlineLevel="0" collapsed="false">
      <c r="A427" s="4" t="s">
        <v>466</v>
      </c>
      <c r="B427" s="0" t="s">
        <v>209</v>
      </c>
      <c r="C427" s="19" t="n">
        <f aca="false">a25_co</f>
        <v>567.217349999999</v>
      </c>
      <c r="D427" s="19" t="n">
        <f aca="false">a26_co</f>
        <v>557.53675</v>
      </c>
      <c r="E427" s="19" t="n">
        <f aca="false">D427*(1+g_co27)</f>
        <v>602.13969</v>
      </c>
      <c r="F427" s="19" t="n">
        <f aca="false">E427*(1+g_co28)</f>
        <v>638.2680714</v>
      </c>
      <c r="G427" s="19" t="n">
        <f aca="false">F427*(1+g_co29)</f>
        <v>670.18147497</v>
      </c>
    </row>
    <row r="428" customFormat="false" ht="17.15" hidden="false" customHeight="false" outlineLevel="0" collapsed="false">
      <c r="A428" s="4" t="s">
        <v>387</v>
      </c>
      <c r="B428" s="0" t="s">
        <v>209</v>
      </c>
      <c r="C428" s="19" t="n">
        <f aca="false">SUM(C424:C427)</f>
        <v>6482.484</v>
      </c>
      <c r="D428" s="19" t="n">
        <f aca="false">SUM(D424:D427)</f>
        <v>7604.80127</v>
      </c>
      <c r="E428" s="19" t="n">
        <f aca="false">SUM(E424:E427)</f>
        <v>8006.6737594</v>
      </c>
      <c r="F428" s="19" t="n">
        <f aca="false">SUM(F424:F427)</f>
        <v>8323.524124572</v>
      </c>
      <c r="G428" s="19" t="n">
        <f aca="false">SUM(G424:G427)</f>
        <v>8597.29375888032</v>
      </c>
    </row>
    <row r="429" customFormat="false" ht="15" hidden="false" customHeight="false" outlineLevel="0" collapsed="false">
      <c r="A429" s="4" t="s">
        <v>353</v>
      </c>
      <c r="B429" s="0" t="s">
        <v>209</v>
      </c>
      <c r="C429" s="19" t="n">
        <f aca="false">C422+C428</f>
        <v>8103.105</v>
      </c>
      <c r="D429" s="19" t="n">
        <f aca="false">D422+D428</f>
        <v>11150.735</v>
      </c>
      <c r="E429" s="19" t="n">
        <f aca="false">E422+E428</f>
        <v>12589.2132974043</v>
      </c>
      <c r="F429" s="19" t="n">
        <f aca="false">F422+F428</f>
        <v>13486.9942606325</v>
      </c>
      <c r="G429" s="19" t="n">
        <f aca="false">G422+G428</f>
        <v>13835.9578639662</v>
      </c>
    </row>
    <row r="430" customFormat="false" ht="17.15" hidden="false" customHeight="false" outlineLevel="0" collapsed="false">
      <c r="A430" s="4" t="s">
        <v>467</v>
      </c>
      <c r="B430" s="0" t="s">
        <v>209</v>
      </c>
      <c r="C430" s="19" t="n">
        <f aca="false">C422+C424</f>
        <v>3241.242</v>
      </c>
      <c r="D430" s="19" t="n">
        <f aca="false">D422+D424</f>
        <v>5909.88955</v>
      </c>
      <c r="E430" s="19" t="n">
        <f aca="false">E422+E424</f>
        <v>7230.1700564043</v>
      </c>
      <c r="F430" s="19" t="n">
        <f aca="false">F422+F424</f>
        <v>8022.91109593246</v>
      </c>
      <c r="G430" s="19" t="n">
        <f aca="false">G422+G424</f>
        <v>8269.67152255016</v>
      </c>
      <c r="H430" s="4" t="s">
        <v>468</v>
      </c>
    </row>
    <row r="431" customFormat="false" ht="17.15" hidden="false" customHeight="false" outlineLevel="0" collapsed="false">
      <c r="A431" s="4" t="s">
        <v>469</v>
      </c>
      <c r="B431" s="0" t="s">
        <v>209</v>
      </c>
      <c r="C431" s="23" t="n">
        <f aca="false">C430+C425+C426+C427-a25_rev</f>
        <v>0</v>
      </c>
      <c r="D431" s="23" t="n">
        <f aca="false">D430+D425+D426+D427-a26_rev</f>
        <v>0</v>
      </c>
      <c r="E431" s="23" t="n">
        <f aca="false">E430+E425+E426+E427-E429</f>
        <v>0</v>
      </c>
      <c r="F431" s="23" t="n">
        <f aca="false">F430+F425+F426+F427-F429</f>
        <v>0</v>
      </c>
      <c r="G431" s="23" t="n">
        <f aca="false">G430+G425+G426+G427-G429</f>
        <v>0</v>
      </c>
    </row>
    <row r="432" customFormat="false" ht="15" hidden="false" customHeight="false" outlineLevel="0" collapsed="false">
      <c r="A432" s="4" t="s">
        <v>470</v>
      </c>
      <c r="B432" s="0" t="s">
        <v>52</v>
      </c>
      <c r="D432" s="15" t="n">
        <f aca="false">D429/C429-1</f>
        <v>0.376106443147411</v>
      </c>
      <c r="E432" s="15" t="n">
        <f aca="false">E429/D429-1</f>
        <v>0.129003002708279</v>
      </c>
      <c r="F432" s="15" t="n">
        <f aca="false">F429/E429-1</f>
        <v>0.0713135080023837</v>
      </c>
      <c r="G432" s="15" t="n">
        <f aca="false">G429/F429-1</f>
        <v>0.0258740825857919</v>
      </c>
    </row>
    <row r="433" customFormat="false" ht="17.15" hidden="false" customHeight="false" outlineLevel="0" collapsed="false">
      <c r="A433" s="0" t="s">
        <v>471</v>
      </c>
      <c r="B433" s="0" t="s">
        <v>52</v>
      </c>
      <c r="C433" s="15" t="n">
        <f aca="false">C422/C429</f>
        <v>0.2</v>
      </c>
      <c r="D433" s="15" t="n">
        <f aca="false">D422/D429</f>
        <v>0.318</v>
      </c>
      <c r="E433" s="15" t="n">
        <f aca="false">E422/E429</f>
        <v>0.364005234461247</v>
      </c>
      <c r="F433" s="15" t="n">
        <f aca="false">F422/F429</f>
        <v>0.382848100642576</v>
      </c>
      <c r="G433" s="15" t="n">
        <f aca="false">G422/G429</f>
        <v>0.378626775001189</v>
      </c>
    </row>
    <row r="434" customFormat="false" ht="17.15" hidden="false" customHeight="false" outlineLevel="0" collapsed="false">
      <c r="A434" s="4" t="s">
        <v>472</v>
      </c>
      <c r="B434" s="0" t="s">
        <v>52</v>
      </c>
      <c r="C434" s="15" t="n">
        <f aca="false">(C422+C424)/C429</f>
        <v>0.4</v>
      </c>
      <c r="D434" s="15" t="n">
        <f aca="false">(D422+D424)/D429</f>
        <v>0.53</v>
      </c>
      <c r="E434" s="15" t="n">
        <f aca="false">(E422+E424)/E429</f>
        <v>0.574314683975928</v>
      </c>
      <c r="F434" s="15" t="n">
        <f aca="false">(F422+F424)/F429</f>
        <v>0.594862794547985</v>
      </c>
      <c r="G434" s="15" t="n">
        <f aca="false">(G422+G424)/G429</f>
        <v>0.597694182351291</v>
      </c>
    </row>
    <row r="435" customFormat="false" ht="17.15" hidden="false" customHeight="false" outlineLevel="0" collapsed="false">
      <c r="A435" s="4" t="s">
        <v>418</v>
      </c>
      <c r="B435" s="0" t="s">
        <v>405</v>
      </c>
      <c r="D435" s="16" t="n">
        <f aca="false">D422/fx/D413</f>
        <v>4.7355819103481</v>
      </c>
      <c r="E435" s="16" t="n">
        <f aca="false">E422/fx/E413</f>
        <v>4.29818371613545</v>
      </c>
      <c r="F435" s="16" t="n">
        <f aca="false">F422/fx/F413</f>
        <v>3.82060774767595</v>
      </c>
      <c r="G435" s="16" t="n">
        <f aca="false">G422/fx/G413</f>
        <v>3.4027287752739</v>
      </c>
    </row>
    <row r="436" customFormat="false" ht="17.15" hidden="false" customHeight="false" outlineLevel="0" collapsed="false">
      <c r="A436" s="4" t="s">
        <v>473</v>
      </c>
      <c r="B436" s="4" t="s">
        <v>416</v>
      </c>
      <c r="D436" s="19" t="n">
        <f aca="false">D420/fx/(odm_gb*(1-vr26)+odm_vr*vr26)</f>
        <v>24.0630682003257</v>
      </c>
      <c r="E436" s="19" t="n">
        <f aca="false">E420/fx/odm_vr</f>
        <v>23.5727342489933</v>
      </c>
      <c r="F436" s="19" t="n">
        <f aca="false">F420/fx/odm_vr</f>
        <v>29.8811929170165</v>
      </c>
      <c r="G436" s="19" t="n">
        <f aca="false">G420/fx/odm_vr</f>
        <v>32.3374327474435</v>
      </c>
      <c r="H436" s="4" t="s">
        <v>474</v>
      </c>
    </row>
    <row r="437" customFormat="false" ht="17.15" hidden="false" customHeight="false" outlineLevel="0" collapsed="false">
      <c r="A437" s="6" t="s">
        <v>475</v>
      </c>
    </row>
    <row r="438" customFormat="false" ht="17.15" hidden="false" customHeight="false" outlineLevel="0" collapsed="false">
      <c r="A438" s="4" t="s">
        <v>476</v>
      </c>
      <c r="B438" s="0" t="s">
        <v>52</v>
      </c>
      <c r="D438" s="14" t="n">
        <f aca="false">a26_gp/D429-d_ai*D433</f>
        <v>0.0621989258510762</v>
      </c>
      <c r="H438" s="8" t="s">
        <v>477</v>
      </c>
    </row>
    <row r="439" customFormat="false" ht="17.15" hidden="false" customHeight="false" outlineLevel="0" collapsed="false">
      <c r="A439" s="0" t="s">
        <v>478</v>
      </c>
      <c r="B439" s="0" t="s">
        <v>209</v>
      </c>
      <c r="D439" s="22" t="n">
        <f aca="false">($D$438+d_ai)*D420*(1-D421*(1-keep))</f>
        <v>202.8236004951</v>
      </c>
      <c r="E439" s="22" t="n">
        <f aca="false">($D$438+d_ai+vrd)*E420*(1-E421*(1-keep))</f>
        <v>278.246386184717</v>
      </c>
      <c r="F439" s="22" t="n">
        <f aca="false">($D$438+d_ai+vrd)*F420*(1-F421*(1-keep))</f>
        <v>349.147056338943</v>
      </c>
      <c r="G439" s="22" t="n">
        <f aca="false">($D$438+d_ai+vrd)*G420*(1-G421*(1-keep))</f>
        <v>375.919220943926</v>
      </c>
      <c r="H439" s="4" t="s">
        <v>479</v>
      </c>
    </row>
    <row r="440" customFormat="false" ht="15" hidden="false" customHeight="false" outlineLevel="0" collapsed="false">
      <c r="A440" s="4" t="s">
        <v>357</v>
      </c>
      <c r="B440" s="0" t="s">
        <v>209</v>
      </c>
      <c r="C440" s="19" t="n">
        <f aca="false">a25_gp</f>
        <v>498.161</v>
      </c>
      <c r="D440" s="19" t="n">
        <f aca="false">a26_gp</f>
        <v>675.8340708</v>
      </c>
      <c r="E440" s="19" t="n">
        <f aca="false">$D$438*E428+E439</f>
        <v>776.252893659395</v>
      </c>
      <c r="F440" s="19" t="n">
        <f aca="false">$D$438*F428+F439</f>
        <v>866.861316182841</v>
      </c>
      <c r="G440" s="19" t="n">
        <f aca="false">$D$438*G428+G439</f>
        <v>910.661657972443</v>
      </c>
    </row>
    <row r="441" customFormat="false" ht="15" hidden="false" customHeight="false" outlineLevel="0" collapsed="false">
      <c r="A441" s="4" t="s">
        <v>360</v>
      </c>
      <c r="B441" s="0" t="s">
        <v>52</v>
      </c>
      <c r="C441" s="14" t="n">
        <f aca="false">C440/C429</f>
        <v>0.0614777915379352</v>
      </c>
      <c r="D441" s="14" t="n">
        <f aca="false">D440/D429</f>
        <v>0.0606089258510762</v>
      </c>
      <c r="E441" s="14" t="n">
        <f aca="false">E440/E429</f>
        <v>0.0616601590044905</v>
      </c>
      <c r="F441" s="14" t="n">
        <f aca="false">F440/F429</f>
        <v>0.064273870028487</v>
      </c>
      <c r="G441" s="14" t="n">
        <f aca="false">G440/G429</f>
        <v>0.0658184758096247</v>
      </c>
    </row>
    <row r="442" customFormat="false" ht="17.15" hidden="false" customHeight="false" outlineLevel="0" collapsed="false">
      <c r="A442" s="0" t="s">
        <v>480</v>
      </c>
      <c r="B442" s="0" t="s">
        <v>52</v>
      </c>
      <c r="D442" s="14" t="n">
        <f aca="false">D439/D422</f>
        <v>0.0571989258510762</v>
      </c>
      <c r="E442" s="14" t="n">
        <f aca="false">E439/E422</f>
        <v>0.0607188184361838</v>
      </c>
      <c r="F442" s="14" t="n">
        <f aca="false">F439/F422</f>
        <v>0.0676186841675683</v>
      </c>
      <c r="G442" s="14" t="n">
        <f aca="false">G439/G422</f>
        <v>0.0717586036063991</v>
      </c>
      <c r="H442" s="4" t="s">
        <v>481</v>
      </c>
    </row>
    <row r="443" customFormat="false" ht="15" hidden="false" customHeight="false" outlineLevel="0" collapsed="false">
      <c r="A443" s="4" t="s">
        <v>482</v>
      </c>
      <c r="B443" s="0" t="s">
        <v>209</v>
      </c>
      <c r="C443" s="19" t="n">
        <f aca="false">a25_opx</f>
        <v>238.938</v>
      </c>
      <c r="D443" s="19" t="n">
        <f aca="false">a26_opx</f>
        <v>254.8304233</v>
      </c>
      <c r="E443" s="19" t="n">
        <f aca="false">D443*(1+MAX(0,phi*E432))</f>
        <v>267.979979214849</v>
      </c>
      <c r="F443" s="19" t="n">
        <f aca="false">E443*(1+MAX(0,phi*F432))</f>
        <v>275.624216171735</v>
      </c>
      <c r="G443" s="19" t="n">
        <f aca="false">F443*(1+MAX(0,phi*G432))</f>
        <v>278.476825664484</v>
      </c>
    </row>
    <row r="444" customFormat="false" ht="15" hidden="false" customHeight="false" outlineLevel="0" collapsed="false">
      <c r="A444" s="4" t="s">
        <v>361</v>
      </c>
      <c r="B444" s="0" t="s">
        <v>209</v>
      </c>
      <c r="C444" s="19" t="n">
        <f aca="false">C443</f>
        <v>238.938</v>
      </c>
      <c r="D444" s="19" t="n">
        <f aca="false">D443</f>
        <v>254.8304233</v>
      </c>
      <c r="E444" s="19" t="n">
        <f aca="false">E443+0*E429</f>
        <v>267.979979214849</v>
      </c>
      <c r="F444" s="19" t="n">
        <f aca="false">F443+0*F429</f>
        <v>275.624216171735</v>
      </c>
      <c r="G444" s="19" t="n">
        <f aca="false">G443+0*G429</f>
        <v>278.476825664484</v>
      </c>
    </row>
    <row r="445" customFormat="false" ht="15" hidden="false" customHeight="false" outlineLevel="0" collapsed="false">
      <c r="A445" s="4" t="s">
        <v>364</v>
      </c>
      <c r="B445" s="0" t="s">
        <v>209</v>
      </c>
      <c r="C445" s="19" t="n">
        <f aca="false">C440-C444</f>
        <v>259.223</v>
      </c>
      <c r="D445" s="19" t="n">
        <f aca="false">D440-D444</f>
        <v>421.0036475</v>
      </c>
      <c r="E445" s="19" t="n">
        <f aca="false">E440-E444</f>
        <v>508.272914444546</v>
      </c>
      <c r="F445" s="19" t="n">
        <f aca="false">F440-F444</f>
        <v>591.237100011105</v>
      </c>
      <c r="G445" s="19" t="n">
        <f aca="false">G440-G444</f>
        <v>632.184832307959</v>
      </c>
    </row>
    <row r="446" customFormat="false" ht="15" hidden="false" customHeight="false" outlineLevel="0" collapsed="false">
      <c r="A446" s="4" t="s">
        <v>367</v>
      </c>
      <c r="B446" s="0" t="s">
        <v>52</v>
      </c>
      <c r="C446" s="14" t="n">
        <f aca="false">C445/C429</f>
        <v>0.0319905764518663</v>
      </c>
      <c r="D446" s="14" t="n">
        <f aca="false">D445/D429</f>
        <v>0.0377556858359561</v>
      </c>
      <c r="E446" s="14" t="n">
        <f aca="false">E445/E429</f>
        <v>0.0403736836001773</v>
      </c>
      <c r="F446" s="14" t="n">
        <f aca="false">F445/F429</f>
        <v>0.0438375733381071</v>
      </c>
      <c r="G446" s="14" t="n">
        <f aca="false">G445/G429</f>
        <v>0.0456914395464008</v>
      </c>
    </row>
    <row r="447" customFormat="false" ht="17.15" hidden="false" customHeight="false" outlineLevel="0" collapsed="false">
      <c r="A447" s="4" t="s">
        <v>243</v>
      </c>
      <c r="B447" s="0" t="s">
        <v>52</v>
      </c>
      <c r="C447" s="15" t="n">
        <f aca="false">a25_ni/a25_oi</f>
        <v>0.730467589681471</v>
      </c>
      <c r="D447" s="15" t="n">
        <f aca="false">a26_ni/a26_oi</f>
        <v>0.653811645064191</v>
      </c>
      <c r="E447" s="15" t="n">
        <f aca="false">nio_f</f>
        <v>0.66</v>
      </c>
      <c r="F447" s="15" t="n">
        <f aca="false">nio_f</f>
        <v>0.66</v>
      </c>
      <c r="G447" s="15" t="n">
        <f aca="false">nio_f</f>
        <v>0.66</v>
      </c>
    </row>
    <row r="448" customFormat="false" ht="15" hidden="false" customHeight="false" outlineLevel="0" collapsed="false">
      <c r="A448" s="4" t="s">
        <v>368</v>
      </c>
      <c r="B448" s="0" t="s">
        <v>209</v>
      </c>
      <c r="C448" s="19" t="n">
        <f aca="false">a25_ni</f>
        <v>189.354</v>
      </c>
      <c r="D448" s="19" t="n">
        <f aca="false">a26_ni</f>
        <v>275.25708735</v>
      </c>
      <c r="E448" s="19" t="n">
        <f aca="false">E445*E447</f>
        <v>335.460123533401</v>
      </c>
      <c r="F448" s="19" t="n">
        <f aca="false">F445*F447</f>
        <v>390.21648600733</v>
      </c>
      <c r="G448" s="19" t="n">
        <f aca="false">G445*G447</f>
        <v>417.241989323253</v>
      </c>
    </row>
    <row r="449" customFormat="false" ht="15" hidden="false" customHeight="false" outlineLevel="0" collapsed="false">
      <c r="A449" s="4" t="s">
        <v>483</v>
      </c>
      <c r="B449" s="4" t="s">
        <v>230</v>
      </c>
      <c r="C449" s="23" t="n">
        <f aca="false">a25_sh</f>
        <v>13.9128581925055</v>
      </c>
      <c r="D449" s="23" t="n">
        <f aca="false">a26_sh</f>
        <v>14.0169642857143</v>
      </c>
      <c r="E449" s="23" t="n">
        <f aca="false">D449*(1+sh_g)</f>
        <v>14.0169642857143</v>
      </c>
      <c r="F449" s="23" t="n">
        <f aca="false">E449*(1+sh_g)</f>
        <v>14.0169642857143</v>
      </c>
      <c r="G449" s="23" t="n">
        <f aca="false">F449*(1+sh_g)</f>
        <v>14.0169642857143</v>
      </c>
    </row>
    <row r="450" customFormat="false" ht="15" hidden="false" customHeight="false" outlineLevel="0" collapsed="false">
      <c r="A450" s="0" t="s">
        <v>374</v>
      </c>
      <c r="B450" s="0" t="s">
        <v>260</v>
      </c>
      <c r="C450" s="22" t="n">
        <f aca="false">C448/C449</f>
        <v>13.61</v>
      </c>
      <c r="D450" s="22" t="n">
        <f aca="false">D448/D449</f>
        <v>19.6374251756163</v>
      </c>
      <c r="E450" s="22" t="n">
        <f aca="false">E448/E449</f>
        <v>23.9324376302573</v>
      </c>
      <c r="F450" s="22" t="n">
        <f aca="false">F448/F449</f>
        <v>27.8388728153519</v>
      </c>
      <c r="G450" s="22" t="n">
        <f aca="false">G448/G449</f>
        <v>29.7669296160293</v>
      </c>
    </row>
    <row r="451" customFormat="false" ht="17.15" hidden="false" customHeight="false" outlineLevel="0" collapsed="false">
      <c r="A451" s="0" t="s">
        <v>484</v>
      </c>
      <c r="B451" s="0" t="s">
        <v>52</v>
      </c>
      <c r="D451" s="15" t="n">
        <f aca="false">D450/C450-1</f>
        <v>0.442867389832203</v>
      </c>
      <c r="E451" s="15" t="n">
        <f aca="false">E450/D450-1</f>
        <v>0.218715662375843</v>
      </c>
      <c r="F451" s="15" t="n">
        <f aca="false">F450/E450-1</f>
        <v>0.163227634620713</v>
      </c>
      <c r="G451" s="15" t="n">
        <f aca="false">G450/F450-1</f>
        <v>0.0692577179207543</v>
      </c>
    </row>
    <row r="454" customFormat="false" ht="17.15" hidden="false" customHeight="false" outlineLevel="0" collapsed="false">
      <c r="A454" s="1" t="s">
        <v>841</v>
      </c>
    </row>
    <row r="455" customFormat="false" ht="17.15" hidden="false" customHeight="false" outlineLevel="0" collapsed="false">
      <c r="A455" s="5" t="s">
        <v>21</v>
      </c>
      <c r="B455" s="5" t="s">
        <v>22</v>
      </c>
      <c r="C455" s="11" t="s">
        <v>347</v>
      </c>
      <c r="D455" s="11" t="s">
        <v>429</v>
      </c>
      <c r="E455" s="11" t="s">
        <v>430</v>
      </c>
      <c r="F455" s="11" t="s">
        <v>431</v>
      </c>
      <c r="G455" s="11" t="s">
        <v>432</v>
      </c>
      <c r="H455" s="5" t="s">
        <v>400</v>
      </c>
    </row>
    <row r="456" customFormat="false" ht="17.15" hidden="false" customHeight="false" outlineLevel="0" collapsed="false">
      <c r="A456" s="6" t="s">
        <v>450</v>
      </c>
    </row>
    <row r="457" customFormat="false" ht="17.15" hidden="false" customHeight="false" outlineLevel="0" collapsed="false">
      <c r="A457" s="0" t="s">
        <v>451</v>
      </c>
      <c r="B457" s="0" t="s">
        <v>32</v>
      </c>
      <c r="D457" s="22" t="n">
        <f aca="false">itc_26*1</f>
        <v>781.872916666666</v>
      </c>
      <c r="E457" s="22" t="n">
        <f aca="false">itc_27*1*mf_hi</f>
        <v>1878.42</v>
      </c>
      <c r="F457" s="22" t="n">
        <f aca="false">itc_28*um28_A*mf_hi</f>
        <v>2381.11666666667</v>
      </c>
      <c r="G457" s="22" t="n">
        <f aca="false">itc_29*um29_A*mf_hi</f>
        <v>2712.46833333334</v>
      </c>
    </row>
    <row r="458" customFormat="false" ht="17.15" hidden="false" customHeight="false" outlineLevel="0" collapsed="false">
      <c r="A458" s="4" t="s">
        <v>452</v>
      </c>
      <c r="B458" s="0" t="s">
        <v>32</v>
      </c>
      <c r="D458" s="22" t="n">
        <f aca="false">itpg_gb*(1-vr26)+itpg_vr*vr26</f>
        <v>33.41403216</v>
      </c>
      <c r="E458" s="22" t="n">
        <f aca="false">itpg_vr</f>
        <v>37.586352</v>
      </c>
      <c r="F458" s="22" t="n">
        <f aca="false">itpg_vr</f>
        <v>37.586352</v>
      </c>
      <c r="G458" s="22" t="n">
        <f aca="false">itpg_vr</f>
        <v>37.586352</v>
      </c>
    </row>
    <row r="459" customFormat="false" ht="17.15" hidden="false" customHeight="false" outlineLevel="0" collapsed="false">
      <c r="A459" s="4" t="s">
        <v>453</v>
      </c>
      <c r="B459" s="0" t="s">
        <v>402</v>
      </c>
      <c r="D459" s="18" t="n">
        <f aca="false">D457/D458</f>
        <v>23.3995380420639</v>
      </c>
      <c r="E459" s="18" t="n">
        <f aca="false">E457/E458</f>
        <v>49.9761189912764</v>
      </c>
      <c r="F459" s="18" t="n">
        <f aca="false">F457/F458</f>
        <v>63.3505658294976</v>
      </c>
      <c r="G459" s="18" t="n">
        <f aca="false">G457/G458</f>
        <v>72.1663100833339</v>
      </c>
    </row>
    <row r="460" customFormat="false" ht="17.15" hidden="false" customHeight="false" outlineLevel="0" collapsed="false">
      <c r="A460" s="4" t="s">
        <v>404</v>
      </c>
      <c r="B460" s="0" t="s">
        <v>405</v>
      </c>
      <c r="D460" s="16" t="n">
        <f aca="false">(racks_gb*odm_gb*(1-vr26)+racks_vr*odm_vr*vr26)/1000</f>
        <v>27.1209</v>
      </c>
      <c r="E460" s="16" t="n">
        <f aca="false">racks_vr*odm_vr/1000</f>
        <v>27.351</v>
      </c>
      <c r="F460" s="16" t="n">
        <f aca="false">$E460*vpg_28</f>
        <v>27.351</v>
      </c>
      <c r="G460" s="16" t="n">
        <f aca="false">$E460*vpg_29</f>
        <v>27.351</v>
      </c>
      <c r="H460" s="4" t="s">
        <v>454</v>
      </c>
    </row>
    <row r="461" customFormat="false" ht="17.15" hidden="false" customHeight="false" outlineLevel="0" collapsed="false">
      <c r="A461" s="0" t="s">
        <v>455</v>
      </c>
      <c r="B461" s="0" t="s">
        <v>32</v>
      </c>
      <c r="D461" s="19" t="n">
        <f aca="false">D459*D460</f>
        <v>634.61653128501</v>
      </c>
      <c r="E461" s="19" t="n">
        <f aca="false">E459*E460</f>
        <v>1366.8968305304</v>
      </c>
      <c r="F461" s="19" t="n">
        <f aca="false">F459*F460</f>
        <v>1732.70132600259</v>
      </c>
      <c r="G461" s="19" t="n">
        <f aca="false">G459*G460</f>
        <v>1973.82074708926</v>
      </c>
    </row>
    <row r="462" customFormat="false" ht="17.15" hidden="false" customHeight="false" outlineLevel="0" collapsed="false">
      <c r="A462" s="0" t="s">
        <v>456</v>
      </c>
      <c r="B462" s="0" t="s">
        <v>209</v>
      </c>
      <c r="D462" s="19" t="n">
        <f aca="false">D461*fx</f>
        <v>20307.7290011203</v>
      </c>
      <c r="E462" s="19" t="n">
        <f aca="false">E461*fx</f>
        <v>43740.6985769728</v>
      </c>
      <c r="F462" s="19" t="n">
        <f aca="false">F461*fx</f>
        <v>55446.4424320828</v>
      </c>
      <c r="G462" s="19" t="n">
        <f aca="false">G461*fx</f>
        <v>63162.2639068565</v>
      </c>
    </row>
    <row r="463" customFormat="false" ht="17.15" hidden="false" customHeight="false" outlineLevel="0" collapsed="false">
      <c r="A463" s="4" t="s">
        <v>457</v>
      </c>
      <c r="B463" s="0" t="s">
        <v>52</v>
      </c>
      <c r="D463" s="15" t="n">
        <f aca="false">a26_ai/D462</f>
        <v>0.174610057569922</v>
      </c>
      <c r="H463" s="8" t="s">
        <v>458</v>
      </c>
    </row>
    <row r="464" customFormat="false" ht="17.15" hidden="false" customHeight="false" outlineLevel="0" collapsed="false">
      <c r="A464" s="4" t="s">
        <v>459</v>
      </c>
      <c r="B464" s="0" t="s">
        <v>71</v>
      </c>
      <c r="D464" s="16" t="n">
        <f aca="false">1</f>
        <v>1</v>
      </c>
      <c r="E464" s="16" t="n">
        <f aca="false">rel_27</f>
        <v>1</v>
      </c>
      <c r="F464" s="16" t="n">
        <f aca="false">rel_28</f>
        <v>1</v>
      </c>
      <c r="G464" s="16" t="n">
        <f aca="false">rel_29</f>
        <v>0.95</v>
      </c>
    </row>
    <row r="465" customFormat="false" ht="15" hidden="false" customHeight="false" outlineLevel="0" collapsed="false">
      <c r="A465" s="4" t="s">
        <v>460</v>
      </c>
      <c r="B465" s="0" t="s">
        <v>52</v>
      </c>
      <c r="D465" s="15" t="n">
        <f aca="false">$D$463*D464</f>
        <v>0.174610057569922</v>
      </c>
      <c r="E465" s="15" t="n">
        <f aca="false">$D$463*E464</f>
        <v>0.174610057569922</v>
      </c>
      <c r="F465" s="15" t="n">
        <f aca="false">$D$463*F464</f>
        <v>0.174610057569922</v>
      </c>
      <c r="G465" s="15" t="n">
        <f aca="false">$D$463*G464</f>
        <v>0.165879554691426</v>
      </c>
    </row>
    <row r="466" customFormat="false" ht="17.15" hidden="false" customHeight="false" outlineLevel="0" collapsed="false">
      <c r="A466" s="0" t="s">
        <v>461</v>
      </c>
      <c r="B466" s="0" t="s">
        <v>209</v>
      </c>
      <c r="D466" s="19" t="n">
        <f aca="false">D462*D465</f>
        <v>3545.93373</v>
      </c>
      <c r="E466" s="19" t="n">
        <f aca="false">E462*E465</f>
        <v>7637.56589667384</v>
      </c>
      <c r="F466" s="19" t="n">
        <f aca="false">F462*F465</f>
        <v>9681.50650511336</v>
      </c>
      <c r="G466" s="19" t="n">
        <f aca="false">G462*G465</f>
        <v>10477.3282101717</v>
      </c>
    </row>
    <row r="467" customFormat="false" ht="17.15" hidden="false" customHeight="false" outlineLevel="0" collapsed="false">
      <c r="A467" s="4" t="s">
        <v>462</v>
      </c>
      <c r="B467" s="0" t="s">
        <v>52</v>
      </c>
      <c r="D467" s="15" t="n">
        <f aca="false">0</f>
        <v>0</v>
      </c>
      <c r="E467" s="15" t="n">
        <f aca="false">cs_27</f>
        <v>0.1</v>
      </c>
      <c r="F467" s="15" t="n">
        <f aca="false">cs_28</f>
        <v>0.2</v>
      </c>
      <c r="G467" s="15" t="n">
        <f aca="false">cs_29</f>
        <v>0.25</v>
      </c>
      <c r="H467" s="8" t="s">
        <v>463</v>
      </c>
    </row>
    <row r="468" customFormat="false" ht="17.15" hidden="false" customHeight="false" outlineLevel="0" collapsed="false">
      <c r="A468" s="0" t="s">
        <v>464</v>
      </c>
      <c r="B468" s="0" t="s">
        <v>209</v>
      </c>
      <c r="C468" s="19" t="n">
        <f aca="false">a25_ai</f>
        <v>1620.621</v>
      </c>
      <c r="D468" s="19" t="n">
        <f aca="false">D466*(1-D467)</f>
        <v>3545.93373</v>
      </c>
      <c r="E468" s="19" t="n">
        <f aca="false">E466*(1-E467)</f>
        <v>6873.80930700646</v>
      </c>
      <c r="F468" s="19" t="n">
        <f aca="false">F466*(1-F467)</f>
        <v>7745.20520409069</v>
      </c>
      <c r="G468" s="19" t="n">
        <f aca="false">G466*(1-G467)</f>
        <v>7857.99615762876</v>
      </c>
    </row>
    <row r="469" customFormat="false" ht="17.15" hidden="false" customHeight="false" outlineLevel="0" collapsed="false">
      <c r="A469" s="6" t="s">
        <v>465</v>
      </c>
    </row>
    <row r="470" customFormat="false" ht="17.15" hidden="false" customHeight="false" outlineLevel="0" collapsed="false">
      <c r="A470" s="4" t="s">
        <v>382</v>
      </c>
      <c r="B470" s="0" t="s">
        <v>209</v>
      </c>
      <c r="C470" s="19" t="n">
        <f aca="false">a25_cn</f>
        <v>1620.621</v>
      </c>
      <c r="D470" s="19" t="n">
        <f aca="false">a26_cn</f>
        <v>2363.95582</v>
      </c>
      <c r="E470" s="19" t="n">
        <f aca="false">D470*(1+g_cn27)</f>
        <v>2647.6305184</v>
      </c>
      <c r="F470" s="19" t="n">
        <f aca="false">E470*(1+g_cn28)</f>
        <v>2859.440959872</v>
      </c>
      <c r="G470" s="19" t="n">
        <f aca="false">F470*(1+g_cn29)</f>
        <v>3031.00741746432</v>
      </c>
    </row>
    <row r="471" customFormat="false" ht="17.15" hidden="false" customHeight="false" outlineLevel="0" collapsed="false">
      <c r="A471" s="4" t="s">
        <v>383</v>
      </c>
      <c r="B471" s="0" t="s">
        <v>209</v>
      </c>
      <c r="C471" s="19" t="n">
        <f aca="false">a25_ce</f>
        <v>3079.1799</v>
      </c>
      <c r="D471" s="19" t="n">
        <f aca="false">a26_ce</f>
        <v>3345.2205</v>
      </c>
      <c r="E471" s="19" t="n">
        <f aca="false">D471*(1+g_ce27)</f>
        <v>3445.577115</v>
      </c>
      <c r="F471" s="19" t="n">
        <f aca="false">E471*(1+g_ce28)</f>
        <v>3514.4886573</v>
      </c>
      <c r="G471" s="19" t="n">
        <f aca="false">F471*(1+g_ce29)</f>
        <v>3584.778430446</v>
      </c>
    </row>
    <row r="472" customFormat="false" ht="15" hidden="false" customHeight="false" outlineLevel="0" collapsed="false">
      <c r="A472" s="4" t="s">
        <v>384</v>
      </c>
      <c r="B472" s="0" t="s">
        <v>209</v>
      </c>
      <c r="C472" s="19" t="n">
        <f aca="false">a25_pc</f>
        <v>1215.46575</v>
      </c>
      <c r="D472" s="19" t="n">
        <f aca="false">a26_pc</f>
        <v>1338.0882</v>
      </c>
      <c r="E472" s="19" t="n">
        <f aca="false">D472*(1+g_pc27)</f>
        <v>1311.326436</v>
      </c>
      <c r="F472" s="19" t="n">
        <f aca="false">E472*(1+g_pc28)</f>
        <v>1311.326436</v>
      </c>
      <c r="G472" s="19" t="n">
        <f aca="false">F472*(1+g_pc29)</f>
        <v>1311.326436</v>
      </c>
    </row>
    <row r="473" customFormat="false" ht="15" hidden="false" customHeight="false" outlineLevel="0" collapsed="false">
      <c r="A473" s="4" t="s">
        <v>466</v>
      </c>
      <c r="B473" s="0" t="s">
        <v>209</v>
      </c>
      <c r="C473" s="19" t="n">
        <f aca="false">a25_co</f>
        <v>567.217349999999</v>
      </c>
      <c r="D473" s="19" t="n">
        <f aca="false">a26_co</f>
        <v>557.53675</v>
      </c>
      <c r="E473" s="19" t="n">
        <f aca="false">D473*(1+g_co27)</f>
        <v>602.13969</v>
      </c>
      <c r="F473" s="19" t="n">
        <f aca="false">E473*(1+g_co28)</f>
        <v>638.2680714</v>
      </c>
      <c r="G473" s="19" t="n">
        <f aca="false">F473*(1+g_co29)</f>
        <v>670.18147497</v>
      </c>
    </row>
    <row r="474" customFormat="false" ht="17.15" hidden="false" customHeight="false" outlineLevel="0" collapsed="false">
      <c r="A474" s="4" t="s">
        <v>387</v>
      </c>
      <c r="B474" s="0" t="s">
        <v>209</v>
      </c>
      <c r="C474" s="19" t="n">
        <f aca="false">SUM(C470:C473)</f>
        <v>6482.484</v>
      </c>
      <c r="D474" s="19" t="n">
        <f aca="false">SUM(D470:D473)</f>
        <v>7604.80127</v>
      </c>
      <c r="E474" s="19" t="n">
        <f aca="false">SUM(E470:E473)</f>
        <v>8006.6737594</v>
      </c>
      <c r="F474" s="19" t="n">
        <f aca="false">SUM(F470:F473)</f>
        <v>8323.524124572</v>
      </c>
      <c r="G474" s="19" t="n">
        <f aca="false">SUM(G470:G473)</f>
        <v>8597.29375888032</v>
      </c>
    </row>
    <row r="475" customFormat="false" ht="15" hidden="false" customHeight="false" outlineLevel="0" collapsed="false">
      <c r="A475" s="4" t="s">
        <v>353</v>
      </c>
      <c r="B475" s="0" t="s">
        <v>209</v>
      </c>
      <c r="C475" s="19" t="n">
        <f aca="false">C468+C474</f>
        <v>8103.105</v>
      </c>
      <c r="D475" s="19" t="n">
        <f aca="false">D468+D474</f>
        <v>11150.735</v>
      </c>
      <c r="E475" s="19" t="n">
        <f aca="false">E468+E474</f>
        <v>14880.4830664065</v>
      </c>
      <c r="F475" s="19" t="n">
        <f aca="false">F468+F474</f>
        <v>16068.7293286627</v>
      </c>
      <c r="G475" s="19" t="n">
        <f aca="false">G468+G474</f>
        <v>16455.2899165091</v>
      </c>
    </row>
    <row r="476" customFormat="false" ht="17.15" hidden="false" customHeight="false" outlineLevel="0" collapsed="false">
      <c r="A476" s="4" t="s">
        <v>467</v>
      </c>
      <c r="B476" s="0" t="s">
        <v>209</v>
      </c>
      <c r="C476" s="19" t="n">
        <f aca="false">C468+C470</f>
        <v>3241.242</v>
      </c>
      <c r="D476" s="19" t="n">
        <f aca="false">D468+D470</f>
        <v>5909.88955</v>
      </c>
      <c r="E476" s="19" t="n">
        <f aca="false">E468+E470</f>
        <v>9521.43982540646</v>
      </c>
      <c r="F476" s="19" t="n">
        <f aca="false">F468+F470</f>
        <v>10604.6461639627</v>
      </c>
      <c r="G476" s="19" t="n">
        <f aca="false">G468+G470</f>
        <v>10889.0035750931</v>
      </c>
      <c r="H476" s="4" t="s">
        <v>468</v>
      </c>
    </row>
    <row r="477" customFormat="false" ht="17.15" hidden="false" customHeight="false" outlineLevel="0" collapsed="false">
      <c r="A477" s="4" t="s">
        <v>469</v>
      </c>
      <c r="B477" s="0" t="s">
        <v>209</v>
      </c>
      <c r="C477" s="23" t="n">
        <f aca="false">C476+C471+C472+C473-a25_rev</f>
        <v>0</v>
      </c>
      <c r="D477" s="23" t="n">
        <f aca="false">D476+D471+D472+D473-a26_rev</f>
        <v>0</v>
      </c>
      <c r="E477" s="23" t="n">
        <f aca="false">E476+E471+E472+E473-E475</f>
        <v>0</v>
      </c>
      <c r="F477" s="23" t="n">
        <f aca="false">F476+F471+F472+F473-F475</f>
        <v>0</v>
      </c>
      <c r="G477" s="23" t="n">
        <f aca="false">G476+G471+G472+G473-G475</f>
        <v>0</v>
      </c>
    </row>
    <row r="478" customFormat="false" ht="15" hidden="false" customHeight="false" outlineLevel="0" collapsed="false">
      <c r="A478" s="4" t="s">
        <v>470</v>
      </c>
      <c r="B478" s="0" t="s">
        <v>52</v>
      </c>
      <c r="D478" s="15" t="n">
        <f aca="false">D475/C475-1</f>
        <v>0.376106443147411</v>
      </c>
      <c r="E478" s="15" t="n">
        <f aca="false">E475/D475-1</f>
        <v>0.334484504062419</v>
      </c>
      <c r="F478" s="15" t="n">
        <f aca="false">F475/E475-1</f>
        <v>0.0798526672120454</v>
      </c>
      <c r="G478" s="15" t="n">
        <f aca="false">G475/F475-1</f>
        <v>0.0240566991913207</v>
      </c>
    </row>
    <row r="479" customFormat="false" ht="17.15" hidden="false" customHeight="false" outlineLevel="0" collapsed="false">
      <c r="A479" s="0" t="s">
        <v>471</v>
      </c>
      <c r="B479" s="0" t="s">
        <v>52</v>
      </c>
      <c r="C479" s="15" t="n">
        <f aca="false">C468/C475</f>
        <v>0.2</v>
      </c>
      <c r="D479" s="15" t="n">
        <f aca="false">D468/D475</f>
        <v>0.318</v>
      </c>
      <c r="E479" s="15" t="n">
        <f aca="false">E468/E475</f>
        <v>0.461934553893917</v>
      </c>
      <c r="F479" s="15" t="n">
        <f aca="false">F468/F475</f>
        <v>0.482004833467145</v>
      </c>
      <c r="G479" s="15" t="n">
        <f aca="false">G468/G475</f>
        <v>0.477536172106277</v>
      </c>
    </row>
    <row r="480" customFormat="false" ht="17.15" hidden="false" customHeight="false" outlineLevel="0" collapsed="false">
      <c r="A480" s="4" t="s">
        <v>472</v>
      </c>
      <c r="B480" s="0" t="s">
        <v>52</v>
      </c>
      <c r="C480" s="15" t="n">
        <f aca="false">(C468+C470)/C475</f>
        <v>0.4</v>
      </c>
      <c r="D480" s="15" t="n">
        <f aca="false">(D468+D470)/D475</f>
        <v>0.53</v>
      </c>
      <c r="E480" s="15" t="n">
        <f aca="false">(E468+E470)/E475</f>
        <v>0.639860936161518</v>
      </c>
      <c r="F480" s="15" t="n">
        <f aca="false">(F468+F470)/F475</f>
        <v>0.659955491629733</v>
      </c>
      <c r="G480" s="15" t="n">
        <f aca="false">(G468+G470)/G475</f>
        <v>0.661732709076641</v>
      </c>
    </row>
    <row r="481" customFormat="false" ht="17.15" hidden="false" customHeight="false" outlineLevel="0" collapsed="false">
      <c r="A481" s="4" t="s">
        <v>418</v>
      </c>
      <c r="B481" s="0" t="s">
        <v>405</v>
      </c>
      <c r="D481" s="16" t="n">
        <f aca="false">D468/fx/D459</f>
        <v>4.7355819103481</v>
      </c>
      <c r="E481" s="16" t="n">
        <f aca="false">E468/fx/E459</f>
        <v>4.29818371613545</v>
      </c>
      <c r="F481" s="16" t="n">
        <f aca="false">F468/fx/F459</f>
        <v>3.82060774767595</v>
      </c>
      <c r="G481" s="16" t="n">
        <f aca="false">G468/fx/G459</f>
        <v>3.4027287752739</v>
      </c>
    </row>
    <row r="482" customFormat="false" ht="17.15" hidden="false" customHeight="false" outlineLevel="0" collapsed="false">
      <c r="A482" s="4" t="s">
        <v>473</v>
      </c>
      <c r="B482" s="4" t="s">
        <v>416</v>
      </c>
      <c r="D482" s="19" t="n">
        <f aca="false">D466/fx/(odm_gb*(1-vr26)+odm_vr*vr26)</f>
        <v>24.0630682003257</v>
      </c>
      <c r="E482" s="19" t="n">
        <f aca="false">E466/fx/odm_vr</f>
        <v>35.35910137349</v>
      </c>
      <c r="F482" s="19" t="n">
        <f aca="false">F466/fx/odm_vr</f>
        <v>44.8217893755248</v>
      </c>
      <c r="G482" s="19" t="n">
        <f aca="false">G466/fx/odm_vr</f>
        <v>48.5061491211652</v>
      </c>
      <c r="H482" s="4" t="s">
        <v>474</v>
      </c>
    </row>
    <row r="483" customFormat="false" ht="17.15" hidden="false" customHeight="false" outlineLevel="0" collapsed="false">
      <c r="A483" s="6" t="s">
        <v>475</v>
      </c>
    </row>
    <row r="484" customFormat="false" ht="17.15" hidden="false" customHeight="false" outlineLevel="0" collapsed="false">
      <c r="A484" s="4" t="s">
        <v>476</v>
      </c>
      <c r="B484" s="0" t="s">
        <v>52</v>
      </c>
      <c r="D484" s="14" t="n">
        <f aca="false">a26_gp/D475-d_ai*D479</f>
        <v>0.0621989258510762</v>
      </c>
      <c r="H484" s="8" t="s">
        <v>477</v>
      </c>
    </row>
    <row r="485" customFormat="false" ht="17.15" hidden="false" customHeight="false" outlineLevel="0" collapsed="false">
      <c r="A485" s="0" t="s">
        <v>478</v>
      </c>
      <c r="B485" s="0" t="s">
        <v>209</v>
      </c>
      <c r="D485" s="22" t="n">
        <f aca="false">($D$484+d_ai)*D466*(1-D467*(1-keep))</f>
        <v>202.8236004951</v>
      </c>
      <c r="E485" s="22" t="n">
        <f aca="false">($D$484+d_ai+vrd)*E466*(1-E467*(1-keep))</f>
        <v>417.369579277076</v>
      </c>
      <c r="F485" s="22" t="n">
        <f aca="false">($D$484+d_ai+vrd)*F466*(1-F467*(1-keep))</f>
        <v>523.720584508415</v>
      </c>
      <c r="G485" s="22" t="n">
        <f aca="false">($D$484+d_ai+vrd)*G466*(1-G467*(1-keep))</f>
        <v>563.878831415889</v>
      </c>
      <c r="H485" s="4" t="s">
        <v>479</v>
      </c>
    </row>
    <row r="486" customFormat="false" ht="15" hidden="false" customHeight="false" outlineLevel="0" collapsed="false">
      <c r="A486" s="4" t="s">
        <v>357</v>
      </c>
      <c r="B486" s="0" t="s">
        <v>209</v>
      </c>
      <c r="C486" s="19" t="n">
        <f aca="false">a25_gp</f>
        <v>498.161</v>
      </c>
      <c r="D486" s="19" t="n">
        <f aca="false">a26_gp</f>
        <v>675.8340708</v>
      </c>
      <c r="E486" s="19" t="n">
        <f aca="false">$D$484*E474+E485</f>
        <v>915.376086751754</v>
      </c>
      <c r="F486" s="19" t="n">
        <f aca="false">$D$484*F474+F485</f>
        <v>1041.43484435231</v>
      </c>
      <c r="G486" s="19" t="n">
        <f aca="false">$D$484*G474+G485</f>
        <v>1098.62126844441</v>
      </c>
    </row>
    <row r="487" customFormat="false" ht="15" hidden="false" customHeight="false" outlineLevel="0" collapsed="false">
      <c r="A487" s="4" t="s">
        <v>360</v>
      </c>
      <c r="B487" s="0" t="s">
        <v>52</v>
      </c>
      <c r="C487" s="14" t="n">
        <f aca="false">C486/C475</f>
        <v>0.0614777915379352</v>
      </c>
      <c r="D487" s="14" t="n">
        <f aca="false">D486/D475</f>
        <v>0.0606089258510762</v>
      </c>
      <c r="E487" s="14" t="n">
        <f aca="false">E486/E475</f>
        <v>0.0615152130926628</v>
      </c>
      <c r="F487" s="14" t="n">
        <f aca="false">F486/F475</f>
        <v>0.0648112755558492</v>
      </c>
      <c r="G487" s="14" t="n">
        <f aca="false">G486/G475</f>
        <v>0.0667640177729226</v>
      </c>
    </row>
    <row r="488" customFormat="false" ht="17.15" hidden="false" customHeight="false" outlineLevel="0" collapsed="false">
      <c r="A488" s="0" t="s">
        <v>480</v>
      </c>
      <c r="B488" s="0" t="s">
        <v>52</v>
      </c>
      <c r="D488" s="14" t="n">
        <f aca="false">D485/D468</f>
        <v>0.0571989258510762</v>
      </c>
      <c r="E488" s="14" t="n">
        <f aca="false">E485/E468</f>
        <v>0.0607188184361838</v>
      </c>
      <c r="F488" s="14" t="n">
        <f aca="false">F485/F468</f>
        <v>0.0676186841675683</v>
      </c>
      <c r="G488" s="14" t="n">
        <f aca="false">G485/G468</f>
        <v>0.0717586036063991</v>
      </c>
      <c r="H488" s="4" t="s">
        <v>481</v>
      </c>
    </row>
    <row r="489" customFormat="false" ht="15" hidden="false" customHeight="false" outlineLevel="0" collapsed="false">
      <c r="A489" s="4" t="s">
        <v>482</v>
      </c>
      <c r="B489" s="0" t="s">
        <v>209</v>
      </c>
      <c r="C489" s="19" t="n">
        <f aca="false">a25_opx</f>
        <v>238.938</v>
      </c>
      <c r="D489" s="19" t="n">
        <f aca="false">a26_opx</f>
        <v>254.8304233</v>
      </c>
      <c r="E489" s="19" t="n">
        <f aca="false">D489*(1+MAX(0,phi*E478))</f>
        <v>288.925154403007</v>
      </c>
      <c r="F489" s="19" t="n">
        <f aca="false">E489*(1+MAX(0,phi*F478))</f>
        <v>298.1537320845</v>
      </c>
      <c r="G489" s="19" t="n">
        <f aca="false">F489*(1+MAX(0,phi*G478))</f>
        <v>301.02276994271</v>
      </c>
    </row>
    <row r="490" customFormat="false" ht="15" hidden="false" customHeight="false" outlineLevel="0" collapsed="false">
      <c r="A490" s="4" t="s">
        <v>361</v>
      </c>
      <c r="B490" s="0" t="s">
        <v>209</v>
      </c>
      <c r="C490" s="19" t="n">
        <f aca="false">C489</f>
        <v>238.938</v>
      </c>
      <c r="D490" s="19" t="n">
        <f aca="false">D489</f>
        <v>254.8304233</v>
      </c>
      <c r="E490" s="19" t="n">
        <f aca="false">E489+0*E475</f>
        <v>288.925154403007</v>
      </c>
      <c r="F490" s="19" t="n">
        <f aca="false">F489+0*F475</f>
        <v>298.1537320845</v>
      </c>
      <c r="G490" s="19" t="n">
        <f aca="false">G489+0*G475</f>
        <v>301.02276994271</v>
      </c>
    </row>
    <row r="491" customFormat="false" ht="15" hidden="false" customHeight="false" outlineLevel="0" collapsed="false">
      <c r="A491" s="4" t="s">
        <v>364</v>
      </c>
      <c r="B491" s="0" t="s">
        <v>209</v>
      </c>
      <c r="C491" s="19" t="n">
        <f aca="false">C486-C490</f>
        <v>259.223</v>
      </c>
      <c r="D491" s="19" t="n">
        <f aca="false">D486-D490</f>
        <v>421.0036475</v>
      </c>
      <c r="E491" s="19" t="n">
        <f aca="false">E486-E490</f>
        <v>626.450932348747</v>
      </c>
      <c r="F491" s="19" t="n">
        <f aca="false">F486-F490</f>
        <v>743.281112267813</v>
      </c>
      <c r="G491" s="19" t="n">
        <f aca="false">G486-G490</f>
        <v>797.598498501696</v>
      </c>
    </row>
    <row r="492" customFormat="false" ht="15" hidden="false" customHeight="false" outlineLevel="0" collapsed="false">
      <c r="A492" s="4" t="s">
        <v>367</v>
      </c>
      <c r="B492" s="0" t="s">
        <v>52</v>
      </c>
      <c r="C492" s="14" t="n">
        <f aca="false">C491/C475</f>
        <v>0.0319905764518663</v>
      </c>
      <c r="D492" s="14" t="n">
        <f aca="false">D491/D475</f>
        <v>0.0377556858359561</v>
      </c>
      <c r="E492" s="14" t="n">
        <f aca="false">E491/E475</f>
        <v>0.0420988303641161</v>
      </c>
      <c r="F492" s="14" t="n">
        <f aca="false">F491/F475</f>
        <v>0.0462563714320572</v>
      </c>
      <c r="G492" s="14" t="n">
        <f aca="false">G491/G475</f>
        <v>0.0484706439417692</v>
      </c>
    </row>
    <row r="493" customFormat="false" ht="17.15" hidden="false" customHeight="false" outlineLevel="0" collapsed="false">
      <c r="A493" s="4" t="s">
        <v>243</v>
      </c>
      <c r="B493" s="0" t="s">
        <v>52</v>
      </c>
      <c r="C493" s="15" t="n">
        <f aca="false">a25_ni/a25_oi</f>
        <v>0.730467589681471</v>
      </c>
      <c r="D493" s="15" t="n">
        <f aca="false">a26_ni/a26_oi</f>
        <v>0.653811645064191</v>
      </c>
      <c r="E493" s="15" t="n">
        <f aca="false">nio_f</f>
        <v>0.66</v>
      </c>
      <c r="F493" s="15" t="n">
        <f aca="false">nio_f</f>
        <v>0.66</v>
      </c>
      <c r="G493" s="15" t="n">
        <f aca="false">nio_f</f>
        <v>0.66</v>
      </c>
    </row>
    <row r="494" customFormat="false" ht="15" hidden="false" customHeight="false" outlineLevel="0" collapsed="false">
      <c r="A494" s="4" t="s">
        <v>368</v>
      </c>
      <c r="B494" s="0" t="s">
        <v>209</v>
      </c>
      <c r="C494" s="19" t="n">
        <f aca="false">a25_ni</f>
        <v>189.354</v>
      </c>
      <c r="D494" s="19" t="n">
        <f aca="false">a26_ni</f>
        <v>275.25708735</v>
      </c>
      <c r="E494" s="19" t="n">
        <f aca="false">E491*E493</f>
        <v>413.457615350173</v>
      </c>
      <c r="F494" s="19" t="n">
        <f aca="false">F491*F493</f>
        <v>490.565534096756</v>
      </c>
      <c r="G494" s="19" t="n">
        <f aca="false">G491*G493</f>
        <v>526.41500901112</v>
      </c>
    </row>
    <row r="495" customFormat="false" ht="15" hidden="false" customHeight="false" outlineLevel="0" collapsed="false">
      <c r="A495" s="4" t="s">
        <v>483</v>
      </c>
      <c r="B495" s="4" t="s">
        <v>230</v>
      </c>
      <c r="C495" s="23" t="n">
        <f aca="false">a25_sh</f>
        <v>13.9128581925055</v>
      </c>
      <c r="D495" s="23" t="n">
        <f aca="false">a26_sh</f>
        <v>14.0169642857143</v>
      </c>
      <c r="E495" s="23" t="n">
        <f aca="false">D495*(1+sh_g)</f>
        <v>14.0169642857143</v>
      </c>
      <c r="F495" s="23" t="n">
        <f aca="false">E495*(1+sh_g)</f>
        <v>14.0169642857143</v>
      </c>
      <c r="G495" s="23" t="n">
        <f aca="false">F495*(1+sh_g)</f>
        <v>14.0169642857143</v>
      </c>
    </row>
    <row r="496" customFormat="false" ht="15" hidden="false" customHeight="false" outlineLevel="0" collapsed="false">
      <c r="A496" s="0" t="s">
        <v>374</v>
      </c>
      <c r="B496" s="0" t="s">
        <v>260</v>
      </c>
      <c r="C496" s="22" t="n">
        <f aca="false">C494/C495</f>
        <v>13.61</v>
      </c>
      <c r="D496" s="22" t="n">
        <f aca="false">D494/D495</f>
        <v>19.6374251756163</v>
      </c>
      <c r="E496" s="22" t="n">
        <f aca="false">E494/E495</f>
        <v>29.4969443399066</v>
      </c>
      <c r="F496" s="22" t="n">
        <f aca="false">F494/F495</f>
        <v>34.9979870175404</v>
      </c>
      <c r="G496" s="22" t="n">
        <f aca="false">G494/G495</f>
        <v>37.5555646915379</v>
      </c>
    </row>
    <row r="497" customFormat="false" ht="17.15" hidden="false" customHeight="false" outlineLevel="0" collapsed="false">
      <c r="A497" s="0" t="s">
        <v>484</v>
      </c>
      <c r="B497" s="0" t="s">
        <v>52</v>
      </c>
      <c r="D497" s="15" t="n">
        <f aca="false">D496/C496-1</f>
        <v>0.442867389832203</v>
      </c>
      <c r="E497" s="15" t="n">
        <f aca="false">E496/D496-1</f>
        <v>0.502078000354794</v>
      </c>
      <c r="F497" s="15" t="n">
        <f aca="false">F496/E496-1</f>
        <v>0.186495340474689</v>
      </c>
      <c r="G497" s="15" t="n">
        <f aca="false">G496/F496-1</f>
        <v>0.0730778508122676</v>
      </c>
    </row>
    <row r="500" customFormat="false" ht="17.15" hidden="false" customHeight="false" outlineLevel="0" collapsed="false">
      <c r="A500" s="1" t="s">
        <v>842</v>
      </c>
    </row>
    <row r="501" customFormat="false" ht="17.15" hidden="false" customHeight="false" outlineLevel="0" collapsed="false">
      <c r="A501" s="5" t="s">
        <v>21</v>
      </c>
      <c r="B501" s="5" t="s">
        <v>22</v>
      </c>
      <c r="C501" s="11" t="s">
        <v>347</v>
      </c>
      <c r="D501" s="11" t="s">
        <v>429</v>
      </c>
      <c r="E501" s="11" t="s">
        <v>430</v>
      </c>
      <c r="F501" s="11" t="s">
        <v>431</v>
      </c>
      <c r="G501" s="11" t="s">
        <v>432</v>
      </c>
      <c r="H501" s="5" t="s">
        <v>400</v>
      </c>
    </row>
    <row r="502" customFormat="false" ht="17.15" hidden="false" customHeight="false" outlineLevel="0" collapsed="false">
      <c r="A502" s="6" t="s">
        <v>450</v>
      </c>
    </row>
    <row r="503" customFormat="false" ht="17.15" hidden="false" customHeight="false" outlineLevel="0" collapsed="false">
      <c r="A503" s="0" t="s">
        <v>451</v>
      </c>
      <c r="B503" s="0" t="s">
        <v>32</v>
      </c>
      <c r="D503" s="22" t="n">
        <f aca="false">itc_26*1</f>
        <v>781.872916666666</v>
      </c>
      <c r="E503" s="22" t="n">
        <f aca="false">itc_27*1*1</f>
        <v>1565.35</v>
      </c>
      <c r="F503" s="22" t="n">
        <f aca="false">itc_28*um28_A*1</f>
        <v>1984.26388888889</v>
      </c>
      <c r="G503" s="22" t="n">
        <f aca="false">itc_29*um29_A*1</f>
        <v>2260.39027777778</v>
      </c>
    </row>
    <row r="504" customFormat="false" ht="17.15" hidden="false" customHeight="false" outlineLevel="0" collapsed="false">
      <c r="A504" s="4" t="s">
        <v>452</v>
      </c>
      <c r="B504" s="0" t="s">
        <v>32</v>
      </c>
      <c r="D504" s="22" t="n">
        <f aca="false">itpg_gb*(1-vr26)+itpg_vr*vr26</f>
        <v>33.41403216</v>
      </c>
      <c r="E504" s="22" t="n">
        <f aca="false">itpg_vr</f>
        <v>37.586352</v>
      </c>
      <c r="F504" s="22" t="n">
        <f aca="false">itpg_vr</f>
        <v>37.586352</v>
      </c>
      <c r="G504" s="22" t="n">
        <f aca="false">itpg_vr</f>
        <v>37.586352</v>
      </c>
    </row>
    <row r="505" customFormat="false" ht="17.15" hidden="false" customHeight="false" outlineLevel="0" collapsed="false">
      <c r="A505" s="4" t="s">
        <v>453</v>
      </c>
      <c r="B505" s="0" t="s">
        <v>402</v>
      </c>
      <c r="D505" s="18" t="n">
        <f aca="false">D503/D504</f>
        <v>23.3995380420639</v>
      </c>
      <c r="E505" s="18" t="n">
        <f aca="false">E503/E504</f>
        <v>41.6467658260637</v>
      </c>
      <c r="F505" s="18" t="n">
        <f aca="false">F503/F504</f>
        <v>52.792138191248</v>
      </c>
      <c r="G505" s="18" t="n">
        <f aca="false">G503/G504</f>
        <v>60.1385917361116</v>
      </c>
    </row>
    <row r="506" customFormat="false" ht="17.15" hidden="false" customHeight="false" outlineLevel="0" collapsed="false">
      <c r="A506" s="4" t="s">
        <v>404</v>
      </c>
      <c r="B506" s="0" t="s">
        <v>405</v>
      </c>
      <c r="D506" s="16" t="n">
        <f aca="false">(racks_gb*odm_gb*(1-vr26)+racks_vr*odm_vr*vr26)/1000</f>
        <v>27.1209</v>
      </c>
      <c r="E506" s="16" t="n">
        <f aca="false">racks_vr*odm_vr/1000</f>
        <v>27.351</v>
      </c>
      <c r="F506" s="16" t="n">
        <f aca="false">$E506*vpg_28</f>
        <v>27.351</v>
      </c>
      <c r="G506" s="16" t="n">
        <f aca="false">$E506*vpg_29</f>
        <v>27.351</v>
      </c>
      <c r="H506" s="4" t="s">
        <v>454</v>
      </c>
    </row>
    <row r="507" customFormat="false" ht="17.15" hidden="false" customHeight="false" outlineLevel="0" collapsed="false">
      <c r="A507" s="0" t="s">
        <v>455</v>
      </c>
      <c r="B507" s="0" t="s">
        <v>32</v>
      </c>
      <c r="D507" s="19" t="n">
        <f aca="false">D505*D506</f>
        <v>634.61653128501</v>
      </c>
      <c r="E507" s="19" t="n">
        <f aca="false">E505*E506</f>
        <v>1139.08069210867</v>
      </c>
      <c r="F507" s="19" t="n">
        <f aca="false">F505*F506</f>
        <v>1443.91777166882</v>
      </c>
      <c r="G507" s="19" t="n">
        <f aca="false">G505*G506</f>
        <v>1644.85062257439</v>
      </c>
    </row>
    <row r="508" customFormat="false" ht="17.15" hidden="false" customHeight="false" outlineLevel="0" collapsed="false">
      <c r="A508" s="0" t="s">
        <v>456</v>
      </c>
      <c r="B508" s="0" t="s">
        <v>209</v>
      </c>
      <c r="D508" s="19" t="n">
        <f aca="false">D507*fx</f>
        <v>20307.7290011203</v>
      </c>
      <c r="E508" s="19" t="n">
        <f aca="false">E507*fx</f>
        <v>36450.5821474774</v>
      </c>
      <c r="F508" s="19" t="n">
        <f aca="false">F507*fx</f>
        <v>46205.3686934024</v>
      </c>
      <c r="G508" s="19" t="n">
        <f aca="false">G507*fx</f>
        <v>52635.2199223804</v>
      </c>
    </row>
    <row r="509" customFormat="false" ht="17.15" hidden="false" customHeight="false" outlineLevel="0" collapsed="false">
      <c r="A509" s="4" t="s">
        <v>457</v>
      </c>
      <c r="B509" s="0" t="s">
        <v>52</v>
      </c>
      <c r="D509" s="15" t="n">
        <f aca="false">a26_ai/D508</f>
        <v>0.174610057569922</v>
      </c>
      <c r="H509" s="8" t="s">
        <v>458</v>
      </c>
    </row>
    <row r="510" customFormat="false" ht="17.15" hidden="false" customHeight="false" outlineLevel="0" collapsed="false">
      <c r="A510" s="4" t="s">
        <v>459</v>
      </c>
      <c r="B510" s="0" t="s">
        <v>71</v>
      </c>
      <c r="D510" s="16" t="n">
        <f aca="false">1</f>
        <v>1</v>
      </c>
      <c r="E510" s="16" t="n">
        <f aca="false">rel_27</f>
        <v>1</v>
      </c>
      <c r="F510" s="16" t="n">
        <f aca="false">rel_28</f>
        <v>1</v>
      </c>
      <c r="G510" s="16" t="n">
        <f aca="false">rel_29</f>
        <v>0.95</v>
      </c>
    </row>
    <row r="511" customFormat="false" ht="15" hidden="false" customHeight="false" outlineLevel="0" collapsed="false">
      <c r="A511" s="4" t="s">
        <v>460</v>
      </c>
      <c r="B511" s="0" t="s">
        <v>52</v>
      </c>
      <c r="D511" s="15" t="n">
        <f aca="false">$D$509*D510</f>
        <v>0.174610057569922</v>
      </c>
      <c r="E511" s="15" t="n">
        <f aca="false">$D$509*E510</f>
        <v>0.174610057569922</v>
      </c>
      <c r="F511" s="15" t="n">
        <f aca="false">$D$509*F510</f>
        <v>0.174610057569922</v>
      </c>
      <c r="G511" s="15" t="n">
        <f aca="false">$D$509*G510</f>
        <v>0.165879554691426</v>
      </c>
    </row>
    <row r="512" customFormat="false" ht="17.15" hidden="false" customHeight="false" outlineLevel="0" collapsed="false">
      <c r="A512" s="0" t="s">
        <v>461</v>
      </c>
      <c r="B512" s="0" t="s">
        <v>209</v>
      </c>
      <c r="D512" s="19" t="n">
        <f aca="false">D508*D511</f>
        <v>3545.93373</v>
      </c>
      <c r="E512" s="19" t="n">
        <f aca="false">E508*E511</f>
        <v>6364.6382472282</v>
      </c>
      <c r="F512" s="19" t="n">
        <f aca="false">F508*F511</f>
        <v>8067.92208759447</v>
      </c>
      <c r="G512" s="19" t="n">
        <f aca="false">G508*G511</f>
        <v>8731.10684180974</v>
      </c>
    </row>
    <row r="513" customFormat="false" ht="17.15" hidden="false" customHeight="false" outlineLevel="0" collapsed="false">
      <c r="A513" s="4" t="s">
        <v>462</v>
      </c>
      <c r="B513" s="0" t="s">
        <v>52</v>
      </c>
      <c r="D513" s="15" t="n">
        <f aca="false">0</f>
        <v>0</v>
      </c>
      <c r="E513" s="15" t="n">
        <f aca="false">cs_27</f>
        <v>0.1</v>
      </c>
      <c r="F513" s="15" t="n">
        <f aca="false">cs_28</f>
        <v>0.2</v>
      </c>
      <c r="G513" s="15" t="n">
        <f aca="false">cs_29</f>
        <v>0.25</v>
      </c>
      <c r="H513" s="8" t="s">
        <v>463</v>
      </c>
    </row>
    <row r="514" customFormat="false" ht="17.15" hidden="false" customHeight="false" outlineLevel="0" collapsed="false">
      <c r="A514" s="0" t="s">
        <v>464</v>
      </c>
      <c r="B514" s="0" t="s">
        <v>209</v>
      </c>
      <c r="C514" s="19" t="n">
        <f aca="false">a25_ai</f>
        <v>1620.621</v>
      </c>
      <c r="D514" s="19" t="n">
        <f aca="false">D512*(1-D513)</f>
        <v>3545.93373</v>
      </c>
      <c r="E514" s="19" t="n">
        <f aca="false">E512*(1-E513)</f>
        <v>5728.17442250538</v>
      </c>
      <c r="F514" s="19" t="n">
        <f aca="false">F512*(1-F513)</f>
        <v>6454.33767007557</v>
      </c>
      <c r="G514" s="19" t="n">
        <f aca="false">G512*(1-G513)</f>
        <v>6548.3301313573</v>
      </c>
    </row>
    <row r="515" customFormat="false" ht="17.15" hidden="false" customHeight="false" outlineLevel="0" collapsed="false">
      <c r="A515" s="6" t="s">
        <v>465</v>
      </c>
    </row>
    <row r="516" customFormat="false" ht="17.15" hidden="false" customHeight="false" outlineLevel="0" collapsed="false">
      <c r="A516" s="4" t="s">
        <v>382</v>
      </c>
      <c r="B516" s="0" t="s">
        <v>209</v>
      </c>
      <c r="C516" s="19" t="n">
        <f aca="false">a25_cn</f>
        <v>1620.621</v>
      </c>
      <c r="D516" s="19" t="n">
        <f aca="false">a26_cn</f>
        <v>2363.95582</v>
      </c>
      <c r="E516" s="19" t="n">
        <f aca="false">D516*(1+g_cn27)</f>
        <v>2647.6305184</v>
      </c>
      <c r="F516" s="19" t="n">
        <f aca="false">E516*(1+g_cn28)</f>
        <v>2859.440959872</v>
      </c>
      <c r="G516" s="19" t="n">
        <f aca="false">F516*(1+g_cn29)</f>
        <v>3031.00741746432</v>
      </c>
    </row>
    <row r="517" customFormat="false" ht="17.15" hidden="false" customHeight="false" outlineLevel="0" collapsed="false">
      <c r="A517" s="4" t="s">
        <v>383</v>
      </c>
      <c r="B517" s="0" t="s">
        <v>209</v>
      </c>
      <c r="C517" s="19" t="n">
        <f aca="false">a25_ce</f>
        <v>3079.1799</v>
      </c>
      <c r="D517" s="19" t="n">
        <f aca="false">a26_ce</f>
        <v>3345.2205</v>
      </c>
      <c r="E517" s="19" t="n">
        <f aca="false">D517*(1+GCELO27)</f>
        <v>3077.60286</v>
      </c>
      <c r="F517" s="19" t="n">
        <f aca="false">E517*(1+GCELO28)</f>
        <v>2831.3946312</v>
      </c>
      <c r="G517" s="19" t="n">
        <f aca="false">F517*(1+GCELO29)</f>
        <v>2604.883060704</v>
      </c>
    </row>
    <row r="518" customFormat="false" ht="15" hidden="false" customHeight="false" outlineLevel="0" collapsed="false">
      <c r="A518" s="4" t="s">
        <v>384</v>
      </c>
      <c r="B518" s="0" t="s">
        <v>209</v>
      </c>
      <c r="C518" s="19" t="n">
        <f aca="false">a25_pc</f>
        <v>1215.46575</v>
      </c>
      <c r="D518" s="19" t="n">
        <f aca="false">a26_pc</f>
        <v>1338.0882</v>
      </c>
      <c r="E518" s="19" t="n">
        <f aca="false">D518*(1+g_pc27)</f>
        <v>1311.326436</v>
      </c>
      <c r="F518" s="19" t="n">
        <f aca="false">E518*(1+g_pc28)</f>
        <v>1311.326436</v>
      </c>
      <c r="G518" s="19" t="n">
        <f aca="false">F518*(1+g_pc29)</f>
        <v>1311.326436</v>
      </c>
    </row>
    <row r="519" customFormat="false" ht="15" hidden="false" customHeight="false" outlineLevel="0" collapsed="false">
      <c r="A519" s="4" t="s">
        <v>466</v>
      </c>
      <c r="B519" s="0" t="s">
        <v>209</v>
      </c>
      <c r="C519" s="19" t="n">
        <f aca="false">a25_co</f>
        <v>567.217349999999</v>
      </c>
      <c r="D519" s="19" t="n">
        <f aca="false">a26_co</f>
        <v>557.53675</v>
      </c>
      <c r="E519" s="19" t="n">
        <f aca="false">D519*(1+g_co27)</f>
        <v>602.13969</v>
      </c>
      <c r="F519" s="19" t="n">
        <f aca="false">E519*(1+g_co28)</f>
        <v>638.2680714</v>
      </c>
      <c r="G519" s="19" t="n">
        <f aca="false">F519*(1+g_co29)</f>
        <v>670.18147497</v>
      </c>
    </row>
    <row r="520" customFormat="false" ht="17.15" hidden="false" customHeight="false" outlineLevel="0" collapsed="false">
      <c r="A520" s="4" t="s">
        <v>387</v>
      </c>
      <c r="B520" s="0" t="s">
        <v>209</v>
      </c>
      <c r="C520" s="19" t="n">
        <f aca="false">SUM(C516:C519)</f>
        <v>6482.484</v>
      </c>
      <c r="D520" s="19" t="n">
        <f aca="false">SUM(D516:D519)</f>
        <v>7604.80127</v>
      </c>
      <c r="E520" s="19" t="n">
        <f aca="false">SUM(E516:E519)</f>
        <v>7638.6995044</v>
      </c>
      <c r="F520" s="19" t="n">
        <f aca="false">SUM(F516:F519)</f>
        <v>7640.430098472</v>
      </c>
      <c r="G520" s="19" t="n">
        <f aca="false">SUM(G516:G519)</f>
        <v>7617.39838913832</v>
      </c>
    </row>
    <row r="521" customFormat="false" ht="15" hidden="false" customHeight="false" outlineLevel="0" collapsed="false">
      <c r="A521" s="4" t="s">
        <v>353</v>
      </c>
      <c r="B521" s="0" t="s">
        <v>209</v>
      </c>
      <c r="C521" s="19" t="n">
        <f aca="false">C514+C520</f>
        <v>8103.105</v>
      </c>
      <c r="D521" s="19" t="n">
        <f aca="false">D514+D520</f>
        <v>11150.735</v>
      </c>
      <c r="E521" s="19" t="n">
        <f aca="false">E514+E520</f>
        <v>13366.8739269054</v>
      </c>
      <c r="F521" s="19" t="n">
        <f aca="false">F514+F520</f>
        <v>14094.7677685476</v>
      </c>
      <c r="G521" s="19" t="n">
        <f aca="false">G514+G520</f>
        <v>14165.7285204956</v>
      </c>
    </row>
    <row r="522" customFormat="false" ht="17.15" hidden="false" customHeight="false" outlineLevel="0" collapsed="false">
      <c r="A522" s="4" t="s">
        <v>467</v>
      </c>
      <c r="B522" s="0" t="s">
        <v>209</v>
      </c>
      <c r="C522" s="19" t="n">
        <f aca="false">C514+C516</f>
        <v>3241.242</v>
      </c>
      <c r="D522" s="19" t="n">
        <f aca="false">D514+D516</f>
        <v>5909.88955</v>
      </c>
      <c r="E522" s="19" t="n">
        <f aca="false">E514+E516</f>
        <v>8375.80494090538</v>
      </c>
      <c r="F522" s="19" t="n">
        <f aca="false">F514+F516</f>
        <v>9313.77862994757</v>
      </c>
      <c r="G522" s="19" t="n">
        <f aca="false">G514+G516</f>
        <v>9579.33754882162</v>
      </c>
      <c r="H522" s="4" t="s">
        <v>468</v>
      </c>
    </row>
    <row r="523" customFormat="false" ht="17.15" hidden="false" customHeight="false" outlineLevel="0" collapsed="false">
      <c r="A523" s="4" t="s">
        <v>469</v>
      </c>
      <c r="B523" s="0" t="s">
        <v>209</v>
      </c>
      <c r="C523" s="23" t="n">
        <f aca="false">C522+C517+C518+C519-a25_rev</f>
        <v>0</v>
      </c>
      <c r="D523" s="23" t="n">
        <f aca="false">D522+D517+D518+D519-a26_rev</f>
        <v>0</v>
      </c>
      <c r="E523" s="23" t="n">
        <f aca="false">E522+E517+E518+E519-E521</f>
        <v>0</v>
      </c>
      <c r="F523" s="23" t="n">
        <f aca="false">F522+F517+F518+F519-F521</f>
        <v>0</v>
      </c>
      <c r="G523" s="23" t="n">
        <f aca="false">G522+G517+G518+G519-G521</f>
        <v>0</v>
      </c>
    </row>
    <row r="524" customFormat="false" ht="15" hidden="false" customHeight="false" outlineLevel="0" collapsed="false">
      <c r="A524" s="4" t="s">
        <v>470</v>
      </c>
      <c r="B524" s="0" t="s">
        <v>52</v>
      </c>
      <c r="D524" s="15" t="n">
        <f aca="false">D521/C521-1</f>
        <v>0.376106443147411</v>
      </c>
      <c r="E524" s="15" t="n">
        <f aca="false">E521/D521-1</f>
        <v>0.198743753385349</v>
      </c>
      <c r="F524" s="15" t="n">
        <f aca="false">F521/E521-1</f>
        <v>0.0544550540105762</v>
      </c>
      <c r="G524" s="15" t="n">
        <f aca="false">G521/F521-1</f>
        <v>0.00503454566356187</v>
      </c>
    </row>
    <row r="525" customFormat="false" ht="17.15" hidden="false" customHeight="false" outlineLevel="0" collapsed="false">
      <c r="A525" s="0" t="s">
        <v>471</v>
      </c>
      <c r="B525" s="0" t="s">
        <v>52</v>
      </c>
      <c r="C525" s="15" t="n">
        <f aca="false">C514/C521</f>
        <v>0.2</v>
      </c>
      <c r="D525" s="15" t="n">
        <f aca="false">D514/D521</f>
        <v>0.318</v>
      </c>
      <c r="E525" s="15" t="n">
        <f aca="false">E514/E521</f>
        <v>0.428535082610114</v>
      </c>
      <c r="F525" s="15" t="n">
        <f aca="false">F514/F521</f>
        <v>0.457924371374065</v>
      </c>
      <c r="G525" s="15" t="n">
        <f aca="false">G514/G521</f>
        <v>0.462265680291902</v>
      </c>
    </row>
    <row r="526" customFormat="false" ht="17.15" hidden="false" customHeight="false" outlineLevel="0" collapsed="false">
      <c r="A526" s="4" t="s">
        <v>472</v>
      </c>
      <c r="B526" s="0" t="s">
        <v>52</v>
      </c>
      <c r="C526" s="15" t="n">
        <f aca="false">(C514+C516)/C521</f>
        <v>0.4</v>
      </c>
      <c r="D526" s="15" t="n">
        <f aca="false">(D514+D516)/D521</f>
        <v>0.53</v>
      </c>
      <c r="E526" s="15" t="n">
        <f aca="false">(E514+E516)/E521</f>
        <v>0.626609107462757</v>
      </c>
      <c r="F526" s="15" t="n">
        <f aca="false">(F514+F516)/F521</f>
        <v>0.660796884552525</v>
      </c>
      <c r="G526" s="15" t="n">
        <f aca="false">(G514+G516)/G521</f>
        <v>0.676233314436444</v>
      </c>
    </row>
    <row r="527" customFormat="false" ht="17.15" hidden="false" customHeight="false" outlineLevel="0" collapsed="false">
      <c r="A527" s="4" t="s">
        <v>418</v>
      </c>
      <c r="B527" s="0" t="s">
        <v>405</v>
      </c>
      <c r="D527" s="16" t="n">
        <f aca="false">D514/fx/D505</f>
        <v>4.7355819103481</v>
      </c>
      <c r="E527" s="16" t="n">
        <f aca="false">E514/fx/E505</f>
        <v>4.29818371613545</v>
      </c>
      <c r="F527" s="16" t="n">
        <f aca="false">F514/fx/F505</f>
        <v>3.82060774767595</v>
      </c>
      <c r="G527" s="16" t="n">
        <f aca="false">G514/fx/G505</f>
        <v>3.4027287752739</v>
      </c>
    </row>
    <row r="528" customFormat="false" ht="17.15" hidden="false" customHeight="false" outlineLevel="0" collapsed="false">
      <c r="A528" s="4" t="s">
        <v>473</v>
      </c>
      <c r="B528" s="4" t="s">
        <v>416</v>
      </c>
      <c r="D528" s="19" t="n">
        <f aca="false">D512/fx/(odm_gb*(1-vr26)+odm_vr*vr26)</f>
        <v>24.0630682003257</v>
      </c>
      <c r="E528" s="19" t="n">
        <f aca="false">E512/fx/odm_vr</f>
        <v>29.4659178112417</v>
      </c>
      <c r="F528" s="19" t="n">
        <f aca="false">F512/fx/odm_vr</f>
        <v>37.3514911462707</v>
      </c>
      <c r="G528" s="19" t="n">
        <f aca="false">G512/fx/odm_vr</f>
        <v>40.4217909343043</v>
      </c>
      <c r="H528" s="4" t="s">
        <v>474</v>
      </c>
    </row>
    <row r="529" customFormat="false" ht="17.15" hidden="false" customHeight="false" outlineLevel="0" collapsed="false">
      <c r="A529" s="6" t="s">
        <v>475</v>
      </c>
    </row>
    <row r="530" customFormat="false" ht="17.15" hidden="false" customHeight="false" outlineLevel="0" collapsed="false">
      <c r="A530" s="4" t="s">
        <v>476</v>
      </c>
      <c r="B530" s="0" t="s">
        <v>52</v>
      </c>
      <c r="D530" s="14" t="n">
        <f aca="false">a26_gp/D521-d_ai*D525</f>
        <v>0.0621989258510762</v>
      </c>
      <c r="H530" s="8" t="s">
        <v>477</v>
      </c>
    </row>
    <row r="531" customFormat="false" ht="17.15" hidden="false" customHeight="false" outlineLevel="0" collapsed="false">
      <c r="A531" s="0" t="s">
        <v>478</v>
      </c>
      <c r="B531" s="0" t="s">
        <v>209</v>
      </c>
      <c r="D531" s="22" t="n">
        <f aca="false">($D$530+d_ai)*D512*(1-D513*(1-keep))</f>
        <v>202.8236004951</v>
      </c>
      <c r="E531" s="22" t="n">
        <f aca="false">($D$530+d_ai+vrd)*E512*(1-E513*(1-keep))</f>
        <v>347.807982730896</v>
      </c>
      <c r="F531" s="22" t="n">
        <f aca="false">($D$530+d_ai+vrd)*F512*(1-F513*(1-keep))</f>
        <v>436.433820423679</v>
      </c>
      <c r="G531" s="22" t="n">
        <f aca="false">($D$530+d_ai+vrd)*G512*(1-G513*(1-keep))</f>
        <v>469.899026179908</v>
      </c>
      <c r="H531" s="4" t="s">
        <v>479</v>
      </c>
    </row>
    <row r="532" customFormat="false" ht="15" hidden="false" customHeight="false" outlineLevel="0" collapsed="false">
      <c r="A532" s="4" t="s">
        <v>357</v>
      </c>
      <c r="B532" s="0" t="s">
        <v>209</v>
      </c>
      <c r="C532" s="19" t="n">
        <f aca="false">a25_gp</f>
        <v>498.161</v>
      </c>
      <c r="D532" s="19" t="n">
        <f aca="false">a26_gp</f>
        <v>675.8340708</v>
      </c>
      <c r="E532" s="19" t="n">
        <f aca="false">$D$530*E520+E531</f>
        <v>822.926886803724</v>
      </c>
      <c r="F532" s="19" t="n">
        <f aca="false">$D$530*F520+F531</f>
        <v>911.66036558887</v>
      </c>
      <c r="G532" s="19" t="n">
        <f aca="false">$D$530*G520+G531</f>
        <v>943.693023764029</v>
      </c>
    </row>
    <row r="533" customFormat="false" ht="15" hidden="false" customHeight="false" outlineLevel="0" collapsed="false">
      <c r="A533" s="4" t="s">
        <v>360</v>
      </c>
      <c r="B533" s="0" t="s">
        <v>52</v>
      </c>
      <c r="C533" s="14" t="n">
        <f aca="false">C532/C521</f>
        <v>0.0614777915379352</v>
      </c>
      <c r="D533" s="14" t="n">
        <f aca="false">D532/D521</f>
        <v>0.0606089258510762</v>
      </c>
      <c r="E533" s="14" t="n">
        <f aca="false">E532/E521</f>
        <v>0.0615646478977634</v>
      </c>
      <c r="F533" s="14" t="n">
        <f aca="false">F532/F521</f>
        <v>0.0646807652711552</v>
      </c>
      <c r="G533" s="14" t="n">
        <f aca="false">G532/G521</f>
        <v>0.0666180367920119</v>
      </c>
    </row>
    <row r="534" customFormat="false" ht="17.15" hidden="false" customHeight="false" outlineLevel="0" collapsed="false">
      <c r="A534" s="0" t="s">
        <v>480</v>
      </c>
      <c r="B534" s="0" t="s">
        <v>52</v>
      </c>
      <c r="D534" s="14" t="n">
        <f aca="false">D531/D514</f>
        <v>0.0571989258510762</v>
      </c>
      <c r="E534" s="14" t="n">
        <f aca="false">E531/E514</f>
        <v>0.0607188184361838</v>
      </c>
      <c r="F534" s="14" t="n">
        <f aca="false">F531/F514</f>
        <v>0.0676186841675683</v>
      </c>
      <c r="G534" s="14" t="n">
        <f aca="false">G531/G514</f>
        <v>0.0717586036063991</v>
      </c>
      <c r="H534" s="4" t="s">
        <v>481</v>
      </c>
    </row>
    <row r="535" customFormat="false" ht="15" hidden="false" customHeight="false" outlineLevel="0" collapsed="false">
      <c r="A535" s="4" t="s">
        <v>482</v>
      </c>
      <c r="B535" s="0" t="s">
        <v>209</v>
      </c>
      <c r="C535" s="19" t="n">
        <f aca="false">a25_opx</f>
        <v>238.938</v>
      </c>
      <c r="D535" s="19" t="n">
        <f aca="false">a26_opx</f>
        <v>254.8304233</v>
      </c>
      <c r="E535" s="19" t="n">
        <f aca="false">D535*(1+MAX(0,phi*E524))</f>
        <v>275.088805221368</v>
      </c>
      <c r="F535" s="19" t="n">
        <f aca="false">E535*(1+MAX(0,phi*F524))</f>
        <v>281.080795519781</v>
      </c>
      <c r="G535" s="19" t="n">
        <f aca="false">F535*(1+MAX(0,phi*G524))</f>
        <v>281.646841159859</v>
      </c>
    </row>
    <row r="536" customFormat="false" ht="15" hidden="false" customHeight="false" outlineLevel="0" collapsed="false">
      <c r="A536" s="4" t="s">
        <v>361</v>
      </c>
      <c r="B536" s="0" t="s">
        <v>209</v>
      </c>
      <c r="C536" s="19" t="n">
        <f aca="false">C535</f>
        <v>238.938</v>
      </c>
      <c r="D536" s="19" t="n">
        <f aca="false">D535</f>
        <v>254.8304233</v>
      </c>
      <c r="E536" s="19" t="n">
        <f aca="false">E535+0*E521</f>
        <v>275.088805221368</v>
      </c>
      <c r="F536" s="19" t="n">
        <f aca="false">F535+0*F521</f>
        <v>281.080795519781</v>
      </c>
      <c r="G536" s="19" t="n">
        <f aca="false">G535+0*G521</f>
        <v>281.646841159859</v>
      </c>
    </row>
    <row r="537" customFormat="false" ht="15" hidden="false" customHeight="false" outlineLevel="0" collapsed="false">
      <c r="A537" s="4" t="s">
        <v>364</v>
      </c>
      <c r="B537" s="0" t="s">
        <v>209</v>
      </c>
      <c r="C537" s="19" t="n">
        <f aca="false">C532-C536</f>
        <v>259.223</v>
      </c>
      <c r="D537" s="19" t="n">
        <f aca="false">D532-D536</f>
        <v>421.0036475</v>
      </c>
      <c r="E537" s="19" t="n">
        <f aca="false">E532-E536</f>
        <v>547.838081582356</v>
      </c>
      <c r="F537" s="19" t="n">
        <f aca="false">F532-F536</f>
        <v>630.579570069088</v>
      </c>
      <c r="G537" s="19" t="n">
        <f aca="false">G532-G536</f>
        <v>662.04618260417</v>
      </c>
    </row>
    <row r="538" customFormat="false" ht="15" hidden="false" customHeight="false" outlineLevel="0" collapsed="false">
      <c r="A538" s="4" t="s">
        <v>367</v>
      </c>
      <c r="B538" s="0" t="s">
        <v>52</v>
      </c>
      <c r="C538" s="14" t="n">
        <f aca="false">C537/C521</f>
        <v>0.0319905764518663</v>
      </c>
      <c r="D538" s="14" t="n">
        <f aca="false">D537/D521</f>
        <v>0.0377556858359561</v>
      </c>
      <c r="E538" s="14" t="n">
        <f aca="false">E537/E521</f>
        <v>0.0409847571375418</v>
      </c>
      <c r="F538" s="14" t="n">
        <f aca="false">F537/F521</f>
        <v>0.0447385569187046</v>
      </c>
      <c r="G538" s="14" t="n">
        <f aca="false">G537/G521</f>
        <v>0.0467357666530381</v>
      </c>
    </row>
    <row r="539" customFormat="false" ht="17.15" hidden="false" customHeight="false" outlineLevel="0" collapsed="false">
      <c r="A539" s="4" t="s">
        <v>243</v>
      </c>
      <c r="B539" s="0" t="s">
        <v>52</v>
      </c>
      <c r="C539" s="15" t="n">
        <f aca="false">a25_ni/a25_oi</f>
        <v>0.730467589681471</v>
      </c>
      <c r="D539" s="15" t="n">
        <f aca="false">a26_ni/a26_oi</f>
        <v>0.653811645064191</v>
      </c>
      <c r="E539" s="15" t="n">
        <f aca="false">nio_f</f>
        <v>0.66</v>
      </c>
      <c r="F539" s="15" t="n">
        <f aca="false">nio_f</f>
        <v>0.66</v>
      </c>
      <c r="G539" s="15" t="n">
        <f aca="false">nio_f</f>
        <v>0.66</v>
      </c>
    </row>
    <row r="540" customFormat="false" ht="15" hidden="false" customHeight="false" outlineLevel="0" collapsed="false">
      <c r="A540" s="4" t="s">
        <v>368</v>
      </c>
      <c r="B540" s="0" t="s">
        <v>209</v>
      </c>
      <c r="C540" s="19" t="n">
        <f aca="false">a25_ni</f>
        <v>189.354</v>
      </c>
      <c r="D540" s="19" t="n">
        <f aca="false">a26_ni</f>
        <v>275.25708735</v>
      </c>
      <c r="E540" s="19" t="n">
        <f aca="false">E537*E539</f>
        <v>361.573133844355</v>
      </c>
      <c r="F540" s="19" t="n">
        <f aca="false">F537*F539</f>
        <v>416.182516245598</v>
      </c>
      <c r="G540" s="19" t="n">
        <f aca="false">G537*G539</f>
        <v>436.950480518752</v>
      </c>
    </row>
    <row r="541" customFormat="false" ht="15" hidden="false" customHeight="false" outlineLevel="0" collapsed="false">
      <c r="A541" s="4" t="s">
        <v>483</v>
      </c>
      <c r="B541" s="4" t="s">
        <v>230</v>
      </c>
      <c r="C541" s="23" t="n">
        <f aca="false">a25_sh</f>
        <v>13.9128581925055</v>
      </c>
      <c r="D541" s="23" t="n">
        <f aca="false">a26_sh</f>
        <v>14.0169642857143</v>
      </c>
      <c r="E541" s="23" t="n">
        <f aca="false">D541*(1+sh_g)</f>
        <v>14.0169642857143</v>
      </c>
      <c r="F541" s="23" t="n">
        <f aca="false">E541*(1+sh_g)</f>
        <v>14.0169642857143</v>
      </c>
      <c r="G541" s="23" t="n">
        <f aca="false">F541*(1+sh_g)</f>
        <v>14.0169642857143</v>
      </c>
    </row>
    <row r="542" customFormat="false" ht="15" hidden="false" customHeight="false" outlineLevel="0" collapsed="false">
      <c r="A542" s="0" t="s">
        <v>374</v>
      </c>
      <c r="B542" s="0" t="s">
        <v>260</v>
      </c>
      <c r="C542" s="22" t="n">
        <f aca="false">C540/C541</f>
        <v>13.61</v>
      </c>
      <c r="D542" s="22" t="n">
        <f aca="false">D540/D541</f>
        <v>19.6374251756163</v>
      </c>
      <c r="E542" s="22" t="n">
        <f aca="false">E540/E541</f>
        <v>25.7953952420968</v>
      </c>
      <c r="F542" s="22" t="n">
        <f aca="false">F540/F541</f>
        <v>29.6913445566641</v>
      </c>
      <c r="G542" s="22" t="n">
        <f aca="false">G540/G541</f>
        <v>31.1729752328812</v>
      </c>
    </row>
    <row r="543" customFormat="false" ht="17.15" hidden="false" customHeight="false" outlineLevel="0" collapsed="false">
      <c r="A543" s="0" t="s">
        <v>484</v>
      </c>
      <c r="B543" s="0" t="s">
        <v>52</v>
      </c>
      <c r="D543" s="15" t="n">
        <f aca="false">D542/C542-1</f>
        <v>0.442867389832203</v>
      </c>
      <c r="E543" s="15" t="n">
        <f aca="false">E542/D542-1</f>
        <v>0.313583375183365</v>
      </c>
      <c r="F543" s="15" t="n">
        <f aca="false">F542/E542-1</f>
        <v>0.15103274355763</v>
      </c>
      <c r="G543" s="15" t="n">
        <f aca="false">G542/F542-1</f>
        <v>0.0499010973851155</v>
      </c>
    </row>
    <row r="546" customFormat="false" ht="17.15" hidden="false" customHeight="false" outlineLevel="0" collapsed="false">
      <c r="A546" s="1" t="s">
        <v>843</v>
      </c>
    </row>
    <row r="547" customFormat="false" ht="17.15" hidden="false" customHeight="false" outlineLevel="0" collapsed="false">
      <c r="A547" s="5" t="s">
        <v>21</v>
      </c>
      <c r="B547" s="5" t="s">
        <v>22</v>
      </c>
      <c r="C547" s="11" t="s">
        <v>347</v>
      </c>
      <c r="D547" s="11" t="s">
        <v>429</v>
      </c>
      <c r="E547" s="11" t="s">
        <v>430</v>
      </c>
      <c r="F547" s="11" t="s">
        <v>431</v>
      </c>
      <c r="G547" s="11" t="s">
        <v>432</v>
      </c>
      <c r="H547" s="5" t="s">
        <v>400</v>
      </c>
    </row>
    <row r="548" customFormat="false" ht="17.15" hidden="false" customHeight="false" outlineLevel="0" collapsed="false">
      <c r="A548" s="6" t="s">
        <v>450</v>
      </c>
    </row>
    <row r="549" customFormat="false" ht="17.15" hidden="false" customHeight="false" outlineLevel="0" collapsed="false">
      <c r="A549" s="0" t="s">
        <v>451</v>
      </c>
      <c r="B549" s="0" t="s">
        <v>32</v>
      </c>
      <c r="D549" s="22" t="n">
        <f aca="false">itc_26*1</f>
        <v>781.872916666666</v>
      </c>
      <c r="E549" s="22" t="n">
        <f aca="false">itc_27*1*1</f>
        <v>1565.35</v>
      </c>
      <c r="F549" s="22" t="n">
        <f aca="false">itc_28*um28_A*1</f>
        <v>1984.26388888889</v>
      </c>
      <c r="G549" s="22" t="n">
        <f aca="false">itc_29*um29_A*1</f>
        <v>2260.39027777778</v>
      </c>
    </row>
    <row r="550" customFormat="false" ht="17.15" hidden="false" customHeight="false" outlineLevel="0" collapsed="false">
      <c r="A550" s="4" t="s">
        <v>452</v>
      </c>
      <c r="B550" s="0" t="s">
        <v>32</v>
      </c>
      <c r="D550" s="22" t="n">
        <f aca="false">itpg_gb*(1-vr26)+itpg_vr*vr26</f>
        <v>33.41403216</v>
      </c>
      <c r="E550" s="22" t="n">
        <f aca="false">itpg_vr</f>
        <v>37.586352</v>
      </c>
      <c r="F550" s="22" t="n">
        <f aca="false">itpg_vr</f>
        <v>37.586352</v>
      </c>
      <c r="G550" s="22" t="n">
        <f aca="false">itpg_vr</f>
        <v>37.586352</v>
      </c>
    </row>
    <row r="551" customFormat="false" ht="17.15" hidden="false" customHeight="false" outlineLevel="0" collapsed="false">
      <c r="A551" s="4" t="s">
        <v>453</v>
      </c>
      <c r="B551" s="0" t="s">
        <v>402</v>
      </c>
      <c r="D551" s="18" t="n">
        <f aca="false">D549/D550</f>
        <v>23.3995380420639</v>
      </c>
      <c r="E551" s="18" t="n">
        <f aca="false">E549/E550</f>
        <v>41.6467658260637</v>
      </c>
      <c r="F551" s="18" t="n">
        <f aca="false">F549/F550</f>
        <v>52.792138191248</v>
      </c>
      <c r="G551" s="18" t="n">
        <f aca="false">G549/G550</f>
        <v>60.1385917361116</v>
      </c>
    </row>
    <row r="552" customFormat="false" ht="17.15" hidden="false" customHeight="false" outlineLevel="0" collapsed="false">
      <c r="A552" s="4" t="s">
        <v>404</v>
      </c>
      <c r="B552" s="0" t="s">
        <v>405</v>
      </c>
      <c r="D552" s="16" t="n">
        <f aca="false">(racks_gb*odm_gb*(1-vr26)+racks_vr*odm_vr*vr26)/1000</f>
        <v>27.1209</v>
      </c>
      <c r="E552" s="16" t="n">
        <f aca="false">racks_vr*odm_vr/1000</f>
        <v>27.351</v>
      </c>
      <c r="F552" s="16" t="n">
        <f aca="false">$E552*vpg_28</f>
        <v>27.351</v>
      </c>
      <c r="G552" s="16" t="n">
        <f aca="false">$E552*vpg_29</f>
        <v>27.351</v>
      </c>
      <c r="H552" s="4" t="s">
        <v>454</v>
      </c>
    </row>
    <row r="553" customFormat="false" ht="17.15" hidden="false" customHeight="false" outlineLevel="0" collapsed="false">
      <c r="A553" s="0" t="s">
        <v>455</v>
      </c>
      <c r="B553" s="0" t="s">
        <v>32</v>
      </c>
      <c r="D553" s="19" t="n">
        <f aca="false">D551*D552</f>
        <v>634.61653128501</v>
      </c>
      <c r="E553" s="19" t="n">
        <f aca="false">E551*E552</f>
        <v>1139.08069210867</v>
      </c>
      <c r="F553" s="19" t="n">
        <f aca="false">F551*F552</f>
        <v>1443.91777166882</v>
      </c>
      <c r="G553" s="19" t="n">
        <f aca="false">G551*G552</f>
        <v>1644.85062257439</v>
      </c>
    </row>
    <row r="554" customFormat="false" ht="17.15" hidden="false" customHeight="false" outlineLevel="0" collapsed="false">
      <c r="A554" s="0" t="s">
        <v>456</v>
      </c>
      <c r="B554" s="0" t="s">
        <v>209</v>
      </c>
      <c r="D554" s="19" t="n">
        <f aca="false">D553*fx</f>
        <v>20307.7290011203</v>
      </c>
      <c r="E554" s="19" t="n">
        <f aca="false">E553*fx</f>
        <v>36450.5821474774</v>
      </c>
      <c r="F554" s="19" t="n">
        <f aca="false">F553*fx</f>
        <v>46205.3686934024</v>
      </c>
      <c r="G554" s="19" t="n">
        <f aca="false">G553*fx</f>
        <v>52635.2199223804</v>
      </c>
    </row>
    <row r="555" customFormat="false" ht="17.15" hidden="false" customHeight="false" outlineLevel="0" collapsed="false">
      <c r="A555" s="4" t="s">
        <v>457</v>
      </c>
      <c r="B555" s="0" t="s">
        <v>52</v>
      </c>
      <c r="D555" s="15" t="n">
        <f aca="false">a26_ai/D554</f>
        <v>0.174610057569922</v>
      </c>
      <c r="H555" s="8" t="s">
        <v>458</v>
      </c>
    </row>
    <row r="556" customFormat="false" ht="17.15" hidden="false" customHeight="false" outlineLevel="0" collapsed="false">
      <c r="A556" s="4" t="s">
        <v>459</v>
      </c>
      <c r="B556" s="0" t="s">
        <v>71</v>
      </c>
      <c r="D556" s="16" t="n">
        <f aca="false">1</f>
        <v>1</v>
      </c>
      <c r="E556" s="16" t="n">
        <f aca="false">rel_27</f>
        <v>1</v>
      </c>
      <c r="F556" s="16" t="n">
        <f aca="false">rel_28</f>
        <v>1</v>
      </c>
      <c r="G556" s="16" t="n">
        <f aca="false">rel_29</f>
        <v>0.95</v>
      </c>
    </row>
    <row r="557" customFormat="false" ht="15" hidden="false" customHeight="false" outlineLevel="0" collapsed="false">
      <c r="A557" s="4" t="s">
        <v>460</v>
      </c>
      <c r="B557" s="0" t="s">
        <v>52</v>
      </c>
      <c r="D557" s="15" t="n">
        <f aca="false">$D$555*D556</f>
        <v>0.174610057569922</v>
      </c>
      <c r="E557" s="15" t="n">
        <f aca="false">$D$555*E556</f>
        <v>0.174610057569922</v>
      </c>
      <c r="F557" s="15" t="n">
        <f aca="false">$D$555*F556</f>
        <v>0.174610057569922</v>
      </c>
      <c r="G557" s="15" t="n">
        <f aca="false">$D$555*G556</f>
        <v>0.165879554691426</v>
      </c>
    </row>
    <row r="558" customFormat="false" ht="17.15" hidden="false" customHeight="false" outlineLevel="0" collapsed="false">
      <c r="A558" s="0" t="s">
        <v>461</v>
      </c>
      <c r="B558" s="0" t="s">
        <v>209</v>
      </c>
      <c r="D558" s="19" t="n">
        <f aca="false">D554*D557</f>
        <v>3545.93373</v>
      </c>
      <c r="E558" s="19" t="n">
        <f aca="false">E554*E557</f>
        <v>6364.6382472282</v>
      </c>
      <c r="F558" s="19" t="n">
        <f aca="false">F554*F557</f>
        <v>8067.92208759447</v>
      </c>
      <c r="G558" s="19" t="n">
        <f aca="false">G554*G557</f>
        <v>8731.10684180974</v>
      </c>
    </row>
    <row r="559" customFormat="false" ht="17.15" hidden="false" customHeight="false" outlineLevel="0" collapsed="false">
      <c r="A559" s="4" t="s">
        <v>462</v>
      </c>
      <c r="B559" s="0" t="s">
        <v>52</v>
      </c>
      <c r="D559" s="15" t="n">
        <f aca="false">0</f>
        <v>0</v>
      </c>
      <c r="E559" s="15" t="n">
        <f aca="false">cs_27</f>
        <v>0.1</v>
      </c>
      <c r="F559" s="15" t="n">
        <f aca="false">cs_28</f>
        <v>0.2</v>
      </c>
      <c r="G559" s="15" t="n">
        <f aca="false">cs_29</f>
        <v>0.25</v>
      </c>
      <c r="H559" s="8" t="s">
        <v>463</v>
      </c>
    </row>
    <row r="560" customFormat="false" ht="17.15" hidden="false" customHeight="false" outlineLevel="0" collapsed="false">
      <c r="A560" s="0" t="s">
        <v>464</v>
      </c>
      <c r="B560" s="0" t="s">
        <v>209</v>
      </c>
      <c r="C560" s="19" t="n">
        <f aca="false">a25_ai</f>
        <v>1620.621</v>
      </c>
      <c r="D560" s="19" t="n">
        <f aca="false">D558*(1-D559)</f>
        <v>3545.93373</v>
      </c>
      <c r="E560" s="19" t="n">
        <f aca="false">E558*(1-E559)</f>
        <v>5728.17442250538</v>
      </c>
      <c r="F560" s="19" t="n">
        <f aca="false">F558*(1-F559)</f>
        <v>6454.33767007557</v>
      </c>
      <c r="G560" s="19" t="n">
        <f aca="false">G558*(1-G559)</f>
        <v>6548.3301313573</v>
      </c>
    </row>
    <row r="561" customFormat="false" ht="17.15" hidden="false" customHeight="false" outlineLevel="0" collapsed="false">
      <c r="A561" s="6" t="s">
        <v>465</v>
      </c>
    </row>
    <row r="562" customFormat="false" ht="17.15" hidden="false" customHeight="false" outlineLevel="0" collapsed="false">
      <c r="A562" s="4" t="s">
        <v>382</v>
      </c>
      <c r="B562" s="0" t="s">
        <v>209</v>
      </c>
      <c r="C562" s="19" t="n">
        <f aca="false">a25_cn</f>
        <v>1620.621</v>
      </c>
      <c r="D562" s="19" t="n">
        <f aca="false">a26_cn</f>
        <v>2363.95582</v>
      </c>
      <c r="E562" s="19" t="n">
        <f aca="false">D562*(1+g_cn27)</f>
        <v>2647.6305184</v>
      </c>
      <c r="F562" s="19" t="n">
        <f aca="false">E562*(1+g_cn28)</f>
        <v>2859.440959872</v>
      </c>
      <c r="G562" s="19" t="n">
        <f aca="false">F562*(1+g_cn29)</f>
        <v>3031.00741746432</v>
      </c>
    </row>
    <row r="563" customFormat="false" ht="17.15" hidden="false" customHeight="false" outlineLevel="0" collapsed="false">
      <c r="A563" s="4" t="s">
        <v>383</v>
      </c>
      <c r="B563" s="0" t="s">
        <v>209</v>
      </c>
      <c r="C563" s="19" t="n">
        <f aca="false">a25_ce</f>
        <v>3079.1799</v>
      </c>
      <c r="D563" s="19" t="n">
        <f aca="false">a26_ce</f>
        <v>3345.2205</v>
      </c>
      <c r="E563" s="19" t="n">
        <f aca="false">D563*(1+GCEHI27)</f>
        <v>3612.83814</v>
      </c>
      <c r="F563" s="19" t="n">
        <f aca="false">E563*(1+GCEHI28)</f>
        <v>3829.6084284</v>
      </c>
      <c r="G563" s="19" t="n">
        <f aca="false">F563*(1+GCEHI29)</f>
        <v>4059.384934104</v>
      </c>
    </row>
    <row r="564" customFormat="false" ht="15" hidden="false" customHeight="false" outlineLevel="0" collapsed="false">
      <c r="A564" s="4" t="s">
        <v>384</v>
      </c>
      <c r="B564" s="0" t="s">
        <v>209</v>
      </c>
      <c r="C564" s="19" t="n">
        <f aca="false">a25_pc</f>
        <v>1215.46575</v>
      </c>
      <c r="D564" s="19" t="n">
        <f aca="false">a26_pc</f>
        <v>1338.0882</v>
      </c>
      <c r="E564" s="19" t="n">
        <f aca="false">D564*(1+g_pc27)</f>
        <v>1311.326436</v>
      </c>
      <c r="F564" s="19" t="n">
        <f aca="false">E564*(1+g_pc28)</f>
        <v>1311.326436</v>
      </c>
      <c r="G564" s="19" t="n">
        <f aca="false">F564*(1+g_pc29)</f>
        <v>1311.326436</v>
      </c>
    </row>
    <row r="565" customFormat="false" ht="15" hidden="false" customHeight="false" outlineLevel="0" collapsed="false">
      <c r="A565" s="4" t="s">
        <v>466</v>
      </c>
      <c r="B565" s="0" t="s">
        <v>209</v>
      </c>
      <c r="C565" s="19" t="n">
        <f aca="false">a25_co</f>
        <v>567.217349999999</v>
      </c>
      <c r="D565" s="19" t="n">
        <f aca="false">a26_co</f>
        <v>557.53675</v>
      </c>
      <c r="E565" s="19" t="n">
        <f aca="false">D565*(1+g_co27)</f>
        <v>602.13969</v>
      </c>
      <c r="F565" s="19" t="n">
        <f aca="false">E565*(1+g_co28)</f>
        <v>638.2680714</v>
      </c>
      <c r="G565" s="19" t="n">
        <f aca="false">F565*(1+g_co29)</f>
        <v>670.18147497</v>
      </c>
    </row>
    <row r="566" customFormat="false" ht="17.15" hidden="false" customHeight="false" outlineLevel="0" collapsed="false">
      <c r="A566" s="4" t="s">
        <v>387</v>
      </c>
      <c r="B566" s="0" t="s">
        <v>209</v>
      </c>
      <c r="C566" s="19" t="n">
        <f aca="false">SUM(C562:C565)</f>
        <v>6482.484</v>
      </c>
      <c r="D566" s="19" t="n">
        <f aca="false">SUM(D562:D565)</f>
        <v>7604.80127</v>
      </c>
      <c r="E566" s="19" t="n">
        <f aca="false">SUM(E562:E565)</f>
        <v>8173.9347844</v>
      </c>
      <c r="F566" s="19" t="n">
        <f aca="false">SUM(F562:F565)</f>
        <v>8638.643895672</v>
      </c>
      <c r="G566" s="19" t="n">
        <f aca="false">SUM(G562:G565)</f>
        <v>9071.90026253832</v>
      </c>
    </row>
    <row r="567" customFormat="false" ht="15" hidden="false" customHeight="false" outlineLevel="0" collapsed="false">
      <c r="A567" s="4" t="s">
        <v>353</v>
      </c>
      <c r="B567" s="0" t="s">
        <v>209</v>
      </c>
      <c r="C567" s="19" t="n">
        <f aca="false">C560+C566</f>
        <v>8103.105</v>
      </c>
      <c r="D567" s="19" t="n">
        <f aca="false">D560+D566</f>
        <v>11150.735</v>
      </c>
      <c r="E567" s="19" t="n">
        <f aca="false">E560+E566</f>
        <v>13902.1092069054</v>
      </c>
      <c r="F567" s="19" t="n">
        <f aca="false">F560+F566</f>
        <v>15092.9815657476</v>
      </c>
      <c r="G567" s="19" t="n">
        <f aca="false">G560+G566</f>
        <v>15620.2303938956</v>
      </c>
    </row>
    <row r="568" customFormat="false" ht="17.15" hidden="false" customHeight="false" outlineLevel="0" collapsed="false">
      <c r="A568" s="4" t="s">
        <v>467</v>
      </c>
      <c r="B568" s="0" t="s">
        <v>209</v>
      </c>
      <c r="C568" s="19" t="n">
        <f aca="false">C560+C562</f>
        <v>3241.242</v>
      </c>
      <c r="D568" s="19" t="n">
        <f aca="false">D560+D562</f>
        <v>5909.88955</v>
      </c>
      <c r="E568" s="19" t="n">
        <f aca="false">E560+E562</f>
        <v>8375.80494090538</v>
      </c>
      <c r="F568" s="19" t="n">
        <f aca="false">F560+F562</f>
        <v>9313.77862994757</v>
      </c>
      <c r="G568" s="19" t="n">
        <f aca="false">G560+G562</f>
        <v>9579.33754882162</v>
      </c>
      <c r="H568" s="4" t="s">
        <v>468</v>
      </c>
    </row>
    <row r="569" customFormat="false" ht="17.15" hidden="false" customHeight="false" outlineLevel="0" collapsed="false">
      <c r="A569" s="4" t="s">
        <v>469</v>
      </c>
      <c r="B569" s="0" t="s">
        <v>209</v>
      </c>
      <c r="C569" s="23" t="n">
        <f aca="false">C568+C563+C564+C565-a25_rev</f>
        <v>0</v>
      </c>
      <c r="D569" s="23" t="n">
        <f aca="false">D568+D563+D564+D565-a26_rev</f>
        <v>0</v>
      </c>
      <c r="E569" s="23" t="n">
        <f aca="false">E568+E563+E564+E565-E567</f>
        <v>0</v>
      </c>
      <c r="F569" s="23" t="n">
        <f aca="false">F568+F563+F564+F565-F567</f>
        <v>0</v>
      </c>
      <c r="G569" s="23" t="n">
        <f aca="false">G568+G563+G564+G565-G567</f>
        <v>0</v>
      </c>
    </row>
    <row r="570" customFormat="false" ht="15" hidden="false" customHeight="false" outlineLevel="0" collapsed="false">
      <c r="A570" s="4" t="s">
        <v>470</v>
      </c>
      <c r="B570" s="0" t="s">
        <v>52</v>
      </c>
      <c r="D570" s="15" t="n">
        <f aca="false">D567/C567-1</f>
        <v>0.376106443147411</v>
      </c>
      <c r="E570" s="15" t="n">
        <f aca="false">E567/D567-1</f>
        <v>0.246743753385349</v>
      </c>
      <c r="F570" s="15" t="n">
        <f aca="false">F567/E567-1</f>
        <v>0.0856612720500476</v>
      </c>
      <c r="G570" s="15" t="n">
        <f aca="false">G567/F567-1</f>
        <v>0.0349333778651531</v>
      </c>
    </row>
    <row r="571" customFormat="false" ht="17.15" hidden="false" customHeight="false" outlineLevel="0" collapsed="false">
      <c r="A571" s="0" t="s">
        <v>471</v>
      </c>
      <c r="B571" s="0" t="s">
        <v>52</v>
      </c>
      <c r="C571" s="15" t="n">
        <f aca="false">C560/C567</f>
        <v>0.2</v>
      </c>
      <c r="D571" s="15" t="n">
        <f aca="false">D560/D567</f>
        <v>0.318</v>
      </c>
      <c r="E571" s="15" t="n">
        <f aca="false">E560/E567</f>
        <v>0.412036356300533</v>
      </c>
      <c r="F571" s="15" t="n">
        <f aca="false">F560/F567</f>
        <v>0.427638345807248</v>
      </c>
      <c r="G571" s="15" t="n">
        <f aca="false">G560/G567</f>
        <v>0.419221097655281</v>
      </c>
    </row>
    <row r="572" customFormat="false" ht="17.15" hidden="false" customHeight="false" outlineLevel="0" collapsed="false">
      <c r="A572" s="4" t="s">
        <v>472</v>
      </c>
      <c r="B572" s="0" t="s">
        <v>52</v>
      </c>
      <c r="C572" s="15" t="n">
        <f aca="false">(C560+C562)/C567</f>
        <v>0.4</v>
      </c>
      <c r="D572" s="15" t="n">
        <f aca="false">(D560+D562)/D567</f>
        <v>0.53</v>
      </c>
      <c r="E572" s="15" t="n">
        <f aca="false">(E560+E562)/E567</f>
        <v>0.602484473129084</v>
      </c>
      <c r="F572" s="15" t="n">
        <f aca="false">(F560+F562)/F567</f>
        <v>0.617093354906397</v>
      </c>
      <c r="G572" s="15" t="n">
        <f aca="false">(G560+G562)/G567</f>
        <v>0.61326480514431</v>
      </c>
    </row>
    <row r="573" customFormat="false" ht="17.15" hidden="false" customHeight="false" outlineLevel="0" collapsed="false">
      <c r="A573" s="4" t="s">
        <v>418</v>
      </c>
      <c r="B573" s="0" t="s">
        <v>405</v>
      </c>
      <c r="D573" s="16" t="n">
        <f aca="false">D560/fx/D551</f>
        <v>4.7355819103481</v>
      </c>
      <c r="E573" s="16" t="n">
        <f aca="false">E560/fx/E551</f>
        <v>4.29818371613545</v>
      </c>
      <c r="F573" s="16" t="n">
        <f aca="false">F560/fx/F551</f>
        <v>3.82060774767595</v>
      </c>
      <c r="G573" s="16" t="n">
        <f aca="false">G560/fx/G551</f>
        <v>3.4027287752739</v>
      </c>
    </row>
    <row r="574" customFormat="false" ht="17.15" hidden="false" customHeight="false" outlineLevel="0" collapsed="false">
      <c r="A574" s="4" t="s">
        <v>473</v>
      </c>
      <c r="B574" s="4" t="s">
        <v>416</v>
      </c>
      <c r="D574" s="19" t="n">
        <f aca="false">D558/fx/(odm_gb*(1-vr26)+odm_vr*vr26)</f>
        <v>24.0630682003257</v>
      </c>
      <c r="E574" s="19" t="n">
        <f aca="false">E558/fx/odm_vr</f>
        <v>29.4659178112417</v>
      </c>
      <c r="F574" s="19" t="n">
        <f aca="false">F558/fx/odm_vr</f>
        <v>37.3514911462707</v>
      </c>
      <c r="G574" s="19" t="n">
        <f aca="false">G558/fx/odm_vr</f>
        <v>40.4217909343043</v>
      </c>
      <c r="H574" s="4" t="s">
        <v>474</v>
      </c>
    </row>
    <row r="575" customFormat="false" ht="17.15" hidden="false" customHeight="false" outlineLevel="0" collapsed="false">
      <c r="A575" s="6" t="s">
        <v>475</v>
      </c>
    </row>
    <row r="576" customFormat="false" ht="17.15" hidden="false" customHeight="false" outlineLevel="0" collapsed="false">
      <c r="A576" s="4" t="s">
        <v>476</v>
      </c>
      <c r="B576" s="0" t="s">
        <v>52</v>
      </c>
      <c r="D576" s="14" t="n">
        <f aca="false">a26_gp/D567-d_ai*D571</f>
        <v>0.0621989258510762</v>
      </c>
      <c r="H576" s="8" t="s">
        <v>477</v>
      </c>
    </row>
    <row r="577" customFormat="false" ht="17.15" hidden="false" customHeight="false" outlineLevel="0" collapsed="false">
      <c r="A577" s="0" t="s">
        <v>478</v>
      </c>
      <c r="B577" s="0" t="s">
        <v>209</v>
      </c>
      <c r="D577" s="22" t="n">
        <f aca="false">($D$576+d_ai)*D558*(1-D559*(1-keep))</f>
        <v>202.8236004951</v>
      </c>
      <c r="E577" s="22" t="n">
        <f aca="false">($D$576+d_ai+vrd)*E558*(1-E559*(1-keep))</f>
        <v>347.807982730896</v>
      </c>
      <c r="F577" s="22" t="n">
        <f aca="false">($D$576+d_ai+vrd)*F558*(1-F559*(1-keep))</f>
        <v>436.433820423679</v>
      </c>
      <c r="G577" s="22" t="n">
        <f aca="false">($D$576+d_ai+vrd)*G558*(1-G559*(1-keep))</f>
        <v>469.899026179908</v>
      </c>
      <c r="H577" s="4" t="s">
        <v>479</v>
      </c>
    </row>
    <row r="578" customFormat="false" ht="15" hidden="false" customHeight="false" outlineLevel="0" collapsed="false">
      <c r="A578" s="4" t="s">
        <v>357</v>
      </c>
      <c r="B578" s="0" t="s">
        <v>209</v>
      </c>
      <c r="C578" s="19" t="n">
        <f aca="false">a25_gp</f>
        <v>498.161</v>
      </c>
      <c r="D578" s="19" t="n">
        <f aca="false">a26_gp</f>
        <v>675.8340708</v>
      </c>
      <c r="E578" s="19" t="n">
        <f aca="false">$D$576*E566+E577</f>
        <v>856.217946297324</v>
      </c>
      <c r="F578" s="19" t="n">
        <f aca="false">$D$576*F566+F577</f>
        <v>973.748191544434</v>
      </c>
      <c r="G578" s="19" t="n">
        <f aca="false">$D$576*G566+G577</f>
        <v>1034.16147793789</v>
      </c>
    </row>
    <row r="579" customFormat="false" ht="15" hidden="false" customHeight="false" outlineLevel="0" collapsed="false">
      <c r="A579" s="4" t="s">
        <v>360</v>
      </c>
      <c r="B579" s="0" t="s">
        <v>52</v>
      </c>
      <c r="C579" s="14" t="n">
        <f aca="false">C578/C567</f>
        <v>0.0614777915379352</v>
      </c>
      <c r="D579" s="14" t="n">
        <f aca="false">D578/D567</f>
        <v>0.0606089258510762</v>
      </c>
      <c r="E579" s="14" t="n">
        <f aca="false">E578/E567</f>
        <v>0.0615890677849105</v>
      </c>
      <c r="F579" s="14" t="n">
        <f aca="false">F578/F567</f>
        <v>0.064516622332216</v>
      </c>
      <c r="G579" s="14" t="n">
        <f aca="false">G578/G567</f>
        <v>0.0662065444528934</v>
      </c>
    </row>
    <row r="580" customFormat="false" ht="17.15" hidden="false" customHeight="false" outlineLevel="0" collapsed="false">
      <c r="A580" s="0" t="s">
        <v>480</v>
      </c>
      <c r="B580" s="0" t="s">
        <v>52</v>
      </c>
      <c r="D580" s="14" t="n">
        <f aca="false">D577/D560</f>
        <v>0.0571989258510762</v>
      </c>
      <c r="E580" s="14" t="n">
        <f aca="false">E577/E560</f>
        <v>0.0607188184361838</v>
      </c>
      <c r="F580" s="14" t="n">
        <f aca="false">F577/F560</f>
        <v>0.0676186841675683</v>
      </c>
      <c r="G580" s="14" t="n">
        <f aca="false">G577/G560</f>
        <v>0.0717586036063991</v>
      </c>
      <c r="H580" s="4" t="s">
        <v>481</v>
      </c>
    </row>
    <row r="581" customFormat="false" ht="15" hidden="false" customHeight="false" outlineLevel="0" collapsed="false">
      <c r="A581" s="4" t="s">
        <v>482</v>
      </c>
      <c r="B581" s="0" t="s">
        <v>209</v>
      </c>
      <c r="C581" s="19" t="n">
        <f aca="false">a25_opx</f>
        <v>238.938</v>
      </c>
      <c r="D581" s="19" t="n">
        <f aca="false">a26_opx</f>
        <v>254.8304233</v>
      </c>
      <c r="E581" s="19" t="n">
        <f aca="false">D581*(1+MAX(0,phi*E570))</f>
        <v>279.981549348728</v>
      </c>
      <c r="F581" s="19" t="n">
        <f aca="false">E581*(1+MAX(0,phi*F570))</f>
        <v>289.57497961583</v>
      </c>
      <c r="G581" s="19" t="n">
        <f aca="false">F581*(1+MAX(0,phi*G570))</f>
        <v>293.621312489115</v>
      </c>
    </row>
    <row r="582" customFormat="false" ht="15" hidden="false" customHeight="false" outlineLevel="0" collapsed="false">
      <c r="A582" s="4" t="s">
        <v>361</v>
      </c>
      <c r="B582" s="0" t="s">
        <v>209</v>
      </c>
      <c r="C582" s="19" t="n">
        <f aca="false">C581</f>
        <v>238.938</v>
      </c>
      <c r="D582" s="19" t="n">
        <f aca="false">D581</f>
        <v>254.8304233</v>
      </c>
      <c r="E582" s="19" t="n">
        <f aca="false">E581+0*E567</f>
        <v>279.981549348728</v>
      </c>
      <c r="F582" s="19" t="n">
        <f aca="false">F581+0*F567</f>
        <v>289.57497961583</v>
      </c>
      <c r="G582" s="19" t="n">
        <f aca="false">G581+0*G567</f>
        <v>293.621312489115</v>
      </c>
    </row>
    <row r="583" customFormat="false" ht="15" hidden="false" customHeight="false" outlineLevel="0" collapsed="false">
      <c r="A583" s="4" t="s">
        <v>364</v>
      </c>
      <c r="B583" s="0" t="s">
        <v>209</v>
      </c>
      <c r="C583" s="19" t="n">
        <f aca="false">C578-C582</f>
        <v>259.223</v>
      </c>
      <c r="D583" s="19" t="n">
        <f aca="false">D578-D582</f>
        <v>421.0036475</v>
      </c>
      <c r="E583" s="19" t="n">
        <f aca="false">E578-E582</f>
        <v>576.236396948597</v>
      </c>
      <c r="F583" s="19" t="n">
        <f aca="false">F578-F582</f>
        <v>684.173211928604</v>
      </c>
      <c r="G583" s="19" t="n">
        <f aca="false">G578-G582</f>
        <v>740.540165448772</v>
      </c>
    </row>
    <row r="584" customFormat="false" ht="15" hidden="false" customHeight="false" outlineLevel="0" collapsed="false">
      <c r="A584" s="4" t="s">
        <v>367</v>
      </c>
      <c r="B584" s="0" t="s">
        <v>52</v>
      </c>
      <c r="C584" s="14" t="n">
        <f aca="false">C583/C567</f>
        <v>0.0319905764518663</v>
      </c>
      <c r="D584" s="14" t="n">
        <f aca="false">D583/D567</f>
        <v>0.0377556858359561</v>
      </c>
      <c r="E584" s="14" t="n">
        <f aca="false">E583/E567</f>
        <v>0.0414495662760563</v>
      </c>
      <c r="F584" s="14" t="n">
        <f aca="false">F583/F567</f>
        <v>0.0453305537377244</v>
      </c>
      <c r="G584" s="14" t="n">
        <f aca="false">G583/G567</f>
        <v>0.0474090424260435</v>
      </c>
    </row>
    <row r="585" customFormat="false" ht="17.15" hidden="false" customHeight="false" outlineLevel="0" collapsed="false">
      <c r="A585" s="4" t="s">
        <v>243</v>
      </c>
      <c r="B585" s="0" t="s">
        <v>52</v>
      </c>
      <c r="C585" s="15" t="n">
        <f aca="false">a25_ni/a25_oi</f>
        <v>0.730467589681471</v>
      </c>
      <c r="D585" s="15" t="n">
        <f aca="false">a26_ni/a26_oi</f>
        <v>0.653811645064191</v>
      </c>
      <c r="E585" s="15" t="n">
        <f aca="false">nio_f</f>
        <v>0.66</v>
      </c>
      <c r="F585" s="15" t="n">
        <f aca="false">nio_f</f>
        <v>0.66</v>
      </c>
      <c r="G585" s="15" t="n">
        <f aca="false">nio_f</f>
        <v>0.66</v>
      </c>
    </row>
    <row r="586" customFormat="false" ht="15" hidden="false" customHeight="false" outlineLevel="0" collapsed="false">
      <c r="A586" s="4" t="s">
        <v>368</v>
      </c>
      <c r="B586" s="0" t="s">
        <v>209</v>
      </c>
      <c r="C586" s="19" t="n">
        <f aca="false">a25_ni</f>
        <v>189.354</v>
      </c>
      <c r="D586" s="19" t="n">
        <f aca="false">a26_ni</f>
        <v>275.25708735</v>
      </c>
      <c r="E586" s="19" t="n">
        <f aca="false">E583*E585</f>
        <v>380.316021986074</v>
      </c>
      <c r="F586" s="19" t="n">
        <f aca="false">F583*F585</f>
        <v>451.554319872879</v>
      </c>
      <c r="G586" s="19" t="n">
        <f aca="false">G583*G585</f>
        <v>488.75650919619</v>
      </c>
    </row>
    <row r="587" customFormat="false" ht="15" hidden="false" customHeight="false" outlineLevel="0" collapsed="false">
      <c r="A587" s="4" t="s">
        <v>483</v>
      </c>
      <c r="B587" s="4" t="s">
        <v>230</v>
      </c>
      <c r="C587" s="23" t="n">
        <f aca="false">a25_sh</f>
        <v>13.9128581925055</v>
      </c>
      <c r="D587" s="23" t="n">
        <f aca="false">a26_sh</f>
        <v>14.0169642857143</v>
      </c>
      <c r="E587" s="23" t="n">
        <f aca="false">D587*(1+sh_g)</f>
        <v>14.0169642857143</v>
      </c>
      <c r="F587" s="23" t="n">
        <f aca="false">E587*(1+sh_g)</f>
        <v>14.0169642857143</v>
      </c>
      <c r="G587" s="23" t="n">
        <f aca="false">F587*(1+sh_g)</f>
        <v>14.0169642857143</v>
      </c>
    </row>
    <row r="588" customFormat="false" ht="15" hidden="false" customHeight="false" outlineLevel="0" collapsed="false">
      <c r="A588" s="0" t="s">
        <v>374</v>
      </c>
      <c r="B588" s="0" t="s">
        <v>260</v>
      </c>
      <c r="C588" s="22" t="n">
        <f aca="false">C586/C587</f>
        <v>13.61</v>
      </c>
      <c r="D588" s="22" t="n">
        <f aca="false">D586/D587</f>
        <v>19.6374251756163</v>
      </c>
      <c r="E588" s="22" t="n">
        <f aca="false">E586/E587</f>
        <v>27.1325526864388</v>
      </c>
      <c r="F588" s="22" t="n">
        <f aca="false">F586/F587</f>
        <v>32.2148441466096</v>
      </c>
      <c r="G588" s="22" t="n">
        <f aca="false">G586/G587</f>
        <v>34.8689273393039</v>
      </c>
    </row>
    <row r="589" customFormat="false" ht="17.15" hidden="false" customHeight="false" outlineLevel="0" collapsed="false">
      <c r="A589" s="0" t="s">
        <v>484</v>
      </c>
      <c r="B589" s="0" t="s">
        <v>52</v>
      </c>
      <c r="D589" s="15" t="n">
        <f aca="false">D588/C588-1</f>
        <v>0.442867389832203</v>
      </c>
      <c r="E589" s="15" t="n">
        <f aca="false">E588/D588-1</f>
        <v>0.381675675084389</v>
      </c>
      <c r="F589" s="15" t="n">
        <f aca="false">F588/E588-1</f>
        <v>0.187313428224208</v>
      </c>
      <c r="G589" s="15" t="n">
        <f aca="false">G588/F588-1</f>
        <v>0.0823869636188712</v>
      </c>
    </row>
    <row r="592" customFormat="false" ht="17.15" hidden="false" customHeight="false" outlineLevel="0" collapsed="false">
      <c r="A592" s="1" t="s">
        <v>844</v>
      </c>
    </row>
    <row r="593" customFormat="false" ht="17.15" hidden="false" customHeight="false" outlineLevel="0" collapsed="false">
      <c r="A593" s="5" t="s">
        <v>21</v>
      </c>
      <c r="B593" s="5" t="s">
        <v>22</v>
      </c>
      <c r="C593" s="11" t="s">
        <v>347</v>
      </c>
      <c r="D593" s="11" t="s">
        <v>429</v>
      </c>
      <c r="E593" s="11" t="s">
        <v>430</v>
      </c>
      <c r="F593" s="11" t="s">
        <v>431</v>
      </c>
      <c r="G593" s="11" t="s">
        <v>432</v>
      </c>
      <c r="H593" s="5" t="s">
        <v>400</v>
      </c>
    </row>
    <row r="594" customFormat="false" ht="17.15" hidden="false" customHeight="false" outlineLevel="0" collapsed="false">
      <c r="A594" s="6" t="s">
        <v>450</v>
      </c>
    </row>
    <row r="595" customFormat="false" ht="17.15" hidden="false" customHeight="false" outlineLevel="0" collapsed="false">
      <c r="A595" s="0" t="s">
        <v>451</v>
      </c>
      <c r="B595" s="0" t="s">
        <v>32</v>
      </c>
      <c r="D595" s="22" t="n">
        <f aca="false">itc_26*1</f>
        <v>781.872916666666</v>
      </c>
      <c r="E595" s="22" t="n">
        <f aca="false">itc_27*1*1</f>
        <v>1565.35</v>
      </c>
      <c r="F595" s="22" t="n">
        <f aca="false">itc_28*um28_A*1</f>
        <v>1984.26388888889</v>
      </c>
      <c r="G595" s="22" t="n">
        <f aca="false">itc_29*um29_A*1</f>
        <v>2260.39027777778</v>
      </c>
    </row>
    <row r="596" customFormat="false" ht="17.15" hidden="false" customHeight="false" outlineLevel="0" collapsed="false">
      <c r="A596" s="4" t="s">
        <v>452</v>
      </c>
      <c r="B596" s="0" t="s">
        <v>32</v>
      </c>
      <c r="D596" s="22" t="n">
        <f aca="false">itpg_gb*(1-vr26)+itpg_vr*vr26</f>
        <v>33.41403216</v>
      </c>
      <c r="E596" s="22" t="n">
        <f aca="false">itpg_vr</f>
        <v>37.586352</v>
      </c>
      <c r="F596" s="22" t="n">
        <f aca="false">itpg_vr</f>
        <v>37.586352</v>
      </c>
      <c r="G596" s="22" t="n">
        <f aca="false">itpg_vr</f>
        <v>37.586352</v>
      </c>
    </row>
    <row r="597" customFormat="false" ht="17.15" hidden="false" customHeight="false" outlineLevel="0" collapsed="false">
      <c r="A597" s="4" t="s">
        <v>453</v>
      </c>
      <c r="B597" s="0" t="s">
        <v>402</v>
      </c>
      <c r="D597" s="18" t="n">
        <f aca="false">D595/D596</f>
        <v>23.3995380420639</v>
      </c>
      <c r="E597" s="18" t="n">
        <f aca="false">E595/E596</f>
        <v>41.6467658260637</v>
      </c>
      <c r="F597" s="18" t="n">
        <f aca="false">F595/F596</f>
        <v>52.792138191248</v>
      </c>
      <c r="G597" s="18" t="n">
        <f aca="false">G595/G596</f>
        <v>60.1385917361116</v>
      </c>
    </row>
    <row r="598" customFormat="false" ht="17.15" hidden="false" customHeight="false" outlineLevel="0" collapsed="false">
      <c r="A598" s="4" t="s">
        <v>404</v>
      </c>
      <c r="B598" s="0" t="s">
        <v>405</v>
      </c>
      <c r="D598" s="16" t="n">
        <f aca="false">(racks_gb*odm_gb*(1-vr26)+racks_vr*odm_vr*vr26)/1000</f>
        <v>27.1209</v>
      </c>
      <c r="E598" s="16" t="n">
        <f aca="false">racks_vr*odm_vr/1000</f>
        <v>27.351</v>
      </c>
      <c r="F598" s="16" t="n">
        <f aca="false">$E598*vpg_28</f>
        <v>27.351</v>
      </c>
      <c r="G598" s="16" t="n">
        <f aca="false">$E598*vpg_29</f>
        <v>27.351</v>
      </c>
      <c r="H598" s="4" t="s">
        <v>454</v>
      </c>
    </row>
    <row r="599" customFormat="false" ht="17.15" hidden="false" customHeight="false" outlineLevel="0" collapsed="false">
      <c r="A599" s="0" t="s">
        <v>455</v>
      </c>
      <c r="B599" s="0" t="s">
        <v>32</v>
      </c>
      <c r="D599" s="19" t="n">
        <f aca="false">D597*D598</f>
        <v>634.61653128501</v>
      </c>
      <c r="E599" s="19" t="n">
        <f aca="false">E597*E598</f>
        <v>1139.08069210867</v>
      </c>
      <c r="F599" s="19" t="n">
        <f aca="false">F597*F598</f>
        <v>1443.91777166882</v>
      </c>
      <c r="G599" s="19" t="n">
        <f aca="false">G597*G598</f>
        <v>1644.85062257439</v>
      </c>
    </row>
    <row r="600" customFormat="false" ht="17.15" hidden="false" customHeight="false" outlineLevel="0" collapsed="false">
      <c r="A600" s="0" t="s">
        <v>456</v>
      </c>
      <c r="B600" s="0" t="s">
        <v>209</v>
      </c>
      <c r="D600" s="19" t="n">
        <f aca="false">D599*fx</f>
        <v>20307.7290011203</v>
      </c>
      <c r="E600" s="19" t="n">
        <f aca="false">E599*fx</f>
        <v>36450.5821474774</v>
      </c>
      <c r="F600" s="19" t="n">
        <f aca="false">F599*fx</f>
        <v>46205.3686934024</v>
      </c>
      <c r="G600" s="19" t="n">
        <f aca="false">G599*fx</f>
        <v>52635.2199223804</v>
      </c>
    </row>
    <row r="601" customFormat="false" ht="17.15" hidden="false" customHeight="false" outlineLevel="0" collapsed="false">
      <c r="A601" s="4" t="s">
        <v>457</v>
      </c>
      <c r="B601" s="0" t="s">
        <v>52</v>
      </c>
      <c r="D601" s="15" t="n">
        <f aca="false">a26_ai/D600</f>
        <v>0.174610057569922</v>
      </c>
      <c r="H601" s="8" t="s">
        <v>458</v>
      </c>
    </row>
    <row r="602" customFormat="false" ht="17.15" hidden="false" customHeight="false" outlineLevel="0" collapsed="false">
      <c r="A602" s="4" t="s">
        <v>459</v>
      </c>
      <c r="B602" s="0" t="s">
        <v>71</v>
      </c>
      <c r="D602" s="16" t="n">
        <f aca="false">1</f>
        <v>1</v>
      </c>
      <c r="E602" s="16" t="n">
        <f aca="false">rel_27</f>
        <v>1</v>
      </c>
      <c r="F602" s="16" t="n">
        <f aca="false">rel_28</f>
        <v>1</v>
      </c>
      <c r="G602" s="16" t="n">
        <f aca="false">rel_29</f>
        <v>0.95</v>
      </c>
    </row>
    <row r="603" customFormat="false" ht="15" hidden="false" customHeight="false" outlineLevel="0" collapsed="false">
      <c r="A603" s="4" t="s">
        <v>460</v>
      </c>
      <c r="B603" s="0" t="s">
        <v>52</v>
      </c>
      <c r="D603" s="15" t="n">
        <f aca="false">$D$601*D602</f>
        <v>0.174610057569922</v>
      </c>
      <c r="E603" s="15" t="n">
        <f aca="false">$D$601*E602</f>
        <v>0.174610057569922</v>
      </c>
      <c r="F603" s="15" t="n">
        <f aca="false">$D$601*F602</f>
        <v>0.174610057569922</v>
      </c>
      <c r="G603" s="15" t="n">
        <f aca="false">$D$601*G602</f>
        <v>0.165879554691426</v>
      </c>
    </row>
    <row r="604" customFormat="false" ht="17.15" hidden="false" customHeight="false" outlineLevel="0" collapsed="false">
      <c r="A604" s="0" t="s">
        <v>461</v>
      </c>
      <c r="B604" s="0" t="s">
        <v>209</v>
      </c>
      <c r="D604" s="19" t="n">
        <f aca="false">D600*D603</f>
        <v>3545.93373</v>
      </c>
      <c r="E604" s="19" t="n">
        <f aca="false">E600*E603</f>
        <v>6364.6382472282</v>
      </c>
      <c r="F604" s="19" t="n">
        <f aca="false">F600*F603</f>
        <v>8067.92208759447</v>
      </c>
      <c r="G604" s="19" t="n">
        <f aca="false">G600*G603</f>
        <v>8731.10684180974</v>
      </c>
    </row>
    <row r="605" customFormat="false" ht="17.15" hidden="false" customHeight="false" outlineLevel="0" collapsed="false">
      <c r="A605" s="4" t="s">
        <v>462</v>
      </c>
      <c r="B605" s="0" t="s">
        <v>52</v>
      </c>
      <c r="D605" s="15" t="n">
        <f aca="false">0</f>
        <v>0</v>
      </c>
      <c r="E605" s="15" t="n">
        <f aca="false">cs_27</f>
        <v>0.1</v>
      </c>
      <c r="F605" s="15" t="n">
        <f aca="false">cs_28</f>
        <v>0.2</v>
      </c>
      <c r="G605" s="15" t="n">
        <f aca="false">cs_29</f>
        <v>0.25</v>
      </c>
      <c r="H605" s="8" t="s">
        <v>463</v>
      </c>
    </row>
    <row r="606" customFormat="false" ht="17.15" hidden="false" customHeight="false" outlineLevel="0" collapsed="false">
      <c r="A606" s="0" t="s">
        <v>464</v>
      </c>
      <c r="B606" s="0" t="s">
        <v>209</v>
      </c>
      <c r="C606" s="19" t="n">
        <f aca="false">a25_ai</f>
        <v>1620.621</v>
      </c>
      <c r="D606" s="19" t="n">
        <f aca="false">D604*(1-D605)</f>
        <v>3545.93373</v>
      </c>
      <c r="E606" s="19" t="n">
        <f aca="false">E604*(1-E605)</f>
        <v>5728.17442250538</v>
      </c>
      <c r="F606" s="19" t="n">
        <f aca="false">F604*(1-F605)</f>
        <v>6454.33767007557</v>
      </c>
      <c r="G606" s="19" t="n">
        <f aca="false">G604*(1-G605)</f>
        <v>6548.3301313573</v>
      </c>
    </row>
    <row r="607" customFormat="false" ht="17.15" hidden="false" customHeight="false" outlineLevel="0" collapsed="false">
      <c r="A607" s="6" t="s">
        <v>465</v>
      </c>
    </row>
    <row r="608" customFormat="false" ht="17.15" hidden="false" customHeight="false" outlineLevel="0" collapsed="false">
      <c r="A608" s="4" t="s">
        <v>382</v>
      </c>
      <c r="B608" s="0" t="s">
        <v>209</v>
      </c>
      <c r="C608" s="19" t="n">
        <f aca="false">a25_cn</f>
        <v>1620.621</v>
      </c>
      <c r="D608" s="19" t="n">
        <f aca="false">a26_cn</f>
        <v>2363.95582</v>
      </c>
      <c r="E608" s="19" t="n">
        <f aca="false">D608*(1+GCNLO27)</f>
        <v>2363.95582</v>
      </c>
      <c r="F608" s="19" t="n">
        <f aca="false">E608*(1+GCNLO28)</f>
        <v>2245.758029</v>
      </c>
      <c r="G608" s="19" t="n">
        <f aca="false">F608*(1+GCNLO29)</f>
        <v>2133.47012755</v>
      </c>
    </row>
    <row r="609" customFormat="false" ht="17.15" hidden="false" customHeight="false" outlineLevel="0" collapsed="false">
      <c r="A609" s="4" t="s">
        <v>383</v>
      </c>
      <c r="B609" s="0" t="s">
        <v>209</v>
      </c>
      <c r="C609" s="19" t="n">
        <f aca="false">a25_ce</f>
        <v>3079.1799</v>
      </c>
      <c r="D609" s="19" t="n">
        <f aca="false">a26_ce</f>
        <v>3345.2205</v>
      </c>
      <c r="E609" s="19" t="n">
        <f aca="false">D609*(1+g_ce27)</f>
        <v>3445.577115</v>
      </c>
      <c r="F609" s="19" t="n">
        <f aca="false">E609*(1+g_ce28)</f>
        <v>3514.4886573</v>
      </c>
      <c r="G609" s="19" t="n">
        <f aca="false">F609*(1+g_ce29)</f>
        <v>3584.778430446</v>
      </c>
    </row>
    <row r="610" customFormat="false" ht="15" hidden="false" customHeight="false" outlineLevel="0" collapsed="false">
      <c r="A610" s="4" t="s">
        <v>384</v>
      </c>
      <c r="B610" s="0" t="s">
        <v>209</v>
      </c>
      <c r="C610" s="19" t="n">
        <f aca="false">a25_pc</f>
        <v>1215.46575</v>
      </c>
      <c r="D610" s="19" t="n">
        <f aca="false">a26_pc</f>
        <v>1338.0882</v>
      </c>
      <c r="E610" s="19" t="n">
        <f aca="false">D610*(1+g_pc27)</f>
        <v>1311.326436</v>
      </c>
      <c r="F610" s="19" t="n">
        <f aca="false">E610*(1+g_pc28)</f>
        <v>1311.326436</v>
      </c>
      <c r="G610" s="19" t="n">
        <f aca="false">F610*(1+g_pc29)</f>
        <v>1311.326436</v>
      </c>
    </row>
    <row r="611" customFormat="false" ht="15" hidden="false" customHeight="false" outlineLevel="0" collapsed="false">
      <c r="A611" s="4" t="s">
        <v>466</v>
      </c>
      <c r="B611" s="0" t="s">
        <v>209</v>
      </c>
      <c r="C611" s="19" t="n">
        <f aca="false">a25_co</f>
        <v>567.217349999999</v>
      </c>
      <c r="D611" s="19" t="n">
        <f aca="false">a26_co</f>
        <v>557.53675</v>
      </c>
      <c r="E611" s="19" t="n">
        <f aca="false">D611*(1+g_co27)</f>
        <v>602.13969</v>
      </c>
      <c r="F611" s="19" t="n">
        <f aca="false">E611*(1+g_co28)</f>
        <v>638.2680714</v>
      </c>
      <c r="G611" s="19" t="n">
        <f aca="false">F611*(1+g_co29)</f>
        <v>670.18147497</v>
      </c>
    </row>
    <row r="612" customFormat="false" ht="17.15" hidden="false" customHeight="false" outlineLevel="0" collapsed="false">
      <c r="A612" s="4" t="s">
        <v>387</v>
      </c>
      <c r="B612" s="0" t="s">
        <v>209</v>
      </c>
      <c r="C612" s="19" t="n">
        <f aca="false">SUM(C608:C611)</f>
        <v>6482.484</v>
      </c>
      <c r="D612" s="19" t="n">
        <f aca="false">SUM(D608:D611)</f>
        <v>7604.80127</v>
      </c>
      <c r="E612" s="19" t="n">
        <f aca="false">SUM(E608:E611)</f>
        <v>7722.999061</v>
      </c>
      <c r="F612" s="19" t="n">
        <f aca="false">SUM(F608:F611)</f>
        <v>7709.8411937</v>
      </c>
      <c r="G612" s="19" t="n">
        <f aca="false">SUM(G608:G611)</f>
        <v>7699.756468966</v>
      </c>
    </row>
    <row r="613" customFormat="false" ht="15" hidden="false" customHeight="false" outlineLevel="0" collapsed="false">
      <c r="A613" s="4" t="s">
        <v>353</v>
      </c>
      <c r="B613" s="0" t="s">
        <v>209</v>
      </c>
      <c r="C613" s="19" t="n">
        <f aca="false">C606+C612</f>
        <v>8103.105</v>
      </c>
      <c r="D613" s="19" t="n">
        <f aca="false">D606+D612</f>
        <v>11150.735</v>
      </c>
      <c r="E613" s="19" t="n">
        <f aca="false">E606+E612</f>
        <v>13451.1734835054</v>
      </c>
      <c r="F613" s="19" t="n">
        <f aca="false">F606+F612</f>
        <v>14164.1788637756</v>
      </c>
      <c r="G613" s="19" t="n">
        <f aca="false">G606+G612</f>
        <v>14248.0866003233</v>
      </c>
    </row>
    <row r="614" customFormat="false" ht="17.15" hidden="false" customHeight="false" outlineLevel="0" collapsed="false">
      <c r="A614" s="4" t="s">
        <v>467</v>
      </c>
      <c r="B614" s="0" t="s">
        <v>209</v>
      </c>
      <c r="C614" s="19" t="n">
        <f aca="false">C606+C608</f>
        <v>3241.242</v>
      </c>
      <c r="D614" s="19" t="n">
        <f aca="false">D606+D608</f>
        <v>5909.88955</v>
      </c>
      <c r="E614" s="19" t="n">
        <f aca="false">E606+E608</f>
        <v>8092.13024250538</v>
      </c>
      <c r="F614" s="19" t="n">
        <f aca="false">F606+F608</f>
        <v>8700.09569907557</v>
      </c>
      <c r="G614" s="19" t="n">
        <f aca="false">G606+G608</f>
        <v>8681.8002589073</v>
      </c>
      <c r="H614" s="4" t="s">
        <v>468</v>
      </c>
    </row>
    <row r="615" customFormat="false" ht="17.15" hidden="false" customHeight="false" outlineLevel="0" collapsed="false">
      <c r="A615" s="4" t="s">
        <v>469</v>
      </c>
      <c r="B615" s="0" t="s">
        <v>209</v>
      </c>
      <c r="C615" s="23" t="n">
        <f aca="false">C614+C609+C610+C611-a25_rev</f>
        <v>0</v>
      </c>
      <c r="D615" s="23" t="n">
        <f aca="false">D614+D609+D610+D611-a26_rev</f>
        <v>0</v>
      </c>
      <c r="E615" s="23" t="n">
        <f aca="false">E614+E609+E610+E611-E613</f>
        <v>0</v>
      </c>
      <c r="F615" s="23" t="n">
        <f aca="false">F614+F609+F610+F611-F613</f>
        <v>0</v>
      </c>
      <c r="G615" s="23" t="n">
        <f aca="false">G614+G609+G610+G611-G613</f>
        <v>0</v>
      </c>
    </row>
    <row r="616" customFormat="false" ht="15" hidden="false" customHeight="false" outlineLevel="0" collapsed="false">
      <c r="A616" s="4" t="s">
        <v>470</v>
      </c>
      <c r="B616" s="0" t="s">
        <v>52</v>
      </c>
      <c r="D616" s="15" t="n">
        <f aca="false">D613/C613-1</f>
        <v>0.376106443147411</v>
      </c>
      <c r="E616" s="15" t="n">
        <f aca="false">E613/D613-1</f>
        <v>0.206303753385349</v>
      </c>
      <c r="F616" s="15" t="n">
        <f aca="false">F613/E613-1</f>
        <v>0.053006927696273</v>
      </c>
      <c r="G616" s="15" t="n">
        <f aca="false">G613/F613-1</f>
        <v>0.00592393935114188</v>
      </c>
    </row>
    <row r="617" customFormat="false" ht="17.15" hidden="false" customHeight="false" outlineLevel="0" collapsed="false">
      <c r="A617" s="0" t="s">
        <v>471</v>
      </c>
      <c r="B617" s="0" t="s">
        <v>52</v>
      </c>
      <c r="C617" s="15" t="n">
        <f aca="false">C606/C613</f>
        <v>0.2</v>
      </c>
      <c r="D617" s="15" t="n">
        <f aca="false">D606/D613</f>
        <v>0.318</v>
      </c>
      <c r="E617" s="15" t="n">
        <f aca="false">E606/E613</f>
        <v>0.425849419720116</v>
      </c>
      <c r="F617" s="15" t="n">
        <f aca="false">F606/F613</f>
        <v>0.455680327970323</v>
      </c>
      <c r="G617" s="15" t="n">
        <f aca="false">G606/G613</f>
        <v>0.459593650364865</v>
      </c>
    </row>
    <row r="618" customFormat="false" ht="17.15" hidden="false" customHeight="false" outlineLevel="0" collapsed="false">
      <c r="A618" s="4" t="s">
        <v>472</v>
      </c>
      <c r="B618" s="0" t="s">
        <v>52</v>
      </c>
      <c r="C618" s="15" t="n">
        <f aca="false">(C606+C608)/C613</f>
        <v>0.4</v>
      </c>
      <c r="D618" s="15" t="n">
        <f aca="false">(D606+D608)/D613</f>
        <v>0.53</v>
      </c>
      <c r="E618" s="15" t="n">
        <f aca="false">(E606+E608)/E613</f>
        <v>0.601592883507779</v>
      </c>
      <c r="F618" s="15" t="n">
        <f aca="false">(F606+F608)/F613</f>
        <v>0.6142322673802</v>
      </c>
      <c r="G618" s="15" t="n">
        <f aca="false">(G606+G608)/G613</f>
        <v>0.609330958074771</v>
      </c>
    </row>
    <row r="619" customFormat="false" ht="17.15" hidden="false" customHeight="false" outlineLevel="0" collapsed="false">
      <c r="A619" s="4" t="s">
        <v>418</v>
      </c>
      <c r="B619" s="0" t="s">
        <v>405</v>
      </c>
      <c r="D619" s="16" t="n">
        <f aca="false">D606/fx/D597</f>
        <v>4.7355819103481</v>
      </c>
      <c r="E619" s="16" t="n">
        <f aca="false">E606/fx/E597</f>
        <v>4.29818371613545</v>
      </c>
      <c r="F619" s="16" t="n">
        <f aca="false">F606/fx/F597</f>
        <v>3.82060774767595</v>
      </c>
      <c r="G619" s="16" t="n">
        <f aca="false">G606/fx/G597</f>
        <v>3.4027287752739</v>
      </c>
    </row>
    <row r="620" customFormat="false" ht="17.15" hidden="false" customHeight="false" outlineLevel="0" collapsed="false">
      <c r="A620" s="4" t="s">
        <v>473</v>
      </c>
      <c r="B620" s="4" t="s">
        <v>416</v>
      </c>
      <c r="D620" s="19" t="n">
        <f aca="false">D604/fx/(odm_gb*(1-vr26)+odm_vr*vr26)</f>
        <v>24.0630682003257</v>
      </c>
      <c r="E620" s="19" t="n">
        <f aca="false">E604/fx/odm_vr</f>
        <v>29.4659178112417</v>
      </c>
      <c r="F620" s="19" t="n">
        <f aca="false">F604/fx/odm_vr</f>
        <v>37.3514911462707</v>
      </c>
      <c r="G620" s="19" t="n">
        <f aca="false">G604/fx/odm_vr</f>
        <v>40.4217909343043</v>
      </c>
      <c r="H620" s="4" t="s">
        <v>474</v>
      </c>
    </row>
    <row r="621" customFormat="false" ht="17.15" hidden="false" customHeight="false" outlineLevel="0" collapsed="false">
      <c r="A621" s="6" t="s">
        <v>475</v>
      </c>
    </row>
    <row r="622" customFormat="false" ht="17.15" hidden="false" customHeight="false" outlineLevel="0" collapsed="false">
      <c r="A622" s="4" t="s">
        <v>476</v>
      </c>
      <c r="B622" s="0" t="s">
        <v>52</v>
      </c>
      <c r="D622" s="14" t="n">
        <f aca="false">a26_gp/D613-d_ai*D617</f>
        <v>0.0621989258510762</v>
      </c>
      <c r="H622" s="8" t="s">
        <v>477</v>
      </c>
    </row>
    <row r="623" customFormat="false" ht="17.15" hidden="false" customHeight="false" outlineLevel="0" collapsed="false">
      <c r="A623" s="0" t="s">
        <v>478</v>
      </c>
      <c r="B623" s="0" t="s">
        <v>209</v>
      </c>
      <c r="D623" s="22" t="n">
        <f aca="false">($D$622+d_ai)*D604*(1-D605*(1-keep))</f>
        <v>202.8236004951</v>
      </c>
      <c r="E623" s="22" t="n">
        <f aca="false">($D$622+d_ai+vrd)*E604*(1-E605*(1-keep))</f>
        <v>347.807982730896</v>
      </c>
      <c r="F623" s="22" t="n">
        <f aca="false">($D$622+d_ai+vrd)*F604*(1-F605*(1-keep))</f>
        <v>436.433820423679</v>
      </c>
      <c r="G623" s="22" t="n">
        <f aca="false">($D$622+d_ai+vrd)*G604*(1-G605*(1-keep))</f>
        <v>469.899026179908</v>
      </c>
      <c r="H623" s="4" t="s">
        <v>479</v>
      </c>
    </row>
    <row r="624" customFormat="false" ht="15" hidden="false" customHeight="false" outlineLevel="0" collapsed="false">
      <c r="A624" s="4" t="s">
        <v>357</v>
      </c>
      <c r="B624" s="0" t="s">
        <v>209</v>
      </c>
      <c r="C624" s="19" t="n">
        <f aca="false">a25_gp</f>
        <v>498.161</v>
      </c>
      <c r="D624" s="19" t="n">
        <f aca="false">a26_gp</f>
        <v>675.8340708</v>
      </c>
      <c r="E624" s="19" t="n">
        <f aca="false">$D$622*E612+E623</f>
        <v>828.170228673966</v>
      </c>
      <c r="F624" s="19" t="n">
        <f aca="false">$D$622*F612+F623</f>
        <v>915.977661154198</v>
      </c>
      <c r="G624" s="19" t="n">
        <f aca="false">$D$622*G612+G623</f>
        <v>948.815607864468</v>
      </c>
    </row>
    <row r="625" customFormat="false" ht="15" hidden="false" customHeight="false" outlineLevel="0" collapsed="false">
      <c r="A625" s="4" t="s">
        <v>360</v>
      </c>
      <c r="B625" s="0" t="s">
        <v>52</v>
      </c>
      <c r="C625" s="14" t="n">
        <f aca="false">C624/C613</f>
        <v>0.0614777915379352</v>
      </c>
      <c r="D625" s="14" t="n">
        <f aca="false">D624/D613</f>
        <v>0.0606089258510762</v>
      </c>
      <c r="E625" s="14" t="n">
        <f aca="false">E624/E613</f>
        <v>0.0615686229673208</v>
      </c>
      <c r="F625" s="14" t="n">
        <f aca="false">F624/F613</f>
        <v>0.0646686030982552</v>
      </c>
      <c r="G625" s="14" t="n">
        <f aca="false">G624/G613</f>
        <v>0.0665924930469568</v>
      </c>
    </row>
    <row r="626" customFormat="false" ht="17.15" hidden="false" customHeight="false" outlineLevel="0" collapsed="false">
      <c r="A626" s="0" t="s">
        <v>480</v>
      </c>
      <c r="B626" s="0" t="s">
        <v>52</v>
      </c>
      <c r="D626" s="14" t="n">
        <f aca="false">D623/D606</f>
        <v>0.0571989258510762</v>
      </c>
      <c r="E626" s="14" t="n">
        <f aca="false">E623/E606</f>
        <v>0.0607188184361838</v>
      </c>
      <c r="F626" s="14" t="n">
        <f aca="false">F623/F606</f>
        <v>0.0676186841675683</v>
      </c>
      <c r="G626" s="14" t="n">
        <f aca="false">G623/G606</f>
        <v>0.0717586036063991</v>
      </c>
      <c r="H626" s="4" t="s">
        <v>481</v>
      </c>
    </row>
    <row r="627" customFormat="false" ht="15" hidden="false" customHeight="false" outlineLevel="0" collapsed="false">
      <c r="A627" s="4" t="s">
        <v>482</v>
      </c>
      <c r="B627" s="0" t="s">
        <v>209</v>
      </c>
      <c r="C627" s="19" t="n">
        <f aca="false">a25_opx</f>
        <v>238.938</v>
      </c>
      <c r="D627" s="19" t="n">
        <f aca="false">a26_opx</f>
        <v>254.8304233</v>
      </c>
      <c r="E627" s="19" t="n">
        <f aca="false">D627*(1+MAX(0,phi*E616))</f>
        <v>275.859412421427</v>
      </c>
      <c r="F627" s="19" t="n">
        <f aca="false">E627*(1+MAX(0,phi*F616))</f>
        <v>281.70839639285</v>
      </c>
      <c r="G627" s="19" t="n">
        <f aca="false">F627*(1+MAX(0,phi*G616))</f>
        <v>282.375925774826</v>
      </c>
    </row>
    <row r="628" customFormat="false" ht="15" hidden="false" customHeight="false" outlineLevel="0" collapsed="false">
      <c r="A628" s="4" t="s">
        <v>361</v>
      </c>
      <c r="B628" s="0" t="s">
        <v>209</v>
      </c>
      <c r="C628" s="19" t="n">
        <f aca="false">C627</f>
        <v>238.938</v>
      </c>
      <c r="D628" s="19" t="n">
        <f aca="false">D627</f>
        <v>254.8304233</v>
      </c>
      <c r="E628" s="19" t="n">
        <f aca="false">E627+0*E613</f>
        <v>275.859412421427</v>
      </c>
      <c r="F628" s="19" t="n">
        <f aca="false">F627+0*F613</f>
        <v>281.70839639285</v>
      </c>
      <c r="G628" s="19" t="n">
        <f aca="false">G627+0*G613</f>
        <v>282.375925774826</v>
      </c>
    </row>
    <row r="629" customFormat="false" ht="15" hidden="false" customHeight="false" outlineLevel="0" collapsed="false">
      <c r="A629" s="4" t="s">
        <v>364</v>
      </c>
      <c r="B629" s="0" t="s">
        <v>209</v>
      </c>
      <c r="C629" s="19" t="n">
        <f aca="false">C624-C628</f>
        <v>259.223</v>
      </c>
      <c r="D629" s="19" t="n">
        <f aca="false">D624-D628</f>
        <v>421.0036475</v>
      </c>
      <c r="E629" s="19" t="n">
        <f aca="false">E624-E628</f>
        <v>552.310816252539</v>
      </c>
      <c r="F629" s="19" t="n">
        <f aca="false">F624-F628</f>
        <v>634.269264761348</v>
      </c>
      <c r="G629" s="19" t="n">
        <f aca="false">G624-G628</f>
        <v>666.439682089642</v>
      </c>
    </row>
    <row r="630" customFormat="false" ht="15" hidden="false" customHeight="false" outlineLevel="0" collapsed="false">
      <c r="A630" s="4" t="s">
        <v>367</v>
      </c>
      <c r="B630" s="0" t="s">
        <v>52</v>
      </c>
      <c r="C630" s="14" t="n">
        <f aca="false">C629/C613</f>
        <v>0.0319905764518663</v>
      </c>
      <c r="D630" s="14" t="n">
        <f aca="false">D629/D613</f>
        <v>0.0377556858359561</v>
      </c>
      <c r="E630" s="14" t="n">
        <f aca="false">E629/E613</f>
        <v>0.0410604187753444</v>
      </c>
      <c r="F630" s="14" t="n">
        <f aca="false">F629/F613</f>
        <v>0.0447798118663603</v>
      </c>
      <c r="G630" s="14" t="n">
        <f aca="false">G629/G613</f>
        <v>0.04677397750197</v>
      </c>
    </row>
    <row r="631" customFormat="false" ht="17.15" hidden="false" customHeight="false" outlineLevel="0" collapsed="false">
      <c r="A631" s="4" t="s">
        <v>243</v>
      </c>
      <c r="B631" s="0" t="s">
        <v>52</v>
      </c>
      <c r="C631" s="15" t="n">
        <f aca="false">a25_ni/a25_oi</f>
        <v>0.730467589681471</v>
      </c>
      <c r="D631" s="15" t="n">
        <f aca="false">a26_ni/a26_oi</f>
        <v>0.653811645064191</v>
      </c>
      <c r="E631" s="15" t="n">
        <f aca="false">nio_f</f>
        <v>0.66</v>
      </c>
      <c r="F631" s="15" t="n">
        <f aca="false">nio_f</f>
        <v>0.66</v>
      </c>
      <c r="G631" s="15" t="n">
        <f aca="false">nio_f</f>
        <v>0.66</v>
      </c>
    </row>
    <row r="632" customFormat="false" ht="15" hidden="false" customHeight="false" outlineLevel="0" collapsed="false">
      <c r="A632" s="4" t="s">
        <v>368</v>
      </c>
      <c r="B632" s="0" t="s">
        <v>209</v>
      </c>
      <c r="C632" s="19" t="n">
        <f aca="false">a25_ni</f>
        <v>189.354</v>
      </c>
      <c r="D632" s="19" t="n">
        <f aca="false">a26_ni</f>
        <v>275.25708735</v>
      </c>
      <c r="E632" s="19" t="n">
        <f aca="false">E629*E631</f>
        <v>364.525138726676</v>
      </c>
      <c r="F632" s="19" t="n">
        <f aca="false">F629*F631</f>
        <v>418.617714742489</v>
      </c>
      <c r="G632" s="19" t="n">
        <f aca="false">G629*G631</f>
        <v>439.850190179164</v>
      </c>
    </row>
    <row r="633" customFormat="false" ht="15" hidden="false" customHeight="false" outlineLevel="0" collapsed="false">
      <c r="A633" s="4" t="s">
        <v>483</v>
      </c>
      <c r="B633" s="4" t="s">
        <v>230</v>
      </c>
      <c r="C633" s="23" t="n">
        <f aca="false">a25_sh</f>
        <v>13.9128581925055</v>
      </c>
      <c r="D633" s="23" t="n">
        <f aca="false">a26_sh</f>
        <v>14.0169642857143</v>
      </c>
      <c r="E633" s="23" t="n">
        <f aca="false">D633*(1+sh_g)</f>
        <v>14.0169642857143</v>
      </c>
      <c r="F633" s="23" t="n">
        <f aca="false">E633*(1+sh_g)</f>
        <v>14.0169642857143</v>
      </c>
      <c r="G633" s="23" t="n">
        <f aca="false">F633*(1+sh_g)</f>
        <v>14.0169642857143</v>
      </c>
    </row>
    <row r="634" customFormat="false" ht="15" hidden="false" customHeight="false" outlineLevel="0" collapsed="false">
      <c r="A634" s="0" t="s">
        <v>374</v>
      </c>
      <c r="B634" s="0" t="s">
        <v>260</v>
      </c>
      <c r="C634" s="22" t="n">
        <f aca="false">C632/C633</f>
        <v>13.61</v>
      </c>
      <c r="D634" s="22" t="n">
        <f aca="false">D632/D633</f>
        <v>19.6374251756163</v>
      </c>
      <c r="E634" s="22" t="n">
        <f aca="false">E632/E633</f>
        <v>26.0059975395807</v>
      </c>
      <c r="F634" s="22" t="n">
        <f aca="false">F632/F633</f>
        <v>29.8650767890686</v>
      </c>
      <c r="G634" s="22" t="n">
        <f aca="false">G632/G633</f>
        <v>31.3798466781746</v>
      </c>
    </row>
    <row r="635" customFormat="false" ht="17.15" hidden="false" customHeight="false" outlineLevel="0" collapsed="false">
      <c r="A635" s="0" t="s">
        <v>484</v>
      </c>
      <c r="B635" s="0" t="s">
        <v>52</v>
      </c>
      <c r="D635" s="15" t="n">
        <f aca="false">D634/C634-1</f>
        <v>0.442867389832203</v>
      </c>
      <c r="E635" s="15" t="n">
        <f aca="false">E634/D634-1</f>
        <v>0.324307912417776</v>
      </c>
      <c r="F635" s="15" t="n">
        <f aca="false">F634/E634-1</f>
        <v>0.148391894739453</v>
      </c>
      <c r="G635" s="15" t="n">
        <f aca="false">G634/F634-1</f>
        <v>0.0507204417991141</v>
      </c>
    </row>
    <row r="638" customFormat="false" ht="17.15" hidden="false" customHeight="false" outlineLevel="0" collapsed="false">
      <c r="A638" s="1" t="s">
        <v>845</v>
      </c>
    </row>
    <row r="639" customFormat="false" ht="17.15" hidden="false" customHeight="false" outlineLevel="0" collapsed="false">
      <c r="A639" s="5" t="s">
        <v>21</v>
      </c>
      <c r="B639" s="5" t="s">
        <v>22</v>
      </c>
      <c r="C639" s="11" t="s">
        <v>347</v>
      </c>
      <c r="D639" s="11" t="s">
        <v>429</v>
      </c>
      <c r="E639" s="11" t="s">
        <v>430</v>
      </c>
      <c r="F639" s="11" t="s">
        <v>431</v>
      </c>
      <c r="G639" s="11" t="s">
        <v>432</v>
      </c>
      <c r="H639" s="5" t="s">
        <v>400</v>
      </c>
    </row>
    <row r="640" customFormat="false" ht="17.15" hidden="false" customHeight="false" outlineLevel="0" collapsed="false">
      <c r="A640" s="6" t="s">
        <v>450</v>
      </c>
    </row>
    <row r="641" customFormat="false" ht="17.15" hidden="false" customHeight="false" outlineLevel="0" collapsed="false">
      <c r="A641" s="0" t="s">
        <v>451</v>
      </c>
      <c r="B641" s="0" t="s">
        <v>32</v>
      </c>
      <c r="D641" s="22" t="n">
        <f aca="false">itc_26*1</f>
        <v>781.872916666666</v>
      </c>
      <c r="E641" s="22" t="n">
        <f aca="false">itc_27*1*1</f>
        <v>1565.35</v>
      </c>
      <c r="F641" s="22" t="n">
        <f aca="false">itc_28*um28_A*1</f>
        <v>1984.26388888889</v>
      </c>
      <c r="G641" s="22" t="n">
        <f aca="false">itc_29*um29_A*1</f>
        <v>2260.39027777778</v>
      </c>
    </row>
    <row r="642" customFormat="false" ht="17.15" hidden="false" customHeight="false" outlineLevel="0" collapsed="false">
      <c r="A642" s="4" t="s">
        <v>452</v>
      </c>
      <c r="B642" s="0" t="s">
        <v>32</v>
      </c>
      <c r="D642" s="22" t="n">
        <f aca="false">itpg_gb*(1-vr26)+itpg_vr*vr26</f>
        <v>33.41403216</v>
      </c>
      <c r="E642" s="22" t="n">
        <f aca="false">itpg_vr</f>
        <v>37.586352</v>
      </c>
      <c r="F642" s="22" t="n">
        <f aca="false">itpg_vr</f>
        <v>37.586352</v>
      </c>
      <c r="G642" s="22" t="n">
        <f aca="false">itpg_vr</f>
        <v>37.586352</v>
      </c>
    </row>
    <row r="643" customFormat="false" ht="17.15" hidden="false" customHeight="false" outlineLevel="0" collapsed="false">
      <c r="A643" s="4" t="s">
        <v>453</v>
      </c>
      <c r="B643" s="0" t="s">
        <v>402</v>
      </c>
      <c r="D643" s="18" t="n">
        <f aca="false">D641/D642</f>
        <v>23.3995380420639</v>
      </c>
      <c r="E643" s="18" t="n">
        <f aca="false">E641/E642</f>
        <v>41.6467658260637</v>
      </c>
      <c r="F643" s="18" t="n">
        <f aca="false">F641/F642</f>
        <v>52.792138191248</v>
      </c>
      <c r="G643" s="18" t="n">
        <f aca="false">G641/G642</f>
        <v>60.1385917361116</v>
      </c>
    </row>
    <row r="644" customFormat="false" ht="17.15" hidden="false" customHeight="false" outlineLevel="0" collapsed="false">
      <c r="A644" s="4" t="s">
        <v>404</v>
      </c>
      <c r="B644" s="0" t="s">
        <v>405</v>
      </c>
      <c r="D644" s="16" t="n">
        <f aca="false">(racks_gb*odm_gb*(1-vr26)+racks_vr*odm_vr*vr26)/1000</f>
        <v>27.1209</v>
      </c>
      <c r="E644" s="16" t="n">
        <f aca="false">racks_vr*odm_vr/1000</f>
        <v>27.351</v>
      </c>
      <c r="F644" s="16" t="n">
        <f aca="false">$E644*vpg_28</f>
        <v>27.351</v>
      </c>
      <c r="G644" s="16" t="n">
        <f aca="false">$E644*vpg_29</f>
        <v>27.351</v>
      </c>
      <c r="H644" s="4" t="s">
        <v>454</v>
      </c>
    </row>
    <row r="645" customFormat="false" ht="17.15" hidden="false" customHeight="false" outlineLevel="0" collapsed="false">
      <c r="A645" s="0" t="s">
        <v>455</v>
      </c>
      <c r="B645" s="0" t="s">
        <v>32</v>
      </c>
      <c r="D645" s="19" t="n">
        <f aca="false">D643*D644</f>
        <v>634.61653128501</v>
      </c>
      <c r="E645" s="19" t="n">
        <f aca="false">E643*E644</f>
        <v>1139.08069210867</v>
      </c>
      <c r="F645" s="19" t="n">
        <f aca="false">F643*F644</f>
        <v>1443.91777166882</v>
      </c>
      <c r="G645" s="19" t="n">
        <f aca="false">G643*G644</f>
        <v>1644.85062257439</v>
      </c>
    </row>
    <row r="646" customFormat="false" ht="17.15" hidden="false" customHeight="false" outlineLevel="0" collapsed="false">
      <c r="A646" s="0" t="s">
        <v>456</v>
      </c>
      <c r="B646" s="0" t="s">
        <v>209</v>
      </c>
      <c r="D646" s="19" t="n">
        <f aca="false">D645*fx</f>
        <v>20307.7290011203</v>
      </c>
      <c r="E646" s="19" t="n">
        <f aca="false">E645*fx</f>
        <v>36450.5821474774</v>
      </c>
      <c r="F646" s="19" t="n">
        <f aca="false">F645*fx</f>
        <v>46205.3686934024</v>
      </c>
      <c r="G646" s="19" t="n">
        <f aca="false">G645*fx</f>
        <v>52635.2199223804</v>
      </c>
    </row>
    <row r="647" customFormat="false" ht="17.15" hidden="false" customHeight="false" outlineLevel="0" collapsed="false">
      <c r="A647" s="4" t="s">
        <v>457</v>
      </c>
      <c r="B647" s="0" t="s">
        <v>52</v>
      </c>
      <c r="D647" s="15" t="n">
        <f aca="false">a26_ai/D646</f>
        <v>0.174610057569922</v>
      </c>
      <c r="H647" s="8" t="s">
        <v>458</v>
      </c>
    </row>
    <row r="648" customFormat="false" ht="17.15" hidden="false" customHeight="false" outlineLevel="0" collapsed="false">
      <c r="A648" s="4" t="s">
        <v>459</v>
      </c>
      <c r="B648" s="0" t="s">
        <v>71</v>
      </c>
      <c r="D648" s="16" t="n">
        <f aca="false">1</f>
        <v>1</v>
      </c>
      <c r="E648" s="16" t="n">
        <f aca="false">rel_27</f>
        <v>1</v>
      </c>
      <c r="F648" s="16" t="n">
        <f aca="false">rel_28</f>
        <v>1</v>
      </c>
      <c r="G648" s="16" t="n">
        <f aca="false">rel_29</f>
        <v>0.95</v>
      </c>
    </row>
    <row r="649" customFormat="false" ht="15" hidden="false" customHeight="false" outlineLevel="0" collapsed="false">
      <c r="A649" s="4" t="s">
        <v>460</v>
      </c>
      <c r="B649" s="0" t="s">
        <v>52</v>
      </c>
      <c r="D649" s="15" t="n">
        <f aca="false">$D$647*D648</f>
        <v>0.174610057569922</v>
      </c>
      <c r="E649" s="15" t="n">
        <f aca="false">$D$647*E648</f>
        <v>0.174610057569922</v>
      </c>
      <c r="F649" s="15" t="n">
        <f aca="false">$D$647*F648</f>
        <v>0.174610057569922</v>
      </c>
      <c r="G649" s="15" t="n">
        <f aca="false">$D$647*G648</f>
        <v>0.165879554691426</v>
      </c>
    </row>
    <row r="650" customFormat="false" ht="17.15" hidden="false" customHeight="false" outlineLevel="0" collapsed="false">
      <c r="A650" s="0" t="s">
        <v>461</v>
      </c>
      <c r="B650" s="0" t="s">
        <v>209</v>
      </c>
      <c r="D650" s="19" t="n">
        <f aca="false">D646*D649</f>
        <v>3545.93373</v>
      </c>
      <c r="E650" s="19" t="n">
        <f aca="false">E646*E649</f>
        <v>6364.6382472282</v>
      </c>
      <c r="F650" s="19" t="n">
        <f aca="false">F646*F649</f>
        <v>8067.92208759447</v>
      </c>
      <c r="G650" s="19" t="n">
        <f aca="false">G646*G649</f>
        <v>8731.10684180974</v>
      </c>
    </row>
    <row r="651" customFormat="false" ht="17.15" hidden="false" customHeight="false" outlineLevel="0" collapsed="false">
      <c r="A651" s="4" t="s">
        <v>462</v>
      </c>
      <c r="B651" s="0" t="s">
        <v>52</v>
      </c>
      <c r="D651" s="15" t="n">
        <f aca="false">0</f>
        <v>0</v>
      </c>
      <c r="E651" s="15" t="n">
        <f aca="false">cs_27</f>
        <v>0.1</v>
      </c>
      <c r="F651" s="15" t="n">
        <f aca="false">cs_28</f>
        <v>0.2</v>
      </c>
      <c r="G651" s="15" t="n">
        <f aca="false">cs_29</f>
        <v>0.25</v>
      </c>
      <c r="H651" s="8" t="s">
        <v>463</v>
      </c>
    </row>
    <row r="652" customFormat="false" ht="17.15" hidden="false" customHeight="false" outlineLevel="0" collapsed="false">
      <c r="A652" s="0" t="s">
        <v>464</v>
      </c>
      <c r="B652" s="0" t="s">
        <v>209</v>
      </c>
      <c r="C652" s="19" t="n">
        <f aca="false">a25_ai</f>
        <v>1620.621</v>
      </c>
      <c r="D652" s="19" t="n">
        <f aca="false">D650*(1-D651)</f>
        <v>3545.93373</v>
      </c>
      <c r="E652" s="19" t="n">
        <f aca="false">E650*(1-E651)</f>
        <v>5728.17442250538</v>
      </c>
      <c r="F652" s="19" t="n">
        <f aca="false">F650*(1-F651)</f>
        <v>6454.33767007557</v>
      </c>
      <c r="G652" s="19" t="n">
        <f aca="false">G650*(1-G651)</f>
        <v>6548.3301313573</v>
      </c>
    </row>
    <row r="653" customFormat="false" ht="17.15" hidden="false" customHeight="false" outlineLevel="0" collapsed="false">
      <c r="A653" s="6" t="s">
        <v>465</v>
      </c>
    </row>
    <row r="654" customFormat="false" ht="17.15" hidden="false" customHeight="false" outlineLevel="0" collapsed="false">
      <c r="A654" s="4" t="s">
        <v>382</v>
      </c>
      <c r="B654" s="0" t="s">
        <v>209</v>
      </c>
      <c r="C654" s="19" t="n">
        <f aca="false">a25_cn</f>
        <v>1620.621</v>
      </c>
      <c r="D654" s="19" t="n">
        <f aca="false">a26_cn</f>
        <v>2363.95582</v>
      </c>
      <c r="E654" s="19" t="n">
        <f aca="false">D654*(1+GCNHI27)</f>
        <v>2954.944775</v>
      </c>
      <c r="F654" s="19" t="n">
        <f aca="false">E654*(1+GCNHI28)</f>
        <v>3545.93373</v>
      </c>
      <c r="G654" s="19" t="n">
        <f aca="false">F654*(1+GCNHI29)</f>
        <v>4077.8237895</v>
      </c>
    </row>
    <row r="655" customFormat="false" ht="17.15" hidden="false" customHeight="false" outlineLevel="0" collapsed="false">
      <c r="A655" s="4" t="s">
        <v>383</v>
      </c>
      <c r="B655" s="0" t="s">
        <v>209</v>
      </c>
      <c r="C655" s="19" t="n">
        <f aca="false">a25_ce</f>
        <v>3079.1799</v>
      </c>
      <c r="D655" s="19" t="n">
        <f aca="false">a26_ce</f>
        <v>3345.2205</v>
      </c>
      <c r="E655" s="19" t="n">
        <f aca="false">D655*(1+g_ce27)</f>
        <v>3445.577115</v>
      </c>
      <c r="F655" s="19" t="n">
        <f aca="false">E655*(1+g_ce28)</f>
        <v>3514.4886573</v>
      </c>
      <c r="G655" s="19" t="n">
        <f aca="false">F655*(1+g_ce29)</f>
        <v>3584.778430446</v>
      </c>
    </row>
    <row r="656" customFormat="false" ht="15" hidden="false" customHeight="false" outlineLevel="0" collapsed="false">
      <c r="A656" s="4" t="s">
        <v>384</v>
      </c>
      <c r="B656" s="0" t="s">
        <v>209</v>
      </c>
      <c r="C656" s="19" t="n">
        <f aca="false">a25_pc</f>
        <v>1215.46575</v>
      </c>
      <c r="D656" s="19" t="n">
        <f aca="false">a26_pc</f>
        <v>1338.0882</v>
      </c>
      <c r="E656" s="19" t="n">
        <f aca="false">D656*(1+g_pc27)</f>
        <v>1311.326436</v>
      </c>
      <c r="F656" s="19" t="n">
        <f aca="false">E656*(1+g_pc28)</f>
        <v>1311.326436</v>
      </c>
      <c r="G656" s="19" t="n">
        <f aca="false">F656*(1+g_pc29)</f>
        <v>1311.326436</v>
      </c>
    </row>
    <row r="657" customFormat="false" ht="15" hidden="false" customHeight="false" outlineLevel="0" collapsed="false">
      <c r="A657" s="4" t="s">
        <v>466</v>
      </c>
      <c r="B657" s="0" t="s">
        <v>209</v>
      </c>
      <c r="C657" s="19" t="n">
        <f aca="false">a25_co</f>
        <v>567.217349999999</v>
      </c>
      <c r="D657" s="19" t="n">
        <f aca="false">a26_co</f>
        <v>557.53675</v>
      </c>
      <c r="E657" s="19" t="n">
        <f aca="false">D657*(1+g_co27)</f>
        <v>602.13969</v>
      </c>
      <c r="F657" s="19" t="n">
        <f aca="false">E657*(1+g_co28)</f>
        <v>638.2680714</v>
      </c>
      <c r="G657" s="19" t="n">
        <f aca="false">F657*(1+g_co29)</f>
        <v>670.18147497</v>
      </c>
    </row>
    <row r="658" customFormat="false" ht="17.15" hidden="false" customHeight="false" outlineLevel="0" collapsed="false">
      <c r="A658" s="4" t="s">
        <v>387</v>
      </c>
      <c r="B658" s="0" t="s">
        <v>209</v>
      </c>
      <c r="C658" s="19" t="n">
        <f aca="false">SUM(C654:C657)</f>
        <v>6482.484</v>
      </c>
      <c r="D658" s="19" t="n">
        <f aca="false">SUM(D654:D657)</f>
        <v>7604.80127</v>
      </c>
      <c r="E658" s="19" t="n">
        <f aca="false">SUM(E654:E657)</f>
        <v>8313.988016</v>
      </c>
      <c r="F658" s="19" t="n">
        <f aca="false">SUM(F654:F657)</f>
        <v>9010.0168947</v>
      </c>
      <c r="G658" s="19" t="n">
        <f aca="false">SUM(G654:G657)</f>
        <v>9644.110130916</v>
      </c>
    </row>
    <row r="659" customFormat="false" ht="15" hidden="false" customHeight="false" outlineLevel="0" collapsed="false">
      <c r="A659" s="4" t="s">
        <v>353</v>
      </c>
      <c r="B659" s="0" t="s">
        <v>209</v>
      </c>
      <c r="C659" s="19" t="n">
        <f aca="false">C652+C658</f>
        <v>8103.105</v>
      </c>
      <c r="D659" s="19" t="n">
        <f aca="false">D652+D658</f>
        <v>11150.735</v>
      </c>
      <c r="E659" s="19" t="n">
        <f aca="false">E652+E658</f>
        <v>14042.1624385054</v>
      </c>
      <c r="F659" s="19" t="n">
        <f aca="false">F652+F658</f>
        <v>15464.3545647756</v>
      </c>
      <c r="G659" s="19" t="n">
        <f aca="false">G652+G658</f>
        <v>16192.4402622733</v>
      </c>
    </row>
    <row r="660" customFormat="false" ht="17.15" hidden="false" customHeight="false" outlineLevel="0" collapsed="false">
      <c r="A660" s="4" t="s">
        <v>467</v>
      </c>
      <c r="B660" s="0" t="s">
        <v>209</v>
      </c>
      <c r="C660" s="19" t="n">
        <f aca="false">C652+C654</f>
        <v>3241.242</v>
      </c>
      <c r="D660" s="19" t="n">
        <f aca="false">D652+D654</f>
        <v>5909.88955</v>
      </c>
      <c r="E660" s="19" t="n">
        <f aca="false">E652+E654</f>
        <v>8683.11919750538</v>
      </c>
      <c r="F660" s="19" t="n">
        <f aca="false">F652+F654</f>
        <v>10000.2714000756</v>
      </c>
      <c r="G660" s="19" t="n">
        <f aca="false">G652+G654</f>
        <v>10626.1539208573</v>
      </c>
      <c r="H660" s="4" t="s">
        <v>468</v>
      </c>
    </row>
    <row r="661" customFormat="false" ht="17.15" hidden="false" customHeight="false" outlineLevel="0" collapsed="false">
      <c r="A661" s="4" t="s">
        <v>469</v>
      </c>
      <c r="B661" s="0" t="s">
        <v>209</v>
      </c>
      <c r="C661" s="23" t="n">
        <f aca="false">C660+C655+C656+C657-a25_rev</f>
        <v>0</v>
      </c>
      <c r="D661" s="23" t="n">
        <f aca="false">D660+D655+D656+D657-a26_rev</f>
        <v>0</v>
      </c>
      <c r="E661" s="23" t="n">
        <f aca="false">E660+E655+E656+E657-E659</f>
        <v>0</v>
      </c>
      <c r="F661" s="23" t="n">
        <f aca="false">F660+F655+F656+F657-F659</f>
        <v>0</v>
      </c>
      <c r="G661" s="23" t="n">
        <f aca="false">G660+G655+G656+G657-G659</f>
        <v>0</v>
      </c>
    </row>
    <row r="662" customFormat="false" ht="15" hidden="false" customHeight="false" outlineLevel="0" collapsed="false">
      <c r="A662" s="4" t="s">
        <v>470</v>
      </c>
      <c r="B662" s="0" t="s">
        <v>52</v>
      </c>
      <c r="D662" s="15" t="n">
        <f aca="false">D659/C659-1</f>
        <v>0.376106443147411</v>
      </c>
      <c r="E662" s="15" t="n">
        <f aca="false">E659/D659-1</f>
        <v>0.259303753385349</v>
      </c>
      <c r="F662" s="15" t="n">
        <f aca="false">F659/E659-1</f>
        <v>0.101280136339284</v>
      </c>
      <c r="G662" s="15" t="n">
        <f aca="false">G659/F659-1</f>
        <v>0.0470815444930466</v>
      </c>
    </row>
    <row r="663" customFormat="false" ht="17.15" hidden="false" customHeight="false" outlineLevel="0" collapsed="false">
      <c r="A663" s="0" t="s">
        <v>471</v>
      </c>
      <c r="B663" s="0" t="s">
        <v>52</v>
      </c>
      <c r="C663" s="15" t="n">
        <f aca="false">C652/C659</f>
        <v>0.2</v>
      </c>
      <c r="D663" s="15" t="n">
        <f aca="false">D652/D659</f>
        <v>0.318</v>
      </c>
      <c r="E663" s="15" t="n">
        <f aca="false">E652/E659</f>
        <v>0.407926802413139</v>
      </c>
      <c r="F663" s="15" t="n">
        <f aca="false">F652/F659</f>
        <v>0.417368707050804</v>
      </c>
      <c r="G663" s="15" t="n">
        <f aca="false">G652/G659</f>
        <v>0.404406625887899</v>
      </c>
    </row>
    <row r="664" customFormat="false" ht="17.15" hidden="false" customHeight="false" outlineLevel="0" collapsed="false">
      <c r="A664" s="4" t="s">
        <v>472</v>
      </c>
      <c r="B664" s="0" t="s">
        <v>52</v>
      </c>
      <c r="C664" s="15" t="n">
        <f aca="false">(C652+C654)/C659</f>
        <v>0.4</v>
      </c>
      <c r="D664" s="15" t="n">
        <f aca="false">(D652+D654)/D659</f>
        <v>0.53</v>
      </c>
      <c r="E664" s="15" t="n">
        <f aca="false">(E652+E654)/E659</f>
        <v>0.618360543508254</v>
      </c>
      <c r="F664" s="15" t="n">
        <f aca="false">(F652+F654)/F659</f>
        <v>0.646665941225508</v>
      </c>
      <c r="G664" s="15" t="n">
        <f aca="false">(G652+G654)/G659</f>
        <v>0.656241662698311</v>
      </c>
    </row>
    <row r="665" customFormat="false" ht="17.15" hidden="false" customHeight="false" outlineLevel="0" collapsed="false">
      <c r="A665" s="4" t="s">
        <v>418</v>
      </c>
      <c r="B665" s="0" t="s">
        <v>405</v>
      </c>
      <c r="D665" s="16" t="n">
        <f aca="false">D652/fx/D643</f>
        <v>4.7355819103481</v>
      </c>
      <c r="E665" s="16" t="n">
        <f aca="false">E652/fx/E643</f>
        <v>4.29818371613545</v>
      </c>
      <c r="F665" s="16" t="n">
        <f aca="false">F652/fx/F643</f>
        <v>3.82060774767595</v>
      </c>
      <c r="G665" s="16" t="n">
        <f aca="false">G652/fx/G643</f>
        <v>3.4027287752739</v>
      </c>
    </row>
    <row r="666" customFormat="false" ht="17.15" hidden="false" customHeight="false" outlineLevel="0" collapsed="false">
      <c r="A666" s="4" t="s">
        <v>473</v>
      </c>
      <c r="B666" s="4" t="s">
        <v>416</v>
      </c>
      <c r="D666" s="19" t="n">
        <f aca="false">D650/fx/(odm_gb*(1-vr26)+odm_vr*vr26)</f>
        <v>24.0630682003257</v>
      </c>
      <c r="E666" s="19" t="n">
        <f aca="false">E650/fx/odm_vr</f>
        <v>29.4659178112417</v>
      </c>
      <c r="F666" s="19" t="n">
        <f aca="false">F650/fx/odm_vr</f>
        <v>37.3514911462707</v>
      </c>
      <c r="G666" s="19" t="n">
        <f aca="false">G650/fx/odm_vr</f>
        <v>40.4217909343043</v>
      </c>
      <c r="H666" s="4" t="s">
        <v>474</v>
      </c>
    </row>
    <row r="667" customFormat="false" ht="17.15" hidden="false" customHeight="false" outlineLevel="0" collapsed="false">
      <c r="A667" s="6" t="s">
        <v>475</v>
      </c>
    </row>
    <row r="668" customFormat="false" ht="17.15" hidden="false" customHeight="false" outlineLevel="0" collapsed="false">
      <c r="A668" s="4" t="s">
        <v>476</v>
      </c>
      <c r="B668" s="0" t="s">
        <v>52</v>
      </c>
      <c r="D668" s="14" t="n">
        <f aca="false">a26_gp/D659-d_ai*D663</f>
        <v>0.0621989258510762</v>
      </c>
      <c r="H668" s="8" t="s">
        <v>477</v>
      </c>
    </row>
    <row r="669" customFormat="false" ht="17.15" hidden="false" customHeight="false" outlineLevel="0" collapsed="false">
      <c r="A669" s="0" t="s">
        <v>478</v>
      </c>
      <c r="B669" s="0" t="s">
        <v>209</v>
      </c>
      <c r="D669" s="22" t="n">
        <f aca="false">($D$668+d_ai)*D650*(1-D651*(1-keep))</f>
        <v>202.8236004951</v>
      </c>
      <c r="E669" s="22" t="n">
        <f aca="false">($D$668+d_ai+vrd)*E650*(1-E651*(1-keep))</f>
        <v>347.807982730896</v>
      </c>
      <c r="F669" s="22" t="n">
        <f aca="false">($D$668+d_ai+vrd)*F650*(1-F651*(1-keep))</f>
        <v>436.433820423679</v>
      </c>
      <c r="G669" s="22" t="n">
        <f aca="false">($D$668+d_ai+vrd)*G650*(1-G651*(1-keep))</f>
        <v>469.899026179908</v>
      </c>
      <c r="H669" s="4" t="s">
        <v>479</v>
      </c>
    </row>
    <row r="670" customFormat="false" ht="15" hidden="false" customHeight="false" outlineLevel="0" collapsed="false">
      <c r="A670" s="4" t="s">
        <v>357</v>
      </c>
      <c r="B670" s="0" t="s">
        <v>209</v>
      </c>
      <c r="C670" s="19" t="n">
        <f aca="false">a25_gp</f>
        <v>498.161</v>
      </c>
      <c r="D670" s="19" t="n">
        <f aca="false">a26_gp</f>
        <v>675.8340708</v>
      </c>
      <c r="E670" s="19" t="n">
        <f aca="false">$D$668*E658+E669</f>
        <v>864.929106864816</v>
      </c>
      <c r="F670" s="19" t="n">
        <f aca="false">$D$668*F658+F669</f>
        <v>996.847193174068</v>
      </c>
      <c r="G670" s="19" t="n">
        <f aca="false">$D$668*G658+G669</f>
        <v>1069.75231711236</v>
      </c>
    </row>
    <row r="671" customFormat="false" ht="15" hidden="false" customHeight="false" outlineLevel="0" collapsed="false">
      <c r="A671" s="4" t="s">
        <v>360</v>
      </c>
      <c r="B671" s="0" t="s">
        <v>52</v>
      </c>
      <c r="C671" s="14" t="n">
        <f aca="false">C670/C659</f>
        <v>0.0614777915379352</v>
      </c>
      <c r="D671" s="14" t="n">
        <f aca="false">D670/D659</f>
        <v>0.0606089258510762</v>
      </c>
      <c r="E671" s="14" t="n">
        <f aca="false">E670/E659</f>
        <v>0.0615951503660912</v>
      </c>
      <c r="F671" s="14" t="n">
        <f aca="false">F670/F659</f>
        <v>0.0644609633721584</v>
      </c>
      <c r="G671" s="14" t="n">
        <f aca="false">G670/G659</f>
        <v>0.0660649228766819</v>
      </c>
    </row>
    <row r="672" customFormat="false" ht="17.15" hidden="false" customHeight="false" outlineLevel="0" collapsed="false">
      <c r="A672" s="0" t="s">
        <v>480</v>
      </c>
      <c r="B672" s="0" t="s">
        <v>52</v>
      </c>
      <c r="D672" s="14" t="n">
        <f aca="false">D669/D652</f>
        <v>0.0571989258510762</v>
      </c>
      <c r="E672" s="14" t="n">
        <f aca="false">E669/E652</f>
        <v>0.0607188184361838</v>
      </c>
      <c r="F672" s="14" t="n">
        <f aca="false">F669/F652</f>
        <v>0.0676186841675683</v>
      </c>
      <c r="G672" s="14" t="n">
        <f aca="false">G669/G652</f>
        <v>0.0717586036063991</v>
      </c>
      <c r="H672" s="4" t="s">
        <v>481</v>
      </c>
    </row>
    <row r="673" customFormat="false" ht="15" hidden="false" customHeight="false" outlineLevel="0" collapsed="false">
      <c r="A673" s="4" t="s">
        <v>482</v>
      </c>
      <c r="B673" s="0" t="s">
        <v>209</v>
      </c>
      <c r="C673" s="19" t="n">
        <f aca="false">a25_opx</f>
        <v>238.938</v>
      </c>
      <c r="D673" s="19" t="n">
        <f aca="false">a26_opx</f>
        <v>254.8304233</v>
      </c>
      <c r="E673" s="19" t="n">
        <f aca="false">D673*(1+MAX(0,phi*E662))</f>
        <v>281.261817395387</v>
      </c>
      <c r="F673" s="19" t="n">
        <f aca="false">E673*(1+MAX(0,phi*F662))</f>
        <v>292.656311480523</v>
      </c>
      <c r="G673" s="19" t="n">
        <f aca="false">F673*(1+MAX(0,phi*G662))</f>
        <v>298.167795940579</v>
      </c>
    </row>
    <row r="674" customFormat="false" ht="15" hidden="false" customHeight="false" outlineLevel="0" collapsed="false">
      <c r="A674" s="4" t="s">
        <v>361</v>
      </c>
      <c r="B674" s="0" t="s">
        <v>209</v>
      </c>
      <c r="C674" s="19" t="n">
        <f aca="false">C673</f>
        <v>238.938</v>
      </c>
      <c r="D674" s="19" t="n">
        <f aca="false">D673</f>
        <v>254.8304233</v>
      </c>
      <c r="E674" s="19" t="n">
        <f aca="false">E673+0*E659</f>
        <v>281.261817395387</v>
      </c>
      <c r="F674" s="19" t="n">
        <f aca="false">F673+0*F659</f>
        <v>292.656311480523</v>
      </c>
      <c r="G674" s="19" t="n">
        <f aca="false">G673+0*G659</f>
        <v>298.167795940579</v>
      </c>
    </row>
    <row r="675" customFormat="false" ht="15" hidden="false" customHeight="false" outlineLevel="0" collapsed="false">
      <c r="A675" s="4" t="s">
        <v>364</v>
      </c>
      <c r="B675" s="0" t="s">
        <v>209</v>
      </c>
      <c r="C675" s="19" t="n">
        <f aca="false">C670-C674</f>
        <v>259.223</v>
      </c>
      <c r="D675" s="19" t="n">
        <f aca="false">D670-D674</f>
        <v>421.0036475</v>
      </c>
      <c r="E675" s="19" t="n">
        <f aca="false">E670-E674</f>
        <v>583.667289469429</v>
      </c>
      <c r="F675" s="19" t="n">
        <f aca="false">F670-F674</f>
        <v>704.190881693545</v>
      </c>
      <c r="G675" s="19" t="n">
        <f aca="false">G670-G674</f>
        <v>771.584521171785</v>
      </c>
    </row>
    <row r="676" customFormat="false" ht="15" hidden="false" customHeight="false" outlineLevel="0" collapsed="false">
      <c r="A676" s="4" t="s">
        <v>367</v>
      </c>
      <c r="B676" s="0" t="s">
        <v>52</v>
      </c>
      <c r="C676" s="14" t="n">
        <f aca="false">C675/C659</f>
        <v>0.0319905764518663</v>
      </c>
      <c r="D676" s="14" t="n">
        <f aca="false">D675/D659</f>
        <v>0.0377556858359561</v>
      </c>
      <c r="E676" s="14" t="n">
        <f aca="false">E675/E659</f>
        <v>0.0415653423769647</v>
      </c>
      <c r="F676" s="14" t="n">
        <f aca="false">F675/F659</f>
        <v>0.0455363900733069</v>
      </c>
      <c r="G676" s="14" t="n">
        <f aca="false">G675/G659</f>
        <v>0.0476509104665031</v>
      </c>
    </row>
    <row r="677" customFormat="false" ht="17.15" hidden="false" customHeight="false" outlineLevel="0" collapsed="false">
      <c r="A677" s="4" t="s">
        <v>243</v>
      </c>
      <c r="B677" s="0" t="s">
        <v>52</v>
      </c>
      <c r="C677" s="15" t="n">
        <f aca="false">a25_ni/a25_oi</f>
        <v>0.730467589681471</v>
      </c>
      <c r="D677" s="15" t="n">
        <f aca="false">a26_ni/a26_oi</f>
        <v>0.653811645064191</v>
      </c>
      <c r="E677" s="15" t="n">
        <f aca="false">nio_f</f>
        <v>0.66</v>
      </c>
      <c r="F677" s="15" t="n">
        <f aca="false">nio_f</f>
        <v>0.66</v>
      </c>
      <c r="G677" s="15" t="n">
        <f aca="false">nio_f</f>
        <v>0.66</v>
      </c>
    </row>
    <row r="678" customFormat="false" ht="15" hidden="false" customHeight="false" outlineLevel="0" collapsed="false">
      <c r="A678" s="4" t="s">
        <v>368</v>
      </c>
      <c r="B678" s="0" t="s">
        <v>209</v>
      </c>
      <c r="C678" s="19" t="n">
        <f aca="false">a25_ni</f>
        <v>189.354</v>
      </c>
      <c r="D678" s="19" t="n">
        <f aca="false">a26_ni</f>
        <v>275.25708735</v>
      </c>
      <c r="E678" s="19" t="n">
        <f aca="false">E675*E677</f>
        <v>385.220411049823</v>
      </c>
      <c r="F678" s="19" t="n">
        <f aca="false">F675*F677</f>
        <v>464.76598191774</v>
      </c>
      <c r="G678" s="19" t="n">
        <f aca="false">G675*G677</f>
        <v>509.245783973378</v>
      </c>
    </row>
    <row r="679" customFormat="false" ht="15" hidden="false" customHeight="false" outlineLevel="0" collapsed="false">
      <c r="A679" s="4" t="s">
        <v>483</v>
      </c>
      <c r="B679" s="4" t="s">
        <v>230</v>
      </c>
      <c r="C679" s="23" t="n">
        <f aca="false">a25_sh</f>
        <v>13.9128581925055</v>
      </c>
      <c r="D679" s="23" t="n">
        <f aca="false">a26_sh</f>
        <v>14.0169642857143</v>
      </c>
      <c r="E679" s="23" t="n">
        <f aca="false">D679*(1+sh_g)</f>
        <v>14.0169642857143</v>
      </c>
      <c r="F679" s="23" t="n">
        <f aca="false">E679*(1+sh_g)</f>
        <v>14.0169642857143</v>
      </c>
      <c r="G679" s="23" t="n">
        <f aca="false">F679*(1+sh_g)</f>
        <v>14.0169642857143</v>
      </c>
    </row>
    <row r="680" customFormat="false" ht="15" hidden="false" customHeight="false" outlineLevel="0" collapsed="false">
      <c r="A680" s="0" t="s">
        <v>374</v>
      </c>
      <c r="B680" s="0" t="s">
        <v>260</v>
      </c>
      <c r="C680" s="22" t="n">
        <f aca="false">C678/C679</f>
        <v>13.61</v>
      </c>
      <c r="D680" s="22" t="n">
        <f aca="false">D678/D679</f>
        <v>19.6374251756163</v>
      </c>
      <c r="E680" s="22" t="n">
        <f aca="false">E678/E679</f>
        <v>27.4824422177083</v>
      </c>
      <c r="F680" s="22" t="n">
        <f aca="false">F678/F679</f>
        <v>33.157392174525</v>
      </c>
      <c r="G680" s="22" t="n">
        <f aca="false">G678/G679</f>
        <v>36.3306757150254</v>
      </c>
    </row>
    <row r="681" customFormat="false" ht="17.15" hidden="false" customHeight="false" outlineLevel="0" collapsed="false">
      <c r="A681" s="0" t="s">
        <v>484</v>
      </c>
      <c r="B681" s="0" t="s">
        <v>52</v>
      </c>
      <c r="D681" s="15" t="n">
        <f aca="false">D680/C680-1</f>
        <v>0.442867389832203</v>
      </c>
      <c r="E681" s="15" t="n">
        <f aca="false">E680/D680-1</f>
        <v>0.399493160225156</v>
      </c>
      <c r="F681" s="15" t="n">
        <f aca="false">F680/E680-1</f>
        <v>0.206493655544198</v>
      </c>
      <c r="G681" s="15" t="n">
        <f aca="false">G680/F680-1</f>
        <v>0.095703652561024</v>
      </c>
    </row>
    <row r="684" customFormat="false" ht="17.15" hidden="false" customHeight="false" outlineLevel="0" collapsed="false">
      <c r="A684" s="1" t="s">
        <v>846</v>
      </c>
    </row>
    <row r="685" customFormat="false" ht="17.15" hidden="false" customHeight="false" outlineLevel="0" collapsed="false">
      <c r="A685" s="5" t="s">
        <v>21</v>
      </c>
      <c r="B685" s="5" t="s">
        <v>22</v>
      </c>
      <c r="C685" s="11" t="s">
        <v>347</v>
      </c>
      <c r="D685" s="11" t="s">
        <v>429</v>
      </c>
      <c r="E685" s="11" t="s">
        <v>430</v>
      </c>
      <c r="F685" s="11" t="s">
        <v>431</v>
      </c>
      <c r="G685" s="11" t="s">
        <v>432</v>
      </c>
      <c r="H685" s="5" t="s">
        <v>400</v>
      </c>
    </row>
    <row r="686" customFormat="false" ht="17.15" hidden="false" customHeight="false" outlineLevel="0" collapsed="false">
      <c r="A686" s="6" t="s">
        <v>450</v>
      </c>
    </row>
    <row r="687" customFormat="false" ht="17.15" hidden="false" customHeight="false" outlineLevel="0" collapsed="false">
      <c r="A687" s="0" t="s">
        <v>451</v>
      </c>
      <c r="B687" s="0" t="s">
        <v>32</v>
      </c>
      <c r="D687" s="22" t="n">
        <f aca="false">itc_26*1</f>
        <v>781.872916666666</v>
      </c>
      <c r="E687" s="22" t="n">
        <f aca="false">itc_27*1*1</f>
        <v>1565.35</v>
      </c>
      <c r="F687" s="22" t="n">
        <f aca="false">itc_28*um28_A*1</f>
        <v>1984.26388888889</v>
      </c>
      <c r="G687" s="22" t="n">
        <f aca="false">itc_29*um29_A*1</f>
        <v>2260.39027777778</v>
      </c>
    </row>
    <row r="688" customFormat="false" ht="17.15" hidden="false" customHeight="false" outlineLevel="0" collapsed="false">
      <c r="A688" s="4" t="s">
        <v>452</v>
      </c>
      <c r="B688" s="0" t="s">
        <v>32</v>
      </c>
      <c r="D688" s="22" t="n">
        <f aca="false">itpg_gb*(1-vr26)+itpg_vr*vr26</f>
        <v>33.41403216</v>
      </c>
      <c r="E688" s="22" t="n">
        <f aca="false">itpg_vr</f>
        <v>37.586352</v>
      </c>
      <c r="F688" s="22" t="n">
        <f aca="false">itpg_vr</f>
        <v>37.586352</v>
      </c>
      <c r="G688" s="22" t="n">
        <f aca="false">itpg_vr</f>
        <v>37.586352</v>
      </c>
    </row>
    <row r="689" customFormat="false" ht="17.15" hidden="false" customHeight="false" outlineLevel="0" collapsed="false">
      <c r="A689" s="4" t="s">
        <v>453</v>
      </c>
      <c r="B689" s="0" t="s">
        <v>402</v>
      </c>
      <c r="D689" s="18" t="n">
        <f aca="false">D687/D688</f>
        <v>23.3995380420639</v>
      </c>
      <c r="E689" s="18" t="n">
        <f aca="false">E687/E688</f>
        <v>41.6467658260637</v>
      </c>
      <c r="F689" s="18" t="n">
        <f aca="false">F687/F688</f>
        <v>52.792138191248</v>
      </c>
      <c r="G689" s="18" t="n">
        <f aca="false">G687/G688</f>
        <v>60.1385917361116</v>
      </c>
    </row>
    <row r="690" customFormat="false" ht="17.15" hidden="false" customHeight="false" outlineLevel="0" collapsed="false">
      <c r="A690" s="4" t="s">
        <v>404</v>
      </c>
      <c r="B690" s="0" t="s">
        <v>405</v>
      </c>
      <c r="D690" s="16" t="n">
        <f aca="false">(racks_gb*odm_gb*(1-vr26)+racks_vr*odm_vr*vr26)/1000</f>
        <v>27.1209</v>
      </c>
      <c r="E690" s="16" t="n">
        <f aca="false">racks_vr*odm_vr/1000</f>
        <v>27.351</v>
      </c>
      <c r="F690" s="16" t="n">
        <f aca="false">$E690*vpg_28</f>
        <v>27.351</v>
      </c>
      <c r="G690" s="16" t="n">
        <f aca="false">$E690*vpg_29</f>
        <v>27.351</v>
      </c>
      <c r="H690" s="4" t="s">
        <v>454</v>
      </c>
    </row>
    <row r="691" customFormat="false" ht="17.15" hidden="false" customHeight="false" outlineLevel="0" collapsed="false">
      <c r="A691" s="0" t="s">
        <v>455</v>
      </c>
      <c r="B691" s="0" t="s">
        <v>32</v>
      </c>
      <c r="D691" s="19" t="n">
        <f aca="false">D689*D690</f>
        <v>634.61653128501</v>
      </c>
      <c r="E691" s="19" t="n">
        <f aca="false">E689*E690</f>
        <v>1139.08069210867</v>
      </c>
      <c r="F691" s="19" t="n">
        <f aca="false">F689*F690</f>
        <v>1443.91777166882</v>
      </c>
      <c r="G691" s="19" t="n">
        <f aca="false">G689*G690</f>
        <v>1644.85062257439</v>
      </c>
    </row>
    <row r="692" customFormat="false" ht="17.15" hidden="false" customHeight="false" outlineLevel="0" collapsed="false">
      <c r="A692" s="0" t="s">
        <v>456</v>
      </c>
      <c r="B692" s="0" t="s">
        <v>209</v>
      </c>
      <c r="D692" s="19" t="n">
        <f aca="false">D691*fx</f>
        <v>20307.7290011203</v>
      </c>
      <c r="E692" s="19" t="n">
        <f aca="false">E691*fx</f>
        <v>36450.5821474774</v>
      </c>
      <c r="F692" s="19" t="n">
        <f aca="false">F691*fx</f>
        <v>46205.3686934024</v>
      </c>
      <c r="G692" s="19" t="n">
        <f aca="false">G691*fx</f>
        <v>52635.2199223804</v>
      </c>
    </row>
    <row r="693" customFormat="false" ht="17.15" hidden="false" customHeight="false" outlineLevel="0" collapsed="false">
      <c r="A693" s="4" t="s">
        <v>457</v>
      </c>
      <c r="B693" s="0" t="s">
        <v>52</v>
      </c>
      <c r="D693" s="15" t="n">
        <f aca="false">a26_ai/D692</f>
        <v>0.174610057569922</v>
      </c>
      <c r="H693" s="8" t="s">
        <v>458</v>
      </c>
    </row>
    <row r="694" customFormat="false" ht="17.15" hidden="false" customHeight="false" outlineLevel="0" collapsed="false">
      <c r="A694" s="4" t="s">
        <v>459</v>
      </c>
      <c r="B694" s="0" t="s">
        <v>71</v>
      </c>
      <c r="D694" s="16" t="n">
        <f aca="false">1</f>
        <v>1</v>
      </c>
      <c r="E694" s="16" t="n">
        <f aca="false">rel_27</f>
        <v>1</v>
      </c>
      <c r="F694" s="16" t="n">
        <f aca="false">rel_28</f>
        <v>1</v>
      </c>
      <c r="G694" s="16" t="n">
        <f aca="false">rel_29</f>
        <v>0.95</v>
      </c>
    </row>
    <row r="695" customFormat="false" ht="15" hidden="false" customHeight="false" outlineLevel="0" collapsed="false">
      <c r="A695" s="4" t="s">
        <v>460</v>
      </c>
      <c r="B695" s="0" t="s">
        <v>52</v>
      </c>
      <c r="D695" s="15" t="n">
        <f aca="false">$D$693*D694</f>
        <v>0.174610057569922</v>
      </c>
      <c r="E695" s="15" t="n">
        <f aca="false">$D$693*E694</f>
        <v>0.174610057569922</v>
      </c>
      <c r="F695" s="15" t="n">
        <f aca="false">$D$693*F694</f>
        <v>0.174610057569922</v>
      </c>
      <c r="G695" s="15" t="n">
        <f aca="false">$D$693*G694</f>
        <v>0.165879554691426</v>
      </c>
    </row>
    <row r="696" customFormat="false" ht="17.15" hidden="false" customHeight="false" outlineLevel="0" collapsed="false">
      <c r="A696" s="0" t="s">
        <v>461</v>
      </c>
      <c r="B696" s="0" t="s">
        <v>209</v>
      </c>
      <c r="D696" s="19" t="n">
        <f aca="false">D692*D695</f>
        <v>3545.93373</v>
      </c>
      <c r="E696" s="19" t="n">
        <f aca="false">E692*E695</f>
        <v>6364.6382472282</v>
      </c>
      <c r="F696" s="19" t="n">
        <f aca="false">F692*F695</f>
        <v>8067.92208759447</v>
      </c>
      <c r="G696" s="19" t="n">
        <f aca="false">G692*G695</f>
        <v>8731.10684180974</v>
      </c>
    </row>
    <row r="697" customFormat="false" ht="17.15" hidden="false" customHeight="false" outlineLevel="0" collapsed="false">
      <c r="A697" s="4" t="s">
        <v>462</v>
      </c>
      <c r="B697" s="0" t="s">
        <v>52</v>
      </c>
      <c r="D697" s="15" t="n">
        <f aca="false">0</f>
        <v>0</v>
      </c>
      <c r="E697" s="15" t="n">
        <f aca="false">cs_27</f>
        <v>0.1</v>
      </c>
      <c r="F697" s="15" t="n">
        <f aca="false">cs_28</f>
        <v>0.2</v>
      </c>
      <c r="G697" s="15" t="n">
        <f aca="false">cs_29</f>
        <v>0.25</v>
      </c>
      <c r="H697" s="8" t="s">
        <v>463</v>
      </c>
    </row>
    <row r="698" customFormat="false" ht="17.15" hidden="false" customHeight="false" outlineLevel="0" collapsed="false">
      <c r="A698" s="0" t="s">
        <v>464</v>
      </c>
      <c r="B698" s="0" t="s">
        <v>209</v>
      </c>
      <c r="C698" s="19" t="n">
        <f aca="false">a25_ai</f>
        <v>1620.621</v>
      </c>
      <c r="D698" s="19" t="n">
        <f aca="false">D696*(1-D697)</f>
        <v>3545.93373</v>
      </c>
      <c r="E698" s="19" t="n">
        <f aca="false">E696*(1-E697)</f>
        <v>5728.17442250538</v>
      </c>
      <c r="F698" s="19" t="n">
        <f aca="false">F696*(1-F697)</f>
        <v>6454.33767007557</v>
      </c>
      <c r="G698" s="19" t="n">
        <f aca="false">G696*(1-G697)</f>
        <v>6548.3301313573</v>
      </c>
    </row>
    <row r="699" customFormat="false" ht="17.15" hidden="false" customHeight="false" outlineLevel="0" collapsed="false">
      <c r="A699" s="6" t="s">
        <v>465</v>
      </c>
    </row>
    <row r="700" customFormat="false" ht="17.15" hidden="false" customHeight="false" outlineLevel="0" collapsed="false">
      <c r="A700" s="4" t="s">
        <v>382</v>
      </c>
      <c r="B700" s="0" t="s">
        <v>209</v>
      </c>
      <c r="C700" s="19" t="n">
        <f aca="false">a25_cn</f>
        <v>1620.621</v>
      </c>
      <c r="D700" s="19" t="n">
        <f aca="false">a26_cn</f>
        <v>2363.95582</v>
      </c>
      <c r="E700" s="19" t="n">
        <f aca="false">D700*(1+g_cn27)</f>
        <v>2647.6305184</v>
      </c>
      <c r="F700" s="19" t="n">
        <f aca="false">E700*(1+g_cn28)</f>
        <v>2859.440959872</v>
      </c>
      <c r="G700" s="19" t="n">
        <f aca="false">F700*(1+g_cn29)</f>
        <v>3031.00741746432</v>
      </c>
    </row>
    <row r="701" customFormat="false" ht="17.15" hidden="false" customHeight="false" outlineLevel="0" collapsed="false">
      <c r="A701" s="4" t="s">
        <v>383</v>
      </c>
      <c r="B701" s="0" t="s">
        <v>209</v>
      </c>
      <c r="C701" s="19" t="n">
        <f aca="false">a25_ce</f>
        <v>3079.1799</v>
      </c>
      <c r="D701" s="19" t="n">
        <f aca="false">a26_ce</f>
        <v>3345.2205</v>
      </c>
      <c r="E701" s="19" t="n">
        <f aca="false">D701*(1+g_ce27)</f>
        <v>3445.577115</v>
      </c>
      <c r="F701" s="19" t="n">
        <f aca="false">E701*(1+g_ce28)</f>
        <v>3514.4886573</v>
      </c>
      <c r="G701" s="19" t="n">
        <f aca="false">F701*(1+g_ce29)</f>
        <v>3584.778430446</v>
      </c>
    </row>
    <row r="702" customFormat="false" ht="15" hidden="false" customHeight="false" outlineLevel="0" collapsed="false">
      <c r="A702" s="4" t="s">
        <v>384</v>
      </c>
      <c r="B702" s="0" t="s">
        <v>209</v>
      </c>
      <c r="C702" s="19" t="n">
        <f aca="false">a25_pc</f>
        <v>1215.46575</v>
      </c>
      <c r="D702" s="19" t="n">
        <f aca="false">a26_pc</f>
        <v>1338.0882</v>
      </c>
      <c r="E702" s="19" t="n">
        <f aca="false">D702*(1+g_pc27)</f>
        <v>1311.326436</v>
      </c>
      <c r="F702" s="19" t="n">
        <f aca="false">E702*(1+g_pc28)</f>
        <v>1311.326436</v>
      </c>
      <c r="G702" s="19" t="n">
        <f aca="false">F702*(1+g_pc29)</f>
        <v>1311.326436</v>
      </c>
    </row>
    <row r="703" customFormat="false" ht="15" hidden="false" customHeight="false" outlineLevel="0" collapsed="false">
      <c r="A703" s="4" t="s">
        <v>466</v>
      </c>
      <c r="B703" s="0" t="s">
        <v>209</v>
      </c>
      <c r="C703" s="19" t="n">
        <f aca="false">a25_co</f>
        <v>567.217349999999</v>
      </c>
      <c r="D703" s="19" t="n">
        <f aca="false">a26_co</f>
        <v>557.53675</v>
      </c>
      <c r="E703" s="19" t="n">
        <f aca="false">D703*(1+g_co27)</f>
        <v>602.13969</v>
      </c>
      <c r="F703" s="19" t="n">
        <f aca="false">E703*(1+g_co28)</f>
        <v>638.2680714</v>
      </c>
      <c r="G703" s="19" t="n">
        <f aca="false">F703*(1+g_co29)</f>
        <v>670.18147497</v>
      </c>
    </row>
    <row r="704" customFormat="false" ht="17.15" hidden="false" customHeight="false" outlineLevel="0" collapsed="false">
      <c r="A704" s="4" t="s">
        <v>387</v>
      </c>
      <c r="B704" s="0" t="s">
        <v>209</v>
      </c>
      <c r="C704" s="19" t="n">
        <f aca="false">SUM(C700:C703)</f>
        <v>6482.484</v>
      </c>
      <c r="D704" s="19" t="n">
        <f aca="false">SUM(D700:D703)</f>
        <v>7604.80127</v>
      </c>
      <c r="E704" s="19" t="n">
        <f aca="false">SUM(E700:E703)</f>
        <v>8006.6737594</v>
      </c>
      <c r="F704" s="19" t="n">
        <f aca="false">SUM(F700:F703)</f>
        <v>8323.524124572</v>
      </c>
      <c r="G704" s="19" t="n">
        <f aca="false">SUM(G700:G703)</f>
        <v>8597.29375888032</v>
      </c>
    </row>
    <row r="705" customFormat="false" ht="15" hidden="false" customHeight="false" outlineLevel="0" collapsed="false">
      <c r="A705" s="4" t="s">
        <v>353</v>
      </c>
      <c r="B705" s="0" t="s">
        <v>209</v>
      </c>
      <c r="C705" s="19" t="n">
        <f aca="false">C698+C704</f>
        <v>8103.105</v>
      </c>
      <c r="D705" s="19" t="n">
        <f aca="false">D698+D704</f>
        <v>11150.735</v>
      </c>
      <c r="E705" s="19" t="n">
        <f aca="false">E698+E704</f>
        <v>13734.8481819054</v>
      </c>
      <c r="F705" s="19" t="n">
        <f aca="false">F698+F704</f>
        <v>14777.8617946476</v>
      </c>
      <c r="G705" s="19" t="n">
        <f aca="false">G698+G704</f>
        <v>15145.6238902376</v>
      </c>
    </row>
    <row r="706" customFormat="false" ht="17.15" hidden="false" customHeight="false" outlineLevel="0" collapsed="false">
      <c r="A706" s="4" t="s">
        <v>467</v>
      </c>
      <c r="B706" s="0" t="s">
        <v>209</v>
      </c>
      <c r="C706" s="19" t="n">
        <f aca="false">C698+C700</f>
        <v>3241.242</v>
      </c>
      <c r="D706" s="19" t="n">
        <f aca="false">D698+D700</f>
        <v>5909.88955</v>
      </c>
      <c r="E706" s="19" t="n">
        <f aca="false">E698+E700</f>
        <v>8375.80494090538</v>
      </c>
      <c r="F706" s="19" t="n">
        <f aca="false">F698+F700</f>
        <v>9313.77862994757</v>
      </c>
      <c r="G706" s="19" t="n">
        <f aca="false">G698+G700</f>
        <v>9579.33754882162</v>
      </c>
      <c r="H706" s="4" t="s">
        <v>468</v>
      </c>
    </row>
    <row r="707" customFormat="false" ht="17.15" hidden="false" customHeight="false" outlineLevel="0" collapsed="false">
      <c r="A707" s="4" t="s">
        <v>469</v>
      </c>
      <c r="B707" s="0" t="s">
        <v>209</v>
      </c>
      <c r="C707" s="23" t="n">
        <f aca="false">C706+C701+C702+C703-a25_rev</f>
        <v>0</v>
      </c>
      <c r="D707" s="23" t="n">
        <f aca="false">D706+D701+D702+D703-a26_rev</f>
        <v>0</v>
      </c>
      <c r="E707" s="23" t="n">
        <f aca="false">E706+E701+E702+E703-E705</f>
        <v>0</v>
      </c>
      <c r="F707" s="23" t="n">
        <f aca="false">F706+F701+F702+F703-F705</f>
        <v>0</v>
      </c>
      <c r="G707" s="23" t="n">
        <f aca="false">G706+G701+G702+G703-G705</f>
        <v>0</v>
      </c>
    </row>
    <row r="708" customFormat="false" ht="15" hidden="false" customHeight="false" outlineLevel="0" collapsed="false">
      <c r="A708" s="4" t="s">
        <v>470</v>
      </c>
      <c r="B708" s="0" t="s">
        <v>52</v>
      </c>
      <c r="D708" s="15" t="n">
        <f aca="false">D705/C705-1</f>
        <v>0.376106443147411</v>
      </c>
      <c r="E708" s="15" t="n">
        <f aca="false">E705/D705-1</f>
        <v>0.231743753385349</v>
      </c>
      <c r="F708" s="15" t="n">
        <f aca="false">F705/E705-1</f>
        <v>0.0759392167229256</v>
      </c>
      <c r="G708" s="15" t="n">
        <f aca="false">G705/F705-1</f>
        <v>0.0248860153586801</v>
      </c>
    </row>
    <row r="709" customFormat="false" ht="17.15" hidden="false" customHeight="false" outlineLevel="0" collapsed="false">
      <c r="A709" s="0" t="s">
        <v>471</v>
      </c>
      <c r="B709" s="0" t="s">
        <v>52</v>
      </c>
      <c r="C709" s="15" t="n">
        <f aca="false">C698/C705</f>
        <v>0.2</v>
      </c>
      <c r="D709" s="15" t="n">
        <f aca="false">D698/D705</f>
        <v>0.318</v>
      </c>
      <c r="E709" s="15" t="n">
        <f aca="false">E698/E705</f>
        <v>0.417054076364078</v>
      </c>
      <c r="F709" s="15" t="n">
        <f aca="false">F698/F705</f>
        <v>0.436757208841491</v>
      </c>
      <c r="G709" s="15" t="n">
        <f aca="false">G698/G705</f>
        <v>0.43235789947076</v>
      </c>
    </row>
    <row r="710" customFormat="false" ht="17.15" hidden="false" customHeight="false" outlineLevel="0" collapsed="false">
      <c r="A710" s="4" t="s">
        <v>472</v>
      </c>
      <c r="B710" s="0" t="s">
        <v>52</v>
      </c>
      <c r="C710" s="15" t="n">
        <f aca="false">(C698+C700)/C705</f>
        <v>0.4</v>
      </c>
      <c r="D710" s="15" t="n">
        <f aca="false">(D698+D700)/D705</f>
        <v>0.53</v>
      </c>
      <c r="E710" s="15" t="n">
        <f aca="false">(E698+E700)/E705</f>
        <v>0.609821443235162</v>
      </c>
      <c r="F710" s="15" t="n">
        <f aca="false">(F698+F700)/F705</f>
        <v>0.630252113558198</v>
      </c>
      <c r="G710" s="15" t="n">
        <f aca="false">(G698+G700)/G705</f>
        <v>0.632482202003983</v>
      </c>
    </row>
    <row r="711" customFormat="false" ht="17.15" hidden="false" customHeight="false" outlineLevel="0" collapsed="false">
      <c r="A711" s="4" t="s">
        <v>418</v>
      </c>
      <c r="B711" s="0" t="s">
        <v>405</v>
      </c>
      <c r="D711" s="16" t="n">
        <f aca="false">D698/fx/D689</f>
        <v>4.7355819103481</v>
      </c>
      <c r="E711" s="16" t="n">
        <f aca="false">E698/fx/E689</f>
        <v>4.29818371613545</v>
      </c>
      <c r="F711" s="16" t="n">
        <f aca="false">F698/fx/F689</f>
        <v>3.82060774767595</v>
      </c>
      <c r="G711" s="16" t="n">
        <f aca="false">G698/fx/G689</f>
        <v>3.4027287752739</v>
      </c>
    </row>
    <row r="712" customFormat="false" ht="17.15" hidden="false" customHeight="false" outlineLevel="0" collapsed="false">
      <c r="A712" s="4" t="s">
        <v>473</v>
      </c>
      <c r="B712" s="4" t="s">
        <v>416</v>
      </c>
      <c r="D712" s="19" t="n">
        <f aca="false">D696/fx/(odm_gb*(1-vr26)+odm_vr*vr26)</f>
        <v>24.0630682003257</v>
      </c>
      <c r="E712" s="19" t="n">
        <f aca="false">E696/fx/odm_vr</f>
        <v>29.4659178112417</v>
      </c>
      <c r="F712" s="19" t="n">
        <f aca="false">F696/fx/odm_vr</f>
        <v>37.3514911462707</v>
      </c>
      <c r="G712" s="19" t="n">
        <f aca="false">G696/fx/odm_vr</f>
        <v>40.4217909343043</v>
      </c>
      <c r="H712" s="4" t="s">
        <v>474</v>
      </c>
    </row>
    <row r="713" customFormat="false" ht="17.15" hidden="false" customHeight="false" outlineLevel="0" collapsed="false">
      <c r="A713" s="6" t="s">
        <v>475</v>
      </c>
    </row>
    <row r="714" customFormat="false" ht="17.15" hidden="false" customHeight="false" outlineLevel="0" collapsed="false">
      <c r="A714" s="4" t="s">
        <v>476</v>
      </c>
      <c r="B714" s="0" t="s">
        <v>52</v>
      </c>
      <c r="D714" s="14" t="n">
        <f aca="false">a26_gp/D705-d_ai_lo*D709</f>
        <v>0.0653789258510762</v>
      </c>
      <c r="H714" s="8" t="s">
        <v>477</v>
      </c>
    </row>
    <row r="715" customFormat="false" ht="17.15" hidden="false" customHeight="false" outlineLevel="0" collapsed="false">
      <c r="A715" s="0" t="s">
        <v>478</v>
      </c>
      <c r="B715" s="0" t="s">
        <v>209</v>
      </c>
      <c r="D715" s="22" t="n">
        <f aca="false">($D$714+d_ai_lo)*D696*(1-D697*(1-keep))</f>
        <v>178.6403324565</v>
      </c>
      <c r="E715" s="22" t="n">
        <f aca="false">($D$714+d_ai_lo+vrd)*E696*(1-E697*(1-keep))</f>
        <v>304.835218213261</v>
      </c>
      <c r="F715" s="22" t="n">
        <f aca="false">($D$714+d_ai_lo+vrd)*F696*(1-F697*(1-keep))</f>
        <v>382.511056359033</v>
      </c>
      <c r="G715" s="22" t="n">
        <f aca="false">($D$714+d_ai_lo+vrd)*G696*(1-G697*(1-keep))</f>
        <v>411.841531235294</v>
      </c>
      <c r="H715" s="4" t="s">
        <v>479</v>
      </c>
    </row>
    <row r="716" customFormat="false" ht="15" hidden="false" customHeight="false" outlineLevel="0" collapsed="false">
      <c r="A716" s="4" t="s">
        <v>357</v>
      </c>
      <c r="B716" s="0" t="s">
        <v>209</v>
      </c>
      <c r="C716" s="19" t="n">
        <f aca="false">a25_gp</f>
        <v>498.161</v>
      </c>
      <c r="D716" s="19" t="n">
        <f aca="false">a26_gp</f>
        <v>675.8340708</v>
      </c>
      <c r="E716" s="19" t="n">
        <f aca="false">$D$714*E704+E715</f>
        <v>828.302948242831</v>
      </c>
      <c r="F716" s="19" t="n">
        <f aca="false">$D$714*F704+F715</f>
        <v>926.694122919069</v>
      </c>
      <c r="G716" s="19" t="n">
        <f aca="false">$D$714*G704+G715</f>
        <v>973.92336241705</v>
      </c>
    </row>
    <row r="717" customFormat="false" ht="15" hidden="false" customHeight="false" outlineLevel="0" collapsed="false">
      <c r="A717" s="4" t="s">
        <v>360</v>
      </c>
      <c r="B717" s="0" t="s">
        <v>52</v>
      </c>
      <c r="C717" s="14" t="n">
        <f aca="false">C716/C705</f>
        <v>0.0614777915379352</v>
      </c>
      <c r="D717" s="14" t="n">
        <f aca="false">D716/D705</f>
        <v>0.0606089258510762</v>
      </c>
      <c r="E717" s="14" t="n">
        <f aca="false">E716/E705</f>
        <v>0.0603066693765175</v>
      </c>
      <c r="F717" s="14" t="n">
        <f aca="false">F716/F705</f>
        <v>0.0627082683406006</v>
      </c>
      <c r="G717" s="14" t="n">
        <f aca="false">G716/G705</f>
        <v>0.0643039447879601</v>
      </c>
    </row>
    <row r="718" customFormat="false" ht="17.15" hidden="false" customHeight="false" outlineLevel="0" collapsed="false">
      <c r="A718" s="0" t="s">
        <v>480</v>
      </c>
      <c r="B718" s="0" t="s">
        <v>52</v>
      </c>
      <c r="D718" s="14" t="n">
        <f aca="false">D715/D698</f>
        <v>0.0503789258510762</v>
      </c>
      <c r="E718" s="14" t="n">
        <f aca="false">E715/E698</f>
        <v>0.0532168184361838</v>
      </c>
      <c r="F718" s="14" t="n">
        <f aca="false">F715/F698</f>
        <v>0.0592641841675683</v>
      </c>
      <c r="G718" s="14" t="n">
        <f aca="false">G715/G698</f>
        <v>0.062892603606399</v>
      </c>
      <c r="H718" s="4" t="s">
        <v>481</v>
      </c>
    </row>
    <row r="719" customFormat="false" ht="15" hidden="false" customHeight="false" outlineLevel="0" collapsed="false">
      <c r="A719" s="4" t="s">
        <v>482</v>
      </c>
      <c r="B719" s="0" t="s">
        <v>209</v>
      </c>
      <c r="C719" s="19" t="n">
        <f aca="false">a25_opx</f>
        <v>238.938</v>
      </c>
      <c r="D719" s="19" t="n">
        <f aca="false">a26_opx</f>
        <v>254.8304233</v>
      </c>
      <c r="E719" s="19" t="n">
        <f aca="false">D719*(1+MAX(0,phi*E708))</f>
        <v>278.452566808928</v>
      </c>
      <c r="F719" s="19" t="n">
        <f aca="false">E719*(1+MAX(0,phi*F708))</f>
        <v>286.910754736111</v>
      </c>
      <c r="G719" s="19" t="n">
        <f aca="false">F719*(1+MAX(0,phi*G708))</f>
        <v>289.766780915684</v>
      </c>
    </row>
    <row r="720" customFormat="false" ht="15" hidden="false" customHeight="false" outlineLevel="0" collapsed="false">
      <c r="A720" s="4" t="s">
        <v>361</v>
      </c>
      <c r="B720" s="0" t="s">
        <v>209</v>
      </c>
      <c r="C720" s="19" t="n">
        <f aca="false">C719</f>
        <v>238.938</v>
      </c>
      <c r="D720" s="19" t="n">
        <f aca="false">D719</f>
        <v>254.8304233</v>
      </c>
      <c r="E720" s="19" t="n">
        <f aca="false">E719+0*E705</f>
        <v>278.452566808928</v>
      </c>
      <c r="F720" s="19" t="n">
        <f aca="false">F719+0*F705</f>
        <v>286.910754736111</v>
      </c>
      <c r="G720" s="19" t="n">
        <f aca="false">G719+0*G705</f>
        <v>289.766780915684</v>
      </c>
    </row>
    <row r="721" customFormat="false" ht="15" hidden="false" customHeight="false" outlineLevel="0" collapsed="false">
      <c r="A721" s="4" t="s">
        <v>364</v>
      </c>
      <c r="B721" s="0" t="s">
        <v>209</v>
      </c>
      <c r="C721" s="19" t="n">
        <f aca="false">C716-C720</f>
        <v>259.223</v>
      </c>
      <c r="D721" s="19" t="n">
        <f aca="false">D716-D720</f>
        <v>421.0036475</v>
      </c>
      <c r="E721" s="19" t="n">
        <f aca="false">E716-E720</f>
        <v>549.850381433903</v>
      </c>
      <c r="F721" s="19" t="n">
        <f aca="false">F716-F720</f>
        <v>639.783368182958</v>
      </c>
      <c r="G721" s="19" t="n">
        <f aca="false">G716-G720</f>
        <v>684.156581501366</v>
      </c>
    </row>
    <row r="722" customFormat="false" ht="15" hidden="false" customHeight="false" outlineLevel="0" collapsed="false">
      <c r="A722" s="4" t="s">
        <v>367</v>
      </c>
      <c r="B722" s="0" t="s">
        <v>52</v>
      </c>
      <c r="C722" s="14" t="n">
        <f aca="false">C721/C705</f>
        <v>0.0319905764518663</v>
      </c>
      <c r="D722" s="14" t="n">
        <f aca="false">D721/D705</f>
        <v>0.0377556858359561</v>
      </c>
      <c r="E722" s="14" t="n">
        <f aca="false">E721/E705</f>
        <v>0.0400332332874483</v>
      </c>
      <c r="F722" s="14" t="n">
        <f aca="false">F721/F705</f>
        <v>0.0432933652427771</v>
      </c>
      <c r="G722" s="14" t="n">
        <f aca="false">G721/G705</f>
        <v>0.0451718982631248</v>
      </c>
    </row>
    <row r="723" customFormat="false" ht="17.15" hidden="false" customHeight="false" outlineLevel="0" collapsed="false">
      <c r="A723" s="4" t="s">
        <v>243</v>
      </c>
      <c r="B723" s="0" t="s">
        <v>52</v>
      </c>
      <c r="C723" s="15" t="n">
        <f aca="false">a25_ni/a25_oi</f>
        <v>0.730467589681471</v>
      </c>
      <c r="D723" s="15" t="n">
        <f aca="false">a26_ni/a26_oi</f>
        <v>0.653811645064191</v>
      </c>
      <c r="E723" s="15" t="n">
        <f aca="false">nio_f</f>
        <v>0.66</v>
      </c>
      <c r="F723" s="15" t="n">
        <f aca="false">nio_f</f>
        <v>0.66</v>
      </c>
      <c r="G723" s="15" t="n">
        <f aca="false">nio_f</f>
        <v>0.66</v>
      </c>
    </row>
    <row r="724" customFormat="false" ht="15" hidden="false" customHeight="false" outlineLevel="0" collapsed="false">
      <c r="A724" s="4" t="s">
        <v>368</v>
      </c>
      <c r="B724" s="0" t="s">
        <v>209</v>
      </c>
      <c r="C724" s="19" t="n">
        <f aca="false">a25_ni</f>
        <v>189.354</v>
      </c>
      <c r="D724" s="19" t="n">
        <f aca="false">a26_ni</f>
        <v>275.25708735</v>
      </c>
      <c r="E724" s="19" t="n">
        <f aca="false">E721*E723</f>
        <v>362.901251746376</v>
      </c>
      <c r="F724" s="19" t="n">
        <f aca="false">F721*F723</f>
        <v>422.257023000752</v>
      </c>
      <c r="G724" s="19" t="n">
        <f aca="false">G721*G723</f>
        <v>451.543343790902</v>
      </c>
    </row>
    <row r="725" customFormat="false" ht="15" hidden="false" customHeight="false" outlineLevel="0" collapsed="false">
      <c r="A725" s="4" t="s">
        <v>483</v>
      </c>
      <c r="B725" s="4" t="s">
        <v>230</v>
      </c>
      <c r="C725" s="23" t="n">
        <f aca="false">a25_sh</f>
        <v>13.9128581925055</v>
      </c>
      <c r="D725" s="23" t="n">
        <f aca="false">a26_sh</f>
        <v>14.0169642857143</v>
      </c>
      <c r="E725" s="23" t="n">
        <f aca="false">D725*(1+sh_g)</f>
        <v>14.0169642857143</v>
      </c>
      <c r="F725" s="23" t="n">
        <f aca="false">E725*(1+sh_g)</f>
        <v>14.0169642857143</v>
      </c>
      <c r="G725" s="23" t="n">
        <f aca="false">F725*(1+sh_g)</f>
        <v>14.0169642857143</v>
      </c>
    </row>
    <row r="726" customFormat="false" ht="15" hidden="false" customHeight="false" outlineLevel="0" collapsed="false">
      <c r="A726" s="0" t="s">
        <v>374</v>
      </c>
      <c r="B726" s="0" t="s">
        <v>260</v>
      </c>
      <c r="C726" s="22" t="n">
        <f aca="false">C724/C725</f>
        <v>13.61</v>
      </c>
      <c r="D726" s="22" t="n">
        <f aca="false">D724/D725</f>
        <v>19.6374251756163</v>
      </c>
      <c r="E726" s="22" t="n">
        <f aca="false">E724/E725</f>
        <v>25.8901459937538</v>
      </c>
      <c r="F726" s="22" t="n">
        <f aca="false">F724/F725</f>
        <v>30.1247127690199</v>
      </c>
      <c r="G726" s="22" t="n">
        <f aca="false">G724/G725</f>
        <v>32.2140610896114</v>
      </c>
    </row>
    <row r="727" customFormat="false" ht="17.15" hidden="false" customHeight="false" outlineLevel="0" collapsed="false">
      <c r="A727" s="0" t="s">
        <v>484</v>
      </c>
      <c r="B727" s="0" t="s">
        <v>52</v>
      </c>
      <c r="D727" s="15" t="n">
        <f aca="false">D726/C726-1</f>
        <v>0.442867389832203</v>
      </c>
      <c r="E727" s="15" t="n">
        <f aca="false">E726/D726-1</f>
        <v>0.318408384104323</v>
      </c>
      <c r="F727" s="15" t="n">
        <f aca="false">F726/E726-1</f>
        <v>0.163559014935167</v>
      </c>
      <c r="G727" s="15" t="n">
        <f aca="false">G726/F726-1</f>
        <v>0.0693566221398216</v>
      </c>
    </row>
    <row r="730" customFormat="false" ht="17.15" hidden="false" customHeight="false" outlineLevel="0" collapsed="false">
      <c r="A730" s="1" t="s">
        <v>847</v>
      </c>
    </row>
    <row r="731" customFormat="false" ht="17.15" hidden="false" customHeight="false" outlineLevel="0" collapsed="false">
      <c r="A731" s="5" t="s">
        <v>21</v>
      </c>
      <c r="B731" s="5" t="s">
        <v>22</v>
      </c>
      <c r="C731" s="11" t="s">
        <v>347</v>
      </c>
      <c r="D731" s="11" t="s">
        <v>429</v>
      </c>
      <c r="E731" s="11" t="s">
        <v>430</v>
      </c>
      <c r="F731" s="11" t="s">
        <v>431</v>
      </c>
      <c r="G731" s="11" t="s">
        <v>432</v>
      </c>
      <c r="H731" s="5" t="s">
        <v>400</v>
      </c>
    </row>
    <row r="732" customFormat="false" ht="17.15" hidden="false" customHeight="false" outlineLevel="0" collapsed="false">
      <c r="A732" s="6" t="s">
        <v>450</v>
      </c>
    </row>
    <row r="733" customFormat="false" ht="17.15" hidden="false" customHeight="false" outlineLevel="0" collapsed="false">
      <c r="A733" s="0" t="s">
        <v>451</v>
      </c>
      <c r="B733" s="0" t="s">
        <v>32</v>
      </c>
      <c r="D733" s="22" t="n">
        <f aca="false">itc_26*1</f>
        <v>781.872916666666</v>
      </c>
      <c r="E733" s="22" t="n">
        <f aca="false">itc_27*1*1</f>
        <v>1565.35</v>
      </c>
      <c r="F733" s="22" t="n">
        <f aca="false">itc_28*um28_A*1</f>
        <v>1984.26388888889</v>
      </c>
      <c r="G733" s="22" t="n">
        <f aca="false">itc_29*um29_A*1</f>
        <v>2260.39027777778</v>
      </c>
    </row>
    <row r="734" customFormat="false" ht="17.15" hidden="false" customHeight="false" outlineLevel="0" collapsed="false">
      <c r="A734" s="4" t="s">
        <v>452</v>
      </c>
      <c r="B734" s="0" t="s">
        <v>32</v>
      </c>
      <c r="D734" s="22" t="n">
        <f aca="false">itpg_gb*(1-vr26)+itpg_vr*vr26</f>
        <v>33.41403216</v>
      </c>
      <c r="E734" s="22" t="n">
        <f aca="false">itpg_vr</f>
        <v>37.586352</v>
      </c>
      <c r="F734" s="22" t="n">
        <f aca="false">itpg_vr</f>
        <v>37.586352</v>
      </c>
      <c r="G734" s="22" t="n">
        <f aca="false">itpg_vr</f>
        <v>37.586352</v>
      </c>
    </row>
    <row r="735" customFormat="false" ht="17.15" hidden="false" customHeight="false" outlineLevel="0" collapsed="false">
      <c r="A735" s="4" t="s">
        <v>453</v>
      </c>
      <c r="B735" s="0" t="s">
        <v>402</v>
      </c>
      <c r="D735" s="18" t="n">
        <f aca="false">D733/D734</f>
        <v>23.3995380420639</v>
      </c>
      <c r="E735" s="18" t="n">
        <f aca="false">E733/E734</f>
        <v>41.6467658260637</v>
      </c>
      <c r="F735" s="18" t="n">
        <f aca="false">F733/F734</f>
        <v>52.792138191248</v>
      </c>
      <c r="G735" s="18" t="n">
        <f aca="false">G733/G734</f>
        <v>60.1385917361116</v>
      </c>
    </row>
    <row r="736" customFormat="false" ht="17.15" hidden="false" customHeight="false" outlineLevel="0" collapsed="false">
      <c r="A736" s="4" t="s">
        <v>404</v>
      </c>
      <c r="B736" s="0" t="s">
        <v>405</v>
      </c>
      <c r="D736" s="16" t="n">
        <f aca="false">(racks_gb*odm_gb*(1-vr26)+racks_vr*odm_vr*vr26)/1000</f>
        <v>27.1209</v>
      </c>
      <c r="E736" s="16" t="n">
        <f aca="false">racks_vr*odm_vr/1000</f>
        <v>27.351</v>
      </c>
      <c r="F736" s="16" t="n">
        <f aca="false">$E736*vpg_28</f>
        <v>27.351</v>
      </c>
      <c r="G736" s="16" t="n">
        <f aca="false">$E736*vpg_29</f>
        <v>27.351</v>
      </c>
      <c r="H736" s="4" t="s">
        <v>454</v>
      </c>
    </row>
    <row r="737" customFormat="false" ht="17.15" hidden="false" customHeight="false" outlineLevel="0" collapsed="false">
      <c r="A737" s="0" t="s">
        <v>455</v>
      </c>
      <c r="B737" s="0" t="s">
        <v>32</v>
      </c>
      <c r="D737" s="19" t="n">
        <f aca="false">D735*D736</f>
        <v>634.61653128501</v>
      </c>
      <c r="E737" s="19" t="n">
        <f aca="false">E735*E736</f>
        <v>1139.08069210867</v>
      </c>
      <c r="F737" s="19" t="n">
        <f aca="false">F735*F736</f>
        <v>1443.91777166882</v>
      </c>
      <c r="G737" s="19" t="n">
        <f aca="false">G735*G736</f>
        <v>1644.85062257439</v>
      </c>
    </row>
    <row r="738" customFormat="false" ht="17.15" hidden="false" customHeight="false" outlineLevel="0" collapsed="false">
      <c r="A738" s="0" t="s">
        <v>456</v>
      </c>
      <c r="B738" s="0" t="s">
        <v>209</v>
      </c>
      <c r="D738" s="19" t="n">
        <f aca="false">D737*fx</f>
        <v>20307.7290011203</v>
      </c>
      <c r="E738" s="19" t="n">
        <f aca="false">E737*fx</f>
        <v>36450.5821474774</v>
      </c>
      <c r="F738" s="19" t="n">
        <f aca="false">F737*fx</f>
        <v>46205.3686934024</v>
      </c>
      <c r="G738" s="19" t="n">
        <f aca="false">G737*fx</f>
        <v>52635.2199223804</v>
      </c>
    </row>
    <row r="739" customFormat="false" ht="17.15" hidden="false" customHeight="false" outlineLevel="0" collapsed="false">
      <c r="A739" s="4" t="s">
        <v>457</v>
      </c>
      <c r="B739" s="0" t="s">
        <v>52</v>
      </c>
      <c r="D739" s="15" t="n">
        <f aca="false">a26_ai/D738</f>
        <v>0.174610057569922</v>
      </c>
      <c r="H739" s="8" t="s">
        <v>458</v>
      </c>
    </row>
    <row r="740" customFormat="false" ht="17.15" hidden="false" customHeight="false" outlineLevel="0" collapsed="false">
      <c r="A740" s="4" t="s">
        <v>459</v>
      </c>
      <c r="B740" s="0" t="s">
        <v>71</v>
      </c>
      <c r="D740" s="16" t="n">
        <f aca="false">1</f>
        <v>1</v>
      </c>
      <c r="E740" s="16" t="n">
        <f aca="false">rel_27</f>
        <v>1</v>
      </c>
      <c r="F740" s="16" t="n">
        <f aca="false">rel_28</f>
        <v>1</v>
      </c>
      <c r="G740" s="16" t="n">
        <f aca="false">rel_29</f>
        <v>0.95</v>
      </c>
    </row>
    <row r="741" customFormat="false" ht="15" hidden="false" customHeight="false" outlineLevel="0" collapsed="false">
      <c r="A741" s="4" t="s">
        <v>460</v>
      </c>
      <c r="B741" s="0" t="s">
        <v>52</v>
      </c>
      <c r="D741" s="15" t="n">
        <f aca="false">$D$739*D740</f>
        <v>0.174610057569922</v>
      </c>
      <c r="E741" s="15" t="n">
        <f aca="false">$D$739*E740</f>
        <v>0.174610057569922</v>
      </c>
      <c r="F741" s="15" t="n">
        <f aca="false">$D$739*F740</f>
        <v>0.174610057569922</v>
      </c>
      <c r="G741" s="15" t="n">
        <f aca="false">$D$739*G740</f>
        <v>0.165879554691426</v>
      </c>
    </row>
    <row r="742" customFormat="false" ht="17.15" hidden="false" customHeight="false" outlineLevel="0" collapsed="false">
      <c r="A742" s="0" t="s">
        <v>461</v>
      </c>
      <c r="B742" s="0" t="s">
        <v>209</v>
      </c>
      <c r="D742" s="19" t="n">
        <f aca="false">D738*D741</f>
        <v>3545.93373</v>
      </c>
      <c r="E742" s="19" t="n">
        <f aca="false">E738*E741</f>
        <v>6364.6382472282</v>
      </c>
      <c r="F742" s="19" t="n">
        <f aca="false">F738*F741</f>
        <v>8067.92208759447</v>
      </c>
      <c r="G742" s="19" t="n">
        <f aca="false">G738*G741</f>
        <v>8731.10684180974</v>
      </c>
    </row>
    <row r="743" customFormat="false" ht="17.15" hidden="false" customHeight="false" outlineLevel="0" collapsed="false">
      <c r="A743" s="4" t="s">
        <v>462</v>
      </c>
      <c r="B743" s="0" t="s">
        <v>52</v>
      </c>
      <c r="D743" s="15" t="n">
        <f aca="false">0</f>
        <v>0</v>
      </c>
      <c r="E743" s="15" t="n">
        <f aca="false">cs_27</f>
        <v>0.1</v>
      </c>
      <c r="F743" s="15" t="n">
        <f aca="false">cs_28</f>
        <v>0.2</v>
      </c>
      <c r="G743" s="15" t="n">
        <f aca="false">cs_29</f>
        <v>0.25</v>
      </c>
      <c r="H743" s="8" t="s">
        <v>463</v>
      </c>
    </row>
    <row r="744" customFormat="false" ht="17.15" hidden="false" customHeight="false" outlineLevel="0" collapsed="false">
      <c r="A744" s="0" t="s">
        <v>464</v>
      </c>
      <c r="B744" s="0" t="s">
        <v>209</v>
      </c>
      <c r="C744" s="19" t="n">
        <f aca="false">a25_ai</f>
        <v>1620.621</v>
      </c>
      <c r="D744" s="19" t="n">
        <f aca="false">D742*(1-D743)</f>
        <v>3545.93373</v>
      </c>
      <c r="E744" s="19" t="n">
        <f aca="false">E742*(1-E743)</f>
        <v>5728.17442250538</v>
      </c>
      <c r="F744" s="19" t="n">
        <f aca="false">F742*(1-F743)</f>
        <v>6454.33767007557</v>
      </c>
      <c r="G744" s="19" t="n">
        <f aca="false">G742*(1-G743)</f>
        <v>6548.3301313573</v>
      </c>
    </row>
    <row r="745" customFormat="false" ht="17.15" hidden="false" customHeight="false" outlineLevel="0" collapsed="false">
      <c r="A745" s="6" t="s">
        <v>465</v>
      </c>
    </row>
    <row r="746" customFormat="false" ht="17.15" hidden="false" customHeight="false" outlineLevel="0" collapsed="false">
      <c r="A746" s="4" t="s">
        <v>382</v>
      </c>
      <c r="B746" s="0" t="s">
        <v>209</v>
      </c>
      <c r="C746" s="19" t="n">
        <f aca="false">a25_cn</f>
        <v>1620.621</v>
      </c>
      <c r="D746" s="19" t="n">
        <f aca="false">a26_cn</f>
        <v>2363.95582</v>
      </c>
      <c r="E746" s="19" t="n">
        <f aca="false">D746*(1+g_cn27)</f>
        <v>2647.6305184</v>
      </c>
      <c r="F746" s="19" t="n">
        <f aca="false">E746*(1+g_cn28)</f>
        <v>2859.440959872</v>
      </c>
      <c r="G746" s="19" t="n">
        <f aca="false">F746*(1+g_cn29)</f>
        <v>3031.00741746432</v>
      </c>
    </row>
    <row r="747" customFormat="false" ht="17.15" hidden="false" customHeight="false" outlineLevel="0" collapsed="false">
      <c r="A747" s="4" t="s">
        <v>383</v>
      </c>
      <c r="B747" s="0" t="s">
        <v>209</v>
      </c>
      <c r="C747" s="19" t="n">
        <f aca="false">a25_ce</f>
        <v>3079.1799</v>
      </c>
      <c r="D747" s="19" t="n">
        <f aca="false">a26_ce</f>
        <v>3345.2205</v>
      </c>
      <c r="E747" s="19" t="n">
        <f aca="false">D747*(1+g_ce27)</f>
        <v>3445.577115</v>
      </c>
      <c r="F747" s="19" t="n">
        <f aca="false">E747*(1+g_ce28)</f>
        <v>3514.4886573</v>
      </c>
      <c r="G747" s="19" t="n">
        <f aca="false">F747*(1+g_ce29)</f>
        <v>3584.778430446</v>
      </c>
    </row>
    <row r="748" customFormat="false" ht="15" hidden="false" customHeight="false" outlineLevel="0" collapsed="false">
      <c r="A748" s="4" t="s">
        <v>384</v>
      </c>
      <c r="B748" s="0" t="s">
        <v>209</v>
      </c>
      <c r="C748" s="19" t="n">
        <f aca="false">a25_pc</f>
        <v>1215.46575</v>
      </c>
      <c r="D748" s="19" t="n">
        <f aca="false">a26_pc</f>
        <v>1338.0882</v>
      </c>
      <c r="E748" s="19" t="n">
        <f aca="false">D748*(1+g_pc27)</f>
        <v>1311.326436</v>
      </c>
      <c r="F748" s="19" t="n">
        <f aca="false">E748*(1+g_pc28)</f>
        <v>1311.326436</v>
      </c>
      <c r="G748" s="19" t="n">
        <f aca="false">F748*(1+g_pc29)</f>
        <v>1311.326436</v>
      </c>
    </row>
    <row r="749" customFormat="false" ht="15" hidden="false" customHeight="false" outlineLevel="0" collapsed="false">
      <c r="A749" s="4" t="s">
        <v>466</v>
      </c>
      <c r="B749" s="0" t="s">
        <v>209</v>
      </c>
      <c r="C749" s="19" t="n">
        <f aca="false">a25_co</f>
        <v>567.217349999999</v>
      </c>
      <c r="D749" s="19" t="n">
        <f aca="false">a26_co</f>
        <v>557.53675</v>
      </c>
      <c r="E749" s="19" t="n">
        <f aca="false">D749*(1+g_co27)</f>
        <v>602.13969</v>
      </c>
      <c r="F749" s="19" t="n">
        <f aca="false">E749*(1+g_co28)</f>
        <v>638.2680714</v>
      </c>
      <c r="G749" s="19" t="n">
        <f aca="false">F749*(1+g_co29)</f>
        <v>670.18147497</v>
      </c>
    </row>
    <row r="750" customFormat="false" ht="17.15" hidden="false" customHeight="false" outlineLevel="0" collapsed="false">
      <c r="A750" s="4" t="s">
        <v>387</v>
      </c>
      <c r="B750" s="0" t="s">
        <v>209</v>
      </c>
      <c r="C750" s="19" t="n">
        <f aca="false">SUM(C746:C749)</f>
        <v>6482.484</v>
      </c>
      <c r="D750" s="19" t="n">
        <f aca="false">SUM(D746:D749)</f>
        <v>7604.80127</v>
      </c>
      <c r="E750" s="19" t="n">
        <f aca="false">SUM(E746:E749)</f>
        <v>8006.6737594</v>
      </c>
      <c r="F750" s="19" t="n">
        <f aca="false">SUM(F746:F749)</f>
        <v>8323.524124572</v>
      </c>
      <c r="G750" s="19" t="n">
        <f aca="false">SUM(G746:G749)</f>
        <v>8597.29375888032</v>
      </c>
    </row>
    <row r="751" customFormat="false" ht="15" hidden="false" customHeight="false" outlineLevel="0" collapsed="false">
      <c r="A751" s="4" t="s">
        <v>353</v>
      </c>
      <c r="B751" s="0" t="s">
        <v>209</v>
      </c>
      <c r="C751" s="19" t="n">
        <f aca="false">C744+C750</f>
        <v>8103.105</v>
      </c>
      <c r="D751" s="19" t="n">
        <f aca="false">D744+D750</f>
        <v>11150.735</v>
      </c>
      <c r="E751" s="19" t="n">
        <f aca="false">E744+E750</f>
        <v>13734.8481819054</v>
      </c>
      <c r="F751" s="19" t="n">
        <f aca="false">F744+F750</f>
        <v>14777.8617946476</v>
      </c>
      <c r="G751" s="19" t="n">
        <f aca="false">G744+G750</f>
        <v>15145.6238902376</v>
      </c>
    </row>
    <row r="752" customFormat="false" ht="17.15" hidden="false" customHeight="false" outlineLevel="0" collapsed="false">
      <c r="A752" s="4" t="s">
        <v>467</v>
      </c>
      <c r="B752" s="0" t="s">
        <v>209</v>
      </c>
      <c r="C752" s="19" t="n">
        <f aca="false">C744+C746</f>
        <v>3241.242</v>
      </c>
      <c r="D752" s="19" t="n">
        <f aca="false">D744+D746</f>
        <v>5909.88955</v>
      </c>
      <c r="E752" s="19" t="n">
        <f aca="false">E744+E746</f>
        <v>8375.80494090538</v>
      </c>
      <c r="F752" s="19" t="n">
        <f aca="false">F744+F746</f>
        <v>9313.77862994757</v>
      </c>
      <c r="G752" s="19" t="n">
        <f aca="false">G744+G746</f>
        <v>9579.33754882162</v>
      </c>
      <c r="H752" s="4" t="s">
        <v>468</v>
      </c>
    </row>
    <row r="753" customFormat="false" ht="17.15" hidden="false" customHeight="false" outlineLevel="0" collapsed="false">
      <c r="A753" s="4" t="s">
        <v>469</v>
      </c>
      <c r="B753" s="0" t="s">
        <v>209</v>
      </c>
      <c r="C753" s="23" t="n">
        <f aca="false">C752+C747+C748+C749-a25_rev</f>
        <v>0</v>
      </c>
      <c r="D753" s="23" t="n">
        <f aca="false">D752+D747+D748+D749-a26_rev</f>
        <v>0</v>
      </c>
      <c r="E753" s="23" t="n">
        <f aca="false">E752+E747+E748+E749-E751</f>
        <v>0</v>
      </c>
      <c r="F753" s="23" t="n">
        <f aca="false">F752+F747+F748+F749-F751</f>
        <v>0</v>
      </c>
      <c r="G753" s="23" t="n">
        <f aca="false">G752+G747+G748+G749-G751</f>
        <v>0</v>
      </c>
    </row>
    <row r="754" customFormat="false" ht="15" hidden="false" customHeight="false" outlineLevel="0" collapsed="false">
      <c r="A754" s="4" t="s">
        <v>470</v>
      </c>
      <c r="B754" s="0" t="s">
        <v>52</v>
      </c>
      <c r="D754" s="15" t="n">
        <f aca="false">D751/C751-1</f>
        <v>0.376106443147411</v>
      </c>
      <c r="E754" s="15" t="n">
        <f aca="false">E751/D751-1</f>
        <v>0.231743753385349</v>
      </c>
      <c r="F754" s="15" t="n">
        <f aca="false">F751/E751-1</f>
        <v>0.0759392167229256</v>
      </c>
      <c r="G754" s="15" t="n">
        <f aca="false">G751/F751-1</f>
        <v>0.0248860153586801</v>
      </c>
    </row>
    <row r="755" customFormat="false" ht="17.15" hidden="false" customHeight="false" outlineLevel="0" collapsed="false">
      <c r="A755" s="0" t="s">
        <v>471</v>
      </c>
      <c r="B755" s="0" t="s">
        <v>52</v>
      </c>
      <c r="C755" s="15" t="n">
        <f aca="false">C744/C751</f>
        <v>0.2</v>
      </c>
      <c r="D755" s="15" t="n">
        <f aca="false">D744/D751</f>
        <v>0.318</v>
      </c>
      <c r="E755" s="15" t="n">
        <f aca="false">E744/E751</f>
        <v>0.417054076364078</v>
      </c>
      <c r="F755" s="15" t="n">
        <f aca="false">F744/F751</f>
        <v>0.436757208841491</v>
      </c>
      <c r="G755" s="15" t="n">
        <f aca="false">G744/G751</f>
        <v>0.43235789947076</v>
      </c>
    </row>
    <row r="756" customFormat="false" ht="17.15" hidden="false" customHeight="false" outlineLevel="0" collapsed="false">
      <c r="A756" s="4" t="s">
        <v>472</v>
      </c>
      <c r="B756" s="0" t="s">
        <v>52</v>
      </c>
      <c r="C756" s="15" t="n">
        <f aca="false">(C744+C746)/C751</f>
        <v>0.4</v>
      </c>
      <c r="D756" s="15" t="n">
        <f aca="false">(D744+D746)/D751</f>
        <v>0.53</v>
      </c>
      <c r="E756" s="15" t="n">
        <f aca="false">(E744+E746)/E751</f>
        <v>0.609821443235162</v>
      </c>
      <c r="F756" s="15" t="n">
        <f aca="false">(F744+F746)/F751</f>
        <v>0.630252113558198</v>
      </c>
      <c r="G756" s="15" t="n">
        <f aca="false">(G744+G746)/G751</f>
        <v>0.632482202003983</v>
      </c>
    </row>
    <row r="757" customFormat="false" ht="17.15" hidden="false" customHeight="false" outlineLevel="0" collapsed="false">
      <c r="A757" s="4" t="s">
        <v>418</v>
      </c>
      <c r="B757" s="0" t="s">
        <v>405</v>
      </c>
      <c r="D757" s="16" t="n">
        <f aca="false">D744/fx/D735</f>
        <v>4.7355819103481</v>
      </c>
      <c r="E757" s="16" t="n">
        <f aca="false">E744/fx/E735</f>
        <v>4.29818371613545</v>
      </c>
      <c r="F757" s="16" t="n">
        <f aca="false">F744/fx/F735</f>
        <v>3.82060774767595</v>
      </c>
      <c r="G757" s="16" t="n">
        <f aca="false">G744/fx/G735</f>
        <v>3.4027287752739</v>
      </c>
    </row>
    <row r="758" customFormat="false" ht="17.15" hidden="false" customHeight="false" outlineLevel="0" collapsed="false">
      <c r="A758" s="4" t="s">
        <v>473</v>
      </c>
      <c r="B758" s="4" t="s">
        <v>416</v>
      </c>
      <c r="D758" s="19" t="n">
        <f aca="false">D742/fx/(odm_gb*(1-vr26)+odm_vr*vr26)</f>
        <v>24.0630682003257</v>
      </c>
      <c r="E758" s="19" t="n">
        <f aca="false">E742/fx/odm_vr</f>
        <v>29.4659178112417</v>
      </c>
      <c r="F758" s="19" t="n">
        <f aca="false">F742/fx/odm_vr</f>
        <v>37.3514911462707</v>
      </c>
      <c r="G758" s="19" t="n">
        <f aca="false">G742/fx/odm_vr</f>
        <v>40.4217909343043</v>
      </c>
      <c r="H758" s="4" t="s">
        <v>474</v>
      </c>
    </row>
    <row r="759" customFormat="false" ht="17.15" hidden="false" customHeight="false" outlineLevel="0" collapsed="false">
      <c r="A759" s="6" t="s">
        <v>475</v>
      </c>
    </row>
    <row r="760" customFormat="false" ht="17.15" hidden="false" customHeight="false" outlineLevel="0" collapsed="false">
      <c r="A760" s="4" t="s">
        <v>476</v>
      </c>
      <c r="B760" s="0" t="s">
        <v>52</v>
      </c>
      <c r="D760" s="14" t="n">
        <f aca="false">a26_gp/D751-d_ai_hi*D755</f>
        <v>0.0590189258510762</v>
      </c>
      <c r="H760" s="8" t="s">
        <v>477</v>
      </c>
    </row>
    <row r="761" customFormat="false" ht="17.15" hidden="false" customHeight="false" outlineLevel="0" collapsed="false">
      <c r="A761" s="0" t="s">
        <v>478</v>
      </c>
      <c r="B761" s="0" t="s">
        <v>209</v>
      </c>
      <c r="D761" s="22" t="n">
        <f aca="false">($D$760+d_ai_hi)*D742*(1-D743*(1-keep))</f>
        <v>227.0068685337</v>
      </c>
      <c r="E761" s="22" t="n">
        <f aca="false">($D$760+d_ai_hi+vrd)*E742*(1-E743*(1-keep))</f>
        <v>390.780747248531</v>
      </c>
      <c r="F761" s="22" t="n">
        <f aca="false">($D$760+d_ai_hi+vrd)*F742*(1-F743*(1-keep))</f>
        <v>490.356584488325</v>
      </c>
      <c r="G761" s="22" t="n">
        <f aca="false">($D$760+d_ai_hi+vrd)*G742*(1-G743*(1-keep))</f>
        <v>527.956521124522</v>
      </c>
      <c r="H761" s="4" t="s">
        <v>479</v>
      </c>
    </row>
    <row r="762" customFormat="false" ht="15" hidden="false" customHeight="false" outlineLevel="0" collapsed="false">
      <c r="A762" s="4" t="s">
        <v>357</v>
      </c>
      <c r="B762" s="0" t="s">
        <v>209</v>
      </c>
      <c r="C762" s="19" t="n">
        <f aca="false">a25_gp</f>
        <v>498.161</v>
      </c>
      <c r="D762" s="19" t="n">
        <f aca="false">a26_gp</f>
        <v>675.8340708</v>
      </c>
      <c r="E762" s="19" t="n">
        <f aca="false">$D$760*E750+E761</f>
        <v>863.326032168317</v>
      </c>
      <c r="F762" s="19" t="n">
        <f aca="false">$D$760*F750+F761</f>
        <v>981.602037616084</v>
      </c>
      <c r="G762" s="19" t="n">
        <f aca="false">$D$760*G750+G761</f>
        <v>1035.3595639998</v>
      </c>
    </row>
    <row r="763" customFormat="false" ht="15" hidden="false" customHeight="false" outlineLevel="0" collapsed="false">
      <c r="A763" s="4" t="s">
        <v>360</v>
      </c>
      <c r="B763" s="0" t="s">
        <v>52</v>
      </c>
      <c r="C763" s="14" t="n">
        <f aca="false">C762/C751</f>
        <v>0.0614777915379352</v>
      </c>
      <c r="D763" s="14" t="n">
        <f aca="false">D762/D751</f>
        <v>0.0606089258510762</v>
      </c>
      <c r="E763" s="14" t="n">
        <f aca="false">E762/E751</f>
        <v>0.0628566126639597</v>
      </c>
      <c r="F763" s="14" t="n">
        <f aca="false">F762/F751</f>
        <v>0.0664238203913649</v>
      </c>
      <c r="G763" s="14" t="n">
        <f aca="false">G762/G751</f>
        <v>0.0683603113020097</v>
      </c>
    </row>
    <row r="764" customFormat="false" ht="17.15" hidden="false" customHeight="false" outlineLevel="0" collapsed="false">
      <c r="A764" s="0" t="s">
        <v>480</v>
      </c>
      <c r="B764" s="0" t="s">
        <v>52</v>
      </c>
      <c r="D764" s="14" t="n">
        <f aca="false">D761/D744</f>
        <v>0.0640189258510762</v>
      </c>
      <c r="E764" s="14" t="n">
        <f aca="false">E761/E744</f>
        <v>0.0682208184361838</v>
      </c>
      <c r="F764" s="14" t="n">
        <f aca="false">F761/F744</f>
        <v>0.0759731841675683</v>
      </c>
      <c r="G764" s="14" t="n">
        <f aca="false">G761/G744</f>
        <v>0.080624603606399</v>
      </c>
      <c r="H764" s="4" t="s">
        <v>481</v>
      </c>
    </row>
    <row r="765" customFormat="false" ht="15" hidden="false" customHeight="false" outlineLevel="0" collapsed="false">
      <c r="A765" s="4" t="s">
        <v>482</v>
      </c>
      <c r="B765" s="0" t="s">
        <v>209</v>
      </c>
      <c r="C765" s="19" t="n">
        <f aca="false">a25_opx</f>
        <v>238.938</v>
      </c>
      <c r="D765" s="19" t="n">
        <f aca="false">a26_opx</f>
        <v>254.8304233</v>
      </c>
      <c r="E765" s="19" t="n">
        <f aca="false">D765*(1+MAX(0,phi*E754))</f>
        <v>278.452566808928</v>
      </c>
      <c r="F765" s="19" t="n">
        <f aca="false">E765*(1+MAX(0,phi*F754))</f>
        <v>286.910754736111</v>
      </c>
      <c r="G765" s="19" t="n">
        <f aca="false">F765*(1+MAX(0,phi*G754))</f>
        <v>289.766780915684</v>
      </c>
    </row>
    <row r="766" customFormat="false" ht="15" hidden="false" customHeight="false" outlineLevel="0" collapsed="false">
      <c r="A766" s="4" t="s">
        <v>361</v>
      </c>
      <c r="B766" s="0" t="s">
        <v>209</v>
      </c>
      <c r="C766" s="19" t="n">
        <f aca="false">C765</f>
        <v>238.938</v>
      </c>
      <c r="D766" s="19" t="n">
        <f aca="false">D765</f>
        <v>254.8304233</v>
      </c>
      <c r="E766" s="19" t="n">
        <f aca="false">E765+0*E751</f>
        <v>278.452566808928</v>
      </c>
      <c r="F766" s="19" t="n">
        <f aca="false">F765+0*F751</f>
        <v>286.910754736111</v>
      </c>
      <c r="G766" s="19" t="n">
        <f aca="false">G765+0*G751</f>
        <v>289.766780915684</v>
      </c>
    </row>
    <row r="767" customFormat="false" ht="15" hidden="false" customHeight="false" outlineLevel="0" collapsed="false">
      <c r="A767" s="4" t="s">
        <v>364</v>
      </c>
      <c r="B767" s="0" t="s">
        <v>209</v>
      </c>
      <c r="C767" s="19" t="n">
        <f aca="false">C762-C766</f>
        <v>259.223</v>
      </c>
      <c r="D767" s="19" t="n">
        <f aca="false">D762-D766</f>
        <v>421.0036475</v>
      </c>
      <c r="E767" s="19" t="n">
        <f aca="false">E762-E766</f>
        <v>584.87346535939</v>
      </c>
      <c r="F767" s="19" t="n">
        <f aca="false">F762-F766</f>
        <v>694.691282879973</v>
      </c>
      <c r="G767" s="19" t="n">
        <f aca="false">G762-G766</f>
        <v>745.592783084115</v>
      </c>
    </row>
    <row r="768" customFormat="false" ht="15" hidden="false" customHeight="false" outlineLevel="0" collapsed="false">
      <c r="A768" s="4" t="s">
        <v>367</v>
      </c>
      <c r="B768" s="0" t="s">
        <v>52</v>
      </c>
      <c r="C768" s="14" t="n">
        <f aca="false">C767/C751</f>
        <v>0.0319905764518663</v>
      </c>
      <c r="D768" s="14" t="n">
        <f aca="false">D767/D751</f>
        <v>0.0377556858359561</v>
      </c>
      <c r="E768" s="14" t="n">
        <f aca="false">E767/E751</f>
        <v>0.0425831765748904</v>
      </c>
      <c r="F768" s="14" t="n">
        <f aca="false">F767/F751</f>
        <v>0.0470089172935414</v>
      </c>
      <c r="G768" s="14" t="n">
        <f aca="false">G767/G751</f>
        <v>0.0492282647771743</v>
      </c>
    </row>
    <row r="769" customFormat="false" ht="17.15" hidden="false" customHeight="false" outlineLevel="0" collapsed="false">
      <c r="A769" s="4" t="s">
        <v>243</v>
      </c>
      <c r="B769" s="0" t="s">
        <v>52</v>
      </c>
      <c r="C769" s="15" t="n">
        <f aca="false">a25_ni/a25_oi</f>
        <v>0.730467589681471</v>
      </c>
      <c r="D769" s="15" t="n">
        <f aca="false">a26_ni/a26_oi</f>
        <v>0.653811645064191</v>
      </c>
      <c r="E769" s="15" t="n">
        <f aca="false">nio_f</f>
        <v>0.66</v>
      </c>
      <c r="F769" s="15" t="n">
        <f aca="false">nio_f</f>
        <v>0.66</v>
      </c>
      <c r="G769" s="15" t="n">
        <f aca="false">nio_f</f>
        <v>0.66</v>
      </c>
    </row>
    <row r="770" customFormat="false" ht="15" hidden="false" customHeight="false" outlineLevel="0" collapsed="false">
      <c r="A770" s="4" t="s">
        <v>368</v>
      </c>
      <c r="B770" s="0" t="s">
        <v>209</v>
      </c>
      <c r="C770" s="19" t="n">
        <f aca="false">a25_ni</f>
        <v>189.354</v>
      </c>
      <c r="D770" s="19" t="n">
        <f aca="false">a26_ni</f>
        <v>275.25708735</v>
      </c>
      <c r="E770" s="19" t="n">
        <f aca="false">E767*E769</f>
        <v>386.016487137197</v>
      </c>
      <c r="F770" s="19" t="n">
        <f aca="false">F767*F769</f>
        <v>458.496246700782</v>
      </c>
      <c r="G770" s="19" t="n">
        <f aca="false">G767*G769</f>
        <v>492.091236835516</v>
      </c>
    </row>
    <row r="771" customFormat="false" ht="15" hidden="false" customHeight="false" outlineLevel="0" collapsed="false">
      <c r="A771" s="4" t="s">
        <v>483</v>
      </c>
      <c r="B771" s="4" t="s">
        <v>230</v>
      </c>
      <c r="C771" s="23" t="n">
        <f aca="false">a25_sh</f>
        <v>13.9128581925055</v>
      </c>
      <c r="D771" s="23" t="n">
        <f aca="false">a26_sh</f>
        <v>14.0169642857143</v>
      </c>
      <c r="E771" s="23" t="n">
        <f aca="false">D771*(1+sh_g)</f>
        <v>14.0169642857143</v>
      </c>
      <c r="F771" s="23" t="n">
        <f aca="false">E771*(1+sh_g)</f>
        <v>14.0169642857143</v>
      </c>
      <c r="G771" s="23" t="n">
        <f aca="false">F771*(1+sh_g)</f>
        <v>14.0169642857143</v>
      </c>
    </row>
    <row r="772" customFormat="false" ht="15" hidden="false" customHeight="false" outlineLevel="0" collapsed="false">
      <c r="A772" s="0" t="s">
        <v>374</v>
      </c>
      <c r="B772" s="0" t="s">
        <v>260</v>
      </c>
      <c r="C772" s="22" t="n">
        <f aca="false">C770/C771</f>
        <v>13.61</v>
      </c>
      <c r="D772" s="22" t="n">
        <f aca="false">D770/D771</f>
        <v>19.6374251756163</v>
      </c>
      <c r="E772" s="22" t="n">
        <f aca="false">E770/E771</f>
        <v>27.53923597641</v>
      </c>
      <c r="F772" s="22" t="n">
        <f aca="false">F770/F771</f>
        <v>32.7100959490971</v>
      </c>
      <c r="G772" s="22" t="n">
        <f aca="false">G770/G771</f>
        <v>35.1068338910617</v>
      </c>
    </row>
    <row r="773" customFormat="false" ht="17.15" hidden="false" customHeight="false" outlineLevel="0" collapsed="false">
      <c r="A773" s="0" t="s">
        <v>484</v>
      </c>
      <c r="B773" s="0" t="s">
        <v>52</v>
      </c>
      <c r="D773" s="15" t="n">
        <f aca="false">D772/C772-1</f>
        <v>0.442867389832203</v>
      </c>
      <c r="E773" s="15" t="n">
        <f aca="false">E772/D772-1</f>
        <v>0.402385278626313</v>
      </c>
      <c r="F773" s="15" t="n">
        <f aca="false">F772/E772-1</f>
        <v>0.187763377935265</v>
      </c>
      <c r="G773" s="15" t="n">
        <f aca="false">G772/F772-1</f>
        <v>0.0732721159147416</v>
      </c>
    </row>
    <row r="776" customFormat="false" ht="17.15" hidden="false" customHeight="false" outlineLevel="0" collapsed="false">
      <c r="A776" s="1" t="s">
        <v>848</v>
      </c>
    </row>
    <row r="777" customFormat="false" ht="17.15" hidden="false" customHeight="false" outlineLevel="0" collapsed="false">
      <c r="A777" s="5" t="s">
        <v>21</v>
      </c>
      <c r="B777" s="5" t="s">
        <v>22</v>
      </c>
      <c r="C777" s="11" t="s">
        <v>347</v>
      </c>
      <c r="D777" s="11" t="s">
        <v>429</v>
      </c>
      <c r="E777" s="11" t="s">
        <v>430</v>
      </c>
      <c r="F777" s="11" t="s">
        <v>431</v>
      </c>
      <c r="G777" s="11" t="s">
        <v>432</v>
      </c>
      <c r="H777" s="5" t="s">
        <v>400</v>
      </c>
    </row>
    <row r="778" customFormat="false" ht="17.15" hidden="false" customHeight="false" outlineLevel="0" collapsed="false">
      <c r="A778" s="6" t="s">
        <v>450</v>
      </c>
    </row>
    <row r="779" customFormat="false" ht="17.15" hidden="false" customHeight="false" outlineLevel="0" collapsed="false">
      <c r="A779" s="0" t="s">
        <v>451</v>
      </c>
      <c r="B779" s="0" t="s">
        <v>32</v>
      </c>
      <c r="D779" s="22" t="n">
        <f aca="false">itc_26*1</f>
        <v>781.872916666666</v>
      </c>
      <c r="E779" s="22" t="n">
        <f aca="false">itc_27*1*1</f>
        <v>1565.35</v>
      </c>
      <c r="F779" s="22" t="n">
        <f aca="false">itc_28*um28_A*1</f>
        <v>1984.26388888889</v>
      </c>
      <c r="G779" s="22" t="n">
        <f aca="false">itc_29*um29_A*1</f>
        <v>2260.39027777778</v>
      </c>
    </row>
    <row r="780" customFormat="false" ht="17.15" hidden="false" customHeight="false" outlineLevel="0" collapsed="false">
      <c r="A780" s="4" t="s">
        <v>452</v>
      </c>
      <c r="B780" s="0" t="s">
        <v>32</v>
      </c>
      <c r="D780" s="22" t="n">
        <f aca="false">itpg_gb*(1-vr26)+itpg_vr*vr26</f>
        <v>33.41403216</v>
      </c>
      <c r="E780" s="22" t="n">
        <f aca="false">itpg_vr</f>
        <v>37.586352</v>
      </c>
      <c r="F780" s="22" t="n">
        <f aca="false">itpg_vr</f>
        <v>37.586352</v>
      </c>
      <c r="G780" s="22" t="n">
        <f aca="false">itpg_vr</f>
        <v>37.586352</v>
      </c>
    </row>
    <row r="781" customFormat="false" ht="17.15" hidden="false" customHeight="false" outlineLevel="0" collapsed="false">
      <c r="A781" s="4" t="s">
        <v>453</v>
      </c>
      <c r="B781" s="0" t="s">
        <v>402</v>
      </c>
      <c r="D781" s="18" t="n">
        <f aca="false">D779/D780</f>
        <v>23.3995380420639</v>
      </c>
      <c r="E781" s="18" t="n">
        <f aca="false">E779/E780</f>
        <v>41.6467658260637</v>
      </c>
      <c r="F781" s="18" t="n">
        <f aca="false">F779/F780</f>
        <v>52.792138191248</v>
      </c>
      <c r="G781" s="18" t="n">
        <f aca="false">G779/G780</f>
        <v>60.1385917361116</v>
      </c>
    </row>
    <row r="782" customFormat="false" ht="17.15" hidden="false" customHeight="false" outlineLevel="0" collapsed="false">
      <c r="A782" s="4" t="s">
        <v>404</v>
      </c>
      <c r="B782" s="0" t="s">
        <v>405</v>
      </c>
      <c r="D782" s="16" t="n">
        <f aca="false">(racks_gb*odm_gb*(1-vr26)+racks_vr*odm_vr*vr26)/1000</f>
        <v>27.1209</v>
      </c>
      <c r="E782" s="16" t="n">
        <f aca="false">racks_vr*odm_vr/1000</f>
        <v>27.351</v>
      </c>
      <c r="F782" s="16" t="n">
        <f aca="false">$E782*vpg_28</f>
        <v>27.351</v>
      </c>
      <c r="G782" s="16" t="n">
        <f aca="false">$E782*vpg_29</f>
        <v>27.351</v>
      </c>
      <c r="H782" s="4" t="s">
        <v>454</v>
      </c>
    </row>
    <row r="783" customFormat="false" ht="17.15" hidden="false" customHeight="false" outlineLevel="0" collapsed="false">
      <c r="A783" s="0" t="s">
        <v>455</v>
      </c>
      <c r="B783" s="0" t="s">
        <v>32</v>
      </c>
      <c r="D783" s="19" t="n">
        <f aca="false">D781*D782</f>
        <v>634.61653128501</v>
      </c>
      <c r="E783" s="19" t="n">
        <f aca="false">E781*E782</f>
        <v>1139.08069210867</v>
      </c>
      <c r="F783" s="19" t="n">
        <f aca="false">F781*F782</f>
        <v>1443.91777166882</v>
      </c>
      <c r="G783" s="19" t="n">
        <f aca="false">G781*G782</f>
        <v>1644.85062257439</v>
      </c>
    </row>
    <row r="784" customFormat="false" ht="17.15" hidden="false" customHeight="false" outlineLevel="0" collapsed="false">
      <c r="A784" s="0" t="s">
        <v>456</v>
      </c>
      <c r="B784" s="0" t="s">
        <v>209</v>
      </c>
      <c r="D784" s="19" t="n">
        <f aca="false">D783*fx</f>
        <v>20307.7290011203</v>
      </c>
      <c r="E784" s="19" t="n">
        <f aca="false">E783*fx</f>
        <v>36450.5821474774</v>
      </c>
      <c r="F784" s="19" t="n">
        <f aca="false">F783*fx</f>
        <v>46205.3686934024</v>
      </c>
      <c r="G784" s="19" t="n">
        <f aca="false">G783*fx</f>
        <v>52635.2199223804</v>
      </c>
    </row>
    <row r="785" customFormat="false" ht="17.15" hidden="false" customHeight="false" outlineLevel="0" collapsed="false">
      <c r="A785" s="4" t="s">
        <v>457</v>
      </c>
      <c r="B785" s="0" t="s">
        <v>52</v>
      </c>
      <c r="D785" s="15" t="n">
        <f aca="false">a26_ai/D784</f>
        <v>0.174610057569922</v>
      </c>
      <c r="H785" s="8" t="s">
        <v>458</v>
      </c>
    </row>
    <row r="786" customFormat="false" ht="17.15" hidden="false" customHeight="false" outlineLevel="0" collapsed="false">
      <c r="A786" s="4" t="s">
        <v>459</v>
      </c>
      <c r="B786" s="0" t="s">
        <v>71</v>
      </c>
      <c r="D786" s="16" t="n">
        <f aca="false">1</f>
        <v>1</v>
      </c>
      <c r="E786" s="16" t="n">
        <f aca="false">rel_27</f>
        <v>1</v>
      </c>
      <c r="F786" s="16" t="n">
        <f aca="false">rel_28</f>
        <v>1</v>
      </c>
      <c r="G786" s="16" t="n">
        <f aca="false">rel_29</f>
        <v>0.95</v>
      </c>
    </row>
    <row r="787" customFormat="false" ht="15" hidden="false" customHeight="false" outlineLevel="0" collapsed="false">
      <c r="A787" s="4" t="s">
        <v>460</v>
      </c>
      <c r="B787" s="0" t="s">
        <v>52</v>
      </c>
      <c r="D787" s="15" t="n">
        <f aca="false">$D$785*D786</f>
        <v>0.174610057569922</v>
      </c>
      <c r="E787" s="15" t="n">
        <f aca="false">$D$785*E786</f>
        <v>0.174610057569922</v>
      </c>
      <c r="F787" s="15" t="n">
        <f aca="false">$D$785*F786</f>
        <v>0.174610057569922</v>
      </c>
      <c r="G787" s="15" t="n">
        <f aca="false">$D$785*G786</f>
        <v>0.165879554691426</v>
      </c>
    </row>
    <row r="788" customFormat="false" ht="17.15" hidden="false" customHeight="false" outlineLevel="0" collapsed="false">
      <c r="A788" s="0" t="s">
        <v>461</v>
      </c>
      <c r="B788" s="0" t="s">
        <v>209</v>
      </c>
      <c r="D788" s="19" t="n">
        <f aca="false">D784*D787</f>
        <v>3545.93373</v>
      </c>
      <c r="E788" s="19" t="n">
        <f aca="false">E784*E787</f>
        <v>6364.6382472282</v>
      </c>
      <c r="F788" s="19" t="n">
        <f aca="false">F784*F787</f>
        <v>8067.92208759447</v>
      </c>
      <c r="G788" s="19" t="n">
        <f aca="false">G784*G787</f>
        <v>8731.10684180974</v>
      </c>
    </row>
    <row r="789" customFormat="false" ht="17.15" hidden="false" customHeight="false" outlineLevel="0" collapsed="false">
      <c r="A789" s="4" t="s">
        <v>462</v>
      </c>
      <c r="B789" s="0" t="s">
        <v>52</v>
      </c>
      <c r="D789" s="15" t="n">
        <f aca="false">0</f>
        <v>0</v>
      </c>
      <c r="E789" s="15" t="n">
        <f aca="false">cs_27</f>
        <v>0.1</v>
      </c>
      <c r="F789" s="15" t="n">
        <f aca="false">cs_28</f>
        <v>0.2</v>
      </c>
      <c r="G789" s="15" t="n">
        <f aca="false">cs_29</f>
        <v>0.25</v>
      </c>
      <c r="H789" s="8" t="s">
        <v>463</v>
      </c>
    </row>
    <row r="790" customFormat="false" ht="17.15" hidden="false" customHeight="false" outlineLevel="0" collapsed="false">
      <c r="A790" s="0" t="s">
        <v>464</v>
      </c>
      <c r="B790" s="0" t="s">
        <v>209</v>
      </c>
      <c r="C790" s="19" t="n">
        <f aca="false">a25_ai</f>
        <v>1620.621</v>
      </c>
      <c r="D790" s="19" t="n">
        <f aca="false">D788*(1-D789)</f>
        <v>3545.93373</v>
      </c>
      <c r="E790" s="19" t="n">
        <f aca="false">E788*(1-E789)</f>
        <v>5728.17442250538</v>
      </c>
      <c r="F790" s="19" t="n">
        <f aca="false">F788*(1-F789)</f>
        <v>6454.33767007557</v>
      </c>
      <c r="G790" s="19" t="n">
        <f aca="false">G788*(1-G789)</f>
        <v>6548.3301313573</v>
      </c>
    </row>
    <row r="791" customFormat="false" ht="17.15" hidden="false" customHeight="false" outlineLevel="0" collapsed="false">
      <c r="A791" s="6" t="s">
        <v>465</v>
      </c>
    </row>
    <row r="792" customFormat="false" ht="17.15" hidden="false" customHeight="false" outlineLevel="0" collapsed="false">
      <c r="A792" s="4" t="s">
        <v>382</v>
      </c>
      <c r="B792" s="0" t="s">
        <v>209</v>
      </c>
      <c r="C792" s="19" t="n">
        <f aca="false">a25_cn</f>
        <v>1620.621</v>
      </c>
      <c r="D792" s="19" t="n">
        <f aca="false">a26_cn</f>
        <v>2363.95582</v>
      </c>
      <c r="E792" s="19" t="n">
        <f aca="false">D792*(1+g_cn27)</f>
        <v>2647.6305184</v>
      </c>
      <c r="F792" s="19" t="n">
        <f aca="false">E792*(1+g_cn28)</f>
        <v>2859.440959872</v>
      </c>
      <c r="G792" s="19" t="n">
        <f aca="false">F792*(1+g_cn29)</f>
        <v>3031.00741746432</v>
      </c>
    </row>
    <row r="793" customFormat="false" ht="17.15" hidden="false" customHeight="false" outlineLevel="0" collapsed="false">
      <c r="A793" s="4" t="s">
        <v>383</v>
      </c>
      <c r="B793" s="0" t="s">
        <v>209</v>
      </c>
      <c r="C793" s="19" t="n">
        <f aca="false">a25_ce</f>
        <v>3079.1799</v>
      </c>
      <c r="D793" s="19" t="n">
        <f aca="false">a26_ce</f>
        <v>3345.2205</v>
      </c>
      <c r="E793" s="19" t="n">
        <f aca="false">D793*(1+g_ce27)</f>
        <v>3445.577115</v>
      </c>
      <c r="F793" s="19" t="n">
        <f aca="false">E793*(1+g_ce28)</f>
        <v>3514.4886573</v>
      </c>
      <c r="G793" s="19" t="n">
        <f aca="false">F793*(1+g_ce29)</f>
        <v>3584.778430446</v>
      </c>
    </row>
    <row r="794" customFormat="false" ht="15" hidden="false" customHeight="false" outlineLevel="0" collapsed="false">
      <c r="A794" s="4" t="s">
        <v>384</v>
      </c>
      <c r="B794" s="0" t="s">
        <v>209</v>
      </c>
      <c r="C794" s="19" t="n">
        <f aca="false">a25_pc</f>
        <v>1215.46575</v>
      </c>
      <c r="D794" s="19" t="n">
        <f aca="false">a26_pc</f>
        <v>1338.0882</v>
      </c>
      <c r="E794" s="19" t="n">
        <f aca="false">D794*(1+g_pc27)</f>
        <v>1311.326436</v>
      </c>
      <c r="F794" s="19" t="n">
        <f aca="false">E794*(1+g_pc28)</f>
        <v>1311.326436</v>
      </c>
      <c r="G794" s="19" t="n">
        <f aca="false">F794*(1+g_pc29)</f>
        <v>1311.326436</v>
      </c>
    </row>
    <row r="795" customFormat="false" ht="15" hidden="false" customHeight="false" outlineLevel="0" collapsed="false">
      <c r="A795" s="4" t="s">
        <v>466</v>
      </c>
      <c r="B795" s="0" t="s">
        <v>209</v>
      </c>
      <c r="C795" s="19" t="n">
        <f aca="false">a25_co</f>
        <v>567.217349999999</v>
      </c>
      <c r="D795" s="19" t="n">
        <f aca="false">a26_co</f>
        <v>557.53675</v>
      </c>
      <c r="E795" s="19" t="n">
        <f aca="false">D795*(1+g_co27)</f>
        <v>602.13969</v>
      </c>
      <c r="F795" s="19" t="n">
        <f aca="false">E795*(1+g_co28)</f>
        <v>638.2680714</v>
      </c>
      <c r="G795" s="19" t="n">
        <f aca="false">F795*(1+g_co29)</f>
        <v>670.18147497</v>
      </c>
    </row>
    <row r="796" customFormat="false" ht="17.15" hidden="false" customHeight="false" outlineLevel="0" collapsed="false">
      <c r="A796" s="4" t="s">
        <v>387</v>
      </c>
      <c r="B796" s="0" t="s">
        <v>209</v>
      </c>
      <c r="C796" s="19" t="n">
        <f aca="false">SUM(C792:C795)</f>
        <v>6482.484</v>
      </c>
      <c r="D796" s="19" t="n">
        <f aca="false">SUM(D792:D795)</f>
        <v>7604.80127</v>
      </c>
      <c r="E796" s="19" t="n">
        <f aca="false">SUM(E792:E795)</f>
        <v>8006.6737594</v>
      </c>
      <c r="F796" s="19" t="n">
        <f aca="false">SUM(F792:F795)</f>
        <v>8323.524124572</v>
      </c>
      <c r="G796" s="19" t="n">
        <f aca="false">SUM(G792:G795)</f>
        <v>8597.29375888032</v>
      </c>
    </row>
    <row r="797" customFormat="false" ht="15" hidden="false" customHeight="false" outlineLevel="0" collapsed="false">
      <c r="A797" s="4" t="s">
        <v>353</v>
      </c>
      <c r="B797" s="0" t="s">
        <v>209</v>
      </c>
      <c r="C797" s="19" t="n">
        <f aca="false">C790+C796</f>
        <v>8103.105</v>
      </c>
      <c r="D797" s="19" t="n">
        <f aca="false">D790+D796</f>
        <v>11150.735</v>
      </c>
      <c r="E797" s="19" t="n">
        <f aca="false">E790+E796</f>
        <v>13734.8481819054</v>
      </c>
      <c r="F797" s="19" t="n">
        <f aca="false">F790+F796</f>
        <v>14777.8617946476</v>
      </c>
      <c r="G797" s="19" t="n">
        <f aca="false">G790+G796</f>
        <v>15145.6238902376</v>
      </c>
    </row>
    <row r="798" customFormat="false" ht="17.15" hidden="false" customHeight="false" outlineLevel="0" collapsed="false">
      <c r="A798" s="4" t="s">
        <v>467</v>
      </c>
      <c r="B798" s="0" t="s">
        <v>209</v>
      </c>
      <c r="C798" s="19" t="n">
        <f aca="false">C790+C792</f>
        <v>3241.242</v>
      </c>
      <c r="D798" s="19" t="n">
        <f aca="false">D790+D792</f>
        <v>5909.88955</v>
      </c>
      <c r="E798" s="19" t="n">
        <f aca="false">E790+E792</f>
        <v>8375.80494090538</v>
      </c>
      <c r="F798" s="19" t="n">
        <f aca="false">F790+F792</f>
        <v>9313.77862994757</v>
      </c>
      <c r="G798" s="19" t="n">
        <f aca="false">G790+G792</f>
        <v>9579.33754882162</v>
      </c>
      <c r="H798" s="4" t="s">
        <v>468</v>
      </c>
    </row>
    <row r="799" customFormat="false" ht="17.15" hidden="false" customHeight="false" outlineLevel="0" collapsed="false">
      <c r="A799" s="4" t="s">
        <v>469</v>
      </c>
      <c r="B799" s="0" t="s">
        <v>209</v>
      </c>
      <c r="C799" s="23" t="n">
        <f aca="false">C798+C793+C794+C795-a25_rev</f>
        <v>0</v>
      </c>
      <c r="D799" s="23" t="n">
        <f aca="false">D798+D793+D794+D795-a26_rev</f>
        <v>0</v>
      </c>
      <c r="E799" s="23" t="n">
        <f aca="false">E798+E793+E794+E795-E797</f>
        <v>0</v>
      </c>
      <c r="F799" s="23" t="n">
        <f aca="false">F798+F793+F794+F795-F797</f>
        <v>0</v>
      </c>
      <c r="G799" s="23" t="n">
        <f aca="false">G798+G793+G794+G795-G797</f>
        <v>0</v>
      </c>
    </row>
    <row r="800" customFormat="false" ht="15" hidden="false" customHeight="false" outlineLevel="0" collapsed="false">
      <c r="A800" s="4" t="s">
        <v>470</v>
      </c>
      <c r="B800" s="0" t="s">
        <v>52</v>
      </c>
      <c r="D800" s="15" t="n">
        <f aca="false">D797/C797-1</f>
        <v>0.376106443147411</v>
      </c>
      <c r="E800" s="15" t="n">
        <f aca="false">E797/D797-1</f>
        <v>0.231743753385349</v>
      </c>
      <c r="F800" s="15" t="n">
        <f aca="false">F797/E797-1</f>
        <v>0.0759392167229256</v>
      </c>
      <c r="G800" s="15" t="n">
        <f aca="false">G797/F797-1</f>
        <v>0.0248860153586801</v>
      </c>
    </row>
    <row r="801" customFormat="false" ht="17.15" hidden="false" customHeight="false" outlineLevel="0" collapsed="false">
      <c r="A801" s="0" t="s">
        <v>471</v>
      </c>
      <c r="B801" s="0" t="s">
        <v>52</v>
      </c>
      <c r="C801" s="15" t="n">
        <f aca="false">C790/C797</f>
        <v>0.2</v>
      </c>
      <c r="D801" s="15" t="n">
        <f aca="false">D790/D797</f>
        <v>0.318</v>
      </c>
      <c r="E801" s="15" t="n">
        <f aca="false">E790/E797</f>
        <v>0.417054076364078</v>
      </c>
      <c r="F801" s="15" t="n">
        <f aca="false">F790/F797</f>
        <v>0.436757208841491</v>
      </c>
      <c r="G801" s="15" t="n">
        <f aca="false">G790/G797</f>
        <v>0.43235789947076</v>
      </c>
    </row>
    <row r="802" customFormat="false" ht="17.15" hidden="false" customHeight="false" outlineLevel="0" collapsed="false">
      <c r="A802" s="4" t="s">
        <v>472</v>
      </c>
      <c r="B802" s="0" t="s">
        <v>52</v>
      </c>
      <c r="C802" s="15" t="n">
        <f aca="false">(C790+C792)/C797</f>
        <v>0.4</v>
      </c>
      <c r="D802" s="15" t="n">
        <f aca="false">(D790+D792)/D797</f>
        <v>0.53</v>
      </c>
      <c r="E802" s="15" t="n">
        <f aca="false">(E790+E792)/E797</f>
        <v>0.609821443235162</v>
      </c>
      <c r="F802" s="15" t="n">
        <f aca="false">(F790+F792)/F797</f>
        <v>0.630252113558198</v>
      </c>
      <c r="G802" s="15" t="n">
        <f aca="false">(G790+G792)/G797</f>
        <v>0.632482202003983</v>
      </c>
    </row>
    <row r="803" customFormat="false" ht="17.15" hidden="false" customHeight="false" outlineLevel="0" collapsed="false">
      <c r="A803" s="4" t="s">
        <v>418</v>
      </c>
      <c r="B803" s="0" t="s">
        <v>405</v>
      </c>
      <c r="D803" s="16" t="n">
        <f aca="false">D790/fx/D781</f>
        <v>4.7355819103481</v>
      </c>
      <c r="E803" s="16" t="n">
        <f aca="false">E790/fx/E781</f>
        <v>4.29818371613545</v>
      </c>
      <c r="F803" s="16" t="n">
        <f aca="false">F790/fx/F781</f>
        <v>3.82060774767595</v>
      </c>
      <c r="G803" s="16" t="n">
        <f aca="false">G790/fx/G781</f>
        <v>3.4027287752739</v>
      </c>
    </row>
    <row r="804" customFormat="false" ht="17.15" hidden="false" customHeight="false" outlineLevel="0" collapsed="false">
      <c r="A804" s="4" t="s">
        <v>473</v>
      </c>
      <c r="B804" s="4" t="s">
        <v>416</v>
      </c>
      <c r="D804" s="19" t="n">
        <f aca="false">D788/fx/(odm_gb*(1-vr26)+odm_vr*vr26)</f>
        <v>24.0630682003257</v>
      </c>
      <c r="E804" s="19" t="n">
        <f aca="false">E788/fx/odm_vr</f>
        <v>29.4659178112417</v>
      </c>
      <c r="F804" s="19" t="n">
        <f aca="false">F788/fx/odm_vr</f>
        <v>37.3514911462707</v>
      </c>
      <c r="G804" s="19" t="n">
        <f aca="false">G788/fx/odm_vr</f>
        <v>40.4217909343043</v>
      </c>
      <c r="H804" s="4" t="s">
        <v>474</v>
      </c>
    </row>
    <row r="805" customFormat="false" ht="17.15" hidden="false" customHeight="false" outlineLevel="0" collapsed="false">
      <c r="A805" s="6" t="s">
        <v>475</v>
      </c>
    </row>
    <row r="806" customFormat="false" ht="17.15" hidden="false" customHeight="false" outlineLevel="0" collapsed="false">
      <c r="A806" s="4" t="s">
        <v>476</v>
      </c>
      <c r="B806" s="0" t="s">
        <v>52</v>
      </c>
      <c r="D806" s="14" t="n">
        <f aca="false">a26_gp/D797-d_ai*D801</f>
        <v>0.0621989258510762</v>
      </c>
      <c r="H806" s="8" t="s">
        <v>477</v>
      </c>
    </row>
    <row r="807" customFormat="false" ht="17.15" hidden="false" customHeight="false" outlineLevel="0" collapsed="false">
      <c r="A807" s="0" t="s">
        <v>478</v>
      </c>
      <c r="B807" s="0" t="s">
        <v>209</v>
      </c>
      <c r="D807" s="22" t="n">
        <f aca="false">($D$806+d_ai)*D788*(1-D789*(1-keep))</f>
        <v>202.8236004951</v>
      </c>
      <c r="E807" s="22" t="n">
        <f aca="false">($D$806+d_ai+vrd_lo)*E788*(1-E789*(1-keep))</f>
        <v>328.905007136628</v>
      </c>
      <c r="F807" s="22" t="n">
        <f aca="false">($D$806+d_ai+vrd_lo)*F788*(1-F789*(1-keep))</f>
        <v>412.714129486151</v>
      </c>
      <c r="G807" s="22" t="n">
        <f aca="false">($D$806+d_ai+vrd_lo)*G788*(1-G789*(1-keep))</f>
        <v>444.360538667614</v>
      </c>
      <c r="H807" s="4" t="s">
        <v>479</v>
      </c>
    </row>
    <row r="808" customFormat="false" ht="15" hidden="false" customHeight="false" outlineLevel="0" collapsed="false">
      <c r="A808" s="4" t="s">
        <v>357</v>
      </c>
      <c r="B808" s="0" t="s">
        <v>209</v>
      </c>
      <c r="C808" s="19" t="n">
        <f aca="false">a25_gp</f>
        <v>498.161</v>
      </c>
      <c r="D808" s="19" t="n">
        <f aca="false">a26_gp</f>
        <v>675.8340708</v>
      </c>
      <c r="E808" s="19" t="n">
        <f aca="false">$D$806*E796+E807</f>
        <v>826.911514611306</v>
      </c>
      <c r="F808" s="19" t="n">
        <f aca="false">$D$806*F796+F807</f>
        <v>930.428389330049</v>
      </c>
      <c r="G808" s="19" t="n">
        <f aca="false">$D$806*G796+G807</f>
        <v>979.102975696131</v>
      </c>
    </row>
    <row r="809" customFormat="false" ht="15" hidden="false" customHeight="false" outlineLevel="0" collapsed="false">
      <c r="A809" s="4" t="s">
        <v>360</v>
      </c>
      <c r="B809" s="0" t="s">
        <v>52</v>
      </c>
      <c r="C809" s="14" t="n">
        <f aca="false">C808/C797</f>
        <v>0.0614777915379352</v>
      </c>
      <c r="D809" s="14" t="n">
        <f aca="false">D808/D797</f>
        <v>0.0606089258510762</v>
      </c>
      <c r="E809" s="14" t="n">
        <f aca="false">E808/E797</f>
        <v>0.0602053625682372</v>
      </c>
      <c r="F809" s="14" t="n">
        <f aca="false">F808/F797</f>
        <v>0.0629609616234903</v>
      </c>
      <c r="G809" s="14" t="n">
        <f aca="false">G808/G797</f>
        <v>0.064645932237049</v>
      </c>
    </row>
    <row r="810" customFormat="false" ht="17.15" hidden="false" customHeight="false" outlineLevel="0" collapsed="false">
      <c r="A810" s="0" t="s">
        <v>480</v>
      </c>
      <c r="B810" s="0" t="s">
        <v>52</v>
      </c>
      <c r="D810" s="14" t="n">
        <f aca="false">D807/D790</f>
        <v>0.0571989258510762</v>
      </c>
      <c r="E810" s="14" t="n">
        <f aca="false">E807/E790</f>
        <v>0.0574188184361838</v>
      </c>
      <c r="F810" s="14" t="n">
        <f aca="false">F807/F790</f>
        <v>0.0639436841675683</v>
      </c>
      <c r="G810" s="14" t="n">
        <f aca="false">G807/G790</f>
        <v>0.0678586036063991</v>
      </c>
      <c r="H810" s="4" t="s">
        <v>481</v>
      </c>
    </row>
    <row r="811" customFormat="false" ht="15" hidden="false" customHeight="false" outlineLevel="0" collapsed="false">
      <c r="A811" s="4" t="s">
        <v>482</v>
      </c>
      <c r="B811" s="0" t="s">
        <v>209</v>
      </c>
      <c r="C811" s="19" t="n">
        <f aca="false">a25_opx</f>
        <v>238.938</v>
      </c>
      <c r="D811" s="19" t="n">
        <f aca="false">a26_opx</f>
        <v>254.8304233</v>
      </c>
      <c r="E811" s="19" t="n">
        <f aca="false">D811*(1+MAX(0,phi*E800))</f>
        <v>278.452566808928</v>
      </c>
      <c r="F811" s="19" t="n">
        <f aca="false">E811*(1+MAX(0,phi*F800))</f>
        <v>286.910754736111</v>
      </c>
      <c r="G811" s="19" t="n">
        <f aca="false">F811*(1+MAX(0,phi*G800))</f>
        <v>289.766780915684</v>
      </c>
    </row>
    <row r="812" customFormat="false" ht="15" hidden="false" customHeight="false" outlineLevel="0" collapsed="false">
      <c r="A812" s="4" t="s">
        <v>361</v>
      </c>
      <c r="B812" s="0" t="s">
        <v>209</v>
      </c>
      <c r="C812" s="19" t="n">
        <f aca="false">C811</f>
        <v>238.938</v>
      </c>
      <c r="D812" s="19" t="n">
        <f aca="false">D811</f>
        <v>254.8304233</v>
      </c>
      <c r="E812" s="19" t="n">
        <f aca="false">E811+0*E797</f>
        <v>278.452566808928</v>
      </c>
      <c r="F812" s="19" t="n">
        <f aca="false">F811+0*F797</f>
        <v>286.910754736111</v>
      </c>
      <c r="G812" s="19" t="n">
        <f aca="false">G811+0*G797</f>
        <v>289.766780915684</v>
      </c>
    </row>
    <row r="813" customFormat="false" ht="15" hidden="false" customHeight="false" outlineLevel="0" collapsed="false">
      <c r="A813" s="4" t="s">
        <v>364</v>
      </c>
      <c r="B813" s="0" t="s">
        <v>209</v>
      </c>
      <c r="C813" s="19" t="n">
        <f aca="false">C808-C812</f>
        <v>259.223</v>
      </c>
      <c r="D813" s="19" t="n">
        <f aca="false">D808-D812</f>
        <v>421.0036475</v>
      </c>
      <c r="E813" s="19" t="n">
        <f aca="false">E808-E812</f>
        <v>548.458947802379</v>
      </c>
      <c r="F813" s="19" t="n">
        <f aca="false">F808-F812</f>
        <v>643.517634593938</v>
      </c>
      <c r="G813" s="19" t="n">
        <f aca="false">G808-G812</f>
        <v>689.336194780447</v>
      </c>
    </row>
    <row r="814" customFormat="false" ht="15" hidden="false" customHeight="false" outlineLevel="0" collapsed="false">
      <c r="A814" s="4" t="s">
        <v>367</v>
      </c>
      <c r="B814" s="0" t="s">
        <v>52</v>
      </c>
      <c r="C814" s="14" t="n">
        <f aca="false">C813/C797</f>
        <v>0.0319905764518663</v>
      </c>
      <c r="D814" s="14" t="n">
        <f aca="false">D813/D797</f>
        <v>0.0377556858359561</v>
      </c>
      <c r="E814" s="14" t="n">
        <f aca="false">E813/E797</f>
        <v>0.0399319264791679</v>
      </c>
      <c r="F814" s="14" t="n">
        <f aca="false">F813/F797</f>
        <v>0.0435460585256668</v>
      </c>
      <c r="G814" s="14" t="n">
        <f aca="false">G813/G797</f>
        <v>0.0455138857122136</v>
      </c>
    </row>
    <row r="815" customFormat="false" ht="17.15" hidden="false" customHeight="false" outlineLevel="0" collapsed="false">
      <c r="A815" s="4" t="s">
        <v>243</v>
      </c>
      <c r="B815" s="0" t="s">
        <v>52</v>
      </c>
      <c r="C815" s="15" t="n">
        <f aca="false">a25_ni/a25_oi</f>
        <v>0.730467589681471</v>
      </c>
      <c r="D815" s="15" t="n">
        <f aca="false">a26_ni/a26_oi</f>
        <v>0.653811645064191</v>
      </c>
      <c r="E815" s="15" t="n">
        <f aca="false">nio_f</f>
        <v>0.66</v>
      </c>
      <c r="F815" s="15" t="n">
        <f aca="false">nio_f</f>
        <v>0.66</v>
      </c>
      <c r="G815" s="15" t="n">
        <f aca="false">nio_f</f>
        <v>0.66</v>
      </c>
    </row>
    <row r="816" customFormat="false" ht="15" hidden="false" customHeight="false" outlineLevel="0" collapsed="false">
      <c r="A816" s="4" t="s">
        <v>368</v>
      </c>
      <c r="B816" s="0" t="s">
        <v>209</v>
      </c>
      <c r="C816" s="19" t="n">
        <f aca="false">a25_ni</f>
        <v>189.354</v>
      </c>
      <c r="D816" s="19" t="n">
        <f aca="false">a26_ni</f>
        <v>275.25708735</v>
      </c>
      <c r="E816" s="19" t="n">
        <f aca="false">E813*E815</f>
        <v>361.98290554957</v>
      </c>
      <c r="F816" s="19" t="n">
        <f aca="false">F813*F815</f>
        <v>424.721638831999</v>
      </c>
      <c r="G816" s="19" t="n">
        <f aca="false">G813*G815</f>
        <v>454.961888555095</v>
      </c>
    </row>
    <row r="817" customFormat="false" ht="15" hidden="false" customHeight="false" outlineLevel="0" collapsed="false">
      <c r="A817" s="4" t="s">
        <v>483</v>
      </c>
      <c r="B817" s="4" t="s">
        <v>230</v>
      </c>
      <c r="C817" s="23" t="n">
        <f aca="false">a25_sh</f>
        <v>13.9128581925055</v>
      </c>
      <c r="D817" s="23" t="n">
        <f aca="false">a26_sh</f>
        <v>14.0169642857143</v>
      </c>
      <c r="E817" s="23" t="n">
        <f aca="false">D817*(1+sh_g)</f>
        <v>14.0169642857143</v>
      </c>
      <c r="F817" s="23" t="n">
        <f aca="false">E817*(1+sh_g)</f>
        <v>14.0169642857143</v>
      </c>
      <c r="G817" s="23" t="n">
        <f aca="false">F817*(1+sh_g)</f>
        <v>14.0169642857143</v>
      </c>
    </row>
    <row r="818" customFormat="false" ht="15" hidden="false" customHeight="false" outlineLevel="0" collapsed="false">
      <c r="A818" s="0" t="s">
        <v>374</v>
      </c>
      <c r="B818" s="0" t="s">
        <v>260</v>
      </c>
      <c r="C818" s="22" t="n">
        <f aca="false">C816/C817</f>
        <v>13.61</v>
      </c>
      <c r="D818" s="22" t="n">
        <f aca="false">D816/D817</f>
        <v>19.6374251756163</v>
      </c>
      <c r="E818" s="22" t="n">
        <f aca="false">E816/E817</f>
        <v>25.8246292257799</v>
      </c>
      <c r="F818" s="22" t="n">
        <f aca="false">F816/F817</f>
        <v>30.3005436965309</v>
      </c>
      <c r="G818" s="22" t="n">
        <f aca="false">G816/G817</f>
        <v>32.4579473330599</v>
      </c>
    </row>
    <row r="819" customFormat="false" ht="17.15" hidden="false" customHeight="false" outlineLevel="0" collapsed="false">
      <c r="A819" s="0" t="s">
        <v>484</v>
      </c>
      <c r="B819" s="0" t="s">
        <v>52</v>
      </c>
      <c r="D819" s="15" t="n">
        <f aca="false">D818/C818-1</f>
        <v>0.442867389832203</v>
      </c>
      <c r="E819" s="15" t="n">
        <f aca="false">E818/D818-1</f>
        <v>0.315072062392692</v>
      </c>
      <c r="F819" s="15" t="n">
        <f aca="false">F818/E818-1</f>
        <v>0.173319602446911</v>
      </c>
      <c r="G819" s="15" t="n">
        <f aca="false">G818/F818-1</f>
        <v>0.0712001625494239</v>
      </c>
    </row>
    <row r="822" customFormat="false" ht="17.15" hidden="false" customHeight="false" outlineLevel="0" collapsed="false">
      <c r="A822" s="1" t="s">
        <v>849</v>
      </c>
    </row>
    <row r="823" customFormat="false" ht="17.15" hidden="false" customHeight="false" outlineLevel="0" collapsed="false">
      <c r="A823" s="5" t="s">
        <v>21</v>
      </c>
      <c r="B823" s="5" t="s">
        <v>22</v>
      </c>
      <c r="C823" s="11" t="s">
        <v>347</v>
      </c>
      <c r="D823" s="11" t="s">
        <v>429</v>
      </c>
      <c r="E823" s="11" t="s">
        <v>430</v>
      </c>
      <c r="F823" s="11" t="s">
        <v>431</v>
      </c>
      <c r="G823" s="11" t="s">
        <v>432</v>
      </c>
      <c r="H823" s="5" t="s">
        <v>400</v>
      </c>
    </row>
    <row r="824" customFormat="false" ht="17.15" hidden="false" customHeight="false" outlineLevel="0" collapsed="false">
      <c r="A824" s="6" t="s">
        <v>450</v>
      </c>
    </row>
    <row r="825" customFormat="false" ht="17.15" hidden="false" customHeight="false" outlineLevel="0" collapsed="false">
      <c r="A825" s="0" t="s">
        <v>451</v>
      </c>
      <c r="B825" s="0" t="s">
        <v>32</v>
      </c>
      <c r="D825" s="22" t="n">
        <f aca="false">itc_26*1</f>
        <v>781.872916666666</v>
      </c>
      <c r="E825" s="22" t="n">
        <f aca="false">itc_27*1*1</f>
        <v>1565.35</v>
      </c>
      <c r="F825" s="22" t="n">
        <f aca="false">itc_28*um28_A*1</f>
        <v>1984.26388888889</v>
      </c>
      <c r="G825" s="22" t="n">
        <f aca="false">itc_29*um29_A*1</f>
        <v>2260.39027777778</v>
      </c>
    </row>
    <row r="826" customFormat="false" ht="17.15" hidden="false" customHeight="false" outlineLevel="0" collapsed="false">
      <c r="A826" s="4" t="s">
        <v>452</v>
      </c>
      <c r="B826" s="0" t="s">
        <v>32</v>
      </c>
      <c r="D826" s="22" t="n">
        <f aca="false">itpg_gb*(1-vr26)+itpg_vr*vr26</f>
        <v>33.41403216</v>
      </c>
      <c r="E826" s="22" t="n">
        <f aca="false">itpg_vr</f>
        <v>37.586352</v>
      </c>
      <c r="F826" s="22" t="n">
        <f aca="false">itpg_vr</f>
        <v>37.586352</v>
      </c>
      <c r="G826" s="22" t="n">
        <f aca="false">itpg_vr</f>
        <v>37.586352</v>
      </c>
    </row>
    <row r="827" customFormat="false" ht="17.15" hidden="false" customHeight="false" outlineLevel="0" collapsed="false">
      <c r="A827" s="4" t="s">
        <v>453</v>
      </c>
      <c r="B827" s="0" t="s">
        <v>402</v>
      </c>
      <c r="D827" s="18" t="n">
        <f aca="false">D825/D826</f>
        <v>23.3995380420639</v>
      </c>
      <c r="E827" s="18" t="n">
        <f aca="false">E825/E826</f>
        <v>41.6467658260637</v>
      </c>
      <c r="F827" s="18" t="n">
        <f aca="false">F825/F826</f>
        <v>52.792138191248</v>
      </c>
      <c r="G827" s="18" t="n">
        <f aca="false">G825/G826</f>
        <v>60.1385917361116</v>
      </c>
    </row>
    <row r="828" customFormat="false" ht="17.15" hidden="false" customHeight="false" outlineLevel="0" collapsed="false">
      <c r="A828" s="4" t="s">
        <v>404</v>
      </c>
      <c r="B828" s="0" t="s">
        <v>405</v>
      </c>
      <c r="D828" s="16" t="n">
        <f aca="false">(racks_gb*odm_gb*(1-vr26)+racks_vr*odm_vr*vr26)/1000</f>
        <v>27.1209</v>
      </c>
      <c r="E828" s="16" t="n">
        <f aca="false">racks_vr*odm_vr/1000</f>
        <v>27.351</v>
      </c>
      <c r="F828" s="16" t="n">
        <f aca="false">$E828*vpg_28</f>
        <v>27.351</v>
      </c>
      <c r="G828" s="16" t="n">
        <f aca="false">$E828*vpg_29</f>
        <v>27.351</v>
      </c>
      <c r="H828" s="4" t="s">
        <v>454</v>
      </c>
    </row>
    <row r="829" customFormat="false" ht="17.15" hidden="false" customHeight="false" outlineLevel="0" collapsed="false">
      <c r="A829" s="0" t="s">
        <v>455</v>
      </c>
      <c r="B829" s="0" t="s">
        <v>32</v>
      </c>
      <c r="D829" s="19" t="n">
        <f aca="false">D827*D828</f>
        <v>634.61653128501</v>
      </c>
      <c r="E829" s="19" t="n">
        <f aca="false">E827*E828</f>
        <v>1139.08069210867</v>
      </c>
      <c r="F829" s="19" t="n">
        <f aca="false">F827*F828</f>
        <v>1443.91777166882</v>
      </c>
      <c r="G829" s="19" t="n">
        <f aca="false">G827*G828</f>
        <v>1644.85062257439</v>
      </c>
    </row>
    <row r="830" customFormat="false" ht="17.15" hidden="false" customHeight="false" outlineLevel="0" collapsed="false">
      <c r="A830" s="0" t="s">
        <v>456</v>
      </c>
      <c r="B830" s="0" t="s">
        <v>209</v>
      </c>
      <c r="D830" s="19" t="n">
        <f aca="false">D829*fx</f>
        <v>20307.7290011203</v>
      </c>
      <c r="E830" s="19" t="n">
        <f aca="false">E829*fx</f>
        <v>36450.5821474774</v>
      </c>
      <c r="F830" s="19" t="n">
        <f aca="false">F829*fx</f>
        <v>46205.3686934024</v>
      </c>
      <c r="G830" s="19" t="n">
        <f aca="false">G829*fx</f>
        <v>52635.2199223804</v>
      </c>
    </row>
    <row r="831" customFormat="false" ht="17.15" hidden="false" customHeight="false" outlineLevel="0" collapsed="false">
      <c r="A831" s="4" t="s">
        <v>457</v>
      </c>
      <c r="B831" s="0" t="s">
        <v>52</v>
      </c>
      <c r="D831" s="15" t="n">
        <f aca="false">a26_ai/D830</f>
        <v>0.174610057569922</v>
      </c>
      <c r="H831" s="8" t="s">
        <v>458</v>
      </c>
    </row>
    <row r="832" customFormat="false" ht="17.15" hidden="false" customHeight="false" outlineLevel="0" collapsed="false">
      <c r="A832" s="4" t="s">
        <v>459</v>
      </c>
      <c r="B832" s="0" t="s">
        <v>71</v>
      </c>
      <c r="D832" s="16" t="n">
        <f aca="false">1</f>
        <v>1</v>
      </c>
      <c r="E832" s="16" t="n">
        <f aca="false">rel_27</f>
        <v>1</v>
      </c>
      <c r="F832" s="16" t="n">
        <f aca="false">rel_28</f>
        <v>1</v>
      </c>
      <c r="G832" s="16" t="n">
        <f aca="false">rel_29</f>
        <v>0.95</v>
      </c>
    </row>
    <row r="833" customFormat="false" ht="15" hidden="false" customHeight="false" outlineLevel="0" collapsed="false">
      <c r="A833" s="4" t="s">
        <v>460</v>
      </c>
      <c r="B833" s="0" t="s">
        <v>52</v>
      </c>
      <c r="D833" s="15" t="n">
        <f aca="false">$D$831*D832</f>
        <v>0.174610057569922</v>
      </c>
      <c r="E833" s="15" t="n">
        <f aca="false">$D$831*E832</f>
        <v>0.174610057569922</v>
      </c>
      <c r="F833" s="15" t="n">
        <f aca="false">$D$831*F832</f>
        <v>0.174610057569922</v>
      </c>
      <c r="G833" s="15" t="n">
        <f aca="false">$D$831*G832</f>
        <v>0.165879554691426</v>
      </c>
    </row>
    <row r="834" customFormat="false" ht="17.15" hidden="false" customHeight="false" outlineLevel="0" collapsed="false">
      <c r="A834" s="0" t="s">
        <v>461</v>
      </c>
      <c r="B834" s="0" t="s">
        <v>209</v>
      </c>
      <c r="D834" s="19" t="n">
        <f aca="false">D830*D833</f>
        <v>3545.93373</v>
      </c>
      <c r="E834" s="19" t="n">
        <f aca="false">E830*E833</f>
        <v>6364.6382472282</v>
      </c>
      <c r="F834" s="19" t="n">
        <f aca="false">F830*F833</f>
        <v>8067.92208759447</v>
      </c>
      <c r="G834" s="19" t="n">
        <f aca="false">G830*G833</f>
        <v>8731.10684180974</v>
      </c>
    </row>
    <row r="835" customFormat="false" ht="17.15" hidden="false" customHeight="false" outlineLevel="0" collapsed="false">
      <c r="A835" s="4" t="s">
        <v>462</v>
      </c>
      <c r="B835" s="0" t="s">
        <v>52</v>
      </c>
      <c r="D835" s="15" t="n">
        <f aca="false">0</f>
        <v>0</v>
      </c>
      <c r="E835" s="15" t="n">
        <f aca="false">cs_27</f>
        <v>0.1</v>
      </c>
      <c r="F835" s="15" t="n">
        <f aca="false">cs_28</f>
        <v>0.2</v>
      </c>
      <c r="G835" s="15" t="n">
        <f aca="false">cs_29</f>
        <v>0.25</v>
      </c>
      <c r="H835" s="8" t="s">
        <v>463</v>
      </c>
    </row>
    <row r="836" customFormat="false" ht="17.15" hidden="false" customHeight="false" outlineLevel="0" collapsed="false">
      <c r="A836" s="0" t="s">
        <v>464</v>
      </c>
      <c r="B836" s="0" t="s">
        <v>209</v>
      </c>
      <c r="C836" s="19" t="n">
        <f aca="false">a25_ai</f>
        <v>1620.621</v>
      </c>
      <c r="D836" s="19" t="n">
        <f aca="false">D834*(1-D835)</f>
        <v>3545.93373</v>
      </c>
      <c r="E836" s="19" t="n">
        <f aca="false">E834*(1-E835)</f>
        <v>5728.17442250538</v>
      </c>
      <c r="F836" s="19" t="n">
        <f aca="false">F834*(1-F835)</f>
        <v>6454.33767007557</v>
      </c>
      <c r="G836" s="19" t="n">
        <f aca="false">G834*(1-G835)</f>
        <v>6548.3301313573</v>
      </c>
    </row>
    <row r="837" customFormat="false" ht="17.15" hidden="false" customHeight="false" outlineLevel="0" collapsed="false">
      <c r="A837" s="6" t="s">
        <v>465</v>
      </c>
    </row>
    <row r="838" customFormat="false" ht="17.15" hidden="false" customHeight="false" outlineLevel="0" collapsed="false">
      <c r="A838" s="4" t="s">
        <v>382</v>
      </c>
      <c r="B838" s="0" t="s">
        <v>209</v>
      </c>
      <c r="C838" s="19" t="n">
        <f aca="false">a25_cn</f>
        <v>1620.621</v>
      </c>
      <c r="D838" s="19" t="n">
        <f aca="false">a26_cn</f>
        <v>2363.95582</v>
      </c>
      <c r="E838" s="19" t="n">
        <f aca="false">D838*(1+g_cn27)</f>
        <v>2647.6305184</v>
      </c>
      <c r="F838" s="19" t="n">
        <f aca="false">E838*(1+g_cn28)</f>
        <v>2859.440959872</v>
      </c>
      <c r="G838" s="19" t="n">
        <f aca="false">F838*(1+g_cn29)</f>
        <v>3031.00741746432</v>
      </c>
    </row>
    <row r="839" customFormat="false" ht="17.15" hidden="false" customHeight="false" outlineLevel="0" collapsed="false">
      <c r="A839" s="4" t="s">
        <v>383</v>
      </c>
      <c r="B839" s="0" t="s">
        <v>209</v>
      </c>
      <c r="C839" s="19" t="n">
        <f aca="false">a25_ce</f>
        <v>3079.1799</v>
      </c>
      <c r="D839" s="19" t="n">
        <f aca="false">a26_ce</f>
        <v>3345.2205</v>
      </c>
      <c r="E839" s="19" t="n">
        <f aca="false">D839*(1+g_ce27)</f>
        <v>3445.577115</v>
      </c>
      <c r="F839" s="19" t="n">
        <f aca="false">E839*(1+g_ce28)</f>
        <v>3514.4886573</v>
      </c>
      <c r="G839" s="19" t="n">
        <f aca="false">F839*(1+g_ce29)</f>
        <v>3584.778430446</v>
      </c>
    </row>
    <row r="840" customFormat="false" ht="15" hidden="false" customHeight="false" outlineLevel="0" collapsed="false">
      <c r="A840" s="4" t="s">
        <v>384</v>
      </c>
      <c r="B840" s="0" t="s">
        <v>209</v>
      </c>
      <c r="C840" s="19" t="n">
        <f aca="false">a25_pc</f>
        <v>1215.46575</v>
      </c>
      <c r="D840" s="19" t="n">
        <f aca="false">a26_pc</f>
        <v>1338.0882</v>
      </c>
      <c r="E840" s="19" t="n">
        <f aca="false">D840*(1+g_pc27)</f>
        <v>1311.326436</v>
      </c>
      <c r="F840" s="19" t="n">
        <f aca="false">E840*(1+g_pc28)</f>
        <v>1311.326436</v>
      </c>
      <c r="G840" s="19" t="n">
        <f aca="false">F840*(1+g_pc29)</f>
        <v>1311.326436</v>
      </c>
    </row>
    <row r="841" customFormat="false" ht="15" hidden="false" customHeight="false" outlineLevel="0" collapsed="false">
      <c r="A841" s="4" t="s">
        <v>466</v>
      </c>
      <c r="B841" s="0" t="s">
        <v>209</v>
      </c>
      <c r="C841" s="19" t="n">
        <f aca="false">a25_co</f>
        <v>567.217349999999</v>
      </c>
      <c r="D841" s="19" t="n">
        <f aca="false">a26_co</f>
        <v>557.53675</v>
      </c>
      <c r="E841" s="19" t="n">
        <f aca="false">D841*(1+g_co27)</f>
        <v>602.13969</v>
      </c>
      <c r="F841" s="19" t="n">
        <f aca="false">E841*(1+g_co28)</f>
        <v>638.2680714</v>
      </c>
      <c r="G841" s="19" t="n">
        <f aca="false">F841*(1+g_co29)</f>
        <v>670.18147497</v>
      </c>
    </row>
    <row r="842" customFormat="false" ht="17.15" hidden="false" customHeight="false" outlineLevel="0" collapsed="false">
      <c r="A842" s="4" t="s">
        <v>387</v>
      </c>
      <c r="B842" s="0" t="s">
        <v>209</v>
      </c>
      <c r="C842" s="19" t="n">
        <f aca="false">SUM(C838:C841)</f>
        <v>6482.484</v>
      </c>
      <c r="D842" s="19" t="n">
        <f aca="false">SUM(D838:D841)</f>
        <v>7604.80127</v>
      </c>
      <c r="E842" s="19" t="n">
        <f aca="false">SUM(E838:E841)</f>
        <v>8006.6737594</v>
      </c>
      <c r="F842" s="19" t="n">
        <f aca="false">SUM(F838:F841)</f>
        <v>8323.524124572</v>
      </c>
      <c r="G842" s="19" t="n">
        <f aca="false">SUM(G838:G841)</f>
        <v>8597.29375888032</v>
      </c>
    </row>
    <row r="843" customFormat="false" ht="15" hidden="false" customHeight="false" outlineLevel="0" collapsed="false">
      <c r="A843" s="4" t="s">
        <v>353</v>
      </c>
      <c r="B843" s="0" t="s">
        <v>209</v>
      </c>
      <c r="C843" s="19" t="n">
        <f aca="false">C836+C842</f>
        <v>8103.105</v>
      </c>
      <c r="D843" s="19" t="n">
        <f aca="false">D836+D842</f>
        <v>11150.735</v>
      </c>
      <c r="E843" s="19" t="n">
        <f aca="false">E836+E842</f>
        <v>13734.8481819054</v>
      </c>
      <c r="F843" s="19" t="n">
        <f aca="false">F836+F842</f>
        <v>14777.8617946476</v>
      </c>
      <c r="G843" s="19" t="n">
        <f aca="false">G836+G842</f>
        <v>15145.6238902376</v>
      </c>
    </row>
    <row r="844" customFormat="false" ht="17.15" hidden="false" customHeight="false" outlineLevel="0" collapsed="false">
      <c r="A844" s="4" t="s">
        <v>467</v>
      </c>
      <c r="B844" s="0" t="s">
        <v>209</v>
      </c>
      <c r="C844" s="19" t="n">
        <f aca="false">C836+C838</f>
        <v>3241.242</v>
      </c>
      <c r="D844" s="19" t="n">
        <f aca="false">D836+D838</f>
        <v>5909.88955</v>
      </c>
      <c r="E844" s="19" t="n">
        <f aca="false">E836+E838</f>
        <v>8375.80494090538</v>
      </c>
      <c r="F844" s="19" t="n">
        <f aca="false">F836+F838</f>
        <v>9313.77862994757</v>
      </c>
      <c r="G844" s="19" t="n">
        <f aca="false">G836+G838</f>
        <v>9579.33754882162</v>
      </c>
      <c r="H844" s="4" t="s">
        <v>468</v>
      </c>
    </row>
    <row r="845" customFormat="false" ht="17.15" hidden="false" customHeight="false" outlineLevel="0" collapsed="false">
      <c r="A845" s="4" t="s">
        <v>469</v>
      </c>
      <c r="B845" s="0" t="s">
        <v>209</v>
      </c>
      <c r="C845" s="23" t="n">
        <f aca="false">C844+C839+C840+C841-a25_rev</f>
        <v>0</v>
      </c>
      <c r="D845" s="23" t="n">
        <f aca="false">D844+D839+D840+D841-a26_rev</f>
        <v>0</v>
      </c>
      <c r="E845" s="23" t="n">
        <f aca="false">E844+E839+E840+E841-E843</f>
        <v>0</v>
      </c>
      <c r="F845" s="23" t="n">
        <f aca="false">F844+F839+F840+F841-F843</f>
        <v>0</v>
      </c>
      <c r="G845" s="23" t="n">
        <f aca="false">G844+G839+G840+G841-G843</f>
        <v>0</v>
      </c>
    </row>
    <row r="846" customFormat="false" ht="15" hidden="false" customHeight="false" outlineLevel="0" collapsed="false">
      <c r="A846" s="4" t="s">
        <v>470</v>
      </c>
      <c r="B846" s="0" t="s">
        <v>52</v>
      </c>
      <c r="D846" s="15" t="n">
        <f aca="false">D843/C843-1</f>
        <v>0.376106443147411</v>
      </c>
      <c r="E846" s="15" t="n">
        <f aca="false">E843/D843-1</f>
        <v>0.231743753385349</v>
      </c>
      <c r="F846" s="15" t="n">
        <f aca="false">F843/E843-1</f>
        <v>0.0759392167229256</v>
      </c>
      <c r="G846" s="15" t="n">
        <f aca="false">G843/F843-1</f>
        <v>0.0248860153586801</v>
      </c>
    </row>
    <row r="847" customFormat="false" ht="17.15" hidden="false" customHeight="false" outlineLevel="0" collapsed="false">
      <c r="A847" s="0" t="s">
        <v>471</v>
      </c>
      <c r="B847" s="0" t="s">
        <v>52</v>
      </c>
      <c r="C847" s="15" t="n">
        <f aca="false">C836/C843</f>
        <v>0.2</v>
      </c>
      <c r="D847" s="15" t="n">
        <f aca="false">D836/D843</f>
        <v>0.318</v>
      </c>
      <c r="E847" s="15" t="n">
        <f aca="false">E836/E843</f>
        <v>0.417054076364078</v>
      </c>
      <c r="F847" s="15" t="n">
        <f aca="false">F836/F843</f>
        <v>0.436757208841491</v>
      </c>
      <c r="G847" s="15" t="n">
        <f aca="false">G836/G843</f>
        <v>0.43235789947076</v>
      </c>
    </row>
    <row r="848" customFormat="false" ht="17.15" hidden="false" customHeight="false" outlineLevel="0" collapsed="false">
      <c r="A848" s="4" t="s">
        <v>472</v>
      </c>
      <c r="B848" s="0" t="s">
        <v>52</v>
      </c>
      <c r="C848" s="15" t="n">
        <f aca="false">(C836+C838)/C843</f>
        <v>0.4</v>
      </c>
      <c r="D848" s="15" t="n">
        <f aca="false">(D836+D838)/D843</f>
        <v>0.53</v>
      </c>
      <c r="E848" s="15" t="n">
        <f aca="false">(E836+E838)/E843</f>
        <v>0.609821443235162</v>
      </c>
      <c r="F848" s="15" t="n">
        <f aca="false">(F836+F838)/F843</f>
        <v>0.630252113558198</v>
      </c>
      <c r="G848" s="15" t="n">
        <f aca="false">(G836+G838)/G843</f>
        <v>0.632482202003983</v>
      </c>
    </row>
    <row r="849" customFormat="false" ht="17.15" hidden="false" customHeight="false" outlineLevel="0" collapsed="false">
      <c r="A849" s="4" t="s">
        <v>418</v>
      </c>
      <c r="B849" s="0" t="s">
        <v>405</v>
      </c>
      <c r="D849" s="16" t="n">
        <f aca="false">D836/fx/D827</f>
        <v>4.7355819103481</v>
      </c>
      <c r="E849" s="16" t="n">
        <f aca="false">E836/fx/E827</f>
        <v>4.29818371613545</v>
      </c>
      <c r="F849" s="16" t="n">
        <f aca="false">F836/fx/F827</f>
        <v>3.82060774767595</v>
      </c>
      <c r="G849" s="16" t="n">
        <f aca="false">G836/fx/G827</f>
        <v>3.4027287752739</v>
      </c>
    </row>
    <row r="850" customFormat="false" ht="17.15" hidden="false" customHeight="false" outlineLevel="0" collapsed="false">
      <c r="A850" s="4" t="s">
        <v>473</v>
      </c>
      <c r="B850" s="4" t="s">
        <v>416</v>
      </c>
      <c r="D850" s="19" t="n">
        <f aca="false">D834/fx/(odm_gb*(1-vr26)+odm_vr*vr26)</f>
        <v>24.0630682003257</v>
      </c>
      <c r="E850" s="19" t="n">
        <f aca="false">E834/fx/odm_vr</f>
        <v>29.4659178112417</v>
      </c>
      <c r="F850" s="19" t="n">
        <f aca="false">F834/fx/odm_vr</f>
        <v>37.3514911462707</v>
      </c>
      <c r="G850" s="19" t="n">
        <f aca="false">G834/fx/odm_vr</f>
        <v>40.4217909343043</v>
      </c>
      <c r="H850" s="4" t="s">
        <v>474</v>
      </c>
    </row>
    <row r="851" customFormat="false" ht="17.15" hidden="false" customHeight="false" outlineLevel="0" collapsed="false">
      <c r="A851" s="6" t="s">
        <v>475</v>
      </c>
    </row>
    <row r="852" customFormat="false" ht="17.15" hidden="false" customHeight="false" outlineLevel="0" collapsed="false">
      <c r="A852" s="4" t="s">
        <v>476</v>
      </c>
      <c r="B852" s="0" t="s">
        <v>52</v>
      </c>
      <c r="D852" s="14" t="n">
        <f aca="false">a26_gp/D843-d_ai*D847</f>
        <v>0.0621989258510762</v>
      </c>
      <c r="H852" s="8" t="s">
        <v>477</v>
      </c>
    </row>
    <row r="853" customFormat="false" ht="17.15" hidden="false" customHeight="false" outlineLevel="0" collapsed="false">
      <c r="A853" s="0" t="s">
        <v>478</v>
      </c>
      <c r="B853" s="0" t="s">
        <v>209</v>
      </c>
      <c r="D853" s="22" t="n">
        <f aca="false">($D$852+d_ai)*D834*(1-D835*(1-keep))</f>
        <v>202.8236004951</v>
      </c>
      <c r="E853" s="22" t="n">
        <f aca="false">($D$852+d_ai+vrd_hi)*E834*(1-E835*(1-keep))</f>
        <v>360.409966460408</v>
      </c>
      <c r="F853" s="22" t="n">
        <f aca="false">($D$852+d_ai+vrd_hi)*F834*(1-F835*(1-keep))</f>
        <v>452.246947715364</v>
      </c>
      <c r="G853" s="22" t="n">
        <f aca="false">($D$852+d_ai+vrd_hi)*G834*(1-G835*(1-keep))</f>
        <v>486.924684521437</v>
      </c>
      <c r="H853" s="4" t="s">
        <v>479</v>
      </c>
    </row>
    <row r="854" customFormat="false" ht="15" hidden="false" customHeight="false" outlineLevel="0" collapsed="false">
      <c r="A854" s="4" t="s">
        <v>357</v>
      </c>
      <c r="B854" s="0" t="s">
        <v>209</v>
      </c>
      <c r="C854" s="19" t="n">
        <f aca="false">a25_gp</f>
        <v>498.161</v>
      </c>
      <c r="D854" s="19" t="n">
        <f aca="false">a26_gp</f>
        <v>675.8340708</v>
      </c>
      <c r="E854" s="19" t="n">
        <f aca="false">$D$852*E842+E853</f>
        <v>858.416473935086</v>
      </c>
      <c r="F854" s="19" t="n">
        <f aca="false">$D$852*F842+F853</f>
        <v>969.961207559262</v>
      </c>
      <c r="G854" s="19" t="n">
        <f aca="false">$D$852*G842+G853</f>
        <v>1021.66712154995</v>
      </c>
    </row>
    <row r="855" customFormat="false" ht="15" hidden="false" customHeight="false" outlineLevel="0" collapsed="false">
      <c r="A855" s="4" t="s">
        <v>360</v>
      </c>
      <c r="B855" s="0" t="s">
        <v>52</v>
      </c>
      <c r="C855" s="14" t="n">
        <f aca="false">C854/C843</f>
        <v>0.0614777915379352</v>
      </c>
      <c r="D855" s="14" t="n">
        <f aca="false">D854/D843</f>
        <v>0.0606089258510762</v>
      </c>
      <c r="E855" s="14" t="n">
        <f aca="false">E854/E843</f>
        <v>0.0624991599882396</v>
      </c>
      <c r="F855" s="14" t="n">
        <f aca="false">F854/F843</f>
        <v>0.0656360995276444</v>
      </c>
      <c r="G855" s="14" t="n">
        <f aca="false">G854/G843</f>
        <v>0.0674562585836089</v>
      </c>
    </row>
    <row r="856" customFormat="false" ht="17.15" hidden="false" customHeight="false" outlineLevel="0" collapsed="false">
      <c r="A856" s="0" t="s">
        <v>480</v>
      </c>
      <c r="B856" s="0" t="s">
        <v>52</v>
      </c>
      <c r="D856" s="14" t="n">
        <f aca="false">D853/D836</f>
        <v>0.0571989258510762</v>
      </c>
      <c r="E856" s="14" t="n">
        <f aca="false">E853/E836</f>
        <v>0.0629188184361838</v>
      </c>
      <c r="F856" s="14" t="n">
        <f aca="false">F853/F836</f>
        <v>0.0700686841675683</v>
      </c>
      <c r="G856" s="14" t="n">
        <f aca="false">G853/G836</f>
        <v>0.0743586036063991</v>
      </c>
      <c r="H856" s="4" t="s">
        <v>481</v>
      </c>
    </row>
    <row r="857" customFormat="false" ht="15" hidden="false" customHeight="false" outlineLevel="0" collapsed="false">
      <c r="A857" s="4" t="s">
        <v>482</v>
      </c>
      <c r="B857" s="0" t="s">
        <v>209</v>
      </c>
      <c r="C857" s="19" t="n">
        <f aca="false">a25_opx</f>
        <v>238.938</v>
      </c>
      <c r="D857" s="19" t="n">
        <f aca="false">a26_opx</f>
        <v>254.8304233</v>
      </c>
      <c r="E857" s="19" t="n">
        <f aca="false">D857*(1+MAX(0,phi*E846))</f>
        <v>278.452566808928</v>
      </c>
      <c r="F857" s="19" t="n">
        <f aca="false">E857*(1+MAX(0,phi*F846))</f>
        <v>286.910754736111</v>
      </c>
      <c r="G857" s="19" t="n">
        <f aca="false">F857*(1+MAX(0,phi*G846))</f>
        <v>289.766780915684</v>
      </c>
    </row>
    <row r="858" customFormat="false" ht="15" hidden="false" customHeight="false" outlineLevel="0" collapsed="false">
      <c r="A858" s="4" t="s">
        <v>361</v>
      </c>
      <c r="B858" s="0" t="s">
        <v>209</v>
      </c>
      <c r="C858" s="19" t="n">
        <f aca="false">C857</f>
        <v>238.938</v>
      </c>
      <c r="D858" s="19" t="n">
        <f aca="false">D857</f>
        <v>254.8304233</v>
      </c>
      <c r="E858" s="19" t="n">
        <f aca="false">E857+0*E843</f>
        <v>278.452566808928</v>
      </c>
      <c r="F858" s="19" t="n">
        <f aca="false">F857+0*F843</f>
        <v>286.910754736111</v>
      </c>
      <c r="G858" s="19" t="n">
        <f aca="false">G857+0*G843</f>
        <v>289.766780915684</v>
      </c>
    </row>
    <row r="859" customFormat="false" ht="15" hidden="false" customHeight="false" outlineLevel="0" collapsed="false">
      <c r="A859" s="4" t="s">
        <v>364</v>
      </c>
      <c r="B859" s="0" t="s">
        <v>209</v>
      </c>
      <c r="C859" s="19" t="n">
        <f aca="false">C854-C858</f>
        <v>259.223</v>
      </c>
      <c r="D859" s="19" t="n">
        <f aca="false">D854-D858</f>
        <v>421.0036475</v>
      </c>
      <c r="E859" s="19" t="n">
        <f aca="false">E854-E858</f>
        <v>579.963907126158</v>
      </c>
      <c r="F859" s="19" t="n">
        <f aca="false">F854-F858</f>
        <v>683.050452823151</v>
      </c>
      <c r="G859" s="19" t="n">
        <f aca="false">G854-G858</f>
        <v>731.90034063427</v>
      </c>
    </row>
    <row r="860" customFormat="false" ht="15" hidden="false" customHeight="false" outlineLevel="0" collapsed="false">
      <c r="A860" s="4" t="s">
        <v>367</v>
      </c>
      <c r="B860" s="0" t="s">
        <v>52</v>
      </c>
      <c r="C860" s="14" t="n">
        <f aca="false">C859/C843</f>
        <v>0.0319905764518663</v>
      </c>
      <c r="D860" s="14" t="n">
        <f aca="false">D859/D843</f>
        <v>0.0377556858359561</v>
      </c>
      <c r="E860" s="14" t="n">
        <f aca="false">E859/E843</f>
        <v>0.0422257238991704</v>
      </c>
      <c r="F860" s="14" t="n">
        <f aca="false">F859/F843</f>
        <v>0.0462211964298209</v>
      </c>
      <c r="G860" s="14" t="n">
        <f aca="false">G859/G843</f>
        <v>0.0483242120587735</v>
      </c>
    </row>
    <row r="861" customFormat="false" ht="17.15" hidden="false" customHeight="false" outlineLevel="0" collapsed="false">
      <c r="A861" s="4" t="s">
        <v>243</v>
      </c>
      <c r="B861" s="0" t="s">
        <v>52</v>
      </c>
      <c r="C861" s="15" t="n">
        <f aca="false">a25_ni/a25_oi</f>
        <v>0.730467589681471</v>
      </c>
      <c r="D861" s="15" t="n">
        <f aca="false">a26_ni/a26_oi</f>
        <v>0.653811645064191</v>
      </c>
      <c r="E861" s="15" t="n">
        <f aca="false">nio_f</f>
        <v>0.66</v>
      </c>
      <c r="F861" s="15" t="n">
        <f aca="false">nio_f</f>
        <v>0.66</v>
      </c>
      <c r="G861" s="15" t="n">
        <f aca="false">nio_f</f>
        <v>0.66</v>
      </c>
    </row>
    <row r="862" customFormat="false" ht="15" hidden="false" customHeight="false" outlineLevel="0" collapsed="false">
      <c r="A862" s="4" t="s">
        <v>368</v>
      </c>
      <c r="B862" s="0" t="s">
        <v>209</v>
      </c>
      <c r="C862" s="19" t="n">
        <f aca="false">a25_ni</f>
        <v>189.354</v>
      </c>
      <c r="D862" s="19" t="n">
        <f aca="false">a26_ni</f>
        <v>275.25708735</v>
      </c>
      <c r="E862" s="19" t="n">
        <f aca="false">E859*E861</f>
        <v>382.776178703265</v>
      </c>
      <c r="F862" s="19" t="n">
        <f aca="false">F859*F861</f>
        <v>450.81329886328</v>
      </c>
      <c r="G862" s="19" t="n">
        <f aca="false">G859*G861</f>
        <v>483.054224818618</v>
      </c>
    </row>
    <row r="863" customFormat="false" ht="15" hidden="false" customHeight="false" outlineLevel="0" collapsed="false">
      <c r="A863" s="4" t="s">
        <v>483</v>
      </c>
      <c r="B863" s="4" t="s">
        <v>230</v>
      </c>
      <c r="C863" s="23" t="n">
        <f aca="false">a25_sh</f>
        <v>13.9128581925055</v>
      </c>
      <c r="D863" s="23" t="n">
        <f aca="false">a26_sh</f>
        <v>14.0169642857143</v>
      </c>
      <c r="E863" s="23" t="n">
        <f aca="false">D863*(1+sh_g)</f>
        <v>14.0169642857143</v>
      </c>
      <c r="F863" s="23" t="n">
        <f aca="false">E863*(1+sh_g)</f>
        <v>14.0169642857143</v>
      </c>
      <c r="G863" s="23" t="n">
        <f aca="false">F863*(1+sh_g)</f>
        <v>14.0169642857143</v>
      </c>
    </row>
    <row r="864" customFormat="false" ht="15" hidden="false" customHeight="false" outlineLevel="0" collapsed="false">
      <c r="A864" s="0" t="s">
        <v>374</v>
      </c>
      <c r="B864" s="0" t="s">
        <v>260</v>
      </c>
      <c r="C864" s="22" t="n">
        <f aca="false">C862/C863</f>
        <v>13.61</v>
      </c>
      <c r="D864" s="22" t="n">
        <f aca="false">D862/D863</f>
        <v>19.6374251756163</v>
      </c>
      <c r="E864" s="22" t="n">
        <f aca="false">E862/E863</f>
        <v>27.3080654912833</v>
      </c>
      <c r="F864" s="22" t="n">
        <f aca="false">F862/F863</f>
        <v>32.1619781340769</v>
      </c>
      <c r="G864" s="22" t="n">
        <f aca="false">G862/G863</f>
        <v>34.4621142618544</v>
      </c>
    </row>
    <row r="865" customFormat="false" ht="17.15" hidden="false" customHeight="false" outlineLevel="0" collapsed="false">
      <c r="A865" s="0" t="s">
        <v>484</v>
      </c>
      <c r="B865" s="0" t="s">
        <v>52</v>
      </c>
      <c r="D865" s="15" t="n">
        <f aca="false">D864/C864-1</f>
        <v>0.442867389832203</v>
      </c>
      <c r="E865" s="15" t="n">
        <f aca="false">E864/D864-1</f>
        <v>0.390613344013736</v>
      </c>
      <c r="F865" s="15" t="n">
        <f aca="false">F864/E864-1</f>
        <v>0.177746484617996</v>
      </c>
      <c r="G865" s="15" t="n">
        <f aca="false">G864/F864-1</f>
        <v>0.0715172467995806</v>
      </c>
    </row>
    <row r="868" customFormat="false" ht="17.15" hidden="false" customHeight="false" outlineLevel="0" collapsed="false">
      <c r="A868" s="1" t="s">
        <v>850</v>
      </c>
    </row>
    <row r="869" customFormat="false" ht="17.15" hidden="false" customHeight="false" outlineLevel="0" collapsed="false">
      <c r="A869" s="5" t="s">
        <v>21</v>
      </c>
      <c r="B869" s="5" t="s">
        <v>22</v>
      </c>
      <c r="C869" s="11" t="s">
        <v>347</v>
      </c>
      <c r="D869" s="11" t="s">
        <v>429</v>
      </c>
      <c r="E869" s="11" t="s">
        <v>430</v>
      </c>
      <c r="F869" s="11" t="s">
        <v>431</v>
      </c>
      <c r="G869" s="11" t="s">
        <v>432</v>
      </c>
      <c r="H869" s="5" t="s">
        <v>400</v>
      </c>
    </row>
    <row r="870" customFormat="false" ht="17.15" hidden="false" customHeight="false" outlineLevel="0" collapsed="false">
      <c r="A870" s="6" t="s">
        <v>450</v>
      </c>
    </row>
    <row r="871" customFormat="false" ht="17.15" hidden="false" customHeight="false" outlineLevel="0" collapsed="false">
      <c r="A871" s="0" t="s">
        <v>451</v>
      </c>
      <c r="B871" s="0" t="s">
        <v>32</v>
      </c>
      <c r="D871" s="22" t="n">
        <f aca="false">itc_26*1</f>
        <v>781.872916666666</v>
      </c>
      <c r="E871" s="22" t="n">
        <f aca="false">itc_27*1*1</f>
        <v>1565.35</v>
      </c>
      <c r="F871" s="22" t="n">
        <f aca="false">itc_28*um28_A*1</f>
        <v>1984.26388888889</v>
      </c>
      <c r="G871" s="22" t="n">
        <f aca="false">itc_29*um29_A*1</f>
        <v>2260.39027777778</v>
      </c>
    </row>
    <row r="872" customFormat="false" ht="17.15" hidden="false" customHeight="false" outlineLevel="0" collapsed="false">
      <c r="A872" s="4" t="s">
        <v>452</v>
      </c>
      <c r="B872" s="0" t="s">
        <v>32</v>
      </c>
      <c r="D872" s="22" t="n">
        <f aca="false">itpg_gb*(1-vr26)+itpg_vr*vr26</f>
        <v>33.41403216</v>
      </c>
      <c r="E872" s="22" t="n">
        <f aca="false">itpg_vr</f>
        <v>37.586352</v>
      </c>
      <c r="F872" s="22" t="n">
        <f aca="false">itpg_vr</f>
        <v>37.586352</v>
      </c>
      <c r="G872" s="22" t="n">
        <f aca="false">itpg_vr</f>
        <v>37.586352</v>
      </c>
    </row>
    <row r="873" customFormat="false" ht="17.15" hidden="false" customHeight="false" outlineLevel="0" collapsed="false">
      <c r="A873" s="4" t="s">
        <v>453</v>
      </c>
      <c r="B873" s="0" t="s">
        <v>402</v>
      </c>
      <c r="D873" s="18" t="n">
        <f aca="false">D871/D872</f>
        <v>23.3995380420639</v>
      </c>
      <c r="E873" s="18" t="n">
        <f aca="false">E871/E872</f>
        <v>41.6467658260637</v>
      </c>
      <c r="F873" s="18" t="n">
        <f aca="false">F871/F872</f>
        <v>52.792138191248</v>
      </c>
      <c r="G873" s="18" t="n">
        <f aca="false">G871/G872</f>
        <v>60.1385917361116</v>
      </c>
    </row>
    <row r="874" customFormat="false" ht="17.15" hidden="false" customHeight="false" outlineLevel="0" collapsed="false">
      <c r="A874" s="4" t="s">
        <v>404</v>
      </c>
      <c r="B874" s="0" t="s">
        <v>405</v>
      </c>
      <c r="D874" s="16" t="n">
        <f aca="false">(racks_gb*odm_gb*(1-vr26)+racks_vr*odm_vr*vr26)/1000</f>
        <v>27.1209</v>
      </c>
      <c r="E874" s="16" t="n">
        <f aca="false">racks_vr*odm_vr/1000</f>
        <v>27.351</v>
      </c>
      <c r="F874" s="16" t="n">
        <f aca="false">$E874*vpg_28</f>
        <v>27.351</v>
      </c>
      <c r="G874" s="16" t="n">
        <f aca="false">$E874*vpg_29</f>
        <v>27.351</v>
      </c>
      <c r="H874" s="4" t="s">
        <v>454</v>
      </c>
    </row>
    <row r="875" customFormat="false" ht="17.15" hidden="false" customHeight="false" outlineLevel="0" collapsed="false">
      <c r="A875" s="0" t="s">
        <v>455</v>
      </c>
      <c r="B875" s="0" t="s">
        <v>32</v>
      </c>
      <c r="D875" s="19" t="n">
        <f aca="false">D873*D874</f>
        <v>634.61653128501</v>
      </c>
      <c r="E875" s="19" t="n">
        <f aca="false">E873*E874</f>
        <v>1139.08069210867</v>
      </c>
      <c r="F875" s="19" t="n">
        <f aca="false">F873*F874</f>
        <v>1443.91777166882</v>
      </c>
      <c r="G875" s="19" t="n">
        <f aca="false">G873*G874</f>
        <v>1644.85062257439</v>
      </c>
    </row>
    <row r="876" customFormat="false" ht="17.15" hidden="false" customHeight="false" outlineLevel="0" collapsed="false">
      <c r="A876" s="0" t="s">
        <v>456</v>
      </c>
      <c r="B876" s="0" t="s">
        <v>209</v>
      </c>
      <c r="D876" s="19" t="n">
        <f aca="false">D875*fx</f>
        <v>20307.7290011203</v>
      </c>
      <c r="E876" s="19" t="n">
        <f aca="false">E875*fx</f>
        <v>36450.5821474774</v>
      </c>
      <c r="F876" s="19" t="n">
        <f aca="false">F875*fx</f>
        <v>46205.3686934024</v>
      </c>
      <c r="G876" s="19" t="n">
        <f aca="false">G875*fx</f>
        <v>52635.2199223804</v>
      </c>
    </row>
    <row r="877" customFormat="false" ht="17.15" hidden="false" customHeight="false" outlineLevel="0" collapsed="false">
      <c r="A877" s="4" t="s">
        <v>457</v>
      </c>
      <c r="B877" s="0" t="s">
        <v>52</v>
      </c>
      <c r="D877" s="15" t="n">
        <f aca="false">a26_ai/D876</f>
        <v>0.174610057569922</v>
      </c>
      <c r="H877" s="8" t="s">
        <v>458</v>
      </c>
    </row>
    <row r="878" customFormat="false" ht="17.15" hidden="false" customHeight="false" outlineLevel="0" collapsed="false">
      <c r="A878" s="4" t="s">
        <v>459</v>
      </c>
      <c r="B878" s="0" t="s">
        <v>71</v>
      </c>
      <c r="D878" s="16" t="n">
        <f aca="false">1</f>
        <v>1</v>
      </c>
      <c r="E878" s="16" t="n">
        <f aca="false">rel_27</f>
        <v>1</v>
      </c>
      <c r="F878" s="16" t="n">
        <f aca="false">rel_28</f>
        <v>1</v>
      </c>
      <c r="G878" s="16" t="n">
        <f aca="false">rel_29</f>
        <v>0.95</v>
      </c>
    </row>
    <row r="879" customFormat="false" ht="15" hidden="false" customHeight="false" outlineLevel="0" collapsed="false">
      <c r="A879" s="4" t="s">
        <v>460</v>
      </c>
      <c r="B879" s="0" t="s">
        <v>52</v>
      </c>
      <c r="D879" s="15" t="n">
        <f aca="false">$D$877*D878</f>
        <v>0.174610057569922</v>
      </c>
      <c r="E879" s="15" t="n">
        <f aca="false">$D$877*E878</f>
        <v>0.174610057569922</v>
      </c>
      <c r="F879" s="15" t="n">
        <f aca="false">$D$877*F878</f>
        <v>0.174610057569922</v>
      </c>
      <c r="G879" s="15" t="n">
        <f aca="false">$D$877*G878</f>
        <v>0.165879554691426</v>
      </c>
    </row>
    <row r="880" customFormat="false" ht="17.15" hidden="false" customHeight="false" outlineLevel="0" collapsed="false">
      <c r="A880" s="0" t="s">
        <v>461</v>
      </c>
      <c r="B880" s="0" t="s">
        <v>209</v>
      </c>
      <c r="D880" s="19" t="n">
        <f aca="false">D876*D879</f>
        <v>3545.93373</v>
      </c>
      <c r="E880" s="19" t="n">
        <f aca="false">E876*E879</f>
        <v>6364.6382472282</v>
      </c>
      <c r="F880" s="19" t="n">
        <f aca="false">F876*F879</f>
        <v>8067.92208759447</v>
      </c>
      <c r="G880" s="19" t="n">
        <f aca="false">G876*G879</f>
        <v>8731.10684180974</v>
      </c>
    </row>
    <row r="881" customFormat="false" ht="17.15" hidden="false" customHeight="false" outlineLevel="0" collapsed="false">
      <c r="A881" s="4" t="s">
        <v>462</v>
      </c>
      <c r="B881" s="0" t="s">
        <v>52</v>
      </c>
      <c r="D881" s="15" t="n">
        <f aca="false">0</f>
        <v>0</v>
      </c>
      <c r="E881" s="15" t="n">
        <f aca="false">cs_27</f>
        <v>0.1</v>
      </c>
      <c r="F881" s="15" t="n">
        <f aca="false">cs_28</f>
        <v>0.2</v>
      </c>
      <c r="G881" s="15" t="n">
        <f aca="false">cs_29</f>
        <v>0.25</v>
      </c>
      <c r="H881" s="8" t="s">
        <v>463</v>
      </c>
    </row>
    <row r="882" customFormat="false" ht="17.15" hidden="false" customHeight="false" outlineLevel="0" collapsed="false">
      <c r="A882" s="0" t="s">
        <v>464</v>
      </c>
      <c r="B882" s="0" t="s">
        <v>209</v>
      </c>
      <c r="C882" s="19" t="n">
        <f aca="false">a25_ai</f>
        <v>1620.621</v>
      </c>
      <c r="D882" s="19" t="n">
        <f aca="false">D880*(1-D881)</f>
        <v>3545.93373</v>
      </c>
      <c r="E882" s="19" t="n">
        <f aca="false">E880*(1-E881)</f>
        <v>5728.17442250538</v>
      </c>
      <c r="F882" s="19" t="n">
        <f aca="false">F880*(1-F881)</f>
        <v>6454.33767007557</v>
      </c>
      <c r="G882" s="19" t="n">
        <f aca="false">G880*(1-G881)</f>
        <v>6548.3301313573</v>
      </c>
    </row>
    <row r="883" customFormat="false" ht="17.15" hidden="false" customHeight="false" outlineLevel="0" collapsed="false">
      <c r="A883" s="6" t="s">
        <v>465</v>
      </c>
    </row>
    <row r="884" customFormat="false" ht="17.15" hidden="false" customHeight="false" outlineLevel="0" collapsed="false">
      <c r="A884" s="4" t="s">
        <v>382</v>
      </c>
      <c r="B884" s="0" t="s">
        <v>209</v>
      </c>
      <c r="C884" s="19" t="n">
        <f aca="false">a25_cn</f>
        <v>1620.621</v>
      </c>
      <c r="D884" s="19" t="n">
        <f aca="false">a26_cn</f>
        <v>2363.95582</v>
      </c>
      <c r="E884" s="19" t="n">
        <f aca="false">D884*(1+g_cn27)</f>
        <v>2647.6305184</v>
      </c>
      <c r="F884" s="19" t="n">
        <f aca="false">E884*(1+g_cn28)</f>
        <v>2859.440959872</v>
      </c>
      <c r="G884" s="19" t="n">
        <f aca="false">F884*(1+g_cn29)</f>
        <v>3031.00741746432</v>
      </c>
    </row>
    <row r="885" customFormat="false" ht="17.15" hidden="false" customHeight="false" outlineLevel="0" collapsed="false">
      <c r="A885" s="4" t="s">
        <v>383</v>
      </c>
      <c r="B885" s="0" t="s">
        <v>209</v>
      </c>
      <c r="C885" s="19" t="n">
        <f aca="false">a25_ce</f>
        <v>3079.1799</v>
      </c>
      <c r="D885" s="19" t="n">
        <f aca="false">a26_ce</f>
        <v>3345.2205</v>
      </c>
      <c r="E885" s="19" t="n">
        <f aca="false">D885*(1+g_ce27)</f>
        <v>3445.577115</v>
      </c>
      <c r="F885" s="19" t="n">
        <f aca="false">E885*(1+g_ce28)</f>
        <v>3514.4886573</v>
      </c>
      <c r="G885" s="19" t="n">
        <f aca="false">F885*(1+g_ce29)</f>
        <v>3584.778430446</v>
      </c>
    </row>
    <row r="886" customFormat="false" ht="15" hidden="false" customHeight="false" outlineLevel="0" collapsed="false">
      <c r="A886" s="4" t="s">
        <v>384</v>
      </c>
      <c r="B886" s="0" t="s">
        <v>209</v>
      </c>
      <c r="C886" s="19" t="n">
        <f aca="false">a25_pc</f>
        <v>1215.46575</v>
      </c>
      <c r="D886" s="19" t="n">
        <f aca="false">a26_pc</f>
        <v>1338.0882</v>
      </c>
      <c r="E886" s="19" t="n">
        <f aca="false">D886*(1+g_pc27)</f>
        <v>1311.326436</v>
      </c>
      <c r="F886" s="19" t="n">
        <f aca="false">E886*(1+g_pc28)</f>
        <v>1311.326436</v>
      </c>
      <c r="G886" s="19" t="n">
        <f aca="false">F886*(1+g_pc29)</f>
        <v>1311.326436</v>
      </c>
    </row>
    <row r="887" customFormat="false" ht="15" hidden="false" customHeight="false" outlineLevel="0" collapsed="false">
      <c r="A887" s="4" t="s">
        <v>466</v>
      </c>
      <c r="B887" s="0" t="s">
        <v>209</v>
      </c>
      <c r="C887" s="19" t="n">
        <f aca="false">a25_co</f>
        <v>567.217349999999</v>
      </c>
      <c r="D887" s="19" t="n">
        <f aca="false">a26_co</f>
        <v>557.53675</v>
      </c>
      <c r="E887" s="19" t="n">
        <f aca="false">D887*(1+g_co27)</f>
        <v>602.13969</v>
      </c>
      <c r="F887" s="19" t="n">
        <f aca="false">E887*(1+g_co28)</f>
        <v>638.2680714</v>
      </c>
      <c r="G887" s="19" t="n">
        <f aca="false">F887*(1+g_co29)</f>
        <v>670.18147497</v>
      </c>
    </row>
    <row r="888" customFormat="false" ht="17.15" hidden="false" customHeight="false" outlineLevel="0" collapsed="false">
      <c r="A888" s="4" t="s">
        <v>387</v>
      </c>
      <c r="B888" s="0" t="s">
        <v>209</v>
      </c>
      <c r="C888" s="19" t="n">
        <f aca="false">SUM(C884:C887)</f>
        <v>6482.484</v>
      </c>
      <c r="D888" s="19" t="n">
        <f aca="false">SUM(D884:D887)</f>
        <v>7604.80127</v>
      </c>
      <c r="E888" s="19" t="n">
        <f aca="false">SUM(E884:E887)</f>
        <v>8006.6737594</v>
      </c>
      <c r="F888" s="19" t="n">
        <f aca="false">SUM(F884:F887)</f>
        <v>8323.524124572</v>
      </c>
      <c r="G888" s="19" t="n">
        <f aca="false">SUM(G884:G887)</f>
        <v>8597.29375888032</v>
      </c>
    </row>
    <row r="889" customFormat="false" ht="15" hidden="false" customHeight="false" outlineLevel="0" collapsed="false">
      <c r="A889" s="4" t="s">
        <v>353</v>
      </c>
      <c r="B889" s="0" t="s">
        <v>209</v>
      </c>
      <c r="C889" s="19" t="n">
        <f aca="false">C882+C888</f>
        <v>8103.105</v>
      </c>
      <c r="D889" s="19" t="n">
        <f aca="false">D882+D888</f>
        <v>11150.735</v>
      </c>
      <c r="E889" s="19" t="n">
        <f aca="false">E882+E888</f>
        <v>13734.8481819054</v>
      </c>
      <c r="F889" s="19" t="n">
        <f aca="false">F882+F888</f>
        <v>14777.8617946476</v>
      </c>
      <c r="G889" s="19" t="n">
        <f aca="false">G882+G888</f>
        <v>15145.6238902376</v>
      </c>
    </row>
    <row r="890" customFormat="false" ht="17.15" hidden="false" customHeight="false" outlineLevel="0" collapsed="false">
      <c r="A890" s="4" t="s">
        <v>467</v>
      </c>
      <c r="B890" s="0" t="s">
        <v>209</v>
      </c>
      <c r="C890" s="19" t="n">
        <f aca="false">C882+C884</f>
        <v>3241.242</v>
      </c>
      <c r="D890" s="19" t="n">
        <f aca="false">D882+D884</f>
        <v>5909.88955</v>
      </c>
      <c r="E890" s="19" t="n">
        <f aca="false">E882+E884</f>
        <v>8375.80494090538</v>
      </c>
      <c r="F890" s="19" t="n">
        <f aca="false">F882+F884</f>
        <v>9313.77862994757</v>
      </c>
      <c r="G890" s="19" t="n">
        <f aca="false">G882+G884</f>
        <v>9579.33754882162</v>
      </c>
      <c r="H890" s="4" t="s">
        <v>468</v>
      </c>
    </row>
    <row r="891" customFormat="false" ht="17.15" hidden="false" customHeight="false" outlineLevel="0" collapsed="false">
      <c r="A891" s="4" t="s">
        <v>469</v>
      </c>
      <c r="B891" s="0" t="s">
        <v>209</v>
      </c>
      <c r="C891" s="23" t="n">
        <f aca="false">C890+C885+C886+C887-a25_rev</f>
        <v>0</v>
      </c>
      <c r="D891" s="23" t="n">
        <f aca="false">D890+D885+D886+D887-a26_rev</f>
        <v>0</v>
      </c>
      <c r="E891" s="23" t="n">
        <f aca="false">E890+E885+E886+E887-E889</f>
        <v>0</v>
      </c>
      <c r="F891" s="23" t="n">
        <f aca="false">F890+F885+F886+F887-F889</f>
        <v>0</v>
      </c>
      <c r="G891" s="23" t="n">
        <f aca="false">G890+G885+G886+G887-G889</f>
        <v>0</v>
      </c>
    </row>
    <row r="892" customFormat="false" ht="15" hidden="false" customHeight="false" outlineLevel="0" collapsed="false">
      <c r="A892" s="4" t="s">
        <v>470</v>
      </c>
      <c r="B892" s="0" t="s">
        <v>52</v>
      </c>
      <c r="D892" s="15" t="n">
        <f aca="false">D889/C889-1</f>
        <v>0.376106443147411</v>
      </c>
      <c r="E892" s="15" t="n">
        <f aca="false">E889/D889-1</f>
        <v>0.231743753385349</v>
      </c>
      <c r="F892" s="15" t="n">
        <f aca="false">F889/E889-1</f>
        <v>0.0759392167229256</v>
      </c>
      <c r="G892" s="15" t="n">
        <f aca="false">G889/F889-1</f>
        <v>0.0248860153586801</v>
      </c>
    </row>
    <row r="893" customFormat="false" ht="17.15" hidden="false" customHeight="false" outlineLevel="0" collapsed="false">
      <c r="A893" s="0" t="s">
        <v>471</v>
      </c>
      <c r="B893" s="0" t="s">
        <v>52</v>
      </c>
      <c r="C893" s="15" t="n">
        <f aca="false">C882/C889</f>
        <v>0.2</v>
      </c>
      <c r="D893" s="15" t="n">
        <f aca="false">D882/D889</f>
        <v>0.318</v>
      </c>
      <c r="E893" s="15" t="n">
        <f aca="false">E882/E889</f>
        <v>0.417054076364078</v>
      </c>
      <c r="F893" s="15" t="n">
        <f aca="false">F882/F889</f>
        <v>0.436757208841491</v>
      </c>
      <c r="G893" s="15" t="n">
        <f aca="false">G882/G889</f>
        <v>0.43235789947076</v>
      </c>
    </row>
    <row r="894" customFormat="false" ht="17.15" hidden="false" customHeight="false" outlineLevel="0" collapsed="false">
      <c r="A894" s="4" t="s">
        <v>472</v>
      </c>
      <c r="B894" s="0" t="s">
        <v>52</v>
      </c>
      <c r="C894" s="15" t="n">
        <f aca="false">(C882+C884)/C889</f>
        <v>0.4</v>
      </c>
      <c r="D894" s="15" t="n">
        <f aca="false">(D882+D884)/D889</f>
        <v>0.53</v>
      </c>
      <c r="E894" s="15" t="n">
        <f aca="false">(E882+E884)/E889</f>
        <v>0.609821443235162</v>
      </c>
      <c r="F894" s="15" t="n">
        <f aca="false">(F882+F884)/F889</f>
        <v>0.630252113558198</v>
      </c>
      <c r="G894" s="15" t="n">
        <f aca="false">(G882+G884)/G889</f>
        <v>0.632482202003983</v>
      </c>
    </row>
    <row r="895" customFormat="false" ht="17.15" hidden="false" customHeight="false" outlineLevel="0" collapsed="false">
      <c r="A895" s="4" t="s">
        <v>418</v>
      </c>
      <c r="B895" s="0" t="s">
        <v>405</v>
      </c>
      <c r="D895" s="16" t="n">
        <f aca="false">D882/fx/D873</f>
        <v>4.7355819103481</v>
      </c>
      <c r="E895" s="16" t="n">
        <f aca="false">E882/fx/E873</f>
        <v>4.29818371613545</v>
      </c>
      <c r="F895" s="16" t="n">
        <f aca="false">F882/fx/F873</f>
        <v>3.82060774767595</v>
      </c>
      <c r="G895" s="16" t="n">
        <f aca="false">G882/fx/G873</f>
        <v>3.4027287752739</v>
      </c>
    </row>
    <row r="896" customFormat="false" ht="17.15" hidden="false" customHeight="false" outlineLevel="0" collapsed="false">
      <c r="A896" s="4" t="s">
        <v>473</v>
      </c>
      <c r="B896" s="4" t="s">
        <v>416</v>
      </c>
      <c r="D896" s="19" t="n">
        <f aca="false">D880/fx/(odm_gb*(1-vr26)+odm_vr*vr26)</f>
        <v>24.0630682003257</v>
      </c>
      <c r="E896" s="19" t="n">
        <f aca="false">E880/fx/odm_vr</f>
        <v>29.4659178112417</v>
      </c>
      <c r="F896" s="19" t="n">
        <f aca="false">F880/fx/odm_vr</f>
        <v>37.3514911462707</v>
      </c>
      <c r="G896" s="19" t="n">
        <f aca="false">G880/fx/odm_vr</f>
        <v>40.4217909343043</v>
      </c>
      <c r="H896" s="4" t="s">
        <v>474</v>
      </c>
    </row>
    <row r="897" customFormat="false" ht="17.15" hidden="false" customHeight="false" outlineLevel="0" collapsed="false">
      <c r="A897" s="6" t="s">
        <v>475</v>
      </c>
    </row>
    <row r="898" customFormat="false" ht="17.15" hidden="false" customHeight="false" outlineLevel="0" collapsed="false">
      <c r="A898" s="4" t="s">
        <v>476</v>
      </c>
      <c r="B898" s="0" t="s">
        <v>52</v>
      </c>
      <c r="D898" s="14" t="n">
        <f aca="false">a26_gp/D889-d_ai*D893</f>
        <v>0.0621989258510762</v>
      </c>
      <c r="H898" s="8" t="s">
        <v>477</v>
      </c>
    </row>
    <row r="899" customFormat="false" ht="17.15" hidden="false" customHeight="false" outlineLevel="0" collapsed="false">
      <c r="A899" s="0" t="s">
        <v>478</v>
      </c>
      <c r="B899" s="0" t="s">
        <v>209</v>
      </c>
      <c r="D899" s="22" t="n">
        <f aca="false">($D$898+d_ai)*D880*(1-D881*(1-keep))</f>
        <v>202.8236004951</v>
      </c>
      <c r="E899" s="22" t="n">
        <f aca="false">($D$898+d_ai+vrd)*E880*(1-E881*(1-keep))</f>
        <v>347.807982730896</v>
      </c>
      <c r="F899" s="22" t="n">
        <f aca="false">($D$898+d_ai+vrd)*F880*(1-F881*(1-keep))</f>
        <v>436.433820423679</v>
      </c>
      <c r="G899" s="22" t="n">
        <f aca="false">($D$898+d_ai+vrd)*G880*(1-G881*(1-keep))</f>
        <v>469.899026179908</v>
      </c>
      <c r="H899" s="4" t="s">
        <v>479</v>
      </c>
    </row>
    <row r="900" customFormat="false" ht="15" hidden="false" customHeight="false" outlineLevel="0" collapsed="false">
      <c r="A900" s="4" t="s">
        <v>357</v>
      </c>
      <c r="B900" s="0" t="s">
        <v>209</v>
      </c>
      <c r="C900" s="19" t="n">
        <f aca="false">a25_gp</f>
        <v>498.161</v>
      </c>
      <c r="D900" s="19" t="n">
        <f aca="false">a26_gp</f>
        <v>675.8340708</v>
      </c>
      <c r="E900" s="19" t="n">
        <f aca="false">$D$898*E888+E899</f>
        <v>845.814490205574</v>
      </c>
      <c r="F900" s="19" t="n">
        <f aca="false">$D$898*F888+F899</f>
        <v>954.148080267577</v>
      </c>
      <c r="G900" s="19" t="n">
        <f aca="false">$D$898*G888+G899</f>
        <v>1004.64146320842</v>
      </c>
    </row>
    <row r="901" customFormat="false" ht="15" hidden="false" customHeight="false" outlineLevel="0" collapsed="false">
      <c r="A901" s="4" t="s">
        <v>360</v>
      </c>
      <c r="B901" s="0" t="s">
        <v>52</v>
      </c>
      <c r="C901" s="14" t="n">
        <f aca="false">C900/C889</f>
        <v>0.0614777915379352</v>
      </c>
      <c r="D901" s="14" t="n">
        <f aca="false">D900/D889</f>
        <v>0.0606089258510762</v>
      </c>
      <c r="E901" s="14" t="n">
        <f aca="false">E900/E889</f>
        <v>0.0615816410202386</v>
      </c>
      <c r="F901" s="14" t="n">
        <f aca="false">F900/F889</f>
        <v>0.0645660443659828</v>
      </c>
      <c r="G901" s="14" t="n">
        <f aca="false">G900/G889</f>
        <v>0.0663321280449849</v>
      </c>
    </row>
    <row r="902" customFormat="false" ht="17.15" hidden="false" customHeight="false" outlineLevel="0" collapsed="false">
      <c r="A902" s="0" t="s">
        <v>480</v>
      </c>
      <c r="B902" s="0" t="s">
        <v>52</v>
      </c>
      <c r="D902" s="14" t="n">
        <f aca="false">D899/D882</f>
        <v>0.0571989258510762</v>
      </c>
      <c r="E902" s="14" t="n">
        <f aca="false">E899/E882</f>
        <v>0.0607188184361838</v>
      </c>
      <c r="F902" s="14" t="n">
        <f aca="false">F899/F882</f>
        <v>0.0676186841675683</v>
      </c>
      <c r="G902" s="14" t="n">
        <f aca="false">G899/G882</f>
        <v>0.0717586036063991</v>
      </c>
      <c r="H902" s="4" t="s">
        <v>481</v>
      </c>
    </row>
    <row r="903" customFormat="false" ht="15" hidden="false" customHeight="false" outlineLevel="0" collapsed="false">
      <c r="A903" s="4" t="s">
        <v>482</v>
      </c>
      <c r="B903" s="0" t="s">
        <v>209</v>
      </c>
      <c r="C903" s="19" t="n">
        <f aca="false">a25_opx</f>
        <v>238.938</v>
      </c>
      <c r="D903" s="19" t="n">
        <f aca="false">a26_opx</f>
        <v>254.8304233</v>
      </c>
      <c r="E903" s="19" t="n">
        <f aca="false">D903*(1+MAX(0,phi*E892))</f>
        <v>278.452566808928</v>
      </c>
      <c r="F903" s="19" t="n">
        <f aca="false">E903*(1+MAX(0,phi*F892))</f>
        <v>286.910754736111</v>
      </c>
      <c r="G903" s="19" t="n">
        <f aca="false">F903*(1+MAX(0,phi*G892))</f>
        <v>289.766780915684</v>
      </c>
    </row>
    <row r="904" customFormat="false" ht="15" hidden="false" customHeight="false" outlineLevel="0" collapsed="false">
      <c r="A904" s="4" t="s">
        <v>361</v>
      </c>
      <c r="B904" s="0" t="s">
        <v>209</v>
      </c>
      <c r="C904" s="19" t="n">
        <f aca="false">C903</f>
        <v>238.938</v>
      </c>
      <c r="D904" s="19" t="n">
        <f aca="false">D903</f>
        <v>254.8304233</v>
      </c>
      <c r="E904" s="19" t="n">
        <f aca="false">E903+opx_adj_hi*E889</f>
        <v>305.922263172738</v>
      </c>
      <c r="F904" s="19" t="n">
        <f aca="false">F903+opx_adj_hi*F889</f>
        <v>316.466478325406</v>
      </c>
      <c r="G904" s="19" t="n">
        <f aca="false">G903+opx_adj_hi*G889</f>
        <v>320.05802869616</v>
      </c>
    </row>
    <row r="905" customFormat="false" ht="15" hidden="false" customHeight="false" outlineLevel="0" collapsed="false">
      <c r="A905" s="4" t="s">
        <v>364</v>
      </c>
      <c r="B905" s="0" t="s">
        <v>209</v>
      </c>
      <c r="C905" s="19" t="n">
        <f aca="false">C900-C904</f>
        <v>259.223</v>
      </c>
      <c r="D905" s="19" t="n">
        <f aca="false">D900-D904</f>
        <v>421.0036475</v>
      </c>
      <c r="E905" s="19" t="n">
        <f aca="false">E900-E904</f>
        <v>539.892227032836</v>
      </c>
      <c r="F905" s="19" t="n">
        <f aca="false">F900-F904</f>
        <v>637.681601942171</v>
      </c>
      <c r="G905" s="19" t="n">
        <f aca="false">G900-G904</f>
        <v>684.583434512265</v>
      </c>
    </row>
    <row r="906" customFormat="false" ht="15" hidden="false" customHeight="false" outlineLevel="0" collapsed="false">
      <c r="A906" s="4" t="s">
        <v>367</v>
      </c>
      <c r="B906" s="0" t="s">
        <v>52</v>
      </c>
      <c r="C906" s="14" t="n">
        <f aca="false">C905/C889</f>
        <v>0.0319905764518663</v>
      </c>
      <c r="D906" s="14" t="n">
        <f aca="false">D905/D889</f>
        <v>0.0377556858359561</v>
      </c>
      <c r="E906" s="14" t="n">
        <f aca="false">E905/E889</f>
        <v>0.0393082049311694</v>
      </c>
      <c r="F906" s="14" t="n">
        <f aca="false">F905/F889</f>
        <v>0.0431511412681592</v>
      </c>
      <c r="G906" s="14" t="n">
        <f aca="false">G905/G889</f>
        <v>0.0452000815201496</v>
      </c>
    </row>
    <row r="907" customFormat="false" ht="17.15" hidden="false" customHeight="false" outlineLevel="0" collapsed="false">
      <c r="A907" s="4" t="s">
        <v>243</v>
      </c>
      <c r="B907" s="0" t="s">
        <v>52</v>
      </c>
      <c r="C907" s="15" t="n">
        <f aca="false">a25_ni/a25_oi</f>
        <v>0.730467589681471</v>
      </c>
      <c r="D907" s="15" t="n">
        <f aca="false">a26_ni/a26_oi</f>
        <v>0.653811645064191</v>
      </c>
      <c r="E907" s="15" t="n">
        <f aca="false">nio_f</f>
        <v>0.66</v>
      </c>
      <c r="F907" s="15" t="n">
        <f aca="false">nio_f</f>
        <v>0.66</v>
      </c>
      <c r="G907" s="15" t="n">
        <f aca="false">nio_f</f>
        <v>0.66</v>
      </c>
    </row>
    <row r="908" customFormat="false" ht="15" hidden="false" customHeight="false" outlineLevel="0" collapsed="false">
      <c r="A908" s="4" t="s">
        <v>368</v>
      </c>
      <c r="B908" s="0" t="s">
        <v>209</v>
      </c>
      <c r="C908" s="19" t="n">
        <f aca="false">a25_ni</f>
        <v>189.354</v>
      </c>
      <c r="D908" s="19" t="n">
        <f aca="false">a26_ni</f>
        <v>275.25708735</v>
      </c>
      <c r="E908" s="19" t="n">
        <f aca="false">E905*E907</f>
        <v>356.328869841672</v>
      </c>
      <c r="F908" s="19" t="n">
        <f aca="false">F905*F907</f>
        <v>420.869857281833</v>
      </c>
      <c r="G908" s="19" t="n">
        <f aca="false">G905*G907</f>
        <v>451.825066778095</v>
      </c>
    </row>
    <row r="909" customFormat="false" ht="15" hidden="false" customHeight="false" outlineLevel="0" collapsed="false">
      <c r="A909" s="4" t="s">
        <v>483</v>
      </c>
      <c r="B909" s="4" t="s">
        <v>230</v>
      </c>
      <c r="C909" s="23" t="n">
        <f aca="false">a25_sh</f>
        <v>13.9128581925055</v>
      </c>
      <c r="D909" s="23" t="n">
        <f aca="false">a26_sh</f>
        <v>14.0169642857143</v>
      </c>
      <c r="E909" s="23" t="n">
        <f aca="false">D909*(1+sh_g)</f>
        <v>14.0169642857143</v>
      </c>
      <c r="F909" s="23" t="n">
        <f aca="false">E909*(1+sh_g)</f>
        <v>14.0169642857143</v>
      </c>
      <c r="G909" s="23" t="n">
        <f aca="false">F909*(1+sh_g)</f>
        <v>14.0169642857143</v>
      </c>
    </row>
    <row r="910" customFormat="false" ht="15" hidden="false" customHeight="false" outlineLevel="0" collapsed="false">
      <c r="A910" s="0" t="s">
        <v>374</v>
      </c>
      <c r="B910" s="0" t="s">
        <v>260</v>
      </c>
      <c r="C910" s="22" t="n">
        <f aca="false">C908/C909</f>
        <v>13.61</v>
      </c>
      <c r="D910" s="22" t="n">
        <f aca="false">D908/D909</f>
        <v>19.6374251756163</v>
      </c>
      <c r="E910" s="22" t="n">
        <f aca="false">E908/E909</f>
        <v>25.4212583108906</v>
      </c>
      <c r="F910" s="22" t="n">
        <f aca="false">F908/F909</f>
        <v>30.0257494207053</v>
      </c>
      <c r="G910" s="22" t="n">
        <f aca="false">G908/G909</f>
        <v>32.2341598058135</v>
      </c>
    </row>
    <row r="911" customFormat="false" ht="17.15" hidden="false" customHeight="false" outlineLevel="0" collapsed="false">
      <c r="A911" s="0" t="s">
        <v>484</v>
      </c>
      <c r="B911" s="0" t="s">
        <v>52</v>
      </c>
      <c r="D911" s="15" t="n">
        <f aca="false">D910/C910-1</f>
        <v>0.442867389832203</v>
      </c>
      <c r="E911" s="15" t="n">
        <f aca="false">E910/D910-1</f>
        <v>0.294531135500194</v>
      </c>
      <c r="F911" s="15" t="n">
        <f aca="false">F910/E910-1</f>
        <v>0.18112758438248</v>
      </c>
      <c r="G911" s="15" t="n">
        <f aca="false">G910/F910-1</f>
        <v>0.0735505500350755</v>
      </c>
    </row>
    <row r="914" customFormat="false" ht="17.15" hidden="false" customHeight="false" outlineLevel="0" collapsed="false">
      <c r="A914" s="1" t="s">
        <v>851</v>
      </c>
    </row>
    <row r="915" customFormat="false" ht="17.15" hidden="false" customHeight="false" outlineLevel="0" collapsed="false">
      <c r="A915" s="5" t="s">
        <v>21</v>
      </c>
      <c r="B915" s="5" t="s">
        <v>22</v>
      </c>
      <c r="C915" s="11" t="s">
        <v>347</v>
      </c>
      <c r="D915" s="11" t="s">
        <v>429</v>
      </c>
      <c r="E915" s="11" t="s">
        <v>430</v>
      </c>
      <c r="F915" s="11" t="s">
        <v>431</v>
      </c>
      <c r="G915" s="11" t="s">
        <v>432</v>
      </c>
      <c r="H915" s="5" t="s">
        <v>400</v>
      </c>
    </row>
    <row r="916" customFormat="false" ht="17.15" hidden="false" customHeight="false" outlineLevel="0" collapsed="false">
      <c r="A916" s="6" t="s">
        <v>450</v>
      </c>
    </row>
    <row r="917" customFormat="false" ht="17.15" hidden="false" customHeight="false" outlineLevel="0" collapsed="false">
      <c r="A917" s="0" t="s">
        <v>451</v>
      </c>
      <c r="B917" s="0" t="s">
        <v>32</v>
      </c>
      <c r="D917" s="22" t="n">
        <f aca="false">itc_26*1</f>
        <v>781.872916666666</v>
      </c>
      <c r="E917" s="22" t="n">
        <f aca="false">itc_27*1*1</f>
        <v>1565.35</v>
      </c>
      <c r="F917" s="22" t="n">
        <f aca="false">itc_28*um28_A*1</f>
        <v>1984.26388888889</v>
      </c>
      <c r="G917" s="22" t="n">
        <f aca="false">itc_29*um29_A*1</f>
        <v>2260.39027777778</v>
      </c>
    </row>
    <row r="918" customFormat="false" ht="17.15" hidden="false" customHeight="false" outlineLevel="0" collapsed="false">
      <c r="A918" s="4" t="s">
        <v>452</v>
      </c>
      <c r="B918" s="0" t="s">
        <v>32</v>
      </c>
      <c r="D918" s="22" t="n">
        <f aca="false">itpg_gb*(1-vr26)+itpg_vr*vr26</f>
        <v>33.41403216</v>
      </c>
      <c r="E918" s="22" t="n">
        <f aca="false">itpg_vr</f>
        <v>37.586352</v>
      </c>
      <c r="F918" s="22" t="n">
        <f aca="false">itpg_vr</f>
        <v>37.586352</v>
      </c>
      <c r="G918" s="22" t="n">
        <f aca="false">itpg_vr</f>
        <v>37.586352</v>
      </c>
    </row>
    <row r="919" customFormat="false" ht="17.15" hidden="false" customHeight="false" outlineLevel="0" collapsed="false">
      <c r="A919" s="4" t="s">
        <v>453</v>
      </c>
      <c r="B919" s="0" t="s">
        <v>402</v>
      </c>
      <c r="D919" s="18" t="n">
        <f aca="false">D917/D918</f>
        <v>23.3995380420639</v>
      </c>
      <c r="E919" s="18" t="n">
        <f aca="false">E917/E918</f>
        <v>41.6467658260637</v>
      </c>
      <c r="F919" s="18" t="n">
        <f aca="false">F917/F918</f>
        <v>52.792138191248</v>
      </c>
      <c r="G919" s="18" t="n">
        <f aca="false">G917/G918</f>
        <v>60.1385917361116</v>
      </c>
    </row>
    <row r="920" customFormat="false" ht="17.15" hidden="false" customHeight="false" outlineLevel="0" collapsed="false">
      <c r="A920" s="4" t="s">
        <v>404</v>
      </c>
      <c r="B920" s="0" t="s">
        <v>405</v>
      </c>
      <c r="D920" s="16" t="n">
        <f aca="false">(racks_gb*odm_gb*(1-vr26)+racks_vr*odm_vr*vr26)/1000</f>
        <v>27.1209</v>
      </c>
      <c r="E920" s="16" t="n">
        <f aca="false">racks_vr*odm_vr/1000</f>
        <v>27.351</v>
      </c>
      <c r="F920" s="16" t="n">
        <f aca="false">$E920*vpg_28</f>
        <v>27.351</v>
      </c>
      <c r="G920" s="16" t="n">
        <f aca="false">$E920*vpg_29</f>
        <v>27.351</v>
      </c>
      <c r="H920" s="4" t="s">
        <v>454</v>
      </c>
    </row>
    <row r="921" customFormat="false" ht="17.15" hidden="false" customHeight="false" outlineLevel="0" collapsed="false">
      <c r="A921" s="0" t="s">
        <v>455</v>
      </c>
      <c r="B921" s="0" t="s">
        <v>32</v>
      </c>
      <c r="D921" s="19" t="n">
        <f aca="false">D919*D920</f>
        <v>634.61653128501</v>
      </c>
      <c r="E921" s="19" t="n">
        <f aca="false">E919*E920</f>
        <v>1139.08069210867</v>
      </c>
      <c r="F921" s="19" t="n">
        <f aca="false">F919*F920</f>
        <v>1443.91777166882</v>
      </c>
      <c r="G921" s="19" t="n">
        <f aca="false">G919*G920</f>
        <v>1644.85062257439</v>
      </c>
    </row>
    <row r="922" customFormat="false" ht="17.15" hidden="false" customHeight="false" outlineLevel="0" collapsed="false">
      <c r="A922" s="0" t="s">
        <v>456</v>
      </c>
      <c r="B922" s="0" t="s">
        <v>209</v>
      </c>
      <c r="D922" s="19" t="n">
        <f aca="false">D921*fx</f>
        <v>20307.7290011203</v>
      </c>
      <c r="E922" s="19" t="n">
        <f aca="false">E921*fx</f>
        <v>36450.5821474774</v>
      </c>
      <c r="F922" s="19" t="n">
        <f aca="false">F921*fx</f>
        <v>46205.3686934024</v>
      </c>
      <c r="G922" s="19" t="n">
        <f aca="false">G921*fx</f>
        <v>52635.2199223804</v>
      </c>
    </row>
    <row r="923" customFormat="false" ht="17.15" hidden="false" customHeight="false" outlineLevel="0" collapsed="false">
      <c r="A923" s="4" t="s">
        <v>457</v>
      </c>
      <c r="B923" s="0" t="s">
        <v>52</v>
      </c>
      <c r="D923" s="15" t="n">
        <f aca="false">a26_ai/D922</f>
        <v>0.174610057569922</v>
      </c>
      <c r="H923" s="8" t="s">
        <v>458</v>
      </c>
    </row>
    <row r="924" customFormat="false" ht="17.15" hidden="false" customHeight="false" outlineLevel="0" collapsed="false">
      <c r="A924" s="4" t="s">
        <v>459</v>
      </c>
      <c r="B924" s="0" t="s">
        <v>71</v>
      </c>
      <c r="D924" s="16" t="n">
        <f aca="false">1</f>
        <v>1</v>
      </c>
      <c r="E924" s="16" t="n">
        <f aca="false">rel_27</f>
        <v>1</v>
      </c>
      <c r="F924" s="16" t="n">
        <f aca="false">rel_28</f>
        <v>1</v>
      </c>
      <c r="G924" s="16" t="n">
        <f aca="false">rel_29</f>
        <v>0.95</v>
      </c>
    </row>
    <row r="925" customFormat="false" ht="15" hidden="false" customHeight="false" outlineLevel="0" collapsed="false">
      <c r="A925" s="4" t="s">
        <v>460</v>
      </c>
      <c r="B925" s="0" t="s">
        <v>52</v>
      </c>
      <c r="D925" s="15" t="n">
        <f aca="false">$D$923*D924</f>
        <v>0.174610057569922</v>
      </c>
      <c r="E925" s="15" t="n">
        <f aca="false">$D$923*E924</f>
        <v>0.174610057569922</v>
      </c>
      <c r="F925" s="15" t="n">
        <f aca="false">$D$923*F924</f>
        <v>0.174610057569922</v>
      </c>
      <c r="G925" s="15" t="n">
        <f aca="false">$D$923*G924</f>
        <v>0.165879554691426</v>
      </c>
    </row>
    <row r="926" customFormat="false" ht="17.15" hidden="false" customHeight="false" outlineLevel="0" collapsed="false">
      <c r="A926" s="0" t="s">
        <v>461</v>
      </c>
      <c r="B926" s="0" t="s">
        <v>209</v>
      </c>
      <c r="D926" s="19" t="n">
        <f aca="false">D922*D925</f>
        <v>3545.93373</v>
      </c>
      <c r="E926" s="19" t="n">
        <f aca="false">E922*E925</f>
        <v>6364.6382472282</v>
      </c>
      <c r="F926" s="19" t="n">
        <f aca="false">F922*F925</f>
        <v>8067.92208759447</v>
      </c>
      <c r="G926" s="19" t="n">
        <f aca="false">G922*G925</f>
        <v>8731.10684180974</v>
      </c>
    </row>
    <row r="927" customFormat="false" ht="17.15" hidden="false" customHeight="false" outlineLevel="0" collapsed="false">
      <c r="A927" s="4" t="s">
        <v>462</v>
      </c>
      <c r="B927" s="0" t="s">
        <v>52</v>
      </c>
      <c r="D927" s="15" t="n">
        <f aca="false">0</f>
        <v>0</v>
      </c>
      <c r="E927" s="15" t="n">
        <f aca="false">cs_27</f>
        <v>0.1</v>
      </c>
      <c r="F927" s="15" t="n">
        <f aca="false">cs_28</f>
        <v>0.2</v>
      </c>
      <c r="G927" s="15" t="n">
        <f aca="false">cs_29</f>
        <v>0.25</v>
      </c>
      <c r="H927" s="8" t="s">
        <v>463</v>
      </c>
    </row>
    <row r="928" customFormat="false" ht="17.15" hidden="false" customHeight="false" outlineLevel="0" collapsed="false">
      <c r="A928" s="0" t="s">
        <v>464</v>
      </c>
      <c r="B928" s="0" t="s">
        <v>209</v>
      </c>
      <c r="C928" s="19" t="n">
        <f aca="false">a25_ai</f>
        <v>1620.621</v>
      </c>
      <c r="D928" s="19" t="n">
        <f aca="false">D926*(1-D927)</f>
        <v>3545.93373</v>
      </c>
      <c r="E928" s="19" t="n">
        <f aca="false">E926*(1-E927)</f>
        <v>5728.17442250538</v>
      </c>
      <c r="F928" s="19" t="n">
        <f aca="false">F926*(1-F927)</f>
        <v>6454.33767007557</v>
      </c>
      <c r="G928" s="19" t="n">
        <f aca="false">G926*(1-G927)</f>
        <v>6548.3301313573</v>
      </c>
    </row>
    <row r="929" customFormat="false" ht="17.15" hidden="false" customHeight="false" outlineLevel="0" collapsed="false">
      <c r="A929" s="6" t="s">
        <v>465</v>
      </c>
    </row>
    <row r="930" customFormat="false" ht="17.15" hidden="false" customHeight="false" outlineLevel="0" collapsed="false">
      <c r="A930" s="4" t="s">
        <v>382</v>
      </c>
      <c r="B930" s="0" t="s">
        <v>209</v>
      </c>
      <c r="C930" s="19" t="n">
        <f aca="false">a25_cn</f>
        <v>1620.621</v>
      </c>
      <c r="D930" s="19" t="n">
        <f aca="false">a26_cn</f>
        <v>2363.95582</v>
      </c>
      <c r="E930" s="19" t="n">
        <f aca="false">D930*(1+g_cn27)</f>
        <v>2647.6305184</v>
      </c>
      <c r="F930" s="19" t="n">
        <f aca="false">E930*(1+g_cn28)</f>
        <v>2859.440959872</v>
      </c>
      <c r="G930" s="19" t="n">
        <f aca="false">F930*(1+g_cn29)</f>
        <v>3031.00741746432</v>
      </c>
    </row>
    <row r="931" customFormat="false" ht="17.15" hidden="false" customHeight="false" outlineLevel="0" collapsed="false">
      <c r="A931" s="4" t="s">
        <v>383</v>
      </c>
      <c r="B931" s="0" t="s">
        <v>209</v>
      </c>
      <c r="C931" s="19" t="n">
        <f aca="false">a25_ce</f>
        <v>3079.1799</v>
      </c>
      <c r="D931" s="19" t="n">
        <f aca="false">a26_ce</f>
        <v>3345.2205</v>
      </c>
      <c r="E931" s="19" t="n">
        <f aca="false">D931*(1+g_ce27)</f>
        <v>3445.577115</v>
      </c>
      <c r="F931" s="19" t="n">
        <f aca="false">E931*(1+g_ce28)</f>
        <v>3514.4886573</v>
      </c>
      <c r="G931" s="19" t="n">
        <f aca="false">F931*(1+g_ce29)</f>
        <v>3584.778430446</v>
      </c>
    </row>
    <row r="932" customFormat="false" ht="15" hidden="false" customHeight="false" outlineLevel="0" collapsed="false">
      <c r="A932" s="4" t="s">
        <v>384</v>
      </c>
      <c r="B932" s="0" t="s">
        <v>209</v>
      </c>
      <c r="C932" s="19" t="n">
        <f aca="false">a25_pc</f>
        <v>1215.46575</v>
      </c>
      <c r="D932" s="19" t="n">
        <f aca="false">a26_pc</f>
        <v>1338.0882</v>
      </c>
      <c r="E932" s="19" t="n">
        <f aca="false">D932*(1+g_pc27)</f>
        <v>1311.326436</v>
      </c>
      <c r="F932" s="19" t="n">
        <f aca="false">E932*(1+g_pc28)</f>
        <v>1311.326436</v>
      </c>
      <c r="G932" s="19" t="n">
        <f aca="false">F932*(1+g_pc29)</f>
        <v>1311.326436</v>
      </c>
    </row>
    <row r="933" customFormat="false" ht="15" hidden="false" customHeight="false" outlineLevel="0" collapsed="false">
      <c r="A933" s="4" t="s">
        <v>466</v>
      </c>
      <c r="B933" s="0" t="s">
        <v>209</v>
      </c>
      <c r="C933" s="19" t="n">
        <f aca="false">a25_co</f>
        <v>567.217349999999</v>
      </c>
      <c r="D933" s="19" t="n">
        <f aca="false">a26_co</f>
        <v>557.53675</v>
      </c>
      <c r="E933" s="19" t="n">
        <f aca="false">D933*(1+g_co27)</f>
        <v>602.13969</v>
      </c>
      <c r="F933" s="19" t="n">
        <f aca="false">E933*(1+g_co28)</f>
        <v>638.2680714</v>
      </c>
      <c r="G933" s="19" t="n">
        <f aca="false">F933*(1+g_co29)</f>
        <v>670.18147497</v>
      </c>
    </row>
    <row r="934" customFormat="false" ht="17.15" hidden="false" customHeight="false" outlineLevel="0" collapsed="false">
      <c r="A934" s="4" t="s">
        <v>387</v>
      </c>
      <c r="B934" s="0" t="s">
        <v>209</v>
      </c>
      <c r="C934" s="19" t="n">
        <f aca="false">SUM(C930:C933)</f>
        <v>6482.484</v>
      </c>
      <c r="D934" s="19" t="n">
        <f aca="false">SUM(D930:D933)</f>
        <v>7604.80127</v>
      </c>
      <c r="E934" s="19" t="n">
        <f aca="false">SUM(E930:E933)</f>
        <v>8006.6737594</v>
      </c>
      <c r="F934" s="19" t="n">
        <f aca="false">SUM(F930:F933)</f>
        <v>8323.524124572</v>
      </c>
      <c r="G934" s="19" t="n">
        <f aca="false">SUM(G930:G933)</f>
        <v>8597.29375888032</v>
      </c>
    </row>
    <row r="935" customFormat="false" ht="15" hidden="false" customHeight="false" outlineLevel="0" collapsed="false">
      <c r="A935" s="4" t="s">
        <v>353</v>
      </c>
      <c r="B935" s="0" t="s">
        <v>209</v>
      </c>
      <c r="C935" s="19" t="n">
        <f aca="false">C928+C934</f>
        <v>8103.105</v>
      </c>
      <c r="D935" s="19" t="n">
        <f aca="false">D928+D934</f>
        <v>11150.735</v>
      </c>
      <c r="E935" s="19" t="n">
        <f aca="false">E928+E934</f>
        <v>13734.8481819054</v>
      </c>
      <c r="F935" s="19" t="n">
        <f aca="false">F928+F934</f>
        <v>14777.8617946476</v>
      </c>
      <c r="G935" s="19" t="n">
        <f aca="false">G928+G934</f>
        <v>15145.6238902376</v>
      </c>
    </row>
    <row r="936" customFormat="false" ht="17.15" hidden="false" customHeight="false" outlineLevel="0" collapsed="false">
      <c r="A936" s="4" t="s">
        <v>467</v>
      </c>
      <c r="B936" s="0" t="s">
        <v>209</v>
      </c>
      <c r="C936" s="19" t="n">
        <f aca="false">C928+C930</f>
        <v>3241.242</v>
      </c>
      <c r="D936" s="19" t="n">
        <f aca="false">D928+D930</f>
        <v>5909.88955</v>
      </c>
      <c r="E936" s="19" t="n">
        <f aca="false">E928+E930</f>
        <v>8375.80494090538</v>
      </c>
      <c r="F936" s="19" t="n">
        <f aca="false">F928+F930</f>
        <v>9313.77862994757</v>
      </c>
      <c r="G936" s="19" t="n">
        <f aca="false">G928+G930</f>
        <v>9579.33754882162</v>
      </c>
      <c r="H936" s="4" t="s">
        <v>468</v>
      </c>
    </row>
    <row r="937" customFormat="false" ht="17.15" hidden="false" customHeight="false" outlineLevel="0" collapsed="false">
      <c r="A937" s="4" t="s">
        <v>469</v>
      </c>
      <c r="B937" s="0" t="s">
        <v>209</v>
      </c>
      <c r="C937" s="23" t="n">
        <f aca="false">C936+C931+C932+C933-a25_rev</f>
        <v>0</v>
      </c>
      <c r="D937" s="23" t="n">
        <f aca="false">D936+D931+D932+D933-a26_rev</f>
        <v>0</v>
      </c>
      <c r="E937" s="23" t="n">
        <f aca="false">E936+E931+E932+E933-E935</f>
        <v>0</v>
      </c>
      <c r="F937" s="23" t="n">
        <f aca="false">F936+F931+F932+F933-F935</f>
        <v>0</v>
      </c>
      <c r="G937" s="23" t="n">
        <f aca="false">G936+G931+G932+G933-G935</f>
        <v>0</v>
      </c>
    </row>
    <row r="938" customFormat="false" ht="15" hidden="false" customHeight="false" outlineLevel="0" collapsed="false">
      <c r="A938" s="4" t="s">
        <v>470</v>
      </c>
      <c r="B938" s="0" t="s">
        <v>52</v>
      </c>
      <c r="D938" s="15" t="n">
        <f aca="false">D935/C935-1</f>
        <v>0.376106443147411</v>
      </c>
      <c r="E938" s="15" t="n">
        <f aca="false">E935/D935-1</f>
        <v>0.231743753385349</v>
      </c>
      <c r="F938" s="15" t="n">
        <f aca="false">F935/E935-1</f>
        <v>0.0759392167229256</v>
      </c>
      <c r="G938" s="15" t="n">
        <f aca="false">G935/F935-1</f>
        <v>0.0248860153586801</v>
      </c>
    </row>
    <row r="939" customFormat="false" ht="17.15" hidden="false" customHeight="false" outlineLevel="0" collapsed="false">
      <c r="A939" s="0" t="s">
        <v>471</v>
      </c>
      <c r="B939" s="0" t="s">
        <v>52</v>
      </c>
      <c r="C939" s="15" t="n">
        <f aca="false">C928/C935</f>
        <v>0.2</v>
      </c>
      <c r="D939" s="15" t="n">
        <f aca="false">D928/D935</f>
        <v>0.318</v>
      </c>
      <c r="E939" s="15" t="n">
        <f aca="false">E928/E935</f>
        <v>0.417054076364078</v>
      </c>
      <c r="F939" s="15" t="n">
        <f aca="false">F928/F935</f>
        <v>0.436757208841491</v>
      </c>
      <c r="G939" s="15" t="n">
        <f aca="false">G928/G935</f>
        <v>0.43235789947076</v>
      </c>
    </row>
    <row r="940" customFormat="false" ht="17.15" hidden="false" customHeight="false" outlineLevel="0" collapsed="false">
      <c r="A940" s="4" t="s">
        <v>472</v>
      </c>
      <c r="B940" s="0" t="s">
        <v>52</v>
      </c>
      <c r="C940" s="15" t="n">
        <f aca="false">(C928+C930)/C935</f>
        <v>0.4</v>
      </c>
      <c r="D940" s="15" t="n">
        <f aca="false">(D928+D930)/D935</f>
        <v>0.53</v>
      </c>
      <c r="E940" s="15" t="n">
        <f aca="false">(E928+E930)/E935</f>
        <v>0.609821443235162</v>
      </c>
      <c r="F940" s="15" t="n">
        <f aca="false">(F928+F930)/F935</f>
        <v>0.630252113558198</v>
      </c>
      <c r="G940" s="15" t="n">
        <f aca="false">(G928+G930)/G935</f>
        <v>0.632482202003983</v>
      </c>
    </row>
    <row r="941" customFormat="false" ht="17.15" hidden="false" customHeight="false" outlineLevel="0" collapsed="false">
      <c r="A941" s="4" t="s">
        <v>418</v>
      </c>
      <c r="B941" s="0" t="s">
        <v>405</v>
      </c>
      <c r="D941" s="16" t="n">
        <f aca="false">D928/fx/D919</f>
        <v>4.7355819103481</v>
      </c>
      <c r="E941" s="16" t="n">
        <f aca="false">E928/fx/E919</f>
        <v>4.29818371613545</v>
      </c>
      <c r="F941" s="16" t="n">
        <f aca="false">F928/fx/F919</f>
        <v>3.82060774767595</v>
      </c>
      <c r="G941" s="16" t="n">
        <f aca="false">G928/fx/G919</f>
        <v>3.4027287752739</v>
      </c>
    </row>
    <row r="942" customFormat="false" ht="17.15" hidden="false" customHeight="false" outlineLevel="0" collapsed="false">
      <c r="A942" s="4" t="s">
        <v>473</v>
      </c>
      <c r="B942" s="4" t="s">
        <v>416</v>
      </c>
      <c r="D942" s="19" t="n">
        <f aca="false">D926/fx/(odm_gb*(1-vr26)+odm_vr*vr26)</f>
        <v>24.0630682003257</v>
      </c>
      <c r="E942" s="19" t="n">
        <f aca="false">E926/fx/odm_vr</f>
        <v>29.4659178112417</v>
      </c>
      <c r="F942" s="19" t="n">
        <f aca="false">F926/fx/odm_vr</f>
        <v>37.3514911462707</v>
      </c>
      <c r="G942" s="19" t="n">
        <f aca="false">G926/fx/odm_vr</f>
        <v>40.4217909343043</v>
      </c>
      <c r="H942" s="4" t="s">
        <v>474</v>
      </c>
    </row>
    <row r="943" customFormat="false" ht="17.15" hidden="false" customHeight="false" outlineLevel="0" collapsed="false">
      <c r="A943" s="6" t="s">
        <v>475</v>
      </c>
    </row>
    <row r="944" customFormat="false" ht="17.15" hidden="false" customHeight="false" outlineLevel="0" collapsed="false">
      <c r="A944" s="4" t="s">
        <v>476</v>
      </c>
      <c r="B944" s="0" t="s">
        <v>52</v>
      </c>
      <c r="D944" s="14" t="n">
        <f aca="false">a26_gp/D935-d_ai*D939</f>
        <v>0.0621989258510762</v>
      </c>
      <c r="H944" s="8" t="s">
        <v>477</v>
      </c>
    </row>
    <row r="945" customFormat="false" ht="17.15" hidden="false" customHeight="false" outlineLevel="0" collapsed="false">
      <c r="A945" s="0" t="s">
        <v>478</v>
      </c>
      <c r="B945" s="0" t="s">
        <v>209</v>
      </c>
      <c r="D945" s="22" t="n">
        <f aca="false">($D$944+d_ai)*D926*(1-D927*(1-keep))</f>
        <v>202.8236004951</v>
      </c>
      <c r="E945" s="22" t="n">
        <f aca="false">($D$944+d_ai+vrd)*E926*(1-E927*(1-keep))</f>
        <v>347.807982730896</v>
      </c>
      <c r="F945" s="22" t="n">
        <f aca="false">($D$944+d_ai+vrd)*F926*(1-F927*(1-keep))</f>
        <v>436.433820423679</v>
      </c>
      <c r="G945" s="22" t="n">
        <f aca="false">($D$944+d_ai+vrd)*G926*(1-G927*(1-keep))</f>
        <v>469.899026179908</v>
      </c>
      <c r="H945" s="4" t="s">
        <v>479</v>
      </c>
    </row>
    <row r="946" customFormat="false" ht="15" hidden="false" customHeight="false" outlineLevel="0" collapsed="false">
      <c r="A946" s="4" t="s">
        <v>357</v>
      </c>
      <c r="B946" s="0" t="s">
        <v>209</v>
      </c>
      <c r="C946" s="19" t="n">
        <f aca="false">a25_gp</f>
        <v>498.161</v>
      </c>
      <c r="D946" s="19" t="n">
        <f aca="false">a26_gp</f>
        <v>675.8340708</v>
      </c>
      <c r="E946" s="19" t="n">
        <f aca="false">$D$944*E934+E945</f>
        <v>845.814490205574</v>
      </c>
      <c r="F946" s="19" t="n">
        <f aca="false">$D$944*F934+F945</f>
        <v>954.148080267577</v>
      </c>
      <c r="G946" s="19" t="n">
        <f aca="false">$D$944*G934+G945</f>
        <v>1004.64146320842</v>
      </c>
    </row>
    <row r="947" customFormat="false" ht="15" hidden="false" customHeight="false" outlineLevel="0" collapsed="false">
      <c r="A947" s="4" t="s">
        <v>360</v>
      </c>
      <c r="B947" s="0" t="s">
        <v>52</v>
      </c>
      <c r="C947" s="14" t="n">
        <f aca="false">C946/C935</f>
        <v>0.0614777915379352</v>
      </c>
      <c r="D947" s="14" t="n">
        <f aca="false">D946/D935</f>
        <v>0.0606089258510762</v>
      </c>
      <c r="E947" s="14" t="n">
        <f aca="false">E946/E935</f>
        <v>0.0615816410202386</v>
      </c>
      <c r="F947" s="14" t="n">
        <f aca="false">F946/F935</f>
        <v>0.0645660443659828</v>
      </c>
      <c r="G947" s="14" t="n">
        <f aca="false">G946/G935</f>
        <v>0.0663321280449849</v>
      </c>
    </row>
    <row r="948" customFormat="false" ht="17.15" hidden="false" customHeight="false" outlineLevel="0" collapsed="false">
      <c r="A948" s="0" t="s">
        <v>480</v>
      </c>
      <c r="B948" s="0" t="s">
        <v>52</v>
      </c>
      <c r="D948" s="14" t="n">
        <f aca="false">D945/D928</f>
        <v>0.0571989258510762</v>
      </c>
      <c r="E948" s="14" t="n">
        <f aca="false">E945/E928</f>
        <v>0.0607188184361838</v>
      </c>
      <c r="F948" s="14" t="n">
        <f aca="false">F945/F928</f>
        <v>0.0676186841675683</v>
      </c>
      <c r="G948" s="14" t="n">
        <f aca="false">G945/G928</f>
        <v>0.0717586036063991</v>
      </c>
      <c r="H948" s="4" t="s">
        <v>481</v>
      </c>
    </row>
    <row r="949" customFormat="false" ht="15" hidden="false" customHeight="false" outlineLevel="0" collapsed="false">
      <c r="A949" s="4" t="s">
        <v>482</v>
      </c>
      <c r="B949" s="0" t="s">
        <v>209</v>
      </c>
      <c r="C949" s="19" t="n">
        <f aca="false">a25_opx</f>
        <v>238.938</v>
      </c>
      <c r="D949" s="19" t="n">
        <f aca="false">a26_opx</f>
        <v>254.8304233</v>
      </c>
      <c r="E949" s="19" t="n">
        <f aca="false">D949*(1+MAX(0,phi*E938))</f>
        <v>278.452566808928</v>
      </c>
      <c r="F949" s="19" t="n">
        <f aca="false">E949*(1+MAX(0,phi*F938))</f>
        <v>286.910754736111</v>
      </c>
      <c r="G949" s="19" t="n">
        <f aca="false">F949*(1+MAX(0,phi*G938))</f>
        <v>289.766780915684</v>
      </c>
    </row>
    <row r="950" customFormat="false" ht="15" hidden="false" customHeight="false" outlineLevel="0" collapsed="false">
      <c r="A950" s="4" t="s">
        <v>361</v>
      </c>
      <c r="B950" s="0" t="s">
        <v>209</v>
      </c>
      <c r="C950" s="19" t="n">
        <f aca="false">C949</f>
        <v>238.938</v>
      </c>
      <c r="D950" s="19" t="n">
        <f aca="false">D949</f>
        <v>254.8304233</v>
      </c>
      <c r="E950" s="19" t="n">
        <f aca="false">E949+0*E935</f>
        <v>278.452566808928</v>
      </c>
      <c r="F950" s="19" t="n">
        <f aca="false">F949+0*F935</f>
        <v>286.910754736111</v>
      </c>
      <c r="G950" s="19" t="n">
        <f aca="false">G949+0*G935</f>
        <v>289.766780915684</v>
      </c>
    </row>
    <row r="951" customFormat="false" ht="15" hidden="false" customHeight="false" outlineLevel="0" collapsed="false">
      <c r="A951" s="4" t="s">
        <v>364</v>
      </c>
      <c r="B951" s="0" t="s">
        <v>209</v>
      </c>
      <c r="C951" s="19" t="n">
        <f aca="false">C946-C950</f>
        <v>259.223</v>
      </c>
      <c r="D951" s="19" t="n">
        <f aca="false">D946-D950</f>
        <v>421.0036475</v>
      </c>
      <c r="E951" s="19" t="n">
        <f aca="false">E946-E950</f>
        <v>567.361923396647</v>
      </c>
      <c r="F951" s="19" t="n">
        <f aca="false">F946-F950</f>
        <v>667.237325531466</v>
      </c>
      <c r="G951" s="19" t="n">
        <f aca="false">G946-G950</f>
        <v>714.874682292741</v>
      </c>
    </row>
    <row r="952" customFormat="false" ht="15" hidden="false" customHeight="false" outlineLevel="0" collapsed="false">
      <c r="A952" s="4" t="s">
        <v>367</v>
      </c>
      <c r="B952" s="0" t="s">
        <v>52</v>
      </c>
      <c r="C952" s="14" t="n">
        <f aca="false">C951/C935</f>
        <v>0.0319905764518663</v>
      </c>
      <c r="D952" s="14" t="n">
        <f aca="false">D951/D935</f>
        <v>0.0377556858359561</v>
      </c>
      <c r="E952" s="14" t="n">
        <f aca="false">E951/E935</f>
        <v>0.0413082049311694</v>
      </c>
      <c r="F952" s="14" t="n">
        <f aca="false">F951/F935</f>
        <v>0.0451511412681592</v>
      </c>
      <c r="G952" s="14" t="n">
        <f aca="false">G951/G935</f>
        <v>0.0472000815201496</v>
      </c>
    </row>
    <row r="953" customFormat="false" ht="17.15" hidden="false" customHeight="false" outlineLevel="0" collapsed="false">
      <c r="A953" s="4" t="s">
        <v>243</v>
      </c>
      <c r="B953" s="0" t="s">
        <v>52</v>
      </c>
      <c r="C953" s="15" t="n">
        <f aca="false">a25_ni/a25_oi</f>
        <v>0.730467589681471</v>
      </c>
      <c r="D953" s="15" t="n">
        <f aca="false">a26_ni/a26_oi</f>
        <v>0.653811645064191</v>
      </c>
      <c r="E953" s="15" t="n">
        <f aca="false">nio_f_lo</f>
        <v>0.6</v>
      </c>
      <c r="F953" s="15" t="n">
        <f aca="false">nio_f_lo</f>
        <v>0.6</v>
      </c>
      <c r="G953" s="15" t="n">
        <f aca="false">nio_f_lo</f>
        <v>0.6</v>
      </c>
    </row>
    <row r="954" customFormat="false" ht="15" hidden="false" customHeight="false" outlineLevel="0" collapsed="false">
      <c r="A954" s="4" t="s">
        <v>368</v>
      </c>
      <c r="B954" s="0" t="s">
        <v>209</v>
      </c>
      <c r="C954" s="19" t="n">
        <f aca="false">a25_ni</f>
        <v>189.354</v>
      </c>
      <c r="D954" s="19" t="n">
        <f aca="false">a26_ni</f>
        <v>275.25708735</v>
      </c>
      <c r="E954" s="19" t="n">
        <f aca="false">E951*E953</f>
        <v>340.417154037988</v>
      </c>
      <c r="F954" s="19" t="n">
        <f aca="false">F951*F953</f>
        <v>400.342395318879</v>
      </c>
      <c r="G954" s="19" t="n">
        <f aca="false">G951*G953</f>
        <v>428.924809375644</v>
      </c>
    </row>
    <row r="955" customFormat="false" ht="15" hidden="false" customHeight="false" outlineLevel="0" collapsed="false">
      <c r="A955" s="4" t="s">
        <v>483</v>
      </c>
      <c r="B955" s="4" t="s">
        <v>230</v>
      </c>
      <c r="C955" s="23" t="n">
        <f aca="false">a25_sh</f>
        <v>13.9128581925055</v>
      </c>
      <c r="D955" s="23" t="n">
        <f aca="false">a26_sh</f>
        <v>14.0169642857143</v>
      </c>
      <c r="E955" s="23" t="n">
        <f aca="false">D955*(1+sh_g)</f>
        <v>14.0169642857143</v>
      </c>
      <c r="F955" s="23" t="n">
        <f aca="false">E955*(1+sh_g)</f>
        <v>14.0169642857143</v>
      </c>
      <c r="G955" s="23" t="n">
        <f aca="false">F955*(1+sh_g)</f>
        <v>14.0169642857143</v>
      </c>
    </row>
    <row r="956" customFormat="false" ht="15" hidden="false" customHeight="false" outlineLevel="0" collapsed="false">
      <c r="A956" s="0" t="s">
        <v>374</v>
      </c>
      <c r="B956" s="0" t="s">
        <v>260</v>
      </c>
      <c r="C956" s="22" t="n">
        <f aca="false">C954/C955</f>
        <v>13.61</v>
      </c>
      <c r="D956" s="22" t="n">
        <f aca="false">D954/D955</f>
        <v>19.6374251756163</v>
      </c>
      <c r="E956" s="22" t="n">
        <f aca="false">E954/E955</f>
        <v>24.2860827137108</v>
      </c>
      <c r="F956" s="22" t="n">
        <f aca="false">F954/F955</f>
        <v>28.5612766900532</v>
      </c>
      <c r="G956" s="22" t="n">
        <f aca="false">G954/G955</f>
        <v>30.6004068093969</v>
      </c>
    </row>
    <row r="957" customFormat="false" ht="17.15" hidden="false" customHeight="false" outlineLevel="0" collapsed="false">
      <c r="A957" s="0" t="s">
        <v>484</v>
      </c>
      <c r="B957" s="0" t="s">
        <v>52</v>
      </c>
      <c r="D957" s="15" t="n">
        <f aca="false">D956/C956-1</f>
        <v>0.442867389832203</v>
      </c>
      <c r="E957" s="15" t="n">
        <f aca="false">E956/D956-1</f>
        <v>0.236724392150289</v>
      </c>
      <c r="F957" s="15" t="n">
        <f aca="false">F956/E956-1</f>
        <v>0.176034728479647</v>
      </c>
      <c r="G957" s="15" t="n">
        <f aca="false">G956/F956-1</f>
        <v>0.0713949219242658</v>
      </c>
    </row>
    <row r="960" customFormat="false" ht="17.15" hidden="false" customHeight="false" outlineLevel="0" collapsed="false">
      <c r="A960" s="1" t="s">
        <v>852</v>
      </c>
    </row>
    <row r="961" customFormat="false" ht="17.15" hidden="false" customHeight="false" outlineLevel="0" collapsed="false">
      <c r="A961" s="5" t="s">
        <v>21</v>
      </c>
      <c r="B961" s="5" t="s">
        <v>22</v>
      </c>
      <c r="C961" s="11" t="s">
        <v>347</v>
      </c>
      <c r="D961" s="11" t="s">
        <v>429</v>
      </c>
      <c r="E961" s="11" t="s">
        <v>430</v>
      </c>
      <c r="F961" s="11" t="s">
        <v>431</v>
      </c>
      <c r="G961" s="11" t="s">
        <v>432</v>
      </c>
      <c r="H961" s="5" t="s">
        <v>400</v>
      </c>
    </row>
    <row r="962" customFormat="false" ht="17.15" hidden="false" customHeight="false" outlineLevel="0" collapsed="false">
      <c r="A962" s="6" t="s">
        <v>450</v>
      </c>
    </row>
    <row r="963" customFormat="false" ht="17.15" hidden="false" customHeight="false" outlineLevel="0" collapsed="false">
      <c r="A963" s="0" t="s">
        <v>451</v>
      </c>
      <c r="B963" s="0" t="s">
        <v>32</v>
      </c>
      <c r="D963" s="22" t="n">
        <f aca="false">itc_26*1</f>
        <v>781.872916666666</v>
      </c>
      <c r="E963" s="22" t="n">
        <f aca="false">itc_27*1*1</f>
        <v>1565.35</v>
      </c>
      <c r="F963" s="22" t="n">
        <f aca="false">itc_28*um28_A*1</f>
        <v>1984.26388888889</v>
      </c>
      <c r="G963" s="22" t="n">
        <f aca="false">itc_29*um29_A*1</f>
        <v>2260.39027777778</v>
      </c>
    </row>
    <row r="964" customFormat="false" ht="17.15" hidden="false" customHeight="false" outlineLevel="0" collapsed="false">
      <c r="A964" s="4" t="s">
        <v>452</v>
      </c>
      <c r="B964" s="0" t="s">
        <v>32</v>
      </c>
      <c r="D964" s="22" t="n">
        <f aca="false">itpg_gb*(1-vr26)+itpg_vr*vr26</f>
        <v>33.41403216</v>
      </c>
      <c r="E964" s="22" t="n">
        <f aca="false">itpg_vr</f>
        <v>37.586352</v>
      </c>
      <c r="F964" s="22" t="n">
        <f aca="false">itpg_vr</f>
        <v>37.586352</v>
      </c>
      <c r="G964" s="22" t="n">
        <f aca="false">itpg_vr</f>
        <v>37.586352</v>
      </c>
    </row>
    <row r="965" customFormat="false" ht="17.15" hidden="false" customHeight="false" outlineLevel="0" collapsed="false">
      <c r="A965" s="4" t="s">
        <v>453</v>
      </c>
      <c r="B965" s="0" t="s">
        <v>402</v>
      </c>
      <c r="D965" s="18" t="n">
        <f aca="false">D963/D964</f>
        <v>23.3995380420639</v>
      </c>
      <c r="E965" s="18" t="n">
        <f aca="false">E963/E964</f>
        <v>41.6467658260637</v>
      </c>
      <c r="F965" s="18" t="n">
        <f aca="false">F963/F964</f>
        <v>52.792138191248</v>
      </c>
      <c r="G965" s="18" t="n">
        <f aca="false">G963/G964</f>
        <v>60.1385917361116</v>
      </c>
    </row>
    <row r="966" customFormat="false" ht="17.15" hidden="false" customHeight="false" outlineLevel="0" collapsed="false">
      <c r="A966" s="4" t="s">
        <v>404</v>
      </c>
      <c r="B966" s="0" t="s">
        <v>405</v>
      </c>
      <c r="D966" s="16" t="n">
        <f aca="false">(racks_gb*odm_gb*(1-vr26)+racks_vr*odm_vr*vr26)/1000</f>
        <v>27.1209</v>
      </c>
      <c r="E966" s="16" t="n">
        <f aca="false">racks_vr*odm_vr/1000</f>
        <v>27.351</v>
      </c>
      <c r="F966" s="16" t="n">
        <f aca="false">$E966*vpg_28</f>
        <v>27.351</v>
      </c>
      <c r="G966" s="16" t="n">
        <f aca="false">$E966*vpg_29</f>
        <v>27.351</v>
      </c>
      <c r="H966" s="4" t="s">
        <v>454</v>
      </c>
    </row>
    <row r="967" customFormat="false" ht="17.15" hidden="false" customHeight="false" outlineLevel="0" collapsed="false">
      <c r="A967" s="0" t="s">
        <v>455</v>
      </c>
      <c r="B967" s="0" t="s">
        <v>32</v>
      </c>
      <c r="D967" s="19" t="n">
        <f aca="false">D965*D966</f>
        <v>634.61653128501</v>
      </c>
      <c r="E967" s="19" t="n">
        <f aca="false">E965*E966</f>
        <v>1139.08069210867</v>
      </c>
      <c r="F967" s="19" t="n">
        <f aca="false">F965*F966</f>
        <v>1443.91777166882</v>
      </c>
      <c r="G967" s="19" t="n">
        <f aca="false">G965*G966</f>
        <v>1644.85062257439</v>
      </c>
    </row>
    <row r="968" customFormat="false" ht="17.15" hidden="false" customHeight="false" outlineLevel="0" collapsed="false">
      <c r="A968" s="0" t="s">
        <v>456</v>
      </c>
      <c r="B968" s="0" t="s">
        <v>209</v>
      </c>
      <c r="D968" s="19" t="n">
        <f aca="false">D967*fx</f>
        <v>20307.7290011203</v>
      </c>
      <c r="E968" s="19" t="n">
        <f aca="false">E967*fx</f>
        <v>36450.5821474774</v>
      </c>
      <c r="F968" s="19" t="n">
        <f aca="false">F967*fx</f>
        <v>46205.3686934024</v>
      </c>
      <c r="G968" s="19" t="n">
        <f aca="false">G967*fx</f>
        <v>52635.2199223804</v>
      </c>
    </row>
    <row r="969" customFormat="false" ht="17.15" hidden="false" customHeight="false" outlineLevel="0" collapsed="false">
      <c r="A969" s="4" t="s">
        <v>457</v>
      </c>
      <c r="B969" s="0" t="s">
        <v>52</v>
      </c>
      <c r="D969" s="15" t="n">
        <f aca="false">a26_ai/D968</f>
        <v>0.174610057569922</v>
      </c>
      <c r="H969" s="8" t="s">
        <v>458</v>
      </c>
    </row>
    <row r="970" customFormat="false" ht="17.15" hidden="false" customHeight="false" outlineLevel="0" collapsed="false">
      <c r="A970" s="4" t="s">
        <v>459</v>
      </c>
      <c r="B970" s="0" t="s">
        <v>71</v>
      </c>
      <c r="D970" s="16" t="n">
        <f aca="false">1</f>
        <v>1</v>
      </c>
      <c r="E970" s="16" t="n">
        <f aca="false">rel_27</f>
        <v>1</v>
      </c>
      <c r="F970" s="16" t="n">
        <f aca="false">rel_28</f>
        <v>1</v>
      </c>
      <c r="G970" s="16" t="n">
        <f aca="false">rel_29</f>
        <v>0.95</v>
      </c>
    </row>
    <row r="971" customFormat="false" ht="15" hidden="false" customHeight="false" outlineLevel="0" collapsed="false">
      <c r="A971" s="4" t="s">
        <v>460</v>
      </c>
      <c r="B971" s="0" t="s">
        <v>52</v>
      </c>
      <c r="D971" s="15" t="n">
        <f aca="false">$D$969*D970</f>
        <v>0.174610057569922</v>
      </c>
      <c r="E971" s="15" t="n">
        <f aca="false">$D$969*E970</f>
        <v>0.174610057569922</v>
      </c>
      <c r="F971" s="15" t="n">
        <f aca="false">$D$969*F970</f>
        <v>0.174610057569922</v>
      </c>
      <c r="G971" s="15" t="n">
        <f aca="false">$D$969*G970</f>
        <v>0.165879554691426</v>
      </c>
    </row>
    <row r="972" customFormat="false" ht="17.15" hidden="false" customHeight="false" outlineLevel="0" collapsed="false">
      <c r="A972" s="0" t="s">
        <v>461</v>
      </c>
      <c r="B972" s="0" t="s">
        <v>209</v>
      </c>
      <c r="D972" s="19" t="n">
        <f aca="false">D968*D971</f>
        <v>3545.93373</v>
      </c>
      <c r="E972" s="19" t="n">
        <f aca="false">E968*E971</f>
        <v>6364.6382472282</v>
      </c>
      <c r="F972" s="19" t="n">
        <f aca="false">F968*F971</f>
        <v>8067.92208759447</v>
      </c>
      <c r="G972" s="19" t="n">
        <f aca="false">G968*G971</f>
        <v>8731.10684180974</v>
      </c>
    </row>
    <row r="973" customFormat="false" ht="17.15" hidden="false" customHeight="false" outlineLevel="0" collapsed="false">
      <c r="A973" s="4" t="s">
        <v>462</v>
      </c>
      <c r="B973" s="0" t="s">
        <v>52</v>
      </c>
      <c r="D973" s="15" t="n">
        <f aca="false">0</f>
        <v>0</v>
      </c>
      <c r="E973" s="15" t="n">
        <f aca="false">cs_27</f>
        <v>0.1</v>
      </c>
      <c r="F973" s="15" t="n">
        <f aca="false">cs_28</f>
        <v>0.2</v>
      </c>
      <c r="G973" s="15" t="n">
        <f aca="false">cs_29</f>
        <v>0.25</v>
      </c>
      <c r="H973" s="8" t="s">
        <v>463</v>
      </c>
    </row>
    <row r="974" customFormat="false" ht="17.15" hidden="false" customHeight="false" outlineLevel="0" collapsed="false">
      <c r="A974" s="0" t="s">
        <v>464</v>
      </c>
      <c r="B974" s="0" t="s">
        <v>209</v>
      </c>
      <c r="C974" s="19" t="n">
        <f aca="false">a25_ai</f>
        <v>1620.621</v>
      </c>
      <c r="D974" s="19" t="n">
        <f aca="false">D972*(1-D973)</f>
        <v>3545.93373</v>
      </c>
      <c r="E974" s="19" t="n">
        <f aca="false">E972*(1-E973)</f>
        <v>5728.17442250538</v>
      </c>
      <c r="F974" s="19" t="n">
        <f aca="false">F972*(1-F973)</f>
        <v>6454.33767007557</v>
      </c>
      <c r="G974" s="19" t="n">
        <f aca="false">G972*(1-G973)</f>
        <v>6548.3301313573</v>
      </c>
    </row>
    <row r="975" customFormat="false" ht="17.15" hidden="false" customHeight="false" outlineLevel="0" collapsed="false">
      <c r="A975" s="6" t="s">
        <v>465</v>
      </c>
    </row>
    <row r="976" customFormat="false" ht="17.15" hidden="false" customHeight="false" outlineLevel="0" collapsed="false">
      <c r="A976" s="4" t="s">
        <v>382</v>
      </c>
      <c r="B976" s="0" t="s">
        <v>209</v>
      </c>
      <c r="C976" s="19" t="n">
        <f aca="false">a25_cn</f>
        <v>1620.621</v>
      </c>
      <c r="D976" s="19" t="n">
        <f aca="false">a26_cn</f>
        <v>2363.95582</v>
      </c>
      <c r="E976" s="19" t="n">
        <f aca="false">D976*(1+g_cn27)</f>
        <v>2647.6305184</v>
      </c>
      <c r="F976" s="19" t="n">
        <f aca="false">E976*(1+g_cn28)</f>
        <v>2859.440959872</v>
      </c>
      <c r="G976" s="19" t="n">
        <f aca="false">F976*(1+g_cn29)</f>
        <v>3031.00741746432</v>
      </c>
    </row>
    <row r="977" customFormat="false" ht="17.15" hidden="false" customHeight="false" outlineLevel="0" collapsed="false">
      <c r="A977" s="4" t="s">
        <v>383</v>
      </c>
      <c r="B977" s="0" t="s">
        <v>209</v>
      </c>
      <c r="C977" s="19" t="n">
        <f aca="false">a25_ce</f>
        <v>3079.1799</v>
      </c>
      <c r="D977" s="19" t="n">
        <f aca="false">a26_ce</f>
        <v>3345.2205</v>
      </c>
      <c r="E977" s="19" t="n">
        <f aca="false">D977*(1+g_ce27)</f>
        <v>3445.577115</v>
      </c>
      <c r="F977" s="19" t="n">
        <f aca="false">E977*(1+g_ce28)</f>
        <v>3514.4886573</v>
      </c>
      <c r="G977" s="19" t="n">
        <f aca="false">F977*(1+g_ce29)</f>
        <v>3584.778430446</v>
      </c>
    </row>
    <row r="978" customFormat="false" ht="15" hidden="false" customHeight="false" outlineLevel="0" collapsed="false">
      <c r="A978" s="4" t="s">
        <v>384</v>
      </c>
      <c r="B978" s="0" t="s">
        <v>209</v>
      </c>
      <c r="C978" s="19" t="n">
        <f aca="false">a25_pc</f>
        <v>1215.46575</v>
      </c>
      <c r="D978" s="19" t="n">
        <f aca="false">a26_pc</f>
        <v>1338.0882</v>
      </c>
      <c r="E978" s="19" t="n">
        <f aca="false">D978*(1+g_pc27)</f>
        <v>1311.326436</v>
      </c>
      <c r="F978" s="19" t="n">
        <f aca="false">E978*(1+g_pc28)</f>
        <v>1311.326436</v>
      </c>
      <c r="G978" s="19" t="n">
        <f aca="false">F978*(1+g_pc29)</f>
        <v>1311.326436</v>
      </c>
    </row>
    <row r="979" customFormat="false" ht="15" hidden="false" customHeight="false" outlineLevel="0" collapsed="false">
      <c r="A979" s="4" t="s">
        <v>466</v>
      </c>
      <c r="B979" s="0" t="s">
        <v>209</v>
      </c>
      <c r="C979" s="19" t="n">
        <f aca="false">a25_co</f>
        <v>567.217349999999</v>
      </c>
      <c r="D979" s="19" t="n">
        <f aca="false">a26_co</f>
        <v>557.53675</v>
      </c>
      <c r="E979" s="19" t="n">
        <f aca="false">D979*(1+g_co27)</f>
        <v>602.13969</v>
      </c>
      <c r="F979" s="19" t="n">
        <f aca="false">E979*(1+g_co28)</f>
        <v>638.2680714</v>
      </c>
      <c r="G979" s="19" t="n">
        <f aca="false">F979*(1+g_co29)</f>
        <v>670.18147497</v>
      </c>
    </row>
    <row r="980" customFormat="false" ht="17.15" hidden="false" customHeight="false" outlineLevel="0" collapsed="false">
      <c r="A980" s="4" t="s">
        <v>387</v>
      </c>
      <c r="B980" s="0" t="s">
        <v>209</v>
      </c>
      <c r="C980" s="19" t="n">
        <f aca="false">SUM(C976:C979)</f>
        <v>6482.484</v>
      </c>
      <c r="D980" s="19" t="n">
        <f aca="false">SUM(D976:D979)</f>
        <v>7604.80127</v>
      </c>
      <c r="E980" s="19" t="n">
        <f aca="false">SUM(E976:E979)</f>
        <v>8006.6737594</v>
      </c>
      <c r="F980" s="19" t="n">
        <f aca="false">SUM(F976:F979)</f>
        <v>8323.524124572</v>
      </c>
      <c r="G980" s="19" t="n">
        <f aca="false">SUM(G976:G979)</f>
        <v>8597.29375888032</v>
      </c>
    </row>
    <row r="981" customFormat="false" ht="15" hidden="false" customHeight="false" outlineLevel="0" collapsed="false">
      <c r="A981" s="4" t="s">
        <v>353</v>
      </c>
      <c r="B981" s="0" t="s">
        <v>209</v>
      </c>
      <c r="C981" s="19" t="n">
        <f aca="false">C974+C980</f>
        <v>8103.105</v>
      </c>
      <c r="D981" s="19" t="n">
        <f aca="false">D974+D980</f>
        <v>11150.735</v>
      </c>
      <c r="E981" s="19" t="n">
        <f aca="false">E974+E980</f>
        <v>13734.8481819054</v>
      </c>
      <c r="F981" s="19" t="n">
        <f aca="false">F974+F980</f>
        <v>14777.8617946476</v>
      </c>
      <c r="G981" s="19" t="n">
        <f aca="false">G974+G980</f>
        <v>15145.6238902376</v>
      </c>
    </row>
    <row r="982" customFormat="false" ht="17.15" hidden="false" customHeight="false" outlineLevel="0" collapsed="false">
      <c r="A982" s="4" t="s">
        <v>467</v>
      </c>
      <c r="B982" s="0" t="s">
        <v>209</v>
      </c>
      <c r="C982" s="19" t="n">
        <f aca="false">C974+C976</f>
        <v>3241.242</v>
      </c>
      <c r="D982" s="19" t="n">
        <f aca="false">D974+D976</f>
        <v>5909.88955</v>
      </c>
      <c r="E982" s="19" t="n">
        <f aca="false">E974+E976</f>
        <v>8375.80494090538</v>
      </c>
      <c r="F982" s="19" t="n">
        <f aca="false">F974+F976</f>
        <v>9313.77862994757</v>
      </c>
      <c r="G982" s="19" t="n">
        <f aca="false">G974+G976</f>
        <v>9579.33754882162</v>
      </c>
      <c r="H982" s="4" t="s">
        <v>468</v>
      </c>
    </row>
    <row r="983" customFormat="false" ht="17.15" hidden="false" customHeight="false" outlineLevel="0" collapsed="false">
      <c r="A983" s="4" t="s">
        <v>469</v>
      </c>
      <c r="B983" s="0" t="s">
        <v>209</v>
      </c>
      <c r="C983" s="23" t="n">
        <f aca="false">C982+C977+C978+C979-a25_rev</f>
        <v>0</v>
      </c>
      <c r="D983" s="23" t="n">
        <f aca="false">D982+D977+D978+D979-a26_rev</f>
        <v>0</v>
      </c>
      <c r="E983" s="23" t="n">
        <f aca="false">E982+E977+E978+E979-E981</f>
        <v>0</v>
      </c>
      <c r="F983" s="23" t="n">
        <f aca="false">F982+F977+F978+F979-F981</f>
        <v>0</v>
      </c>
      <c r="G983" s="23" t="n">
        <f aca="false">G982+G977+G978+G979-G981</f>
        <v>0</v>
      </c>
    </row>
    <row r="984" customFormat="false" ht="15" hidden="false" customHeight="false" outlineLevel="0" collapsed="false">
      <c r="A984" s="4" t="s">
        <v>470</v>
      </c>
      <c r="B984" s="0" t="s">
        <v>52</v>
      </c>
      <c r="D984" s="15" t="n">
        <f aca="false">D981/C981-1</f>
        <v>0.376106443147411</v>
      </c>
      <c r="E984" s="15" t="n">
        <f aca="false">E981/D981-1</f>
        <v>0.231743753385349</v>
      </c>
      <c r="F984" s="15" t="n">
        <f aca="false">F981/E981-1</f>
        <v>0.0759392167229256</v>
      </c>
      <c r="G984" s="15" t="n">
        <f aca="false">G981/F981-1</f>
        <v>0.0248860153586801</v>
      </c>
    </row>
    <row r="985" customFormat="false" ht="17.15" hidden="false" customHeight="false" outlineLevel="0" collapsed="false">
      <c r="A985" s="0" t="s">
        <v>471</v>
      </c>
      <c r="B985" s="0" t="s">
        <v>52</v>
      </c>
      <c r="C985" s="15" t="n">
        <f aca="false">C974/C981</f>
        <v>0.2</v>
      </c>
      <c r="D985" s="15" t="n">
        <f aca="false">D974/D981</f>
        <v>0.318</v>
      </c>
      <c r="E985" s="15" t="n">
        <f aca="false">E974/E981</f>
        <v>0.417054076364078</v>
      </c>
      <c r="F985" s="15" t="n">
        <f aca="false">F974/F981</f>
        <v>0.436757208841491</v>
      </c>
      <c r="G985" s="15" t="n">
        <f aca="false">G974/G981</f>
        <v>0.43235789947076</v>
      </c>
    </row>
    <row r="986" customFormat="false" ht="17.15" hidden="false" customHeight="false" outlineLevel="0" collapsed="false">
      <c r="A986" s="4" t="s">
        <v>472</v>
      </c>
      <c r="B986" s="0" t="s">
        <v>52</v>
      </c>
      <c r="C986" s="15" t="n">
        <f aca="false">(C974+C976)/C981</f>
        <v>0.4</v>
      </c>
      <c r="D986" s="15" t="n">
        <f aca="false">(D974+D976)/D981</f>
        <v>0.53</v>
      </c>
      <c r="E986" s="15" t="n">
        <f aca="false">(E974+E976)/E981</f>
        <v>0.609821443235162</v>
      </c>
      <c r="F986" s="15" t="n">
        <f aca="false">(F974+F976)/F981</f>
        <v>0.630252113558198</v>
      </c>
      <c r="G986" s="15" t="n">
        <f aca="false">(G974+G976)/G981</f>
        <v>0.632482202003983</v>
      </c>
    </row>
    <row r="987" customFormat="false" ht="17.15" hidden="false" customHeight="false" outlineLevel="0" collapsed="false">
      <c r="A987" s="4" t="s">
        <v>418</v>
      </c>
      <c r="B987" s="0" t="s">
        <v>405</v>
      </c>
      <c r="D987" s="16" t="n">
        <f aca="false">D974/fx/D965</f>
        <v>4.7355819103481</v>
      </c>
      <c r="E987" s="16" t="n">
        <f aca="false">E974/fx/E965</f>
        <v>4.29818371613545</v>
      </c>
      <c r="F987" s="16" t="n">
        <f aca="false">F974/fx/F965</f>
        <v>3.82060774767595</v>
      </c>
      <c r="G987" s="16" t="n">
        <f aca="false">G974/fx/G965</f>
        <v>3.4027287752739</v>
      </c>
    </row>
    <row r="988" customFormat="false" ht="17.15" hidden="false" customHeight="false" outlineLevel="0" collapsed="false">
      <c r="A988" s="4" t="s">
        <v>473</v>
      </c>
      <c r="B988" s="4" t="s">
        <v>416</v>
      </c>
      <c r="D988" s="19" t="n">
        <f aca="false">D972/fx/(odm_gb*(1-vr26)+odm_vr*vr26)</f>
        <v>24.0630682003257</v>
      </c>
      <c r="E988" s="19" t="n">
        <f aca="false">E972/fx/odm_vr</f>
        <v>29.4659178112417</v>
      </c>
      <c r="F988" s="19" t="n">
        <f aca="false">F972/fx/odm_vr</f>
        <v>37.3514911462707</v>
      </c>
      <c r="G988" s="19" t="n">
        <f aca="false">G972/fx/odm_vr</f>
        <v>40.4217909343043</v>
      </c>
      <c r="H988" s="4" t="s">
        <v>474</v>
      </c>
    </row>
    <row r="989" customFormat="false" ht="17.15" hidden="false" customHeight="false" outlineLevel="0" collapsed="false">
      <c r="A989" s="6" t="s">
        <v>475</v>
      </c>
    </row>
    <row r="990" customFormat="false" ht="17.15" hidden="false" customHeight="false" outlineLevel="0" collapsed="false">
      <c r="A990" s="4" t="s">
        <v>476</v>
      </c>
      <c r="B990" s="0" t="s">
        <v>52</v>
      </c>
      <c r="D990" s="14" t="n">
        <f aca="false">a26_gp/D981-d_ai*D985</f>
        <v>0.0621989258510762</v>
      </c>
      <c r="H990" s="8" t="s">
        <v>477</v>
      </c>
    </row>
    <row r="991" customFormat="false" ht="17.15" hidden="false" customHeight="false" outlineLevel="0" collapsed="false">
      <c r="A991" s="0" t="s">
        <v>478</v>
      </c>
      <c r="B991" s="0" t="s">
        <v>209</v>
      </c>
      <c r="D991" s="22" t="n">
        <f aca="false">($D$990+d_ai)*D972*(1-D973*(1-keep))</f>
        <v>202.8236004951</v>
      </c>
      <c r="E991" s="22" t="n">
        <f aca="false">($D$990+d_ai+vrd)*E972*(1-E973*(1-keep))</f>
        <v>347.807982730896</v>
      </c>
      <c r="F991" s="22" t="n">
        <f aca="false">($D$990+d_ai+vrd)*F972*(1-F973*(1-keep))</f>
        <v>436.433820423679</v>
      </c>
      <c r="G991" s="22" t="n">
        <f aca="false">($D$990+d_ai+vrd)*G972*(1-G973*(1-keep))</f>
        <v>469.899026179908</v>
      </c>
      <c r="H991" s="4" t="s">
        <v>479</v>
      </c>
    </row>
    <row r="992" customFormat="false" ht="15" hidden="false" customHeight="false" outlineLevel="0" collapsed="false">
      <c r="A992" s="4" t="s">
        <v>357</v>
      </c>
      <c r="B992" s="0" t="s">
        <v>209</v>
      </c>
      <c r="C992" s="19" t="n">
        <f aca="false">a25_gp</f>
        <v>498.161</v>
      </c>
      <c r="D992" s="19" t="n">
        <f aca="false">a26_gp</f>
        <v>675.8340708</v>
      </c>
      <c r="E992" s="19" t="n">
        <f aca="false">$D$990*E980+E991</f>
        <v>845.814490205574</v>
      </c>
      <c r="F992" s="19" t="n">
        <f aca="false">$D$990*F980+F991</f>
        <v>954.148080267577</v>
      </c>
      <c r="G992" s="19" t="n">
        <f aca="false">$D$990*G980+G991</f>
        <v>1004.64146320842</v>
      </c>
    </row>
    <row r="993" customFormat="false" ht="15" hidden="false" customHeight="false" outlineLevel="0" collapsed="false">
      <c r="A993" s="4" t="s">
        <v>360</v>
      </c>
      <c r="B993" s="0" t="s">
        <v>52</v>
      </c>
      <c r="C993" s="14" t="n">
        <f aca="false">C992/C981</f>
        <v>0.0614777915379352</v>
      </c>
      <c r="D993" s="14" t="n">
        <f aca="false">D992/D981</f>
        <v>0.0606089258510762</v>
      </c>
      <c r="E993" s="14" t="n">
        <f aca="false">E992/E981</f>
        <v>0.0615816410202386</v>
      </c>
      <c r="F993" s="14" t="n">
        <f aca="false">F992/F981</f>
        <v>0.0645660443659828</v>
      </c>
      <c r="G993" s="14" t="n">
        <f aca="false">G992/G981</f>
        <v>0.0663321280449849</v>
      </c>
    </row>
    <row r="994" customFormat="false" ht="17.15" hidden="false" customHeight="false" outlineLevel="0" collapsed="false">
      <c r="A994" s="0" t="s">
        <v>480</v>
      </c>
      <c r="B994" s="0" t="s">
        <v>52</v>
      </c>
      <c r="D994" s="14" t="n">
        <f aca="false">D991/D974</f>
        <v>0.0571989258510762</v>
      </c>
      <c r="E994" s="14" t="n">
        <f aca="false">E991/E974</f>
        <v>0.0607188184361838</v>
      </c>
      <c r="F994" s="14" t="n">
        <f aca="false">F991/F974</f>
        <v>0.0676186841675683</v>
      </c>
      <c r="G994" s="14" t="n">
        <f aca="false">G991/G974</f>
        <v>0.0717586036063991</v>
      </c>
      <c r="H994" s="4" t="s">
        <v>481</v>
      </c>
    </row>
    <row r="995" customFormat="false" ht="15" hidden="false" customHeight="false" outlineLevel="0" collapsed="false">
      <c r="A995" s="4" t="s">
        <v>482</v>
      </c>
      <c r="B995" s="0" t="s">
        <v>209</v>
      </c>
      <c r="C995" s="19" t="n">
        <f aca="false">a25_opx</f>
        <v>238.938</v>
      </c>
      <c r="D995" s="19" t="n">
        <f aca="false">a26_opx</f>
        <v>254.8304233</v>
      </c>
      <c r="E995" s="19" t="n">
        <f aca="false">D995*(1+MAX(0,phi*E984))</f>
        <v>278.452566808928</v>
      </c>
      <c r="F995" s="19" t="n">
        <f aca="false">E995*(1+MAX(0,phi*F984))</f>
        <v>286.910754736111</v>
      </c>
      <c r="G995" s="19" t="n">
        <f aca="false">F995*(1+MAX(0,phi*G984))</f>
        <v>289.766780915684</v>
      </c>
    </row>
    <row r="996" customFormat="false" ht="15" hidden="false" customHeight="false" outlineLevel="0" collapsed="false">
      <c r="A996" s="4" t="s">
        <v>361</v>
      </c>
      <c r="B996" s="0" t="s">
        <v>209</v>
      </c>
      <c r="C996" s="19" t="n">
        <f aca="false">C995</f>
        <v>238.938</v>
      </c>
      <c r="D996" s="19" t="n">
        <f aca="false">D995</f>
        <v>254.8304233</v>
      </c>
      <c r="E996" s="19" t="n">
        <f aca="false">E995+0*E981</f>
        <v>278.452566808928</v>
      </c>
      <c r="F996" s="19" t="n">
        <f aca="false">F995+0*F981</f>
        <v>286.910754736111</v>
      </c>
      <c r="G996" s="19" t="n">
        <f aca="false">G995+0*G981</f>
        <v>289.766780915684</v>
      </c>
    </row>
    <row r="997" customFormat="false" ht="15" hidden="false" customHeight="false" outlineLevel="0" collapsed="false">
      <c r="A997" s="4" t="s">
        <v>364</v>
      </c>
      <c r="B997" s="0" t="s">
        <v>209</v>
      </c>
      <c r="C997" s="19" t="n">
        <f aca="false">C992-C996</f>
        <v>259.223</v>
      </c>
      <c r="D997" s="19" t="n">
        <f aca="false">D992-D996</f>
        <v>421.0036475</v>
      </c>
      <c r="E997" s="19" t="n">
        <f aca="false">E992-E996</f>
        <v>567.361923396647</v>
      </c>
      <c r="F997" s="19" t="n">
        <f aca="false">F992-F996</f>
        <v>667.237325531466</v>
      </c>
      <c r="G997" s="19" t="n">
        <f aca="false">G992-G996</f>
        <v>714.874682292741</v>
      </c>
    </row>
    <row r="998" customFormat="false" ht="15" hidden="false" customHeight="false" outlineLevel="0" collapsed="false">
      <c r="A998" s="4" t="s">
        <v>367</v>
      </c>
      <c r="B998" s="0" t="s">
        <v>52</v>
      </c>
      <c r="C998" s="14" t="n">
        <f aca="false">C997/C981</f>
        <v>0.0319905764518663</v>
      </c>
      <c r="D998" s="14" t="n">
        <f aca="false">D997/D981</f>
        <v>0.0377556858359561</v>
      </c>
      <c r="E998" s="14" t="n">
        <f aca="false">E997/E981</f>
        <v>0.0413082049311694</v>
      </c>
      <c r="F998" s="14" t="n">
        <f aca="false">F997/F981</f>
        <v>0.0451511412681592</v>
      </c>
      <c r="G998" s="14" t="n">
        <f aca="false">G997/G981</f>
        <v>0.0472000815201496</v>
      </c>
    </row>
    <row r="999" customFormat="false" ht="17.15" hidden="false" customHeight="false" outlineLevel="0" collapsed="false">
      <c r="A999" s="4" t="s">
        <v>243</v>
      </c>
      <c r="B999" s="0" t="s">
        <v>52</v>
      </c>
      <c r="C999" s="15" t="n">
        <f aca="false">a25_ni/a25_oi</f>
        <v>0.730467589681471</v>
      </c>
      <c r="D999" s="15" t="n">
        <f aca="false">a26_ni/a26_oi</f>
        <v>0.653811645064191</v>
      </c>
      <c r="E999" s="15" t="n">
        <f aca="false">nio_f_hi</f>
        <v>0.73</v>
      </c>
      <c r="F999" s="15" t="n">
        <f aca="false">nio_f_hi</f>
        <v>0.73</v>
      </c>
      <c r="G999" s="15" t="n">
        <f aca="false">nio_f_hi</f>
        <v>0.73</v>
      </c>
    </row>
    <row r="1000" customFormat="false" ht="15" hidden="false" customHeight="false" outlineLevel="0" collapsed="false">
      <c r="A1000" s="4" t="s">
        <v>368</v>
      </c>
      <c r="B1000" s="0" t="s">
        <v>209</v>
      </c>
      <c r="C1000" s="19" t="n">
        <f aca="false">a25_ni</f>
        <v>189.354</v>
      </c>
      <c r="D1000" s="19" t="n">
        <f aca="false">a26_ni</f>
        <v>275.25708735</v>
      </c>
      <c r="E1000" s="19" t="n">
        <f aca="false">E997*E999</f>
        <v>414.174204079552</v>
      </c>
      <c r="F1000" s="19" t="n">
        <f aca="false">F997*F999</f>
        <v>487.08324763797</v>
      </c>
      <c r="G1000" s="19" t="n">
        <f aca="false">G997*G999</f>
        <v>521.858518073701</v>
      </c>
    </row>
    <row r="1001" customFormat="false" ht="15" hidden="false" customHeight="false" outlineLevel="0" collapsed="false">
      <c r="A1001" s="4" t="s">
        <v>483</v>
      </c>
      <c r="B1001" s="4" t="s">
        <v>230</v>
      </c>
      <c r="C1001" s="23" t="n">
        <f aca="false">a25_sh</f>
        <v>13.9128581925055</v>
      </c>
      <c r="D1001" s="23" t="n">
        <f aca="false">a26_sh</f>
        <v>14.0169642857143</v>
      </c>
      <c r="E1001" s="23" t="n">
        <f aca="false">D1001*(1+sh_g)</f>
        <v>14.0169642857143</v>
      </c>
      <c r="F1001" s="23" t="n">
        <f aca="false">E1001*(1+sh_g)</f>
        <v>14.0169642857143</v>
      </c>
      <c r="G1001" s="23" t="n">
        <f aca="false">F1001*(1+sh_g)</f>
        <v>14.0169642857143</v>
      </c>
    </row>
    <row r="1002" customFormat="false" ht="15" hidden="false" customHeight="false" outlineLevel="0" collapsed="false">
      <c r="A1002" s="0" t="s">
        <v>374</v>
      </c>
      <c r="B1002" s="0" t="s">
        <v>260</v>
      </c>
      <c r="C1002" s="22" t="n">
        <f aca="false">C1000/C1001</f>
        <v>13.61</v>
      </c>
      <c r="D1002" s="22" t="n">
        <f aca="false">D1000/D1001</f>
        <v>19.6374251756163</v>
      </c>
      <c r="E1002" s="22" t="n">
        <f aca="false">E1000/E1001</f>
        <v>29.5480673016815</v>
      </c>
      <c r="F1002" s="22" t="n">
        <f aca="false">F1000/F1001</f>
        <v>34.7495533062314</v>
      </c>
      <c r="G1002" s="22" t="n">
        <f aca="false">G1000/G1001</f>
        <v>37.2304949514329</v>
      </c>
    </row>
    <row r="1003" customFormat="false" ht="17.15" hidden="false" customHeight="false" outlineLevel="0" collapsed="false">
      <c r="A1003" s="0" t="s">
        <v>484</v>
      </c>
      <c r="B1003" s="0" t="s">
        <v>52</v>
      </c>
      <c r="D1003" s="15" t="n">
        <f aca="false">D1002/C1002-1</f>
        <v>0.442867389832203</v>
      </c>
      <c r="E1003" s="15" t="n">
        <f aca="false">E1002/D1002-1</f>
        <v>0.504681343782852</v>
      </c>
      <c r="F1003" s="15" t="n">
        <f aca="false">F1002/E1002-1</f>
        <v>0.176034728479647</v>
      </c>
      <c r="G1003" s="15" t="n">
        <f aca="false">G1002/F1002-1</f>
        <v>0.0713949219242658</v>
      </c>
    </row>
    <row r="1006" customFormat="false" ht="17.15" hidden="false" customHeight="false" outlineLevel="0" collapsed="false">
      <c r="A1006" s="1" t="s">
        <v>853</v>
      </c>
    </row>
    <row r="1007" customFormat="false" ht="17.15" hidden="false" customHeight="false" outlineLevel="0" collapsed="false">
      <c r="A1007" s="5" t="s">
        <v>773</v>
      </c>
      <c r="B1007" s="5" t="s">
        <v>774</v>
      </c>
      <c r="C1007" s="11" t="s">
        <v>854</v>
      </c>
      <c r="D1007" s="11" t="s">
        <v>716</v>
      </c>
      <c r="E1007" s="5" t="s">
        <v>855</v>
      </c>
      <c r="F1007" s="5" t="s">
        <v>856</v>
      </c>
    </row>
    <row r="1008" customFormat="false" ht="17.15" hidden="false" customHeight="false" outlineLevel="0" collapsed="false">
      <c r="A1008" s="4" t="s">
        <v>24</v>
      </c>
      <c r="B1008" s="0" t="s">
        <v>857</v>
      </c>
      <c r="C1008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08" s="28" t="n">
        <f aca="false">tp_comp_adj</f>
        <v>387.89252670745</v>
      </c>
      <c r="E1008" s="28" t="n">
        <f aca="false">tp_w_dcf*C1008+(1-tp_w_dcf)*D1008</f>
        <v>339.099436397115</v>
      </c>
      <c r="F1008" s="15" t="n">
        <f aca="false">E1008/E$1008-1</f>
        <v>0</v>
      </c>
    </row>
    <row r="1009" customFormat="false" ht="17.15" hidden="false" customHeight="false" outlineLevel="0" collapsed="false">
      <c r="A1009" s="4" t="s">
        <v>858</v>
      </c>
      <c r="B1009" s="0" t="s">
        <v>859</v>
      </c>
      <c r="C1009" s="2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251.473398211961</v>
      </c>
      <c r="D1009" s="28" t="n">
        <f aca="false">tp_comp_adj</f>
        <v>387.89252670745</v>
      </c>
      <c r="E1009" s="28" t="n">
        <f aca="false">tp_w_dcf*C1009+(1-tp_w_dcf)*D1009</f>
        <v>319.682962459706</v>
      </c>
      <c r="F1009" s="15" t="n">
        <f aca="false">E1009/E$1008-1</f>
        <v>-0.0572589389817538</v>
      </c>
    </row>
    <row r="1010" customFormat="false" ht="17.15" hidden="false" customHeight="false" outlineLevel="0" collapsed="false">
      <c r="A1010" s="4" t="s">
        <v>860</v>
      </c>
      <c r="B1010" s="0" t="s">
        <v>861</v>
      </c>
      <c r="C1010" s="2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344.651766189227</v>
      </c>
      <c r="D1010" s="28" t="n">
        <f aca="false">tp_comp_adj</f>
        <v>387.89252670745</v>
      </c>
      <c r="E1010" s="28" t="n">
        <f aca="false">tp_w_dcf*C1010+(1-tp_w_dcf)*D1010</f>
        <v>366.272146448339</v>
      </c>
      <c r="F1010" s="15" t="n">
        <f aca="false">E1010/E$1008-1</f>
        <v>0.0801319823469169</v>
      </c>
    </row>
    <row r="1011" customFormat="false" ht="17.15" hidden="false" customHeight="false" outlineLevel="0" collapsed="false">
      <c r="A1011" s="4" t="s">
        <v>862</v>
      </c>
      <c r="B1011" s="0" t="s">
        <v>863</v>
      </c>
      <c r="C1011" s="2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278.801102708132</v>
      </c>
      <c r="D1011" s="28" t="n">
        <f aca="false">tp_comp_adj</f>
        <v>387.89252670745</v>
      </c>
      <c r="E1011" s="28" t="n">
        <f aca="false">tp_w_dcf*C1011+(1-tp_w_dcf)*D1011</f>
        <v>333.346814707791</v>
      </c>
      <c r="F1011" s="15" t="n">
        <f aca="false">E1011/E$1008-1</f>
        <v>-0.0169644094677511</v>
      </c>
    </row>
    <row r="1012" customFormat="false" ht="17.15" hidden="false" customHeight="false" outlineLevel="0" collapsed="false">
      <c r="A1012" s="4" t="s">
        <v>864</v>
      </c>
      <c r="B1012" s="0" t="s">
        <v>865</v>
      </c>
      <c r="C1012" s="2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301.974660380668</v>
      </c>
      <c r="D1012" s="28" t="n">
        <f aca="false">tp_comp_adj</f>
        <v>387.89252670745</v>
      </c>
      <c r="E1012" s="28" t="n">
        <f aca="false">tp_w_dcf*C1012+(1-tp_w_dcf)*D1012</f>
        <v>344.933593544059</v>
      </c>
      <c r="F1012" s="15" t="n">
        <f aca="false">E1012/E$1008-1</f>
        <v>0.0172048565132725</v>
      </c>
    </row>
    <row r="1013" customFormat="false" ht="17.15" hidden="false" customHeight="false" outlineLevel="0" collapsed="false">
      <c r="A1013" s="0" t="s">
        <v>866</v>
      </c>
      <c r="B1013" s="0" t="s">
        <v>867</v>
      </c>
      <c r="C1013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13" s="28" t="n">
        <f aca="false">tp_comp_adj</f>
        <v>387.89252670745</v>
      </c>
      <c r="E1013" s="28" t="n">
        <f aca="false">0.4*C1013+(1-0.4)*D1013</f>
        <v>348.858054459182</v>
      </c>
      <c r="F1013" s="15" t="n">
        <f aca="false">E1013/E$1008-1</f>
        <v>0.0287780427055584</v>
      </c>
    </row>
    <row r="1014" customFormat="false" ht="17.15" hidden="false" customHeight="false" outlineLevel="0" collapsed="false">
      <c r="A1014" s="0" t="s">
        <v>868</v>
      </c>
      <c r="B1014" s="0" t="s">
        <v>869</v>
      </c>
      <c r="C1014" s="2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290.306346086781</v>
      </c>
      <c r="D1014" s="28" t="n">
        <f aca="false">tp_comp_adj</f>
        <v>387.89252670745</v>
      </c>
      <c r="E1014" s="28" t="n">
        <f aca="false">0.8*C1014+(1-0.8)*D1014</f>
        <v>309.823582210915</v>
      </c>
      <c r="F1014" s="15" t="n">
        <f aca="false">E1014/E$1008-1</f>
        <v>-0.0863341281166753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870</v>
      </c>
    </row>
    <row r="2" customFormat="false" ht="17.15" hidden="false" customHeight="false" outlineLevel="0" collapsed="false">
      <c r="A2" s="4" t="s">
        <v>871</v>
      </c>
      <c r="B2" s="0" t="s">
        <v>872</v>
      </c>
    </row>
    <row r="3" customFormat="false" ht="17.15" hidden="false" customHeight="false" outlineLevel="0" collapsed="false">
      <c r="A3" s="4" t="s">
        <v>873</v>
      </c>
      <c r="B3" s="0" t="s">
        <v>874</v>
      </c>
    </row>
    <row r="4" customFormat="false" ht="17.15" hidden="false" customHeight="false" outlineLevel="0" collapsed="false">
      <c r="A4" s="4" t="s">
        <v>875</v>
      </c>
      <c r="B4" s="0" t="s">
        <v>876</v>
      </c>
    </row>
    <row r="5" customFormat="false" ht="17.15" hidden="false" customHeight="false" outlineLevel="0" collapsed="false">
      <c r="A5" s="4" t="s">
        <v>877</v>
      </c>
      <c r="B5" s="0" t="s">
        <v>878</v>
      </c>
    </row>
    <row r="6" customFormat="false" ht="17.15" hidden="false" customHeight="false" outlineLevel="0" collapsed="false">
      <c r="A6" s="4" t="s">
        <v>879</v>
      </c>
      <c r="B6" s="0" t="s">
        <v>880</v>
      </c>
    </row>
    <row r="7" customFormat="false" ht="17.15" hidden="false" customHeight="false" outlineLevel="0" collapsed="false">
      <c r="A7" s="4" t="s">
        <v>881</v>
      </c>
      <c r="B7" s="0" t="s">
        <v>882</v>
      </c>
    </row>
    <row r="8" customFormat="false" ht="17.15" hidden="false" customHeight="false" outlineLevel="0" collapsed="false">
      <c r="A8" s="4" t="s">
        <v>883</v>
      </c>
      <c r="B8" s="0" t="s">
        <v>884</v>
      </c>
    </row>
    <row r="9" customFormat="false" ht="17.15" hidden="false" customHeight="false" outlineLevel="0" collapsed="false">
      <c r="A9" s="4" t="s">
        <v>885</v>
      </c>
      <c r="B9" s="0" t="s">
        <v>886</v>
      </c>
    </row>
    <row r="10" customFormat="false" ht="17.15" hidden="false" customHeight="false" outlineLevel="0" collapsed="false">
      <c r="A10" s="4" t="s">
        <v>887</v>
      </c>
      <c r="B10" s="0" t="s">
        <v>888</v>
      </c>
    </row>
    <row r="11" customFormat="false" ht="17.15" hidden="false" customHeight="false" outlineLevel="0" collapsed="false">
      <c r="A11" s="4" t="s">
        <v>889</v>
      </c>
      <c r="B11" s="0" t="s">
        <v>256</v>
      </c>
    </row>
    <row r="12" customFormat="false" ht="17.15" hidden="false" customHeight="false" outlineLevel="0" collapsed="false">
      <c r="A12" s="4" t="s">
        <v>890</v>
      </c>
      <c r="B12" s="0" t="s">
        <v>269</v>
      </c>
    </row>
    <row r="13" customFormat="false" ht="17.15" hidden="false" customHeight="false" outlineLevel="0" collapsed="false">
      <c r="A13" s="4" t="s">
        <v>891</v>
      </c>
      <c r="B13" s="0" t="s">
        <v>892</v>
      </c>
    </row>
    <row r="14" customFormat="false" ht="17.15" hidden="false" customHeight="false" outlineLevel="0" collapsed="false">
      <c r="A14" s="4" t="s">
        <v>893</v>
      </c>
      <c r="B14" s="0" t="s">
        <v>276</v>
      </c>
    </row>
    <row r="15" customFormat="false" ht="17.15" hidden="false" customHeight="false" outlineLevel="0" collapsed="false">
      <c r="A15" s="4" t="s">
        <v>894</v>
      </c>
      <c r="B15" s="0" t="s">
        <v>895</v>
      </c>
    </row>
    <row r="16" customFormat="false" ht="17.15" hidden="false" customHeight="false" outlineLevel="0" collapsed="false">
      <c r="A16" s="4" t="s">
        <v>896</v>
      </c>
      <c r="B16" s="0" t="s">
        <v>897</v>
      </c>
    </row>
    <row r="17" customFormat="false" ht="17.15" hidden="false" customHeight="false" outlineLevel="0" collapsed="false">
      <c r="A17" s="4" t="s">
        <v>898</v>
      </c>
      <c r="B17" s="0" t="s">
        <v>899</v>
      </c>
    </row>
    <row r="18" customFormat="false" ht="17.15" hidden="false" customHeight="false" outlineLevel="0" collapsed="false">
      <c r="A18" s="4" t="s">
        <v>900</v>
      </c>
      <c r="B18" s="0" t="s">
        <v>901</v>
      </c>
    </row>
    <row r="19" customFormat="false" ht="17.15" hidden="false" customHeight="false" outlineLevel="0" collapsed="false">
      <c r="A19" s="4" t="s">
        <v>902</v>
      </c>
      <c r="B19" s="0" t="s">
        <v>903</v>
      </c>
    </row>
    <row r="20" customFormat="false" ht="17.15" hidden="false" customHeight="false" outlineLevel="0" collapsed="false">
      <c r="A20" s="4" t="s">
        <v>904</v>
      </c>
      <c r="B20" s="0" t="s">
        <v>905</v>
      </c>
    </row>
    <row r="21" customFormat="false" ht="17.15" hidden="false" customHeight="false" outlineLevel="0" collapsed="false">
      <c r="A21" s="4" t="s">
        <v>906</v>
      </c>
      <c r="B21" s="0" t="s">
        <v>907</v>
      </c>
    </row>
    <row r="22" customFormat="false" ht="17.15" hidden="false" customHeight="false" outlineLevel="0" collapsed="false">
      <c r="A22" s="4" t="s">
        <v>908</v>
      </c>
    </row>
    <row r="23" customFormat="false" ht="17.15" hidden="false" customHeight="false" outlineLevel="0" collapsed="false">
      <c r="A23" s="4" t="s">
        <v>909</v>
      </c>
      <c r="B23" s="4" t="s">
        <v>910</v>
      </c>
    </row>
    <row r="24" customFormat="false" ht="15" hidden="false" customHeight="false" outlineLevel="0" collapsed="false">
      <c r="A24" s="0" t="s">
        <v>911</v>
      </c>
      <c r="B24" s="4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2026-10-29T07:25:25Z</dcterms:created>
  <dc:creator>openpyxl</dc:creator>
  <dc:description/>
  <dc:language>en-US</dc:language>
  <cp:lastModifiedBy/>
  <dcterms:modified xsi:type="dcterms:W3CDTF">2026-10-29T07:25:26Z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