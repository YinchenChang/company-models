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ce" vbProcedure="false">Q!$B$17</definedName>
    <definedName function="false" hidden="false" name="a25_cn" vbProcedure="false">Q!$B$16</definedName>
    <definedName function="false" hidden="false" name="a25_co" vbProcedure="false">Q!$B$19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Q!$B$20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c" vbProcedure="false">Q!$B$18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Q!$F$15</definedName>
    <definedName function="false" hidden="false" name="a26_ce" vbProcedure="false">Q!$F$17</definedName>
    <definedName function="false" hidden="false" name="a26_cn" vbProcedure="false">Q!$F$16</definedName>
    <definedName function="false" hidden="false" name="a26_co" vbProcedure="false">Q!$F$19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Q!$F$20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c" vbProcedure="false">Q!$F$18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25" vbProcedure="false">In!$E$39</definedName>
    <definedName function="false" hidden="false" name="ais_25_hi" vbProcedure="false">In!$F$39</definedName>
    <definedName function="false" hidden="false" name="ais_25_lo" vbProcedure="false">In!$D$39</definedName>
    <definedName function="false" hidden="false" name="ais_26" vbProcedure="false">In!$E$41</definedName>
    <definedName function="false" hidden="false" name="ais_26_hi" vbProcedure="false">In!$F$41</definedName>
    <definedName function="false" hidden="false" name="ais_26_lo" vbProcedure="false">In!$D$41</definedName>
    <definedName function="false" hidden="false" name="b_eps26" vbProcedure="false">In!$E$74</definedName>
    <definedName function="false" hidden="false" name="b_eps27a" vbProcedure="false">In!$E$76</definedName>
    <definedName function="false" hidden="false" name="b_eps27b" vbProcedure="false">In!$E$77</definedName>
    <definedName function="false" hidden="false" name="b_eps27c" vbProcedure="false">In!$E$78</definedName>
    <definedName function="false" hidden="false" name="b_eps28" vbProcedure="false">In!$E$79</definedName>
    <definedName function="false" hidden="false" name="b_gm27" vbProcedure="false">In!$E$80</definedName>
    <definedName function="false" hidden="false" name="b_rev26" vbProcedure="false">In!$E$73</definedName>
    <definedName function="false" hidden="false" name="b_rev27" vbProcedure="false">In!$E$75</definedName>
    <definedName function="false" hidden="false" name="ce_25" vbProcedure="false">In!$E$37</definedName>
    <definedName function="false" hidden="false" name="ce_26" vbProcedure="false">In!$E$42</definedName>
    <definedName function="false" hidden="false" name="ce_26_hi" vbProcedure="false">In!$F$42</definedName>
    <definedName function="false" hidden="false" name="ce_26_lo" vbProcedure="false">In!$D$42</definedName>
    <definedName function="false" hidden="false" name="cl_25" vbProcedure="false">In!$E$36</definedName>
    <definedName function="false" hidden="false" name="cl_26" vbProcedure="false">In!$E$40</definedName>
    <definedName function="false" hidden="false" name="cl_26_hi" vbProcedure="false">In!$F$40</definedName>
    <definedName function="false" hidden="false" name="cl_26_lo" vbProcedure="false">In!$D$40</definedName>
    <definedName function="false" hidden="false" name="cons_feps" vbProcedure="false">In!$E$100</definedName>
    <definedName function="false" hidden="false" name="cons_tp" vbProcedure="false">In!$E$99</definedName>
    <definedName function="false" hidden="false" name="CSHI_27" vbProcedure="false">In!$F$31</definedName>
    <definedName function="false" hidden="false" name="CSHI_28" vbProcedure="false">In!$F$32</definedName>
    <definedName function="false" hidden="false" name="CSHI_29" vbProcedure="false">In!$F$33</definedName>
    <definedName function="false" hidden="false" name="CSLO_27" vbProcedure="false">In!$D$31</definedName>
    <definedName function="false" hidden="false" name="CSLO_28" vbProcedure="false">In!$D$32</definedName>
    <definedName function="false" hidden="false" name="CSLO_29" vbProcedure="false">In!$D$33</definedName>
    <definedName function="false" hidden="false" name="cs_27" vbProcedure="false">In!$E$31</definedName>
    <definedName function="false" hidden="false" name="cs_27_hi" vbProcedure="false">In!$F$31</definedName>
    <definedName function="false" hidden="false" name="cs_27_lo" vbProcedure="false">In!$D$31</definedName>
    <definedName function="false" hidden="false" name="cs_28" vbProcedure="false">In!$E$32</definedName>
    <definedName function="false" hidden="false" name="cs_28_hi" vbProcedure="false">In!$F$32</definedName>
    <definedName function="false" hidden="false" name="cs_28_lo" vbProcedure="false">In!$D$32</definedName>
    <definedName function="false" hidden="false" name="cs_29" vbProcedure="false">In!$E$33</definedName>
    <definedName function="false" hidden="false" name="cs_29_hi" vbProcedure="false">In!$F$33</definedName>
    <definedName function="false" hidden="false" name="cs_29_lo" vbProcedure="false">In!$D$33</definedName>
    <definedName function="false" hidden="false" name="d_ai" vbProcedure="false">In!$E$57</definedName>
    <definedName function="false" hidden="false" name="d_ai_hi" vbProcedure="false">In!$F$57</definedName>
    <definedName function="false" hidden="false" name="d_ai_lo" vbProcedure="false">In!$D$57</definedName>
    <definedName function="false" hidden="false" name="fade_gA" vbProcedure="false">In!$E$95</definedName>
    <definedName function="false" hidden="false" name="fade_gB" vbProcedure="false">In!$E$96</definedName>
    <definedName function="false" hidden="false" name="fade_gC" vbProcedure="false">In!$E$97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CEHI27" vbProcedure="false">In!$F$47</definedName>
    <definedName function="false" hidden="false" name="GCEHI28" vbProcedure="false">In!$F$48</definedName>
    <definedName function="false" hidden="false" name="GCEHI29" vbProcedure="false">In!$F$49</definedName>
    <definedName function="false" hidden="false" name="GCELO27" vbProcedure="false">In!$D$47</definedName>
    <definedName function="false" hidden="false" name="GCELO28" vbProcedure="false">In!$D$48</definedName>
    <definedName function="false" hidden="false" name="GCELO29" vbProcedure="false">In!$D$49</definedName>
    <definedName function="false" hidden="false" name="GCNHI27" vbProcedure="false">In!$F$44</definedName>
    <definedName function="false" hidden="false" name="GCNHI28" vbProcedure="false">In!$F$45</definedName>
    <definedName function="false" hidden="false" name="GCNHI29" vbProcedure="false">In!$F$46</definedName>
    <definedName function="false" hidden="false" name="GCNLO27" vbProcedure="false">In!$D$44</definedName>
    <definedName function="false" hidden="false" name="GCNLO28" vbProcedure="false">In!$D$45</definedName>
    <definedName function="false" hidden="false" name="GCNLO29" vbProcedure="false">In!$D$46</definedName>
    <definedName function="false" hidden="false" name="g_ce27" vbProcedure="false">In!$E$47</definedName>
    <definedName function="false" hidden="false" name="g_ce27_hi" vbProcedure="false">In!$F$47</definedName>
    <definedName function="false" hidden="false" name="g_ce27_lo" vbProcedure="false">In!$D$47</definedName>
    <definedName function="false" hidden="false" name="g_ce28" vbProcedure="false">In!$E$48</definedName>
    <definedName function="false" hidden="false" name="g_ce28_hi" vbProcedure="false">In!$F$48</definedName>
    <definedName function="false" hidden="false" name="g_ce28_lo" vbProcedure="false">In!$D$48</definedName>
    <definedName function="false" hidden="false" name="g_ce29" vbProcedure="false">In!$E$49</definedName>
    <definedName function="false" hidden="false" name="g_ce29_hi" vbProcedure="false">In!$F$49</definedName>
    <definedName function="false" hidden="false" name="g_ce29_lo" vbProcedure="false">In!$D$49</definedName>
    <definedName function="false" hidden="false" name="g_cn27" vbProcedure="false">In!$E$44</definedName>
    <definedName function="false" hidden="false" name="g_cn27_hi" vbProcedure="false">In!$F$44</definedName>
    <definedName function="false" hidden="false" name="g_cn27_lo" vbProcedure="false">In!$D$44</definedName>
    <definedName function="false" hidden="false" name="g_cn28" vbProcedure="false">In!$E$45</definedName>
    <definedName function="false" hidden="false" name="g_cn28_hi" vbProcedure="false">In!$F$45</definedName>
    <definedName function="false" hidden="false" name="g_cn28_lo" vbProcedure="false">In!$D$45</definedName>
    <definedName function="false" hidden="false" name="g_cn29" vbProcedure="false">In!$E$46</definedName>
    <definedName function="false" hidden="false" name="g_cn29_hi" vbProcedure="false">In!$F$46</definedName>
    <definedName function="false" hidden="false" name="g_cn29_lo" vbProcedure="false">In!$D$46</definedName>
    <definedName function="false" hidden="false" name="g_co27" vbProcedure="false">In!$E$53</definedName>
    <definedName function="false" hidden="false" name="g_co27_hi" vbProcedure="false">In!$F$53</definedName>
    <definedName function="false" hidden="false" name="g_co27_lo" vbProcedure="false">In!$D$53</definedName>
    <definedName function="false" hidden="false" name="g_co28" vbProcedure="false">In!$E$54</definedName>
    <definedName function="false" hidden="false" name="g_co28_hi" vbProcedure="false">In!$F$54</definedName>
    <definedName function="false" hidden="false" name="g_co28_lo" vbProcedure="false">In!$D$54</definedName>
    <definedName function="false" hidden="false" name="g_co29" vbProcedure="false">In!$E$55</definedName>
    <definedName function="false" hidden="false" name="g_co29_hi" vbProcedure="false">In!$F$55</definedName>
    <definedName function="false" hidden="false" name="g_co29_lo" vbProcedure="false">In!$D$55</definedName>
    <definedName function="false" hidden="false" name="g_pc27" vbProcedure="false">In!$E$50</definedName>
    <definedName function="false" hidden="false" name="g_pc27_hi" vbProcedure="false">In!$F$50</definedName>
    <definedName function="false" hidden="false" name="g_pc27_lo" vbProcedure="false">In!$D$50</definedName>
    <definedName function="false" hidden="false" name="g_pc28" vbProcedure="false">In!$E$51</definedName>
    <definedName function="false" hidden="false" name="g_pc28_hi" vbProcedure="false">In!$F$51</definedName>
    <definedName function="false" hidden="false" name="g_pc28_lo" vbProcedure="false">In!$D$51</definedName>
    <definedName function="false" hidden="false" name="g_pc29" vbProcedure="false">In!$E$52</definedName>
    <definedName function="false" hidden="false" name="g_pc29_hi" vbProcedure="false">In!$F$52</definedName>
    <definedName function="false" hidden="false" name="g_pc29_lo" vbProcedure="false">In!$D$52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In!$E$34</definedName>
    <definedName function="false" hidden="false" name="keep_hi" vbProcedure="false">In!$F$34</definedName>
    <definedName function="false" hidden="false" name="keep_lo" vbProcedure="false">In!$D$34</definedName>
    <definedName function="false" hidden="false" name="mf" vbProcedure="false">In!$E$71</definedName>
    <definedName function="false" hidden="false" name="mf_hi" vbProcedure="false">In!$F$71</definedName>
    <definedName function="false" hidden="false" name="mf_lo" vbProcedure="false">In!$D$71</definedName>
    <definedName function="false" hidden="false" name="nim10_f" vbProcedure="false">In!$E$98</definedName>
    <definedName function="false" hidden="false" name="nio_f" vbProcedure="false">In!$E$69</definedName>
    <definedName function="false" hidden="false" name="nio_f_hi" vbProcedure="false">In!$F$69</definedName>
    <definedName function="false" hidden="false" name="nio_f_lo" vbProcedure="false">In!$D$69</definedName>
    <definedName function="false" hidden="false" name="odm_gb" vbProcedure="false">In!$E$24</definedName>
    <definedName function="false" hidden="false" name="odm_gb_hi" vbProcedure="false">In!$F$24</definedName>
    <definedName function="false" hidden="false" name="odm_gb_lo" vbProcedure="false">In!$D$24</definedName>
    <definedName function="false" hidden="false" name="odm_vr" vbProcedure="false">In!$E$25</definedName>
    <definedName function="false" hidden="false" name="odm_vr_hi" vbProcedure="false">In!$F$25</definedName>
    <definedName function="false" hidden="false" name="odm_vr_lo" vbProcedure="false">In!$D$25</definedName>
    <definedName function="false" hidden="false" name="old_rule_px" vbProcedure="false">Val!$B$38</definedName>
    <definedName function="false" hidden="false" name="old_rule_up" vbProcedure="false">Val!$B$39</definedName>
    <definedName function="false" hidden="false" name="opx_adj" vbProcedure="false">In!$E$68</definedName>
    <definedName function="false" hidden="false" name="opx_adj_hi" vbProcedure="false">In!$F$68</definedName>
    <definedName function="false" hidden="false" name="opx_adj_lo" vbProcedure="false">In!$D$68</definedName>
    <definedName function="false" hidden="false" name="pc_25" vbProcedure="false">In!$E$38</definedName>
    <definedName function="false" hidden="false" name="pc_26" vbProcedure="false">In!$E$43</definedName>
    <definedName function="false" hidden="false" name="pc_26_hi" vbProcedure="false">In!$F$43</definedName>
    <definedName function="false" hidden="false" name="pc_26_lo" vbProcedure="false">In!$D$43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In!$E$85</definedName>
    <definedName function="false" hidden="false" name="phi" vbProcedure="false">In!$E$67</definedName>
    <definedName function="false" hidden="false" name="phi_hi" vbProcedure="false">In!$F$67</definedName>
    <definedName function="false" hidden="false" name="phi_lo" vbProcedure="false">In!$D$67</definedName>
    <definedName function="false" hidden="false" name="px" vbProcedure="false">In!$E$84</definedName>
    <definedName function="false" hidden="false" name="q3_rev" vbProcedure="false">In!$E$60</definedName>
    <definedName function="false" hidden="false" name="q4g" vbProcedure="false">In!$E$61</definedName>
    <definedName function="false" hidden="false" name="q4g_hi" vbProcedure="false">In!$F$61</definedName>
    <definedName function="false" hidden="false" name="q4g_lo" vbProcedure="false">In!$D$61</definedName>
    <definedName function="false" hidden="false" name="q_gm" vbProcedure="false">In!$E$62</definedName>
    <definedName function="false" hidden="false" name="q_gm_hi" vbProcedure="false">In!$F$62</definedName>
    <definedName function="false" hidden="false" name="q_gm_lo" vbProcedure="false">In!$D$62</definedName>
    <definedName function="false" hidden="false" name="q_nio" vbProcedure="false">In!$E$64</definedName>
    <definedName function="false" hidden="false" name="q_nio_hi" vbProcedure="false">In!$F$64</definedName>
    <definedName function="false" hidden="false" name="q_nio_lo" vbProcedure="false">In!$D$64</definedName>
    <definedName function="false" hidden="false" name="q_opx" vbProcedure="false">In!$E$63</definedName>
    <definedName function="false" hidden="false" name="q_opx_hi" vbProcedure="false">In!$F$63</definedName>
    <definedName function="false" hidden="false" name="q_opx_lo" vbProcedure="false">In!$D$63</definedName>
    <definedName function="false" hidden="false" name="q_sh" vbProcedure="false">In!$E$65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ack_gb" vbProcedure="false">In!$E$14</definedName>
    <definedName function="false" hidden="false" name="rack_vr" vbProcedure="false">In!$E$15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k_sh" vbProcedure="false">In!$E$81</definedName>
    <definedName function="false" hidden="false" name="rk_sh2" vbProcedure="false">In!$E$82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g" vbProcedure="false">In!$E$70</definedName>
    <definedName function="false" hidden="false" name="sh_g_hi" vbProcedure="false">In!$F$70</definedName>
    <definedName function="false" hidden="false" name="sh_g_lo" vbProcedure="false">In!$D$70</definedName>
    <definedName function="false" hidden="false" name="tp_comp" vbProcedure="false">Val!$B$116</definedName>
    <definedName function="false" hidden="false" name="tp_dcf" vbProcedure="false">Val!$B$105</definedName>
    <definedName function="false" hidden="false" name="tp_final" vbProcedure="false">Val!$B$120</definedName>
    <definedName function="false" hidden="false" name="tp_g" vbProcedure="false">In!$E$92</definedName>
    <definedName function="false" hidden="false" name="tp_r" vbProcedure="false">In!$E$91</definedName>
    <definedName function="false" hidden="false" name="tp_roe" vbProcedure="false">In!$E$93</definedName>
    <definedName function="false" hidden="false" name="tp_wA" vbProcedure="false">In!$E$87</definedName>
    <definedName function="false" hidden="false" name="tp_wB" vbProcedure="false">In!$E$88</definedName>
    <definedName function="false" hidden="false" name="tp_wC" vbProcedure="false">In!$E$89</definedName>
    <definedName function="false" hidden="false" name="tp_w_dcf" vbProcedure="false">In!$E$94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pg_28" vbProcedure="false">In!$E$26</definedName>
    <definedName function="false" hidden="false" name="vpg_28_hi" vbProcedure="false">In!$F$26</definedName>
    <definedName function="false" hidden="false" name="vpg_28_lo" vbProcedure="false">In!$D$26</definedName>
    <definedName function="false" hidden="false" name="vpg_29" vbProcedure="false">In!$E$27</definedName>
    <definedName function="false" hidden="false" name="vpg_29_hi" vbProcedure="false">In!$F$27</definedName>
    <definedName function="false" hidden="false" name="vpg_29_lo" vbProcedure="false">In!$D$27</definedName>
    <definedName function="false" hidden="false" name="VPHI_28" vbProcedure="false">In!$F$26</definedName>
    <definedName function="false" hidden="false" name="VPHI_29" vbProcedure="false">In!$F$27</definedName>
    <definedName function="false" hidden="false" name="VPLO_28" vbProcedure="false">In!$D$26</definedName>
    <definedName function="false" hidden="false" name="VPLO_29" vbProcedure="false">In!$D$27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In!$E$58</definedName>
    <definedName function="false" hidden="false" name="vrd_hi" vbProcedure="false">In!$F$58</definedName>
    <definedName function="false" hidden="false" name="vrd_lo" vbProcedure="false">In!$D$58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<sst xmlns="http://schemas.openxmlformats.org/spreadsheetml/2006/main" count="3526" uniqueCount="866">
  <si>
    <r>
      <rPr>
        <b val="true"/>
        <sz val="11"/>
        <rFont val="Noto Sans CJK SC"/>
        <family val="2"/>
      </rPr>
      <t xml:space="preserve">鴻海精密（</t>
    </r>
    <r>
      <rPr>
        <b val="true"/>
        <sz val="11"/>
        <rFont val="Cambria"/>
        <family val="0"/>
        <charset val="1"/>
      </rPr>
      <t xml:space="preserve">2317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：伺服器組裝次產業，樣板＝廣達）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</si>
  <si>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：補上檔空間級距、投資建議、重點觀察（數值不變））。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伺服器組裝市場與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每櫃價格讀廣達模型（本專案權威，規則第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條），與廣達同口徑；本模型只決定鴻海份額、客供與其他事業。</t>
    </r>
  </si>
  <si>
    <r>
      <rPr>
        <sz val="11"/>
        <rFont val="Noto Sans CJK SC"/>
        <family val="2"/>
      </rPr>
      <t xml:space="preserve">模型命題：鴻海是集團公司，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整櫃價值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鴻海有效份額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客供比例），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年約占營收三成；其餘七成（</t>
    </r>
    <r>
      <rPr>
        <sz val="11"/>
        <rFont val="Cambria"/>
        <family val="0"/>
        <charset val="1"/>
      </rPr>
      <t xml:space="preserve">iPhone</t>
    </r>
    <r>
      <rPr>
        <sz val="11"/>
        <rFont val="Noto Sans CJK SC"/>
        <family val="2"/>
      </rPr>
      <t xml:space="preserve">、網通與一般伺服器、電腦、元件）以簡化成長率推。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伺服器拉高營收與營業利益，但業外損失、稅率上升與少數股權使淨利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營業利益從 </t>
    </r>
    <r>
      <rPr>
        <sz val="11"/>
        <rFont val="Cambria"/>
        <family val="0"/>
        <charset val="1"/>
      </rPr>
      <t xml:space="preserve">0.73 </t>
    </r>
    <r>
      <rPr>
        <sz val="11"/>
        <rFont val="Noto Sans CJK SC"/>
        <family val="2"/>
      </rPr>
      <t xml:space="preserve">降到約 </t>
    </r>
    <r>
      <rPr>
        <sz val="11"/>
        <rFont val="Cambria"/>
        <family val="0"/>
        <charset val="1"/>
      </rPr>
      <t xml:space="preserve">0.66</t>
    </r>
    <r>
      <rPr>
        <sz val="11"/>
        <rFont val="Noto Sans CJK SC"/>
        <family val="2"/>
      </rPr>
      <t xml:space="preserve">。市場約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</si>
  <si>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整櫃最大組裝廠）能不能在客供上升下撐住營業利益成長，以及淨利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營業利益能不能穩在 </t>
    </r>
    <r>
      <rPr>
        <sz val="11"/>
        <rFont val="Cambria"/>
        <family val="0"/>
        <charset val="1"/>
      </rPr>
      <t xml:space="preserve">0.66 </t>
    </r>
    <r>
      <rPr>
        <sz val="11"/>
        <rFont val="Noto Sans CJK SC"/>
        <family val="2"/>
      </rPr>
      <t xml:space="preserve">左右；約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</si>
  <si>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（三年）。金額：十億新台幣；整櫃價格與市場以美元計、以匯率換算。口徑：歸屬母公司淨利。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</si>
  <si>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</si>
  <si>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每櫃價格（廣達模型）＝組裝市場；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鴻海有效份額（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以公司雲端網路占比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占雲端網路校準，金額口徑）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</si>
  <si>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：雲端網路非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、消費智能、電腦終端、元件及其他各自以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伺服器（毛額基礎）比其他營收低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起再加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稀釋 </t>
    </r>
    <r>
      <rPr>
        <sz val="11"/>
        <rFont val="Cambria"/>
        <family val="0"/>
        <charset val="1"/>
      </rPr>
      <t xml:space="preserve">vrd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）；客供部分不計營收、保留 </t>
    </r>
    <r>
      <rPr>
        <sz val="11"/>
        <rFont val="Cambria"/>
        <family val="0"/>
        <charset val="1"/>
      </rPr>
      <t xml:space="preserve">keep </t>
    </r>
    <r>
      <rPr>
        <sz val="11"/>
        <rFont val="Noto Sans CJK SC"/>
        <family val="2"/>
      </rPr>
      <t xml:space="preserve">比例的毛利。營業費用：彈性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</si>
  <si>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季增、毛利率、營業費用率、淨利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</si>
  <si>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目標價（廣達、緯創、和碩、</t>
    </r>
    <r>
      <rPr>
        <sz val="11"/>
        <rFont val="Cambria"/>
        <family val="0"/>
        <charset val="1"/>
      </rPr>
      <t xml:space="preserve">Jabil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Flex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</si>
  <si>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未使用。公司原文只經法說摘要與新聞；券商多為 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營收公布前。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</si>
  <si>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伺服器營收金額與占雲端網路比例公司未揭露，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以「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超過五成」與 </t>
    </r>
    <r>
      <rPr>
        <sz val="11"/>
        <rFont val="Cambria"/>
        <family val="0"/>
        <charset val="1"/>
      </rPr>
      <t xml:space="preserve">2H </t>
    </r>
    <r>
      <rPr>
        <sz val="11"/>
        <rFont val="Noto Sans CJK SC"/>
        <family val="2"/>
      </rPr>
      <t xml:space="preserve">機櫃放量假設 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，是份額校準的最大不確定；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雲端網路非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（網通、一般伺服器）未拆，以單一成長率推；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客供比例與保留毛利比例是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，鴻海已有半成品模式（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雲端網路營收受影響），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已含在錨點；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份額為金額口徑，與櫃數份額（三家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中約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、法人估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機櫃約 </t>
    </r>
    <r>
      <rPr>
        <sz val="11"/>
        <rFont val="Cambria"/>
        <family val="0"/>
        <charset val="1"/>
      </rPr>
      <t xml:space="preserve">44%</t>
    </r>
    <r>
      <rPr>
        <sz val="11"/>
        <rFont val="Noto Sans CJK SC"/>
        <family val="2"/>
      </rPr>
      <t xml:space="preserve">）不同；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業外、稅與少數股權以一個係數涵蓋，季別業外與稅前未找到；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2016–2023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iPhone </t>
    </r>
    <r>
      <rPr>
        <sz val="11"/>
        <rFont val="Noto Sans CJK SC"/>
        <family val="2"/>
      </rPr>
      <t xml:space="preserve">組裝期低倍數，規則值可能低估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期倍數；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</si>
  <si>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或更早），依工作單沿用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。上游廣達模型改為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，本模型讀取的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數值不變。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</si>
  <si>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</si>
  <si>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</si>
  <si>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NT$349.9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290.3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409.5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42.8%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25%–50%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67.2%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與倍數兩者：本模型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27.78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21.06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31.9%</t>
    </r>
    <r>
      <rPr>
        <sz val="11"/>
        <color theme="1"/>
        <rFont val="Noto Sans CJK SC"/>
        <family val="2"/>
      </rPr>
      <t xml:space="preserve">（兩者期間差約一年），同業（廣達、緯創、和碩、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14.7 </t>
    </r>
    <r>
      <rPr>
        <sz val="11"/>
        <color theme="1"/>
        <rFont val="Noto Sans CJK SC"/>
        <family val="2"/>
      </rPr>
      <t xml:space="preserve">倍也高於現價隱含 </t>
    </r>
    <r>
      <rPr>
        <sz val="11"/>
        <color theme="1"/>
        <rFont val="Calibri"/>
        <family val="2"/>
        <charset val="1"/>
      </rPr>
      <t xml:space="preserve">11.6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只高 </t>
    </r>
    <r>
      <rPr>
        <sz val="11"/>
        <color theme="1"/>
        <rFont val="Calibri"/>
        <family val="2"/>
        <charset val="1"/>
      </rPr>
      <t xml:space="preserve">18.5%</t>
    </r>
    <r>
      <rPr>
        <sz val="11"/>
        <color theme="1"/>
        <rFont val="Noto Sans CJK SC"/>
        <family val="2"/>
      </rPr>
      <t xml:space="preserve">，因 </t>
    </r>
    <r>
      <rPr>
        <sz val="11"/>
        <color theme="1"/>
        <rFont val="Calibri"/>
        <family val="2"/>
        <charset val="1"/>
      </rPr>
      <t xml:space="preserve">ROE 10.1% </t>
    </r>
    <r>
      <rPr>
        <sz val="11"/>
        <color theme="1"/>
        <rFont val="Noto Sans CJK SC"/>
        <family val="2"/>
      </rPr>
      <t xml:space="preserve">接近折現率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（再投資率 </t>
    </r>
    <r>
      <rPr>
        <sz val="11"/>
        <color theme="1"/>
        <rFont val="Calibri"/>
        <family val="2"/>
        <charset val="1"/>
      </rPr>
      <t xml:space="preserve">39.7%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</si>
  <si>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26.71 </t>
    </r>
    <r>
      <rPr>
        <sz val="11"/>
        <color theme="1"/>
        <rFont val="Noto Sans CJK SC"/>
        <family val="2"/>
      </rPr>
      <t xml:space="preserve">比法人 </t>
    </r>
    <r>
      <rPr>
        <sz val="11"/>
        <color theme="1"/>
        <rFont val="Calibri"/>
        <family val="2"/>
        <charset val="1"/>
      </rPr>
      <t xml:space="preserve">22.0–25.0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6.9%–21.4%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營業利益是顆數以外最敏感的變數（</t>
    </r>
    <r>
      <rPr>
        <sz val="11"/>
        <color theme="1"/>
        <rFont val="Calibri"/>
        <family val="2"/>
        <charset val="1"/>
      </rPr>
      <t xml:space="preserve">0.60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−9.1%</t>
    </r>
    <r>
      <rPr>
        <sz val="11"/>
        <color theme="1"/>
        <rFont val="Noto Sans CJK SC"/>
        <family val="2"/>
      </rPr>
      <t xml:space="preserve">，回到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0.73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+10.6%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月中）的業外與稅率是第一個檢驗點。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</si>
  <si>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31.42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27.71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23.60</t>
    </r>
    <r>
      <rPr>
        <sz val="11"/>
        <color theme="1"/>
        <rFont val="Noto Sans CJK SC"/>
        <family val="2"/>
      </rPr>
      <t xml:space="preserve">，法人 </t>
    </r>
    <r>
      <rPr>
        <sz val="11"/>
        <color theme="1"/>
        <rFont val="Calibri"/>
        <family val="2"/>
        <charset val="1"/>
      </rPr>
      <t xml:space="preserve">28.0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之間；份額相對值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（廣達、緯創搶單）時 </t>
    </r>
    <r>
      <rPr>
        <sz val="11"/>
        <color theme="1"/>
        <rFont val="Calibri"/>
        <family val="2"/>
        <charset val="1"/>
      </rPr>
      <t xml:space="preserve">FY2028 EPS −14.3%</t>
    </r>
    <r>
      <rPr>
        <sz val="11"/>
        <color theme="1"/>
        <rFont val="Noto Sans CJK SC"/>
        <family val="2"/>
      </rPr>
      <t xml:space="preserve">，份額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市占目標五成）時 </t>
    </r>
    <r>
      <rPr>
        <sz val="11"/>
        <color theme="1"/>
        <rFont val="Calibri"/>
        <family val="2"/>
        <charset val="1"/>
      </rPr>
      <t xml:space="preserve">+8.5%</t>
    </r>
    <r>
      <rPr>
        <sz val="11"/>
        <color theme="1"/>
        <rFont val="Noto Sans CJK SC"/>
        <family val="2"/>
      </rPr>
      <t xml:space="preserve">。追蹤 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整櫃出貨份額。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</si>
  <si>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</si>
  <si>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未使用。公司原文＝鴻海法說（經富果、鉅亨、優分析摘要）、月營收公告；公司的產品占比與展望為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。組裝市場與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每櫃價格讀廣達模型（唯讀），口徑一致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</si>
  <si>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</si>
  <si>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</si>
  <si>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</si>
  <si>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</si>
  <si>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</si>
  <si>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</si>
  <si>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</si>
  <si>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</si>
  <si>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</si>
  <si>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</si>
  <si>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</si>
  <si>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</si>
  <si>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</si>
  <si>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</si>
  <si>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</si>
  <si>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（與廣達、台達電模型同口徑）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</si>
  <si>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</si>
  <si>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</si>
  <si>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</si>
  <si>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</si>
  <si>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</si>
  <si>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</si>
  <si>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</si>
  <si>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</si>
  <si>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</si>
  <si>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</si>
  <si>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</si>
  <si>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</si>
  <si>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</si>
  <si>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</si>
  <si>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</si>
  <si>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</si>
  <si>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</si>
  <si>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</si>
  <si>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Noto Sans CJK SC"/>
        <family val="2"/>
      </rPr>
      <t xml:space="preserve">廣達模型輸入（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）；鴻海：</t>
    </r>
    <r>
      <rPr>
        <sz val="11"/>
        <color theme="1"/>
        <rFont val="Calibri"/>
        <family val="2"/>
        <charset val="1"/>
      </rPr>
      <t xml:space="preserve">LPU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Vera </t>
    </r>
    <r>
      <rPr>
        <sz val="11"/>
        <color theme="1"/>
        <rFont val="Noto Sans CJK SC"/>
        <family val="2"/>
      </rPr>
      <t xml:space="preserve">相關產品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逐步放量（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</si>
  <si>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</si>
  <si>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</si>
  <si>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</si>
  <si>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</si>
  <si>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</si>
  <si>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</si>
  <si>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</si>
  <si>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rack_gb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</si>
  <si>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</si>
  <si>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</si>
  <si>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</si>
  <si>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買方價</t>
    </r>
  </si>
  <si>
    <t xml:space="preserve">rack_vr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</si>
  <si>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</si>
  <si>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</si>
  <si>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</si>
  <si>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</si>
  <si>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</si>
  <si>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</si>
  <si>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、廣達模型相同）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</si>
  <si>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</si>
  <si>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</si>
  <si>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</si>
  <si>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</si>
  <si>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</si>
  <si>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</si>
  <si>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</si>
  <si>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</si>
  <si>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</si>
  <si>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</si>
  <si>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</si>
  <si>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</si>
  <si>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</si>
  <si>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</si>
  <si>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</si>
  <si>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</si>
  <si>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</si>
  <si>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</si>
  <si>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</si>
  <si>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與廣達、台達電模型相同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</si>
  <si>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組裝價格（讀廣達模型，唯讀）、鴻海份額與客供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</si>
  <si>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</si>
  <si>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</si>
  <si>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</si>
  <si>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r>
      <rPr>
        <sz val="11"/>
        <color theme="1"/>
        <rFont val="Noto Sans CJK SC"/>
        <family val="2"/>
      </rPr>
      <t xml:space="preserve">廣達模型標記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（工商時報、</t>
    </r>
    <r>
      <rPr>
        <sz val="11"/>
        <color theme="1"/>
        <rFont val="Calibri"/>
        <family val="2"/>
        <charset val="1"/>
      </rPr>
      <t xml:space="preserve">FTNN </t>
    </r>
    <r>
      <rPr>
        <sz val="11"/>
        <color theme="1"/>
        <rFont val="Noto Sans CJK SC"/>
        <family val="2"/>
      </rPr>
      <t xml:space="preserve">引述法人）；本模型不另訂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</si>
  <si>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</si>
  <si>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</si>
  <si>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In!D25:F25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</si>
  <si>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</si>
  <si>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</si>
  <si>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</si>
  <si>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廣達模型的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每櫃價格與每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架數未找到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</si>
  <si>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</si>
  <si>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</si>
  <si>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</si>
  <si>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rel_27</t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</si>
  <si>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</si>
  <si>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市佔目標四成以上（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法說，富果）</t>
    </r>
  </si>
  <si>
    <r>
      <rPr>
        <sz val="11"/>
        <color theme="1"/>
        <rFont val="Calibri"/>
        <family val="2"/>
        <charset val="1"/>
      </rPr>
      <t xml:space="preserve">https://money.udn.com/money/story/5739/9716181</t>
    </r>
    <r>
      <rPr>
        <sz val="11"/>
        <color theme="1"/>
        <rFont val="Noto Sans CJK SC"/>
        <family val="2"/>
      </rPr>
      <t xml:space="preserve">：法人預期鴻海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整體市占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以上、部分客戶超過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</si>
  <si>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</si>
  <si>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鴻海份額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</si>
  <si>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同上；廣達、緯創同時擴產（廣達模型假設廣達份額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</si>
  <si>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</si>
  <si>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</si>
  <si>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鴻海份額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</si>
  <si>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</si>
  <si>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毛額價值中改為客戶供料、不計營收的比例）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</si>
  <si>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：客供目前主要用於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專案，未來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都可能採用、占比逐步提升（公司；未給比例）</t>
    </r>
  </si>
  <si>
    <r>
      <rPr>
        <sz val="11"/>
        <color theme="1"/>
        <rFont val="Calibri"/>
        <family val="2"/>
        <charset val="1"/>
      </rPr>
      <t xml:space="preserve">https://news.cnyes.com/news/id/6458468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雲端網路因營收認列模式改變低於預期、不影響獲利（公司）；與廣達模型同值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</si>
  <si>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</si>
  <si>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</si>
  <si>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</si>
  <si>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</si>
  <si>
    <t xml:space="preserve">keep</t>
  </si>
  <si>
    <t xml:space="preserve">客供部分保留的毛利比例（相對買賣模式）</t>
  </si>
  <si>
    <r>
      <rPr>
        <sz val="11"/>
        <color theme="1"/>
        <rFont val="Noto Sans CJK SC"/>
        <family val="2"/>
      </rPr>
      <t xml:space="preserve">公司：營收認列模式改變不影響獲利（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法說，鉅亨）</t>
    </r>
  </si>
  <si>
    <t xml:space="preserve">與廣達模型同值；量化：未找到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</si>
  <si>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營收結構錨點（公司揭露產品占比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</si>
  <si>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cl_25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</si>
  <si>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</si>
  <si>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</si>
  <si>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https://blog.fugle.tw/post/earnings-call-2317-2026-03-16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雲端網路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、消費智能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、電腦終端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、元件及其他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</si>
  <si>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https://uanalyze.com.tw/articles/4369349056</t>
    </r>
    <r>
      <rPr>
        <sz val="11"/>
        <color theme="1"/>
        <rFont val="Noto Sans CJK SC"/>
        <family val="2"/>
      </rPr>
      <t xml:space="preserve">：同</t>
    </r>
  </si>
  <si>
    <t xml:space="preserve">ce_25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</si>
  <si>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年消費智能產品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</si>
  <si>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pc_25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</si>
  <si>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年電腦終端產品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</si>
  <si>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同上（元件及其他＝殘差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</si>
  <si>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ais_25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</si>
  <si>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雲端網路產品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</si>
  <si>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</si>
  <si>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https://uanalyze.com.tw/articles/5938328761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2Q25 AI </t>
    </r>
    <r>
      <rPr>
        <sz val="11"/>
        <color theme="1"/>
        <rFont val="Noto Sans CJK SC"/>
        <family val="2"/>
      </rPr>
      <t xml:space="preserve">伺服器占雲端網路超過五成（公司）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</si>
  <si>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約三成（數位時代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）；前三季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伺服器營收已破兆元（世界新聞網 </t>
    </r>
    <r>
      <rPr>
        <sz val="11"/>
        <color theme="1"/>
        <rFont val="Calibri"/>
        <family val="2"/>
        <charset val="1"/>
      </rPr>
      <t xml:space="preserve">2025-11-12</t>
    </r>
    <r>
      <rPr>
        <sz val="11"/>
        <color theme="1"/>
        <rFont val="Noto Sans CJK SC"/>
        <family val="2"/>
      </rPr>
      <t xml:space="preserve">）</t>
    </r>
  </si>
  <si>
    <t xml:space="preserve">cl_26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</si>
  <si>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</si>
  <si>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51%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雲端網路季增、年增強勁成長（公司）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</si>
  <si>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55%</t>
    </r>
    <r>
      <rPr>
        <sz val="11"/>
        <color theme="1"/>
        <rFont val="Noto Sans CJK SC"/>
        <family val="2"/>
      </rPr>
      <t xml:space="preserve">（凱基）</t>
    </r>
  </si>
  <si>
    <t xml:space="preserve">ais_26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</si>
  <si>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雲端網路產品</t>
    </r>
  </si>
  <si>
    <r>
      <rPr>
        <sz val="11"/>
        <color theme="1"/>
        <rFont val="Calibri"/>
        <family val="2"/>
        <charset val="1"/>
      </rPr>
      <t xml:space="preserve">https://finance.technews.tw/2026/05/15/ai-server-800g-switch-foxconn/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伺服器已占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雲端網路營收超過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（摩根士丹利引述）</t>
    </r>
  </si>
  <si>
    <r>
      <rPr>
        <sz val="11"/>
        <color theme="1"/>
        <rFont val="Calibri"/>
        <family val="2"/>
        <charset val="1"/>
      </rPr>
      <t xml:space="preserve">3Q26 AI </t>
    </r>
    <r>
      <rPr>
        <sz val="11"/>
        <color theme="1"/>
        <rFont val="Noto Sans CJK SC"/>
        <family val="2"/>
      </rPr>
      <t xml:space="preserve">機櫃營收季增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以上（公司，經凱基）；全年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機櫃出貨倍數以上成長（公司）</t>
    </r>
  </si>
  <si>
    <t xml:space="preserve">ce_26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</si>
  <si>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年消費智能產品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</si>
  <si>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季增、年增顯著成長（公司）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</si>
  <si>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29.4%</t>
    </r>
  </si>
  <si>
    <t xml:space="preserve">pc_26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</si>
  <si>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年電腦終端產品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</si>
  <si>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季減（公司）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</si>
  <si>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11.2%</t>
    </r>
    <r>
      <rPr>
        <sz val="11"/>
        <color theme="1"/>
        <rFont val="Noto Sans CJK SC"/>
        <family val="2"/>
      </rPr>
      <t xml:space="preserve">；元件及其他＝殘差</t>
    </r>
  </si>
  <si>
    <t xml:space="preserve">g_cn27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</si>
  <si>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（網通、一般伺服器）年增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</si>
  <si>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以上交換機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營收倍增；通用伺服器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雙位數以上成長（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</si>
  <si>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以外的雲端網路拆分未揭露：未找到</t>
    </r>
  </si>
  <si>
    <t xml:space="preserve">g_cn28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</si>
  <si>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</si>
  <si>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g_cn29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</si>
  <si>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</si>
  <si>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g_ce27</t>
  </si>
  <si>
    <r>
      <rPr>
        <sz val="11"/>
        <color theme="1"/>
        <rFont val="Noto Sans CJK SC"/>
        <family val="2"/>
      </rPr>
      <t xml:space="preserve">消費智能（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等）年增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</si>
  <si>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消費智能顯著成長（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年報法說）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</si>
  <si>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消費電子 </t>
    </r>
    <r>
      <rPr>
        <sz val="11"/>
        <color theme="1"/>
        <rFont val="Calibri"/>
        <family val="2"/>
        <charset val="1"/>
      </rPr>
      <t xml:space="preserve">+2%</t>
    </r>
  </si>
  <si>
    <t xml:space="preserve">g_ce28</t>
  </si>
  <si>
    <r>
      <rPr>
        <sz val="11"/>
        <color theme="1"/>
        <rFont val="Noto Sans CJK SC"/>
        <family val="2"/>
      </rPr>
      <t xml:space="preserve">消費智能年增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</si>
  <si>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g_ce29</t>
  </si>
  <si>
    <r>
      <rPr>
        <sz val="11"/>
        <color theme="1"/>
        <rFont val="Noto Sans CJK SC"/>
        <family val="2"/>
      </rPr>
      <t xml:space="preserve">消費智能年增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</si>
  <si>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g_pc27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</si>
  <si>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</si>
  <si>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略微衰退（記憶體漲價）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</si>
  <si>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電腦 −</t>
    </r>
    <r>
      <rPr>
        <sz val="11"/>
        <color theme="1"/>
        <rFont val="Calibri"/>
        <family val="2"/>
        <charset val="1"/>
      </rPr>
      <t xml:space="preserve">5%</t>
    </r>
  </si>
  <si>
    <t xml:space="preserve">g_pc28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</si>
  <si>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</si>
  <si>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g_pc29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</si>
  <si>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</si>
  <si>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g_co27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</si>
  <si>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</si>
  <si>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大致持平至成長；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年增強勁成長（月營收公告）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</si>
  <si>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元件及其他 </t>
    </r>
    <r>
      <rPr>
        <sz val="11"/>
        <color theme="1"/>
        <rFont val="Calibri"/>
        <family val="2"/>
        <charset val="1"/>
      </rPr>
      <t xml:space="preserve">+93%</t>
    </r>
    <r>
      <rPr>
        <sz val="11"/>
        <color theme="1"/>
        <rFont val="Noto Sans CJK SC"/>
        <family val="2"/>
      </rPr>
      <t xml:space="preserve">（含電動車與半導體，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；本版不採用）</t>
    </r>
  </si>
  <si>
    <t xml:space="preserve">g_co28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</si>
  <si>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</si>
  <si>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g_co29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</si>
  <si>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</si>
  <si>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</si>
  <si>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</si>
  <si>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伺服器毛利率（毛額基礎）減其他營收毛利率</t>
    </r>
  </si>
  <si>
    <t xml:space="preserve">pt</t>
  </si>
  <si>
    <r>
      <rPr>
        <sz val="11"/>
        <color theme="1"/>
        <rFont val="Noto Sans CJK SC"/>
        <family val="2"/>
      </rPr>
      <t xml:space="preserve">公司毛利率 </t>
    </r>
    <r>
      <rPr>
        <sz val="11"/>
        <color theme="1"/>
        <rFont val="Calibri"/>
        <family val="2"/>
        <charset val="1"/>
      </rPr>
      <t xml:space="preserve">FY2025 6.15%</t>
    </r>
    <r>
      <rPr>
        <sz val="11"/>
        <color theme="1"/>
        <rFont val="Noto Sans CJK SC"/>
        <family val="2"/>
      </rPr>
      <t xml:space="preserve">（雲端占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1H26 6.15%</t>
    </r>
    <r>
      <rPr>
        <sz val="11"/>
        <color theme="1"/>
        <rFont val="Noto Sans CJK SC"/>
        <family val="2"/>
      </rPr>
      <t xml:space="preserve">（雲端約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占比上升而毛利率大致持平，差距小</t>
    </r>
  </si>
  <si>
    <r>
      <rPr>
        <sz val="11"/>
        <color theme="1"/>
        <rFont val="Noto Sans CJK SC"/>
        <family val="2"/>
      </rPr>
      <t xml:space="preserve">部門別毛利率未揭露：未找到；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5.88% </t>
    </r>
    <r>
      <rPr>
        <sz val="11"/>
        <color theme="1"/>
        <rFont val="Noto Sans CJK SC"/>
        <family val="2"/>
      </rPr>
      <t xml:space="preserve">受半成品模式伺服器比重影響（公司）</t>
    </r>
  </si>
  <si>
    <t xml:space="preserve">vrd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</si>
  <si>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世代起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</si>
  <si>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2026F 5.9% → 2027F 5.7%</t>
    </r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</si>
  <si>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6.1%</t>
    </r>
    <r>
      <rPr>
        <sz val="11"/>
        <color theme="1"/>
        <rFont val="Noto Sans CJK SC"/>
        <family val="2"/>
      </rPr>
      <t xml:space="preserve">；廣達模型 −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個百分點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</si>
  <si>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</si>
  <si>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</si>
  <si>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</si>
  <si>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</si>
  <si>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r>
      <rPr>
        <sz val="11"/>
        <color theme="1"/>
        <rFont val="Calibri"/>
        <family val="2"/>
        <charset val="1"/>
      </rPr>
      <t xml:space="preserve">https://finance.technews.tw/2026/10/05/2026-sep-foxconn/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269 </t>
    </r>
    <r>
      <rPr>
        <sz val="11"/>
        <color theme="1"/>
        <rFont val="Noto Sans CJK SC"/>
        <family val="2"/>
      </rPr>
      <t xml:space="preserve">億元、季增 </t>
    </r>
    <r>
      <rPr>
        <sz val="11"/>
        <color theme="1"/>
        <rFont val="Calibri"/>
        <family val="2"/>
        <charset val="1"/>
      </rPr>
      <t xml:space="preserve">20.44%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47.12%</t>
    </r>
    <r>
      <rPr>
        <sz val="11"/>
        <color theme="1"/>
        <rFont val="Noto Sans CJK SC"/>
        <family val="2"/>
      </rPr>
      <t xml:space="preserve">；前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6,698 </t>
    </r>
    <r>
      <rPr>
        <sz val="11"/>
        <color theme="1"/>
        <rFont val="Noto Sans CJK SC"/>
        <family val="2"/>
      </rPr>
      <t xml:space="preserve">億元（公司月營收）</t>
    </r>
  </si>
  <si>
    <r>
      <rPr>
        <sz val="11"/>
        <color theme="1"/>
        <rFont val="Calibri"/>
        <family val="2"/>
        <charset val="1"/>
      </rPr>
      <t xml:space="preserve">https://uanalyze.com.tw/articles/4830556496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3.02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1.15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9,465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9,217.66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TechNews 2026-09-05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</si>
  <si>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</si>
  <si>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</si>
  <si>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持續成長加上 </t>
    </r>
    <r>
      <rPr>
        <sz val="11"/>
        <color theme="1"/>
        <rFont val="Calibri"/>
        <family val="2"/>
        <charset val="1"/>
      </rPr>
      <t xml:space="preserve">ICT </t>
    </r>
    <r>
      <rPr>
        <sz val="11"/>
        <color theme="1"/>
        <rFont val="Noto Sans CJK SC"/>
        <family val="2"/>
      </rPr>
      <t xml:space="preserve">旺季，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整體營運可望符合目前市場預期（</t>
    </r>
    <r>
      <rPr>
        <sz val="11"/>
        <color theme="1"/>
        <rFont val="Calibri"/>
        <family val="2"/>
        <charset val="1"/>
      </rPr>
      <t xml:space="preserve">10-05 </t>
    </r>
    <r>
      <rPr>
        <sz val="11"/>
        <color theme="1"/>
        <rFont val="Noto Sans CJK SC"/>
        <family val="2"/>
      </rPr>
      <t xml:space="preserve">月營收公告）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</si>
  <si>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4Q26F 3,536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3Q26F 2,829 </t>
    </r>
    <r>
      <rPr>
        <sz val="11"/>
        <color theme="1"/>
        <rFont val="Noto Sans CJK SC"/>
        <family val="2"/>
      </rPr>
      <t xml:space="preserve">為基礎，季增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（公司）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</si>
  <si>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</si>
  <si>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</si>
  <si>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6.18%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6.12%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4Q25 5.88%</t>
    </r>
    <r>
      <rPr>
        <sz val="11"/>
        <color theme="1"/>
        <rFont val="Noto Sans CJK SC"/>
        <family val="2"/>
      </rPr>
      <t xml:space="preserve">（半成品模式影響）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</si>
  <si>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5.9%</t>
    </r>
    <r>
      <rPr>
        <sz val="11"/>
        <color theme="1"/>
        <rFont val="Noto Sans CJK SC"/>
        <family val="2"/>
      </rPr>
      <t xml:space="preserve">；瑞銀 </t>
    </r>
    <r>
      <rPr>
        <sz val="11"/>
        <color theme="1"/>
        <rFont val="Calibri"/>
        <family val="2"/>
        <charset val="1"/>
      </rPr>
      <t xml:space="preserve">2026F 6.1%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</si>
  <si>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</si>
  <si>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</si>
  <si>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2.36%</t>
    </r>
    <r>
      <rPr>
        <sz val="11"/>
        <color theme="1"/>
        <rFont val="Noto Sans CJK SC"/>
        <family val="2"/>
      </rPr>
      <t xml:space="preserve">（公司毛利 − 營業利益推得）；營收放大後費用率下降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</si>
  <si>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研發近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億元、年增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</si>
  <si>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</si>
  <si>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</si>
  <si>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1H26 109.89 ÷ 170.45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189.35 ÷ 259.22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0.730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</si>
  <si>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平均稅率 </t>
    </r>
    <r>
      <rPr>
        <sz val="11"/>
        <color theme="1"/>
        <rFont val="Calibri"/>
        <family val="2"/>
        <charset val="1"/>
      </rPr>
      <t xml:space="preserve">24–26%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業外損失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億（匯兌、利息）；凱基 </t>
    </r>
    <r>
      <rPr>
        <sz val="11"/>
        <color theme="1"/>
        <rFont val="Calibri"/>
        <family val="2"/>
        <charset val="1"/>
      </rPr>
      <t xml:space="preserve">2026F 0.658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</si>
  <si>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</si>
  <si>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</si>
  <si>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</si>
  <si>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499.19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599.74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7.84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</si>
  <si>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189.354 ÷ 13.61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13.913</t>
    </r>
    <r>
      <rPr>
        <sz val="11"/>
        <color theme="1"/>
        <rFont val="Noto Sans CJK SC"/>
        <family val="2"/>
      </rPr>
      <t xml:space="preserve">；凱基流通股數 </t>
    </r>
    <r>
      <rPr>
        <sz val="11"/>
        <color theme="1"/>
        <rFont val="Calibri"/>
        <family val="2"/>
        <charset val="1"/>
      </rPr>
      <t xml:space="preserve">14,076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</si>
  <si>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</si>
  <si>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</si>
  <si>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</si>
  <si>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</si>
  <si>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2.95% → 2Q26 2.36%</t>
    </r>
    <r>
      <rPr>
        <sz val="11"/>
        <color theme="1"/>
        <rFont val="Noto Sans CJK SC"/>
        <family val="2"/>
      </rPr>
      <t xml:space="preserve">；研發年增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，基準取高於實測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</si>
  <si>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</si>
  <si>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</si>
  <si>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</si>
  <si>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±5%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</si>
  <si>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</si>
  <si>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</si>
  <si>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0.645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0.730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</si>
  <si>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凱基隱含 </t>
    </r>
    <r>
      <rPr>
        <sz val="11"/>
        <color theme="1"/>
        <rFont val="Calibri"/>
        <family val="2"/>
        <charset val="1"/>
      </rPr>
      <t xml:space="preserve">2026F 0.658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0.663</t>
    </r>
    <r>
      <rPr>
        <sz val="11"/>
        <color theme="1"/>
        <rFont val="Noto Sans CJK SC"/>
        <family val="2"/>
      </rPr>
      <t xml:space="preserve">（稅率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、少數股權 </t>
    </r>
    <r>
      <rPr>
        <sz val="11"/>
        <color theme="1"/>
        <rFont val="Calibri"/>
        <family val="2"/>
        <charset val="1"/>
      </rPr>
      <t xml:space="preserve">380–440 </t>
    </r>
    <r>
      <rPr>
        <sz val="11"/>
        <color theme="1"/>
        <rFont val="Noto Sans CJK SC"/>
        <family val="2"/>
      </rPr>
      <t xml:space="preserve">億）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</si>
  <si>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</si>
  <si>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</si>
  <si>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13.913 → 1H26 14.017</t>
    </r>
    <r>
      <rPr>
        <sz val="11"/>
        <color theme="1"/>
        <rFont val="Noto Sans CJK SC"/>
        <family val="2"/>
      </rPr>
      <t xml:space="preserve">（可轉債轉換）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</si>
  <si>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</si>
  <si>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</si>
  <si>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</si>
  <si>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</si>
  <si>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</si>
  <si>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</si>
  <si>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</si>
  <si>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https://www.kgi.com.hk/zh-cn/-/media/files/kgishk/research-reports/tw-reports/hon-hai-precision-2317-tt20260812en.pdf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</si>
  <si>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3,026.9 </t>
    </r>
    <r>
      <rPr>
        <sz val="11"/>
        <color theme="1"/>
        <rFont val="Noto Sans CJK SC"/>
        <family val="2"/>
      </rPr>
      <t xml:space="preserve">高於凱基 </t>
    </r>
    <r>
      <rPr>
        <sz val="11"/>
        <color theme="1"/>
        <rFont val="Calibri"/>
        <family val="2"/>
        <charset val="1"/>
      </rPr>
      <t xml:space="preserve">3Q26F 2,829</t>
    </r>
  </si>
  <si>
    <t xml:space="preserve">b_eps26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</si>
  <si>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</si>
  <si>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</si>
  <si>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18.0</t>
    </r>
    <r>
      <rPr>
        <sz val="11"/>
        <color theme="1"/>
        <rFont val="Noto Sans CJK SC"/>
        <family val="2"/>
      </rPr>
      <t xml:space="preserve">；摩根士丹利 </t>
    </r>
    <r>
      <rPr>
        <sz val="11"/>
        <color theme="1"/>
        <rFont val="Calibri"/>
        <family val="2"/>
        <charset val="1"/>
      </rPr>
      <t xml:space="preserve">05-15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16.38</t>
    </r>
  </si>
  <si>
    <t xml:space="preserve">b_rev27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</si>
  <si>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</si>
  <si>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瑞銀：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28%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</si>
  <si>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</si>
  <si>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</si>
  <si>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</si>
  <si>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（瑞銀 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</si>
  <si>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https://money.udn.com/money/amp/story/5607/9644763</t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</si>
  <si>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320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15x 2027 EPS</t>
    </r>
  </si>
  <si>
    <t xml:space="preserve">b_eps27c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</si>
  <si>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</si>
  <si>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https://www.businesstoday.com.tw/article/category/183008/post/202608170022/</t>
    </r>
    <r>
      <rPr>
        <sz val="11"/>
        <color theme="1"/>
        <rFont val="Noto Sans CJK SC"/>
        <family val="2"/>
      </rPr>
      <t xml:space="preserve">（今周刊；未具名法人：</t>
    </r>
    <r>
      <rPr>
        <sz val="11"/>
        <color theme="1"/>
        <rFont val="Calibri"/>
        <family val="2"/>
        <charset val="1"/>
      </rPr>
      <t xml:space="preserve">2026 19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2028 28</t>
    </r>
    <r>
      <rPr>
        <sz val="11"/>
        <color theme="1"/>
        <rFont val="Noto Sans CJK SC"/>
        <family val="2"/>
      </rPr>
      <t xml:space="preserve">）</t>
    </r>
  </si>
  <si>
    <t xml:space="preserve">b_eps28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</si>
  <si>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</si>
  <si>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t xml:space="preserve">https://www.businesstoday.com.tw/article/category/183008/post/202608170022/</t>
  </si>
  <si>
    <r>
      <rPr>
        <sz val="11"/>
        <color theme="1"/>
        <rFont val="Noto Sans CJK SC"/>
        <family val="2"/>
      </rPr>
      <t xml:space="preserve">摩根士丹利 </t>
    </r>
    <r>
      <rPr>
        <sz val="11"/>
        <color theme="1"/>
        <rFont val="Calibri"/>
        <family val="2"/>
        <charset val="1"/>
      </rPr>
      <t xml:space="preserve">05-15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23.03</t>
    </r>
  </si>
  <si>
    <t xml:space="preserve">b_gm27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</si>
  <si>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毛利率（凱基）</t>
    </r>
  </si>
  <si>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3.4%</t>
    </r>
  </si>
  <si>
    <t xml:space="preserve">rk_sh</t>
  </si>
  <si>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中鴻海的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</si>
  <si>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引述美系券商：鴻海約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</si>
  <si>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櫃數口徑；單月、三家合計（不含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</t>
    </r>
  </si>
  <si>
    <t xml:space="preserve">rk_sh2</t>
  </si>
  <si>
    <r>
      <rPr>
        <sz val="11"/>
        <color theme="1"/>
        <rFont val="Noto Sans CJK SC"/>
        <family val="2"/>
      </rPr>
      <t xml:space="preserve">鴻海占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伺服器機櫃的全球份額（法人估）</t>
    </r>
  </si>
  <si>
    <r>
      <rPr>
        <sz val="11"/>
        <color theme="1"/>
        <rFont val="Calibri"/>
        <family val="2"/>
        <charset val="1"/>
      </rPr>
      <t xml:space="preserve">https://www.inside.com.tw/article/42074-foxconn-q2-2026-ai-server-revenue-passes-half</t>
    </r>
    <r>
      <rPr>
        <sz val="11"/>
        <color theme="1"/>
        <rFont val="Noto Sans CJK SC"/>
        <family val="2"/>
      </rPr>
      <t xml:space="preserve">：法人估約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（公司說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</si>
  <si>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t xml:space="preserve">櫃數口徑（推測；原文未寫明櫃數或金額）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</si>
  <si>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</si>
  <si>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</si>
  <si>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</si>
  <si>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聚財網 </t>
    </r>
    <r>
      <rPr>
        <sz val="11"/>
        <color theme="1"/>
        <rFont val="Calibri"/>
        <family val="2"/>
        <charset val="1"/>
      </rPr>
      <t xml:space="preserve">2317 </t>
    </r>
    <r>
      <rPr>
        <sz val="11"/>
        <color theme="1"/>
        <rFont val="Noto Sans CJK SC"/>
        <family val="2"/>
      </rPr>
      <t xml:space="preserve">日成交（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10-21 250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</si>
  <si>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股市：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244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</si>
  <si>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</si>
  <si>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</si>
  <si>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</si>
  <si>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P/E 16.14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 TTM 15.3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</si>
  <si>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</si>
  <si>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</si>
  <si>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</si>
  <si>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</si>
  <si>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</si>
  <si>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</si>
  <si>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</si>
  <si>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</si>
  <si>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</si>
  <si>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</si>
  <si>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</si>
  <si>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</si>
  <si>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</si>
  <si>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</si>
  <si>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</si>
  <si>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</si>
  <si>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</si>
  <si>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</si>
  <si>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</si>
  <si>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</si>
  <si>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</si>
  <si>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9.28%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9.71%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11.25%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</si>
  <si>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13.15%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</si>
  <si>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</si>
  <si>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</si>
  <si>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</si>
  <si>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</si>
  <si>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</si>
  <si>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</si>
  <si>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</si>
  <si>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</si>
  <si>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</si>
  <si>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</si>
  <si>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</si>
  <si>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</si>
  <si>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</si>
  <si>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</si>
  <si>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</si>
  <si>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</si>
  <si>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</si>
  <si>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</si>
  <si>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347.45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338.50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2026-10-12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</si>
  <si>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</si>
  <si>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</si>
  <si>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</si>
  <si>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239.5 ÷ Forward PE 11.37</t>
    </r>
  </si>
  <si>
    <t xml:space="preserve">賣方共識，只作對帳與差距拆解，不作校準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</si>
  <si>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為新台幣；股數為十億股）。藍字＝輸入；黑字＝公式。實績取自鴻海法說摘要、凱基報告（實績欄）與月營收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</si>
  <si>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毛利由公司毛利率 </t>
    </r>
    <r>
      <rPr>
        <sz val="11"/>
        <color theme="1"/>
        <rFont val="Calibri"/>
        <family val="2"/>
        <charset val="1"/>
      </rPr>
      <t xml:space="preserve">6.18% × </t>
    </r>
    <r>
      <rPr>
        <sz val="11"/>
        <color theme="1"/>
        <rFont val="Noto Sans CJK SC"/>
        <family val="2"/>
      </rPr>
      <t xml:space="preserve">營收推得。業外與稅前：只有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業外（損失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億）與凱基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2,934 </t>
    </r>
    <r>
      <rPr>
        <sz val="11"/>
        <color theme="1"/>
        <rFont val="Noto Sans CJK SC"/>
        <family val="2"/>
      </rPr>
      <t xml:space="preserve">億，季別未找到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</si>
  <si>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</si>
  <si>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</si>
  <si>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</si>
  <si>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</si>
  <si>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</si>
  <si>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</si>
  <si>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</si>
  <si>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</si>
  <si>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https://uanalyze.com.tw/articles/4369349056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https://news.cnyes.com/news/id/6458468</t>
    </r>
  </si>
  <si>
    <r>
      <rPr>
        <sz val="11"/>
        <color theme="1"/>
        <rFont val="Calibri"/>
        <family val="2"/>
        <charset val="1"/>
      </rPr>
      <t xml:space="preserve">FY2025 8,103.105</t>
    </r>
    <r>
      <rPr>
        <sz val="11"/>
        <color theme="1"/>
        <rFont val="Noto Sans CJK SC"/>
        <family val="2"/>
      </rPr>
      <t xml:space="preserve">（凱基實績欄；公司 </t>
    </r>
    <r>
      <rPr>
        <sz val="11"/>
        <color theme="1"/>
        <rFont val="Calibri"/>
        <family val="2"/>
        <charset val="1"/>
      </rPr>
      <t xml:space="preserve">8.1 </t>
    </r>
    <r>
      <rPr>
        <sz val="11"/>
        <color theme="1"/>
        <rFont val="Noto Sans CJK SC"/>
        <family val="2"/>
      </rPr>
      <t xml:space="preserve">兆）；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7,669.8 − 3Q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2,525.894</t>
    </r>
    <r>
      <rPr>
        <sz val="11"/>
        <color theme="1"/>
        <rFont val="Noto Sans CJK SC"/>
        <family val="2"/>
      </rPr>
      <t xml:space="preserve">，凱基）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</si>
  <si>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</si>
  <si>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</si>
  <si>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6.15%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6.18%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1,545.33 </t>
    </r>
    <r>
      <rPr>
        <sz val="11"/>
        <color theme="1"/>
        <rFont val="Noto Sans CJK SC"/>
        <family val="2"/>
      </rPr>
      <t xml:space="preserve">億（公司）</t>
    </r>
  </si>
  <si>
    <t xml:space="preserve">毛利率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</si>
  <si>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</si>
  <si>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</si>
  <si>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</si>
  <si>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</si>
  <si>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</si>
  <si>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2,592.23 </t>
    </r>
    <r>
      <rPr>
        <sz val="11"/>
        <color theme="1"/>
        <rFont val="Noto Sans CJK SC"/>
        <family val="2"/>
      </rPr>
      <t xml:space="preserve">億、營益率 </t>
    </r>
    <r>
      <rPr>
        <sz val="11"/>
        <color theme="1"/>
        <rFont val="Calibri"/>
        <family val="2"/>
        <charset val="1"/>
      </rPr>
      <t xml:space="preserve">3.20%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1Q26 756.49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2Q26 948.03 </t>
    </r>
    <r>
      <rPr>
        <sz val="11"/>
        <color theme="1"/>
        <rFont val="Noto Sans CJK SC"/>
        <family val="2"/>
      </rPr>
      <t xml:space="preserve">億（公司）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</si>
  <si>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</si>
  <si>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</si>
  <si>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</si>
  <si>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1,893.54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1Q26 499.19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2Q26 599.74 </t>
    </r>
    <r>
      <rPr>
        <sz val="11"/>
        <color theme="1"/>
        <rFont val="Noto Sans CJK SC"/>
        <family val="2"/>
      </rPr>
      <t xml:space="preserve">億（公司稅後淨利；凱基列為母公司淨利，少數股權另列）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</si>
  <si>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營業利益（含業外、稅、非控制權益）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</si>
  <si>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</si>
  <si>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</si>
  <si>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</si>
  <si>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</si>
  <si>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</si>
  <si>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3.56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4.27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</si>
  <si>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占雲端網路）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</si>
  <si>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</si>
  <si>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</si>
  <si>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各季與年度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伺服器營收金額未揭露：未找到</t>
    </r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</si>
  <si>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（網通、一般伺服器）</t>
    </r>
  </si>
  <si>
    <r>
      <rPr>
        <sz val="11"/>
        <color theme="1"/>
        <rFont val="Noto Sans CJK SC"/>
        <family val="2"/>
      </rPr>
      <t xml:space="preserve">消費智能（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等）</t>
    </r>
  </si>
  <si>
    <t xml:space="preserve">電腦終端</t>
  </si>
  <si>
    <t xml:space="preserve">元件及其他（殘差）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</si>
  <si>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</si>
  <si>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</si>
  <si>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</si>
  <si>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</si>
  <si>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</si>
  <si>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</si>
  <si>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</si>
  <si>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凱基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</si>
  <si>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年增（隱含；公司說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機櫃出貨倍數以上成長）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</si>
  <si>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伺服器組裝市場（與廣達模型同口徑）、鴻海份額、客供比例。部署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</si>
  <si>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</si>
  <si>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</si>
  <si>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</si>
  <si>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</si>
  <si>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</si>
  <si>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</si>
  <si>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</si>
  <si>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</si>
  <si>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</si>
  <si>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</si>
  <si>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每櫃價格（讀廣達模型）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</si>
  <si>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</si>
  <si>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</si>
  <si>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t xml:space="preserve">鴻海有效份額（金額口徑）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</si>
  <si>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以公司雲端網路占比與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</si>
  <si>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</t>
    </r>
  </si>
  <si>
    <t xml:space="preserve">買賣模式下的營收</t>
  </si>
  <si>
    <r>
      <rPr>
        <sz val="11"/>
        <color theme="1"/>
        <rFont val="Noto Sans CJK SC"/>
        <family val="2"/>
      </rPr>
      <t xml:space="preserve">客供比例（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起新增）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</si>
  <si>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</si>
  <si>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隱含鴻海出貨櫃數（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</si>
  <si>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t xml:space="preserve">千櫃</t>
  </si>
  <si>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</si>
  <si>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</si>
  <si>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</si>
  <si>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客供上升 → 毛利率上升、毛利金額大致不變</t>
  </si>
  <si>
    <r>
      <rPr>
        <sz val="11"/>
        <color theme="1"/>
        <rFont val="Noto Sans CJK SC"/>
        <family val="2"/>
      </rPr>
      <t xml:space="preserve">廣達有效份額（廣達模型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</si>
  <si>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</si>
  <si>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t xml:space="preserve">鴻海＋廣達合計有效份額</t>
  </si>
  <si>
    <r>
      <rPr>
        <sz val="11"/>
        <color theme="1"/>
        <rFont val="Noto Sans CJK SC"/>
        <family val="2"/>
      </rPr>
      <t xml:space="preserve">其餘為緯創、英業達、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自有組裝等</t>
    </r>
  </si>
  <si>
    <r>
      <rPr>
        <sz val="11"/>
        <color theme="1"/>
        <rFont val="Noto Sans CJK SC"/>
        <family val="2"/>
      </rPr>
      <t xml:space="preserve">其他廠商（緯創、英業達、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等）＝ 市場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合計份額）</t>
    </r>
  </si>
  <si>
    <r>
      <rPr>
        <b val="true"/>
        <sz val="11"/>
        <rFont val="Noto Sans CJK SC"/>
        <family val="2"/>
      </rPr>
      <t xml:space="preserve">讀法：鴻海有效份額（金額口徑，分母為全部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資本支出換算的組裝市場，含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HGX </t>
    </r>
    <r>
      <rPr>
        <b val="true"/>
        <sz val="11"/>
        <rFont val="Noto Sans CJK SC"/>
        <family val="2"/>
      </rPr>
      <t xml:space="preserve">與其他組裝廠）低於櫃數份額（三家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中約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、法人估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機櫃約 </t>
    </r>
    <r>
      <rPr>
        <b val="true"/>
        <sz val="11"/>
        <rFont val="Cambria"/>
        <family val="0"/>
        <charset val="1"/>
      </rPr>
      <t xml:space="preserve">44%</t>
    </r>
    <r>
      <rPr>
        <b val="true"/>
        <sz val="11"/>
        <rFont val="Noto Sans CJK SC"/>
        <family val="2"/>
      </rPr>
      <t xml:space="preserve">），口徑不同。鴻海＋廣達合計約三成；份額相對值與客供比例是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</si>
  <si>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鴻海損益（十億新台幣；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</si>
  <si>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</si>
  <si>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</si>
  <si>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</si>
  <si>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</si>
  <si>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</si>
  <si>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</si>
  <si>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</si>
  <si>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</si>
  <si>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</si>
  <si>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</si>
  <si>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</si>
  <si>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</si>
  <si>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</si>
  <si>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</si>
  <si>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</si>
  <si>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</si>
  <si>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</si>
  <si>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</si>
  <si>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；與廣達模型同口徑）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</si>
  <si>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</si>
  <si>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</si>
  <si>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</si>
  <si>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</si>
  <si>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</si>
  <si>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</si>
  <si>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sz val="11"/>
        <color theme="1"/>
        <rFont val="Noto Sans CJK SC"/>
        <family val="2"/>
      </rPr>
      <t xml:space="preserve">鴻海有效份額（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</si>
  <si>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占雲端網路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營收（金額口徑）；分母含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機架，所以低於整櫃櫃數份額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</si>
  <si>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</si>
  <si>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鴻海有效份額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</si>
  <si>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伺服器毛額價值（買賣模式下的營收）</t>
    </r>
  </si>
  <si>
    <r>
      <rPr>
        <sz val="11"/>
        <color theme="1"/>
        <rFont val="Noto Sans CJK SC"/>
        <family val="2"/>
      </rPr>
      <t xml:space="preserve">客供比例（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起新增部分）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</si>
  <si>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已有的半成品／客供已含在錨點與校準份額內，記為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</si>
  <si>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</si>
  <si>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事業（簡化成長率）與合計</t>
    </r>
  </si>
  <si>
    <t xml:space="preserve">元件及其他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</si>
  <si>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</si>
  <si>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</si>
  <si>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</si>
  <si>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隱含鴻海出貨櫃數（毛額價值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</si>
  <si>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十億美元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百萬美元 ＝ 千櫃；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起若每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價值改變，每櫃價格仍以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換算（參考）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</si>
  <si>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</si>
  <si>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</si>
  <si>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</si>
  <si>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 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</si>
  <si>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r>
      <rPr>
        <sz val="11"/>
        <color theme="1"/>
        <rFont val="Noto Sans CJK SC"/>
        <family val="2"/>
      </rPr>
      <t xml:space="preserve">客供部分不計營收，但大部分毛利金額保留（</t>
    </r>
    <r>
      <rPr>
        <sz val="11"/>
        <color theme="1"/>
        <rFont val="Calibri"/>
        <family val="2"/>
        <charset val="1"/>
      </rPr>
      <t xml:space="preserve">keep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vrd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</si>
  <si>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</si>
  <si>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客供比例上升 → 營收基礎毛利率上升</t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</si>
  <si>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</si>
  <si>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</si>
  <si>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</si>
  <si>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</si>
  <si>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</si>
  <si>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</si>
  <si>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</si>
  <si>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</si>
  <si>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</si>
  <si>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</si>
  <si>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</si>
  <si>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</si>
  <si>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</si>
  <si>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</si>
  <si>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</si>
  <si>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</si>
  <si>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</si>
  <si>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</si>
  <si>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</si>
  <si>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</si>
  <si>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</si>
  <si>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</si>
  <si>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</si>
  <si>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</si>
  <si>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</si>
  <si>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</si>
  <si>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</si>
  <si>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</si>
  <si>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循環位置：鴻海不是設備股，不套設備市場見頂年；以本模型營收最高的會計年度為見頂年（比照廣達、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</si>
  <si>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</si>
  <si>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</si>
  <si>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</si>
  <si>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</si>
  <si>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</si>
  <si>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</si>
  <si>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</si>
  <si>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</si>
  <si>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</si>
  <si>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</si>
  <si>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</si>
  <si>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</si>
  <si>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</si>
  <si>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</si>
  <si>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</si>
  <si>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</si>
  <si>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</si>
  <si>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</si>
  <si>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</si>
  <si>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</si>
  <si>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</si>
  <si>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</si>
  <si>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</si>
  <si>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</si>
  <si>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</si>
  <si>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</si>
  <si>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</si>
  <si>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</si>
  <si>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</si>
  <si>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</si>
  <si>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</si>
  <si>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</si>
  <si>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</si>
  <si>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先驗對照：本版未做先驗，無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對照</t>
    </r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</si>
  <si>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</si>
  <si>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</si>
  <si>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</si>
  <si>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</si>
  <si>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</si>
  <si>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</si>
  <si>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</si>
  <si>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</si>
  <si>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</si>
  <si>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</si>
  <si>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</si>
  <si>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</si>
  <si>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</si>
  <si>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</si>
  <si>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兩來源分別取分位再平均）。隱含價約為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組裝期低倍數（約 </t>
    </r>
    <r>
      <rPr>
        <sz val="11"/>
        <color theme="1"/>
        <rFont val="Calibri"/>
        <family val="2"/>
        <charset val="1"/>
      </rPr>
      <t xml:space="preserve">7–12x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</si>
  <si>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</si>
  <si>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依循環位置取分位，兩個來源分別取分位再平均。兩來源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疑用還原股價，數字較低；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年有股票股利）。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年鴻海以 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組裝為主（約 </t>
    </r>
    <r>
      <rPr>
        <sz val="11"/>
        <color theme="1"/>
        <rFont val="Calibri"/>
        <family val="2"/>
        <charset val="1"/>
      </rPr>
      <t xml:space="preserve">7–12x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伺服器重新定價（約 </t>
    </r>
    <r>
      <rPr>
        <sz val="11"/>
        <color theme="1"/>
        <rFont val="Calibri"/>
        <family val="2"/>
        <charset val="1"/>
      </rPr>
      <t xml:space="preserve">16–17x</t>
    </r>
    <r>
      <rPr>
        <sz val="11"/>
        <color theme="1"/>
        <rFont val="Noto Sans CJK SC"/>
        <family val="2"/>
      </rPr>
      <t xml:space="preserve">），規則值可能低估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</si>
  <si>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</si>
  <si>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</si>
  <si>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</si>
  <si>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</si>
  <si>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</si>
  <si>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</si>
  <si>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年；價格可能為還原股價）；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；未還原除權息）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</si>
  <si>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</si>
  <si>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</si>
  <si>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</si>
  <si>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</si>
  <si>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</si>
  <si>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</si>
  <si>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</si>
  <si>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</si>
  <si>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</si>
  <si>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</si>
  <si>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</si>
  <si>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</si>
  <si>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</si>
  <si>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</si>
  <si>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</si>
  <si>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</si>
  <si>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</si>
  <si>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</si>
  <si>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</si>
  <si>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</si>
  <si>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</si>
  <si>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</si>
  <si>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</si>
  <si>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</si>
  <si>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</si>
  <si>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</si>
  <si>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</si>
  <si>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</si>
  <si>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</si>
  <si>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</si>
  <si>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</si>
  <si>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</si>
  <si>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</si>
  <si>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</si>
  <si>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</si>
  <si>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</si>
  <si>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</si>
  <si>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</si>
  <si>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</si>
  <si>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</si>
  <si>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</si>
  <si>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</si>
  <si>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</si>
  <si>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</si>
  <si>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</si>
  <si>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</si>
  <si>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</si>
  <si>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</si>
  <si>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</si>
  <si>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</si>
  <si>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</si>
  <si>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</si>
  <si>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</si>
  <si>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</si>
  <si>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</si>
  <si>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</si>
  <si>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</si>
  <si>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</si>
  <si>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</si>
  <si>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</si>
  <si>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</si>
  <si>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</si>
  <si>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t xml:space="preserve">2026-10-14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</si>
  <si>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</si>
  <si>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</si>
  <si>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</si>
  <si>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</si>
  <si>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2026-09-29</t>
  </si>
  <si>
    <r>
      <rPr>
        <sz val="11"/>
        <color theme="1"/>
        <rFont val="Noto Sans CJK SC"/>
        <family val="2"/>
      </rPr>
      <t xml:space="preserve">和碩（</t>
    </r>
    <r>
      <rPr>
        <sz val="11"/>
        <color theme="1"/>
        <rFont val="Calibri"/>
        <family val="2"/>
        <charset val="1"/>
      </rPr>
      <t xml:space="preserve">Pegatron</t>
    </r>
    <r>
      <rPr>
        <sz val="11"/>
        <color theme="1"/>
        <rFont val="Noto Sans CJK SC"/>
        <family val="2"/>
      </rPr>
      <t xml:space="preserve">）</t>
    </r>
  </si>
  <si>
    <t xml:space="preserve">4938.TW</t>
  </si>
  <si>
    <t xml:space="preserve">2026-10-22</t>
  </si>
  <si>
    <t xml:space="preserve">Jabil</t>
  </si>
  <si>
    <t xml:space="preserve">JBL</t>
  </si>
  <si>
    <t xml:space="preserve">2026-10-23</t>
  </si>
  <si>
    <t xml:space="preserve">Flex</t>
  </si>
  <si>
    <t xml:space="preserve">FLEX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</si>
  <si>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</si>
  <si>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電子代工與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伺服器組裝同業：廣達、緯創、和碩、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（券商常用比較組）。工業富聯（</t>
    </r>
    <r>
      <rPr>
        <sz val="11"/>
        <color theme="1"/>
        <rFont val="Calibri"/>
        <family val="2"/>
        <charset val="1"/>
      </rPr>
      <t xml:space="preserve">601138.SS</t>
    </r>
    <r>
      <rPr>
        <sz val="11"/>
        <color theme="1"/>
        <rFont val="Noto Sans CJK SC"/>
        <family val="2"/>
      </rPr>
      <t xml:space="preserve">，鴻海子公司）為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</si>
  <si>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</si>
  <si>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</si>
  <si>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</si>
  <si>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</si>
  <si>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</si>
  <si>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</si>
  <si>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</si>
  <si>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</si>
  <si>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</si>
  <si>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</si>
  <si>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</si>
  <si>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</si>
  <si>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</si>
  <si>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</si>
  <si>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</si>
  <si>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</si>
  <si>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</si>
  <si>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</si>
  <si>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</si>
  <si>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</si>
  <si>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</si>
  <si>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</si>
  <si>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：廣達、緯創、和碩、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中位數；鴻海含消費電子與電動車等低倍數事業，同業含 </t>
    </r>
    <r>
      <rPr>
        <sz val="11"/>
        <color theme="1"/>
        <rFont val="Calibri"/>
        <family val="2"/>
        <charset val="1"/>
      </rPr>
      <t xml:space="preserve">EMS</t>
    </r>
    <r>
      <rPr>
        <sz val="11"/>
        <color theme="1"/>
        <rFont val="Noto Sans CJK SC"/>
        <family val="2"/>
      </rPr>
      <t xml:space="preserve">，偏誤方向不明確。情境對應：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</si>
  <si>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Goodinfo </t>
    </r>
    <r>
      <rPr>
        <b val="true"/>
        <sz val="11"/>
        <rFont val="Noto Sans CJK SC"/>
        <family val="2"/>
      </rPr>
      <t xml:space="preserve">兩來源平均；同規則值）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</si>
  <si>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</si>
  <si>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123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</si>
  <si>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</si>
  <si>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</si>
  <si>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</si>
  <si>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</si>
  <si>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券商估計與櫃數份額。只作事後對照，不為對上數字而調參數。券商多為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營收公布前、部分未具名；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付費共識未找到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</si>
  <si>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</si>
  <si>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</si>
  <si>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</si>
  <si>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</si>
  <si>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</si>
  <si>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</si>
  <si>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</si>
  <si>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</si>
  <si>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</si>
  <si>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</si>
  <si>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</si>
  <si>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實績高於凱基估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</si>
  <si>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</si>
  <si>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18.0</t>
    </r>
    <r>
      <rPr>
        <sz val="11"/>
        <color theme="1"/>
        <rFont val="Noto Sans CJK SC"/>
        <family val="2"/>
      </rPr>
      <t xml:space="preserve">、今周刊法人 </t>
    </r>
    <r>
      <rPr>
        <sz val="11"/>
        <color theme="1"/>
        <rFont val="Calibri"/>
        <family val="2"/>
        <charset val="1"/>
      </rPr>
      <t xml:space="preserve">19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</si>
  <si>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</si>
  <si>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凱基元件及其他 </t>
    </r>
    <r>
      <rPr>
        <sz val="11"/>
        <color theme="1"/>
        <rFont val="Calibri"/>
        <family val="2"/>
        <charset val="1"/>
      </rPr>
      <t xml:space="preserve">2027F +93%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</si>
  <si>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</si>
  <si>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瑞銀（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</si>
  <si>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2026-07-22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</si>
  <si>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</si>
  <si>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今周刊 </t>
    </r>
    <r>
      <rPr>
        <sz val="11"/>
        <color theme="1"/>
        <rFont val="Calibri"/>
        <family val="2"/>
        <charset val="1"/>
      </rPr>
      <t xml:space="preserve">2026-08-18</t>
    </r>
  </si>
  <si>
    <r>
      <rPr>
        <sz val="11"/>
        <color theme="1"/>
        <rFont val="Noto Sans CJK SC"/>
        <family val="2"/>
      </rPr>
      <t xml:space="preserve">三家區間 </t>
    </r>
    <r>
      <rPr>
        <sz val="11"/>
        <color theme="1"/>
        <rFont val="Calibri"/>
        <family val="2"/>
        <charset val="1"/>
      </rPr>
      <t xml:space="preserve">22.0–25.0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</si>
  <si>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</si>
  <si>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凱基（百分點）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</si>
  <si>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份額（櫃數口徑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本模型金額口徑）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</si>
  <si>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</si>
  <si>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（美系券商；櫃數）</t>
    </r>
  </si>
  <si>
    <r>
      <rPr>
        <sz val="11"/>
        <color theme="1"/>
        <rFont val="Noto Sans CJK SC"/>
        <family val="2"/>
      </rPr>
      <t xml:space="preserve">口徑不同：本模型為金額、分母為全部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、其他廠）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</si>
  <si>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NVIDIA AI </t>
    </r>
    <r>
      <rPr>
        <sz val="11"/>
        <color theme="1"/>
        <rFont val="Noto Sans CJK SC"/>
        <family val="2"/>
      </rPr>
      <t xml:space="preserve">機櫃全球份額（法人估）</t>
    </r>
  </si>
  <si>
    <r>
      <rPr>
        <sz val="11"/>
        <color theme="1"/>
        <rFont val="Calibri"/>
        <family val="2"/>
        <charset val="1"/>
      </rPr>
      <t xml:space="preserve">Inside 2026-08</t>
    </r>
    <r>
      <rPr>
        <sz val="11"/>
        <color theme="1"/>
        <rFont val="Noto Sans CJK SC"/>
        <family val="2"/>
      </rPr>
      <t xml:space="preserve">（法人；公司說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</si>
  <si>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隱含鴻海出貨櫃數（千櫃，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</si>
  <si>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櫃數調查單月約 </t>
    </r>
    <r>
      <rPr>
        <sz val="11"/>
        <color theme="1"/>
        <rFont val="Calibri"/>
        <family val="2"/>
        <charset val="1"/>
      </rPr>
      <t xml:space="preserve">2.6 </t>
    </r>
    <r>
      <rPr>
        <sz val="11"/>
        <color theme="1"/>
        <rFont val="Noto Sans CJK SC"/>
        <family val="2"/>
      </rPr>
      <t xml:space="preserve">千櫃 </t>
    </r>
    <r>
      <rPr>
        <sz val="11"/>
        <color theme="1"/>
        <rFont val="Calibri"/>
        <family val="2"/>
        <charset val="1"/>
      </rPr>
      <t xml:space="preserve">× 12 ≈ 31 </t>
    </r>
    <r>
      <rPr>
        <sz val="11"/>
        <color theme="1"/>
        <rFont val="Noto Sans CJK SC"/>
        <family val="2"/>
      </rPr>
      <t xml:space="preserve">千櫃（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；含運算托盤口徑不明）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</si>
  <si>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</si>
  <si>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伺服器營收（倍）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</si>
  <si>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</t>
    </r>
  </si>
  <si>
    <r>
      <rPr>
        <sz val="11"/>
        <color theme="1"/>
        <rFont val="Noto Sans CJK SC"/>
        <family val="2"/>
      </rPr>
      <t xml:space="preserve">櫃數調查 </t>
    </r>
    <r>
      <rPr>
        <sz val="11"/>
        <color theme="1"/>
        <rFont val="Calibri"/>
        <family val="2"/>
        <charset val="1"/>
      </rPr>
      <t xml:space="preserve">2,600 ÷ 2,525 ≈ 1.03</t>
    </r>
    <r>
      <rPr>
        <sz val="11"/>
        <color theme="1"/>
        <rFont val="Noto Sans CJK SC"/>
        <family val="2"/>
      </rPr>
      <t xml:space="preserve">；鴻海含較多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與交換機以外的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</si>
  <si>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</si>
  <si>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</si>
  <si>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</si>
  <si>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</si>
  <si>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</si>
  <si>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</si>
  <si>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</si>
  <si>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</si>
  <si>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4Q26F 5.92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</si>
  <si>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</si>
  <si>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</si>
  <si>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</si>
  <si>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</si>
  <si>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</si>
  <si>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</si>
  <si>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</si>
  <si>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</si>
  <si>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</si>
  <si>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</si>
  <si>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</si>
  <si>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</si>
  <si>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</si>
  <si>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</si>
  <si>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</si>
  <si>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</si>
  <si>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</si>
  <si>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</si>
  <si>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</si>
  <si>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</si>
  <si>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</si>
  <si>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</si>
  <si>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</si>
  <si>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（廣達、緯創搶單）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</si>
  <si>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</si>
  <si>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市占目標五成）</t>
    </r>
  </si>
  <si>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（維持買賣）</t>
    </r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</si>
  <si>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</si>
  <si>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</si>
  <si>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</si>
  <si>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</si>
  <si>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</si>
  <si>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1.0</t>
    </r>
  </si>
  <si>
    <t xml:space="preserve">毛利金額完全保留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</si>
  <si>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</si>
  <si>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降價或客供更深）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</si>
  <si>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</si>
  <si>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</si>
  <si>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</si>
  <si>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</si>
  <si>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</si>
  <si>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消費智能 低</t>
  </si>
  <si>
    <r>
      <rPr>
        <sz val="11"/>
        <color theme="1"/>
        <rFont val="Calibri"/>
        <family val="2"/>
        <charset val="1"/>
      </rPr>
      <t xml:space="preserve">2027–29 −8%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衰退）</t>
    </r>
  </si>
  <si>
    <t xml:space="preserve">消費智能 高</t>
  </si>
  <si>
    <r>
      <rPr>
        <sz val="11"/>
        <color theme="1"/>
        <rFont val="Calibri"/>
        <family val="2"/>
        <charset val="1"/>
      </rPr>
      <t xml:space="preserve">2027 +8%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+6%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</si>
  <si>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</si>
  <si>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網通與一般伺服器 </t>
    </r>
    <r>
      <rPr>
        <sz val="11"/>
        <color theme="1"/>
        <rFont val="Calibri"/>
        <family val="2"/>
        <charset val="1"/>
      </rPr>
      <t xml:space="preserve">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2028–29 −5%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</si>
  <si>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</si>
  <si>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2027 +25%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</si>
  <si>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1.5pt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</si>
  <si>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毛利率（毛額基礎）比其他低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</si>
  <si>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</si>
  <si>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</si>
  <si>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</si>
  <si>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毛利率（毛額基礎）−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</si>
  <si>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不稀釋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</si>
  <si>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起不變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</si>
  <si>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</si>
  <si>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</si>
  <si>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</si>
  <si>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（業外損失擴大、稅率上升）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</si>
  <si>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</si>
  <si>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0.73</t>
    </r>
    <r>
      <rPr>
        <sz val="11"/>
        <color theme="1"/>
        <rFont val="Noto Sans CJK SC"/>
        <family val="2"/>
      </rPr>
      <t xml:space="preserve">（回到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</si>
  <si>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</si>
  <si>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</si>
  <si>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</si>
  <si>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</si>
  <si>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伺服器約占營收三成，非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事業（</t>
    </r>
    <r>
      <rPr>
        <sz val="11"/>
        <color theme="1"/>
        <rFont val="Calibri"/>
        <family val="2"/>
        <charset val="1"/>
      </rPr>
      <t xml:space="preserve">iPhone</t>
    </r>
    <r>
      <rPr>
        <sz val="11"/>
        <color theme="1"/>
        <rFont val="Noto Sans CJK SC"/>
        <family val="2"/>
      </rPr>
      <t xml:space="preserve">、網通、電腦）的成長率對營收影響大、對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影響小於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部署與份額；淨利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營業利益（業外、稅、少數股權）是單一最大的非營運變數。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</si>
  <si>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</si>
  <si>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</si>
  <si>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（維持買賣）（情境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</si>
  <si>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</si>
  <si>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</si>
  <si>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</si>
  <si>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</si>
  <si>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</si>
  <si>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</si>
  <si>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</si>
  <si>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案例區塊：消費智能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</si>
  <si>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案例區塊：消費智能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</si>
  <si>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案例區塊：雲端非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</si>
  <si>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案例區塊：雲端非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</si>
  <si>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1.5pt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</si>
  <si>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</si>
  <si>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稀釋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</si>
  <si>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不稀釋（情境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</si>
  <si>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</si>
  <si>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</si>
  <si>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</si>
  <si>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</si>
  <si>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</si>
  <si>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</si>
  <si>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</si>
  <si>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</si>
  <si>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</si>
  <si>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</si>
  <si>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</si>
  <si>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</si>
  <si>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</si>
  <si>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</si>
  <si>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</si>
  <si>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</si>
  <si>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</si>
  <si>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</si>
  <si>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</si>
  <si>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</si>
  <si>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</si>
  <si>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來源（公司原文只經法說摘要與新聞轉述，原始簡報待人工複核；券商與資料商皆為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</si>
  <si>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損益、產品組合、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機櫃、客供、市占目標）</t>
    </r>
  </si>
  <si>
    <t xml:space="preserve">https://blog.fugle.tw/post/earnings-call-2317-2026-08-12</t>
  </si>
  <si>
    <r>
      <rPr>
        <sz val="11"/>
        <color theme="1"/>
        <rFont val="Noto Sans CJK SC"/>
        <family val="2"/>
      </rPr>
      <t xml:space="preserve">公司（摘要）：鉅亨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、業外、產品組合、營收認列模式改變）</t>
    </r>
  </si>
  <si>
    <t xml:space="preserve">https://news.cnyes.com/news/id/6458468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</si>
  <si>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年法說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損益、產品組合、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展望、稅率）</t>
    </r>
  </si>
  <si>
    <t xml:space="preserve">https://blog.fugle.tw/post/earnings-call-2317-2026-03-16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</si>
  <si>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年財報（營業利益 </t>
    </r>
    <r>
      <rPr>
        <sz val="11"/>
        <color theme="1"/>
        <rFont val="Calibri"/>
        <family val="2"/>
        <charset val="1"/>
      </rPr>
      <t xml:space="preserve">2,592.23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1,893.54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13.61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業外）</t>
    </r>
  </si>
  <si>
    <t xml:space="preserve">https://uanalyze.com.tw/articles/4369349056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</si>
  <si>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伺服器占雲端網路超過五成）</t>
    </r>
  </si>
  <si>
    <t xml:space="preserve">https://uanalyze.com.tw/articles/5938328761</t>
  </si>
  <si>
    <r>
      <rPr>
        <sz val="11"/>
        <color theme="1"/>
        <rFont val="Noto Sans CJK SC"/>
        <family val="2"/>
      </rPr>
      <t xml:space="preserve">公司（摘要）：數位時代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伺服器占雲端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約三成）</t>
    </r>
  </si>
  <si>
    <t xml:space="preserve">https://www.bnext.com.tw/article/90315/2026-foxconn-earnings-call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</si>
  <si>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1,586.33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3Q26 3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269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6,698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</si>
  <si>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https://finance.technews.tw/2026/10/05/2026-sep-foxconn/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</si>
  <si>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2026-09-05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9,217.66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</si>
  <si>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https://finance.technews.tw/2026/09/05/hon-hai-2317-202608-financial-report/</t>
  </si>
  <si>
    <r>
      <rPr>
        <sz val="11"/>
        <color theme="1"/>
        <rFont val="Noto Sans CJK SC"/>
        <family val="2"/>
      </rPr>
      <t xml:space="preserve">月營收：優分析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3.02 </t>
    </r>
    <r>
      <rPr>
        <sz val="11"/>
        <color theme="1"/>
        <rFont val="Noto Sans CJK SC"/>
        <family val="2"/>
      </rPr>
      <t xml:space="preserve">兆）</t>
    </r>
  </si>
  <si>
    <t xml:space="preserve">https://uanalyze.com.tw/articles/4830556496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</si>
  <si>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預估、</t>
    </r>
    <r>
      <rPr>
        <sz val="11"/>
        <color theme="1"/>
        <rFont val="Calibri"/>
        <family val="2"/>
        <charset val="1"/>
      </rPr>
      <t xml:space="preserve">2025A–2027F </t>
    </r>
    <r>
      <rPr>
        <sz val="11"/>
        <color theme="1"/>
        <rFont val="Noto Sans CJK SC"/>
        <family val="2"/>
      </rPr>
      <t xml:space="preserve">損益、產品別、業外、少數股權）</t>
    </r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</si>
  <si>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（瑞銀 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、毛利率、營益率）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</si>
  <si>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TechNews 2026-05-15</t>
    </r>
    <r>
      <rPr>
        <sz val="11"/>
        <color theme="1"/>
        <rFont val="Noto Sans CJK SC"/>
        <family val="2"/>
      </rPr>
      <t xml:space="preserve">（摩根士丹利 </t>
    </r>
    <r>
      <rPr>
        <sz val="11"/>
        <color theme="1"/>
        <rFont val="Calibri"/>
        <family val="2"/>
        <charset val="1"/>
      </rPr>
      <t xml:space="preserve">2026–28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雲端網路過半）</t>
    </r>
  </si>
  <si>
    <t xml:space="preserve">https://finance.technews.tw/2026/05/15/ai-server-800g-switch-foxconn/</t>
  </si>
  <si>
    <r>
      <rPr>
        <sz val="11"/>
        <color theme="1"/>
        <rFont val="Noto Sans CJK SC"/>
        <family val="2"/>
      </rPr>
      <t xml:space="preserve">券商：今周刊 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2026–28 EPS</t>
    </r>
    <r>
      <rPr>
        <sz val="11"/>
        <color theme="1"/>
        <rFont val="Noto Sans CJK SC"/>
        <family val="2"/>
      </rPr>
      <t xml:space="preserve">、目標價）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</si>
  <si>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Inside 2026-08</t>
    </r>
    <r>
      <rPr>
        <sz val="11"/>
        <color theme="1"/>
        <rFont val="Noto Sans CJK SC"/>
        <family val="2"/>
      </rPr>
      <t xml:space="preserve">（法人估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機櫃份額約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）</t>
    </r>
  </si>
  <si>
    <t xml:space="preserve">https://www.inside.com.tw/article/42074-foxconn-q2-2026-ai-server-revenue-passes-half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</si>
  <si>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櫃數調查）</t>
    </r>
  </si>
  <si>
    <t xml:space="preserve">https://money.udn.com/money/amp/story/5607/9745501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</si>
  <si>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</si>
  <si>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t xml:space="preserve">https://money.udn.com/money/story/5739/9716181</t>
  </si>
  <si>
    <r>
      <rPr>
        <sz val="11"/>
        <color theme="1"/>
        <rFont val="Noto Sans CJK SC"/>
        <family val="2"/>
      </rPr>
      <t xml:space="preserve">資料商：聚財網 </t>
    </r>
    <r>
      <rPr>
        <sz val="11"/>
        <color theme="1"/>
        <rFont val="Calibri"/>
        <family val="2"/>
        <charset val="1"/>
      </rPr>
      <t xml:space="preserve">2317 </t>
    </r>
    <r>
      <rPr>
        <sz val="11"/>
        <color theme="1"/>
        <rFont val="Noto Sans CJK SC"/>
        <family val="2"/>
      </rPr>
      <t xml:space="preserve">日成交（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月收盤）</t>
    </r>
  </si>
  <si>
    <t xml:space="preserve">https://stock.wearn.com/cdata.asp?kind=2317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</si>
  <si>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</si>
  <si>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https://tw.stock.yahoo.com/quote/2317.TW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</si>
  <si>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</si>
  <si>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https://companiesmarketcap.com/foxconn/pe-ratio/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</si>
  <si>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</si>
  <si>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https://goodinfo.tw/tw/StockBzPerformance.asp?STOCK_ID=2317&amp;RPT_CAT=M_YEAR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</si>
  <si>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</si>
  <si>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伺服器營收金額與占雲端網路比例；雲端網路非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拆分；客供比例量化；季別業外與稅前利益；客戶占比（年報）；前瞻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</si>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</sst>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#,##0.000"/>
    <numFmt numFmtId="167" formatCode="0.00%"/>
    <numFmt numFmtId="168" formatCode="0.0%"/>
    <numFmt numFmtId="169" formatCode="0.00"/>
    <numFmt numFmtId="170" formatCode="0.0"/>
    <numFmt numFmtId="171" formatCode="#,##0.0"/>
    <numFmt numFmtId="172" formatCode="0.0000"/>
    <numFmt numFmtId="173" formatCode="#,##0.00"/>
    <numFmt numFmtId="174" formatCode="0.000"/>
    <numFmt numFmtId="175" formatCode="#,##0"/>
    <numFmt numFmtId="176" formatCode="0%"/>
    <numFmt numFmtId="177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1" t="str">
        <f aca="false">"投資建議："&amp;Val!B136&amp;"（依上檔空間固定規則）"</f>
        <v>投資建議：買進（依上檔空間固定規則）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781.872916666666</v>
      </c>
      <c r="G5" s="8" t="s">
        <v>33</v>
      </c>
      <c r="H5" s="8" t="s">
        <v>34</v>
      </c>
      <c r="I5" s="4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1565.35</v>
      </c>
      <c r="G6" s="8" t="s">
        <v>33</v>
      </c>
      <c r="H6" s="8" t="s">
        <v>34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1984.26388888889</v>
      </c>
      <c r="G7" s="8" t="s">
        <v>33</v>
      </c>
      <c r="H7" s="8" t="s">
        <v>34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2260.39027777778</v>
      </c>
      <c r="G8" s="8" t="s">
        <v>33</v>
      </c>
      <c r="H8" s="8" t="s">
        <v>34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4" t="s">
        <v>44</v>
      </c>
      <c r="C9" s="0" t="s">
        <v>32</v>
      </c>
      <c r="E9" s="7" t="n">
        <v>32.237224</v>
      </c>
      <c r="G9" s="8" t="s">
        <v>33</v>
      </c>
      <c r="H9" s="8" t="s">
        <v>45</v>
      </c>
      <c r="I9" s="8" t="s">
        <v>46</v>
      </c>
    </row>
    <row r="10" customFormat="false" ht="17.15" hidden="false" customHeight="false" outlineLevel="0" collapsed="false">
      <c r="A10" s="0" t="s">
        <v>47</v>
      </c>
      <c r="B10" s="4" t="s">
        <v>48</v>
      </c>
      <c r="C10" s="0" t="s">
        <v>32</v>
      </c>
      <c r="E10" s="7" t="n">
        <v>37.586352</v>
      </c>
      <c r="G10" s="8" t="s">
        <v>33</v>
      </c>
      <c r="H10" s="8" t="s">
        <v>45</v>
      </c>
      <c r="I10" s="4" t="s">
        <v>49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52</v>
      </c>
      <c r="D11" s="7" t="n">
        <v>0.15</v>
      </c>
      <c r="E11" s="7" t="n">
        <v>0.22</v>
      </c>
      <c r="F11" s="7" t="n">
        <v>0.3</v>
      </c>
      <c r="G11" s="8" t="s">
        <v>33</v>
      </c>
      <c r="H11" s="8" t="s">
        <v>53</v>
      </c>
      <c r="I11" s="4" t="s">
        <v>54</v>
      </c>
    </row>
    <row r="12" customFormat="false" ht="17.15" hidden="false" customHeight="false" outlineLevel="0" collapsed="false">
      <c r="A12" s="0" t="s">
        <v>55</v>
      </c>
      <c r="B12" s="4" t="s">
        <v>56</v>
      </c>
      <c r="C12" s="4" t="s">
        <v>57</v>
      </c>
      <c r="E12" s="7" t="n">
        <v>6764</v>
      </c>
      <c r="G12" s="8" t="s">
        <v>33</v>
      </c>
      <c r="H12" s="8" t="s">
        <v>58</v>
      </c>
      <c r="I12" s="8" t="s">
        <v>59</v>
      </c>
    </row>
    <row r="13" customFormat="false" ht="17.15" hidden="false" customHeight="false" outlineLevel="0" collapsed="false">
      <c r="A13" s="0" t="s">
        <v>60</v>
      </c>
      <c r="B13" s="4" t="s">
        <v>61</v>
      </c>
      <c r="C13" s="4" t="s">
        <v>57</v>
      </c>
      <c r="E13" s="7" t="n">
        <v>4052</v>
      </c>
      <c r="G13" s="8" t="s">
        <v>33</v>
      </c>
      <c r="H13" s="8" t="s">
        <v>58</v>
      </c>
      <c r="I13" s="4" t="s">
        <v>38</v>
      </c>
    </row>
    <row r="14" customFormat="false" ht="17.15" hidden="false" customHeight="false" outlineLevel="0" collapsed="false">
      <c r="A14" s="0" t="s">
        <v>62</v>
      </c>
      <c r="B14" s="4" t="s">
        <v>63</v>
      </c>
      <c r="C14" s="0" t="s">
        <v>64</v>
      </c>
      <c r="E14" s="7" t="n">
        <v>4.3</v>
      </c>
      <c r="G14" s="8" t="s">
        <v>33</v>
      </c>
      <c r="H14" s="8" t="s">
        <v>65</v>
      </c>
      <c r="I14" s="4" t="s">
        <v>66</v>
      </c>
    </row>
    <row r="15" customFormat="false" ht="17.15" hidden="false" customHeight="false" outlineLevel="0" collapsed="false">
      <c r="A15" s="0" t="s">
        <v>67</v>
      </c>
      <c r="B15" s="4" t="s">
        <v>68</v>
      </c>
      <c r="C15" s="0" t="s">
        <v>64</v>
      </c>
      <c r="E15" s="7" t="n">
        <v>8.4</v>
      </c>
      <c r="G15" s="8" t="s">
        <v>33</v>
      </c>
      <c r="H15" s="8" t="s">
        <v>65</v>
      </c>
      <c r="I15" s="4" t="s">
        <v>38</v>
      </c>
    </row>
    <row r="16" customFormat="false" ht="17.15" hidden="false" customHeight="false" outlineLevel="0" collapsed="false">
      <c r="A16" s="0" t="s">
        <v>69</v>
      </c>
      <c r="B16" s="4" t="s">
        <v>70</v>
      </c>
      <c r="C16" s="0" t="s">
        <v>71</v>
      </c>
      <c r="E16" s="7" t="n">
        <v>1</v>
      </c>
      <c r="G16" s="8" t="s">
        <v>72</v>
      </c>
      <c r="H16" s="8" t="s">
        <v>73</v>
      </c>
      <c r="I16" s="8" t="s">
        <v>74</v>
      </c>
    </row>
    <row r="17" customFormat="false" ht="17.15" hidden="false" customHeight="false" outlineLevel="0" collapsed="false">
      <c r="A17" s="0" t="s">
        <v>75</v>
      </c>
      <c r="B17" s="4" t="s">
        <v>76</v>
      </c>
      <c r="C17" s="0" t="s">
        <v>71</v>
      </c>
      <c r="E17" s="7" t="n">
        <v>1</v>
      </c>
      <c r="G17" s="8" t="s">
        <v>72</v>
      </c>
      <c r="H17" s="8" t="s">
        <v>77</v>
      </c>
      <c r="I17" s="4" t="s">
        <v>38</v>
      </c>
    </row>
    <row r="18" customFormat="false" ht="17.15" hidden="false" customHeight="false" outlineLevel="0" collapsed="false">
      <c r="A18" s="0" t="s">
        <v>78</v>
      </c>
      <c r="B18" s="4" t="s">
        <v>79</v>
      </c>
      <c r="C18" s="0" t="s">
        <v>71</v>
      </c>
      <c r="E18" s="7" t="n">
        <v>0.8</v>
      </c>
      <c r="G18" s="8" t="s">
        <v>72</v>
      </c>
      <c r="H18" s="8" t="s">
        <v>80</v>
      </c>
      <c r="I18" s="8" t="s">
        <v>74</v>
      </c>
    </row>
    <row r="19" customFormat="false" ht="17.15" hidden="false" customHeight="false" outlineLevel="0" collapsed="false">
      <c r="A19" s="0" t="s">
        <v>81</v>
      </c>
      <c r="B19" s="4" t="s">
        <v>82</v>
      </c>
      <c r="C19" s="0" t="s">
        <v>71</v>
      </c>
      <c r="E19" s="7" t="n">
        <v>0.85</v>
      </c>
      <c r="G19" s="8" t="s">
        <v>72</v>
      </c>
      <c r="H19" s="8" t="s">
        <v>83</v>
      </c>
      <c r="I19" s="4" t="s">
        <v>38</v>
      </c>
    </row>
    <row r="20" customFormat="false" ht="17.15" hidden="false" customHeight="false" outlineLevel="0" collapsed="false">
      <c r="A20" s="0" t="s">
        <v>84</v>
      </c>
      <c r="B20" s="4" t="s">
        <v>85</v>
      </c>
      <c r="C20" s="0" t="s">
        <v>71</v>
      </c>
      <c r="E20" s="7" t="n">
        <v>0.6</v>
      </c>
      <c r="G20" s="8" t="s">
        <v>72</v>
      </c>
      <c r="H20" s="8" t="s">
        <v>86</v>
      </c>
      <c r="I20" s="8" t="s">
        <v>74</v>
      </c>
    </row>
    <row r="21" customFormat="false" ht="17.15" hidden="false" customHeight="false" outlineLevel="0" collapsed="false">
      <c r="A21" s="0" t="s">
        <v>87</v>
      </c>
      <c r="B21" s="4" t="s">
        <v>88</v>
      </c>
      <c r="C21" s="0" t="s">
        <v>71</v>
      </c>
      <c r="E21" s="7" t="n">
        <v>0.6</v>
      </c>
      <c r="G21" s="8" t="s">
        <v>72</v>
      </c>
      <c r="H21" s="8" t="s">
        <v>89</v>
      </c>
      <c r="I21" s="4" t="s">
        <v>38</v>
      </c>
    </row>
    <row r="22" customFormat="false" ht="17.15" hidden="false" customHeight="false" outlineLevel="0" collapsed="false">
      <c r="A22" s="0" t="s">
        <v>90</v>
      </c>
      <c r="B22" s="4" t="s">
        <v>91</v>
      </c>
      <c r="C22" s="0" t="s">
        <v>92</v>
      </c>
      <c r="D22" s="7" t="n">
        <v>30.5</v>
      </c>
      <c r="E22" s="7" t="n">
        <v>32</v>
      </c>
      <c r="F22" s="7" t="n">
        <v>33</v>
      </c>
      <c r="G22" s="8" t="s">
        <v>33</v>
      </c>
      <c r="H22" s="8" t="s">
        <v>93</v>
      </c>
      <c r="I22" s="4" t="s">
        <v>94</v>
      </c>
    </row>
    <row r="23" customFormat="false" ht="17.15" hidden="false" customHeight="false" outlineLevel="0" collapsed="false">
      <c r="A23" s="6" t="s">
        <v>95</v>
      </c>
    </row>
    <row r="24" customFormat="false" ht="17.15" hidden="false" customHeight="false" outlineLevel="0" collapsed="false">
      <c r="A24" s="0" t="s">
        <v>96</v>
      </c>
      <c r="B24" s="0" t="s">
        <v>97</v>
      </c>
      <c r="C24" s="0" t="s">
        <v>64</v>
      </c>
      <c r="D24" s="7" t="n">
        <v>3.6</v>
      </c>
      <c r="E24" s="7" t="n">
        <v>4</v>
      </c>
      <c r="F24" s="7" t="n">
        <v>4.3</v>
      </c>
      <c r="G24" s="8" t="s">
        <v>33</v>
      </c>
      <c r="H24" s="8" t="s">
        <v>98</v>
      </c>
      <c r="I24" s="4" t="s">
        <v>99</v>
      </c>
    </row>
    <row r="25" customFormat="false" ht="17.15" hidden="false" customHeight="false" outlineLevel="0" collapsed="false">
      <c r="A25" s="0" t="s">
        <v>100</v>
      </c>
      <c r="B25" s="0" t="s">
        <v>101</v>
      </c>
      <c r="C25" s="0" t="s">
        <v>64</v>
      </c>
      <c r="D25" s="7" t="n">
        <v>6.5</v>
      </c>
      <c r="E25" s="7" t="n">
        <v>6.75</v>
      </c>
      <c r="F25" s="7" t="n">
        <v>7</v>
      </c>
      <c r="G25" s="8" t="s">
        <v>33</v>
      </c>
      <c r="H25" s="8" t="s">
        <v>102</v>
      </c>
      <c r="I25" s="4" t="s">
        <v>38</v>
      </c>
    </row>
    <row r="26" customFormat="false" ht="17.15" hidden="false" customHeight="false" outlineLevel="0" collapsed="false">
      <c r="A26" s="0" t="s">
        <v>103</v>
      </c>
      <c r="B26" s="4" t="s">
        <v>104</v>
      </c>
      <c r="C26" s="0" t="s">
        <v>71</v>
      </c>
      <c r="D26" s="7" t="n">
        <v>0.85</v>
      </c>
      <c r="E26" s="7" t="n">
        <v>1</v>
      </c>
      <c r="F26" s="7" t="n">
        <v>1.2</v>
      </c>
      <c r="G26" s="8" t="s">
        <v>72</v>
      </c>
      <c r="H26" s="8" t="s">
        <v>105</v>
      </c>
      <c r="I26" s="4" t="s">
        <v>106</v>
      </c>
    </row>
    <row r="27" customFormat="false" ht="17.15" hidden="false" customHeight="false" outlineLevel="0" collapsed="false">
      <c r="A27" s="0" t="s">
        <v>107</v>
      </c>
      <c r="B27" s="4" t="s">
        <v>108</v>
      </c>
      <c r="C27" s="0" t="s">
        <v>71</v>
      </c>
      <c r="D27" s="7" t="n">
        <v>0.85</v>
      </c>
      <c r="E27" s="7" t="n">
        <v>1</v>
      </c>
      <c r="F27" s="7" t="n">
        <v>1.2</v>
      </c>
      <c r="G27" s="8" t="s">
        <v>72</v>
      </c>
      <c r="H27" s="8" t="s">
        <v>109</v>
      </c>
      <c r="I27" s="4" t="s">
        <v>38</v>
      </c>
    </row>
    <row r="28" customFormat="false" ht="17.15" hidden="false" customHeight="false" outlineLevel="0" collapsed="false">
      <c r="A28" s="0" t="s">
        <v>110</v>
      </c>
      <c r="B28" s="4" t="s">
        <v>111</v>
      </c>
      <c r="C28" s="0" t="s">
        <v>71</v>
      </c>
      <c r="D28" s="7" t="n">
        <v>0.85</v>
      </c>
      <c r="E28" s="7" t="n">
        <v>1</v>
      </c>
      <c r="F28" s="7" t="n">
        <v>1.15</v>
      </c>
      <c r="G28" s="8" t="s">
        <v>72</v>
      </c>
      <c r="H28" s="4" t="s">
        <v>112</v>
      </c>
      <c r="I28" s="8" t="s">
        <v>113</v>
      </c>
    </row>
    <row r="29" customFormat="false" ht="17.15" hidden="false" customHeight="false" outlineLevel="0" collapsed="false">
      <c r="A29" s="0" t="s">
        <v>114</v>
      </c>
      <c r="B29" s="4" t="s">
        <v>115</v>
      </c>
      <c r="C29" s="0" t="s">
        <v>71</v>
      </c>
      <c r="D29" s="7" t="n">
        <v>0.75</v>
      </c>
      <c r="E29" s="7" t="n">
        <v>1</v>
      </c>
      <c r="F29" s="7" t="n">
        <v>1.15</v>
      </c>
      <c r="G29" s="8" t="s">
        <v>72</v>
      </c>
      <c r="H29" s="4" t="s">
        <v>116</v>
      </c>
      <c r="I29" s="8" t="s">
        <v>117</v>
      </c>
    </row>
    <row r="30" customFormat="false" ht="17.15" hidden="false" customHeight="false" outlineLevel="0" collapsed="false">
      <c r="A30" s="0" t="s">
        <v>118</v>
      </c>
      <c r="B30" s="4" t="s">
        <v>119</v>
      </c>
      <c r="C30" s="0" t="s">
        <v>71</v>
      </c>
      <c r="D30" s="7" t="n">
        <v>0.7</v>
      </c>
      <c r="E30" s="7" t="n">
        <v>0.95</v>
      </c>
      <c r="F30" s="7" t="n">
        <v>1.15</v>
      </c>
      <c r="G30" s="8" t="s">
        <v>72</v>
      </c>
      <c r="H30" s="4" t="s">
        <v>38</v>
      </c>
      <c r="I30" s="8" t="s">
        <v>117</v>
      </c>
    </row>
    <row r="31" customFormat="false" ht="17.15" hidden="false" customHeight="false" outlineLevel="0" collapsed="false">
      <c r="A31" s="0" t="s">
        <v>120</v>
      </c>
      <c r="B31" s="4" t="s">
        <v>121</v>
      </c>
      <c r="C31" s="0" t="s">
        <v>52</v>
      </c>
      <c r="D31" s="7" t="n">
        <v>0</v>
      </c>
      <c r="E31" s="7" t="n">
        <v>0.1</v>
      </c>
      <c r="F31" s="7" t="n">
        <v>0.25</v>
      </c>
      <c r="G31" s="8" t="s">
        <v>72</v>
      </c>
      <c r="H31" s="8" t="s">
        <v>122</v>
      </c>
      <c r="I31" s="8" t="s">
        <v>123</v>
      </c>
    </row>
    <row r="32" customFormat="false" ht="17.15" hidden="false" customHeight="false" outlineLevel="0" collapsed="false">
      <c r="A32" s="0" t="s">
        <v>124</v>
      </c>
      <c r="B32" s="4" t="s">
        <v>125</v>
      </c>
      <c r="C32" s="0" t="s">
        <v>52</v>
      </c>
      <c r="D32" s="7" t="n">
        <v>0</v>
      </c>
      <c r="E32" s="7" t="n">
        <v>0.2</v>
      </c>
      <c r="F32" s="7" t="n">
        <v>0.4</v>
      </c>
      <c r="G32" s="8" t="s">
        <v>72</v>
      </c>
      <c r="H32" s="4" t="s">
        <v>38</v>
      </c>
      <c r="I32" s="8" t="s">
        <v>117</v>
      </c>
    </row>
    <row r="33" customFormat="false" ht="17.15" hidden="false" customHeight="false" outlineLevel="0" collapsed="false">
      <c r="A33" s="0" t="s">
        <v>126</v>
      </c>
      <c r="B33" s="4" t="s">
        <v>127</v>
      </c>
      <c r="C33" s="0" t="s">
        <v>52</v>
      </c>
      <c r="D33" s="7" t="n">
        <v>0</v>
      </c>
      <c r="E33" s="7" t="n">
        <v>0.25</v>
      </c>
      <c r="F33" s="7" t="n">
        <v>0.5</v>
      </c>
      <c r="G33" s="8" t="s">
        <v>72</v>
      </c>
      <c r="H33" s="4" t="s">
        <v>38</v>
      </c>
      <c r="I33" s="8" t="s">
        <v>117</v>
      </c>
    </row>
    <row r="34" customFormat="false" ht="17.15" hidden="false" customHeight="false" outlineLevel="0" collapsed="false">
      <c r="A34" s="0" t="s">
        <v>128</v>
      </c>
      <c r="B34" s="4" t="s">
        <v>129</v>
      </c>
      <c r="C34" s="0" t="s">
        <v>71</v>
      </c>
      <c r="D34" s="7" t="n">
        <v>0.7</v>
      </c>
      <c r="E34" s="7" t="n">
        <v>0.9</v>
      </c>
      <c r="F34" s="7" t="n">
        <v>1</v>
      </c>
      <c r="G34" s="8" t="s">
        <v>72</v>
      </c>
      <c r="H34" s="4" t="s">
        <v>130</v>
      </c>
      <c r="I34" s="4" t="s">
        <v>131</v>
      </c>
    </row>
    <row r="35" customFormat="false" ht="17.15" hidden="false" customHeight="false" outlineLevel="0" collapsed="false">
      <c r="A35" s="6" t="s">
        <v>132</v>
      </c>
    </row>
    <row r="36" customFormat="false" ht="17.15" hidden="false" customHeight="false" outlineLevel="0" collapsed="false">
      <c r="A36" s="0" t="s">
        <v>133</v>
      </c>
      <c r="B36" s="0" t="s">
        <v>134</v>
      </c>
      <c r="C36" s="0" t="s">
        <v>52</v>
      </c>
      <c r="E36" s="7" t="n">
        <v>0.4</v>
      </c>
      <c r="G36" s="8" t="s">
        <v>135</v>
      </c>
      <c r="H36" s="8" t="s">
        <v>136</v>
      </c>
      <c r="I36" s="8" t="s">
        <v>137</v>
      </c>
    </row>
    <row r="37" customFormat="false" ht="17.15" hidden="false" customHeight="false" outlineLevel="0" collapsed="false">
      <c r="A37" s="0" t="s">
        <v>138</v>
      </c>
      <c r="B37" s="0" t="s">
        <v>139</v>
      </c>
      <c r="C37" s="0" t="s">
        <v>52</v>
      </c>
      <c r="E37" s="7" t="n">
        <v>0.38</v>
      </c>
      <c r="G37" s="8" t="s">
        <v>135</v>
      </c>
      <c r="H37" s="4" t="s">
        <v>38</v>
      </c>
      <c r="I37" s="8" t="s">
        <v>117</v>
      </c>
    </row>
    <row r="38" customFormat="false" ht="17.15" hidden="false" customHeight="false" outlineLevel="0" collapsed="false">
      <c r="A38" s="0" t="s">
        <v>140</v>
      </c>
      <c r="B38" s="0" t="s">
        <v>141</v>
      </c>
      <c r="C38" s="0" t="s">
        <v>52</v>
      </c>
      <c r="E38" s="7" t="n">
        <v>0.15</v>
      </c>
      <c r="G38" s="8" t="s">
        <v>135</v>
      </c>
      <c r="H38" s="4" t="s">
        <v>142</v>
      </c>
      <c r="I38" s="8" t="s">
        <v>117</v>
      </c>
    </row>
    <row r="39" customFormat="false" ht="17.15" hidden="false" customHeight="false" outlineLevel="0" collapsed="false">
      <c r="A39" s="0" t="s">
        <v>143</v>
      </c>
      <c r="B39" s="0" t="s">
        <v>144</v>
      </c>
      <c r="C39" s="0" t="s">
        <v>52</v>
      </c>
      <c r="D39" s="7" t="n">
        <v>0.45</v>
      </c>
      <c r="E39" s="7" t="n">
        <v>0.5</v>
      </c>
      <c r="F39" s="7" t="n">
        <v>0.55</v>
      </c>
      <c r="G39" s="8" t="s">
        <v>145</v>
      </c>
      <c r="H39" s="8" t="s">
        <v>146</v>
      </c>
      <c r="I39" s="8" t="s">
        <v>147</v>
      </c>
    </row>
    <row r="40" customFormat="false" ht="17.15" hidden="false" customHeight="false" outlineLevel="0" collapsed="false">
      <c r="A40" s="0" t="s">
        <v>148</v>
      </c>
      <c r="B40" s="0" t="s">
        <v>149</v>
      </c>
      <c r="C40" s="0" t="s">
        <v>52</v>
      </c>
      <c r="D40" s="7" t="n">
        <v>0.51</v>
      </c>
      <c r="E40" s="7" t="n">
        <v>0.53</v>
      </c>
      <c r="F40" s="7" t="n">
        <v>0.56</v>
      </c>
      <c r="G40" s="8" t="s">
        <v>145</v>
      </c>
      <c r="H40" s="8" t="s">
        <v>150</v>
      </c>
      <c r="I40" s="8" t="s">
        <v>151</v>
      </c>
    </row>
    <row r="41" customFormat="false" ht="17.15" hidden="false" customHeight="false" outlineLevel="0" collapsed="false">
      <c r="A41" s="0" t="s">
        <v>152</v>
      </c>
      <c r="B41" s="0" t="s">
        <v>153</v>
      </c>
      <c r="C41" s="0" t="s">
        <v>52</v>
      </c>
      <c r="D41" s="7" t="n">
        <v>0.52</v>
      </c>
      <c r="E41" s="7" t="n">
        <v>0.6</v>
      </c>
      <c r="F41" s="7" t="n">
        <v>0.68</v>
      </c>
      <c r="G41" s="8" t="s">
        <v>145</v>
      </c>
      <c r="H41" s="8" t="s">
        <v>154</v>
      </c>
      <c r="I41" s="8" t="s">
        <v>155</v>
      </c>
    </row>
    <row r="42" customFormat="false" ht="17.15" hidden="false" customHeight="false" outlineLevel="0" collapsed="false">
      <c r="A42" s="0" t="s">
        <v>156</v>
      </c>
      <c r="B42" s="0" t="s">
        <v>157</v>
      </c>
      <c r="C42" s="0" t="s">
        <v>52</v>
      </c>
      <c r="D42" s="7" t="n">
        <v>0.28</v>
      </c>
      <c r="E42" s="7" t="n">
        <v>0.3</v>
      </c>
      <c r="F42" s="7" t="n">
        <v>0.32</v>
      </c>
      <c r="G42" s="8" t="s">
        <v>145</v>
      </c>
      <c r="H42" s="8" t="s">
        <v>158</v>
      </c>
      <c r="I42" s="8" t="s">
        <v>159</v>
      </c>
    </row>
    <row r="43" customFormat="false" ht="17.15" hidden="false" customHeight="false" outlineLevel="0" collapsed="false">
      <c r="A43" s="0" t="s">
        <v>160</v>
      </c>
      <c r="B43" s="0" t="s">
        <v>161</v>
      </c>
      <c r="C43" s="0" t="s">
        <v>52</v>
      </c>
      <c r="D43" s="7" t="n">
        <v>0.11</v>
      </c>
      <c r="E43" s="7" t="n">
        <v>0.12</v>
      </c>
      <c r="F43" s="7" t="n">
        <v>0.13</v>
      </c>
      <c r="G43" s="8" t="s">
        <v>145</v>
      </c>
      <c r="H43" s="8" t="s">
        <v>162</v>
      </c>
      <c r="I43" s="8" t="s">
        <v>163</v>
      </c>
    </row>
    <row r="44" customFormat="false" ht="17.15" hidden="false" customHeight="false" outlineLevel="0" collapsed="false">
      <c r="A44" s="0" t="s">
        <v>164</v>
      </c>
      <c r="B44" s="4" t="s">
        <v>165</v>
      </c>
      <c r="C44" s="0" t="s">
        <v>52</v>
      </c>
      <c r="D44" s="7" t="n">
        <v>0</v>
      </c>
      <c r="E44" s="7" t="n">
        <v>0.12</v>
      </c>
      <c r="F44" s="7" t="n">
        <v>0.25</v>
      </c>
      <c r="G44" s="8" t="s">
        <v>72</v>
      </c>
      <c r="H44" s="4" t="s">
        <v>166</v>
      </c>
      <c r="I44" s="8" t="s">
        <v>167</v>
      </c>
    </row>
    <row r="45" customFormat="false" ht="17.15" hidden="false" customHeight="false" outlineLevel="0" collapsed="false">
      <c r="A45" s="0" t="s">
        <v>168</v>
      </c>
      <c r="B45" s="4" t="s">
        <v>169</v>
      </c>
      <c r="C45" s="0" t="s">
        <v>52</v>
      </c>
      <c r="D45" s="7" t="n">
        <v>-0.05</v>
      </c>
      <c r="E45" s="7" t="n">
        <v>0.08</v>
      </c>
      <c r="F45" s="7" t="n">
        <v>0.2</v>
      </c>
      <c r="G45" s="8" t="s">
        <v>72</v>
      </c>
      <c r="H45" s="4" t="s">
        <v>38</v>
      </c>
      <c r="I45" s="8" t="s">
        <v>117</v>
      </c>
    </row>
    <row r="46" customFormat="false" ht="17.15" hidden="false" customHeight="false" outlineLevel="0" collapsed="false">
      <c r="A46" s="0" t="s">
        <v>170</v>
      </c>
      <c r="B46" s="4" t="s">
        <v>171</v>
      </c>
      <c r="C46" s="0" t="s">
        <v>52</v>
      </c>
      <c r="D46" s="7" t="n">
        <v>-0.05</v>
      </c>
      <c r="E46" s="7" t="n">
        <v>0.06</v>
      </c>
      <c r="F46" s="7" t="n">
        <v>0.15</v>
      </c>
      <c r="G46" s="8" t="s">
        <v>72</v>
      </c>
      <c r="H46" s="4" t="s">
        <v>38</v>
      </c>
      <c r="I46" s="8" t="s">
        <v>117</v>
      </c>
    </row>
    <row r="47" customFormat="false" ht="17.15" hidden="false" customHeight="false" outlineLevel="0" collapsed="false">
      <c r="A47" s="0" t="s">
        <v>172</v>
      </c>
      <c r="B47" s="4" t="s">
        <v>173</v>
      </c>
      <c r="C47" s="0" t="s">
        <v>52</v>
      </c>
      <c r="D47" s="7" t="n">
        <v>-0.08</v>
      </c>
      <c r="E47" s="7" t="n">
        <v>0.03</v>
      </c>
      <c r="F47" s="7" t="n">
        <v>0.08</v>
      </c>
      <c r="G47" s="8" t="s">
        <v>72</v>
      </c>
      <c r="H47" s="4" t="s">
        <v>174</v>
      </c>
      <c r="I47" s="8" t="s">
        <v>175</v>
      </c>
    </row>
    <row r="48" customFormat="false" ht="17.15" hidden="false" customHeight="false" outlineLevel="0" collapsed="false">
      <c r="A48" s="0" t="s">
        <v>176</v>
      </c>
      <c r="B48" s="4" t="s">
        <v>177</v>
      </c>
      <c r="C48" s="0" t="s">
        <v>52</v>
      </c>
      <c r="D48" s="7" t="n">
        <v>-0.08</v>
      </c>
      <c r="E48" s="7" t="n">
        <v>0.02</v>
      </c>
      <c r="F48" s="7" t="n">
        <v>0.06</v>
      </c>
      <c r="G48" s="8" t="s">
        <v>72</v>
      </c>
      <c r="H48" s="4" t="s">
        <v>38</v>
      </c>
      <c r="I48" s="8" t="s">
        <v>117</v>
      </c>
    </row>
    <row r="49" customFormat="false" ht="17.15" hidden="false" customHeight="false" outlineLevel="0" collapsed="false">
      <c r="A49" s="0" t="s">
        <v>178</v>
      </c>
      <c r="B49" s="4" t="s">
        <v>179</v>
      </c>
      <c r="C49" s="0" t="s">
        <v>52</v>
      </c>
      <c r="D49" s="7" t="n">
        <v>-0.08</v>
      </c>
      <c r="E49" s="7" t="n">
        <v>0.02</v>
      </c>
      <c r="F49" s="7" t="n">
        <v>0.06</v>
      </c>
      <c r="G49" s="8" t="s">
        <v>72</v>
      </c>
      <c r="H49" s="4" t="s">
        <v>38</v>
      </c>
      <c r="I49" s="8" t="s">
        <v>117</v>
      </c>
    </row>
    <row r="50" customFormat="false" ht="17.15" hidden="false" customHeight="false" outlineLevel="0" collapsed="false">
      <c r="A50" s="0" t="s">
        <v>180</v>
      </c>
      <c r="B50" s="4" t="s">
        <v>181</v>
      </c>
      <c r="C50" s="0" t="s">
        <v>52</v>
      </c>
      <c r="D50" s="7" t="n">
        <v>-0.1</v>
      </c>
      <c r="E50" s="7" t="n">
        <v>-0.02</v>
      </c>
      <c r="F50" s="7" t="n">
        <v>0.05</v>
      </c>
      <c r="G50" s="8" t="s">
        <v>72</v>
      </c>
      <c r="H50" s="4" t="s">
        <v>182</v>
      </c>
      <c r="I50" s="8" t="s">
        <v>183</v>
      </c>
    </row>
    <row r="51" customFormat="false" ht="17.15" hidden="false" customHeight="false" outlineLevel="0" collapsed="false">
      <c r="A51" s="0" t="s">
        <v>184</v>
      </c>
      <c r="B51" s="4" t="s">
        <v>185</v>
      </c>
      <c r="C51" s="0" t="s">
        <v>52</v>
      </c>
      <c r="D51" s="7" t="n">
        <v>-0.1</v>
      </c>
      <c r="E51" s="7" t="n">
        <v>0</v>
      </c>
      <c r="F51" s="7" t="n">
        <v>0.05</v>
      </c>
      <c r="G51" s="8" t="s">
        <v>72</v>
      </c>
      <c r="H51" s="4" t="s">
        <v>38</v>
      </c>
      <c r="I51" s="8" t="s">
        <v>117</v>
      </c>
    </row>
    <row r="52" customFormat="false" ht="17.15" hidden="false" customHeight="false" outlineLevel="0" collapsed="false">
      <c r="A52" s="0" t="s">
        <v>186</v>
      </c>
      <c r="B52" s="4" t="s">
        <v>187</v>
      </c>
      <c r="C52" s="0" t="s">
        <v>52</v>
      </c>
      <c r="D52" s="7" t="n">
        <v>-0.1</v>
      </c>
      <c r="E52" s="7" t="n">
        <v>0</v>
      </c>
      <c r="F52" s="7" t="n">
        <v>0.05</v>
      </c>
      <c r="G52" s="8" t="s">
        <v>72</v>
      </c>
      <c r="H52" s="4" t="s">
        <v>38</v>
      </c>
      <c r="I52" s="8" t="s">
        <v>117</v>
      </c>
    </row>
    <row r="53" customFormat="false" ht="17.15" hidden="false" customHeight="false" outlineLevel="0" collapsed="false">
      <c r="A53" s="0" t="s">
        <v>188</v>
      </c>
      <c r="B53" s="4" t="s">
        <v>189</v>
      </c>
      <c r="C53" s="0" t="s">
        <v>52</v>
      </c>
      <c r="D53" s="7" t="n">
        <v>-0.05</v>
      </c>
      <c r="E53" s="7" t="n">
        <v>0.08</v>
      </c>
      <c r="F53" s="7" t="n">
        <v>0.3</v>
      </c>
      <c r="G53" s="8" t="s">
        <v>72</v>
      </c>
      <c r="H53" s="4" t="s">
        <v>190</v>
      </c>
      <c r="I53" s="8" t="s">
        <v>191</v>
      </c>
    </row>
    <row r="54" customFormat="false" ht="17.15" hidden="false" customHeight="false" outlineLevel="0" collapsed="false">
      <c r="A54" s="0" t="s">
        <v>192</v>
      </c>
      <c r="B54" s="4" t="s">
        <v>193</v>
      </c>
      <c r="C54" s="0" t="s">
        <v>52</v>
      </c>
      <c r="D54" s="7" t="n">
        <v>-0.05</v>
      </c>
      <c r="E54" s="7" t="n">
        <v>0.06</v>
      </c>
      <c r="F54" s="7" t="n">
        <v>0.2</v>
      </c>
      <c r="G54" s="8" t="s">
        <v>72</v>
      </c>
      <c r="H54" s="4" t="s">
        <v>38</v>
      </c>
      <c r="I54" s="8" t="s">
        <v>117</v>
      </c>
    </row>
    <row r="55" customFormat="false" ht="17.15" hidden="false" customHeight="false" outlineLevel="0" collapsed="false">
      <c r="A55" s="0" t="s">
        <v>194</v>
      </c>
      <c r="B55" s="4" t="s">
        <v>195</v>
      </c>
      <c r="C55" s="0" t="s">
        <v>52</v>
      </c>
      <c r="D55" s="7" t="n">
        <v>-0.05</v>
      </c>
      <c r="E55" s="7" t="n">
        <v>0.05</v>
      </c>
      <c r="F55" s="7" t="n">
        <v>0.15</v>
      </c>
      <c r="G55" s="8" t="s">
        <v>72</v>
      </c>
      <c r="H55" s="4" t="s">
        <v>38</v>
      </c>
      <c r="I55" s="8" t="s">
        <v>117</v>
      </c>
    </row>
    <row r="56" customFormat="false" ht="17.15" hidden="false" customHeight="false" outlineLevel="0" collapsed="false">
      <c r="A56" s="6" t="s">
        <v>196</v>
      </c>
    </row>
    <row r="57" customFormat="false" ht="17.15" hidden="false" customHeight="false" outlineLevel="0" collapsed="false">
      <c r="A57" s="0" t="s">
        <v>197</v>
      </c>
      <c r="B57" s="0" t="s">
        <v>198</v>
      </c>
      <c r="C57" s="0" t="s">
        <v>199</v>
      </c>
      <c r="D57" s="7" t="n">
        <v>-0.015</v>
      </c>
      <c r="E57" s="7" t="n">
        <v>-0.005</v>
      </c>
      <c r="F57" s="7" t="n">
        <v>0.005</v>
      </c>
      <c r="G57" s="8" t="s">
        <v>72</v>
      </c>
      <c r="H57" s="4" t="s">
        <v>200</v>
      </c>
      <c r="I57" s="4" t="s">
        <v>201</v>
      </c>
    </row>
    <row r="58" customFormat="false" ht="17.15" hidden="false" customHeight="false" outlineLevel="0" collapsed="false">
      <c r="A58" s="0" t="s">
        <v>202</v>
      </c>
      <c r="B58" s="0" t="s">
        <v>203</v>
      </c>
      <c r="C58" s="0" t="s">
        <v>199</v>
      </c>
      <c r="D58" s="7" t="n">
        <v>-0.005</v>
      </c>
      <c r="E58" s="7" t="n">
        <v>-0.002</v>
      </c>
      <c r="F58" s="7" t="n">
        <v>0</v>
      </c>
      <c r="G58" s="8" t="s">
        <v>72</v>
      </c>
      <c r="H58" s="4" t="s">
        <v>204</v>
      </c>
      <c r="I58" s="4" t="s">
        <v>205</v>
      </c>
    </row>
    <row r="59" customFormat="false" ht="17.15" hidden="false" customHeight="false" outlineLevel="0" collapsed="false">
      <c r="A59" s="6" t="s">
        <v>206</v>
      </c>
    </row>
    <row r="60" customFormat="false" ht="17.15" hidden="false" customHeight="false" outlineLevel="0" collapsed="false">
      <c r="A60" s="0" t="s">
        <v>207</v>
      </c>
      <c r="B60" s="0" t="s">
        <v>208</v>
      </c>
      <c r="C60" s="0" t="s">
        <v>209</v>
      </c>
      <c r="E60" s="7" t="n">
        <v>3026.9</v>
      </c>
      <c r="G60" s="8" t="s">
        <v>135</v>
      </c>
      <c r="H60" s="8" t="s">
        <v>210</v>
      </c>
      <c r="I60" s="8" t="s">
        <v>211</v>
      </c>
    </row>
    <row r="61" customFormat="false" ht="17.15" hidden="false" customHeight="false" outlineLevel="0" collapsed="false">
      <c r="A61" s="0" t="s">
        <v>212</v>
      </c>
      <c r="B61" s="0" t="s">
        <v>213</v>
      </c>
      <c r="C61" s="0" t="s">
        <v>52</v>
      </c>
      <c r="D61" s="7" t="n">
        <v>0</v>
      </c>
      <c r="E61" s="7" t="n">
        <v>0.15</v>
      </c>
      <c r="F61" s="7" t="n">
        <v>0.25</v>
      </c>
      <c r="G61" s="8" t="s">
        <v>145</v>
      </c>
      <c r="H61" s="4" t="s">
        <v>214</v>
      </c>
      <c r="I61" s="8" t="s">
        <v>215</v>
      </c>
    </row>
    <row r="62" customFormat="false" ht="17.15" hidden="false" customHeight="false" outlineLevel="0" collapsed="false">
      <c r="A62" s="0" t="s">
        <v>216</v>
      </c>
      <c r="B62" s="0" t="s">
        <v>217</v>
      </c>
      <c r="C62" s="0" t="s">
        <v>52</v>
      </c>
      <c r="D62" s="7" t="n">
        <v>0.057</v>
      </c>
      <c r="E62" s="7" t="n">
        <v>0.06</v>
      </c>
      <c r="F62" s="7" t="n">
        <v>0.063</v>
      </c>
      <c r="G62" s="8" t="s">
        <v>145</v>
      </c>
      <c r="H62" s="8" t="s">
        <v>218</v>
      </c>
      <c r="I62" s="8" t="s">
        <v>219</v>
      </c>
    </row>
    <row r="63" customFormat="false" ht="17.15" hidden="false" customHeight="false" outlineLevel="0" collapsed="false">
      <c r="A63" s="0" t="s">
        <v>220</v>
      </c>
      <c r="B63" s="0" t="s">
        <v>221</v>
      </c>
      <c r="C63" s="0" t="s">
        <v>52</v>
      </c>
      <c r="D63" s="7" t="n">
        <v>0.02</v>
      </c>
      <c r="E63" s="7" t="n">
        <v>0.0215</v>
      </c>
      <c r="F63" s="7" t="n">
        <v>0.024</v>
      </c>
      <c r="G63" s="8" t="s">
        <v>72</v>
      </c>
      <c r="H63" s="8" t="s">
        <v>222</v>
      </c>
      <c r="I63" s="4" t="s">
        <v>223</v>
      </c>
    </row>
    <row r="64" customFormat="false" ht="17.15" hidden="false" customHeight="false" outlineLevel="0" collapsed="false">
      <c r="A64" s="0" t="s">
        <v>224</v>
      </c>
      <c r="B64" s="0" t="s">
        <v>225</v>
      </c>
      <c r="C64" s="0" t="s">
        <v>52</v>
      </c>
      <c r="D64" s="7" t="n">
        <v>0.6</v>
      </c>
      <c r="E64" s="7" t="n">
        <v>0.66</v>
      </c>
      <c r="F64" s="7" t="n">
        <v>0.72</v>
      </c>
      <c r="G64" s="8" t="s">
        <v>33</v>
      </c>
      <c r="H64" s="8" t="s">
        <v>226</v>
      </c>
      <c r="I64" s="4" t="s">
        <v>227</v>
      </c>
    </row>
    <row r="65" customFormat="false" ht="17.15" hidden="false" customHeight="false" outlineLevel="0" collapsed="false">
      <c r="A65" s="0" t="s">
        <v>228</v>
      </c>
      <c r="B65" s="4" t="s">
        <v>229</v>
      </c>
      <c r="C65" s="4" t="s">
        <v>230</v>
      </c>
      <c r="E65" s="0" t="n">
        <f aca="false">(49.919+59.974)/7.84</f>
        <v>14.0169642857143</v>
      </c>
      <c r="G65" s="0" t="s">
        <v>33</v>
      </c>
      <c r="H65" s="0" t="s">
        <v>231</v>
      </c>
      <c r="I65" s="0" t="s">
        <v>232</v>
      </c>
    </row>
    <row r="66" customFormat="false" ht="17.15" hidden="false" customHeight="false" outlineLevel="0" collapsed="false">
      <c r="A66" s="6" t="s">
        <v>233</v>
      </c>
    </row>
    <row r="67" customFormat="false" ht="17.15" hidden="false" customHeight="false" outlineLevel="0" collapsed="false">
      <c r="A67" s="0" t="s">
        <v>234</v>
      </c>
      <c r="B67" s="4" t="s">
        <v>235</v>
      </c>
      <c r="C67" s="0" t="s">
        <v>71</v>
      </c>
      <c r="D67" s="7" t="n">
        <v>0.2</v>
      </c>
      <c r="E67" s="7" t="n">
        <v>0.4</v>
      </c>
      <c r="F67" s="7" t="n">
        <v>0.7</v>
      </c>
      <c r="G67" s="8" t="s">
        <v>33</v>
      </c>
      <c r="H67" s="8" t="s">
        <v>236</v>
      </c>
      <c r="I67" s="4" t="s">
        <v>237</v>
      </c>
    </row>
    <row r="68" customFormat="false" ht="17.15" hidden="false" customHeight="false" outlineLevel="0" collapsed="false">
      <c r="A68" s="0" t="s">
        <v>238</v>
      </c>
      <c r="B68" s="4" t="s">
        <v>239</v>
      </c>
      <c r="C68" s="0" t="s">
        <v>199</v>
      </c>
      <c r="D68" s="7" t="n">
        <v>-0.002</v>
      </c>
      <c r="E68" s="7" t="n">
        <v>0</v>
      </c>
      <c r="F68" s="7" t="n">
        <v>0.002</v>
      </c>
      <c r="G68" s="8" t="s">
        <v>72</v>
      </c>
      <c r="H68" s="4" t="s">
        <v>240</v>
      </c>
      <c r="I68" s="4" t="s">
        <v>241</v>
      </c>
    </row>
    <row r="69" customFormat="false" ht="17.15" hidden="false" customHeight="false" outlineLevel="0" collapsed="false">
      <c r="A69" s="0" t="s">
        <v>242</v>
      </c>
      <c r="B69" s="4" t="s">
        <v>243</v>
      </c>
      <c r="C69" s="0" t="s">
        <v>52</v>
      </c>
      <c r="D69" s="7" t="n">
        <v>0.6</v>
      </c>
      <c r="E69" s="7" t="n">
        <v>0.66</v>
      </c>
      <c r="F69" s="7" t="n">
        <v>0.73</v>
      </c>
      <c r="G69" s="8" t="s">
        <v>33</v>
      </c>
      <c r="H69" s="4" t="s">
        <v>244</v>
      </c>
      <c r="I69" s="4" t="s">
        <v>245</v>
      </c>
    </row>
    <row r="70" customFormat="false" ht="17.15" hidden="false" customHeight="false" outlineLevel="0" collapsed="false">
      <c r="A70" s="0" t="s">
        <v>246</v>
      </c>
      <c r="B70" s="4" t="s">
        <v>247</v>
      </c>
      <c r="C70" s="0" t="s">
        <v>52</v>
      </c>
      <c r="D70" s="7" t="n">
        <v>0</v>
      </c>
      <c r="E70" s="7" t="n">
        <v>0</v>
      </c>
      <c r="F70" s="7" t="n">
        <v>0.01</v>
      </c>
      <c r="G70" s="8" t="s">
        <v>72</v>
      </c>
      <c r="H70" s="8" t="s">
        <v>248</v>
      </c>
      <c r="I70" s="8" t="s">
        <v>117</v>
      </c>
    </row>
    <row r="71" customFormat="false" ht="17.15" hidden="false" customHeight="false" outlineLevel="0" collapsed="false">
      <c r="A71" s="0" t="s">
        <v>249</v>
      </c>
      <c r="B71" s="0" t="s">
        <v>250</v>
      </c>
      <c r="C71" s="0" t="s">
        <v>71</v>
      </c>
      <c r="D71" s="7" t="n">
        <v>0.8</v>
      </c>
      <c r="E71" s="7" t="n">
        <v>1</v>
      </c>
      <c r="F71" s="7" t="n">
        <v>1.2</v>
      </c>
      <c r="G71" s="8" t="s">
        <v>72</v>
      </c>
      <c r="H71" s="4" t="s">
        <v>251</v>
      </c>
      <c r="I71" s="8" t="s">
        <v>252</v>
      </c>
    </row>
    <row r="72" customFormat="false" ht="17.15" hidden="false" customHeight="false" outlineLevel="0" collapsed="false">
      <c r="A72" s="6" t="s">
        <v>253</v>
      </c>
    </row>
    <row r="73" customFormat="false" ht="17.15" hidden="false" customHeight="false" outlineLevel="0" collapsed="false">
      <c r="A73" s="0" t="s">
        <v>254</v>
      </c>
      <c r="B73" s="4" t="s">
        <v>255</v>
      </c>
      <c r="C73" s="0" t="s">
        <v>209</v>
      </c>
      <c r="E73" s="7" t="n">
        <v>11010.682</v>
      </c>
      <c r="G73" s="8" t="s">
        <v>145</v>
      </c>
      <c r="H73" s="8" t="s">
        <v>256</v>
      </c>
      <c r="I73" s="8" t="s">
        <v>257</v>
      </c>
    </row>
    <row r="74" customFormat="false" ht="17.15" hidden="false" customHeight="false" outlineLevel="0" collapsed="false">
      <c r="A74" s="0" t="s">
        <v>258</v>
      </c>
      <c r="B74" s="4" t="s">
        <v>259</v>
      </c>
      <c r="C74" s="0" t="s">
        <v>260</v>
      </c>
      <c r="E74" s="7" t="n">
        <v>18.67</v>
      </c>
      <c r="G74" s="8" t="s">
        <v>145</v>
      </c>
      <c r="H74" s="8" t="s">
        <v>256</v>
      </c>
      <c r="I74" s="4" t="s">
        <v>261</v>
      </c>
    </row>
    <row r="75" customFormat="false" ht="17.15" hidden="false" customHeight="false" outlineLevel="0" collapsed="false">
      <c r="A75" s="0" t="s">
        <v>262</v>
      </c>
      <c r="B75" s="4" t="s">
        <v>263</v>
      </c>
      <c r="C75" s="0" t="s">
        <v>209</v>
      </c>
      <c r="E75" s="7" t="n">
        <v>14019.401</v>
      </c>
      <c r="G75" s="8" t="s">
        <v>145</v>
      </c>
      <c r="H75" s="8" t="s">
        <v>256</v>
      </c>
      <c r="I75" s="4" t="s">
        <v>264</v>
      </c>
    </row>
    <row r="76" customFormat="false" ht="17.15" hidden="false" customHeight="false" outlineLevel="0" collapsed="false">
      <c r="A76" s="0" t="s">
        <v>265</v>
      </c>
      <c r="B76" s="4" t="s">
        <v>266</v>
      </c>
      <c r="C76" s="0" t="s">
        <v>260</v>
      </c>
      <c r="E76" s="7" t="n">
        <v>22.64</v>
      </c>
      <c r="G76" s="8" t="s">
        <v>145</v>
      </c>
      <c r="H76" s="8" t="s">
        <v>256</v>
      </c>
      <c r="I76" s="8" t="s">
        <v>117</v>
      </c>
    </row>
    <row r="77" customFormat="false" ht="17.15" hidden="false" customHeight="false" outlineLevel="0" collapsed="false">
      <c r="A77" s="0" t="s">
        <v>267</v>
      </c>
      <c r="B77" s="4" t="s">
        <v>268</v>
      </c>
      <c r="C77" s="0" t="s">
        <v>260</v>
      </c>
      <c r="E77" s="7" t="n">
        <v>22</v>
      </c>
      <c r="G77" s="8" t="s">
        <v>145</v>
      </c>
      <c r="H77" s="8" t="s">
        <v>269</v>
      </c>
      <c r="I77" s="4" t="s">
        <v>270</v>
      </c>
    </row>
    <row r="78" customFormat="false" ht="17.15" hidden="false" customHeight="false" outlineLevel="0" collapsed="false">
      <c r="A78" s="0" t="s">
        <v>271</v>
      </c>
      <c r="B78" s="4" t="s">
        <v>272</v>
      </c>
      <c r="C78" s="0" t="s">
        <v>260</v>
      </c>
      <c r="E78" s="7" t="n">
        <v>25</v>
      </c>
      <c r="G78" s="8" t="s">
        <v>145</v>
      </c>
      <c r="H78" s="8" t="s">
        <v>273</v>
      </c>
      <c r="I78" s="8" t="s">
        <v>117</v>
      </c>
    </row>
    <row r="79" customFormat="false" ht="17.15" hidden="false" customHeight="false" outlineLevel="0" collapsed="false">
      <c r="A79" s="0" t="s">
        <v>274</v>
      </c>
      <c r="B79" s="4" t="s">
        <v>275</v>
      </c>
      <c r="C79" s="0" t="s">
        <v>260</v>
      </c>
      <c r="E79" s="7" t="n">
        <v>28</v>
      </c>
      <c r="G79" s="8" t="s">
        <v>145</v>
      </c>
      <c r="H79" s="8" t="s">
        <v>276</v>
      </c>
      <c r="I79" s="4" t="s">
        <v>277</v>
      </c>
    </row>
    <row r="80" customFormat="false" ht="17.15" hidden="false" customHeight="false" outlineLevel="0" collapsed="false">
      <c r="A80" s="0" t="s">
        <v>278</v>
      </c>
      <c r="B80" s="4" t="s">
        <v>279</v>
      </c>
      <c r="C80" s="0" t="s">
        <v>52</v>
      </c>
      <c r="E80" s="7" t="n">
        <v>0.057</v>
      </c>
      <c r="G80" s="8" t="s">
        <v>145</v>
      </c>
      <c r="H80" s="8" t="s">
        <v>256</v>
      </c>
      <c r="I80" s="4" t="s">
        <v>280</v>
      </c>
    </row>
    <row r="81" customFormat="false" ht="17.15" hidden="false" customHeight="false" outlineLevel="0" collapsed="false">
      <c r="A81" s="0" t="s">
        <v>281</v>
      </c>
      <c r="B81" s="4" t="s">
        <v>282</v>
      </c>
      <c r="C81" s="0" t="s">
        <v>52</v>
      </c>
      <c r="E81" s="0" t="n">
        <f aca="false">2600/(2600+2525+2350)</f>
        <v>0.347826086956522</v>
      </c>
      <c r="G81" s="0" t="s">
        <v>145</v>
      </c>
      <c r="H81" s="4" t="s">
        <v>283</v>
      </c>
      <c r="I81" s="4" t="s">
        <v>284</v>
      </c>
    </row>
    <row r="82" customFormat="false" ht="17.15" hidden="false" customHeight="false" outlineLevel="0" collapsed="false">
      <c r="A82" s="0" t="s">
        <v>285</v>
      </c>
      <c r="B82" s="4" t="s">
        <v>286</v>
      </c>
      <c r="C82" s="0" t="s">
        <v>52</v>
      </c>
      <c r="E82" s="7" t="n">
        <v>0.44</v>
      </c>
      <c r="G82" s="8" t="s">
        <v>145</v>
      </c>
      <c r="H82" s="8" t="s">
        <v>287</v>
      </c>
      <c r="I82" s="4" t="s">
        <v>288</v>
      </c>
    </row>
    <row r="83" customFormat="false" ht="17.15" hidden="false" customHeight="false" outlineLevel="0" collapsed="false">
      <c r="A83" s="6" t="s">
        <v>289</v>
      </c>
    </row>
    <row r="84" customFormat="false" ht="17.15" hidden="false" customHeight="false" outlineLevel="0" collapsed="false">
      <c r="A84" s="0" t="s">
        <v>290</v>
      </c>
      <c r="B84" s="4" t="s">
        <v>291</v>
      </c>
      <c r="C84" s="0" t="s">
        <v>260</v>
      </c>
      <c r="E84" s="7" t="n">
        <v>245</v>
      </c>
      <c r="G84" s="8" t="s">
        <v>145</v>
      </c>
      <c r="H84" s="4" t="s">
        <v>292</v>
      </c>
      <c r="I84" s="8" t="s">
        <v>293</v>
      </c>
    </row>
    <row r="85" customFormat="false" ht="17.15" hidden="false" customHeight="false" outlineLevel="0" collapsed="false">
      <c r="A85" s="0" t="s">
        <v>294</v>
      </c>
      <c r="B85" s="4" t="s">
        <v>295</v>
      </c>
      <c r="C85" s="0" t="s">
        <v>71</v>
      </c>
      <c r="E85" s="7" t="n">
        <v>16.08</v>
      </c>
      <c r="G85" s="8" t="s">
        <v>145</v>
      </c>
      <c r="H85" s="8" t="s">
        <v>296</v>
      </c>
      <c r="I85" s="8" t="s">
        <v>297</v>
      </c>
    </row>
    <row r="86" customFormat="false" ht="17.15" hidden="false" customHeight="false" outlineLevel="0" collapsed="false">
      <c r="A86" s="6" t="s">
        <v>298</v>
      </c>
    </row>
    <row r="87" customFormat="false" ht="17.15" hidden="false" customHeight="false" outlineLevel="0" collapsed="false">
      <c r="A87" s="0" t="s">
        <v>299</v>
      </c>
      <c r="B87" s="4" t="s">
        <v>300</v>
      </c>
      <c r="C87" s="4" t="s">
        <v>301</v>
      </c>
      <c r="E87" s="9" t="n">
        <v>0.3</v>
      </c>
      <c r="G87" s="8" t="s">
        <v>72</v>
      </c>
      <c r="H87" s="8" t="s">
        <v>302</v>
      </c>
      <c r="I87" s="4" t="s">
        <v>303</v>
      </c>
    </row>
    <row r="88" customFormat="false" ht="17.15" hidden="false" customHeight="false" outlineLevel="0" collapsed="false">
      <c r="A88" s="0" t="s">
        <v>304</v>
      </c>
      <c r="B88" s="4" t="s">
        <v>305</v>
      </c>
      <c r="C88" s="4" t="s">
        <v>301</v>
      </c>
      <c r="E88" s="9" t="n">
        <v>0.5</v>
      </c>
      <c r="G88" s="8" t="s">
        <v>72</v>
      </c>
      <c r="H88" s="8" t="s">
        <v>302</v>
      </c>
      <c r="I88" s="4" t="s">
        <v>303</v>
      </c>
    </row>
    <row r="89" customFormat="false" ht="17.15" hidden="false" customHeight="false" outlineLevel="0" collapsed="false">
      <c r="A89" s="0" t="s">
        <v>306</v>
      </c>
      <c r="B89" s="4" t="s">
        <v>307</v>
      </c>
      <c r="C89" s="4" t="s">
        <v>301</v>
      </c>
      <c r="E89" s="9" t="n">
        <v>0.2</v>
      </c>
      <c r="G89" s="8" t="s">
        <v>72</v>
      </c>
      <c r="H89" s="8" t="s">
        <v>302</v>
      </c>
      <c r="I89" s="4" t="s">
        <v>303</v>
      </c>
    </row>
    <row r="90" customFormat="false" ht="17.15" hidden="false" customHeight="false" outlineLevel="0" collapsed="false">
      <c r="A90" s="6" t="s">
        <v>308</v>
      </c>
    </row>
    <row r="91" customFormat="false" ht="17.15" hidden="false" customHeight="false" outlineLevel="0" collapsed="false">
      <c r="A91" s="0" t="s">
        <v>309</v>
      </c>
      <c r="B91" s="4" t="s">
        <v>310</v>
      </c>
      <c r="C91" s="0" t="s">
        <v>52</v>
      </c>
      <c r="E91" s="9" t="n">
        <v>0.1</v>
      </c>
      <c r="G91" s="8" t="s">
        <v>72</v>
      </c>
      <c r="H91" s="8" t="s">
        <v>311</v>
      </c>
      <c r="I91" s="8" t="s">
        <v>312</v>
      </c>
    </row>
    <row r="92" customFormat="false" ht="17.15" hidden="false" customHeight="false" outlineLevel="0" collapsed="false">
      <c r="A92" s="0" t="s">
        <v>313</v>
      </c>
      <c r="B92" s="4" t="s">
        <v>314</v>
      </c>
      <c r="C92" s="0" t="s">
        <v>52</v>
      </c>
      <c r="E92" s="9" t="n">
        <v>0.04</v>
      </c>
      <c r="G92" s="8" t="s">
        <v>72</v>
      </c>
      <c r="H92" s="8" t="s">
        <v>315</v>
      </c>
      <c r="I92" s="8" t="s">
        <v>316</v>
      </c>
    </row>
    <row r="93" customFormat="false" ht="17.15" hidden="false" customHeight="false" outlineLevel="0" collapsed="false">
      <c r="A93" s="0" t="s">
        <v>317</v>
      </c>
      <c r="B93" s="0" t="s">
        <v>318</v>
      </c>
      <c r="C93" s="0" t="s">
        <v>52</v>
      </c>
      <c r="E93" s="10" t="n">
        <f aca="false">AVERAGE(0.0928,0.0971,0.1125)</f>
        <v>0.1008</v>
      </c>
      <c r="G93" s="8" t="s">
        <v>33</v>
      </c>
      <c r="H93" s="8" t="s">
        <v>319</v>
      </c>
      <c r="I93" s="4" t="s">
        <v>320</v>
      </c>
    </row>
    <row r="94" customFormat="false" ht="17.15" hidden="false" customHeight="false" outlineLevel="0" collapsed="false">
      <c r="A94" s="0" t="s">
        <v>321</v>
      </c>
      <c r="B94" s="4" t="s">
        <v>322</v>
      </c>
      <c r="C94" s="0" t="s">
        <v>52</v>
      </c>
      <c r="E94" s="9" t="n">
        <v>0.5</v>
      </c>
      <c r="G94" s="8" t="s">
        <v>72</v>
      </c>
      <c r="H94" s="8" t="s">
        <v>323</v>
      </c>
      <c r="I94" s="8" t="s">
        <v>324</v>
      </c>
    </row>
    <row r="95" customFormat="false" ht="17.15" hidden="false" customHeight="false" outlineLevel="0" collapsed="false">
      <c r="A95" s="0" t="s">
        <v>325</v>
      </c>
      <c r="B95" s="4" t="s">
        <v>326</v>
      </c>
      <c r="C95" s="0" t="s">
        <v>52</v>
      </c>
      <c r="E95" s="10" t="n">
        <f aca="false">tp_g+0.02</f>
        <v>0.06</v>
      </c>
      <c r="G95" s="8" t="s">
        <v>72</v>
      </c>
      <c r="H95" s="4" t="s">
        <v>327</v>
      </c>
      <c r="I95" s="8" t="s">
        <v>328</v>
      </c>
    </row>
    <row r="96" customFormat="false" ht="17.15" hidden="false" customHeight="false" outlineLevel="0" collapsed="false">
      <c r="A96" s="0" t="s">
        <v>329</v>
      </c>
      <c r="B96" s="4" t="s">
        <v>330</v>
      </c>
      <c r="C96" s="0" t="s">
        <v>52</v>
      </c>
      <c r="E96" s="10" t="n">
        <f aca="false">tp_g</f>
        <v>0.04</v>
      </c>
      <c r="G96" s="8" t="s">
        <v>72</v>
      </c>
      <c r="H96" s="4" t="s">
        <v>38</v>
      </c>
      <c r="I96" s="8" t="s">
        <v>117</v>
      </c>
    </row>
    <row r="97" customFormat="false" ht="17.15" hidden="false" customHeight="false" outlineLevel="0" collapsed="false">
      <c r="A97" s="0" t="s">
        <v>331</v>
      </c>
      <c r="B97" s="4" t="s">
        <v>332</v>
      </c>
      <c r="C97" s="0" t="s">
        <v>52</v>
      </c>
      <c r="E97" s="10" t="n">
        <f aca="false">tp_g-0.02</f>
        <v>0.02</v>
      </c>
      <c r="G97" s="8" t="s">
        <v>72</v>
      </c>
      <c r="H97" s="4" t="s">
        <v>38</v>
      </c>
      <c r="I97" s="8" t="s">
        <v>117</v>
      </c>
    </row>
    <row r="98" customFormat="false" ht="17.15" hidden="false" customHeight="false" outlineLevel="0" collapsed="false">
      <c r="A98" s="0" t="s">
        <v>333</v>
      </c>
      <c r="B98" s="4" t="s">
        <v>334</v>
      </c>
      <c r="C98" s="0" t="s">
        <v>71</v>
      </c>
      <c r="E98" s="9" t="n">
        <v>0.8</v>
      </c>
      <c r="G98" s="8" t="s">
        <v>72</v>
      </c>
      <c r="H98" s="4" t="s">
        <v>335</v>
      </c>
      <c r="I98" s="4" t="s">
        <v>336</v>
      </c>
    </row>
    <row r="99" customFormat="false" ht="17.15" hidden="false" customHeight="false" outlineLevel="0" collapsed="false">
      <c r="A99" s="0" t="s">
        <v>337</v>
      </c>
      <c r="B99" s="4" t="s">
        <v>338</v>
      </c>
      <c r="C99" s="0" t="s">
        <v>260</v>
      </c>
      <c r="E99" s="7" t="n">
        <v>347.45</v>
      </c>
      <c r="G99" s="8" t="s">
        <v>145</v>
      </c>
      <c r="H99" s="8" t="s">
        <v>339</v>
      </c>
      <c r="I99" s="4" t="s">
        <v>340</v>
      </c>
    </row>
    <row r="100" customFormat="false" ht="17.15" hidden="false" customHeight="false" outlineLevel="0" collapsed="false">
      <c r="A100" s="0" t="s">
        <v>341</v>
      </c>
      <c r="B100" s="4" t="s">
        <v>342</v>
      </c>
      <c r="C100" s="0" t="s">
        <v>260</v>
      </c>
      <c r="E100" s="0" t="n">
        <f aca="false">239.5/11.37</f>
        <v>21.0642040457344</v>
      </c>
      <c r="G100" s="0" t="s">
        <v>145</v>
      </c>
      <c r="H100" s="0" t="s">
        <v>343</v>
      </c>
      <c r="I100" s="4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345</v>
      </c>
    </row>
    <row r="2" customFormat="false" ht="17.15" hidden="false" customHeight="false" outlineLevel="0" collapsed="false">
      <c r="A2" s="0" t="s">
        <v>346</v>
      </c>
    </row>
    <row r="3" customFormat="false" ht="17.15" hidden="false" customHeight="false" outlineLevel="0" collapsed="false">
      <c r="A3" s="5" t="s">
        <v>21</v>
      </c>
      <c r="B3" s="11" t="s">
        <v>347</v>
      </c>
      <c r="C3" s="11" t="s">
        <v>348</v>
      </c>
      <c r="D3" s="11" t="s">
        <v>349</v>
      </c>
      <c r="E3" s="11" t="s">
        <v>350</v>
      </c>
      <c r="F3" s="11" t="s">
        <v>351</v>
      </c>
      <c r="G3" s="5" t="s">
        <v>26</v>
      </c>
      <c r="H3" s="5" t="s">
        <v>352</v>
      </c>
      <c r="I3" s="5" t="s">
        <v>28</v>
      </c>
    </row>
    <row r="4" customFormat="false" ht="17.15" hidden="false" customHeight="false" outlineLevel="0" collapsed="false">
      <c r="A4" s="4" t="s">
        <v>353</v>
      </c>
      <c r="B4" s="12" t="n">
        <v>8103.105</v>
      </c>
      <c r="C4" s="13" t="n">
        <f aca="false">7669.8-q3_rev</f>
        <v>4642.9</v>
      </c>
      <c r="D4" s="13" t="n">
        <f aca="false">q3_rev</f>
        <v>3026.9</v>
      </c>
      <c r="E4" s="13" t="n">
        <f aca="false">D4*(1+q4g)</f>
        <v>3480.935</v>
      </c>
      <c r="F4" s="13" t="n">
        <f aca="false">SUM(C4:E4)</f>
        <v>11150.735</v>
      </c>
      <c r="G4" s="8" t="s">
        <v>354</v>
      </c>
      <c r="H4" s="8" t="s">
        <v>355</v>
      </c>
      <c r="I4" s="8" t="s">
        <v>356</v>
      </c>
    </row>
    <row r="5" customFormat="false" ht="17.15" hidden="false" customHeight="false" outlineLevel="0" collapsed="false">
      <c r="A5" s="4" t="s">
        <v>357</v>
      </c>
      <c r="B5" s="12" t="n">
        <v>498.161</v>
      </c>
      <c r="C5" s="13" t="n">
        <f aca="false">(C4-2525.894)*0.0618+154.533</f>
        <v>285.3639708</v>
      </c>
      <c r="D5" s="13" t="n">
        <f aca="false">D4*q_gm</f>
        <v>181.614</v>
      </c>
      <c r="E5" s="13" t="n">
        <f aca="false">E4*q_gm</f>
        <v>208.8561</v>
      </c>
      <c r="F5" s="13" t="n">
        <f aca="false">SUM(C5:E5)</f>
        <v>675.8340708</v>
      </c>
      <c r="G5" s="8" t="s">
        <v>358</v>
      </c>
      <c r="H5" s="8" t="s">
        <v>355</v>
      </c>
      <c r="I5" s="8" t="s">
        <v>359</v>
      </c>
    </row>
    <row r="6" customFormat="false" ht="15" hidden="false" customHeight="false" outlineLevel="0" collapsed="false">
      <c r="A6" s="4" t="s">
        <v>360</v>
      </c>
      <c r="B6" s="14" t="n">
        <f aca="false">B5/B4</f>
        <v>0.0614777915379352</v>
      </c>
      <c r="C6" s="14" t="n">
        <f aca="false">C5/C4</f>
        <v>0.0614624417497685</v>
      </c>
      <c r="D6" s="14" t="n">
        <f aca="false">D5/D4</f>
        <v>0.06</v>
      </c>
      <c r="E6" s="14" t="n">
        <f aca="false">E5/E4</f>
        <v>0.06</v>
      </c>
      <c r="F6" s="14" t="n">
        <f aca="false">F5/F4</f>
        <v>0.0606089258510762</v>
      </c>
      <c r="G6" s="8" t="s">
        <v>33</v>
      </c>
      <c r="H6" s="8" t="s">
        <v>117</v>
      </c>
      <c r="I6" s="8" t="s">
        <v>117</v>
      </c>
    </row>
    <row r="7" customFormat="false" ht="17.15" hidden="false" customHeight="false" outlineLevel="0" collapsed="false">
      <c r="A7" s="4" t="s">
        <v>361</v>
      </c>
      <c r="B7" s="13" t="n">
        <f aca="false">B5-B8</f>
        <v>238.938</v>
      </c>
      <c r="C7" s="13" t="n">
        <f aca="false">C5-C8</f>
        <v>114.9119708</v>
      </c>
      <c r="D7" s="13" t="n">
        <f aca="false">D4*q_opx</f>
        <v>65.07835</v>
      </c>
      <c r="E7" s="13" t="n">
        <f aca="false">E4*q_opx</f>
        <v>74.8401025</v>
      </c>
      <c r="F7" s="13" t="n">
        <f aca="false">SUM(C7:E7)</f>
        <v>254.8304233</v>
      </c>
      <c r="G7" s="8" t="s">
        <v>362</v>
      </c>
      <c r="H7" s="8" t="s">
        <v>355</v>
      </c>
      <c r="I7" s="8" t="s">
        <v>363</v>
      </c>
    </row>
    <row r="8" customFormat="false" ht="17.15" hidden="false" customHeight="false" outlineLevel="0" collapsed="false">
      <c r="A8" s="4" t="s">
        <v>364</v>
      </c>
      <c r="B8" s="12" t="n">
        <v>259.223</v>
      </c>
      <c r="C8" s="13" t="n">
        <f aca="false">75.649+94.803</f>
        <v>170.452</v>
      </c>
      <c r="D8" s="13" t="n">
        <f aca="false">D5-D7</f>
        <v>116.53565</v>
      </c>
      <c r="E8" s="13" t="n">
        <f aca="false">E5-E7</f>
        <v>134.0159975</v>
      </c>
      <c r="F8" s="13" t="n">
        <f aca="false">SUM(C8:E8)</f>
        <v>421.0036475</v>
      </c>
      <c r="G8" s="8" t="s">
        <v>365</v>
      </c>
      <c r="H8" s="8" t="s">
        <v>355</v>
      </c>
      <c r="I8" s="8" t="s">
        <v>366</v>
      </c>
    </row>
    <row r="9" customFormat="false" ht="15" hidden="false" customHeight="false" outlineLevel="0" collapsed="false">
      <c r="A9" s="4" t="s">
        <v>367</v>
      </c>
      <c r="B9" s="14" t="n">
        <f aca="false">B8/B4</f>
        <v>0.0319905764518663</v>
      </c>
      <c r="C9" s="14" t="n">
        <f aca="false">C8/C4</f>
        <v>0.0367123995778501</v>
      </c>
      <c r="D9" s="14" t="n">
        <f aca="false">D8/D4</f>
        <v>0.0385</v>
      </c>
      <c r="E9" s="14" t="n">
        <f aca="false">E8/E4</f>
        <v>0.0385</v>
      </c>
      <c r="F9" s="14" t="n">
        <f aca="false">F8/F4</f>
        <v>0.0377556858359561</v>
      </c>
      <c r="G9" s="8" t="s">
        <v>33</v>
      </c>
      <c r="H9" s="8" t="s">
        <v>117</v>
      </c>
      <c r="I9" s="8" t="s">
        <v>117</v>
      </c>
    </row>
    <row r="10" customFormat="false" ht="17.15" hidden="false" customHeight="false" outlineLevel="0" collapsed="false">
      <c r="A10" s="4" t="s">
        <v>368</v>
      </c>
      <c r="B10" s="12" t="n">
        <v>189.354</v>
      </c>
      <c r="C10" s="13" t="n">
        <f aca="false">49.919+59.974</f>
        <v>109.893</v>
      </c>
      <c r="D10" s="13" t="n">
        <f aca="false">D8*q_nio</f>
        <v>76.913529</v>
      </c>
      <c r="E10" s="13" t="n">
        <f aca="false">E8*q_nio</f>
        <v>88.45055835</v>
      </c>
      <c r="F10" s="13" t="n">
        <f aca="false">SUM(C10:E10)</f>
        <v>275.25708735</v>
      </c>
      <c r="G10" s="8" t="s">
        <v>369</v>
      </c>
      <c r="H10" s="8" t="s">
        <v>355</v>
      </c>
      <c r="I10" s="8" t="s">
        <v>370</v>
      </c>
    </row>
    <row r="11" customFormat="false" ht="17.15" hidden="false" customHeight="false" outlineLevel="0" collapsed="false">
      <c r="A11" s="4" t="s">
        <v>371</v>
      </c>
      <c r="B11" s="15" t="n">
        <f aca="false">B10/B8</f>
        <v>0.730467589681471</v>
      </c>
      <c r="C11" s="15" t="n">
        <f aca="false">C10/C8</f>
        <v>0.644715227747401</v>
      </c>
      <c r="D11" s="15" t="n">
        <f aca="false">D10/D8</f>
        <v>0.66</v>
      </c>
      <c r="E11" s="15" t="n">
        <f aca="false">E10/E8</f>
        <v>0.66</v>
      </c>
      <c r="F11" s="15" t="n">
        <f aca="false">F10/F8</f>
        <v>0.653811645064191</v>
      </c>
      <c r="G11" s="8" t="s">
        <v>33</v>
      </c>
      <c r="H11" s="8" t="s">
        <v>117</v>
      </c>
      <c r="I11" s="8" t="s">
        <v>117</v>
      </c>
    </row>
    <row r="12" customFormat="false" ht="17.15" hidden="false" customHeight="false" outlineLevel="0" collapsed="false">
      <c r="A12" s="4" t="s">
        <v>372</v>
      </c>
      <c r="B12" s="13" t="n">
        <f aca="false">189.354/13.61</f>
        <v>13.9128581925055</v>
      </c>
      <c r="C12" s="13" t="n">
        <f aca="false">q_sh</f>
        <v>14.0169642857143</v>
      </c>
      <c r="D12" s="13" t="n">
        <f aca="false">q_sh</f>
        <v>14.0169642857143</v>
      </c>
      <c r="E12" s="13" t="n">
        <f aca="false">q_sh</f>
        <v>14.0169642857143</v>
      </c>
      <c r="F12" s="13" t="n">
        <f aca="false">q_sh</f>
        <v>14.0169642857143</v>
      </c>
      <c r="G12" s="8" t="s">
        <v>33</v>
      </c>
      <c r="H12" s="8" t="s">
        <v>355</v>
      </c>
      <c r="I12" s="4" t="s">
        <v>373</v>
      </c>
    </row>
    <row r="13" customFormat="false" ht="17.15" hidden="false" customHeight="false" outlineLevel="0" collapsed="false">
      <c r="A13" s="0" t="s">
        <v>374</v>
      </c>
      <c r="B13" s="16" t="n">
        <f aca="false">B10/B12</f>
        <v>13.61</v>
      </c>
      <c r="C13" s="16" t="n">
        <f aca="false">C10/C12</f>
        <v>7.84</v>
      </c>
      <c r="D13" s="16" t="n">
        <f aca="false">D10/D12</f>
        <v>5.48717450028664</v>
      </c>
      <c r="E13" s="16" t="n">
        <f aca="false">E10/E12</f>
        <v>6.31025067532964</v>
      </c>
      <c r="F13" s="16" t="n">
        <f aca="false">F10/F12</f>
        <v>19.6374251756163</v>
      </c>
      <c r="G13" s="8" t="s">
        <v>33</v>
      </c>
      <c r="H13" s="4" t="s">
        <v>375</v>
      </c>
      <c r="I13" s="8" t="s">
        <v>117</v>
      </c>
    </row>
    <row r="14" customFormat="false" ht="17.15" hidden="false" customHeight="false" outlineLevel="0" collapsed="false">
      <c r="A14" s="4" t="s">
        <v>376</v>
      </c>
      <c r="B14" s="17" t="n">
        <v>13.61</v>
      </c>
      <c r="C14" s="17" t="n">
        <v>7.84</v>
      </c>
      <c r="G14" s="8" t="s">
        <v>135</v>
      </c>
      <c r="H14" s="8" t="s">
        <v>355</v>
      </c>
      <c r="I14" s="8" t="s">
        <v>377</v>
      </c>
    </row>
    <row r="15" customFormat="false" ht="17.15" hidden="false" customHeight="false" outlineLevel="0" collapsed="false">
      <c r="A15" s="0" t="s">
        <v>378</v>
      </c>
      <c r="B15" s="13" t="n">
        <f aca="false">B4*cl_25*ais_25</f>
        <v>1620.621</v>
      </c>
      <c r="F15" s="13" t="n">
        <f aca="false">F4*cl_26*ais_26</f>
        <v>3545.93373</v>
      </c>
      <c r="G15" s="8" t="s">
        <v>379</v>
      </c>
      <c r="H15" s="4" t="s">
        <v>380</v>
      </c>
      <c r="I15" s="4" t="s">
        <v>381</v>
      </c>
    </row>
    <row r="16" customFormat="false" ht="17.15" hidden="false" customHeight="false" outlineLevel="0" collapsed="false">
      <c r="A16" s="4" t="s">
        <v>382</v>
      </c>
      <c r="B16" s="13" t="n">
        <f aca="false">B4*cl_25-B15</f>
        <v>1620.621</v>
      </c>
      <c r="F16" s="13" t="n">
        <f aca="false">F4*cl_26-F15</f>
        <v>2363.95582</v>
      </c>
      <c r="G16" s="8" t="s">
        <v>33</v>
      </c>
      <c r="H16" s="8" t="s">
        <v>117</v>
      </c>
      <c r="I16" s="8" t="s">
        <v>117</v>
      </c>
    </row>
    <row r="17" customFormat="false" ht="17.15" hidden="false" customHeight="false" outlineLevel="0" collapsed="false">
      <c r="A17" s="4" t="s">
        <v>383</v>
      </c>
      <c r="B17" s="13" t="n">
        <f aca="false">B4*ce_25</f>
        <v>3079.1799</v>
      </c>
      <c r="F17" s="13" t="n">
        <f aca="false">F4*ce_26</f>
        <v>3345.2205</v>
      </c>
      <c r="G17" s="8" t="s">
        <v>379</v>
      </c>
      <c r="H17" s="8" t="s">
        <v>117</v>
      </c>
      <c r="I17" s="8" t="s">
        <v>117</v>
      </c>
    </row>
    <row r="18" customFormat="false" ht="17.15" hidden="false" customHeight="false" outlineLevel="0" collapsed="false">
      <c r="A18" s="4" t="s">
        <v>384</v>
      </c>
      <c r="B18" s="13" t="n">
        <f aca="false">B4*pc_25</f>
        <v>1215.46575</v>
      </c>
      <c r="F18" s="13" t="n">
        <f aca="false">F4*pc_26</f>
        <v>1338.0882</v>
      </c>
      <c r="G18" s="8" t="s">
        <v>379</v>
      </c>
      <c r="H18" s="8" t="s">
        <v>117</v>
      </c>
      <c r="I18" s="8" t="s">
        <v>117</v>
      </c>
    </row>
    <row r="19" customFormat="false" ht="17.15" hidden="false" customHeight="false" outlineLevel="0" collapsed="false">
      <c r="A19" s="4" t="s">
        <v>385</v>
      </c>
      <c r="B19" s="13" t="n">
        <f aca="false">B4-B15-B16-B17-B18</f>
        <v>567.217349999999</v>
      </c>
      <c r="F19" s="13" t="n">
        <f aca="false">F4-F15-F16-F17-F18</f>
        <v>557.53675</v>
      </c>
      <c r="G19" s="8" t="s">
        <v>33</v>
      </c>
      <c r="H19" s="8" t="s">
        <v>117</v>
      </c>
      <c r="I19" s="8" t="s">
        <v>386</v>
      </c>
    </row>
    <row r="20" customFormat="false" ht="17.15" hidden="false" customHeight="false" outlineLevel="0" collapsed="false">
      <c r="A20" s="4" t="s">
        <v>387</v>
      </c>
      <c r="B20" s="13" t="n">
        <f aca="false">B4-B15</f>
        <v>6482.484</v>
      </c>
      <c r="F20" s="13" t="n">
        <f aca="false">F4-F15</f>
        <v>7604.80127</v>
      </c>
      <c r="G20" s="8" t="s">
        <v>33</v>
      </c>
      <c r="H20" s="8" t="s">
        <v>117</v>
      </c>
      <c r="I20" s="8" t="s">
        <v>117</v>
      </c>
    </row>
    <row r="22" customFormat="false" ht="17.15" hidden="false" customHeight="false" outlineLevel="0" collapsed="false">
      <c r="A22" s="6" t="s">
        <v>388</v>
      </c>
    </row>
    <row r="23" customFormat="false" ht="17.15" hidden="false" customHeight="false" outlineLevel="0" collapsed="false">
      <c r="A23" s="0" t="s">
        <v>389</v>
      </c>
      <c r="B23" s="15" t="n">
        <f aca="false">F4/B4-1</f>
        <v>0.376106443147411</v>
      </c>
    </row>
    <row r="24" customFormat="false" ht="17.15" hidden="false" customHeight="false" outlineLevel="0" collapsed="false">
      <c r="A24" s="0" t="s">
        <v>390</v>
      </c>
      <c r="B24" s="15" t="n">
        <f aca="false">F7/B7-1</f>
        <v>0.0665127493324627</v>
      </c>
    </row>
    <row r="25" customFormat="false" ht="17.15" hidden="false" customHeight="false" outlineLevel="0" collapsed="false">
      <c r="A25" s="4" t="s">
        <v>391</v>
      </c>
      <c r="B25" s="16" t="n">
        <f aca="false">B24/B23</f>
        <v>0.176845546106196</v>
      </c>
    </row>
    <row r="26" customFormat="false" ht="17.15" hidden="false" customHeight="false" outlineLevel="0" collapsed="false">
      <c r="A26" s="0" t="s">
        <v>392</v>
      </c>
      <c r="B26" s="15" t="n">
        <f aca="false">F4/b_rev26-1</f>
        <v>0.0127197388862923</v>
      </c>
    </row>
    <row r="27" customFormat="false" ht="17.15" hidden="false" customHeight="false" outlineLevel="0" collapsed="false">
      <c r="A27" s="0" t="s">
        <v>393</v>
      </c>
      <c r="B27" s="15" t="n">
        <f aca="false">F13/b_eps26-1</f>
        <v>0.0518170956409363</v>
      </c>
    </row>
    <row r="28" customFormat="false" ht="17.15" hidden="false" customHeight="false" outlineLevel="0" collapsed="false">
      <c r="A28" s="0" t="s">
        <v>394</v>
      </c>
      <c r="B28" s="15" t="n">
        <f aca="false">F15/B15-1</f>
        <v>1.18800924460438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395</v>
      </c>
    </row>
    <row r="3" customFormat="false" ht="15" hidden="false" customHeight="false" outlineLevel="0" collapsed="false">
      <c r="A3" s="5" t="s">
        <v>21</v>
      </c>
      <c r="B3" s="5" t="s">
        <v>22</v>
      </c>
      <c r="C3" s="11" t="s">
        <v>396</v>
      </c>
      <c r="D3" s="11" t="s">
        <v>397</v>
      </c>
      <c r="E3" s="11" t="s">
        <v>398</v>
      </c>
      <c r="F3" s="11" t="s">
        <v>399</v>
      </c>
      <c r="G3" s="5" t="s">
        <v>400</v>
      </c>
    </row>
    <row r="4" customFormat="false" ht="17.15" hidden="false" customHeight="false" outlineLevel="0" collapsed="false">
      <c r="A4" s="4" t="s">
        <v>401</v>
      </c>
      <c r="B4" s="0" t="s">
        <v>402</v>
      </c>
      <c r="C4" s="18" t="n">
        <f aca="false">PL!D65</f>
        <v>23.3995380420639</v>
      </c>
      <c r="D4" s="18" t="n">
        <f aca="false">PL!E65</f>
        <v>41.6467658260637</v>
      </c>
      <c r="E4" s="18" t="n">
        <f aca="false">PL!F65</f>
        <v>52.792138191248</v>
      </c>
      <c r="F4" s="18" t="n">
        <f aca="false">PL!G65</f>
        <v>60.1385917361116</v>
      </c>
      <c r="G4" s="8" t="s">
        <v>403</v>
      </c>
    </row>
    <row r="5" customFormat="false" ht="17.15" hidden="false" customHeight="false" outlineLevel="0" collapsed="false">
      <c r="A5" s="4" t="s">
        <v>404</v>
      </c>
      <c r="B5" s="0" t="s">
        <v>405</v>
      </c>
      <c r="C5" s="16" t="n">
        <f aca="false">PL!D66</f>
        <v>27.1209</v>
      </c>
      <c r="D5" s="16" t="n">
        <f aca="false">PL!E66</f>
        <v>27.351</v>
      </c>
      <c r="E5" s="16" t="n">
        <f aca="false">PL!F66</f>
        <v>27.351</v>
      </c>
      <c r="F5" s="16" t="n">
        <f aca="false">PL!G66</f>
        <v>27.351</v>
      </c>
      <c r="G5" s="4" t="s">
        <v>406</v>
      </c>
    </row>
    <row r="6" customFormat="false" ht="17.15" hidden="false" customHeight="false" outlineLevel="0" collapsed="false">
      <c r="A6" s="0" t="s">
        <v>407</v>
      </c>
      <c r="B6" s="0" t="s">
        <v>32</v>
      </c>
      <c r="C6" s="19" t="n">
        <f aca="false">PL!D67</f>
        <v>634.61653128501</v>
      </c>
      <c r="D6" s="19" t="n">
        <f aca="false">PL!E67</f>
        <v>1139.08069210867</v>
      </c>
      <c r="E6" s="19" t="n">
        <f aca="false">PL!F67</f>
        <v>1443.91777166882</v>
      </c>
      <c r="F6" s="19" t="n">
        <f aca="false">PL!G67</f>
        <v>1644.85062257439</v>
      </c>
      <c r="G6" s="4" t="s">
        <v>408</v>
      </c>
    </row>
    <row r="7" customFormat="false" ht="17.15" hidden="false" customHeight="false" outlineLevel="0" collapsed="false">
      <c r="A7" s="4" t="s">
        <v>409</v>
      </c>
      <c r="B7" s="0" t="s">
        <v>52</v>
      </c>
      <c r="C7" s="15" t="n">
        <f aca="false">PL!D71</f>
        <v>0.174610057569922</v>
      </c>
      <c r="D7" s="15" t="n">
        <f aca="false">PL!E71</f>
        <v>0.174610057569922</v>
      </c>
      <c r="E7" s="15" t="n">
        <f aca="false">PL!F71</f>
        <v>0.174610057569922</v>
      </c>
      <c r="F7" s="15" t="n">
        <f aca="false">PL!G71</f>
        <v>0.165879554691426</v>
      </c>
      <c r="G7" s="8" t="s">
        <v>410</v>
      </c>
    </row>
    <row r="8" customFormat="false" ht="17.15" hidden="false" customHeight="false" outlineLevel="0" collapsed="false">
      <c r="A8" s="4" t="s">
        <v>411</v>
      </c>
      <c r="B8" s="0" t="s">
        <v>32</v>
      </c>
      <c r="C8" s="19" t="n">
        <f aca="false">PL!D72/fx</f>
        <v>110.8104290625</v>
      </c>
      <c r="D8" s="19" t="n">
        <f aca="false">PL!E72/fx</f>
        <v>198.894945225881</v>
      </c>
      <c r="E8" s="19" t="n">
        <f aca="false">PL!F72/fx</f>
        <v>252.122565237327</v>
      </c>
      <c r="F8" s="19" t="n">
        <f aca="false">PL!G72/fx</f>
        <v>272.847088806554</v>
      </c>
      <c r="G8" s="4" t="s">
        <v>412</v>
      </c>
    </row>
    <row r="9" customFormat="false" ht="17.15" hidden="false" customHeight="false" outlineLevel="0" collapsed="false">
      <c r="A9" s="4" t="s">
        <v>413</v>
      </c>
      <c r="B9" s="0" t="s">
        <v>52</v>
      </c>
      <c r="C9" s="15" t="n">
        <f aca="false">PL!D73</f>
        <v>0</v>
      </c>
      <c r="D9" s="15" t="n">
        <f aca="false">PL!E73</f>
        <v>0.1</v>
      </c>
      <c r="E9" s="15" t="n">
        <f aca="false">PL!F73</f>
        <v>0.2</v>
      </c>
      <c r="F9" s="15" t="n">
        <f aca="false">PL!G73</f>
        <v>0.25</v>
      </c>
      <c r="G9" s="8" t="s">
        <v>72</v>
      </c>
    </row>
    <row r="10" customFormat="false" ht="17.15" hidden="false" customHeight="false" outlineLevel="0" collapsed="false">
      <c r="A10" s="4" t="s">
        <v>414</v>
      </c>
      <c r="B10" s="0" t="s">
        <v>32</v>
      </c>
      <c r="C10" s="19" t="n">
        <f aca="false">PL!D74/fx</f>
        <v>110.8104290625</v>
      </c>
      <c r="D10" s="19" t="n">
        <f aca="false">PL!E74/fx</f>
        <v>179.005450703293</v>
      </c>
      <c r="E10" s="19" t="n">
        <f aca="false">PL!F74/fx</f>
        <v>201.698052189862</v>
      </c>
      <c r="F10" s="19" t="n">
        <f aca="false">PL!G74/fx</f>
        <v>204.635316604916</v>
      </c>
    </row>
    <row r="11" customFormat="false" ht="17.15" hidden="false" customHeight="false" outlineLevel="0" collapsed="false">
      <c r="A11" s="4" t="s">
        <v>415</v>
      </c>
      <c r="B11" s="4" t="s">
        <v>416</v>
      </c>
      <c r="C11" s="19" t="n">
        <f aca="false">PL!D86</f>
        <v>24.0630682003257</v>
      </c>
      <c r="D11" s="19" t="n">
        <f aca="false">PL!E86</f>
        <v>29.4659178112417</v>
      </c>
      <c r="E11" s="19" t="n">
        <f aca="false">PL!F86</f>
        <v>37.3514911462707</v>
      </c>
      <c r="F11" s="19" t="n">
        <f aca="false">PL!G86</f>
        <v>40.4217909343043</v>
      </c>
      <c r="G11" s="4" t="s">
        <v>417</v>
      </c>
    </row>
    <row r="12" customFormat="false" ht="17.15" hidden="false" customHeight="false" outlineLevel="0" collapsed="false">
      <c r="A12" s="4" t="s">
        <v>418</v>
      </c>
      <c r="B12" s="0" t="s">
        <v>405</v>
      </c>
      <c r="C12" s="16" t="n">
        <f aca="false">PL!D85</f>
        <v>4.7355819103481</v>
      </c>
      <c r="D12" s="16" t="n">
        <f aca="false">PL!E85</f>
        <v>4.29818371613545</v>
      </c>
      <c r="E12" s="16" t="n">
        <f aca="false">PL!F85</f>
        <v>3.82060774767595</v>
      </c>
      <c r="F12" s="16" t="n">
        <f aca="false">PL!G85</f>
        <v>3.4027287752739</v>
      </c>
    </row>
    <row r="13" customFormat="false" ht="17.15" hidden="false" customHeight="false" outlineLevel="0" collapsed="false">
      <c r="A13" s="4" t="s">
        <v>419</v>
      </c>
      <c r="B13" s="0" t="s">
        <v>52</v>
      </c>
      <c r="C13" s="14" t="n">
        <f aca="false">PL!D92</f>
        <v>0.0571989258510762</v>
      </c>
      <c r="D13" s="14" t="n">
        <f aca="false">PL!E92</f>
        <v>0.0607188184361838</v>
      </c>
      <c r="E13" s="14" t="n">
        <f aca="false">PL!F92</f>
        <v>0.0676186841675683</v>
      </c>
      <c r="F13" s="14" t="n">
        <f aca="false">PL!G92</f>
        <v>0.0717586036063991</v>
      </c>
      <c r="G13" s="4" t="s">
        <v>420</v>
      </c>
    </row>
    <row r="14" customFormat="false" ht="17.15" hidden="false" customHeight="false" outlineLevel="0" collapsed="false">
      <c r="A14" s="4" t="s">
        <v>421</v>
      </c>
      <c r="B14" s="0" t="s">
        <v>52</v>
      </c>
      <c r="C14" s="20" t="n">
        <v>0.133896123975753</v>
      </c>
      <c r="D14" s="20" t="n">
        <v>0.133896123975753</v>
      </c>
      <c r="E14" s="20" t="n">
        <v>0.127201317776965</v>
      </c>
      <c r="F14" s="20" t="n">
        <v>0.120506511578178</v>
      </c>
      <c r="G14" s="4" t="s">
        <v>422</v>
      </c>
    </row>
    <row r="15" customFormat="false" ht="17.15" hidden="false" customHeight="false" outlineLevel="0" collapsed="false">
      <c r="A15" s="4" t="s">
        <v>423</v>
      </c>
      <c r="B15" s="0" t="s">
        <v>52</v>
      </c>
      <c r="C15" s="15" t="n">
        <f aca="false">C7+C14</f>
        <v>0.308506181545675</v>
      </c>
      <c r="D15" s="15" t="n">
        <f aca="false">D7+D14</f>
        <v>0.308506181545675</v>
      </c>
      <c r="E15" s="15" t="n">
        <f aca="false">E7+E14</f>
        <v>0.301811375346887</v>
      </c>
      <c r="F15" s="15" t="n">
        <f aca="false">F7+F14</f>
        <v>0.286386066269604</v>
      </c>
      <c r="G15" s="4" t="s">
        <v>424</v>
      </c>
    </row>
    <row r="16" customFormat="false" ht="17.15" hidden="false" customHeight="false" outlineLevel="0" collapsed="false">
      <c r="A16" s="4" t="s">
        <v>425</v>
      </c>
      <c r="B16" s="0" t="s">
        <v>32</v>
      </c>
      <c r="C16" s="19" t="n">
        <f aca="false">C6*(1-C15)</f>
        <v>438.83340847251</v>
      </c>
      <c r="D16" s="19" t="n">
        <f aca="false">D6*(1-D15)</f>
        <v>787.667257313818</v>
      </c>
      <c r="E16" s="19" t="n">
        <f aca="false">E6*(1-E15)</f>
        <v>1008.12696311364</v>
      </c>
      <c r="F16" s="19" t="n">
        <f aca="false">F6*(1-F15)</f>
        <v>1173.7883231742</v>
      </c>
    </row>
    <row r="18" customFormat="false" ht="17.15" hidden="false" customHeight="false" outlineLevel="0" collapsed="false">
      <c r="A18" s="1" t="s"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427</v>
      </c>
    </row>
    <row r="3" customFormat="false" ht="17.15" hidden="false" customHeight="false" outlineLevel="0" collapsed="false">
      <c r="A3" s="5" t="s">
        <v>428</v>
      </c>
      <c r="B3" s="5" t="s">
        <v>22</v>
      </c>
      <c r="C3" s="11" t="s">
        <v>347</v>
      </c>
      <c r="D3" s="11" t="s">
        <v>429</v>
      </c>
      <c r="E3" s="11" t="s">
        <v>430</v>
      </c>
      <c r="F3" s="11" t="s">
        <v>431</v>
      </c>
      <c r="G3" s="11" t="s">
        <v>432</v>
      </c>
      <c r="H3" s="5" t="s">
        <v>400</v>
      </c>
    </row>
    <row r="4" customFormat="false" ht="17.15" hidden="false" customHeight="false" outlineLevel="0" collapsed="false">
      <c r="A4" s="1" t="s">
        <v>433</v>
      </c>
    </row>
    <row r="5" customFormat="false" ht="15" hidden="false" customHeight="false" outlineLevel="0" collapsed="false">
      <c r="A5" s="4" t="s">
        <v>353</v>
      </c>
      <c r="B5" s="0" t="s">
        <v>209</v>
      </c>
      <c r="C5" s="19" t="n">
        <f aca="false">C81</f>
        <v>8103.105</v>
      </c>
      <c r="D5" s="19" t="n">
        <f aca="false">D81</f>
        <v>11150.735</v>
      </c>
      <c r="E5" s="19" t="n">
        <f aca="false">E81</f>
        <v>13734.8481819054</v>
      </c>
      <c r="F5" s="19" t="n">
        <f aca="false">F81</f>
        <v>14777.8617946476</v>
      </c>
      <c r="G5" s="19" t="n">
        <f aca="false">G81</f>
        <v>15145.6238902376</v>
      </c>
    </row>
    <row r="6" customFormat="false" ht="15" hidden="false" customHeight="false" outlineLevel="0" collapsed="false">
      <c r="A6" s="4" t="s">
        <v>434</v>
      </c>
      <c r="B6" s="0" t="s">
        <v>52</v>
      </c>
      <c r="D6" s="15" t="n">
        <f aca="false">D82</f>
        <v>0.376106443147411</v>
      </c>
      <c r="E6" s="15" t="n">
        <f aca="false">E82</f>
        <v>0.231743753385349</v>
      </c>
      <c r="F6" s="15" t="n">
        <f aca="false">F82</f>
        <v>0.0759392167229256</v>
      </c>
      <c r="G6" s="15" t="n">
        <f aca="false">G82</f>
        <v>0.0248860153586801</v>
      </c>
    </row>
    <row r="7" customFormat="false" ht="17.15" hidden="false" customHeight="false" outlineLevel="0" collapsed="false">
      <c r="A7" s="0" t="s">
        <v>435</v>
      </c>
      <c r="B7" s="0" t="s">
        <v>209</v>
      </c>
      <c r="C7" s="19" t="n">
        <f aca="false">C74</f>
        <v>1620.621</v>
      </c>
      <c r="D7" s="19" t="n">
        <f aca="false">D74</f>
        <v>3545.93373</v>
      </c>
      <c r="E7" s="19" t="n">
        <f aca="false">E74</f>
        <v>5728.17442250538</v>
      </c>
      <c r="F7" s="19" t="n">
        <f aca="false">F74</f>
        <v>6454.33767007557</v>
      </c>
      <c r="G7" s="19" t="n">
        <f aca="false">G74</f>
        <v>6548.3301313573</v>
      </c>
    </row>
    <row r="8" customFormat="false" ht="17.15" hidden="false" customHeight="false" outlineLevel="0" collapsed="false">
      <c r="A8" s="4" t="s">
        <v>436</v>
      </c>
      <c r="B8" s="0" t="s">
        <v>209</v>
      </c>
      <c r="C8" s="19" t="n">
        <f aca="false">C80</f>
        <v>6482.484</v>
      </c>
      <c r="D8" s="19" t="n">
        <f aca="false">D80</f>
        <v>7604.80127</v>
      </c>
      <c r="E8" s="19" t="n">
        <f aca="false">E80</f>
        <v>8006.6737594</v>
      </c>
      <c r="F8" s="19" t="n">
        <f aca="false">F80</f>
        <v>8323.524124572</v>
      </c>
      <c r="G8" s="19" t="n">
        <f aca="false">G80</f>
        <v>8597.29375888032</v>
      </c>
    </row>
    <row r="9" customFormat="false" ht="17.15" hidden="false" customHeight="false" outlineLevel="0" collapsed="false">
      <c r="A9" s="0" t="s">
        <v>437</v>
      </c>
      <c r="B9" s="0" t="s">
        <v>52</v>
      </c>
      <c r="C9" s="15" t="n">
        <f aca="false">C83</f>
        <v>0.2</v>
      </c>
      <c r="D9" s="15" t="n">
        <f aca="false">D83</f>
        <v>0.318</v>
      </c>
      <c r="E9" s="15" t="n">
        <f aca="false">E83</f>
        <v>0.417054076364078</v>
      </c>
      <c r="F9" s="15" t="n">
        <f aca="false">F83</f>
        <v>0.436757208841491</v>
      </c>
      <c r="G9" s="15" t="n">
        <f aca="false">G83</f>
        <v>0.43235789947076</v>
      </c>
    </row>
    <row r="10" customFormat="false" ht="15" hidden="false" customHeight="false" outlineLevel="0" collapsed="false">
      <c r="A10" s="4" t="s">
        <v>357</v>
      </c>
      <c r="B10" s="0" t="s">
        <v>209</v>
      </c>
      <c r="C10" s="19" t="n">
        <f aca="false">C90</f>
        <v>498.161</v>
      </c>
      <c r="D10" s="19" t="n">
        <f aca="false">D90</f>
        <v>675.8340708</v>
      </c>
      <c r="E10" s="19" t="n">
        <f aca="false">E90</f>
        <v>845.814490205574</v>
      </c>
      <c r="F10" s="19" t="n">
        <f aca="false">F90</f>
        <v>954.148080267577</v>
      </c>
      <c r="G10" s="19" t="n">
        <f aca="false">G90</f>
        <v>1004.64146320842</v>
      </c>
    </row>
    <row r="11" customFormat="false" ht="15" hidden="false" customHeight="false" outlineLevel="0" collapsed="false">
      <c r="A11" s="4" t="s">
        <v>360</v>
      </c>
      <c r="B11" s="0" t="s">
        <v>52</v>
      </c>
      <c r="C11" s="14" t="n">
        <f aca="false">C91</f>
        <v>0.0614777915379352</v>
      </c>
      <c r="D11" s="14" t="n">
        <f aca="false">D91</f>
        <v>0.0606089258510762</v>
      </c>
      <c r="E11" s="14" t="n">
        <f aca="false">E91</f>
        <v>0.0615816410202386</v>
      </c>
      <c r="F11" s="14" t="n">
        <f aca="false">F91</f>
        <v>0.0645660443659828</v>
      </c>
      <c r="G11" s="14" t="n">
        <f aca="false">G91</f>
        <v>0.0663321280449849</v>
      </c>
    </row>
    <row r="12" customFormat="false" ht="15" hidden="false" customHeight="false" outlineLevel="0" collapsed="false">
      <c r="A12" s="4" t="s">
        <v>367</v>
      </c>
      <c r="B12" s="0" t="s">
        <v>52</v>
      </c>
      <c r="C12" s="14" t="n">
        <f aca="false">C96</f>
        <v>0.0319905764518663</v>
      </c>
      <c r="D12" s="14" t="n">
        <f aca="false">D96</f>
        <v>0.0377556858359561</v>
      </c>
      <c r="E12" s="14" t="n">
        <f aca="false">E96</f>
        <v>0.0413082049311694</v>
      </c>
      <c r="F12" s="14" t="n">
        <f aca="false">F96</f>
        <v>0.0451511412681592</v>
      </c>
      <c r="G12" s="14" t="n">
        <f aca="false">G96</f>
        <v>0.0472000815201496</v>
      </c>
    </row>
    <row r="13" customFormat="false" ht="15" hidden="false" customHeight="false" outlineLevel="0" collapsed="false">
      <c r="A13" s="4" t="s">
        <v>368</v>
      </c>
      <c r="B13" s="0" t="s">
        <v>209</v>
      </c>
      <c r="C13" s="19" t="n">
        <f aca="false">C98</f>
        <v>189.354</v>
      </c>
      <c r="D13" s="19" t="n">
        <f aca="false">D98</f>
        <v>275.25708735</v>
      </c>
      <c r="E13" s="19" t="n">
        <f aca="false">E98</f>
        <v>374.458869441787</v>
      </c>
      <c r="F13" s="19" t="n">
        <f aca="false">F98</f>
        <v>440.376634850767</v>
      </c>
      <c r="G13" s="19" t="n">
        <f aca="false">G98</f>
        <v>471.817290313209</v>
      </c>
    </row>
    <row r="14" customFormat="false" ht="15" hidden="false" customHeight="false" outlineLevel="0" collapsed="false">
      <c r="A14" s="0" t="s">
        <v>374</v>
      </c>
      <c r="B14" s="0" t="s">
        <v>260</v>
      </c>
      <c r="C14" s="16" t="n">
        <f aca="false">C100</f>
        <v>13.61</v>
      </c>
      <c r="D14" s="16" t="n">
        <f aca="false">D100</f>
        <v>19.6374251756163</v>
      </c>
      <c r="E14" s="16" t="n">
        <f aca="false">E100</f>
        <v>26.7146909850819</v>
      </c>
      <c r="F14" s="16" t="n">
        <f aca="false">F100</f>
        <v>31.4174043590585</v>
      </c>
      <c r="G14" s="16" t="n">
        <f aca="false">G100</f>
        <v>33.6604474903366</v>
      </c>
    </row>
    <row r="15" customFormat="false" ht="17.15" hidden="false" customHeight="false" outlineLevel="0" collapsed="false">
      <c r="A15" s="0" t="s">
        <v>438</v>
      </c>
      <c r="B15" s="0" t="s">
        <v>52</v>
      </c>
      <c r="D15" s="15" t="n">
        <f aca="false">D101</f>
        <v>0.442867389832203</v>
      </c>
      <c r="E15" s="15" t="n">
        <f aca="false">E101</f>
        <v>0.360396831365319</v>
      </c>
      <c r="F15" s="15" t="n">
        <f aca="false">F101</f>
        <v>0.176034728479647</v>
      </c>
      <c r="G15" s="15" t="n">
        <f aca="false">G101</f>
        <v>0.0713949219242658</v>
      </c>
    </row>
    <row r="17" customFormat="false" ht="17.15" hidden="false" customHeight="false" outlineLevel="0" collapsed="false">
      <c r="A17" s="1" t="s">
        <v>439</v>
      </c>
    </row>
    <row r="18" customFormat="false" ht="15" hidden="false" customHeight="false" outlineLevel="0" collapsed="false">
      <c r="A18" s="4" t="s">
        <v>353</v>
      </c>
      <c r="B18" s="0" t="s">
        <v>209</v>
      </c>
      <c r="C18" s="19" t="n">
        <f aca="false">C125</f>
        <v>8103.105</v>
      </c>
      <c r="D18" s="19" t="n">
        <f aca="false">D125</f>
        <v>11150.735</v>
      </c>
      <c r="E18" s="19" t="n">
        <f aca="false">E125</f>
        <v>13734.8481819054</v>
      </c>
      <c r="F18" s="19" t="n">
        <f aca="false">F125</f>
        <v>13486.9942606325</v>
      </c>
      <c r="G18" s="19" t="n">
        <f aca="false">G125</f>
        <v>14163.374370534</v>
      </c>
    </row>
    <row r="19" customFormat="false" ht="15" hidden="false" customHeight="false" outlineLevel="0" collapsed="false">
      <c r="A19" s="4" t="s">
        <v>434</v>
      </c>
      <c r="B19" s="0" t="s">
        <v>52</v>
      </c>
      <c r="D19" s="15" t="n">
        <f aca="false">D126</f>
        <v>0.376106443147411</v>
      </c>
      <c r="E19" s="15" t="n">
        <f aca="false">E126</f>
        <v>0.231743753385349</v>
      </c>
      <c r="F19" s="15" t="n">
        <f aca="false">F126</f>
        <v>-0.0180456251128751</v>
      </c>
      <c r="G19" s="15" t="n">
        <f aca="false">G126</f>
        <v>0.0501505448012143</v>
      </c>
    </row>
    <row r="20" customFormat="false" ht="17.15" hidden="false" customHeight="false" outlineLevel="0" collapsed="false">
      <c r="A20" s="0" t="s">
        <v>435</v>
      </c>
      <c r="B20" s="0" t="s">
        <v>209</v>
      </c>
      <c r="C20" s="19" t="n">
        <f aca="false">C118</f>
        <v>1620.621</v>
      </c>
      <c r="D20" s="19" t="n">
        <f aca="false">D118</f>
        <v>3545.93373</v>
      </c>
      <c r="E20" s="19" t="n">
        <f aca="false">E118</f>
        <v>5728.17442250538</v>
      </c>
      <c r="F20" s="19" t="n">
        <f aca="false">F118</f>
        <v>5163.47013606046</v>
      </c>
      <c r="G20" s="19" t="n">
        <f aca="false">G118</f>
        <v>5566.08061165371</v>
      </c>
    </row>
    <row r="21" customFormat="false" ht="17.15" hidden="false" customHeight="false" outlineLevel="0" collapsed="false">
      <c r="A21" s="4" t="s">
        <v>436</v>
      </c>
      <c r="B21" s="0" t="s">
        <v>209</v>
      </c>
      <c r="C21" s="19" t="n">
        <f aca="false">C124</f>
        <v>6482.484</v>
      </c>
      <c r="D21" s="19" t="n">
        <f aca="false">D124</f>
        <v>7604.80127</v>
      </c>
      <c r="E21" s="19" t="n">
        <f aca="false">E124</f>
        <v>8006.6737594</v>
      </c>
      <c r="F21" s="19" t="n">
        <f aca="false">F124</f>
        <v>8323.524124572</v>
      </c>
      <c r="G21" s="19" t="n">
        <f aca="false">G124</f>
        <v>8597.29375888032</v>
      </c>
    </row>
    <row r="22" customFormat="false" ht="17.15" hidden="false" customHeight="false" outlineLevel="0" collapsed="false">
      <c r="A22" s="0" t="s">
        <v>437</v>
      </c>
      <c r="B22" s="0" t="s">
        <v>52</v>
      </c>
      <c r="C22" s="15" t="n">
        <f aca="false">C127</f>
        <v>0.2</v>
      </c>
      <c r="D22" s="15" t="n">
        <f aca="false">D127</f>
        <v>0.318</v>
      </c>
      <c r="E22" s="15" t="n">
        <f aca="false">E127</f>
        <v>0.417054076364078</v>
      </c>
      <c r="F22" s="15" t="n">
        <f aca="false">F127</f>
        <v>0.382848100642576</v>
      </c>
      <c r="G22" s="15" t="n">
        <f aca="false">G127</f>
        <v>0.392991137989939</v>
      </c>
    </row>
    <row r="23" customFormat="false" ht="15" hidden="false" customHeight="false" outlineLevel="0" collapsed="false">
      <c r="A23" s="4" t="s">
        <v>357</v>
      </c>
      <c r="B23" s="0" t="s">
        <v>209</v>
      </c>
      <c r="C23" s="19" t="n">
        <f aca="false">C134</f>
        <v>498.161</v>
      </c>
      <c r="D23" s="19" t="n">
        <f aca="false">D134</f>
        <v>675.8340708</v>
      </c>
      <c r="E23" s="19" t="n">
        <f aca="false">E134</f>
        <v>845.814490205574</v>
      </c>
      <c r="F23" s="19" t="n">
        <f aca="false">F134</f>
        <v>866.861316182841</v>
      </c>
      <c r="G23" s="19" t="n">
        <f aca="false">G134</f>
        <v>934.156609281439</v>
      </c>
    </row>
    <row r="24" customFormat="false" ht="15" hidden="false" customHeight="false" outlineLevel="0" collapsed="false">
      <c r="A24" s="4" t="s">
        <v>360</v>
      </c>
      <c r="B24" s="0" t="s">
        <v>52</v>
      </c>
      <c r="C24" s="14" t="n">
        <f aca="false">C135</f>
        <v>0.0614777915379352</v>
      </c>
      <c r="D24" s="14" t="n">
        <f aca="false">D135</f>
        <v>0.0606089258510762</v>
      </c>
      <c r="E24" s="14" t="n">
        <f aca="false">E135</f>
        <v>0.0615816410202386</v>
      </c>
      <c r="F24" s="14" t="n">
        <f aca="false">F135</f>
        <v>0.064273870028487</v>
      </c>
      <c r="G24" s="14" t="n">
        <f aca="false">G135</f>
        <v>0.0659557944909576</v>
      </c>
    </row>
    <row r="25" customFormat="false" ht="15" hidden="false" customHeight="false" outlineLevel="0" collapsed="false">
      <c r="A25" s="4" t="s">
        <v>367</v>
      </c>
      <c r="B25" s="0" t="s">
        <v>52</v>
      </c>
      <c r="C25" s="14" t="n">
        <f aca="false">C140</f>
        <v>0.0319905764518663</v>
      </c>
      <c r="D25" s="14" t="n">
        <f aca="false">D140</f>
        <v>0.0377556858359561</v>
      </c>
      <c r="E25" s="14" t="n">
        <f aca="false">E140</f>
        <v>0.0413082049311694</v>
      </c>
      <c r="F25" s="14" t="n">
        <f aca="false">F140</f>
        <v>0.0436278638518765</v>
      </c>
      <c r="G25" s="14" t="n">
        <f aca="false">G140</f>
        <v>0.0459013654722235</v>
      </c>
    </row>
    <row r="26" customFormat="false" ht="15" hidden="false" customHeight="false" outlineLevel="0" collapsed="false">
      <c r="A26" s="4" t="s">
        <v>368</v>
      </c>
      <c r="B26" s="0" t="s">
        <v>209</v>
      </c>
      <c r="C26" s="19" t="n">
        <f aca="false">C142</f>
        <v>189.354</v>
      </c>
      <c r="D26" s="19" t="n">
        <f aca="false">D142</f>
        <v>275.25708735</v>
      </c>
      <c r="E26" s="19" t="n">
        <f aca="false">E142</f>
        <v>374.458869441787</v>
      </c>
      <c r="F26" s="19" t="n">
        <f aca="false">F142</f>
        <v>388.349774586783</v>
      </c>
      <c r="G26" s="19" t="n">
        <f aca="false">G142</f>
        <v>429.078027379192</v>
      </c>
    </row>
    <row r="27" customFormat="false" ht="15" hidden="false" customHeight="false" outlineLevel="0" collapsed="false">
      <c r="A27" s="0" t="s">
        <v>374</v>
      </c>
      <c r="B27" s="0" t="s">
        <v>260</v>
      </c>
      <c r="C27" s="16" t="n">
        <f aca="false">C144</f>
        <v>13.61</v>
      </c>
      <c r="D27" s="16" t="n">
        <f aca="false">D144</f>
        <v>19.6374251756163</v>
      </c>
      <c r="E27" s="16" t="n">
        <f aca="false">E144</f>
        <v>26.7146909850819</v>
      </c>
      <c r="F27" s="16" t="n">
        <f aca="false">F144</f>
        <v>27.705697658271</v>
      </c>
      <c r="G27" s="16" t="n">
        <f aca="false">G144</f>
        <v>30.6113377071593</v>
      </c>
    </row>
    <row r="28" customFormat="false" ht="17.15" hidden="false" customHeight="false" outlineLevel="0" collapsed="false">
      <c r="A28" s="0" t="s">
        <v>438</v>
      </c>
      <c r="B28" s="0" t="s">
        <v>52</v>
      </c>
      <c r="D28" s="15" t="n">
        <f aca="false">D145</f>
        <v>0.442867389832203</v>
      </c>
      <c r="E28" s="15" t="n">
        <f aca="false">E145</f>
        <v>0.360396831365319</v>
      </c>
      <c r="F28" s="15" t="n">
        <f aca="false">F145</f>
        <v>0.037095943716605</v>
      </c>
      <c r="G28" s="15" t="n">
        <f aca="false">G145</f>
        <v>0.104875180720125</v>
      </c>
    </row>
    <row r="30" customFormat="false" ht="17.15" hidden="false" customHeight="false" outlineLevel="0" collapsed="false">
      <c r="A30" s="1" t="s">
        <v>440</v>
      </c>
    </row>
    <row r="31" customFormat="false" ht="15" hidden="false" customHeight="false" outlineLevel="0" collapsed="false">
      <c r="A31" s="4" t="s">
        <v>353</v>
      </c>
      <c r="B31" s="0" t="s">
        <v>209</v>
      </c>
      <c r="C31" s="19" t="n">
        <f aca="false">C169</f>
        <v>8103.105</v>
      </c>
      <c r="D31" s="19" t="n">
        <f aca="false">D169</f>
        <v>11150.735</v>
      </c>
      <c r="E31" s="19" t="n">
        <f aca="false">E169</f>
        <v>13734.8481819054</v>
      </c>
      <c r="F31" s="19" t="n">
        <f aca="false">F169</f>
        <v>12196.1267266173</v>
      </c>
      <c r="G31" s="19" t="n">
        <f aca="false">G169</f>
        <v>12526.2918376947</v>
      </c>
    </row>
    <row r="32" customFormat="false" ht="15" hidden="false" customHeight="false" outlineLevel="0" collapsed="false">
      <c r="A32" s="4" t="s">
        <v>434</v>
      </c>
      <c r="B32" s="0" t="s">
        <v>52</v>
      </c>
      <c r="D32" s="15" t="n">
        <f aca="false">D170</f>
        <v>0.376106443147411</v>
      </c>
      <c r="E32" s="15" t="n">
        <f aca="false">E170</f>
        <v>0.231743753385349</v>
      </c>
      <c r="F32" s="15" t="n">
        <f aca="false">F170</f>
        <v>-0.112030466948676</v>
      </c>
      <c r="G32" s="15" t="n">
        <f aca="false">G170</f>
        <v>0.0270713086603791</v>
      </c>
    </row>
    <row r="33" customFormat="false" ht="17.15" hidden="false" customHeight="false" outlineLevel="0" collapsed="false">
      <c r="A33" s="0" t="s">
        <v>435</v>
      </c>
      <c r="B33" s="0" t="s">
        <v>209</v>
      </c>
      <c r="C33" s="19" t="n">
        <f aca="false">C162</f>
        <v>1620.621</v>
      </c>
      <c r="D33" s="19" t="n">
        <f aca="false">D162</f>
        <v>3545.93373</v>
      </c>
      <c r="E33" s="19" t="n">
        <f aca="false">E162</f>
        <v>5728.17442250538</v>
      </c>
      <c r="F33" s="19" t="n">
        <f aca="false">F162</f>
        <v>3872.60260204534</v>
      </c>
      <c r="G33" s="19" t="n">
        <f aca="false">G162</f>
        <v>3928.99807881438</v>
      </c>
    </row>
    <row r="34" customFormat="false" ht="17.15" hidden="false" customHeight="false" outlineLevel="0" collapsed="false">
      <c r="A34" s="4" t="s">
        <v>436</v>
      </c>
      <c r="B34" s="0" t="s">
        <v>209</v>
      </c>
      <c r="C34" s="19" t="n">
        <f aca="false">C168</f>
        <v>6482.484</v>
      </c>
      <c r="D34" s="19" t="n">
        <f aca="false">D168</f>
        <v>7604.80127</v>
      </c>
      <c r="E34" s="19" t="n">
        <f aca="false">E168</f>
        <v>8006.6737594</v>
      </c>
      <c r="F34" s="19" t="n">
        <f aca="false">F168</f>
        <v>8323.524124572</v>
      </c>
      <c r="G34" s="19" t="n">
        <f aca="false">G168</f>
        <v>8597.29375888032</v>
      </c>
    </row>
    <row r="35" customFormat="false" ht="17.15" hidden="false" customHeight="false" outlineLevel="0" collapsed="false">
      <c r="A35" s="0" t="s">
        <v>437</v>
      </c>
      <c r="B35" s="0" t="s">
        <v>52</v>
      </c>
      <c r="C35" s="15" t="n">
        <f aca="false">C171</f>
        <v>0.2</v>
      </c>
      <c r="D35" s="15" t="n">
        <f aca="false">D171</f>
        <v>0.318</v>
      </c>
      <c r="E35" s="15" t="n">
        <f aca="false">E171</f>
        <v>0.417054076364078</v>
      </c>
      <c r="F35" s="15" t="n">
        <f aca="false">F171</f>
        <v>0.317527251794917</v>
      </c>
      <c r="G35" s="15" t="n">
        <f aca="false">G171</f>
        <v>0.313660110248354</v>
      </c>
    </row>
    <row r="36" customFormat="false" ht="15" hidden="false" customHeight="false" outlineLevel="0" collapsed="false">
      <c r="A36" s="4" t="s">
        <v>357</v>
      </c>
      <c r="B36" s="0" t="s">
        <v>209</v>
      </c>
      <c r="C36" s="19" t="n">
        <f aca="false">C178</f>
        <v>498.161</v>
      </c>
      <c r="D36" s="19" t="n">
        <f aca="false">D178</f>
        <v>675.8340708</v>
      </c>
      <c r="E36" s="19" t="n">
        <f aca="false">E178</f>
        <v>845.814490205574</v>
      </c>
      <c r="F36" s="19" t="n">
        <f aca="false">F178</f>
        <v>779.574552098105</v>
      </c>
      <c r="G36" s="19" t="n">
        <f aca="false">G178</f>
        <v>816.681852736462</v>
      </c>
    </row>
    <row r="37" customFormat="false" ht="15" hidden="false" customHeight="false" outlineLevel="0" collapsed="false">
      <c r="A37" s="4" t="s">
        <v>360</v>
      </c>
      <c r="B37" s="0" t="s">
        <v>52</v>
      </c>
      <c r="C37" s="14" t="n">
        <f aca="false">C179</f>
        <v>0.0614777915379352</v>
      </c>
      <c r="D37" s="14" t="n">
        <f aca="false">D179</f>
        <v>0.0606089258510762</v>
      </c>
      <c r="E37" s="14" t="n">
        <f aca="false">E179</f>
        <v>0.0615816410202386</v>
      </c>
      <c r="F37" s="14" t="n">
        <f aca="false">F179</f>
        <v>0.0639198468147046</v>
      </c>
      <c r="G37" s="14" t="n">
        <f aca="false">G179</f>
        <v>0.0651974154297495</v>
      </c>
    </row>
    <row r="38" customFormat="false" ht="15" hidden="false" customHeight="false" outlineLevel="0" collapsed="false">
      <c r="A38" s="4" t="s">
        <v>367</v>
      </c>
      <c r="B38" s="0" t="s">
        <v>52</v>
      </c>
      <c r="C38" s="14" t="n">
        <f aca="false">C184</f>
        <v>0.0319905764518663</v>
      </c>
      <c r="D38" s="14" t="n">
        <f aca="false">D184</f>
        <v>0.0377556858359561</v>
      </c>
      <c r="E38" s="14" t="n">
        <f aca="false">E184</f>
        <v>0.0413082049311694</v>
      </c>
      <c r="F38" s="14" t="n">
        <f aca="false">F184</f>
        <v>0.0410886174374941</v>
      </c>
      <c r="G38" s="14" t="n">
        <f aca="false">G184</f>
        <v>0.0427272542192893</v>
      </c>
    </row>
    <row r="39" customFormat="false" ht="15" hidden="false" customHeight="false" outlineLevel="0" collapsed="false">
      <c r="A39" s="4" t="s">
        <v>368</v>
      </c>
      <c r="B39" s="0" t="s">
        <v>209</v>
      </c>
      <c r="C39" s="19" t="n">
        <f aca="false">C186</f>
        <v>189.354</v>
      </c>
      <c r="D39" s="19" t="n">
        <f aca="false">D186</f>
        <v>275.25708735</v>
      </c>
      <c r="E39" s="19" t="n">
        <f aca="false">E186</f>
        <v>374.458869441787</v>
      </c>
      <c r="F39" s="19" t="n">
        <f aca="false">F186</f>
        <v>330.740510290857</v>
      </c>
      <c r="G39" s="19" t="n">
        <f aca="false">G186</f>
        <v>353.241276810966</v>
      </c>
    </row>
    <row r="40" customFormat="false" ht="15" hidden="false" customHeight="false" outlineLevel="0" collapsed="false">
      <c r="A40" s="0" t="s">
        <v>374</v>
      </c>
      <c r="B40" s="0" t="s">
        <v>260</v>
      </c>
      <c r="C40" s="16" t="n">
        <f aca="false">C188</f>
        <v>13.61</v>
      </c>
      <c r="D40" s="16" t="n">
        <f aca="false">D188</f>
        <v>19.6374251756163</v>
      </c>
      <c r="E40" s="16" t="n">
        <f aca="false">E188</f>
        <v>26.7146909850819</v>
      </c>
      <c r="F40" s="16" t="n">
        <f aca="false">F188</f>
        <v>23.5957303984814</v>
      </c>
      <c r="G40" s="16" t="n">
        <f aca="false">G188</f>
        <v>25.2009828669521</v>
      </c>
    </row>
    <row r="41" customFormat="false" ht="17.15" hidden="false" customHeight="false" outlineLevel="0" collapsed="false">
      <c r="A41" s="0" t="s">
        <v>438</v>
      </c>
      <c r="B41" s="0" t="s">
        <v>52</v>
      </c>
      <c r="D41" s="15" t="n">
        <f aca="false">D189</f>
        <v>0.442867389832203</v>
      </c>
      <c r="E41" s="15" t="n">
        <f aca="false">E189</f>
        <v>0.360396831365319</v>
      </c>
      <c r="F41" s="15" t="n">
        <f aca="false">F189</f>
        <v>-0.116750764152286</v>
      </c>
      <c r="G41" s="15" t="n">
        <f aca="false">G189</f>
        <v>0.0680314803297639</v>
      </c>
    </row>
    <row r="43" customFormat="false" ht="17.15" hidden="false" customHeight="false" outlineLevel="0" collapsed="false">
      <c r="A43" s="1" t="s">
        <v>441</v>
      </c>
    </row>
    <row r="44" customFormat="false" ht="17.15" hidden="false" customHeight="false" outlineLevel="0" collapsed="false">
      <c r="A44" s="4" t="s">
        <v>442</v>
      </c>
      <c r="D44" s="21" t="n">
        <f aca="false">D81-a26_rev</f>
        <v>0</v>
      </c>
    </row>
    <row r="45" customFormat="false" ht="17.15" hidden="false" customHeight="false" outlineLevel="0" collapsed="false">
      <c r="A45" s="4" t="s">
        <v>443</v>
      </c>
      <c r="D45" s="21" t="n">
        <f aca="false">D74-a26_ai</f>
        <v>0</v>
      </c>
    </row>
    <row r="46" customFormat="false" ht="17.15" hidden="false" customHeight="false" outlineLevel="0" collapsed="false">
      <c r="A46" s="4" t="s">
        <v>444</v>
      </c>
      <c r="D46" s="21" t="n">
        <f aca="false">D88*D80+D89-a26_gp</f>
        <v>0</v>
      </c>
    </row>
    <row r="60" customFormat="false" ht="17.15" hidden="false" customHeight="false" outlineLevel="0" collapsed="false">
      <c r="A60" s="1" t="s">
        <v>445</v>
      </c>
    </row>
    <row r="61" customFormat="false" ht="17.15" hidden="false" customHeight="false" outlineLevel="0" collapsed="false">
      <c r="A61" s="5" t="s">
        <v>21</v>
      </c>
      <c r="B61" s="5" t="s">
        <v>22</v>
      </c>
      <c r="C61" s="11" t="s">
        <v>347</v>
      </c>
      <c r="D61" s="11" t="s">
        <v>429</v>
      </c>
      <c r="E61" s="11" t="s">
        <v>430</v>
      </c>
      <c r="F61" s="11" t="s">
        <v>431</v>
      </c>
      <c r="G61" s="11" t="s">
        <v>432</v>
      </c>
      <c r="H61" s="5" t="s">
        <v>400</v>
      </c>
    </row>
    <row r="62" customFormat="false" ht="17.15" hidden="false" customHeight="false" outlineLevel="0" collapsed="false">
      <c r="A62" s="6" t="s">
        <v>446</v>
      </c>
    </row>
    <row r="63" customFormat="false" ht="17.15" hidden="false" customHeight="false" outlineLevel="0" collapsed="false">
      <c r="A63" s="0" t="s">
        <v>447</v>
      </c>
      <c r="B63" s="0" t="s">
        <v>32</v>
      </c>
      <c r="D63" s="22" t="n">
        <f aca="false">itc_26*1</f>
        <v>781.872916666666</v>
      </c>
      <c r="E63" s="22" t="n">
        <f aca="false">itc_27*1*1</f>
        <v>1565.35</v>
      </c>
      <c r="F63" s="22" t="n">
        <f aca="false">itc_28*um28_A*1</f>
        <v>1984.26388888889</v>
      </c>
      <c r="G63" s="22" t="n">
        <f aca="false">itc_29*um29_A*1</f>
        <v>2260.39027777778</v>
      </c>
    </row>
    <row r="64" customFormat="false" ht="17.15" hidden="false" customHeight="false" outlineLevel="0" collapsed="false">
      <c r="A64" s="4" t="s">
        <v>448</v>
      </c>
      <c r="B64" s="0" t="s">
        <v>32</v>
      </c>
      <c r="D64" s="22" t="n">
        <f aca="false">itpg_gb*(1-vr26)+itpg_vr*vr26</f>
        <v>33.41403216</v>
      </c>
      <c r="E64" s="22" t="n">
        <f aca="false">itpg_vr</f>
        <v>37.586352</v>
      </c>
      <c r="F64" s="22" t="n">
        <f aca="false">itpg_vr</f>
        <v>37.586352</v>
      </c>
      <c r="G64" s="22" t="n">
        <f aca="false">itpg_vr</f>
        <v>37.586352</v>
      </c>
    </row>
    <row r="65" customFormat="false" ht="17.15" hidden="false" customHeight="false" outlineLevel="0" collapsed="false">
      <c r="A65" s="4" t="s">
        <v>449</v>
      </c>
      <c r="B65" s="0" t="s">
        <v>402</v>
      </c>
      <c r="D65" s="18" t="n">
        <f aca="false">D63/D64</f>
        <v>23.3995380420639</v>
      </c>
      <c r="E65" s="18" t="n">
        <f aca="false">E63/E64</f>
        <v>41.6467658260637</v>
      </c>
      <c r="F65" s="18" t="n">
        <f aca="false">F63/F64</f>
        <v>52.792138191248</v>
      </c>
      <c r="G65" s="18" t="n">
        <f aca="false">G63/G64</f>
        <v>60.1385917361116</v>
      </c>
    </row>
    <row r="66" customFormat="false" ht="17.15" hidden="false" customHeight="false" outlineLevel="0" collapsed="false">
      <c r="A66" s="4" t="s">
        <v>404</v>
      </c>
      <c r="B66" s="0" t="s">
        <v>405</v>
      </c>
      <c r="D66" s="16" t="n">
        <f aca="false">(racks_gb*odm_gb*(1-vr26)+racks_vr*odm_vr*vr26)/1000</f>
        <v>27.1209</v>
      </c>
      <c r="E66" s="16" t="n">
        <f aca="false">racks_vr*odm_vr/1000</f>
        <v>27.351</v>
      </c>
      <c r="F66" s="16" t="n">
        <f aca="false">$E66*vpg_28</f>
        <v>27.351</v>
      </c>
      <c r="G66" s="16" t="n">
        <f aca="false">$E66*vpg_29</f>
        <v>27.351</v>
      </c>
      <c r="H66" s="4" t="s">
        <v>450</v>
      </c>
    </row>
    <row r="67" customFormat="false" ht="17.15" hidden="false" customHeight="false" outlineLevel="0" collapsed="false">
      <c r="A67" s="0" t="s">
        <v>451</v>
      </c>
      <c r="B67" s="0" t="s">
        <v>32</v>
      </c>
      <c r="D67" s="19" t="n">
        <f aca="false">D65*D66</f>
        <v>634.61653128501</v>
      </c>
      <c r="E67" s="19" t="n">
        <f aca="false">E65*E66</f>
        <v>1139.08069210867</v>
      </c>
      <c r="F67" s="19" t="n">
        <f aca="false">F65*F66</f>
        <v>1443.91777166882</v>
      </c>
      <c r="G67" s="19" t="n">
        <f aca="false">G65*G66</f>
        <v>1644.85062257439</v>
      </c>
    </row>
    <row r="68" customFormat="false" ht="17.15" hidden="false" customHeight="false" outlineLevel="0" collapsed="false">
      <c r="A68" s="0" t="s">
        <v>452</v>
      </c>
      <c r="B68" s="0" t="s">
        <v>209</v>
      </c>
      <c r="D68" s="19" t="n">
        <f aca="false">D67*fx</f>
        <v>20307.7290011203</v>
      </c>
      <c r="E68" s="19" t="n">
        <f aca="false">E67*fx</f>
        <v>36450.5821474774</v>
      </c>
      <c r="F68" s="19" t="n">
        <f aca="false">F67*fx</f>
        <v>46205.3686934024</v>
      </c>
      <c r="G68" s="19" t="n">
        <f aca="false">G67*fx</f>
        <v>52635.2199223804</v>
      </c>
    </row>
    <row r="69" customFormat="false" ht="17.15" hidden="false" customHeight="false" outlineLevel="0" collapsed="false">
      <c r="A69" s="4" t="s">
        <v>453</v>
      </c>
      <c r="B69" s="0" t="s">
        <v>52</v>
      </c>
      <c r="D69" s="15" t="n">
        <f aca="false">a26_ai/D68</f>
        <v>0.174610057569922</v>
      </c>
      <c r="H69" s="8" t="s">
        <v>454</v>
      </c>
    </row>
    <row r="70" customFormat="false" ht="17.15" hidden="false" customHeight="false" outlineLevel="0" collapsed="false">
      <c r="A70" s="4" t="s">
        <v>455</v>
      </c>
      <c r="B70" s="0" t="s">
        <v>71</v>
      </c>
      <c r="D70" s="16" t="n">
        <f aca="false">1</f>
        <v>1</v>
      </c>
      <c r="E70" s="16" t="n">
        <f aca="false">rel_27</f>
        <v>1</v>
      </c>
      <c r="F70" s="16" t="n">
        <f aca="false">rel_28</f>
        <v>1</v>
      </c>
      <c r="G70" s="16" t="n">
        <f aca="false">rel_29</f>
        <v>0.95</v>
      </c>
    </row>
    <row r="71" customFormat="false" ht="15" hidden="false" customHeight="false" outlineLevel="0" collapsed="false">
      <c r="A71" s="4" t="s">
        <v>456</v>
      </c>
      <c r="B71" s="0" t="s">
        <v>52</v>
      </c>
      <c r="D71" s="15" t="n">
        <f aca="false">$D$69*D70</f>
        <v>0.174610057569922</v>
      </c>
      <c r="E71" s="15" t="n">
        <f aca="false">$D$69*E70</f>
        <v>0.174610057569922</v>
      </c>
      <c r="F71" s="15" t="n">
        <f aca="false">$D$69*F70</f>
        <v>0.174610057569922</v>
      </c>
      <c r="G71" s="15" t="n">
        <f aca="false">$D$69*G70</f>
        <v>0.165879554691426</v>
      </c>
    </row>
    <row r="72" customFormat="false" ht="17.15" hidden="false" customHeight="false" outlineLevel="0" collapsed="false">
      <c r="A72" s="0" t="s">
        <v>457</v>
      </c>
      <c r="B72" s="0" t="s">
        <v>209</v>
      </c>
      <c r="D72" s="19" t="n">
        <f aca="false">D68*D71</f>
        <v>3545.93373</v>
      </c>
      <c r="E72" s="19" t="n">
        <f aca="false">E68*E71</f>
        <v>6364.6382472282</v>
      </c>
      <c r="F72" s="19" t="n">
        <f aca="false">F68*F71</f>
        <v>8067.92208759447</v>
      </c>
      <c r="G72" s="19" t="n">
        <f aca="false">G68*G71</f>
        <v>8731.10684180974</v>
      </c>
    </row>
    <row r="73" customFormat="false" ht="17.15" hidden="false" customHeight="false" outlineLevel="0" collapsed="false">
      <c r="A73" s="4" t="s">
        <v>458</v>
      </c>
      <c r="B73" s="0" t="s">
        <v>52</v>
      </c>
      <c r="D73" s="15" t="n">
        <f aca="false">0</f>
        <v>0</v>
      </c>
      <c r="E73" s="15" t="n">
        <f aca="false">cs_27</f>
        <v>0.1</v>
      </c>
      <c r="F73" s="15" t="n">
        <f aca="false">cs_28</f>
        <v>0.2</v>
      </c>
      <c r="G73" s="15" t="n">
        <f aca="false">cs_29</f>
        <v>0.25</v>
      </c>
      <c r="H73" s="8" t="s">
        <v>459</v>
      </c>
    </row>
    <row r="74" customFormat="false" ht="17.15" hidden="false" customHeight="false" outlineLevel="0" collapsed="false">
      <c r="A74" s="0" t="s">
        <v>460</v>
      </c>
      <c r="B74" s="0" t="s">
        <v>209</v>
      </c>
      <c r="C74" s="19" t="n">
        <f aca="false">a25_ai</f>
        <v>1620.621</v>
      </c>
      <c r="D74" s="19" t="n">
        <f aca="false">D72*(1-D73)</f>
        <v>3545.93373</v>
      </c>
      <c r="E74" s="19" t="n">
        <f aca="false">E72*(1-E73)</f>
        <v>5728.17442250538</v>
      </c>
      <c r="F74" s="19" t="n">
        <f aca="false">F72*(1-F73)</f>
        <v>6454.33767007557</v>
      </c>
      <c r="G74" s="19" t="n">
        <f aca="false">G72*(1-G73)</f>
        <v>6548.3301313573</v>
      </c>
    </row>
    <row r="75" customFormat="false" ht="17.15" hidden="false" customHeight="false" outlineLevel="0" collapsed="false">
      <c r="A75" s="6" t="s">
        <v>461</v>
      </c>
    </row>
    <row r="76" customFormat="false" ht="17.15" hidden="false" customHeight="false" outlineLevel="0" collapsed="false">
      <c r="A76" s="4" t="s">
        <v>382</v>
      </c>
      <c r="B76" s="0" t="s">
        <v>209</v>
      </c>
      <c r="C76" s="19" t="n">
        <f aca="false">a25_cn</f>
        <v>1620.621</v>
      </c>
      <c r="D76" s="19" t="n">
        <f aca="false">a26_cn</f>
        <v>2363.95582</v>
      </c>
      <c r="E76" s="19" t="n">
        <f aca="false">D76*(1+g_cn27)</f>
        <v>2647.6305184</v>
      </c>
      <c r="F76" s="19" t="n">
        <f aca="false">E76*(1+g_cn28)</f>
        <v>2859.440959872</v>
      </c>
      <c r="G76" s="19" t="n">
        <f aca="false">F76*(1+g_cn29)</f>
        <v>3031.00741746432</v>
      </c>
    </row>
    <row r="77" customFormat="false" ht="17.15" hidden="false" customHeight="false" outlineLevel="0" collapsed="false">
      <c r="A77" s="4" t="s">
        <v>383</v>
      </c>
      <c r="B77" s="0" t="s">
        <v>209</v>
      </c>
      <c r="C77" s="19" t="n">
        <f aca="false">a25_ce</f>
        <v>3079.1799</v>
      </c>
      <c r="D77" s="19" t="n">
        <f aca="false">a26_ce</f>
        <v>3345.2205</v>
      </c>
      <c r="E77" s="19" t="n">
        <f aca="false">D77*(1+g_ce27)</f>
        <v>3445.577115</v>
      </c>
      <c r="F77" s="19" t="n">
        <f aca="false">E77*(1+g_ce28)</f>
        <v>3514.4886573</v>
      </c>
      <c r="G77" s="19" t="n">
        <f aca="false">F77*(1+g_ce29)</f>
        <v>3584.778430446</v>
      </c>
    </row>
    <row r="78" customFormat="false" ht="15" hidden="false" customHeight="false" outlineLevel="0" collapsed="false">
      <c r="A78" s="4" t="s">
        <v>384</v>
      </c>
      <c r="B78" s="0" t="s">
        <v>209</v>
      </c>
      <c r="C78" s="19" t="n">
        <f aca="false">a25_pc</f>
        <v>1215.46575</v>
      </c>
      <c r="D78" s="19" t="n">
        <f aca="false">a26_pc</f>
        <v>1338.0882</v>
      </c>
      <c r="E78" s="19" t="n">
        <f aca="false">D78*(1+g_pc27)</f>
        <v>1311.326436</v>
      </c>
      <c r="F78" s="19" t="n">
        <f aca="false">E78*(1+g_pc28)</f>
        <v>1311.326436</v>
      </c>
      <c r="G78" s="19" t="n">
        <f aca="false">F78*(1+g_pc29)</f>
        <v>1311.326436</v>
      </c>
    </row>
    <row r="79" customFormat="false" ht="15" hidden="false" customHeight="false" outlineLevel="0" collapsed="false">
      <c r="A79" s="4" t="s">
        <v>462</v>
      </c>
      <c r="B79" s="0" t="s">
        <v>209</v>
      </c>
      <c r="C79" s="19" t="n">
        <f aca="false">a25_co</f>
        <v>567.217349999999</v>
      </c>
      <c r="D79" s="19" t="n">
        <f aca="false">a26_co</f>
        <v>557.53675</v>
      </c>
      <c r="E79" s="19" t="n">
        <f aca="false">D79*(1+g_co27)</f>
        <v>602.13969</v>
      </c>
      <c r="F79" s="19" t="n">
        <f aca="false">E79*(1+g_co28)</f>
        <v>638.2680714</v>
      </c>
      <c r="G79" s="19" t="n">
        <f aca="false">F79*(1+g_co29)</f>
        <v>670.18147497</v>
      </c>
    </row>
    <row r="80" customFormat="false" ht="17.15" hidden="false" customHeight="false" outlineLevel="0" collapsed="false">
      <c r="A80" s="4" t="s">
        <v>387</v>
      </c>
      <c r="B80" s="0" t="s">
        <v>209</v>
      </c>
      <c r="C80" s="19" t="n">
        <f aca="false">SUM(C76:C79)</f>
        <v>6482.484</v>
      </c>
      <c r="D80" s="19" t="n">
        <f aca="false">SUM(D76:D79)</f>
        <v>7604.80127</v>
      </c>
      <c r="E80" s="19" t="n">
        <f aca="false">SUM(E76:E79)</f>
        <v>8006.6737594</v>
      </c>
      <c r="F80" s="19" t="n">
        <f aca="false">SUM(F76:F79)</f>
        <v>8323.524124572</v>
      </c>
      <c r="G80" s="19" t="n">
        <f aca="false">SUM(G76:G79)</f>
        <v>8597.29375888032</v>
      </c>
    </row>
    <row r="81" customFormat="false" ht="15" hidden="false" customHeight="false" outlineLevel="0" collapsed="false">
      <c r="A81" s="4" t="s">
        <v>353</v>
      </c>
      <c r="B81" s="0" t="s">
        <v>209</v>
      </c>
      <c r="C81" s="19" t="n">
        <f aca="false">C74+C80</f>
        <v>8103.105</v>
      </c>
      <c r="D81" s="19" t="n">
        <f aca="false">D74+D80</f>
        <v>11150.735</v>
      </c>
      <c r="E81" s="19" t="n">
        <f aca="false">E74+E80</f>
        <v>13734.8481819054</v>
      </c>
      <c r="F81" s="19" t="n">
        <f aca="false">F74+F80</f>
        <v>14777.8617946476</v>
      </c>
      <c r="G81" s="19" t="n">
        <f aca="false">G74+G80</f>
        <v>15145.6238902376</v>
      </c>
    </row>
    <row r="82" customFormat="false" ht="15" hidden="false" customHeight="false" outlineLevel="0" collapsed="false">
      <c r="A82" s="4" t="s">
        <v>463</v>
      </c>
      <c r="B82" s="0" t="s">
        <v>52</v>
      </c>
      <c r="D82" s="15" t="n">
        <f aca="false">D81/C81-1</f>
        <v>0.376106443147411</v>
      </c>
      <c r="E82" s="15" t="n">
        <f aca="false">E81/D81-1</f>
        <v>0.231743753385349</v>
      </c>
      <c r="F82" s="15" t="n">
        <f aca="false">F81/E81-1</f>
        <v>0.0759392167229256</v>
      </c>
      <c r="G82" s="15" t="n">
        <f aca="false">G81/F81-1</f>
        <v>0.0248860153586801</v>
      </c>
    </row>
    <row r="83" customFormat="false" ht="17.15" hidden="false" customHeight="false" outlineLevel="0" collapsed="false">
      <c r="A83" s="0" t="s">
        <v>464</v>
      </c>
      <c r="B83" s="0" t="s">
        <v>52</v>
      </c>
      <c r="C83" s="15" t="n">
        <f aca="false">C74/C81</f>
        <v>0.2</v>
      </c>
      <c r="D83" s="15" t="n">
        <f aca="false">D74/D81</f>
        <v>0.318</v>
      </c>
      <c r="E83" s="15" t="n">
        <f aca="false">E74/E81</f>
        <v>0.417054076364078</v>
      </c>
      <c r="F83" s="15" t="n">
        <f aca="false">F74/F81</f>
        <v>0.436757208841491</v>
      </c>
      <c r="G83" s="15" t="n">
        <f aca="false">G74/G81</f>
        <v>0.43235789947076</v>
      </c>
    </row>
    <row r="84" customFormat="false" ht="17.15" hidden="false" customHeight="false" outlineLevel="0" collapsed="false">
      <c r="A84" s="4" t="s">
        <v>465</v>
      </c>
      <c r="B84" s="0" t="s">
        <v>52</v>
      </c>
      <c r="C84" s="15" t="n">
        <f aca="false">(C74+C76)/C81</f>
        <v>0.4</v>
      </c>
      <c r="D84" s="15" t="n">
        <f aca="false">(D74+D76)/D81</f>
        <v>0.53</v>
      </c>
      <c r="E84" s="15" t="n">
        <f aca="false">(E74+E76)/E81</f>
        <v>0.609821443235162</v>
      </c>
      <c r="F84" s="15" t="n">
        <f aca="false">(F74+F76)/F81</f>
        <v>0.630252113558198</v>
      </c>
      <c r="G84" s="15" t="n">
        <f aca="false">(G74+G76)/G81</f>
        <v>0.632482202003983</v>
      </c>
    </row>
    <row r="85" customFormat="false" ht="17.15" hidden="false" customHeight="false" outlineLevel="0" collapsed="false">
      <c r="A85" s="4" t="s">
        <v>418</v>
      </c>
      <c r="B85" s="0" t="s">
        <v>405</v>
      </c>
      <c r="D85" s="16" t="n">
        <f aca="false">D74/fx/D65</f>
        <v>4.7355819103481</v>
      </c>
      <c r="E85" s="16" t="n">
        <f aca="false">E74/fx/E65</f>
        <v>4.29818371613545</v>
      </c>
      <c r="F85" s="16" t="n">
        <f aca="false">F74/fx/F65</f>
        <v>3.82060774767595</v>
      </c>
      <c r="G85" s="16" t="n">
        <f aca="false">G74/fx/G65</f>
        <v>3.4027287752739</v>
      </c>
    </row>
    <row r="86" customFormat="false" ht="17.15" hidden="false" customHeight="false" outlineLevel="0" collapsed="false">
      <c r="A86" s="4" t="s">
        <v>466</v>
      </c>
      <c r="B86" s="4" t="s">
        <v>416</v>
      </c>
      <c r="D86" s="19" t="n">
        <f aca="false">D72/fx/(odm_gb*(1-vr26)+odm_vr*vr26)</f>
        <v>24.0630682003257</v>
      </c>
      <c r="E86" s="19" t="n">
        <f aca="false">E72/fx/odm_vr</f>
        <v>29.4659178112417</v>
      </c>
      <c r="F86" s="19" t="n">
        <f aca="false">F72/fx/odm_vr</f>
        <v>37.3514911462707</v>
      </c>
      <c r="G86" s="19" t="n">
        <f aca="false">G72/fx/odm_vr</f>
        <v>40.4217909343043</v>
      </c>
      <c r="H86" s="4" t="s">
        <v>467</v>
      </c>
    </row>
    <row r="87" customFormat="false" ht="17.15" hidden="false" customHeight="false" outlineLevel="0" collapsed="false">
      <c r="A87" s="6" t="s">
        <v>468</v>
      </c>
    </row>
    <row r="88" customFormat="false" ht="17.15" hidden="false" customHeight="false" outlineLevel="0" collapsed="false">
      <c r="A88" s="4" t="s">
        <v>469</v>
      </c>
      <c r="B88" s="0" t="s">
        <v>52</v>
      </c>
      <c r="D88" s="14" t="n">
        <f aca="false">a26_gp/D81-d_ai*D83</f>
        <v>0.0621989258510762</v>
      </c>
      <c r="H88" s="8" t="s">
        <v>470</v>
      </c>
    </row>
    <row r="89" customFormat="false" ht="17.15" hidden="false" customHeight="false" outlineLevel="0" collapsed="false">
      <c r="A89" s="0" t="s">
        <v>471</v>
      </c>
      <c r="B89" s="0" t="s">
        <v>209</v>
      </c>
      <c r="D89" s="22" t="n">
        <f aca="false">($D$88+d_ai)*D72*(1-D73*(1-keep))</f>
        <v>202.8236004951</v>
      </c>
      <c r="E89" s="22" t="n">
        <f aca="false">($D$88+d_ai+vrd)*E72*(1-E73*(1-keep))</f>
        <v>347.807982730896</v>
      </c>
      <c r="F89" s="22" t="n">
        <f aca="false">($D$88+d_ai+vrd)*F72*(1-F73*(1-keep))</f>
        <v>436.433820423679</v>
      </c>
      <c r="G89" s="22" t="n">
        <f aca="false">($D$88+d_ai+vrd)*G72*(1-G73*(1-keep))</f>
        <v>469.899026179908</v>
      </c>
      <c r="H89" s="4" t="s">
        <v>472</v>
      </c>
    </row>
    <row r="90" customFormat="false" ht="15" hidden="false" customHeight="false" outlineLevel="0" collapsed="false">
      <c r="A90" s="4" t="s">
        <v>357</v>
      </c>
      <c r="B90" s="0" t="s">
        <v>209</v>
      </c>
      <c r="C90" s="19" t="n">
        <f aca="false">a25_gp</f>
        <v>498.161</v>
      </c>
      <c r="D90" s="19" t="n">
        <f aca="false">a26_gp</f>
        <v>675.8340708</v>
      </c>
      <c r="E90" s="19" t="n">
        <f aca="false">$D$88*E80+E89</f>
        <v>845.814490205574</v>
      </c>
      <c r="F90" s="19" t="n">
        <f aca="false">$D$88*F80+F89</f>
        <v>954.148080267577</v>
      </c>
      <c r="G90" s="19" t="n">
        <f aca="false">$D$88*G80+G89</f>
        <v>1004.64146320842</v>
      </c>
    </row>
    <row r="91" customFormat="false" ht="15" hidden="false" customHeight="false" outlineLevel="0" collapsed="false">
      <c r="A91" s="4" t="s">
        <v>360</v>
      </c>
      <c r="B91" s="0" t="s">
        <v>52</v>
      </c>
      <c r="C91" s="14" t="n">
        <f aca="false">C90/C81</f>
        <v>0.0614777915379352</v>
      </c>
      <c r="D91" s="14" t="n">
        <f aca="false">D90/D81</f>
        <v>0.0606089258510762</v>
      </c>
      <c r="E91" s="14" t="n">
        <f aca="false">E90/E81</f>
        <v>0.0615816410202386</v>
      </c>
      <c r="F91" s="14" t="n">
        <f aca="false">F90/F81</f>
        <v>0.0645660443659828</v>
      </c>
      <c r="G91" s="14" t="n">
        <f aca="false">G90/G81</f>
        <v>0.0663321280449849</v>
      </c>
    </row>
    <row r="92" customFormat="false" ht="17.15" hidden="false" customHeight="false" outlineLevel="0" collapsed="false">
      <c r="A92" s="0" t="s">
        <v>473</v>
      </c>
      <c r="B92" s="0" t="s">
        <v>52</v>
      </c>
      <c r="D92" s="14" t="n">
        <f aca="false">D89/D74</f>
        <v>0.0571989258510762</v>
      </c>
      <c r="E92" s="14" t="n">
        <f aca="false">E89/E74</f>
        <v>0.0607188184361838</v>
      </c>
      <c r="F92" s="14" t="n">
        <f aca="false">F89/F74</f>
        <v>0.0676186841675683</v>
      </c>
      <c r="G92" s="14" t="n">
        <f aca="false">G89/G74</f>
        <v>0.0717586036063991</v>
      </c>
      <c r="H92" s="4" t="s">
        <v>474</v>
      </c>
    </row>
    <row r="93" customFormat="false" ht="15" hidden="false" customHeight="false" outlineLevel="0" collapsed="false">
      <c r="A93" s="4" t="s">
        <v>475</v>
      </c>
      <c r="B93" s="0" t="s">
        <v>209</v>
      </c>
      <c r="C93" s="19" t="n">
        <f aca="false">a25_opx</f>
        <v>238.938</v>
      </c>
      <c r="D93" s="19" t="n">
        <f aca="false">a26_opx</f>
        <v>254.8304233</v>
      </c>
      <c r="E93" s="19" t="n">
        <f aca="false">D93*(1+MAX(0,phi*E82))</f>
        <v>278.452566808928</v>
      </c>
      <c r="F93" s="19" t="n">
        <f aca="false">E93*(1+MAX(0,phi*F82))</f>
        <v>286.910754736111</v>
      </c>
      <c r="G93" s="19" t="n">
        <f aca="false">F93*(1+MAX(0,phi*G82))</f>
        <v>289.766780915684</v>
      </c>
    </row>
    <row r="94" customFormat="false" ht="15" hidden="false" customHeight="false" outlineLevel="0" collapsed="false">
      <c r="A94" s="4" t="s">
        <v>361</v>
      </c>
      <c r="B94" s="0" t="s">
        <v>209</v>
      </c>
      <c r="C94" s="19" t="n">
        <f aca="false">C93</f>
        <v>238.938</v>
      </c>
      <c r="D94" s="19" t="n">
        <f aca="false">D93</f>
        <v>254.8304233</v>
      </c>
      <c r="E94" s="19" t="n">
        <f aca="false">E93+0*E81</f>
        <v>278.452566808928</v>
      </c>
      <c r="F94" s="19" t="n">
        <f aca="false">F93+0*F81</f>
        <v>286.910754736111</v>
      </c>
      <c r="G94" s="19" t="n">
        <f aca="false">G93+0*G81</f>
        <v>289.766780915684</v>
      </c>
    </row>
    <row r="95" customFormat="false" ht="15" hidden="false" customHeight="false" outlineLevel="0" collapsed="false">
      <c r="A95" s="4" t="s">
        <v>364</v>
      </c>
      <c r="B95" s="0" t="s">
        <v>209</v>
      </c>
      <c r="C95" s="19" t="n">
        <f aca="false">C90-C94</f>
        <v>259.223</v>
      </c>
      <c r="D95" s="19" t="n">
        <f aca="false">D90-D94</f>
        <v>421.0036475</v>
      </c>
      <c r="E95" s="19" t="n">
        <f aca="false">E90-E94</f>
        <v>567.361923396647</v>
      </c>
      <c r="F95" s="19" t="n">
        <f aca="false">F90-F94</f>
        <v>667.237325531466</v>
      </c>
      <c r="G95" s="19" t="n">
        <f aca="false">G90-G94</f>
        <v>714.874682292741</v>
      </c>
    </row>
    <row r="96" customFormat="false" ht="15" hidden="false" customHeight="false" outlineLevel="0" collapsed="false">
      <c r="A96" s="4" t="s">
        <v>367</v>
      </c>
      <c r="B96" s="0" t="s">
        <v>52</v>
      </c>
      <c r="C96" s="14" t="n">
        <f aca="false">C95/C81</f>
        <v>0.0319905764518663</v>
      </c>
      <c r="D96" s="14" t="n">
        <f aca="false">D95/D81</f>
        <v>0.0377556858359561</v>
      </c>
      <c r="E96" s="14" t="n">
        <f aca="false">E95/E81</f>
        <v>0.0413082049311694</v>
      </c>
      <c r="F96" s="14" t="n">
        <f aca="false">F95/F81</f>
        <v>0.0451511412681592</v>
      </c>
      <c r="G96" s="14" t="n">
        <f aca="false">G95/G81</f>
        <v>0.0472000815201496</v>
      </c>
    </row>
    <row r="97" customFormat="false" ht="17.15" hidden="false" customHeight="false" outlineLevel="0" collapsed="false">
      <c r="A97" s="4" t="s">
        <v>243</v>
      </c>
      <c r="B97" s="0" t="s">
        <v>52</v>
      </c>
      <c r="C97" s="15" t="n">
        <f aca="false">a25_ni/a25_oi</f>
        <v>0.730467589681471</v>
      </c>
      <c r="D97" s="15" t="n">
        <f aca="false">a26_ni/a26_oi</f>
        <v>0.653811645064191</v>
      </c>
      <c r="E97" s="15" t="n">
        <f aca="false">nio_f</f>
        <v>0.66</v>
      </c>
      <c r="F97" s="15" t="n">
        <f aca="false">nio_f</f>
        <v>0.66</v>
      </c>
      <c r="G97" s="15" t="n">
        <f aca="false">nio_f</f>
        <v>0.66</v>
      </c>
    </row>
    <row r="98" customFormat="false" ht="15" hidden="false" customHeight="false" outlineLevel="0" collapsed="false">
      <c r="A98" s="4" t="s">
        <v>368</v>
      </c>
      <c r="B98" s="0" t="s">
        <v>209</v>
      </c>
      <c r="C98" s="19" t="n">
        <f aca="false">a25_ni</f>
        <v>189.354</v>
      </c>
      <c r="D98" s="19" t="n">
        <f aca="false">a26_ni</f>
        <v>275.25708735</v>
      </c>
      <c r="E98" s="19" t="n">
        <f aca="false">E95*E97</f>
        <v>374.458869441787</v>
      </c>
      <c r="F98" s="19" t="n">
        <f aca="false">F95*F97</f>
        <v>440.376634850767</v>
      </c>
      <c r="G98" s="19" t="n">
        <f aca="false">G95*G97</f>
        <v>471.817290313209</v>
      </c>
    </row>
    <row r="99" customFormat="false" ht="15" hidden="false" customHeight="false" outlineLevel="0" collapsed="false">
      <c r="A99" s="4" t="s">
        <v>476</v>
      </c>
      <c r="B99" s="4" t="s">
        <v>230</v>
      </c>
      <c r="C99" s="23" t="n">
        <f aca="false">a25_sh</f>
        <v>13.9128581925055</v>
      </c>
      <c r="D99" s="23" t="n">
        <f aca="false">a26_sh</f>
        <v>14.0169642857143</v>
      </c>
      <c r="E99" s="23" t="n">
        <f aca="false">D99*(1+sh_g)</f>
        <v>14.0169642857143</v>
      </c>
      <c r="F99" s="23" t="n">
        <f aca="false">E99*(1+sh_g)</f>
        <v>14.0169642857143</v>
      </c>
      <c r="G99" s="23" t="n">
        <f aca="false">F99*(1+sh_g)</f>
        <v>14.0169642857143</v>
      </c>
    </row>
    <row r="100" customFormat="false" ht="15" hidden="false" customHeight="false" outlineLevel="0" collapsed="false">
      <c r="A100" s="0" t="s">
        <v>374</v>
      </c>
      <c r="B100" s="0" t="s">
        <v>260</v>
      </c>
      <c r="C100" s="22" t="n">
        <f aca="false">C98/C99</f>
        <v>13.61</v>
      </c>
      <c r="D100" s="22" t="n">
        <f aca="false">D98/D99</f>
        <v>19.6374251756163</v>
      </c>
      <c r="E100" s="22" t="n">
        <f aca="false">E98/E99</f>
        <v>26.7146909850819</v>
      </c>
      <c r="F100" s="22" t="n">
        <f aca="false">F98/F99</f>
        <v>31.4174043590585</v>
      </c>
      <c r="G100" s="22" t="n">
        <f aca="false">G98/G99</f>
        <v>33.6604474903366</v>
      </c>
    </row>
    <row r="101" customFormat="false" ht="17.15" hidden="false" customHeight="false" outlineLevel="0" collapsed="false">
      <c r="A101" s="0" t="s">
        <v>477</v>
      </c>
      <c r="B101" s="0" t="s">
        <v>52</v>
      </c>
      <c r="D101" s="15" t="n">
        <f aca="false">D100/C100-1</f>
        <v>0.442867389832203</v>
      </c>
      <c r="E101" s="15" t="n">
        <f aca="false">E100/D100-1</f>
        <v>0.360396831365319</v>
      </c>
      <c r="F101" s="15" t="n">
        <f aca="false">F100/E100-1</f>
        <v>0.176034728479647</v>
      </c>
      <c r="G101" s="15" t="n">
        <f aca="false">G100/F100-1</f>
        <v>0.0713949219242658</v>
      </c>
    </row>
    <row r="104" customFormat="false" ht="17.15" hidden="false" customHeight="false" outlineLevel="0" collapsed="false">
      <c r="A104" s="1" t="s">
        <v>478</v>
      </c>
    </row>
    <row r="105" customFormat="false" ht="17.15" hidden="false" customHeight="false" outlineLevel="0" collapsed="false">
      <c r="A105" s="5" t="s">
        <v>21</v>
      </c>
      <c r="B105" s="5" t="s">
        <v>22</v>
      </c>
      <c r="C105" s="11" t="s">
        <v>347</v>
      </c>
      <c r="D105" s="11" t="s">
        <v>429</v>
      </c>
      <c r="E105" s="11" t="s">
        <v>430</v>
      </c>
      <c r="F105" s="11" t="s">
        <v>431</v>
      </c>
      <c r="G105" s="11" t="s">
        <v>432</v>
      </c>
      <c r="H105" s="5" t="s">
        <v>400</v>
      </c>
    </row>
    <row r="106" customFormat="false" ht="17.15" hidden="false" customHeight="false" outlineLevel="0" collapsed="false">
      <c r="A106" s="6" t="s">
        <v>446</v>
      </c>
    </row>
    <row r="107" customFormat="false" ht="17.15" hidden="false" customHeight="false" outlineLevel="0" collapsed="false">
      <c r="A107" s="0" t="s">
        <v>447</v>
      </c>
      <c r="B107" s="0" t="s">
        <v>32</v>
      </c>
      <c r="D107" s="22" t="n">
        <f aca="false">itc_26*1</f>
        <v>781.872916666666</v>
      </c>
      <c r="E107" s="22" t="n">
        <f aca="false">itc_27*1*1</f>
        <v>1565.35</v>
      </c>
      <c r="F107" s="22" t="n">
        <f aca="false">itc_28*um28_B*1</f>
        <v>1587.41111111111</v>
      </c>
      <c r="G107" s="22" t="n">
        <f aca="false">itc_29*um29_B*1</f>
        <v>1921.33173611111</v>
      </c>
    </row>
    <row r="108" customFormat="false" ht="17.15" hidden="false" customHeight="false" outlineLevel="0" collapsed="false">
      <c r="A108" s="4" t="s">
        <v>448</v>
      </c>
      <c r="B108" s="0" t="s">
        <v>32</v>
      </c>
      <c r="D108" s="22" t="n">
        <f aca="false">itpg_gb*(1-vr26)+itpg_vr*vr26</f>
        <v>33.41403216</v>
      </c>
      <c r="E108" s="22" t="n">
        <f aca="false">itpg_vr</f>
        <v>37.586352</v>
      </c>
      <c r="F108" s="22" t="n">
        <f aca="false">itpg_vr</f>
        <v>37.586352</v>
      </c>
      <c r="G108" s="22" t="n">
        <f aca="false">itpg_vr</f>
        <v>37.586352</v>
      </c>
    </row>
    <row r="109" customFormat="false" ht="17.15" hidden="false" customHeight="false" outlineLevel="0" collapsed="false">
      <c r="A109" s="4" t="s">
        <v>449</v>
      </c>
      <c r="B109" s="0" t="s">
        <v>402</v>
      </c>
      <c r="D109" s="18" t="n">
        <f aca="false">D107/D108</f>
        <v>23.3995380420639</v>
      </c>
      <c r="E109" s="18" t="n">
        <f aca="false">E107/E108</f>
        <v>41.6467658260637</v>
      </c>
      <c r="F109" s="18" t="n">
        <f aca="false">F107/F108</f>
        <v>42.2337105529984</v>
      </c>
      <c r="G109" s="18" t="n">
        <f aca="false">G107/G108</f>
        <v>51.1178029756948</v>
      </c>
    </row>
    <row r="110" customFormat="false" ht="17.15" hidden="false" customHeight="false" outlineLevel="0" collapsed="false">
      <c r="A110" s="4" t="s">
        <v>404</v>
      </c>
      <c r="B110" s="0" t="s">
        <v>405</v>
      </c>
      <c r="D110" s="16" t="n">
        <f aca="false">(racks_gb*odm_gb*(1-vr26)+racks_vr*odm_vr*vr26)/1000</f>
        <v>27.1209</v>
      </c>
      <c r="E110" s="16" t="n">
        <f aca="false">racks_vr*odm_vr/1000</f>
        <v>27.351</v>
      </c>
      <c r="F110" s="16" t="n">
        <f aca="false">$E110*vpg_28</f>
        <v>27.351</v>
      </c>
      <c r="G110" s="16" t="n">
        <f aca="false">$E110*vpg_29</f>
        <v>27.351</v>
      </c>
      <c r="H110" s="4" t="s">
        <v>450</v>
      </c>
    </row>
    <row r="111" customFormat="false" ht="17.15" hidden="false" customHeight="false" outlineLevel="0" collapsed="false">
      <c r="A111" s="0" t="s">
        <v>451</v>
      </c>
      <c r="B111" s="0" t="s">
        <v>32</v>
      </c>
      <c r="D111" s="19" t="n">
        <f aca="false">D109*D110</f>
        <v>634.61653128501</v>
      </c>
      <c r="E111" s="19" t="n">
        <f aca="false">E109*E110</f>
        <v>1139.08069210867</v>
      </c>
      <c r="F111" s="19" t="n">
        <f aca="false">F109*F110</f>
        <v>1155.13421733506</v>
      </c>
      <c r="G111" s="19" t="n">
        <f aca="false">G109*G110</f>
        <v>1398.12302918823</v>
      </c>
    </row>
    <row r="112" customFormat="false" ht="17.15" hidden="false" customHeight="false" outlineLevel="0" collapsed="false">
      <c r="A112" s="0" t="s">
        <v>452</v>
      </c>
      <c r="B112" s="0" t="s">
        <v>209</v>
      </c>
      <c r="D112" s="19" t="n">
        <f aca="false">D111*fx</f>
        <v>20307.7290011203</v>
      </c>
      <c r="E112" s="19" t="n">
        <f aca="false">E111*fx</f>
        <v>36450.5821474774</v>
      </c>
      <c r="F112" s="19" t="n">
        <f aca="false">F111*fx</f>
        <v>36964.2949547219</v>
      </c>
      <c r="G112" s="19" t="n">
        <f aca="false">G111*fx</f>
        <v>44739.9369340233</v>
      </c>
    </row>
    <row r="113" customFormat="false" ht="17.15" hidden="false" customHeight="false" outlineLevel="0" collapsed="false">
      <c r="A113" s="4" t="s">
        <v>453</v>
      </c>
      <c r="B113" s="0" t="s">
        <v>52</v>
      </c>
      <c r="D113" s="15" t="n">
        <f aca="false">a26_ai/D112</f>
        <v>0.174610057569922</v>
      </c>
      <c r="H113" s="8" t="s">
        <v>454</v>
      </c>
    </row>
    <row r="114" customFormat="false" ht="17.15" hidden="false" customHeight="false" outlineLevel="0" collapsed="false">
      <c r="A114" s="4" t="s">
        <v>455</v>
      </c>
      <c r="B114" s="0" t="s">
        <v>71</v>
      </c>
      <c r="D114" s="16" t="n">
        <f aca="false">1</f>
        <v>1</v>
      </c>
      <c r="E114" s="16" t="n">
        <f aca="false">rel_27</f>
        <v>1</v>
      </c>
      <c r="F114" s="16" t="n">
        <f aca="false">rel_28</f>
        <v>1</v>
      </c>
      <c r="G114" s="16" t="n">
        <f aca="false">rel_29</f>
        <v>0.95</v>
      </c>
    </row>
    <row r="115" customFormat="false" ht="15" hidden="false" customHeight="false" outlineLevel="0" collapsed="false">
      <c r="A115" s="4" t="s">
        <v>456</v>
      </c>
      <c r="B115" s="0" t="s">
        <v>52</v>
      </c>
      <c r="D115" s="15" t="n">
        <f aca="false">$D$113*D114</f>
        <v>0.174610057569922</v>
      </c>
      <c r="E115" s="15" t="n">
        <f aca="false">$D$113*E114</f>
        <v>0.174610057569922</v>
      </c>
      <c r="F115" s="15" t="n">
        <f aca="false">$D$113*F114</f>
        <v>0.174610057569922</v>
      </c>
      <c r="G115" s="15" t="n">
        <f aca="false">$D$113*G114</f>
        <v>0.165879554691426</v>
      </c>
    </row>
    <row r="116" customFormat="false" ht="17.15" hidden="false" customHeight="false" outlineLevel="0" collapsed="false">
      <c r="A116" s="0" t="s">
        <v>457</v>
      </c>
      <c r="B116" s="0" t="s">
        <v>209</v>
      </c>
      <c r="D116" s="19" t="n">
        <f aca="false">D112*D115</f>
        <v>3545.93373</v>
      </c>
      <c r="E116" s="19" t="n">
        <f aca="false">E112*E115</f>
        <v>6364.6382472282</v>
      </c>
      <c r="F116" s="19" t="n">
        <f aca="false">F112*F115</f>
        <v>6454.33767007557</v>
      </c>
      <c r="G116" s="19" t="n">
        <f aca="false">G112*G115</f>
        <v>7421.44081553828</v>
      </c>
    </row>
    <row r="117" customFormat="false" ht="17.15" hidden="false" customHeight="false" outlineLevel="0" collapsed="false">
      <c r="A117" s="4" t="s">
        <v>458</v>
      </c>
      <c r="B117" s="0" t="s">
        <v>52</v>
      </c>
      <c r="D117" s="15" t="n">
        <f aca="false">0</f>
        <v>0</v>
      </c>
      <c r="E117" s="15" t="n">
        <f aca="false">cs_27</f>
        <v>0.1</v>
      </c>
      <c r="F117" s="15" t="n">
        <f aca="false">cs_28</f>
        <v>0.2</v>
      </c>
      <c r="G117" s="15" t="n">
        <f aca="false">cs_29</f>
        <v>0.25</v>
      </c>
      <c r="H117" s="8" t="s">
        <v>459</v>
      </c>
    </row>
    <row r="118" customFormat="false" ht="17.15" hidden="false" customHeight="false" outlineLevel="0" collapsed="false">
      <c r="A118" s="0" t="s">
        <v>460</v>
      </c>
      <c r="B118" s="0" t="s">
        <v>209</v>
      </c>
      <c r="C118" s="19" t="n">
        <f aca="false">a25_ai</f>
        <v>1620.621</v>
      </c>
      <c r="D118" s="19" t="n">
        <f aca="false">D116*(1-D117)</f>
        <v>3545.93373</v>
      </c>
      <c r="E118" s="19" t="n">
        <f aca="false">E116*(1-E117)</f>
        <v>5728.17442250538</v>
      </c>
      <c r="F118" s="19" t="n">
        <f aca="false">F116*(1-F117)</f>
        <v>5163.47013606046</v>
      </c>
      <c r="G118" s="19" t="n">
        <f aca="false">G116*(1-G117)</f>
        <v>5566.08061165371</v>
      </c>
    </row>
    <row r="119" customFormat="false" ht="17.15" hidden="false" customHeight="false" outlineLevel="0" collapsed="false">
      <c r="A119" s="6" t="s">
        <v>461</v>
      </c>
    </row>
    <row r="120" customFormat="false" ht="17.15" hidden="false" customHeight="false" outlineLevel="0" collapsed="false">
      <c r="A120" s="4" t="s">
        <v>382</v>
      </c>
      <c r="B120" s="0" t="s">
        <v>209</v>
      </c>
      <c r="C120" s="19" t="n">
        <f aca="false">a25_cn</f>
        <v>1620.621</v>
      </c>
      <c r="D120" s="19" t="n">
        <f aca="false">a26_cn</f>
        <v>2363.95582</v>
      </c>
      <c r="E120" s="19" t="n">
        <f aca="false">D120*(1+g_cn27)</f>
        <v>2647.6305184</v>
      </c>
      <c r="F120" s="19" t="n">
        <f aca="false">E120*(1+g_cn28)</f>
        <v>2859.440959872</v>
      </c>
      <c r="G120" s="19" t="n">
        <f aca="false">F120*(1+g_cn29)</f>
        <v>3031.00741746432</v>
      </c>
    </row>
    <row r="121" customFormat="false" ht="17.15" hidden="false" customHeight="false" outlineLevel="0" collapsed="false">
      <c r="A121" s="4" t="s">
        <v>383</v>
      </c>
      <c r="B121" s="0" t="s">
        <v>209</v>
      </c>
      <c r="C121" s="19" t="n">
        <f aca="false">a25_ce</f>
        <v>3079.1799</v>
      </c>
      <c r="D121" s="19" t="n">
        <f aca="false">a26_ce</f>
        <v>3345.2205</v>
      </c>
      <c r="E121" s="19" t="n">
        <f aca="false">D121*(1+g_ce27)</f>
        <v>3445.577115</v>
      </c>
      <c r="F121" s="19" t="n">
        <f aca="false">E121*(1+g_ce28)</f>
        <v>3514.4886573</v>
      </c>
      <c r="G121" s="19" t="n">
        <f aca="false">F121*(1+g_ce29)</f>
        <v>3584.778430446</v>
      </c>
    </row>
    <row r="122" customFormat="false" ht="15" hidden="false" customHeight="false" outlineLevel="0" collapsed="false">
      <c r="A122" s="4" t="s">
        <v>384</v>
      </c>
      <c r="B122" s="0" t="s">
        <v>209</v>
      </c>
      <c r="C122" s="19" t="n">
        <f aca="false">a25_pc</f>
        <v>1215.46575</v>
      </c>
      <c r="D122" s="19" t="n">
        <f aca="false">a26_pc</f>
        <v>1338.0882</v>
      </c>
      <c r="E122" s="19" t="n">
        <f aca="false">D122*(1+g_pc27)</f>
        <v>1311.326436</v>
      </c>
      <c r="F122" s="19" t="n">
        <f aca="false">E122*(1+g_pc28)</f>
        <v>1311.326436</v>
      </c>
      <c r="G122" s="19" t="n">
        <f aca="false">F122*(1+g_pc29)</f>
        <v>1311.326436</v>
      </c>
    </row>
    <row r="123" customFormat="false" ht="15" hidden="false" customHeight="false" outlineLevel="0" collapsed="false">
      <c r="A123" s="4" t="s">
        <v>462</v>
      </c>
      <c r="B123" s="0" t="s">
        <v>209</v>
      </c>
      <c r="C123" s="19" t="n">
        <f aca="false">a25_co</f>
        <v>567.217349999999</v>
      </c>
      <c r="D123" s="19" t="n">
        <f aca="false">a26_co</f>
        <v>557.53675</v>
      </c>
      <c r="E123" s="19" t="n">
        <f aca="false">D123*(1+g_co27)</f>
        <v>602.13969</v>
      </c>
      <c r="F123" s="19" t="n">
        <f aca="false">E123*(1+g_co28)</f>
        <v>638.2680714</v>
      </c>
      <c r="G123" s="19" t="n">
        <f aca="false">F123*(1+g_co29)</f>
        <v>670.18147497</v>
      </c>
    </row>
    <row r="124" customFormat="false" ht="17.15" hidden="false" customHeight="false" outlineLevel="0" collapsed="false">
      <c r="A124" s="4" t="s">
        <v>387</v>
      </c>
      <c r="B124" s="0" t="s">
        <v>209</v>
      </c>
      <c r="C124" s="19" t="n">
        <f aca="false">SUM(C120:C123)</f>
        <v>6482.484</v>
      </c>
      <c r="D124" s="19" t="n">
        <f aca="false">SUM(D120:D123)</f>
        <v>7604.80127</v>
      </c>
      <c r="E124" s="19" t="n">
        <f aca="false">SUM(E120:E123)</f>
        <v>8006.6737594</v>
      </c>
      <c r="F124" s="19" t="n">
        <f aca="false">SUM(F120:F123)</f>
        <v>8323.524124572</v>
      </c>
      <c r="G124" s="19" t="n">
        <f aca="false">SUM(G120:G123)</f>
        <v>8597.29375888032</v>
      </c>
    </row>
    <row r="125" customFormat="false" ht="15" hidden="false" customHeight="false" outlineLevel="0" collapsed="false">
      <c r="A125" s="4" t="s">
        <v>353</v>
      </c>
      <c r="B125" s="0" t="s">
        <v>209</v>
      </c>
      <c r="C125" s="19" t="n">
        <f aca="false">C118+C124</f>
        <v>8103.105</v>
      </c>
      <c r="D125" s="19" t="n">
        <f aca="false">D118+D124</f>
        <v>11150.735</v>
      </c>
      <c r="E125" s="19" t="n">
        <f aca="false">E118+E124</f>
        <v>13734.8481819054</v>
      </c>
      <c r="F125" s="19" t="n">
        <f aca="false">F118+F124</f>
        <v>13486.9942606325</v>
      </c>
      <c r="G125" s="19" t="n">
        <f aca="false">G118+G124</f>
        <v>14163.374370534</v>
      </c>
    </row>
    <row r="126" customFormat="false" ht="15" hidden="false" customHeight="false" outlineLevel="0" collapsed="false">
      <c r="A126" s="4" t="s">
        <v>463</v>
      </c>
      <c r="B126" s="0" t="s">
        <v>52</v>
      </c>
      <c r="D126" s="15" t="n">
        <f aca="false">D125/C125-1</f>
        <v>0.376106443147411</v>
      </c>
      <c r="E126" s="15" t="n">
        <f aca="false">E125/D125-1</f>
        <v>0.231743753385349</v>
      </c>
      <c r="F126" s="15" t="n">
        <f aca="false">F125/E125-1</f>
        <v>-0.0180456251128751</v>
      </c>
      <c r="G126" s="15" t="n">
        <f aca="false">G125/F125-1</f>
        <v>0.0501505448012143</v>
      </c>
    </row>
    <row r="127" customFormat="false" ht="17.15" hidden="false" customHeight="false" outlineLevel="0" collapsed="false">
      <c r="A127" s="0" t="s">
        <v>464</v>
      </c>
      <c r="B127" s="0" t="s">
        <v>52</v>
      </c>
      <c r="C127" s="15" t="n">
        <f aca="false">C118/C125</f>
        <v>0.2</v>
      </c>
      <c r="D127" s="15" t="n">
        <f aca="false">D118/D125</f>
        <v>0.318</v>
      </c>
      <c r="E127" s="15" t="n">
        <f aca="false">E118/E125</f>
        <v>0.417054076364078</v>
      </c>
      <c r="F127" s="15" t="n">
        <f aca="false">F118/F125</f>
        <v>0.382848100642576</v>
      </c>
      <c r="G127" s="15" t="n">
        <f aca="false">G118/G125</f>
        <v>0.392991137989939</v>
      </c>
    </row>
    <row r="128" customFormat="false" ht="17.15" hidden="false" customHeight="false" outlineLevel="0" collapsed="false">
      <c r="A128" s="4" t="s">
        <v>465</v>
      </c>
      <c r="B128" s="0" t="s">
        <v>52</v>
      </c>
      <c r="C128" s="15" t="n">
        <f aca="false">(C118+C120)/C125</f>
        <v>0.4</v>
      </c>
      <c r="D128" s="15" t="n">
        <f aca="false">(D118+D120)/D125</f>
        <v>0.53</v>
      </c>
      <c r="E128" s="15" t="n">
        <f aca="false">(E118+E120)/E125</f>
        <v>0.609821443235162</v>
      </c>
      <c r="F128" s="15" t="n">
        <f aca="false">(F118+F120)/F125</f>
        <v>0.594862794547985</v>
      </c>
      <c r="G128" s="15" t="n">
        <f aca="false">(G118+G120)/G125</f>
        <v>0.60699433653351</v>
      </c>
    </row>
    <row r="129" customFormat="false" ht="17.15" hidden="false" customHeight="false" outlineLevel="0" collapsed="false">
      <c r="A129" s="4" t="s">
        <v>418</v>
      </c>
      <c r="B129" s="0" t="s">
        <v>405</v>
      </c>
      <c r="D129" s="16" t="n">
        <f aca="false">D118/fx/D109</f>
        <v>4.7355819103481</v>
      </c>
      <c r="E129" s="16" t="n">
        <f aca="false">E118/fx/E109</f>
        <v>4.29818371613545</v>
      </c>
      <c r="F129" s="16" t="n">
        <f aca="false">F118/fx/F109</f>
        <v>3.82060774767595</v>
      </c>
      <c r="G129" s="16" t="n">
        <f aca="false">G118/fx/G109</f>
        <v>3.4027287752739</v>
      </c>
    </row>
    <row r="130" customFormat="false" ht="17.15" hidden="false" customHeight="false" outlineLevel="0" collapsed="false">
      <c r="A130" s="4" t="s">
        <v>466</v>
      </c>
      <c r="B130" s="4" t="s">
        <v>416</v>
      </c>
      <c r="D130" s="19" t="n">
        <f aca="false">D116/fx/(odm_gb*(1-vr26)+odm_vr*vr26)</f>
        <v>24.0630682003257</v>
      </c>
      <c r="E130" s="19" t="n">
        <f aca="false">E116/fx/odm_vr</f>
        <v>29.4659178112417</v>
      </c>
      <c r="F130" s="19" t="n">
        <f aca="false">F116/fx/odm_vr</f>
        <v>29.8811929170165</v>
      </c>
      <c r="G130" s="19" t="n">
        <f aca="false">G116/fx/odm_vr</f>
        <v>34.3585222941587</v>
      </c>
      <c r="H130" s="4" t="s">
        <v>467</v>
      </c>
    </row>
    <row r="131" customFormat="false" ht="17.15" hidden="false" customHeight="false" outlineLevel="0" collapsed="false">
      <c r="A131" s="6" t="s">
        <v>468</v>
      </c>
    </row>
    <row r="132" customFormat="false" ht="17.15" hidden="false" customHeight="false" outlineLevel="0" collapsed="false">
      <c r="A132" s="4" t="s">
        <v>469</v>
      </c>
      <c r="B132" s="0" t="s">
        <v>52</v>
      </c>
      <c r="D132" s="14" t="n">
        <f aca="false">a26_gp/D125-d_ai*D127</f>
        <v>0.0621989258510762</v>
      </c>
      <c r="H132" s="8" t="s">
        <v>470</v>
      </c>
    </row>
    <row r="133" customFormat="false" ht="17.15" hidden="false" customHeight="false" outlineLevel="0" collapsed="false">
      <c r="A133" s="0" t="s">
        <v>471</v>
      </c>
      <c r="B133" s="0" t="s">
        <v>209</v>
      </c>
      <c r="D133" s="22" t="n">
        <f aca="false">($D$132+d_ai)*D116*(1-D117*(1-keep))</f>
        <v>202.8236004951</v>
      </c>
      <c r="E133" s="22" t="n">
        <f aca="false">($D$132+d_ai+vrd)*E116*(1-E117*(1-keep))</f>
        <v>347.807982730896</v>
      </c>
      <c r="F133" s="22" t="n">
        <f aca="false">($D$132+d_ai+vrd)*F116*(1-F117*(1-keep))</f>
        <v>349.147056338943</v>
      </c>
      <c r="G133" s="22" t="n">
        <f aca="false">($D$132+d_ai+vrd)*G116*(1-G117*(1-keep))</f>
        <v>399.414172252922</v>
      </c>
      <c r="H133" s="4" t="s">
        <v>472</v>
      </c>
    </row>
    <row r="134" customFormat="false" ht="15" hidden="false" customHeight="false" outlineLevel="0" collapsed="false">
      <c r="A134" s="4" t="s">
        <v>357</v>
      </c>
      <c r="B134" s="0" t="s">
        <v>209</v>
      </c>
      <c r="C134" s="19" t="n">
        <f aca="false">a25_gp</f>
        <v>498.161</v>
      </c>
      <c r="D134" s="19" t="n">
        <f aca="false">a26_gp</f>
        <v>675.8340708</v>
      </c>
      <c r="E134" s="19" t="n">
        <f aca="false">$D$132*E124+E133</f>
        <v>845.814490205574</v>
      </c>
      <c r="F134" s="19" t="n">
        <f aca="false">$D$132*F124+F133</f>
        <v>866.861316182841</v>
      </c>
      <c r="G134" s="19" t="n">
        <f aca="false">$D$132*G124+G133</f>
        <v>934.156609281439</v>
      </c>
    </row>
    <row r="135" customFormat="false" ht="15" hidden="false" customHeight="false" outlineLevel="0" collapsed="false">
      <c r="A135" s="4" t="s">
        <v>360</v>
      </c>
      <c r="B135" s="0" t="s">
        <v>52</v>
      </c>
      <c r="C135" s="14" t="n">
        <f aca="false">C134/C125</f>
        <v>0.0614777915379352</v>
      </c>
      <c r="D135" s="14" t="n">
        <f aca="false">D134/D125</f>
        <v>0.0606089258510762</v>
      </c>
      <c r="E135" s="14" t="n">
        <f aca="false">E134/E125</f>
        <v>0.0615816410202386</v>
      </c>
      <c r="F135" s="14" t="n">
        <f aca="false">F134/F125</f>
        <v>0.064273870028487</v>
      </c>
      <c r="G135" s="14" t="n">
        <f aca="false">G134/G125</f>
        <v>0.0659557944909576</v>
      </c>
    </row>
    <row r="136" customFormat="false" ht="17.15" hidden="false" customHeight="false" outlineLevel="0" collapsed="false">
      <c r="A136" s="0" t="s">
        <v>473</v>
      </c>
      <c r="B136" s="0" t="s">
        <v>52</v>
      </c>
      <c r="D136" s="14" t="n">
        <f aca="false">D133/D118</f>
        <v>0.0571989258510762</v>
      </c>
      <c r="E136" s="14" t="n">
        <f aca="false">E133/E118</f>
        <v>0.0607188184361838</v>
      </c>
      <c r="F136" s="14" t="n">
        <f aca="false">F133/F118</f>
        <v>0.0676186841675683</v>
      </c>
      <c r="G136" s="14" t="n">
        <f aca="false">G133/G118</f>
        <v>0.0717586036063991</v>
      </c>
      <c r="H136" s="4" t="s">
        <v>474</v>
      </c>
    </row>
    <row r="137" customFormat="false" ht="15" hidden="false" customHeight="false" outlineLevel="0" collapsed="false">
      <c r="A137" s="4" t="s">
        <v>475</v>
      </c>
      <c r="B137" s="0" t="s">
        <v>209</v>
      </c>
      <c r="C137" s="19" t="n">
        <f aca="false">a25_opx</f>
        <v>238.938</v>
      </c>
      <c r="D137" s="19" t="n">
        <f aca="false">a26_opx</f>
        <v>254.8304233</v>
      </c>
      <c r="E137" s="19" t="n">
        <f aca="false">D137*(1+MAX(0,phi*E126))</f>
        <v>278.452566808928</v>
      </c>
      <c r="F137" s="19" t="n">
        <f aca="false">E137*(1+MAX(0,phi*F126))</f>
        <v>278.452566808928</v>
      </c>
      <c r="G137" s="19" t="n">
        <f aca="false">F137*(1+MAX(0,phi*G126))</f>
        <v>284.038385979633</v>
      </c>
    </row>
    <row r="138" customFormat="false" ht="15" hidden="false" customHeight="false" outlineLevel="0" collapsed="false">
      <c r="A138" s="4" t="s">
        <v>361</v>
      </c>
      <c r="B138" s="0" t="s">
        <v>209</v>
      </c>
      <c r="C138" s="19" t="n">
        <f aca="false">C137</f>
        <v>238.938</v>
      </c>
      <c r="D138" s="19" t="n">
        <f aca="false">D137</f>
        <v>254.8304233</v>
      </c>
      <c r="E138" s="19" t="n">
        <f aca="false">E137+0*E125</f>
        <v>278.452566808928</v>
      </c>
      <c r="F138" s="19" t="n">
        <f aca="false">F137+0*F125</f>
        <v>278.452566808928</v>
      </c>
      <c r="G138" s="19" t="n">
        <f aca="false">G137+0*G125</f>
        <v>284.038385979633</v>
      </c>
    </row>
    <row r="139" customFormat="false" ht="15" hidden="false" customHeight="false" outlineLevel="0" collapsed="false">
      <c r="A139" s="4" t="s">
        <v>364</v>
      </c>
      <c r="B139" s="0" t="s">
        <v>209</v>
      </c>
      <c r="C139" s="19" t="n">
        <f aca="false">C134-C138</f>
        <v>259.223</v>
      </c>
      <c r="D139" s="19" t="n">
        <f aca="false">D134-D138</f>
        <v>421.0036475</v>
      </c>
      <c r="E139" s="19" t="n">
        <f aca="false">E134-E138</f>
        <v>567.361923396647</v>
      </c>
      <c r="F139" s="19" t="n">
        <f aca="false">F134-F138</f>
        <v>588.408749373913</v>
      </c>
      <c r="G139" s="19" t="n">
        <f aca="false">G134-G138</f>
        <v>650.118223301805</v>
      </c>
    </row>
    <row r="140" customFormat="false" ht="15" hidden="false" customHeight="false" outlineLevel="0" collapsed="false">
      <c r="A140" s="4" t="s">
        <v>367</v>
      </c>
      <c r="B140" s="0" t="s">
        <v>52</v>
      </c>
      <c r="C140" s="14" t="n">
        <f aca="false">C139/C125</f>
        <v>0.0319905764518663</v>
      </c>
      <c r="D140" s="14" t="n">
        <f aca="false">D139/D125</f>
        <v>0.0377556858359561</v>
      </c>
      <c r="E140" s="14" t="n">
        <f aca="false">E139/E125</f>
        <v>0.0413082049311694</v>
      </c>
      <c r="F140" s="14" t="n">
        <f aca="false">F139/F125</f>
        <v>0.0436278638518765</v>
      </c>
      <c r="G140" s="14" t="n">
        <f aca="false">G139/G125</f>
        <v>0.0459013654722235</v>
      </c>
    </row>
    <row r="141" customFormat="false" ht="17.15" hidden="false" customHeight="false" outlineLevel="0" collapsed="false">
      <c r="A141" s="4" t="s">
        <v>243</v>
      </c>
      <c r="B141" s="0" t="s">
        <v>52</v>
      </c>
      <c r="C141" s="15" t="n">
        <f aca="false">a25_ni/a25_oi</f>
        <v>0.730467589681471</v>
      </c>
      <c r="D141" s="15" t="n">
        <f aca="false">a26_ni/a26_oi</f>
        <v>0.653811645064191</v>
      </c>
      <c r="E141" s="15" t="n">
        <f aca="false">nio_f</f>
        <v>0.66</v>
      </c>
      <c r="F141" s="15" t="n">
        <f aca="false">nio_f</f>
        <v>0.66</v>
      </c>
      <c r="G141" s="15" t="n">
        <f aca="false">nio_f</f>
        <v>0.66</v>
      </c>
    </row>
    <row r="142" customFormat="false" ht="15" hidden="false" customHeight="false" outlineLevel="0" collapsed="false">
      <c r="A142" s="4" t="s">
        <v>368</v>
      </c>
      <c r="B142" s="0" t="s">
        <v>209</v>
      </c>
      <c r="C142" s="19" t="n">
        <f aca="false">a25_ni</f>
        <v>189.354</v>
      </c>
      <c r="D142" s="19" t="n">
        <f aca="false">a26_ni</f>
        <v>275.25708735</v>
      </c>
      <c r="E142" s="19" t="n">
        <f aca="false">E139*E141</f>
        <v>374.458869441787</v>
      </c>
      <c r="F142" s="19" t="n">
        <f aca="false">F139*F141</f>
        <v>388.349774586783</v>
      </c>
      <c r="G142" s="19" t="n">
        <f aca="false">G139*G141</f>
        <v>429.078027379192</v>
      </c>
    </row>
    <row r="143" customFormat="false" ht="15" hidden="false" customHeight="false" outlineLevel="0" collapsed="false">
      <c r="A143" s="4" t="s">
        <v>476</v>
      </c>
      <c r="B143" s="4" t="s">
        <v>230</v>
      </c>
      <c r="C143" s="23" t="n">
        <f aca="false">a25_sh</f>
        <v>13.9128581925055</v>
      </c>
      <c r="D143" s="23" t="n">
        <f aca="false">a26_sh</f>
        <v>14.0169642857143</v>
      </c>
      <c r="E143" s="23" t="n">
        <f aca="false">D143*(1+sh_g)</f>
        <v>14.0169642857143</v>
      </c>
      <c r="F143" s="23" t="n">
        <f aca="false">E143*(1+sh_g)</f>
        <v>14.0169642857143</v>
      </c>
      <c r="G143" s="23" t="n">
        <f aca="false">F143*(1+sh_g)</f>
        <v>14.0169642857143</v>
      </c>
    </row>
    <row r="144" customFormat="false" ht="15" hidden="false" customHeight="false" outlineLevel="0" collapsed="false">
      <c r="A144" s="0" t="s">
        <v>374</v>
      </c>
      <c r="B144" s="0" t="s">
        <v>260</v>
      </c>
      <c r="C144" s="22" t="n">
        <f aca="false">C142/C143</f>
        <v>13.61</v>
      </c>
      <c r="D144" s="22" t="n">
        <f aca="false">D142/D143</f>
        <v>19.6374251756163</v>
      </c>
      <c r="E144" s="22" t="n">
        <f aca="false">E142/E143</f>
        <v>26.7146909850819</v>
      </c>
      <c r="F144" s="22" t="n">
        <f aca="false">F142/F143</f>
        <v>27.705697658271</v>
      </c>
      <c r="G144" s="22" t="n">
        <f aca="false">G142/G143</f>
        <v>30.6113377071593</v>
      </c>
    </row>
    <row r="145" customFormat="false" ht="17.15" hidden="false" customHeight="false" outlineLevel="0" collapsed="false">
      <c r="A145" s="0" t="s">
        <v>477</v>
      </c>
      <c r="B145" s="0" t="s">
        <v>52</v>
      </c>
      <c r="D145" s="15" t="n">
        <f aca="false">D144/C144-1</f>
        <v>0.442867389832203</v>
      </c>
      <c r="E145" s="15" t="n">
        <f aca="false">E144/D144-1</f>
        <v>0.360396831365319</v>
      </c>
      <c r="F145" s="15" t="n">
        <f aca="false">F144/E144-1</f>
        <v>0.037095943716605</v>
      </c>
      <c r="G145" s="15" t="n">
        <f aca="false">G144/F144-1</f>
        <v>0.104875180720125</v>
      </c>
    </row>
    <row r="148" customFormat="false" ht="17.15" hidden="false" customHeight="false" outlineLevel="0" collapsed="false">
      <c r="A148" s="1" t="s">
        <v>479</v>
      </c>
    </row>
    <row r="149" customFormat="false" ht="17.15" hidden="false" customHeight="false" outlineLevel="0" collapsed="false">
      <c r="A149" s="5" t="s">
        <v>21</v>
      </c>
      <c r="B149" s="5" t="s">
        <v>22</v>
      </c>
      <c r="C149" s="11" t="s">
        <v>347</v>
      </c>
      <c r="D149" s="11" t="s">
        <v>429</v>
      </c>
      <c r="E149" s="11" t="s">
        <v>430</v>
      </c>
      <c r="F149" s="11" t="s">
        <v>431</v>
      </c>
      <c r="G149" s="11" t="s">
        <v>432</v>
      </c>
      <c r="H149" s="5" t="s">
        <v>400</v>
      </c>
    </row>
    <row r="150" customFormat="false" ht="17.15" hidden="false" customHeight="false" outlineLevel="0" collapsed="false">
      <c r="A150" s="6" t="s">
        <v>446</v>
      </c>
    </row>
    <row r="151" customFormat="false" ht="17.15" hidden="false" customHeight="false" outlineLevel="0" collapsed="false">
      <c r="A151" s="0" t="s">
        <v>447</v>
      </c>
      <c r="B151" s="0" t="s">
        <v>32</v>
      </c>
      <c r="D151" s="22" t="n">
        <f aca="false">itc_26*1</f>
        <v>781.872916666666</v>
      </c>
      <c r="E151" s="22" t="n">
        <f aca="false">itc_27*1*1</f>
        <v>1565.35</v>
      </c>
      <c r="F151" s="22" t="n">
        <f aca="false">itc_28*um28_C*1</f>
        <v>1190.55833333333</v>
      </c>
      <c r="G151" s="22" t="n">
        <f aca="false">itc_29*um29_C*1</f>
        <v>1356.23416666667</v>
      </c>
    </row>
    <row r="152" customFormat="false" ht="17.15" hidden="false" customHeight="false" outlineLevel="0" collapsed="false">
      <c r="A152" s="4" t="s">
        <v>448</v>
      </c>
      <c r="B152" s="0" t="s">
        <v>32</v>
      </c>
      <c r="D152" s="22" t="n">
        <f aca="false">itpg_gb*(1-vr26)+itpg_vr*vr26</f>
        <v>33.41403216</v>
      </c>
      <c r="E152" s="22" t="n">
        <f aca="false">itpg_vr</f>
        <v>37.586352</v>
      </c>
      <c r="F152" s="22" t="n">
        <f aca="false">itpg_vr</f>
        <v>37.586352</v>
      </c>
      <c r="G152" s="22" t="n">
        <f aca="false">itpg_vr</f>
        <v>37.586352</v>
      </c>
    </row>
    <row r="153" customFormat="false" ht="17.15" hidden="false" customHeight="false" outlineLevel="0" collapsed="false">
      <c r="A153" s="4" t="s">
        <v>449</v>
      </c>
      <c r="B153" s="0" t="s">
        <v>402</v>
      </c>
      <c r="D153" s="18" t="n">
        <f aca="false">D151/D152</f>
        <v>23.3995380420639</v>
      </c>
      <c r="E153" s="18" t="n">
        <f aca="false">E151/E152</f>
        <v>41.6467658260637</v>
      </c>
      <c r="F153" s="18" t="n">
        <f aca="false">F151/F152</f>
        <v>31.6752829147488</v>
      </c>
      <c r="G153" s="18" t="n">
        <f aca="false">G151/G152</f>
        <v>36.0831550416669</v>
      </c>
    </row>
    <row r="154" customFormat="false" ht="17.15" hidden="false" customHeight="false" outlineLevel="0" collapsed="false">
      <c r="A154" s="4" t="s">
        <v>404</v>
      </c>
      <c r="B154" s="0" t="s">
        <v>405</v>
      </c>
      <c r="D154" s="16" t="n">
        <f aca="false">(racks_gb*odm_gb*(1-vr26)+racks_vr*odm_vr*vr26)/1000</f>
        <v>27.1209</v>
      </c>
      <c r="E154" s="16" t="n">
        <f aca="false">racks_vr*odm_vr/1000</f>
        <v>27.351</v>
      </c>
      <c r="F154" s="16" t="n">
        <f aca="false">$E154*vpg_28</f>
        <v>27.351</v>
      </c>
      <c r="G154" s="16" t="n">
        <f aca="false">$E154*vpg_29</f>
        <v>27.351</v>
      </c>
      <c r="H154" s="4" t="s">
        <v>450</v>
      </c>
    </row>
    <row r="155" customFormat="false" ht="17.15" hidden="false" customHeight="false" outlineLevel="0" collapsed="false">
      <c r="A155" s="0" t="s">
        <v>451</v>
      </c>
      <c r="B155" s="0" t="s">
        <v>32</v>
      </c>
      <c r="D155" s="19" t="n">
        <f aca="false">D153*D154</f>
        <v>634.61653128501</v>
      </c>
      <c r="E155" s="19" t="n">
        <f aca="false">E153*E154</f>
        <v>1139.08069210867</v>
      </c>
      <c r="F155" s="19" t="n">
        <f aca="false">F153*F154</f>
        <v>866.350663001294</v>
      </c>
      <c r="G155" s="19" t="n">
        <f aca="false">G153*G154</f>
        <v>986.910373544632</v>
      </c>
    </row>
    <row r="156" customFormat="false" ht="17.15" hidden="false" customHeight="false" outlineLevel="0" collapsed="false">
      <c r="A156" s="0" t="s">
        <v>452</v>
      </c>
      <c r="B156" s="0" t="s">
        <v>209</v>
      </c>
      <c r="D156" s="19" t="n">
        <f aca="false">D155*fx</f>
        <v>20307.7290011203</v>
      </c>
      <c r="E156" s="19" t="n">
        <f aca="false">E155*fx</f>
        <v>36450.5821474774</v>
      </c>
      <c r="F156" s="19" t="n">
        <f aca="false">F155*fx</f>
        <v>27723.2212160414</v>
      </c>
      <c r="G156" s="19" t="n">
        <f aca="false">G155*fx</f>
        <v>31581.1319534282</v>
      </c>
    </row>
    <row r="157" customFormat="false" ht="17.15" hidden="false" customHeight="false" outlineLevel="0" collapsed="false">
      <c r="A157" s="4" t="s">
        <v>453</v>
      </c>
      <c r="B157" s="0" t="s">
        <v>52</v>
      </c>
      <c r="D157" s="15" t="n">
        <f aca="false">a26_ai/D156</f>
        <v>0.174610057569922</v>
      </c>
      <c r="H157" s="8" t="s">
        <v>454</v>
      </c>
    </row>
    <row r="158" customFormat="false" ht="17.15" hidden="false" customHeight="false" outlineLevel="0" collapsed="false">
      <c r="A158" s="4" t="s">
        <v>455</v>
      </c>
      <c r="B158" s="0" t="s">
        <v>71</v>
      </c>
      <c r="D158" s="16" t="n">
        <f aca="false">1</f>
        <v>1</v>
      </c>
      <c r="E158" s="16" t="n">
        <f aca="false">rel_27</f>
        <v>1</v>
      </c>
      <c r="F158" s="16" t="n">
        <f aca="false">rel_28</f>
        <v>1</v>
      </c>
      <c r="G158" s="16" t="n">
        <f aca="false">rel_29</f>
        <v>0.95</v>
      </c>
    </row>
    <row r="159" customFormat="false" ht="15" hidden="false" customHeight="false" outlineLevel="0" collapsed="false">
      <c r="A159" s="4" t="s">
        <v>456</v>
      </c>
      <c r="B159" s="0" t="s">
        <v>52</v>
      </c>
      <c r="D159" s="15" t="n">
        <f aca="false">$D$157*D158</f>
        <v>0.174610057569922</v>
      </c>
      <c r="E159" s="15" t="n">
        <f aca="false">$D$157*E158</f>
        <v>0.174610057569922</v>
      </c>
      <c r="F159" s="15" t="n">
        <f aca="false">$D$157*F158</f>
        <v>0.174610057569922</v>
      </c>
      <c r="G159" s="15" t="n">
        <f aca="false">$D$157*G158</f>
        <v>0.165879554691426</v>
      </c>
    </row>
    <row r="160" customFormat="false" ht="17.15" hidden="false" customHeight="false" outlineLevel="0" collapsed="false">
      <c r="A160" s="0" t="s">
        <v>457</v>
      </c>
      <c r="B160" s="0" t="s">
        <v>209</v>
      </c>
      <c r="D160" s="19" t="n">
        <f aca="false">D156*D159</f>
        <v>3545.93373</v>
      </c>
      <c r="E160" s="19" t="n">
        <f aca="false">E156*E159</f>
        <v>6364.6382472282</v>
      </c>
      <c r="F160" s="19" t="n">
        <f aca="false">F156*F159</f>
        <v>4840.75325255668</v>
      </c>
      <c r="G160" s="19" t="n">
        <f aca="false">G156*G159</f>
        <v>5238.66410508584</v>
      </c>
    </row>
    <row r="161" customFormat="false" ht="17.15" hidden="false" customHeight="false" outlineLevel="0" collapsed="false">
      <c r="A161" s="4" t="s">
        <v>458</v>
      </c>
      <c r="B161" s="0" t="s">
        <v>52</v>
      </c>
      <c r="D161" s="15" t="n">
        <f aca="false">0</f>
        <v>0</v>
      </c>
      <c r="E161" s="15" t="n">
        <f aca="false">cs_27</f>
        <v>0.1</v>
      </c>
      <c r="F161" s="15" t="n">
        <f aca="false">cs_28</f>
        <v>0.2</v>
      </c>
      <c r="G161" s="15" t="n">
        <f aca="false">cs_29</f>
        <v>0.25</v>
      </c>
      <c r="H161" s="8" t="s">
        <v>459</v>
      </c>
    </row>
    <row r="162" customFormat="false" ht="17.15" hidden="false" customHeight="false" outlineLevel="0" collapsed="false">
      <c r="A162" s="0" t="s">
        <v>460</v>
      </c>
      <c r="B162" s="0" t="s">
        <v>209</v>
      </c>
      <c r="C162" s="19" t="n">
        <f aca="false">a25_ai</f>
        <v>1620.621</v>
      </c>
      <c r="D162" s="19" t="n">
        <f aca="false">D160*(1-D161)</f>
        <v>3545.93373</v>
      </c>
      <c r="E162" s="19" t="n">
        <f aca="false">E160*(1-E161)</f>
        <v>5728.17442250538</v>
      </c>
      <c r="F162" s="19" t="n">
        <f aca="false">F160*(1-F161)</f>
        <v>3872.60260204534</v>
      </c>
      <c r="G162" s="19" t="n">
        <f aca="false">G160*(1-G161)</f>
        <v>3928.99807881438</v>
      </c>
    </row>
    <row r="163" customFormat="false" ht="17.15" hidden="false" customHeight="false" outlineLevel="0" collapsed="false">
      <c r="A163" s="6" t="s">
        <v>461</v>
      </c>
    </row>
    <row r="164" customFormat="false" ht="17.15" hidden="false" customHeight="false" outlineLevel="0" collapsed="false">
      <c r="A164" s="4" t="s">
        <v>382</v>
      </c>
      <c r="B164" s="0" t="s">
        <v>209</v>
      </c>
      <c r="C164" s="19" t="n">
        <f aca="false">a25_cn</f>
        <v>1620.621</v>
      </c>
      <c r="D164" s="19" t="n">
        <f aca="false">a26_cn</f>
        <v>2363.95582</v>
      </c>
      <c r="E164" s="19" t="n">
        <f aca="false">D164*(1+g_cn27)</f>
        <v>2647.6305184</v>
      </c>
      <c r="F164" s="19" t="n">
        <f aca="false">E164*(1+g_cn28)</f>
        <v>2859.440959872</v>
      </c>
      <c r="G164" s="19" t="n">
        <f aca="false">F164*(1+g_cn29)</f>
        <v>3031.00741746432</v>
      </c>
    </row>
    <row r="165" customFormat="false" ht="17.15" hidden="false" customHeight="false" outlineLevel="0" collapsed="false">
      <c r="A165" s="4" t="s">
        <v>383</v>
      </c>
      <c r="B165" s="0" t="s">
        <v>209</v>
      </c>
      <c r="C165" s="19" t="n">
        <f aca="false">a25_ce</f>
        <v>3079.1799</v>
      </c>
      <c r="D165" s="19" t="n">
        <f aca="false">a26_ce</f>
        <v>3345.2205</v>
      </c>
      <c r="E165" s="19" t="n">
        <f aca="false">D165*(1+g_ce27)</f>
        <v>3445.577115</v>
      </c>
      <c r="F165" s="19" t="n">
        <f aca="false">E165*(1+g_ce28)</f>
        <v>3514.4886573</v>
      </c>
      <c r="G165" s="19" t="n">
        <f aca="false">F165*(1+g_ce29)</f>
        <v>3584.778430446</v>
      </c>
    </row>
    <row r="166" customFormat="false" ht="15" hidden="false" customHeight="false" outlineLevel="0" collapsed="false">
      <c r="A166" s="4" t="s">
        <v>384</v>
      </c>
      <c r="B166" s="0" t="s">
        <v>209</v>
      </c>
      <c r="C166" s="19" t="n">
        <f aca="false">a25_pc</f>
        <v>1215.46575</v>
      </c>
      <c r="D166" s="19" t="n">
        <f aca="false">a26_pc</f>
        <v>1338.0882</v>
      </c>
      <c r="E166" s="19" t="n">
        <f aca="false">D166*(1+g_pc27)</f>
        <v>1311.326436</v>
      </c>
      <c r="F166" s="19" t="n">
        <f aca="false">E166*(1+g_pc28)</f>
        <v>1311.326436</v>
      </c>
      <c r="G166" s="19" t="n">
        <f aca="false">F166*(1+g_pc29)</f>
        <v>1311.326436</v>
      </c>
    </row>
    <row r="167" customFormat="false" ht="15" hidden="false" customHeight="false" outlineLevel="0" collapsed="false">
      <c r="A167" s="4" t="s">
        <v>462</v>
      </c>
      <c r="B167" s="0" t="s">
        <v>209</v>
      </c>
      <c r="C167" s="19" t="n">
        <f aca="false">a25_co</f>
        <v>567.217349999999</v>
      </c>
      <c r="D167" s="19" t="n">
        <f aca="false">a26_co</f>
        <v>557.53675</v>
      </c>
      <c r="E167" s="19" t="n">
        <f aca="false">D167*(1+g_co27)</f>
        <v>602.13969</v>
      </c>
      <c r="F167" s="19" t="n">
        <f aca="false">E167*(1+g_co28)</f>
        <v>638.2680714</v>
      </c>
      <c r="G167" s="19" t="n">
        <f aca="false">F167*(1+g_co29)</f>
        <v>670.18147497</v>
      </c>
    </row>
    <row r="168" customFormat="false" ht="17.15" hidden="false" customHeight="false" outlineLevel="0" collapsed="false">
      <c r="A168" s="4" t="s">
        <v>387</v>
      </c>
      <c r="B168" s="0" t="s">
        <v>209</v>
      </c>
      <c r="C168" s="19" t="n">
        <f aca="false">SUM(C164:C167)</f>
        <v>6482.484</v>
      </c>
      <c r="D168" s="19" t="n">
        <f aca="false">SUM(D164:D167)</f>
        <v>7604.80127</v>
      </c>
      <c r="E168" s="19" t="n">
        <f aca="false">SUM(E164:E167)</f>
        <v>8006.6737594</v>
      </c>
      <c r="F168" s="19" t="n">
        <f aca="false">SUM(F164:F167)</f>
        <v>8323.524124572</v>
      </c>
      <c r="G168" s="19" t="n">
        <f aca="false">SUM(G164:G167)</f>
        <v>8597.29375888032</v>
      </c>
    </row>
    <row r="169" customFormat="false" ht="15" hidden="false" customHeight="false" outlineLevel="0" collapsed="false">
      <c r="A169" s="4" t="s">
        <v>353</v>
      </c>
      <c r="B169" s="0" t="s">
        <v>209</v>
      </c>
      <c r="C169" s="19" t="n">
        <f aca="false">C162+C168</f>
        <v>8103.105</v>
      </c>
      <c r="D169" s="19" t="n">
        <f aca="false">D162+D168</f>
        <v>11150.735</v>
      </c>
      <c r="E169" s="19" t="n">
        <f aca="false">E162+E168</f>
        <v>13734.8481819054</v>
      </c>
      <c r="F169" s="19" t="n">
        <f aca="false">F162+F168</f>
        <v>12196.1267266173</v>
      </c>
      <c r="G169" s="19" t="n">
        <f aca="false">G162+G168</f>
        <v>12526.2918376947</v>
      </c>
    </row>
    <row r="170" customFormat="false" ht="15" hidden="false" customHeight="false" outlineLevel="0" collapsed="false">
      <c r="A170" s="4" t="s">
        <v>463</v>
      </c>
      <c r="B170" s="0" t="s">
        <v>52</v>
      </c>
      <c r="D170" s="15" t="n">
        <f aca="false">D169/C169-1</f>
        <v>0.376106443147411</v>
      </c>
      <c r="E170" s="15" t="n">
        <f aca="false">E169/D169-1</f>
        <v>0.231743753385349</v>
      </c>
      <c r="F170" s="15" t="n">
        <f aca="false">F169/E169-1</f>
        <v>-0.112030466948676</v>
      </c>
      <c r="G170" s="15" t="n">
        <f aca="false">G169/F169-1</f>
        <v>0.0270713086603791</v>
      </c>
    </row>
    <row r="171" customFormat="false" ht="17.15" hidden="false" customHeight="false" outlineLevel="0" collapsed="false">
      <c r="A171" s="0" t="s">
        <v>464</v>
      </c>
      <c r="B171" s="0" t="s">
        <v>52</v>
      </c>
      <c r="C171" s="15" t="n">
        <f aca="false">C162/C169</f>
        <v>0.2</v>
      </c>
      <c r="D171" s="15" t="n">
        <f aca="false">D162/D169</f>
        <v>0.318</v>
      </c>
      <c r="E171" s="15" t="n">
        <f aca="false">E162/E169</f>
        <v>0.417054076364078</v>
      </c>
      <c r="F171" s="15" t="n">
        <f aca="false">F162/F169</f>
        <v>0.317527251794917</v>
      </c>
      <c r="G171" s="15" t="n">
        <f aca="false">G162/G169</f>
        <v>0.313660110248354</v>
      </c>
    </row>
    <row r="172" customFormat="false" ht="17.15" hidden="false" customHeight="false" outlineLevel="0" collapsed="false">
      <c r="A172" s="4" t="s">
        <v>465</v>
      </c>
      <c r="B172" s="0" t="s">
        <v>52</v>
      </c>
      <c r="C172" s="15" t="n">
        <f aca="false">(C162+C164)/C169</f>
        <v>0.4</v>
      </c>
      <c r="D172" s="15" t="n">
        <f aca="false">(D162+D164)/D169</f>
        <v>0.53</v>
      </c>
      <c r="E172" s="15" t="n">
        <f aca="false">(E162+E164)/E169</f>
        <v>0.609821443235162</v>
      </c>
      <c r="F172" s="15" t="n">
        <f aca="false">(F162+F164)/F169</f>
        <v>0.551982093398968</v>
      </c>
      <c r="G172" s="15" t="n">
        <f aca="false">(G162+G164)/G169</f>
        <v>0.555631753312208</v>
      </c>
    </row>
    <row r="173" customFormat="false" ht="17.15" hidden="false" customHeight="false" outlineLevel="0" collapsed="false">
      <c r="A173" s="4" t="s">
        <v>418</v>
      </c>
      <c r="B173" s="0" t="s">
        <v>405</v>
      </c>
      <c r="D173" s="16" t="n">
        <f aca="false">D162/fx/D153</f>
        <v>4.7355819103481</v>
      </c>
      <c r="E173" s="16" t="n">
        <f aca="false">E162/fx/E153</f>
        <v>4.29818371613545</v>
      </c>
      <c r="F173" s="16" t="n">
        <f aca="false">F162/fx/F153</f>
        <v>3.82060774767595</v>
      </c>
      <c r="G173" s="16" t="n">
        <f aca="false">G162/fx/G153</f>
        <v>3.4027287752739</v>
      </c>
    </row>
    <row r="174" customFormat="false" ht="17.15" hidden="false" customHeight="false" outlineLevel="0" collapsed="false">
      <c r="A174" s="4" t="s">
        <v>466</v>
      </c>
      <c r="B174" s="4" t="s">
        <v>416</v>
      </c>
      <c r="D174" s="19" t="n">
        <f aca="false">D160/fx/(odm_gb*(1-vr26)+odm_vr*vr26)</f>
        <v>24.0630682003257</v>
      </c>
      <c r="E174" s="19" t="n">
        <f aca="false">E160/fx/odm_vr</f>
        <v>29.4659178112417</v>
      </c>
      <c r="F174" s="19" t="n">
        <f aca="false">F160/fx/odm_vr</f>
        <v>22.4108946877624</v>
      </c>
      <c r="G174" s="19" t="n">
        <f aca="false">G160/fx/odm_vr</f>
        <v>24.2530745605826</v>
      </c>
      <c r="H174" s="4" t="s">
        <v>467</v>
      </c>
    </row>
    <row r="175" customFormat="false" ht="17.15" hidden="false" customHeight="false" outlineLevel="0" collapsed="false">
      <c r="A175" s="6" t="s">
        <v>468</v>
      </c>
    </row>
    <row r="176" customFormat="false" ht="17.15" hidden="false" customHeight="false" outlineLevel="0" collapsed="false">
      <c r="A176" s="4" t="s">
        <v>469</v>
      </c>
      <c r="B176" s="0" t="s">
        <v>52</v>
      </c>
      <c r="D176" s="14" t="n">
        <f aca="false">a26_gp/D169-d_ai*D171</f>
        <v>0.0621989258510762</v>
      </c>
      <c r="H176" s="8" t="s">
        <v>470</v>
      </c>
    </row>
    <row r="177" customFormat="false" ht="17.15" hidden="false" customHeight="false" outlineLevel="0" collapsed="false">
      <c r="A177" s="0" t="s">
        <v>471</v>
      </c>
      <c r="B177" s="0" t="s">
        <v>209</v>
      </c>
      <c r="D177" s="22" t="n">
        <f aca="false">($D$176+d_ai)*D160*(1-D161*(1-keep))</f>
        <v>202.8236004951</v>
      </c>
      <c r="E177" s="22" t="n">
        <f aca="false">($D$176+d_ai+vrd)*E160*(1-E161*(1-keep))</f>
        <v>347.807982730896</v>
      </c>
      <c r="F177" s="22" t="n">
        <f aca="false">($D$176+d_ai+vrd)*F160*(1-F161*(1-keep))</f>
        <v>261.860292254207</v>
      </c>
      <c r="G177" s="22" t="n">
        <f aca="false">($D$176+d_ai+vrd)*G160*(1-G161*(1-keep))</f>
        <v>281.939415707945</v>
      </c>
      <c r="H177" s="4" t="s">
        <v>472</v>
      </c>
    </row>
    <row r="178" customFormat="false" ht="15" hidden="false" customHeight="false" outlineLevel="0" collapsed="false">
      <c r="A178" s="4" t="s">
        <v>357</v>
      </c>
      <c r="B178" s="0" t="s">
        <v>209</v>
      </c>
      <c r="C178" s="19" t="n">
        <f aca="false">a25_gp</f>
        <v>498.161</v>
      </c>
      <c r="D178" s="19" t="n">
        <f aca="false">a26_gp</f>
        <v>675.8340708</v>
      </c>
      <c r="E178" s="19" t="n">
        <f aca="false">$D$176*E168+E177</f>
        <v>845.814490205574</v>
      </c>
      <c r="F178" s="19" t="n">
        <f aca="false">$D$176*F168+F177</f>
        <v>779.574552098105</v>
      </c>
      <c r="G178" s="19" t="n">
        <f aca="false">$D$176*G168+G177</f>
        <v>816.681852736462</v>
      </c>
    </row>
    <row r="179" customFormat="false" ht="15" hidden="false" customHeight="false" outlineLevel="0" collapsed="false">
      <c r="A179" s="4" t="s">
        <v>360</v>
      </c>
      <c r="B179" s="0" t="s">
        <v>52</v>
      </c>
      <c r="C179" s="14" t="n">
        <f aca="false">C178/C169</f>
        <v>0.0614777915379352</v>
      </c>
      <c r="D179" s="14" t="n">
        <f aca="false">D178/D169</f>
        <v>0.0606089258510762</v>
      </c>
      <c r="E179" s="14" t="n">
        <f aca="false">E178/E169</f>
        <v>0.0615816410202386</v>
      </c>
      <c r="F179" s="14" t="n">
        <f aca="false">F178/F169</f>
        <v>0.0639198468147046</v>
      </c>
      <c r="G179" s="14" t="n">
        <f aca="false">G178/G169</f>
        <v>0.0651974154297495</v>
      </c>
    </row>
    <row r="180" customFormat="false" ht="17.15" hidden="false" customHeight="false" outlineLevel="0" collapsed="false">
      <c r="A180" s="0" t="s">
        <v>473</v>
      </c>
      <c r="B180" s="0" t="s">
        <v>52</v>
      </c>
      <c r="D180" s="14" t="n">
        <f aca="false">D177/D162</f>
        <v>0.0571989258510762</v>
      </c>
      <c r="E180" s="14" t="n">
        <f aca="false">E177/E162</f>
        <v>0.0607188184361838</v>
      </c>
      <c r="F180" s="14" t="n">
        <f aca="false">F177/F162</f>
        <v>0.0676186841675683</v>
      </c>
      <c r="G180" s="14" t="n">
        <f aca="false">G177/G162</f>
        <v>0.0717586036063991</v>
      </c>
      <c r="H180" s="4" t="s">
        <v>474</v>
      </c>
    </row>
    <row r="181" customFormat="false" ht="15" hidden="false" customHeight="false" outlineLevel="0" collapsed="false">
      <c r="A181" s="4" t="s">
        <v>475</v>
      </c>
      <c r="B181" s="0" t="s">
        <v>209</v>
      </c>
      <c r="C181" s="19" t="n">
        <f aca="false">a25_opx</f>
        <v>238.938</v>
      </c>
      <c r="D181" s="19" t="n">
        <f aca="false">a26_opx</f>
        <v>254.8304233</v>
      </c>
      <c r="E181" s="19" t="n">
        <f aca="false">D181*(1+MAX(0,phi*E170))</f>
        <v>278.452566808928</v>
      </c>
      <c r="F181" s="19" t="n">
        <f aca="false">E181*(1+MAX(0,phi*F170))</f>
        <v>278.452566808928</v>
      </c>
      <c r="G181" s="19" t="n">
        <f aca="false">F181*(1+MAX(0,phi*G170))</f>
        <v>281.467796962271</v>
      </c>
    </row>
    <row r="182" customFormat="false" ht="15" hidden="false" customHeight="false" outlineLevel="0" collapsed="false">
      <c r="A182" s="4" t="s">
        <v>361</v>
      </c>
      <c r="B182" s="0" t="s">
        <v>209</v>
      </c>
      <c r="C182" s="19" t="n">
        <f aca="false">C181</f>
        <v>238.938</v>
      </c>
      <c r="D182" s="19" t="n">
        <f aca="false">D181</f>
        <v>254.8304233</v>
      </c>
      <c r="E182" s="19" t="n">
        <f aca="false">E181+0*E169</f>
        <v>278.452566808928</v>
      </c>
      <c r="F182" s="19" t="n">
        <f aca="false">F181+0*F169</f>
        <v>278.452566808928</v>
      </c>
      <c r="G182" s="19" t="n">
        <f aca="false">G181+0*G169</f>
        <v>281.467796962271</v>
      </c>
    </row>
    <row r="183" customFormat="false" ht="15" hidden="false" customHeight="false" outlineLevel="0" collapsed="false">
      <c r="A183" s="4" t="s">
        <v>364</v>
      </c>
      <c r="B183" s="0" t="s">
        <v>209</v>
      </c>
      <c r="C183" s="19" t="n">
        <f aca="false">C178-C182</f>
        <v>259.223</v>
      </c>
      <c r="D183" s="19" t="n">
        <f aca="false">D178-D182</f>
        <v>421.0036475</v>
      </c>
      <c r="E183" s="19" t="n">
        <f aca="false">E178-E182</f>
        <v>567.361923396647</v>
      </c>
      <c r="F183" s="19" t="n">
        <f aca="false">F178-F182</f>
        <v>501.121985289177</v>
      </c>
      <c r="G183" s="19" t="n">
        <f aca="false">G178-G182</f>
        <v>535.21405577419</v>
      </c>
    </row>
    <row r="184" customFormat="false" ht="15" hidden="false" customHeight="false" outlineLevel="0" collapsed="false">
      <c r="A184" s="4" t="s">
        <v>367</v>
      </c>
      <c r="B184" s="0" t="s">
        <v>52</v>
      </c>
      <c r="C184" s="14" t="n">
        <f aca="false">C183/C169</f>
        <v>0.0319905764518663</v>
      </c>
      <c r="D184" s="14" t="n">
        <f aca="false">D183/D169</f>
        <v>0.0377556858359561</v>
      </c>
      <c r="E184" s="14" t="n">
        <f aca="false">E183/E169</f>
        <v>0.0413082049311694</v>
      </c>
      <c r="F184" s="14" t="n">
        <f aca="false">F183/F169</f>
        <v>0.0410886174374941</v>
      </c>
      <c r="G184" s="14" t="n">
        <f aca="false">G183/G169</f>
        <v>0.0427272542192893</v>
      </c>
    </row>
    <row r="185" customFormat="false" ht="17.15" hidden="false" customHeight="false" outlineLevel="0" collapsed="false">
      <c r="A185" s="4" t="s">
        <v>243</v>
      </c>
      <c r="B185" s="0" t="s">
        <v>52</v>
      </c>
      <c r="C185" s="15" t="n">
        <f aca="false">a25_ni/a25_oi</f>
        <v>0.730467589681471</v>
      </c>
      <c r="D185" s="15" t="n">
        <f aca="false">a26_ni/a26_oi</f>
        <v>0.653811645064191</v>
      </c>
      <c r="E185" s="15" t="n">
        <f aca="false">nio_f</f>
        <v>0.66</v>
      </c>
      <c r="F185" s="15" t="n">
        <f aca="false">nio_f</f>
        <v>0.66</v>
      </c>
      <c r="G185" s="15" t="n">
        <f aca="false">nio_f</f>
        <v>0.66</v>
      </c>
    </row>
    <row r="186" customFormat="false" ht="15" hidden="false" customHeight="false" outlineLevel="0" collapsed="false">
      <c r="A186" s="4" t="s">
        <v>368</v>
      </c>
      <c r="B186" s="0" t="s">
        <v>209</v>
      </c>
      <c r="C186" s="19" t="n">
        <f aca="false">a25_ni</f>
        <v>189.354</v>
      </c>
      <c r="D186" s="19" t="n">
        <f aca="false">a26_ni</f>
        <v>275.25708735</v>
      </c>
      <c r="E186" s="19" t="n">
        <f aca="false">E183*E185</f>
        <v>374.458869441787</v>
      </c>
      <c r="F186" s="19" t="n">
        <f aca="false">F183*F185</f>
        <v>330.740510290857</v>
      </c>
      <c r="G186" s="19" t="n">
        <f aca="false">G183*G185</f>
        <v>353.241276810966</v>
      </c>
    </row>
    <row r="187" customFormat="false" ht="15" hidden="false" customHeight="false" outlineLevel="0" collapsed="false">
      <c r="A187" s="4" t="s">
        <v>476</v>
      </c>
      <c r="B187" s="4" t="s">
        <v>230</v>
      </c>
      <c r="C187" s="23" t="n">
        <f aca="false">a25_sh</f>
        <v>13.9128581925055</v>
      </c>
      <c r="D187" s="23" t="n">
        <f aca="false">a26_sh</f>
        <v>14.0169642857143</v>
      </c>
      <c r="E187" s="23" t="n">
        <f aca="false">D187*(1+sh_g)</f>
        <v>14.0169642857143</v>
      </c>
      <c r="F187" s="23" t="n">
        <f aca="false">E187*(1+sh_g)</f>
        <v>14.0169642857143</v>
      </c>
      <c r="G187" s="23" t="n">
        <f aca="false">F187*(1+sh_g)</f>
        <v>14.0169642857143</v>
      </c>
    </row>
    <row r="188" customFormat="false" ht="15" hidden="false" customHeight="false" outlineLevel="0" collapsed="false">
      <c r="A188" s="0" t="s">
        <v>374</v>
      </c>
      <c r="B188" s="0" t="s">
        <v>260</v>
      </c>
      <c r="C188" s="22" t="n">
        <f aca="false">C186/C187</f>
        <v>13.61</v>
      </c>
      <c r="D188" s="22" t="n">
        <f aca="false">D186/D187</f>
        <v>19.6374251756163</v>
      </c>
      <c r="E188" s="22" t="n">
        <f aca="false">E186/E187</f>
        <v>26.7146909850819</v>
      </c>
      <c r="F188" s="22" t="n">
        <f aca="false">F186/F187</f>
        <v>23.5957303984814</v>
      </c>
      <c r="G188" s="22" t="n">
        <f aca="false">G186/G187</f>
        <v>25.2009828669521</v>
      </c>
    </row>
    <row r="189" customFormat="false" ht="17.15" hidden="false" customHeight="false" outlineLevel="0" collapsed="false">
      <c r="A189" s="0" t="s">
        <v>477</v>
      </c>
      <c r="B189" s="0" t="s">
        <v>52</v>
      </c>
      <c r="D189" s="15" t="n">
        <f aca="false">D188/C188-1</f>
        <v>0.442867389832203</v>
      </c>
      <c r="E189" s="15" t="n">
        <f aca="false">E188/D188-1</f>
        <v>0.360396831365319</v>
      </c>
      <c r="F189" s="15" t="n">
        <f aca="false">F188/E188-1</f>
        <v>-0.116750764152286</v>
      </c>
      <c r="G189" s="15" t="n">
        <f aca="false">G188/F188-1</f>
        <v>0.0680314803297639</v>
      </c>
    </row>
    <row r="192" customFormat="false" ht="17.15" hidden="false" customHeight="false" outlineLevel="0" collapsed="false">
      <c r="A192" s="1" t="s">
        <v>480</v>
      </c>
    </row>
    <row r="193" customFormat="false" ht="17.15" hidden="false" customHeight="false" outlineLevel="0" collapsed="false">
      <c r="A193" s="1" t="s">
        <v>481</v>
      </c>
    </row>
    <row r="194" customFormat="false" ht="17.15" hidden="false" customHeight="false" outlineLevel="0" collapsed="false">
      <c r="A194" s="5" t="s">
        <v>21</v>
      </c>
      <c r="B194" s="5" t="s">
        <v>22</v>
      </c>
      <c r="C194" s="11" t="s">
        <v>347</v>
      </c>
      <c r="D194" s="11" t="s">
        <v>429</v>
      </c>
      <c r="E194" s="11" t="s">
        <v>430</v>
      </c>
      <c r="F194" s="11" t="s">
        <v>431</v>
      </c>
      <c r="G194" s="11" t="s">
        <v>432</v>
      </c>
      <c r="H194" s="11" t="s">
        <v>482</v>
      </c>
      <c r="I194" s="11" t="s">
        <v>483</v>
      </c>
      <c r="J194" s="11" t="s">
        <v>484</v>
      </c>
      <c r="K194" s="5" t="s">
        <v>400</v>
      </c>
    </row>
    <row r="195" customFormat="false" ht="17.15" hidden="false" customHeight="false" outlineLevel="0" collapsed="false">
      <c r="A195" s="4" t="s">
        <v>485</v>
      </c>
      <c r="B195" s="0" t="s">
        <v>209</v>
      </c>
      <c r="C195" s="19" t="n">
        <f aca="false">C81</f>
        <v>8103.105</v>
      </c>
      <c r="D195" s="19" t="n">
        <f aca="false">D81</f>
        <v>11150.735</v>
      </c>
      <c r="E195" s="19" t="n">
        <f aca="false">E81</f>
        <v>13734.8481819054</v>
      </c>
      <c r="F195" s="19" t="n">
        <f aca="false">F81</f>
        <v>14777.8617946476</v>
      </c>
      <c r="G195" s="19" t="n">
        <f aca="false">G81</f>
        <v>15145.6238902376</v>
      </c>
      <c r="H195" s="24" t="n">
        <f aca="false">G195*(1+H196)</f>
        <v>15699.8125205419</v>
      </c>
      <c r="I195" s="24" t="n">
        <f aca="false">H195*(1+I196)</f>
        <v>16458.0402798684</v>
      </c>
      <c r="J195" s="24" t="n">
        <f aca="false">I195*(1+J196)</f>
        <v>17445.5226966605</v>
      </c>
      <c r="K195" s="8" t="s">
        <v>486</v>
      </c>
    </row>
    <row r="196" customFormat="false" ht="15" hidden="false" customHeight="false" outlineLevel="0" collapsed="false">
      <c r="A196" s="4" t="s">
        <v>434</v>
      </c>
      <c r="B196" s="0" t="s">
        <v>52</v>
      </c>
      <c r="C196" s="15"/>
      <c r="D196" s="15" t="n">
        <f aca="false">D195/C195-1</f>
        <v>0.376106443147411</v>
      </c>
      <c r="E196" s="15" t="n">
        <f aca="false">E195/D195-1</f>
        <v>0.231743753385349</v>
      </c>
      <c r="F196" s="15" t="n">
        <f aca="false">F195/E195-1</f>
        <v>0.0759392167229256</v>
      </c>
      <c r="G196" s="15" t="n">
        <f aca="false">G195/F195-1</f>
        <v>0.0248860153586801</v>
      </c>
      <c r="H196" s="25" t="n">
        <f aca="false">$G$196+($C$202-$G$196)*1/3</f>
        <v>0.0365906769057867</v>
      </c>
      <c r="I196" s="25" t="n">
        <f aca="false">$G$196+($C$202-$G$196)*2/3</f>
        <v>0.0482953384528934</v>
      </c>
      <c r="J196" s="25" t="n">
        <f aca="false">$G$196+($C$202-$G$196)*3/3</f>
        <v>0.06</v>
      </c>
    </row>
    <row r="197" customFormat="false" ht="15" hidden="false" customHeight="false" outlineLevel="0" collapsed="false">
      <c r="A197" s="4" t="s">
        <v>487</v>
      </c>
      <c r="B197" s="0" t="s">
        <v>209</v>
      </c>
      <c r="C197" s="19" t="n">
        <f aca="false">C98</f>
        <v>189.354</v>
      </c>
      <c r="D197" s="19" t="n">
        <f aca="false">D98</f>
        <v>275.25708735</v>
      </c>
      <c r="E197" s="19" t="n">
        <f aca="false">E98</f>
        <v>374.458869441787</v>
      </c>
      <c r="F197" s="19" t="n">
        <f aca="false">F98</f>
        <v>440.376634850767</v>
      </c>
      <c r="G197" s="19" t="n">
        <f aca="false">G98</f>
        <v>471.817290313209</v>
      </c>
      <c r="H197" s="24" t="n">
        <f aca="false">H195*H198</f>
        <v>489.081404341623</v>
      </c>
      <c r="I197" s="24" t="n">
        <f aca="false">I195*I198</f>
        <v>512.701756295318</v>
      </c>
      <c r="J197" s="24" t="n">
        <f aca="false">J195*J198</f>
        <v>543.463861673037</v>
      </c>
    </row>
    <row r="198" customFormat="false" ht="15" hidden="false" customHeight="false" outlineLevel="0" collapsed="false">
      <c r="A198" s="4" t="s">
        <v>488</v>
      </c>
      <c r="B198" s="0" t="s">
        <v>52</v>
      </c>
      <c r="C198" s="15" t="n">
        <f aca="false">C197/C195</f>
        <v>0.0233680792733156</v>
      </c>
      <c r="D198" s="15" t="n">
        <f aca="false">D197/D195</f>
        <v>0.0246851070669333</v>
      </c>
      <c r="E198" s="15" t="n">
        <f aca="false">E197/E195</f>
        <v>0.0272634152545718</v>
      </c>
      <c r="F198" s="15" t="n">
        <f aca="false">F197/F195</f>
        <v>0.0297997532369851</v>
      </c>
      <c r="G198" s="15" t="n">
        <f aca="false">G197/G195</f>
        <v>0.0311520538032987</v>
      </c>
      <c r="H198" s="25" t="n">
        <f aca="false">$G$198+($C$203-$G$198)*1/3</f>
        <v>0.0311520538032987</v>
      </c>
      <c r="I198" s="25" t="n">
        <f aca="false">$G$198+($C$203-$G$198)*2/3</f>
        <v>0.0311520538032987</v>
      </c>
      <c r="J198" s="25" t="n">
        <f aca="false">$G$198+($C$203-$G$198)*3/3</f>
        <v>0.0311520538032987</v>
      </c>
    </row>
    <row r="199" customFormat="false" ht="17.15" hidden="false" customHeight="false" outlineLevel="0" collapsed="false">
      <c r="A199" s="4" t="s">
        <v>489</v>
      </c>
      <c r="B199" s="4" t="s">
        <v>230</v>
      </c>
      <c r="C199" s="21" t="n">
        <f aca="false">C99</f>
        <v>13.9128581925055</v>
      </c>
      <c r="D199" s="21" t="n">
        <f aca="false">D99</f>
        <v>14.0169642857143</v>
      </c>
      <c r="E199" s="21" t="n">
        <f aca="false">E99</f>
        <v>14.0169642857143</v>
      </c>
      <c r="F199" s="21" t="n">
        <f aca="false">F99</f>
        <v>14.0169642857143</v>
      </c>
      <c r="G199" s="21" t="n">
        <f aca="false">G99</f>
        <v>14.0169642857143</v>
      </c>
      <c r="H199" s="26" t="n">
        <f aca="false">G199*(1+sh_g)</f>
        <v>14.0169642857143</v>
      </c>
      <c r="I199" s="26" t="n">
        <f aca="false">H199*(1+sh_g)</f>
        <v>14.0169642857143</v>
      </c>
      <c r="J199" s="26" t="n">
        <f aca="false">I199*(1+sh_g)</f>
        <v>14.0169642857143</v>
      </c>
      <c r="K199" s="8" t="s">
        <v>490</v>
      </c>
    </row>
    <row r="200" customFormat="false" ht="17.15" hidden="false" customHeight="false" outlineLevel="0" collapsed="false">
      <c r="A200" s="0" t="s">
        <v>491</v>
      </c>
      <c r="B200" s="0" t="s">
        <v>260</v>
      </c>
      <c r="C200" s="16" t="n">
        <f aca="false">C100</f>
        <v>13.61</v>
      </c>
      <c r="D200" s="16" t="n">
        <f aca="false">D100</f>
        <v>19.6374251756163</v>
      </c>
      <c r="E200" s="16" t="n">
        <f aca="false">E100</f>
        <v>26.7146909850819</v>
      </c>
      <c r="F200" s="16" t="n">
        <f aca="false">F100</f>
        <v>31.4174043590585</v>
      </c>
      <c r="G200" s="16" t="n">
        <f aca="false">G100</f>
        <v>33.6604474903366</v>
      </c>
      <c r="H200" s="27" t="n">
        <f aca="false">H197/H199</f>
        <v>34.8921060489597</v>
      </c>
      <c r="I200" s="27" t="n">
        <f aca="false">I197/I199</f>
        <v>36.5772321199284</v>
      </c>
      <c r="J200" s="27" t="n">
        <f aca="false">J197/J199</f>
        <v>38.7718660471241</v>
      </c>
    </row>
    <row r="201" customFormat="false" ht="17.15" hidden="false" customHeight="false" outlineLevel="0" collapsed="false">
      <c r="A201" s="0" t="s">
        <v>438</v>
      </c>
      <c r="B201" s="0" t="s">
        <v>52</v>
      </c>
      <c r="C201" s="15"/>
      <c r="D201" s="15" t="n">
        <f aca="false">D200/C200-1</f>
        <v>0.442867389832203</v>
      </c>
      <c r="E201" s="15" t="n">
        <f aca="false">E200/D200-1</f>
        <v>0.360396831365319</v>
      </c>
      <c r="F201" s="15" t="n">
        <f aca="false">F200/E200-1</f>
        <v>0.176034728479647</v>
      </c>
      <c r="G201" s="15" t="n">
        <f aca="false">G200/F200-1</f>
        <v>0.0713949219242658</v>
      </c>
      <c r="H201" s="25" t="n">
        <f aca="false">H200/G200-1</f>
        <v>0.0365906769057867</v>
      </c>
      <c r="I201" s="25" t="n">
        <f aca="false">I200/H200-1</f>
        <v>0.0482953384528932</v>
      </c>
      <c r="J201" s="25" t="n">
        <f aca="false">J200/I200-1</f>
        <v>0.0600000000000003</v>
      </c>
    </row>
    <row r="202" customFormat="false" ht="17.15" hidden="false" customHeight="false" outlineLevel="0" collapsed="false">
      <c r="A202" s="4" t="s">
        <v>492</v>
      </c>
      <c r="B202" s="0" t="s">
        <v>52</v>
      </c>
      <c r="C202" s="15" t="n">
        <f aca="false">fade_gA</f>
        <v>0.06</v>
      </c>
      <c r="K202" s="8" t="s">
        <v>493</v>
      </c>
    </row>
    <row r="203" customFormat="false" ht="17.15" hidden="false" customHeight="false" outlineLevel="0" collapsed="false">
      <c r="A203" s="4" t="s">
        <v>494</v>
      </c>
      <c r="B203" s="0" t="s">
        <v>52</v>
      </c>
      <c r="C203" s="15" t="n">
        <f aca="false">G198</f>
        <v>0.0311520538032987</v>
      </c>
      <c r="K203" s="4" t="s">
        <v>495</v>
      </c>
    </row>
    <row r="205" customFormat="false" ht="17.15" hidden="false" customHeight="false" outlineLevel="0" collapsed="false">
      <c r="A205" s="1" t="s">
        <v>496</v>
      </c>
    </row>
    <row r="206" customFormat="false" ht="17.15" hidden="false" customHeight="false" outlineLevel="0" collapsed="false">
      <c r="A206" s="5" t="s">
        <v>21</v>
      </c>
      <c r="B206" s="5" t="s">
        <v>22</v>
      </c>
      <c r="C206" s="11" t="s">
        <v>347</v>
      </c>
      <c r="D206" s="11" t="s">
        <v>429</v>
      </c>
      <c r="E206" s="11" t="s">
        <v>430</v>
      </c>
      <c r="F206" s="11" t="s">
        <v>431</v>
      </c>
      <c r="G206" s="11" t="s">
        <v>432</v>
      </c>
      <c r="H206" s="11" t="s">
        <v>482</v>
      </c>
      <c r="I206" s="11" t="s">
        <v>483</v>
      </c>
      <c r="J206" s="11" t="s">
        <v>484</v>
      </c>
      <c r="K206" s="5" t="s">
        <v>400</v>
      </c>
    </row>
    <row r="207" customFormat="false" ht="17.15" hidden="false" customHeight="false" outlineLevel="0" collapsed="false">
      <c r="A207" s="4" t="s">
        <v>485</v>
      </c>
      <c r="B207" s="0" t="s">
        <v>209</v>
      </c>
      <c r="C207" s="19" t="n">
        <f aca="false">C125</f>
        <v>8103.105</v>
      </c>
      <c r="D207" s="19" t="n">
        <f aca="false">D125</f>
        <v>11150.735</v>
      </c>
      <c r="E207" s="19" t="n">
        <f aca="false">E125</f>
        <v>13734.8481819054</v>
      </c>
      <c r="F207" s="19" t="n">
        <f aca="false">F125</f>
        <v>13486.9942606325</v>
      </c>
      <c r="G207" s="19" t="n">
        <f aca="false">G125</f>
        <v>14163.374370534</v>
      </c>
      <c r="H207" s="24" t="n">
        <f aca="false">G207*(1+H208)</f>
        <v>14825.753322745</v>
      </c>
      <c r="I207" s="24" t="n">
        <f aca="false">H207*(1+I208)</f>
        <v>15468.9466134263</v>
      </c>
      <c r="J207" s="24" t="n">
        <f aca="false">I207*(1+J208)</f>
        <v>16087.7044779633</v>
      </c>
      <c r="K207" s="8" t="s">
        <v>486</v>
      </c>
    </row>
    <row r="208" customFormat="false" ht="15" hidden="false" customHeight="false" outlineLevel="0" collapsed="false">
      <c r="A208" s="4" t="s">
        <v>434</v>
      </c>
      <c r="B208" s="0" t="s">
        <v>52</v>
      </c>
      <c r="C208" s="15"/>
      <c r="D208" s="15" t="n">
        <f aca="false">D207/C207-1</f>
        <v>0.376106443147411</v>
      </c>
      <c r="E208" s="15" t="n">
        <f aca="false">E207/D207-1</f>
        <v>0.231743753385349</v>
      </c>
      <c r="F208" s="15" t="n">
        <f aca="false">F207/E207-1</f>
        <v>-0.0180456251128751</v>
      </c>
      <c r="G208" s="15" t="n">
        <f aca="false">G207/F207-1</f>
        <v>0.0501505448012143</v>
      </c>
      <c r="H208" s="25" t="n">
        <f aca="false">$G$208+($C$214-$G$208)*1/3</f>
        <v>0.0467670298674762</v>
      </c>
      <c r="I208" s="25" t="n">
        <f aca="false">$G$208+($C$214-$G$208)*2/3</f>
        <v>0.0433835149337381</v>
      </c>
      <c r="J208" s="25" t="n">
        <f aca="false">$G$208+($C$214-$G$208)*3/3</f>
        <v>0.04</v>
      </c>
    </row>
    <row r="209" customFormat="false" ht="15" hidden="false" customHeight="false" outlineLevel="0" collapsed="false">
      <c r="A209" s="4" t="s">
        <v>487</v>
      </c>
      <c r="B209" s="0" t="s">
        <v>209</v>
      </c>
      <c r="C209" s="19" t="n">
        <f aca="false">C142</f>
        <v>189.354</v>
      </c>
      <c r="D209" s="19" t="n">
        <f aca="false">D142</f>
        <v>275.25708735</v>
      </c>
      <c r="E209" s="19" t="n">
        <f aca="false">E142</f>
        <v>374.458869441787</v>
      </c>
      <c r="F209" s="19" t="n">
        <f aca="false">F142</f>
        <v>388.349774586783</v>
      </c>
      <c r="G209" s="19" t="n">
        <f aca="false">G142</f>
        <v>429.078027379192</v>
      </c>
      <c r="H209" s="24" t="n">
        <f aca="false">H207*H210</f>
        <v>434.173241224408</v>
      </c>
      <c r="I209" s="24" t="n">
        <f aca="false">I207*I210</f>
        <v>437.388195535487</v>
      </c>
      <c r="J209" s="24" t="n">
        <f aca="false">J207*J210</f>
        <v>438.637876094159</v>
      </c>
    </row>
    <row r="210" customFormat="false" ht="15" hidden="false" customHeight="false" outlineLevel="0" collapsed="false">
      <c r="A210" s="4" t="s">
        <v>488</v>
      </c>
      <c r="B210" s="0" t="s">
        <v>52</v>
      </c>
      <c r="C210" s="15" t="n">
        <f aca="false">C209/C207</f>
        <v>0.0233680792733156</v>
      </c>
      <c r="D210" s="15" t="n">
        <f aca="false">D209/D207</f>
        <v>0.0246851070669333</v>
      </c>
      <c r="E210" s="15" t="n">
        <f aca="false">E209/E207</f>
        <v>0.0272634152545718</v>
      </c>
      <c r="F210" s="15" t="n">
        <f aca="false">F209/F207</f>
        <v>0.0287943901422385</v>
      </c>
      <c r="G210" s="15" t="n">
        <f aca="false">G209/G207</f>
        <v>0.0302949012116675</v>
      </c>
      <c r="H210" s="25" t="n">
        <f aca="false">$G$210+($C$215-$G$210)*1/3</f>
        <v>0.0292850711712786</v>
      </c>
      <c r="I210" s="25" t="n">
        <f aca="false">$G$210+($C$215-$G$210)*2/3</f>
        <v>0.0282752411308897</v>
      </c>
      <c r="J210" s="25" t="n">
        <f aca="false">$G$210+($C$215-$G$210)*3/3</f>
        <v>0.0272654110905007</v>
      </c>
    </row>
    <row r="211" customFormat="false" ht="17.15" hidden="false" customHeight="false" outlineLevel="0" collapsed="false">
      <c r="A211" s="4" t="s">
        <v>489</v>
      </c>
      <c r="B211" s="4" t="s">
        <v>230</v>
      </c>
      <c r="C211" s="21" t="n">
        <f aca="false">C143</f>
        <v>13.9128581925055</v>
      </c>
      <c r="D211" s="21" t="n">
        <f aca="false">D143</f>
        <v>14.0169642857143</v>
      </c>
      <c r="E211" s="21" t="n">
        <f aca="false">E143</f>
        <v>14.0169642857143</v>
      </c>
      <c r="F211" s="21" t="n">
        <f aca="false">F143</f>
        <v>14.0169642857143</v>
      </c>
      <c r="G211" s="21" t="n">
        <f aca="false">G143</f>
        <v>14.0169642857143</v>
      </c>
      <c r="H211" s="26" t="n">
        <f aca="false">G211*(1+sh_g)</f>
        <v>14.0169642857143</v>
      </c>
      <c r="I211" s="26" t="n">
        <f aca="false">H211*(1+sh_g)</f>
        <v>14.0169642857143</v>
      </c>
      <c r="J211" s="26" t="n">
        <f aca="false">I211*(1+sh_g)</f>
        <v>14.0169642857143</v>
      </c>
      <c r="K211" s="8" t="s">
        <v>490</v>
      </c>
    </row>
    <row r="212" customFormat="false" ht="17.15" hidden="false" customHeight="false" outlineLevel="0" collapsed="false">
      <c r="A212" s="0" t="s">
        <v>491</v>
      </c>
      <c r="B212" s="0" t="s">
        <v>260</v>
      </c>
      <c r="C212" s="16" t="n">
        <f aca="false">C144</f>
        <v>13.61</v>
      </c>
      <c r="D212" s="16" t="n">
        <f aca="false">D144</f>
        <v>19.6374251756163</v>
      </c>
      <c r="E212" s="16" t="n">
        <f aca="false">E144</f>
        <v>26.7146909850819</v>
      </c>
      <c r="F212" s="16" t="n">
        <f aca="false">F144</f>
        <v>27.705697658271</v>
      </c>
      <c r="G212" s="16" t="n">
        <f aca="false">G144</f>
        <v>30.6113377071593</v>
      </c>
      <c r="H212" s="27" t="n">
        <f aca="false">H209/H211</f>
        <v>30.9748410835937</v>
      </c>
      <c r="I212" s="27" t="n">
        <f aca="false">I209/I211</f>
        <v>31.2042027517514</v>
      </c>
      <c r="J212" s="27" t="n">
        <f aca="false">J209/J211</f>
        <v>31.2933576167564</v>
      </c>
    </row>
    <row r="213" customFormat="false" ht="17.15" hidden="false" customHeight="false" outlineLevel="0" collapsed="false">
      <c r="A213" s="0" t="s">
        <v>438</v>
      </c>
      <c r="B213" s="0" t="s">
        <v>52</v>
      </c>
      <c r="C213" s="15"/>
      <c r="D213" s="15" t="n">
        <f aca="false">D212/C212-1</f>
        <v>0.442867389832203</v>
      </c>
      <c r="E213" s="15" t="n">
        <f aca="false">E212/D212-1</f>
        <v>0.360396831365319</v>
      </c>
      <c r="F213" s="15" t="n">
        <f aca="false">F212/E212-1</f>
        <v>0.037095943716605</v>
      </c>
      <c r="G213" s="15" t="n">
        <f aca="false">G212/F212-1</f>
        <v>0.104875180720125</v>
      </c>
      <c r="H213" s="25" t="n">
        <f aca="false">H212/G212-1</f>
        <v>0.0118747955385603</v>
      </c>
      <c r="I213" s="25" t="n">
        <f aca="false">I212/H212-1</f>
        <v>0.00740477303947129</v>
      </c>
      <c r="J213" s="25" t="n">
        <f aca="false">J212/I212-1</f>
        <v>0.00285714285714289</v>
      </c>
    </row>
    <row r="214" customFormat="false" ht="17.15" hidden="false" customHeight="false" outlineLevel="0" collapsed="false">
      <c r="A214" s="4" t="s">
        <v>492</v>
      </c>
      <c r="B214" s="0" t="s">
        <v>52</v>
      </c>
      <c r="C214" s="15" t="n">
        <f aca="false">fade_gB</f>
        <v>0.04</v>
      </c>
      <c r="K214" s="8" t="s">
        <v>497</v>
      </c>
    </row>
    <row r="215" customFormat="false" ht="17.15" hidden="false" customHeight="false" outlineLevel="0" collapsed="false">
      <c r="A215" s="4" t="s">
        <v>494</v>
      </c>
      <c r="B215" s="0" t="s">
        <v>52</v>
      </c>
      <c r="C215" s="15" t="n">
        <f aca="false">G210*(1+nim10_f)/2</f>
        <v>0.0272654110905007</v>
      </c>
      <c r="K215" s="4" t="s">
        <v>498</v>
      </c>
    </row>
    <row r="217" customFormat="false" ht="17.15" hidden="false" customHeight="false" outlineLevel="0" collapsed="false">
      <c r="A217" s="1" t="s">
        <v>499</v>
      </c>
    </row>
    <row r="218" customFormat="false" ht="17.15" hidden="false" customHeight="false" outlineLevel="0" collapsed="false">
      <c r="A218" s="5" t="s">
        <v>21</v>
      </c>
      <c r="B218" s="5" t="s">
        <v>22</v>
      </c>
      <c r="C218" s="11" t="s">
        <v>347</v>
      </c>
      <c r="D218" s="11" t="s">
        <v>429</v>
      </c>
      <c r="E218" s="11" t="s">
        <v>430</v>
      </c>
      <c r="F218" s="11" t="s">
        <v>431</v>
      </c>
      <c r="G218" s="11" t="s">
        <v>432</v>
      </c>
      <c r="H218" s="11" t="s">
        <v>482</v>
      </c>
      <c r="I218" s="11" t="s">
        <v>483</v>
      </c>
      <c r="J218" s="11" t="s">
        <v>484</v>
      </c>
      <c r="K218" s="5" t="s">
        <v>400</v>
      </c>
    </row>
    <row r="219" customFormat="false" ht="17.15" hidden="false" customHeight="false" outlineLevel="0" collapsed="false">
      <c r="A219" s="4" t="s">
        <v>485</v>
      </c>
      <c r="B219" s="0" t="s">
        <v>209</v>
      </c>
      <c r="C219" s="19" t="n">
        <f aca="false">C169</f>
        <v>8103.105</v>
      </c>
      <c r="D219" s="19" t="n">
        <f aca="false">D169</f>
        <v>11150.735</v>
      </c>
      <c r="E219" s="19" t="n">
        <f aca="false">E169</f>
        <v>13734.8481819054</v>
      </c>
      <c r="F219" s="19" t="n">
        <f aca="false">F169</f>
        <v>12196.1267266173</v>
      </c>
      <c r="G219" s="19" t="n">
        <f aca="false">G169</f>
        <v>12526.2918376947</v>
      </c>
      <c r="H219" s="24" t="n">
        <f aca="false">G219*(1+H220)</f>
        <v>12835.8691917515</v>
      </c>
      <c r="I219" s="24" t="n">
        <f aca="false">H219*(1+I220)</f>
        <v>13122.8420399129</v>
      </c>
      <c r="J219" s="24" t="n">
        <f aca="false">I219*(1+J220)</f>
        <v>13385.2988807111</v>
      </c>
      <c r="K219" s="8" t="s">
        <v>486</v>
      </c>
    </row>
    <row r="220" customFormat="false" ht="15" hidden="false" customHeight="false" outlineLevel="0" collapsed="false">
      <c r="A220" s="4" t="s">
        <v>434</v>
      </c>
      <c r="B220" s="0" t="s">
        <v>52</v>
      </c>
      <c r="C220" s="15"/>
      <c r="D220" s="15" t="n">
        <f aca="false">D219/C219-1</f>
        <v>0.376106443147411</v>
      </c>
      <c r="E220" s="15" t="n">
        <f aca="false">E219/D219-1</f>
        <v>0.231743753385349</v>
      </c>
      <c r="F220" s="15" t="n">
        <f aca="false">F219/E219-1</f>
        <v>-0.112030466948676</v>
      </c>
      <c r="G220" s="15" t="n">
        <f aca="false">G219/F219-1</f>
        <v>0.0270713086603791</v>
      </c>
      <c r="H220" s="25" t="n">
        <f aca="false">$G$220+($C$226-$G$220)*1/3</f>
        <v>0.0247142057735861</v>
      </c>
      <c r="I220" s="25" t="n">
        <f aca="false">$G$220+($C$226-$G$220)*2/3</f>
        <v>0.022357102886793</v>
      </c>
      <c r="J220" s="25" t="n">
        <f aca="false">$G$220+($C$226-$G$220)*3/3</f>
        <v>0.02</v>
      </c>
    </row>
    <row r="221" customFormat="false" ht="15" hidden="false" customHeight="false" outlineLevel="0" collapsed="false">
      <c r="A221" s="4" t="s">
        <v>487</v>
      </c>
      <c r="B221" s="0" t="s">
        <v>209</v>
      </c>
      <c r="C221" s="19" t="n">
        <f aca="false">C186</f>
        <v>189.354</v>
      </c>
      <c r="D221" s="19" t="n">
        <f aca="false">D186</f>
        <v>275.25708735</v>
      </c>
      <c r="E221" s="19" t="n">
        <f aca="false">E186</f>
        <v>374.458869441787</v>
      </c>
      <c r="F221" s="19" t="n">
        <f aca="false">F186</f>
        <v>330.740510290857</v>
      </c>
      <c r="G221" s="19" t="n">
        <f aca="false">G186</f>
        <v>353.241276810966</v>
      </c>
      <c r="H221" s="24" t="n">
        <f aca="false">H219*H222</f>
        <v>337.83993078621</v>
      </c>
      <c r="I221" s="24" t="n">
        <f aca="false">I219*I222</f>
        <v>320.722120529631</v>
      </c>
      <c r="J221" s="24" t="n">
        <f aca="false">J219*J222</f>
        <v>301.972211944822</v>
      </c>
    </row>
    <row r="222" customFormat="false" ht="15" hidden="false" customHeight="false" outlineLevel="0" collapsed="false">
      <c r="A222" s="4" t="s">
        <v>488</v>
      </c>
      <c r="B222" s="0" t="s">
        <v>52</v>
      </c>
      <c r="C222" s="15" t="n">
        <f aca="false">C221/C219</f>
        <v>0.0233680792733156</v>
      </c>
      <c r="D222" s="15" t="n">
        <f aca="false">D221/D219</f>
        <v>0.0246851070669333</v>
      </c>
      <c r="E222" s="15" t="n">
        <f aca="false">E221/E219</f>
        <v>0.0272634152545718</v>
      </c>
      <c r="F222" s="15" t="n">
        <f aca="false">F221/F219</f>
        <v>0.0271184875087461</v>
      </c>
      <c r="G222" s="15" t="n">
        <f aca="false">G221/G219</f>
        <v>0.028199987784731</v>
      </c>
      <c r="H222" s="25" t="n">
        <f aca="false">$G$222+($C$227-$G$222)*1/3</f>
        <v>0.0263199885990822</v>
      </c>
      <c r="I222" s="25" t="n">
        <f aca="false">$G$222+($C$227-$G$222)*2/3</f>
        <v>0.0244399894134335</v>
      </c>
      <c r="J222" s="25" t="n">
        <f aca="false">$G$222+($C$227-$G$222)*3/3</f>
        <v>0.0225599902277848</v>
      </c>
    </row>
    <row r="223" customFormat="false" ht="17.15" hidden="false" customHeight="false" outlineLevel="0" collapsed="false">
      <c r="A223" s="4" t="s">
        <v>489</v>
      </c>
      <c r="B223" s="4" t="s">
        <v>230</v>
      </c>
      <c r="C223" s="21" t="n">
        <f aca="false">C187</f>
        <v>13.9128581925055</v>
      </c>
      <c r="D223" s="21" t="n">
        <f aca="false">D187</f>
        <v>14.0169642857143</v>
      </c>
      <c r="E223" s="21" t="n">
        <f aca="false">E187</f>
        <v>14.0169642857143</v>
      </c>
      <c r="F223" s="21" t="n">
        <f aca="false">F187</f>
        <v>14.0169642857143</v>
      </c>
      <c r="G223" s="21" t="n">
        <f aca="false">G187</f>
        <v>14.0169642857143</v>
      </c>
      <c r="H223" s="26" t="n">
        <f aca="false">G223*(1+sh_g)</f>
        <v>14.0169642857143</v>
      </c>
      <c r="I223" s="26" t="n">
        <f aca="false">H223*(1+sh_g)</f>
        <v>14.0169642857143</v>
      </c>
      <c r="J223" s="26" t="n">
        <f aca="false">I223*(1+sh_g)</f>
        <v>14.0169642857143</v>
      </c>
      <c r="K223" s="8" t="s">
        <v>490</v>
      </c>
    </row>
    <row r="224" customFormat="false" ht="17.15" hidden="false" customHeight="false" outlineLevel="0" collapsed="false">
      <c r="A224" s="0" t="s">
        <v>491</v>
      </c>
      <c r="B224" s="0" t="s">
        <v>260</v>
      </c>
      <c r="C224" s="16" t="n">
        <f aca="false">C188</f>
        <v>13.61</v>
      </c>
      <c r="D224" s="16" t="n">
        <f aca="false">D188</f>
        <v>19.6374251756163</v>
      </c>
      <c r="E224" s="16" t="n">
        <f aca="false">E188</f>
        <v>26.7146909850819</v>
      </c>
      <c r="F224" s="16" t="n">
        <f aca="false">F188</f>
        <v>23.5957303984814</v>
      </c>
      <c r="G224" s="16" t="n">
        <f aca="false">G188</f>
        <v>25.2009828669521</v>
      </c>
      <c r="H224" s="27" t="n">
        <f aca="false">H221/H223</f>
        <v>24.1022181336744</v>
      </c>
      <c r="I224" s="27" t="n">
        <f aca="false">I221/I223</f>
        <v>22.8809971968397</v>
      </c>
      <c r="J224" s="27" t="n">
        <f aca="false">J221/J223</f>
        <v>21.5433388991783</v>
      </c>
    </row>
    <row r="225" customFormat="false" ht="17.15" hidden="false" customHeight="false" outlineLevel="0" collapsed="false">
      <c r="A225" s="0" t="s">
        <v>438</v>
      </c>
      <c r="B225" s="0" t="s">
        <v>52</v>
      </c>
      <c r="C225" s="15"/>
      <c r="D225" s="15" t="n">
        <f aca="false">D224/C224-1</f>
        <v>0.442867389832203</v>
      </c>
      <c r="E225" s="15" t="n">
        <f aca="false">E224/D224-1</f>
        <v>0.360396831365319</v>
      </c>
      <c r="F225" s="15" t="n">
        <f aca="false">F224/E224-1</f>
        <v>-0.116750764152286</v>
      </c>
      <c r="G225" s="15" t="n">
        <f aca="false">G224/F224-1</f>
        <v>0.0680314803297639</v>
      </c>
      <c r="H225" s="25" t="n">
        <f aca="false">H224/G224-1</f>
        <v>-0.0436000746113197</v>
      </c>
      <c r="I225" s="25" t="n">
        <f aca="false">I224/H224-1</f>
        <v>-0.0506684044622634</v>
      </c>
      <c r="J225" s="25" t="n">
        <f aca="false">J224/I224-1</f>
        <v>-0.0584615384615383</v>
      </c>
    </row>
    <row r="226" customFormat="false" ht="17.15" hidden="false" customHeight="false" outlineLevel="0" collapsed="false">
      <c r="A226" s="4" t="s">
        <v>492</v>
      </c>
      <c r="B226" s="0" t="s">
        <v>52</v>
      </c>
      <c r="C226" s="15" t="n">
        <f aca="false">fade_gC</f>
        <v>0.02</v>
      </c>
      <c r="K226" s="8" t="s">
        <v>500</v>
      </c>
    </row>
    <row r="227" customFormat="false" ht="17.15" hidden="false" customHeight="false" outlineLevel="0" collapsed="false">
      <c r="A227" s="4" t="s">
        <v>494</v>
      </c>
      <c r="B227" s="0" t="s">
        <v>52</v>
      </c>
      <c r="C227" s="15" t="n">
        <f aca="false">G222*nim10_f</f>
        <v>0.0225599902277848</v>
      </c>
      <c r="K227" s="4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502</v>
      </c>
    </row>
    <row r="2" customFormat="false" ht="17.15" hidden="false" customHeight="false" outlineLevel="0" collapsed="false">
      <c r="A2" s="4" t="s">
        <v>503</v>
      </c>
    </row>
    <row r="3" customFormat="false" ht="17.15" hidden="false" customHeight="false" outlineLevel="0" collapsed="false">
      <c r="A3" s="4" t="s">
        <v>504</v>
      </c>
    </row>
    <row r="4" customFormat="false" ht="17.15" hidden="false" customHeight="false" outlineLevel="0" collapsed="false">
      <c r="A4" s="6" t="s">
        <v>505</v>
      </c>
    </row>
    <row r="5" customFormat="false" ht="15" hidden="false" customHeight="false" outlineLevel="0" collapsed="false">
      <c r="A5" s="5" t="s">
        <v>21</v>
      </c>
      <c r="B5" s="11" t="s">
        <v>506</v>
      </c>
      <c r="C5" s="11" t="s">
        <v>507</v>
      </c>
      <c r="D5" s="11" t="s">
        <v>508</v>
      </c>
      <c r="E5" s="5" t="s">
        <v>400</v>
      </c>
    </row>
    <row r="6" customFormat="false" ht="17.15" hidden="false" customHeight="false" outlineLevel="0" collapsed="false">
      <c r="A6" s="4" t="s">
        <v>509</v>
      </c>
      <c r="B6" s="28" t="n">
        <f aca="false">px</f>
        <v>245</v>
      </c>
    </row>
    <row r="7" customFormat="false" ht="17.15" hidden="false" customHeight="false" outlineLevel="0" collapsed="false">
      <c r="A7" s="4" t="s">
        <v>510</v>
      </c>
      <c r="B7" s="18" t="n">
        <f aca="false">px/PL!D14</f>
        <v>12.4761773913321</v>
      </c>
      <c r="C7" s="18" t="n">
        <f aca="false">px/PL!D27</f>
        <v>12.4761773913321</v>
      </c>
      <c r="D7" s="18" t="n">
        <f aca="false">px/PL!D40</f>
        <v>12.4761773913321</v>
      </c>
    </row>
    <row r="8" customFormat="false" ht="17.15" hidden="false" customHeight="false" outlineLevel="0" collapsed="false">
      <c r="A8" s="4" t="s">
        <v>511</v>
      </c>
      <c r="B8" s="18" t="n">
        <f aca="false">px/PL!E14</f>
        <v>9.17098386564956</v>
      </c>
      <c r="C8" s="18" t="n">
        <f aca="false">px/PL!E27</f>
        <v>9.17098386564956</v>
      </c>
      <c r="D8" s="18" t="n">
        <f aca="false">px/PL!E40</f>
        <v>9.17098386564956</v>
      </c>
      <c r="E8" s="8" t="s">
        <v>512</v>
      </c>
    </row>
    <row r="9" customFormat="false" ht="17.15" hidden="false" customHeight="false" outlineLevel="0" collapsed="false">
      <c r="A9" s="4" t="s">
        <v>513</v>
      </c>
      <c r="B9" s="18" t="n">
        <f aca="false">px/PL!F14</f>
        <v>7.79822537851889</v>
      </c>
      <c r="C9" s="18" t="n">
        <f aca="false">px/PL!F27</f>
        <v>8.84294642285826</v>
      </c>
      <c r="D9" s="18" t="n">
        <f aca="false">px/PL!F40</f>
        <v>10.3832344183661</v>
      </c>
    </row>
    <row r="10" customFormat="false" ht="17.15" hidden="false" customHeight="false" outlineLevel="0" collapsed="false">
      <c r="A10" s="4" t="s">
        <v>514</v>
      </c>
      <c r="B10" s="18" t="n">
        <f aca="false">px/PL!G14</f>
        <v>7.27857227894359</v>
      </c>
      <c r="C10" s="18" t="n">
        <f aca="false">px/PL!G27</f>
        <v>8.00357051834098</v>
      </c>
      <c r="D10" s="18" t="n">
        <f aca="false">px/PL!G40</f>
        <v>9.7218430445142</v>
      </c>
    </row>
    <row r="11" customFormat="false" ht="17.15" hidden="false" customHeight="false" outlineLevel="0" collapsed="false">
      <c r="A11" s="4" t="s">
        <v>515</v>
      </c>
      <c r="B11" s="16" t="n">
        <f aca="false">0.2*PL!D14+0.8*PL!E14</f>
        <v>25.2992378231888</v>
      </c>
    </row>
    <row r="12" customFormat="false" ht="17.15" hidden="false" customHeight="false" outlineLevel="0" collapsed="false">
      <c r="A12" s="4" t="s">
        <v>516</v>
      </c>
      <c r="B12" s="18" t="n">
        <f aca="false">px/B11</f>
        <v>9.68408620497799</v>
      </c>
    </row>
    <row r="13" customFormat="false" ht="17.15" hidden="false" customHeight="false" outlineLevel="0" collapsed="false">
      <c r="A13" s="4" t="s">
        <v>295</v>
      </c>
      <c r="B13" s="18" t="n">
        <f aca="false">pe_ttm</f>
        <v>16.08</v>
      </c>
    </row>
    <row r="15" customFormat="false" ht="17.15" hidden="false" customHeight="false" outlineLevel="0" collapsed="false">
      <c r="A15" s="6" t="s">
        <v>517</v>
      </c>
    </row>
    <row r="16" customFormat="false" ht="17.15" hidden="false" customHeight="false" outlineLevel="0" collapsed="false">
      <c r="A16" s="5" t="s">
        <v>518</v>
      </c>
      <c r="B16" s="5" t="s">
        <v>519</v>
      </c>
      <c r="C16" s="11" t="s">
        <v>520</v>
      </c>
      <c r="D16" s="5" t="s">
        <v>521</v>
      </c>
      <c r="E16" s="5" t="s">
        <v>522</v>
      </c>
      <c r="F16" s="5" t="s">
        <v>400</v>
      </c>
    </row>
    <row r="17" customFormat="false" ht="17.15" hidden="false" customHeight="false" outlineLevel="0" collapsed="false">
      <c r="A17" s="0" t="s">
        <v>506</v>
      </c>
      <c r="B17" s="0" t="n">
        <f aca="false">INDEX({2026,2027,2028,2029},MATCH(MAX(PL!D81:G81),PL!D81:G81,0))</f>
        <v>2029</v>
      </c>
      <c r="C17" s="0" t="str">
        <f aca="false">IF(B17=2029,"中段",IF(2027&lt;B17,"中段",IF(2027=B17,"見頂","谷底")))</f>
        <v>中段</v>
      </c>
      <c r="D17" s="18" t="n">
        <f aca="false">IF(C17="見頂",pe_peak,IF(C17="谷底",pe_trough,pe_mid))</f>
        <v>9.92</v>
      </c>
      <c r="E17" s="0" t="str">
        <f aca="false">IF(B17=2029,"是：營收到觀測期末仍在增加","否")</f>
        <v>是：營收到觀測期末仍在增加</v>
      </c>
      <c r="F17" s="8" t="s">
        <v>523</v>
      </c>
    </row>
    <row r="18" customFormat="false" ht="15" hidden="false" customHeight="false" outlineLevel="0" collapsed="false">
      <c r="A18" s="0" t="s">
        <v>507</v>
      </c>
      <c r="B18" s="0" t="n">
        <f aca="false">INDEX({2026,2027,2028,2029},MATCH(MAX(PL!D125:G125),PL!D125:G125,0))</f>
        <v>2029</v>
      </c>
      <c r="C18" s="0" t="str">
        <f aca="false">IF(B18=2029,"中段",IF(2027&lt;B18,"中段",IF(2027=B18,"見頂","谷底")))</f>
        <v>中段</v>
      </c>
      <c r="D18" s="18" t="n">
        <f aca="false">IF(C18="見頂",pe_peak,IF(C18="谷底",pe_trough,pe_mid))</f>
        <v>9.92</v>
      </c>
      <c r="E18" s="0" t="str">
        <f aca="false">IF(B18=2029,"是：營收到觀測期末仍在增加","否")</f>
        <v>是：營收到觀測期末仍在增加</v>
      </c>
      <c r="F18" s="4" t="s">
        <v>38</v>
      </c>
    </row>
    <row r="19" customFormat="false" ht="15" hidden="false" customHeight="false" outlineLevel="0" collapsed="false">
      <c r="A19" s="0" t="s">
        <v>508</v>
      </c>
      <c r="B19" s="0" t="n">
        <f aca="false">INDEX({2026,2027,2028,2029},MATCH(MAX(PL!D169:G169),PL!D169:G169,0))</f>
        <v>2027</v>
      </c>
      <c r="C19" s="0" t="str">
        <f aca="false">IF(B19=2029,"中段",IF(2027&lt;B19,"中段",IF(2027=B19,"見頂","谷底")))</f>
        <v>見頂</v>
      </c>
      <c r="D19" s="18" t="n">
        <f aca="false">IF(C19="見頂",pe_peak,IF(C19="谷底",pe_trough,pe_mid))</f>
        <v>9.25</v>
      </c>
      <c r="E19" s="0" t="str">
        <f aca="false">IF(B19=2029,"是：營收到觀測期末仍在增加","否")</f>
        <v>否</v>
      </c>
      <c r="F19" s="4" t="s">
        <v>38</v>
      </c>
    </row>
    <row r="21" customFormat="false" ht="17.15" hidden="false" customHeight="false" outlineLevel="0" collapsed="false">
      <c r="A21" s="6" t="s">
        <v>524</v>
      </c>
    </row>
    <row r="22" customFormat="false" ht="17.15" hidden="false" customHeight="false" outlineLevel="0" collapsed="false">
      <c r="A22" s="5" t="s">
        <v>518</v>
      </c>
      <c r="B22" s="11" t="s">
        <v>525</v>
      </c>
      <c r="C22" s="5" t="s">
        <v>526</v>
      </c>
      <c r="D22" s="5" t="s">
        <v>527</v>
      </c>
      <c r="E22" s="5" t="s">
        <v>528</v>
      </c>
      <c r="F22" s="5" t="s">
        <v>529</v>
      </c>
      <c r="G22" s="5" t="s">
        <v>530</v>
      </c>
    </row>
    <row r="23" customFormat="false" ht="15" hidden="false" customHeight="false" outlineLevel="0" collapsed="false">
      <c r="A23" s="10" t="s">
        <v>506</v>
      </c>
      <c r="B23" s="29" t="n">
        <f aca="false">PL!E14</f>
        <v>26.7146909850819</v>
      </c>
      <c r="C23" s="29" t="n">
        <f aca="false">B23</f>
        <v>26.7146909850819</v>
      </c>
      <c r="D23" s="30" t="n">
        <f aca="false">D17</f>
        <v>9.92</v>
      </c>
      <c r="E23" s="31" t="n">
        <f aca="false">C23*D23</f>
        <v>265.009734572013</v>
      </c>
      <c r="F23" s="32" t="n">
        <f aca="false">E23/px-1</f>
        <v>0.0816723860082151</v>
      </c>
      <c r="G23" s="30" t="n">
        <f aca="false">px/C23</f>
        <v>9.17098386564956</v>
      </c>
    </row>
    <row r="24" customFormat="false" ht="15" hidden="false" customHeight="false" outlineLevel="0" collapsed="false">
      <c r="A24" s="10" t="s">
        <v>507</v>
      </c>
      <c r="B24" s="29" t="n">
        <f aca="false">PL!E27</f>
        <v>26.7146909850819</v>
      </c>
      <c r="C24" s="29" t="n">
        <f aca="false">B24</f>
        <v>26.7146909850819</v>
      </c>
      <c r="D24" s="30" t="n">
        <f aca="false">D18</f>
        <v>9.92</v>
      </c>
      <c r="E24" s="31" t="n">
        <f aca="false">C24*D24</f>
        <v>265.009734572013</v>
      </c>
      <c r="F24" s="32" t="n">
        <f aca="false">E24/px-1</f>
        <v>0.0816723860082151</v>
      </c>
      <c r="G24" s="30" t="n">
        <f aca="false">px/C24</f>
        <v>9.17098386564956</v>
      </c>
    </row>
    <row r="25" customFormat="false" ht="15" hidden="false" customHeight="false" outlineLevel="0" collapsed="false">
      <c r="A25" s="10" t="s">
        <v>508</v>
      </c>
      <c r="B25" s="29" t="n">
        <f aca="false">PL!E40</f>
        <v>26.7146909850819</v>
      </c>
      <c r="C25" s="29" t="n">
        <f aca="false">B25</f>
        <v>26.7146909850819</v>
      </c>
      <c r="D25" s="30" t="n">
        <f aca="false">D19</f>
        <v>9.25</v>
      </c>
      <c r="E25" s="31" t="n">
        <f aca="false">C25*D25</f>
        <v>247.110891612008</v>
      </c>
      <c r="F25" s="32" t="n">
        <f aca="false">E25/px-1</f>
        <v>0.00861588413064407</v>
      </c>
      <c r="G25" s="30" t="n">
        <f aca="false">px/C25</f>
        <v>9.17098386564956</v>
      </c>
    </row>
    <row r="26" customFormat="false" ht="17.15" hidden="false" customHeight="false" outlineLevel="0" collapsed="false">
      <c r="A26" s="6" t="s">
        <v>531</v>
      </c>
    </row>
    <row r="27" customFormat="false" ht="17.15" hidden="false" customHeight="false" outlineLevel="0" collapsed="false">
      <c r="A27" s="11" t="s">
        <v>532</v>
      </c>
      <c r="B27" s="5" t="s">
        <v>533</v>
      </c>
      <c r="C27" s="5" t="s">
        <v>534</v>
      </c>
      <c r="D27" s="5" t="s">
        <v>535</v>
      </c>
    </row>
    <row r="28" customFormat="false" ht="15" hidden="false" customHeight="false" outlineLevel="0" collapsed="false">
      <c r="A28" s="17" t="n">
        <v>1</v>
      </c>
      <c r="B28" s="18" t="n">
        <f aca="false">px*A28/PL!F14</f>
        <v>7.79822537851889</v>
      </c>
      <c r="C28" s="18" t="n">
        <f aca="false">px*A28/PL!F40</f>
        <v>10.3832344183661</v>
      </c>
      <c r="D28" s="18" t="n">
        <f aca="false">pe_mid</f>
        <v>9.92</v>
      </c>
    </row>
    <row r="29" customFormat="false" ht="15" hidden="false" customHeight="false" outlineLevel="0" collapsed="false">
      <c r="A29" s="17" t="n">
        <v>1.1</v>
      </c>
      <c r="B29" s="18" t="n">
        <f aca="false">px*A29/PL!F14</f>
        <v>8.57804791637078</v>
      </c>
      <c r="C29" s="18" t="n">
        <f aca="false">px*A29/PL!F40</f>
        <v>11.4215578602027</v>
      </c>
      <c r="D29" s="18" t="n">
        <f aca="false">pe_mid</f>
        <v>9.92</v>
      </c>
    </row>
    <row r="30" customFormat="false" ht="15" hidden="false" customHeight="false" outlineLevel="0" collapsed="false">
      <c r="A30" s="17" t="n">
        <v>1.21</v>
      </c>
      <c r="B30" s="18" t="n">
        <f aca="false">px*A30/PL!F14</f>
        <v>9.43585270800786</v>
      </c>
      <c r="C30" s="18" t="n">
        <f aca="false">px*A30/PL!F40</f>
        <v>12.563713646223</v>
      </c>
      <c r="D30" s="18" t="n">
        <f aca="false">pe_mid</f>
        <v>9.92</v>
      </c>
    </row>
    <row r="31" customFormat="false" ht="15" hidden="false" customHeight="false" outlineLevel="0" collapsed="false">
      <c r="A31" s="17" t="n">
        <v>1.5</v>
      </c>
      <c r="B31" s="18" t="n">
        <f aca="false">px*A31/PL!F14</f>
        <v>11.6973380677783</v>
      </c>
      <c r="C31" s="18" t="n">
        <f aca="false">px*A31/PL!F40</f>
        <v>15.5748516275492</v>
      </c>
      <c r="D31" s="18" t="n">
        <f aca="false">pe_mid</f>
        <v>9.92</v>
      </c>
    </row>
    <row r="32" customFormat="false" ht="15" hidden="false" customHeight="false" outlineLevel="0" collapsed="false">
      <c r="A32" s="17" t="n">
        <v>2</v>
      </c>
      <c r="B32" s="18" t="n">
        <f aca="false">px*A32/PL!F14</f>
        <v>15.5964507570378</v>
      </c>
      <c r="C32" s="18" t="n">
        <f aca="false">px*A32/PL!F40</f>
        <v>20.7664688367322</v>
      </c>
      <c r="D32" s="18" t="n">
        <f aca="false">pe_mid</f>
        <v>9.92</v>
      </c>
    </row>
    <row r="33" customFormat="false" ht="17.15" hidden="false" customHeight="false" outlineLevel="0" collapsed="false">
      <c r="A33" s="4" t="s">
        <v>536</v>
      </c>
    </row>
    <row r="35" customFormat="false" ht="17.15" hidden="false" customHeight="false" outlineLevel="0" collapsed="false">
      <c r="A35" s="6" t="s">
        <v>537</v>
      </c>
    </row>
    <row r="37" customFormat="false" ht="17.15" hidden="false" customHeight="false" outlineLevel="0" collapsed="false">
      <c r="A37" s="1" t="s">
        <v>538</v>
      </c>
    </row>
    <row r="38" customFormat="false" ht="17.15" hidden="false" customHeight="false" outlineLevel="0" collapsed="false">
      <c r="A38" s="33" t="s">
        <v>539</v>
      </c>
      <c r="B38" s="31" t="n">
        <f aca="false">tp_wA*B40+tp_wB*B41+tp_wC*B42</f>
        <v>261.429965980012</v>
      </c>
      <c r="C38" s="10"/>
      <c r="D38" s="10"/>
      <c r="E38" s="34" t="s">
        <v>540</v>
      </c>
    </row>
    <row r="39" customFormat="false" ht="17.15" hidden="false" customHeight="false" outlineLevel="0" collapsed="false">
      <c r="A39" s="34" t="s">
        <v>541</v>
      </c>
      <c r="B39" s="35" t="n">
        <f aca="false">B38/px-1</f>
        <v>0.067061085632701</v>
      </c>
      <c r="C39" s="34"/>
      <c r="D39" s="34"/>
      <c r="E39" s="34" t="s">
        <v>542</v>
      </c>
    </row>
    <row r="40" customFormat="false" ht="17.15" hidden="false" customHeight="false" outlineLevel="0" collapsed="false">
      <c r="A40" s="4" t="s">
        <v>543</v>
      </c>
      <c r="B40" s="28" t="n">
        <f aca="false">E23</f>
        <v>265.009734572013</v>
      </c>
      <c r="E40" s="4" t="s">
        <v>544</v>
      </c>
    </row>
    <row r="41" customFormat="false" ht="17.15" hidden="false" customHeight="false" outlineLevel="0" collapsed="false">
      <c r="A41" s="4" t="s">
        <v>545</v>
      </c>
      <c r="B41" s="28" t="n">
        <f aca="false">E24</f>
        <v>265.009734572013</v>
      </c>
      <c r="E41" s="4" t="s">
        <v>546</v>
      </c>
    </row>
    <row r="42" customFormat="false" ht="17.15" hidden="false" customHeight="false" outlineLevel="0" collapsed="false">
      <c r="A42" s="4" t="s">
        <v>547</v>
      </c>
      <c r="B42" s="28" t="n">
        <f aca="false">E25</f>
        <v>247.110891612008</v>
      </c>
      <c r="E42" s="4" t="s">
        <v>548</v>
      </c>
    </row>
    <row r="43" customFormat="false" ht="17.15" hidden="false" customHeight="false" outlineLevel="0" collapsed="false">
      <c r="A43" s="4" t="s">
        <v>549</v>
      </c>
      <c r="B43" s="36" t="n">
        <f aca="false">tp_wA</f>
        <v>0.3</v>
      </c>
      <c r="C43" s="36" t="n">
        <f aca="false">tp_wB</f>
        <v>0.5</v>
      </c>
      <c r="D43" s="36" t="n">
        <f aca="false">tp_wC</f>
        <v>0.2</v>
      </c>
      <c r="E43" s="8" t="s">
        <v>550</v>
      </c>
    </row>
    <row r="44" customFormat="false" ht="17.15" hidden="false" customHeight="false" outlineLevel="0" collapsed="false">
      <c r="A44" s="4" t="s">
        <v>551</v>
      </c>
      <c r="B44" s="0" t="s">
        <v>552</v>
      </c>
    </row>
    <row r="50" customFormat="false" ht="17.15" hidden="false" customHeight="false" outlineLevel="0" collapsed="false">
      <c r="A50" s="6" t="s">
        <v>553</v>
      </c>
    </row>
    <row r="51" customFormat="false" ht="17.15" hidden="false" customHeight="false" outlineLevel="0" collapsed="false">
      <c r="A51" s="4" t="s">
        <v>554</v>
      </c>
    </row>
    <row r="53" customFormat="false" ht="17.15" hidden="false" customHeight="false" outlineLevel="0" collapsed="false">
      <c r="A53" s="6" t="s">
        <v>555</v>
      </c>
    </row>
    <row r="54" customFormat="false" ht="17.15" hidden="false" customHeight="false" outlineLevel="0" collapsed="false">
      <c r="A54" s="5" t="s">
        <v>556</v>
      </c>
      <c r="B54" s="11" t="s">
        <v>557</v>
      </c>
      <c r="C54" s="11" t="s">
        <v>558</v>
      </c>
      <c r="D54" s="5" t="s">
        <v>559</v>
      </c>
    </row>
    <row r="55" customFormat="false" ht="17.15" hidden="false" customHeight="false" outlineLevel="0" collapsed="false">
      <c r="A55" s="0" t="s">
        <v>560</v>
      </c>
      <c r="B55" s="17" t="n">
        <v>6.85</v>
      </c>
      <c r="C55" s="16" t="n">
        <f aca="false">84.2/8.6</f>
        <v>9.79069767441861</v>
      </c>
      <c r="D55" s="8" t="s">
        <v>561</v>
      </c>
    </row>
    <row r="56" customFormat="false" ht="15" hidden="false" customHeight="false" outlineLevel="0" collapsed="false">
      <c r="A56" s="0" t="s">
        <v>562</v>
      </c>
      <c r="B56" s="17" t="n">
        <v>10.8</v>
      </c>
      <c r="C56" s="16" t="n">
        <f aca="false">95.2/8.01</f>
        <v>11.8851435705368</v>
      </c>
    </row>
    <row r="57" customFormat="false" ht="15" hidden="false" customHeight="false" outlineLevel="0" collapsed="false">
      <c r="A57" s="0" t="s">
        <v>563</v>
      </c>
      <c r="B57" s="17" t="n">
        <v>6.5</v>
      </c>
      <c r="C57" s="16" t="n">
        <f aca="false">70.8/8.03</f>
        <v>8.81693648816937</v>
      </c>
    </row>
    <row r="58" customFormat="false" ht="15" hidden="false" customHeight="false" outlineLevel="0" collapsed="false">
      <c r="A58" s="0" t="s">
        <v>564</v>
      </c>
      <c r="B58" s="17" t="n">
        <v>8.55</v>
      </c>
      <c r="C58" s="16" t="n">
        <f aca="false">90.8/8.32</f>
        <v>10.9134615384615</v>
      </c>
    </row>
    <row r="59" customFormat="false" ht="15" hidden="false" customHeight="false" outlineLevel="0" collapsed="false">
      <c r="A59" s="0" t="s">
        <v>565</v>
      </c>
      <c r="B59" s="17" t="n">
        <v>10.3</v>
      </c>
      <c r="C59" s="16" t="n">
        <f aca="false">92/7.34</f>
        <v>12.5340599455041</v>
      </c>
    </row>
    <row r="60" customFormat="false" ht="15" hidden="false" customHeight="false" outlineLevel="0" collapsed="false">
      <c r="A60" s="0" t="s">
        <v>566</v>
      </c>
      <c r="B60" s="17" t="n">
        <v>8.83</v>
      </c>
      <c r="C60" s="16" t="n">
        <f aca="false">104/10.05</f>
        <v>10.3482587064677</v>
      </c>
    </row>
    <row r="61" customFormat="false" ht="15" hidden="false" customHeight="false" outlineLevel="0" collapsed="false">
      <c r="A61" s="0" t="s">
        <v>567</v>
      </c>
      <c r="B61" s="17" t="n">
        <v>8.78</v>
      </c>
      <c r="C61" s="16" t="n">
        <f aca="false">99.9/10.21</f>
        <v>9.7845249755142</v>
      </c>
    </row>
    <row r="62" customFormat="false" ht="15" hidden="false" customHeight="false" outlineLevel="0" collapsed="false">
      <c r="A62" s="0" t="s">
        <v>568</v>
      </c>
      <c r="B62" s="17" t="n">
        <v>9.59</v>
      </c>
      <c r="C62" s="16" t="n">
        <f aca="false">104.5/10.25</f>
        <v>10.1951219512195</v>
      </c>
    </row>
    <row r="63" customFormat="false" ht="15" hidden="false" customHeight="false" outlineLevel="0" collapsed="false">
      <c r="A63" s="0" t="s">
        <v>569</v>
      </c>
      <c r="B63" s="17" t="n">
        <v>16.2</v>
      </c>
      <c r="C63" s="16" t="n">
        <f aca="false">184/11.01</f>
        <v>16.7120799273388</v>
      </c>
    </row>
    <row r="64" customFormat="false" ht="15" hidden="false" customHeight="false" outlineLevel="0" collapsed="false">
      <c r="A64" s="0" t="s">
        <v>570</v>
      </c>
      <c r="B64" s="17" t="n">
        <v>16.8</v>
      </c>
      <c r="C64" s="16" t="n">
        <f aca="false">230.5/13.61</f>
        <v>16.9360764144012</v>
      </c>
    </row>
    <row r="65" customFormat="false" ht="17.15" hidden="false" customHeight="false" outlineLevel="0" collapsed="false">
      <c r="A65" s="0" t="s">
        <v>571</v>
      </c>
      <c r="B65" s="16" t="n">
        <f aca="false">PERCENTILE(B55:B64,0.25)</f>
        <v>8.6075</v>
      </c>
      <c r="C65" s="16" t="n">
        <f aca="false">PERCENTILE(C55:C64,0.25)</f>
        <v>9.89180374361883</v>
      </c>
    </row>
    <row r="66" customFormat="false" ht="15" hidden="false" customHeight="false" outlineLevel="0" collapsed="false">
      <c r="A66" s="4" t="s">
        <v>572</v>
      </c>
      <c r="B66" s="16" t="n">
        <f aca="false">MEDIAN(B55:B64)</f>
        <v>9.21</v>
      </c>
      <c r="C66" s="16" t="n">
        <f aca="false">MEDIAN(C55:C64)</f>
        <v>10.6308601224646</v>
      </c>
    </row>
    <row r="67" customFormat="false" ht="17.15" hidden="false" customHeight="false" outlineLevel="0" collapsed="false">
      <c r="A67" s="0" t="s">
        <v>573</v>
      </c>
      <c r="B67" s="16" t="n">
        <f aca="false">PERCENTILE(B55:B64,0.75)</f>
        <v>10.675</v>
      </c>
      <c r="C67" s="16" t="n">
        <f aca="false">PERCENTILE(C55:C64,0.75)</f>
        <v>12.3718308517623</v>
      </c>
    </row>
    <row r="68" customFormat="false" ht="15" hidden="false" customHeight="false" outlineLevel="0" collapsed="false">
      <c r="A68" s="4" t="s">
        <v>574</v>
      </c>
      <c r="B68" s="16" t="n">
        <f aca="false">MIN(B55:B64)</f>
        <v>6.5</v>
      </c>
      <c r="C68" s="16" t="n">
        <f aca="false">MIN(C55:C64)</f>
        <v>8.81693648816937</v>
      </c>
    </row>
    <row r="69" customFormat="false" ht="15" hidden="false" customHeight="false" outlineLevel="0" collapsed="false">
      <c r="A69" s="4" t="s">
        <v>575</v>
      </c>
      <c r="B69" s="16" t="n">
        <f aca="false">MAX(B55:B64)</f>
        <v>16.8</v>
      </c>
      <c r="C69" s="16" t="n">
        <f aca="false">MAX(C55:C64)</f>
        <v>16.9360764144012</v>
      </c>
    </row>
    <row r="70" customFormat="false" ht="17.15" hidden="false" customHeight="false" outlineLevel="0" collapsed="false">
      <c r="A70" s="1" t="s">
        <v>576</v>
      </c>
      <c r="B70" s="16" t="n">
        <f aca="false">ROUND(AVERAGE(B65,C65),2)</f>
        <v>9.25</v>
      </c>
    </row>
    <row r="71" customFormat="false" ht="17.15" hidden="false" customHeight="false" outlineLevel="0" collapsed="false">
      <c r="A71" s="1" t="s">
        <v>577</v>
      </c>
      <c r="B71" s="16" t="n">
        <f aca="false">ROUND(AVERAGE(B66,C66),2)</f>
        <v>9.92</v>
      </c>
    </row>
    <row r="72" customFormat="false" ht="17.15" hidden="false" customHeight="false" outlineLevel="0" collapsed="false">
      <c r="A72" s="1" t="s">
        <v>578</v>
      </c>
      <c r="B72" s="16" t="n">
        <f aca="false">ROUND(AVERAGE(B67,C67),2)</f>
        <v>11.52</v>
      </c>
    </row>
    <row r="73" customFormat="false" ht="17.15" hidden="false" customHeight="false" outlineLevel="0" collapsed="false">
      <c r="A73" s="1" t="s">
        <v>579</v>
      </c>
      <c r="B73" s="16" t="n">
        <f aca="false">ROUND(MIN(B68,C68),2)</f>
        <v>6.5</v>
      </c>
    </row>
    <row r="74" customFormat="false" ht="17.15" hidden="false" customHeight="false" outlineLevel="0" collapsed="false">
      <c r="A74" s="1" t="s">
        <v>580</v>
      </c>
      <c r="B74" s="16" t="n">
        <f aca="false">ROUND(MAX(B69,C69),2)</f>
        <v>16.94</v>
      </c>
    </row>
    <row r="76" customFormat="false" ht="17.15" hidden="false" customHeight="false" outlineLevel="0" collapsed="false">
      <c r="A76" s="6" t="s">
        <v>581</v>
      </c>
    </row>
    <row r="77" customFormat="false" ht="17.15" hidden="false" customHeight="false" outlineLevel="0" collapsed="false">
      <c r="A77" s="5" t="s">
        <v>582</v>
      </c>
      <c r="B77" s="5" t="s">
        <v>583</v>
      </c>
      <c r="C77" s="5" t="s">
        <v>584</v>
      </c>
      <c r="D77" s="5" t="s">
        <v>24</v>
      </c>
      <c r="E77" s="5" t="s">
        <v>585</v>
      </c>
      <c r="F77" s="5" t="s">
        <v>528</v>
      </c>
      <c r="G77" s="5" t="s">
        <v>586</v>
      </c>
      <c r="H77" s="5" t="s">
        <v>587</v>
      </c>
    </row>
    <row r="78" customFormat="false" ht="17.15" hidden="false" customHeight="false" outlineLevel="0" collapsed="false">
      <c r="A78" s="4" t="s">
        <v>588</v>
      </c>
      <c r="B78" s="0" t="s">
        <v>589</v>
      </c>
      <c r="C78" s="16" t="n">
        <f aca="false">B70</f>
        <v>9.25</v>
      </c>
      <c r="D78" s="8" t="s">
        <v>590</v>
      </c>
      <c r="E78" s="22" t="n">
        <f aca="false">C23</f>
        <v>26.7146909850819</v>
      </c>
      <c r="F78" s="19" t="n">
        <f aca="false">C78*E78</f>
        <v>247.110891612008</v>
      </c>
      <c r="G78" s="15" t="n">
        <f aca="false">F78/px-1</f>
        <v>0.00861588413064407</v>
      </c>
      <c r="H78" s="16" t="n">
        <f aca="false">px/E78</f>
        <v>9.17098386564956</v>
      </c>
    </row>
    <row r="79" customFormat="false" ht="17.15" hidden="false" customHeight="false" outlineLevel="0" collapsed="false">
      <c r="A79" s="4" t="s">
        <v>591</v>
      </c>
      <c r="B79" s="4" t="s">
        <v>592</v>
      </c>
      <c r="C79" s="16" t="n">
        <f aca="false">B71</f>
        <v>9.92</v>
      </c>
      <c r="D79" s="8" t="s">
        <v>590</v>
      </c>
      <c r="E79" s="22" t="n">
        <f aca="false">C23</f>
        <v>26.7146909850819</v>
      </c>
      <c r="F79" s="19" t="n">
        <f aca="false">C79*E79</f>
        <v>265.009734572013</v>
      </c>
      <c r="G79" s="15" t="n">
        <f aca="false">F79/px-1</f>
        <v>0.0816723860082151</v>
      </c>
      <c r="H79" s="16" t="n">
        <f aca="false">px/E79</f>
        <v>9.17098386564956</v>
      </c>
    </row>
    <row r="80" customFormat="false" ht="17.15" hidden="false" customHeight="false" outlineLevel="0" collapsed="false">
      <c r="A80" s="4" t="s">
        <v>593</v>
      </c>
      <c r="B80" s="0" t="s">
        <v>594</v>
      </c>
      <c r="C80" s="16" t="n">
        <f aca="false">B72</f>
        <v>11.52</v>
      </c>
      <c r="D80" s="8" t="s">
        <v>590</v>
      </c>
      <c r="E80" s="22" t="n">
        <f aca="false">C23</f>
        <v>26.7146909850819</v>
      </c>
      <c r="F80" s="19" t="n">
        <f aca="false">C80*E80</f>
        <v>307.753240148144</v>
      </c>
      <c r="G80" s="15" t="n">
        <f aca="false">F80/px-1</f>
        <v>0.256135674074056</v>
      </c>
      <c r="H80" s="16" t="n">
        <f aca="false">px/E80</f>
        <v>9.17098386564956</v>
      </c>
    </row>
    <row r="85" customFormat="false" ht="17.15" hidden="false" customHeight="false" outlineLevel="0" collapsed="false">
      <c r="A85" s="6" t="s">
        <v>595</v>
      </c>
    </row>
    <row r="86" customFormat="false" ht="17.15" hidden="false" customHeight="false" outlineLevel="0" collapsed="false">
      <c r="A86" s="6" t="s">
        <v>596</v>
      </c>
    </row>
    <row r="87" customFormat="false" ht="17.15" hidden="false" customHeight="false" outlineLevel="0" collapsed="false">
      <c r="A87" s="5" t="s">
        <v>21</v>
      </c>
      <c r="B87" s="11" t="s">
        <v>597</v>
      </c>
      <c r="C87" s="11" t="s">
        <v>598</v>
      </c>
      <c r="D87" s="11" t="s">
        <v>599</v>
      </c>
      <c r="E87" s="5" t="s">
        <v>400</v>
      </c>
    </row>
    <row r="88" customFormat="false" ht="17.15" hidden="false" customHeight="false" outlineLevel="0" collapsed="false">
      <c r="A88" s="4" t="s">
        <v>600</v>
      </c>
      <c r="E88" s="0" t="s">
        <v>601</v>
      </c>
    </row>
    <row r="89" customFormat="false" ht="15" hidden="false" customHeight="false" outlineLevel="0" collapsed="false">
      <c r="A89" s="0" t="s">
        <v>602</v>
      </c>
      <c r="B89" s="16" t="n">
        <f aca="false">PL!E200</f>
        <v>26.7146909850819</v>
      </c>
      <c r="C89" s="16" t="n">
        <f aca="false">PL!E212</f>
        <v>26.7146909850819</v>
      </c>
      <c r="D89" s="16" t="n">
        <f aca="false">PL!E224</f>
        <v>26.7146909850819</v>
      </c>
    </row>
    <row r="90" customFormat="false" ht="15" hidden="false" customHeight="false" outlineLevel="0" collapsed="false">
      <c r="A90" s="0" t="s">
        <v>603</v>
      </c>
      <c r="B90" s="16" t="n">
        <f aca="false">PL!F200</f>
        <v>31.4174043590585</v>
      </c>
      <c r="C90" s="16" t="n">
        <f aca="false">PL!F212</f>
        <v>27.705697658271</v>
      </c>
      <c r="D90" s="16" t="n">
        <f aca="false">PL!F224</f>
        <v>23.5957303984814</v>
      </c>
    </row>
    <row r="91" customFormat="false" ht="15" hidden="false" customHeight="false" outlineLevel="0" collapsed="false">
      <c r="A91" s="0" t="s">
        <v>604</v>
      </c>
      <c r="B91" s="16" t="n">
        <f aca="false">PL!G200</f>
        <v>33.6604474903366</v>
      </c>
      <c r="C91" s="16" t="n">
        <f aca="false">PL!G212</f>
        <v>30.6113377071593</v>
      </c>
      <c r="D91" s="16" t="n">
        <f aca="false">PL!G224</f>
        <v>25.2009828669521</v>
      </c>
    </row>
    <row r="92" customFormat="false" ht="15" hidden="false" customHeight="false" outlineLevel="0" collapsed="false">
      <c r="A92" s="0" t="s">
        <v>605</v>
      </c>
      <c r="B92" s="16" t="n">
        <f aca="false">PL!H200</f>
        <v>34.8921060489597</v>
      </c>
      <c r="C92" s="16" t="n">
        <f aca="false">PL!H212</f>
        <v>30.9748410835937</v>
      </c>
      <c r="D92" s="16" t="n">
        <f aca="false">PL!H224</f>
        <v>24.1022181336744</v>
      </c>
    </row>
    <row r="93" customFormat="false" ht="15" hidden="false" customHeight="false" outlineLevel="0" collapsed="false">
      <c r="A93" s="0" t="s">
        <v>606</v>
      </c>
      <c r="B93" s="16" t="n">
        <f aca="false">PL!I200</f>
        <v>36.5772321199284</v>
      </c>
      <c r="C93" s="16" t="n">
        <f aca="false">PL!I212</f>
        <v>31.2042027517514</v>
      </c>
      <c r="D93" s="16" t="n">
        <f aca="false">PL!I224</f>
        <v>22.8809971968397</v>
      </c>
    </row>
    <row r="94" customFormat="false" ht="15" hidden="false" customHeight="false" outlineLevel="0" collapsed="false">
      <c r="A94" s="0" t="s">
        <v>607</v>
      </c>
      <c r="B94" s="16" t="n">
        <f aca="false">PL!J200</f>
        <v>38.7718660471241</v>
      </c>
      <c r="C94" s="16" t="n">
        <f aca="false">PL!J212</f>
        <v>31.2933576167564</v>
      </c>
      <c r="D94" s="16" t="n">
        <f aca="false">PL!J224</f>
        <v>21.5433388991783</v>
      </c>
    </row>
    <row r="95" customFormat="false" ht="17.15" hidden="false" customHeight="false" outlineLevel="0" collapsed="false">
      <c r="A95" s="4" t="s">
        <v>608</v>
      </c>
    </row>
    <row r="96" customFormat="false" ht="17.15" hidden="false" customHeight="false" outlineLevel="0" collapsed="false">
      <c r="A96" s="4" t="s">
        <v>609</v>
      </c>
      <c r="B96" s="15" t="n">
        <f aca="false">MIN(tp_g/tp_roe,0.8)</f>
        <v>0.396825396825397</v>
      </c>
      <c r="E96" s="8" t="s">
        <v>610</v>
      </c>
    </row>
    <row r="97" customFormat="false" ht="15" hidden="false" customHeight="false" outlineLevel="0" collapsed="false">
      <c r="A97" s="0" t="s">
        <v>602</v>
      </c>
      <c r="B97" s="16" t="n">
        <f aca="false">B89*(1-$B$96)</f>
        <v>16.1136231338589</v>
      </c>
      <c r="C97" s="16" t="n">
        <f aca="false">C89*(1-$B$96)</f>
        <v>16.1136231338589</v>
      </c>
      <c r="D97" s="16" t="n">
        <f aca="false">D89*(1-$B$96)</f>
        <v>16.1136231338589</v>
      </c>
    </row>
    <row r="98" customFormat="false" ht="15" hidden="false" customHeight="false" outlineLevel="0" collapsed="false">
      <c r="A98" s="0" t="s">
        <v>603</v>
      </c>
      <c r="B98" s="16" t="n">
        <f aca="false">B90*(1-$B$96)</f>
        <v>18.9501804070512</v>
      </c>
      <c r="C98" s="16" t="n">
        <f aca="false">C90*(1-$B$96)</f>
        <v>16.7113731907032</v>
      </c>
      <c r="D98" s="16" t="n">
        <f aca="false">D90*(1-$B$96)</f>
        <v>14.232345319719</v>
      </c>
    </row>
    <row r="99" customFormat="false" ht="15" hidden="false" customHeight="false" outlineLevel="0" collapsed="false">
      <c r="A99" s="0" t="s">
        <v>604</v>
      </c>
      <c r="B99" s="16" t="n">
        <f aca="false">B91*(1-$B$96)</f>
        <v>20.3031270576633</v>
      </c>
      <c r="C99" s="16" t="n">
        <f aca="false">C91*(1-$B$96)</f>
        <v>18.4639814741596</v>
      </c>
      <c r="D99" s="16" t="n">
        <f aca="false">D91*(1-$B$96)</f>
        <v>15.2005928403838</v>
      </c>
    </row>
    <row r="100" customFormat="false" ht="15" hidden="false" customHeight="false" outlineLevel="0" collapsed="false">
      <c r="A100" s="0" t="s">
        <v>605</v>
      </c>
      <c r="B100" s="16" t="n">
        <f aca="false">B92*(1-$B$96)</f>
        <v>21.0460322200074</v>
      </c>
      <c r="C100" s="16" t="n">
        <f aca="false">C92*(1-$B$96)</f>
        <v>18.683237478993</v>
      </c>
      <c r="D100" s="16" t="n">
        <f aca="false">D92*(1-$B$96)</f>
        <v>14.5378458584068</v>
      </c>
    </row>
    <row r="101" customFormat="false" ht="15" hidden="false" customHeight="false" outlineLevel="0" collapsed="false">
      <c r="A101" s="0" t="s">
        <v>606</v>
      </c>
      <c r="B101" s="16" t="n">
        <f aca="false">B93*(1-$B$96)</f>
        <v>22.0624574691632</v>
      </c>
      <c r="C101" s="16" t="n">
        <f aca="false">C93*(1-$B$96)</f>
        <v>18.8215826121675</v>
      </c>
      <c r="D101" s="16" t="n">
        <f aca="false">D93*(1-$B$96)</f>
        <v>13.801236404443</v>
      </c>
    </row>
    <row r="102" customFormat="false" ht="15" hidden="false" customHeight="false" outlineLevel="0" collapsed="false">
      <c r="A102" s="0" t="s">
        <v>607</v>
      </c>
      <c r="B102" s="16" t="n">
        <f aca="false">B94*(1-$B$96)</f>
        <v>23.386204917313</v>
      </c>
      <c r="C102" s="16" t="n">
        <f aca="false">C94*(1-$B$96)</f>
        <v>18.875358562488</v>
      </c>
      <c r="D102" s="16" t="n">
        <f aca="false">D94*(1-$B$96)</f>
        <v>12.9943948915679</v>
      </c>
    </row>
    <row r="103" customFormat="false" ht="17.15" hidden="false" customHeight="false" outlineLevel="0" collapsed="false">
      <c r="A103" s="0" t="s">
        <v>611</v>
      </c>
      <c r="B103" s="28" t="n">
        <f aca="false">SUMPRODUCT(B97:B102,1/(1+tp_r)^{1;2;3;4;5;6})+B102*(1+tp_g)/(tp_r-tp_g)/(1+tp_r)^6</f>
        <v>315.654422734555</v>
      </c>
      <c r="C103" s="28" t="n">
        <f aca="false">SUMPRODUCT(C97:C102,1/(1+tp_r)^{1;2;3;4;5;6})+C102*(1+tp_g)/(tp_r-tp_g)/(1+tp_r)^6</f>
        <v>262.114897855152</v>
      </c>
      <c r="D103" s="28" t="n">
        <f aca="false">SUMPRODUCT(D97:D102,1/(1+tp_r)^{1;2;3;4;5;6})+D102*(1+tp_g)/(tp_r-tp_g)/(1+tp_r)^6</f>
        <v>190.805421654744</v>
      </c>
      <c r="E103" s="8" t="s">
        <v>612</v>
      </c>
    </row>
    <row r="104" customFormat="false" ht="17.15" hidden="false" customHeight="false" outlineLevel="0" collapsed="false">
      <c r="A104" s="0" t="s">
        <v>613</v>
      </c>
      <c r="B104" s="28" t="n">
        <f aca="false">B103*(1+tp_r)</f>
        <v>347.21986500801</v>
      </c>
      <c r="C104" s="28" t="n">
        <f aca="false">C103*(1+tp_r)</f>
        <v>288.326387640668</v>
      </c>
      <c r="D104" s="28" t="n">
        <f aca="false">D103*(1+tp_r)</f>
        <v>209.885963820218</v>
      </c>
    </row>
    <row r="105" customFormat="false" ht="17.15" hidden="false" customHeight="false" outlineLevel="0" collapsed="false">
      <c r="A105" s="0" t="s">
        <v>614</v>
      </c>
      <c r="B105" s="31" t="n">
        <f aca="false">tp_wA*B104+tp_wB*C104+tp_wC*D104</f>
        <v>290.306346086781</v>
      </c>
      <c r="E105" s="8" t="s">
        <v>615</v>
      </c>
    </row>
    <row r="107" customFormat="false" ht="17.15" hidden="false" customHeight="false" outlineLevel="0" collapsed="false">
      <c r="A107" s="6" t="s">
        <v>616</v>
      </c>
    </row>
    <row r="108" customFormat="false" ht="17.15" hidden="false" customHeight="false" outlineLevel="0" collapsed="false">
      <c r="A108" s="5" t="s">
        <v>617</v>
      </c>
      <c r="B108" s="5" t="s">
        <v>618</v>
      </c>
      <c r="C108" s="5" t="s">
        <v>619</v>
      </c>
      <c r="D108" s="5" t="s">
        <v>620</v>
      </c>
      <c r="E108" s="5" t="s">
        <v>621</v>
      </c>
      <c r="F108" s="5" t="s">
        <v>26</v>
      </c>
    </row>
    <row r="109" customFormat="false" ht="17.15" hidden="false" customHeight="false" outlineLevel="0" collapsed="false">
      <c r="A109" s="4" t="s">
        <v>622</v>
      </c>
      <c r="B109" s="0" t="s">
        <v>623</v>
      </c>
      <c r="C109" s="37" t="n">
        <v>11.31</v>
      </c>
      <c r="D109" s="8" t="s">
        <v>624</v>
      </c>
      <c r="E109" s="8" t="s">
        <v>625</v>
      </c>
      <c r="F109" s="8" t="s">
        <v>626</v>
      </c>
    </row>
    <row r="110" customFormat="false" ht="17.15" hidden="false" customHeight="false" outlineLevel="0" collapsed="false">
      <c r="A110" s="4" t="s">
        <v>627</v>
      </c>
      <c r="B110" s="0" t="s">
        <v>628</v>
      </c>
      <c r="C110" s="37" t="n">
        <v>9.93</v>
      </c>
      <c r="D110" s="8" t="s">
        <v>629</v>
      </c>
      <c r="E110" s="8" t="s">
        <v>625</v>
      </c>
      <c r="F110" s="8" t="s">
        <v>626</v>
      </c>
    </row>
    <row r="111" customFormat="false" ht="17.15" hidden="false" customHeight="false" outlineLevel="0" collapsed="false">
      <c r="A111" s="4" t="s">
        <v>630</v>
      </c>
      <c r="B111" s="0" t="s">
        <v>631</v>
      </c>
      <c r="C111" s="37" t="n">
        <v>14.88</v>
      </c>
      <c r="D111" s="8" t="s">
        <v>632</v>
      </c>
      <c r="E111" s="8" t="s">
        <v>625</v>
      </c>
      <c r="F111" s="8" t="s">
        <v>626</v>
      </c>
    </row>
    <row r="112" customFormat="false" ht="17.15" hidden="false" customHeight="false" outlineLevel="0" collapsed="false">
      <c r="A112" s="0" t="s">
        <v>633</v>
      </c>
      <c r="B112" s="0" t="s">
        <v>634</v>
      </c>
      <c r="C112" s="37" t="n">
        <v>15.49</v>
      </c>
      <c r="D112" s="8" t="s">
        <v>635</v>
      </c>
      <c r="E112" s="8" t="s">
        <v>625</v>
      </c>
      <c r="F112" s="8" t="s">
        <v>626</v>
      </c>
    </row>
    <row r="113" customFormat="false" ht="17.15" hidden="false" customHeight="false" outlineLevel="0" collapsed="false">
      <c r="A113" s="0" t="s">
        <v>636</v>
      </c>
      <c r="B113" s="0" t="s">
        <v>637</v>
      </c>
      <c r="C113" s="37" t="n">
        <v>14.74</v>
      </c>
      <c r="D113" s="8" t="s">
        <v>635</v>
      </c>
      <c r="E113" s="8" t="s">
        <v>625</v>
      </c>
      <c r="F113" s="8" t="s">
        <v>626</v>
      </c>
    </row>
    <row r="114" customFormat="false" ht="17.15" hidden="false" customHeight="false" outlineLevel="0" collapsed="false">
      <c r="A114" s="4" t="s">
        <v>638</v>
      </c>
      <c r="B114" s="18" t="n">
        <f aca="false">MEDIAN(C109:C113)</f>
        <v>14.74</v>
      </c>
      <c r="E114" s="4" t="s">
        <v>639</v>
      </c>
    </row>
    <row r="115" customFormat="false" ht="17.15" hidden="false" customHeight="false" outlineLevel="0" collapsed="false">
      <c r="A115" s="0" t="s">
        <v>640</v>
      </c>
      <c r="B115" s="16" t="n">
        <f aca="false">tp_wA*(0.166666666666667*B89+0.833333333333333*B90)+tp_wB*(0.166666666666667*C89+0.833333333333333*C90)+tp_wC*(0.166666666666667*D89+0.833333333333333*D90)</f>
        <v>27.7834620113048</v>
      </c>
      <c r="E115" s="4" t="s">
        <v>641</v>
      </c>
    </row>
    <row r="116" customFormat="false" ht="17.15" hidden="false" customHeight="false" outlineLevel="0" collapsed="false">
      <c r="A116" s="0" t="s">
        <v>642</v>
      </c>
      <c r="B116" s="31" t="n">
        <f aca="false">B114*B115</f>
        <v>409.528230046632</v>
      </c>
      <c r="E116" s="4" t="s">
        <v>643</v>
      </c>
    </row>
    <row r="118" customFormat="false" ht="17.15" hidden="false" customHeight="false" outlineLevel="0" collapsed="false">
      <c r="A118" s="6" t="s">
        <v>644</v>
      </c>
    </row>
    <row r="119" customFormat="false" ht="15" hidden="false" customHeight="false" outlineLevel="0" collapsed="false">
      <c r="A119" s="5" t="s">
        <v>21</v>
      </c>
      <c r="B119" s="5" t="s">
        <v>645</v>
      </c>
      <c r="C119" s="5"/>
      <c r="D119" s="5"/>
      <c r="E119" s="5" t="s">
        <v>400</v>
      </c>
    </row>
    <row r="120" customFormat="false" ht="17.15" hidden="false" customHeight="false" outlineLevel="0" collapsed="false">
      <c r="A120" s="1" t="s">
        <v>646</v>
      </c>
      <c r="B120" s="31" t="n">
        <f aca="false">tp_w_dcf*B105+(1-tp_w_dcf)*B116</f>
        <v>349.917288066707</v>
      </c>
      <c r="E120" s="8" t="s">
        <v>647</v>
      </c>
    </row>
    <row r="121" customFormat="false" ht="17.15" hidden="false" customHeight="false" outlineLevel="0" collapsed="false">
      <c r="A121" s="0" t="s">
        <v>648</v>
      </c>
      <c r="B121" s="28" t="n">
        <f aca="false">B116</f>
        <v>409.528230046632</v>
      </c>
      <c r="E121" s="4" t="s">
        <v>649</v>
      </c>
    </row>
    <row r="122" customFormat="false" ht="17.15" hidden="false" customHeight="false" outlineLevel="0" collapsed="false">
      <c r="A122" s="4" t="s">
        <v>650</v>
      </c>
      <c r="B122" s="28" t="n">
        <f aca="false">cons_tp</f>
        <v>347.45</v>
      </c>
      <c r="E122" s="8" t="s">
        <v>339</v>
      </c>
    </row>
    <row r="123" customFormat="false" ht="17.15" hidden="false" customHeight="false" outlineLevel="0" collapsed="false">
      <c r="A123" s="4" t="s">
        <v>651</v>
      </c>
      <c r="B123" s="15" t="n">
        <f aca="false">B120/px-1</f>
        <v>0.4282338288437</v>
      </c>
      <c r="E123" s="4" t="s">
        <v>652</v>
      </c>
    </row>
    <row r="124" customFormat="false" ht="17.15" hidden="false" customHeight="false" outlineLevel="0" collapsed="false">
      <c r="A124" s="4" t="s">
        <v>653</v>
      </c>
      <c r="B124" s="15" t="n">
        <f aca="false">B121/px-1</f>
        <v>0.671543796108704</v>
      </c>
    </row>
    <row r="125" customFormat="false" ht="17.15" hidden="false" customHeight="false" outlineLevel="0" collapsed="false">
      <c r="A125" s="4" t="s">
        <v>654</v>
      </c>
      <c r="B125" s="15" t="n">
        <f aca="false">B115/cons_feps-1</f>
        <v>0.318989407384281</v>
      </c>
      <c r="E125" s="4" t="s">
        <v>655</v>
      </c>
    </row>
    <row r="126" customFormat="false" ht="17.15" hidden="false" customHeight="false" outlineLevel="0" collapsed="false">
      <c r="A126" s="4" t="s">
        <v>656</v>
      </c>
      <c r="B126" s="15" t="n">
        <f aca="false">(cons_tp/cons_feps)/B114-1</f>
        <v>0.119050741736374</v>
      </c>
      <c r="E126" s="0" t="str">
        <f aca="false">"共識目標價 ÷ 共識前瞻 EPS 隱含 "&amp;TEXT(cons_tp/cons_feps,"0.0")&amp;"x，同業中位數 "&amp;TEXT(B114,"0.0")&amp;"x"</f>
        <v>共識目標價 ÷ 共識前瞻 EPS 隱含 16.5x，同業中位數 14.7x</v>
      </c>
    </row>
    <row r="127" customFormat="false" ht="17.15" hidden="false" customHeight="false" outlineLevel="0" collapsed="false">
      <c r="A127" s="4" t="s">
        <v>657</v>
      </c>
      <c r="B127" s="38" t="str">
        <f aca="false">TEXT(D104,"#,##0")&amp;"～"&amp;TEXT(B104,"#,##0")</f>
        <v>210～347</v>
      </c>
      <c r="E127" s="8" t="s">
        <v>658</v>
      </c>
    </row>
    <row r="128" customFormat="false" ht="17.15" hidden="false" customHeight="false" outlineLevel="0" collapsed="false">
      <c r="A128" s="4" t="s">
        <v>659</v>
      </c>
      <c r="B128" s="36" t="n">
        <f aca="false">IF(px/B90&lt;=MIN($B$132:$K$132),0,IF(px/B90&gt;=MAX($B$132:$K$132),1,PERCENTRANK($B$132:$K$132,px/B90)))</f>
        <v>0.0235</v>
      </c>
      <c r="C128" s="36" t="n">
        <f aca="false">IF(px/C90&lt;=MIN($B$132:$K$132),0,IF(px/C90&gt;=MAX($B$132:$K$132),1,PERCENTRANK($B$132:$K$132,px/C90)))</f>
        <v>0.171</v>
      </c>
      <c r="D128" s="36" t="n">
        <f aca="false">IF(px/D90&lt;=MIN($B$132:$K$132),0,IF(px/D90&gt;=MAX($B$132:$K$132),1,PERCENTRANK($B$132:$K$132,px/D90)))</f>
        <v>0.593</v>
      </c>
      <c r="E128" s="4" t="s">
        <v>660</v>
      </c>
    </row>
    <row r="129" customFormat="false" ht="17.15" hidden="false" customHeight="false" outlineLevel="0" collapsed="false">
      <c r="A129" s="4" t="s">
        <v>661</v>
      </c>
      <c r="B129" s="0" t="s">
        <v>662</v>
      </c>
    </row>
    <row r="131" customFormat="false" ht="17.15" hidden="false" customHeight="false" outlineLevel="0" collapsed="false">
      <c r="A131" s="1" t="s">
        <v>663</v>
      </c>
      <c r="B131" s="8" t="s">
        <v>560</v>
      </c>
      <c r="C131" s="8" t="s">
        <v>562</v>
      </c>
      <c r="D131" s="8" t="s">
        <v>563</v>
      </c>
      <c r="E131" s="8" t="s">
        <v>564</v>
      </c>
      <c r="F131" s="8" t="s">
        <v>565</v>
      </c>
      <c r="G131" s="8" t="s">
        <v>566</v>
      </c>
      <c r="H131" s="8" t="s">
        <v>567</v>
      </c>
      <c r="I131" s="8" t="s">
        <v>568</v>
      </c>
      <c r="J131" s="8" t="s">
        <v>569</v>
      </c>
      <c r="K131" s="8" t="s">
        <v>570</v>
      </c>
    </row>
    <row r="132" customFormat="false" ht="17.15" hidden="false" customHeight="false" outlineLevel="0" collapsed="false">
      <c r="A132" s="4" t="s">
        <v>664</v>
      </c>
      <c r="B132" s="37" t="n">
        <f aca="false">(6.85+84.2/8.6)/2</f>
        <v>8.3203488372093</v>
      </c>
      <c r="C132" s="37" t="n">
        <f aca="false">(10.8+95.2/8.01)/2</f>
        <v>11.3425717852684</v>
      </c>
      <c r="D132" s="37" t="n">
        <f aca="false">(6.5+70.8/8.03)/2</f>
        <v>7.65846824408468</v>
      </c>
      <c r="E132" s="37" t="n">
        <f aca="false">(8.55+90.8/8.32)/2</f>
        <v>9.73173076923077</v>
      </c>
      <c r="F132" s="37" t="n">
        <f aca="false">(10.3+92/7.34)/2</f>
        <v>11.417029972752</v>
      </c>
      <c r="G132" s="37" t="n">
        <f aca="false">(8.83+104/10.05)/2</f>
        <v>9.58912935323383</v>
      </c>
      <c r="H132" s="37" t="n">
        <f aca="false">(8.78+99.9/10.21)/2</f>
        <v>9.2822624877571</v>
      </c>
      <c r="I132" s="37" t="n">
        <f aca="false">(9.59+104.5/10.25)/2</f>
        <v>9.89256097560976</v>
      </c>
      <c r="J132" s="37" t="n">
        <f aca="false">(16.2+184/11.01)/2</f>
        <v>16.4560399636694</v>
      </c>
      <c r="K132" s="37" t="n">
        <f aca="false">(16.8+230.5/13.61)/2</f>
        <v>16.8680382072006</v>
      </c>
    </row>
    <row r="134" customFormat="false" ht="17.15" hidden="false" customHeight="false" outlineLevel="0" collapsed="false">
      <c r="A134" s="6" t="s">
        <v>665</v>
      </c>
    </row>
    <row r="135" customFormat="false" ht="17.15" hidden="false" customHeight="false" outlineLevel="0" collapsed="false">
      <c r="A135" s="4" t="s">
        <v>666</v>
      </c>
      <c r="B135" s="0" t="str">
        <f aca="false">IF(B123&gt;0.5,"大於 50%",IF(B123&gt;0.25,"25%–50%",IF(B123&gt;=0,"0%–25%",IF(B123&gt;=-0.25,"0%～−25%",IF(B123&gt;=-0.5,"−25%～−50%","小於 −50%")))))</f>
        <v>25%–50%</v>
      </c>
      <c r="E135" s="4" t="s">
        <v>667</v>
      </c>
    </row>
    <row r="136" customFormat="false" ht="17.15" hidden="false" customHeight="false" outlineLevel="0" collapsed="false">
      <c r="A136" s="4" t="s">
        <v>668</v>
      </c>
      <c r="B136" s="0" t="str">
        <f aca="false">IF(B123&gt;0.5,"強力買進",IF(B123&gt;0.25,"買進",IF(B123&gt;=-0.25,"中立",IF(B123&gt;=-0.5,"放空","強力放空"))))</f>
        <v>買進</v>
      </c>
      <c r="E136" s="4" t="s">
        <v>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670</v>
      </c>
    </row>
    <row r="3" customFormat="false" ht="17.15" hidden="false" customHeight="false" outlineLevel="0" collapsed="false">
      <c r="A3" s="5" t="s">
        <v>21</v>
      </c>
      <c r="B3" s="5" t="s">
        <v>671</v>
      </c>
      <c r="C3" s="5" t="s">
        <v>672</v>
      </c>
      <c r="D3" s="5" t="s">
        <v>673</v>
      </c>
      <c r="E3" s="5" t="s">
        <v>674</v>
      </c>
      <c r="F3" s="5" t="s">
        <v>675</v>
      </c>
      <c r="G3" s="5" t="s">
        <v>676</v>
      </c>
      <c r="H3" s="5" t="s">
        <v>677</v>
      </c>
      <c r="I3" s="5" t="s">
        <v>678</v>
      </c>
      <c r="J3" s="5" t="s">
        <v>400</v>
      </c>
    </row>
    <row r="4" customFormat="false" ht="17.15" hidden="false" customHeight="false" outlineLevel="0" collapsed="false">
      <c r="A4" s="6" t="s">
        <v>679</v>
      </c>
    </row>
    <row r="5" customFormat="false" ht="17.15" hidden="false" customHeight="false" outlineLevel="0" collapsed="false">
      <c r="A5" s="0" t="s">
        <v>680</v>
      </c>
      <c r="B5" s="19" t="n">
        <f aca="false">b_rev26</f>
        <v>11010.682</v>
      </c>
      <c r="C5" s="19" t="n">
        <f aca="false">PL!D81</f>
        <v>11150.735</v>
      </c>
      <c r="D5" s="15" t="n">
        <f aca="false">C5/B5-1</f>
        <v>0.0127197388862923</v>
      </c>
      <c r="E5" s="19" t="n">
        <f aca="false">PL!D125</f>
        <v>11150.735</v>
      </c>
      <c r="F5" s="15" t="n">
        <f aca="false">E5/B5-1</f>
        <v>0.0127197388862923</v>
      </c>
      <c r="G5" s="19" t="n">
        <f aca="false">PL!D169</f>
        <v>11150.735</v>
      </c>
      <c r="H5" s="15" t="n">
        <f aca="false">G5/B5-1</f>
        <v>0.0127197388862923</v>
      </c>
      <c r="I5" s="4" t="s">
        <v>681</v>
      </c>
      <c r="J5" s="8" t="s">
        <v>682</v>
      </c>
    </row>
    <row r="6" customFormat="false" ht="17.15" hidden="false" customHeight="false" outlineLevel="0" collapsed="false">
      <c r="A6" s="0" t="s">
        <v>683</v>
      </c>
      <c r="B6" s="22" t="n">
        <f aca="false">b_eps26</f>
        <v>18.67</v>
      </c>
      <c r="C6" s="22" t="n">
        <f aca="false">PL!D100</f>
        <v>19.6374251756163</v>
      </c>
      <c r="D6" s="15" t="n">
        <f aca="false">C6/B6-1</f>
        <v>0.0518170956409363</v>
      </c>
      <c r="E6" s="22" t="n">
        <f aca="false">PL!D144</f>
        <v>19.6374251756163</v>
      </c>
      <c r="F6" s="15" t="n">
        <f aca="false">E6/B6-1</f>
        <v>0.0518170956409363</v>
      </c>
      <c r="G6" s="22" t="n">
        <f aca="false">PL!D188</f>
        <v>19.6374251756163</v>
      </c>
      <c r="H6" s="15" t="n">
        <f aca="false">G6/B6-1</f>
        <v>0.0518170956409363</v>
      </c>
      <c r="I6" s="4" t="s">
        <v>681</v>
      </c>
      <c r="J6" s="4" t="s">
        <v>684</v>
      </c>
    </row>
    <row r="7" customFormat="false" ht="17.15" hidden="false" customHeight="false" outlineLevel="0" collapsed="false">
      <c r="A7" s="0" t="s">
        <v>685</v>
      </c>
      <c r="B7" s="19" t="n">
        <f aca="false">b_rev27</f>
        <v>14019.401</v>
      </c>
      <c r="C7" s="19" t="n">
        <f aca="false">PL!E81</f>
        <v>13734.8481819054</v>
      </c>
      <c r="D7" s="15" t="n">
        <f aca="false">C7/B7-1</f>
        <v>-0.0202970738974242</v>
      </c>
      <c r="E7" s="19" t="n">
        <f aca="false">PL!E125</f>
        <v>13734.8481819054</v>
      </c>
      <c r="F7" s="15" t="n">
        <f aca="false">E7/B7-1</f>
        <v>-0.0202970738974242</v>
      </c>
      <c r="G7" s="19" t="n">
        <f aca="false">PL!E169</f>
        <v>13734.8481819054</v>
      </c>
      <c r="H7" s="15" t="n">
        <f aca="false">G7/B7-1</f>
        <v>-0.0202970738974242</v>
      </c>
      <c r="I7" s="4" t="s">
        <v>681</v>
      </c>
      <c r="J7" s="4" t="s">
        <v>686</v>
      </c>
    </row>
    <row r="8" customFormat="false" ht="17.15" hidden="false" customHeight="false" outlineLevel="0" collapsed="false">
      <c r="A8" s="0" t="s">
        <v>687</v>
      </c>
      <c r="B8" s="22" t="n">
        <f aca="false">b_eps27a</f>
        <v>22.64</v>
      </c>
      <c r="C8" s="22" t="n">
        <f aca="false">PL!E100</f>
        <v>26.7146909850819</v>
      </c>
      <c r="D8" s="15" t="n">
        <f aca="false">C8/B8-1</f>
        <v>0.179977517008919</v>
      </c>
      <c r="E8" s="22" t="n">
        <f aca="false">PL!E144</f>
        <v>26.7146909850819</v>
      </c>
      <c r="F8" s="15" t="n">
        <f aca="false">E8/B8-1</f>
        <v>0.179977517008919</v>
      </c>
      <c r="G8" s="22" t="n">
        <f aca="false">PL!E188</f>
        <v>26.7146909850819</v>
      </c>
      <c r="H8" s="15" t="n">
        <f aca="false">G8/B8-1</f>
        <v>0.179977517008919</v>
      </c>
      <c r="I8" s="4" t="s">
        <v>681</v>
      </c>
    </row>
    <row r="9" customFormat="false" ht="17.15" hidden="false" customHeight="false" outlineLevel="0" collapsed="false">
      <c r="A9" s="0" t="s">
        <v>688</v>
      </c>
      <c r="B9" s="22" t="n">
        <f aca="false">b_eps27b</f>
        <v>22</v>
      </c>
      <c r="C9" s="22" t="n">
        <f aca="false">PL!E100</f>
        <v>26.7146909850819</v>
      </c>
      <c r="D9" s="15" t="n">
        <f aca="false">C9/B9-1</f>
        <v>0.214304135685542</v>
      </c>
      <c r="E9" s="22" t="n">
        <f aca="false">PL!E144</f>
        <v>26.7146909850819</v>
      </c>
      <c r="F9" s="15" t="n">
        <f aca="false">E9/B9-1</f>
        <v>0.214304135685542</v>
      </c>
      <c r="G9" s="22" t="n">
        <f aca="false">PL!E188</f>
        <v>26.7146909850819</v>
      </c>
      <c r="H9" s="15" t="n">
        <f aca="false">G9/B9-1</f>
        <v>0.214304135685542</v>
      </c>
      <c r="I9" s="4" t="s">
        <v>689</v>
      </c>
    </row>
    <row r="10" customFormat="false" ht="17.15" hidden="false" customHeight="false" outlineLevel="0" collapsed="false">
      <c r="A10" s="0" t="s">
        <v>690</v>
      </c>
      <c r="B10" s="22" t="n">
        <f aca="false">b_eps27c</f>
        <v>25</v>
      </c>
      <c r="C10" s="22" t="n">
        <f aca="false">PL!E100</f>
        <v>26.7146909850819</v>
      </c>
      <c r="D10" s="15" t="n">
        <f aca="false">C10/B10-1</f>
        <v>0.068587639403277</v>
      </c>
      <c r="E10" s="22" t="n">
        <f aca="false">PL!E144</f>
        <v>26.7146909850819</v>
      </c>
      <c r="F10" s="15" t="n">
        <f aca="false">E10/B10-1</f>
        <v>0.068587639403277</v>
      </c>
      <c r="G10" s="22" t="n">
        <f aca="false">PL!E188</f>
        <v>26.7146909850819</v>
      </c>
      <c r="H10" s="15" t="n">
        <f aca="false">G10/B10-1</f>
        <v>0.068587639403277</v>
      </c>
      <c r="I10" s="4" t="s">
        <v>691</v>
      </c>
      <c r="J10" s="4" t="s">
        <v>692</v>
      </c>
    </row>
    <row r="11" customFormat="false" ht="17.15" hidden="false" customHeight="false" outlineLevel="0" collapsed="false">
      <c r="A11" s="0" t="s">
        <v>693</v>
      </c>
      <c r="B11" s="22" t="n">
        <f aca="false">b_eps28</f>
        <v>28</v>
      </c>
      <c r="C11" s="22" t="n">
        <f aca="false">PL!F100</f>
        <v>31.4174043590585</v>
      </c>
      <c r="D11" s="15" t="n">
        <f aca="false">C11/B11-1</f>
        <v>0.122050155680661</v>
      </c>
      <c r="E11" s="22" t="n">
        <f aca="false">PL!F144</f>
        <v>27.705697658271</v>
      </c>
      <c r="F11" s="15" t="n">
        <f aca="false">E11/B11-1</f>
        <v>-0.0105107979188922</v>
      </c>
      <c r="G11" s="22" t="n">
        <f aca="false">PL!F188</f>
        <v>23.5957303984814</v>
      </c>
      <c r="H11" s="15" t="n">
        <f aca="false">G11/B11-1</f>
        <v>-0.157295342911378</v>
      </c>
      <c r="I11" s="4" t="s">
        <v>691</v>
      </c>
      <c r="J11" s="4" t="s">
        <v>277</v>
      </c>
    </row>
    <row r="12" customFormat="false" ht="17.15" hidden="false" customHeight="false" outlineLevel="0" collapsed="false">
      <c r="A12" s="0" t="s">
        <v>694</v>
      </c>
      <c r="B12" s="14" t="n">
        <f aca="false">b_gm27</f>
        <v>0.057</v>
      </c>
      <c r="C12" s="14" t="n">
        <f aca="false">PL!E91</f>
        <v>0.0615816410202386</v>
      </c>
      <c r="D12" s="15" t="n">
        <f aca="false">C12-B12</f>
        <v>0.00458164102023862</v>
      </c>
      <c r="E12" s="14" t="n">
        <f aca="false">PL!E135</f>
        <v>0.0615816410202386</v>
      </c>
      <c r="F12" s="15" t="n">
        <f aca="false">E12-B12</f>
        <v>0.00458164102023862</v>
      </c>
      <c r="G12" s="14" t="n">
        <f aca="false">PL!E179</f>
        <v>0.0615816410202386</v>
      </c>
      <c r="H12" s="15" t="n">
        <f aca="false">G12-B12</f>
        <v>0.00458164102023862</v>
      </c>
      <c r="I12" s="4" t="s">
        <v>681</v>
      </c>
    </row>
    <row r="13" customFormat="false" ht="17.15" hidden="false" customHeight="false" outlineLevel="0" collapsed="false">
      <c r="A13" s="6" t="s">
        <v>695</v>
      </c>
    </row>
    <row r="14" customFormat="false" ht="17.15" hidden="false" customHeight="false" outlineLevel="0" collapsed="false">
      <c r="A14" s="0" t="s">
        <v>696</v>
      </c>
      <c r="B14" s="15" t="n">
        <f aca="false">rk_sh</f>
        <v>0.347826086956522</v>
      </c>
      <c r="C14" s="15" t="n">
        <f aca="false">PL!D69</f>
        <v>0.174610057569922</v>
      </c>
      <c r="D14" s="15" t="n">
        <f aca="false">C14-B14</f>
        <v>-0.1732160293866</v>
      </c>
      <c r="E14" s="15" t="n">
        <f aca="false">PL!D113</f>
        <v>0.174610057569922</v>
      </c>
      <c r="F14" s="15" t="n">
        <f aca="false">E14-B14</f>
        <v>-0.1732160293866</v>
      </c>
      <c r="G14" s="15" t="n">
        <f aca="false">PL!D157</f>
        <v>0.174610057569922</v>
      </c>
      <c r="H14" s="15" t="n">
        <f aca="false">G14-B14</f>
        <v>-0.1732160293866</v>
      </c>
      <c r="I14" s="4" t="s">
        <v>697</v>
      </c>
      <c r="J14" s="4" t="s">
        <v>698</v>
      </c>
    </row>
    <row r="15" customFormat="false" ht="17.15" hidden="false" customHeight="false" outlineLevel="0" collapsed="false">
      <c r="A15" s="0" t="s">
        <v>699</v>
      </c>
      <c r="B15" s="15" t="n">
        <f aca="false">rk_sh2</f>
        <v>0.44</v>
      </c>
      <c r="C15" s="15" t="n">
        <f aca="false">PL!D69</f>
        <v>0.174610057569922</v>
      </c>
      <c r="D15" s="15" t="n">
        <f aca="false">C15-B15</f>
        <v>-0.265389942430078</v>
      </c>
      <c r="E15" s="15" t="n">
        <f aca="false">PL!D113</f>
        <v>0.174610057569922</v>
      </c>
      <c r="F15" s="15" t="n">
        <f aca="false">E15-B15</f>
        <v>-0.265389942430078</v>
      </c>
      <c r="G15" s="15" t="n">
        <f aca="false">PL!D157</f>
        <v>0.174610057569922</v>
      </c>
      <c r="H15" s="15" t="n">
        <f aca="false">G15-B15</f>
        <v>-0.265389942430078</v>
      </c>
      <c r="I15" s="8" t="s">
        <v>700</v>
      </c>
      <c r="J15" s="4" t="s">
        <v>38</v>
      </c>
    </row>
    <row r="16" customFormat="false" ht="17.15" hidden="false" customHeight="false" outlineLevel="0" collapsed="false">
      <c r="A16" s="0" t="s">
        <v>701</v>
      </c>
      <c r="C16" s="19" t="n">
        <f aca="false">PL!D86</f>
        <v>24.0630682003257</v>
      </c>
      <c r="E16" s="19" t="n">
        <f aca="false">PL!D130</f>
        <v>24.0630682003257</v>
      </c>
      <c r="G16" s="19" t="n">
        <f aca="false">PL!D174</f>
        <v>24.0630682003257</v>
      </c>
      <c r="I16" s="8" t="s">
        <v>117</v>
      </c>
      <c r="J16" s="4" t="s">
        <v>702</v>
      </c>
    </row>
    <row r="17" customFormat="false" ht="17.15" hidden="false" customHeight="false" outlineLevel="0" collapsed="false">
      <c r="A17" s="0" t="s">
        <v>703</v>
      </c>
      <c r="C17" s="16" t="n">
        <f aca="false">PL!D85</f>
        <v>4.7355819103481</v>
      </c>
      <c r="E17" s="16" t="n">
        <f aca="false">PL!D129</f>
        <v>4.7355819103481</v>
      </c>
      <c r="G17" s="16" t="n">
        <f aca="false">PL!D173</f>
        <v>4.7355819103481</v>
      </c>
      <c r="I17" s="8" t="s">
        <v>117</v>
      </c>
    </row>
    <row r="18" customFormat="false" ht="17.15" hidden="false" customHeight="false" outlineLevel="0" collapsed="false">
      <c r="A18" s="0" t="s">
        <v>704</v>
      </c>
      <c r="C18" s="16" t="n">
        <f aca="false">Units!C10/(Units!C14*Units!C6)</f>
        <v>1.30407103943907</v>
      </c>
      <c r="E18" s="16" t="n">
        <f aca="false">Units!C10/(Units!C14*Units!C6)</f>
        <v>1.30407103943907</v>
      </c>
      <c r="G18" s="16" t="n">
        <f aca="false">Units!C10/(Units!C14*Units!C6)</f>
        <v>1.30407103943907</v>
      </c>
      <c r="I18" s="4" t="s">
        <v>705</v>
      </c>
      <c r="J18" s="4" t="s">
        <v>706</v>
      </c>
    </row>
    <row r="19" customFormat="false" ht="17.15" hidden="false" customHeight="false" outlineLevel="0" collapsed="false">
      <c r="A19" s="6" t="s">
        <v>707</v>
      </c>
    </row>
    <row r="20" customFormat="false" ht="17.15" hidden="false" customHeight="false" outlineLevel="0" collapsed="false">
      <c r="A20" s="4" t="s">
        <v>708</v>
      </c>
      <c r="C20" s="14" t="n">
        <f aca="false">PL!D88</f>
        <v>0.0621989258510762</v>
      </c>
      <c r="E20" s="14" t="n">
        <f aca="false">PL!D132</f>
        <v>0.0621989258510762</v>
      </c>
      <c r="G20" s="14" t="n">
        <f aca="false">PL!D176</f>
        <v>0.0621989258510762</v>
      </c>
      <c r="I20" s="8" t="s">
        <v>709</v>
      </c>
      <c r="J20" s="8" t="s">
        <v>710</v>
      </c>
    </row>
    <row r="21" customFormat="false" ht="17.15" hidden="false" customHeight="false" outlineLevel="0" collapsed="false">
      <c r="A21" s="0" t="s">
        <v>711</v>
      </c>
      <c r="B21" s="14" t="n">
        <f aca="false">a26_gp/a26_rev</f>
        <v>0.0606089258510762</v>
      </c>
      <c r="C21" s="14" t="n">
        <f aca="false">PL!E91</f>
        <v>0.0615816410202386</v>
      </c>
      <c r="D21" s="15" t="n">
        <f aca="false">C21-B21</f>
        <v>0.000972715169162433</v>
      </c>
      <c r="E21" s="14" t="n">
        <f aca="false">PL!E135</f>
        <v>0.0615816410202386</v>
      </c>
      <c r="F21" s="15" t="n">
        <f aca="false">E21-B21</f>
        <v>0.000972715169162433</v>
      </c>
      <c r="G21" s="14" t="n">
        <f aca="false">PL!E179</f>
        <v>0.0615816410202386</v>
      </c>
      <c r="H21" s="15" t="n">
        <f aca="false">G21-B21</f>
        <v>0.000972715169162433</v>
      </c>
      <c r="I21" s="4" t="s">
        <v>712</v>
      </c>
    </row>
    <row r="22" customFormat="false" ht="17.15" hidden="false" customHeight="false" outlineLevel="0" collapsed="false">
      <c r="A22" s="0" t="s">
        <v>713</v>
      </c>
      <c r="C22" s="15" t="n">
        <f aca="false">PL!D83</f>
        <v>0.318</v>
      </c>
      <c r="E22" s="15" t="n">
        <f aca="false">PL!D127</f>
        <v>0.318</v>
      </c>
      <c r="G22" s="15" t="n">
        <f aca="false">PL!D171</f>
        <v>0.318</v>
      </c>
      <c r="I22" s="8" t="s">
        <v>117</v>
      </c>
    </row>
    <row r="23" customFormat="false" ht="17.15" hidden="false" customHeight="false" outlineLevel="0" collapsed="false">
      <c r="A23" s="0" t="s">
        <v>714</v>
      </c>
      <c r="C23" s="16" t="n">
        <f aca="false">Q!E13</f>
        <v>6.31025067532964</v>
      </c>
      <c r="E23" s="16" t="n">
        <f aca="false">Q!E13</f>
        <v>6.31025067532964</v>
      </c>
      <c r="G23" s="16" t="n">
        <f aca="false">Q!E13</f>
        <v>6.31025067532964</v>
      </c>
      <c r="I23" s="8" t="s">
        <v>117</v>
      </c>
      <c r="J23" s="4" t="s">
        <v>715</v>
      </c>
    </row>
    <row r="24" customFormat="false" ht="17.15" hidden="false" customHeight="false" outlineLevel="0" collapsed="false">
      <c r="A24" s="6" t="s">
        <v>716</v>
      </c>
    </row>
    <row r="25" customFormat="false" ht="17.15" hidden="false" customHeight="false" outlineLevel="0" collapsed="false">
      <c r="A25" s="0" t="s">
        <v>717</v>
      </c>
      <c r="J25" s="4" t="s">
        <v>718</v>
      </c>
    </row>
    <row r="27" customFormat="false" ht="17.15" hidden="false" customHeight="false" outlineLevel="0" collapsed="false">
      <c r="A27" s="6" t="s">
        <v>719</v>
      </c>
    </row>
    <row r="28" customFormat="false" ht="17.15" hidden="false" customHeight="false" outlineLevel="0" collapsed="false">
      <c r="A28" s="0" t="s">
        <v>720</v>
      </c>
      <c r="B28" s="16" t="n">
        <f aca="false">cons_feps</f>
        <v>21.0642040457344</v>
      </c>
      <c r="C28" s="16" t="n">
        <f aca="false">Val!B115</f>
        <v>27.7834620113048</v>
      </c>
      <c r="D28" s="15" t="n">
        <f aca="false">C28/B28-1</f>
        <v>0.318989407384281</v>
      </c>
      <c r="I28" s="8" t="s">
        <v>343</v>
      </c>
      <c r="J28" s="4" t="s">
        <v>721</v>
      </c>
    </row>
    <row r="29" customFormat="false" ht="17.15" hidden="false" customHeight="false" outlineLevel="0" collapsed="false">
      <c r="A29" s="4" t="s">
        <v>722</v>
      </c>
      <c r="B29" s="16" t="n">
        <f aca="false">cons_tp</f>
        <v>347.45</v>
      </c>
      <c r="C29" s="16" t="n">
        <f aca="false">Val!B120</f>
        <v>349.917288066707</v>
      </c>
      <c r="D29" s="15" t="n">
        <f aca="false">C29/B29-1</f>
        <v>0.00710113128998846</v>
      </c>
      <c r="I29" s="8" t="s">
        <v>339</v>
      </c>
      <c r="J29" s="4" t="s">
        <v>721</v>
      </c>
    </row>
    <row r="30" customFormat="false" ht="17.15" hidden="false" customHeight="false" outlineLevel="0" collapsed="false">
      <c r="A30" s="0" t="s">
        <v>723</v>
      </c>
      <c r="B30" s="16" t="n">
        <f aca="false">cons_tp</f>
        <v>347.45</v>
      </c>
      <c r="C30" s="16" t="n">
        <f aca="false">Val!B116</f>
        <v>409.528230046632</v>
      </c>
      <c r="D30" s="15" t="n">
        <f aca="false">C30/B30-1</f>
        <v>0.178668096263153</v>
      </c>
      <c r="I30" s="4" t="s">
        <v>38</v>
      </c>
      <c r="J30" s="4" t="s">
        <v>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724</v>
      </c>
    </row>
    <row r="3" customFormat="false" ht="17.15" hidden="false" customHeight="false" outlineLevel="0" collapsed="false">
      <c r="A3" s="5" t="s">
        <v>725</v>
      </c>
      <c r="B3" s="5" t="s">
        <v>726</v>
      </c>
      <c r="C3" s="11" t="s">
        <v>727</v>
      </c>
      <c r="D3" s="11" t="s">
        <v>728</v>
      </c>
      <c r="E3" s="11" t="s">
        <v>729</v>
      </c>
      <c r="F3" s="11" t="s">
        <v>525</v>
      </c>
      <c r="G3" s="11" t="s">
        <v>730</v>
      </c>
      <c r="H3" s="11" t="s">
        <v>731</v>
      </c>
      <c r="I3" s="11" t="s">
        <v>732</v>
      </c>
      <c r="J3" s="11" t="s">
        <v>733</v>
      </c>
      <c r="K3" s="11" t="s">
        <v>734</v>
      </c>
      <c r="L3" s="11" t="s">
        <v>735</v>
      </c>
    </row>
    <row r="4" customFormat="false" ht="17.15" hidden="false" customHeight="false" outlineLevel="0" collapsed="false">
      <c r="A4" s="4" t="s">
        <v>736</v>
      </c>
      <c r="B4" s="0" t="s">
        <v>737</v>
      </c>
      <c r="C4" s="19" t="n">
        <f aca="false">PL!E81</f>
        <v>13734.8481819054</v>
      </c>
      <c r="D4" s="19" t="n">
        <f aca="false">PL!E74</f>
        <v>5728.17442250538</v>
      </c>
      <c r="E4" s="14" t="n">
        <f aca="false">PL!E91</f>
        <v>0.0615816410202386</v>
      </c>
      <c r="F4" s="16" t="n">
        <f aca="false">PL!E100</f>
        <v>26.7146909850819</v>
      </c>
      <c r="G4" s="15" t="n">
        <f aca="false">F4/F$4-1</f>
        <v>0</v>
      </c>
      <c r="H4" s="19" t="n">
        <f aca="false">PL!F81</f>
        <v>14777.8617946476</v>
      </c>
      <c r="I4" s="19" t="n">
        <f aca="false">PL!F74</f>
        <v>6454.33767007557</v>
      </c>
      <c r="J4" s="14" t="n">
        <f aca="false">PL!F91</f>
        <v>0.0645660443659828</v>
      </c>
      <c r="K4" s="16" t="n">
        <f aca="false">PL!F100</f>
        <v>31.4174043590585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738</v>
      </c>
      <c r="B5" s="4" t="s">
        <v>739</v>
      </c>
      <c r="C5" s="19" t="n">
        <f aca="false">E61</f>
        <v>12875.6220185296</v>
      </c>
      <c r="D5" s="19" t="n">
        <f aca="false">E54</f>
        <v>4868.94825912957</v>
      </c>
      <c r="E5" s="14" t="n">
        <f aca="false">E71</f>
        <v>0.0616392195774147</v>
      </c>
      <c r="F5" s="16" t="n">
        <f aca="false">E80</f>
        <v>24.6280009689634</v>
      </c>
      <c r="G5" s="15" t="n">
        <f aca="false">F5/F$4-1</f>
        <v>-0.0781102060017745</v>
      </c>
      <c r="H5" s="19" t="n">
        <f aca="false">F61</f>
        <v>13164.2773771287</v>
      </c>
      <c r="I5" s="19" t="n">
        <f aca="false">F54</f>
        <v>4840.75325255668</v>
      </c>
      <c r="J5" s="14" t="n">
        <f aca="false">F71</f>
        <v>0.0641918732759164</v>
      </c>
      <c r="K5" s="16" t="n">
        <f aca="false">F80</f>
        <v>26.9337806029711</v>
      </c>
      <c r="L5" s="15" t="n">
        <f aca="false">K5/K$4-1</f>
        <v>-0.142711463520209</v>
      </c>
    </row>
    <row r="6" customFormat="false" ht="17.15" hidden="false" customHeight="false" outlineLevel="0" collapsed="false">
      <c r="A6" s="4" t="s">
        <v>740</v>
      </c>
      <c r="B6" s="4" t="s">
        <v>741</v>
      </c>
      <c r="C6" s="19" t="n">
        <f aca="false">E105</f>
        <v>14594.0743452812</v>
      </c>
      <c r="D6" s="19" t="n">
        <f aca="false">E98</f>
        <v>6587.40058588119</v>
      </c>
      <c r="E6" s="14" t="n">
        <f aca="false">E115</f>
        <v>0.0615308423384564</v>
      </c>
      <c r="F6" s="16" t="n">
        <f aca="false">E124</f>
        <v>28.8013810012004</v>
      </c>
      <c r="G6" s="15" t="n">
        <f aca="false">F6/F$4-1</f>
        <v>0.0781102060017747</v>
      </c>
      <c r="H6" s="19" t="n">
        <f aca="false">F105</f>
        <v>15746.0124451589</v>
      </c>
      <c r="I6" s="19" t="n">
        <f aca="false">F98</f>
        <v>7422.48832058691</v>
      </c>
      <c r="J6" s="14" t="n">
        <f aca="false">F115</f>
        <v>0.0647537372958579</v>
      </c>
      <c r="K6" s="16" t="n">
        <f aca="false">F124</f>
        <v>34.1026754770258</v>
      </c>
      <c r="L6" s="15" t="n">
        <f aca="false">K6/K$4-1</f>
        <v>0.0854708137972908</v>
      </c>
    </row>
    <row r="7" customFormat="false" ht="17.15" hidden="false" customHeight="false" outlineLevel="0" collapsed="false">
      <c r="A7" s="4" t="s">
        <v>742</v>
      </c>
      <c r="B7" s="4" t="s">
        <v>743</v>
      </c>
      <c r="C7" s="19" t="n">
        <f aca="false">E149</f>
        <v>14371.3120066282</v>
      </c>
      <c r="D7" s="19" t="n">
        <f aca="false">E142</f>
        <v>6364.6382472282</v>
      </c>
      <c r="E7" s="14" t="n">
        <f aca="false">E159</f>
        <v>0.0590988283992883</v>
      </c>
      <c r="F7" s="16" t="n">
        <f aca="false">E168</f>
        <v>26.6061632847457</v>
      </c>
      <c r="G7" s="15" t="n">
        <f aca="false">F7/F$4-1</f>
        <v>-0.0040624726071804</v>
      </c>
      <c r="H7" s="19" t="n">
        <f aca="false">F149</f>
        <v>16391.4462121665</v>
      </c>
      <c r="I7" s="19" t="n">
        <f aca="false">F142</f>
        <v>8067.92208759447</v>
      </c>
      <c r="J7" s="14" t="n">
        <f aca="false">F159</f>
        <v>0.0587535035324987</v>
      </c>
      <c r="K7" s="16" t="n">
        <f aca="false">F168</f>
        <v>31.2084964499672</v>
      </c>
      <c r="L7" s="15" t="n">
        <f aca="false">K7/K$4-1</f>
        <v>-0.0066494324834645</v>
      </c>
    </row>
    <row r="8" customFormat="false" ht="17.15" hidden="false" customHeight="false" outlineLevel="0" collapsed="false">
      <c r="A8" s="4" t="s">
        <v>744</v>
      </c>
      <c r="B8" s="4" t="s">
        <v>745</v>
      </c>
      <c r="C8" s="19" t="n">
        <f aca="false">E193</f>
        <v>12780.1524448211</v>
      </c>
      <c r="D8" s="19" t="n">
        <f aca="false">E186</f>
        <v>4773.47868542115</v>
      </c>
      <c r="E8" s="14" t="n">
        <f aca="false">E203</f>
        <v>0.0657695341205433</v>
      </c>
      <c r="F8" s="16" t="n">
        <f aca="false">E212</f>
        <v>26.8774825355862</v>
      </c>
      <c r="G8" s="15" t="n">
        <f aca="false">F8/F$4-1</f>
        <v>0.00609370891077043</v>
      </c>
      <c r="H8" s="19" t="n">
        <f aca="false">F193</f>
        <v>13164.2773771287</v>
      </c>
      <c r="I8" s="19" t="n">
        <f aca="false">F186</f>
        <v>4840.75325255668</v>
      </c>
      <c r="J8" s="14" t="n">
        <f aca="false">F203</f>
        <v>0.0718035058459122</v>
      </c>
      <c r="K8" s="16" t="n">
        <f aca="false">F212</f>
        <v>31.6545164676722</v>
      </c>
      <c r="L8" s="15" t="n">
        <f aca="false">K8/K$4-1</f>
        <v>0.00754715780794113</v>
      </c>
    </row>
    <row r="9" customFormat="false" ht="17.15" hidden="false" customHeight="false" outlineLevel="0" collapsed="false">
      <c r="A9" s="4" t="s">
        <v>746</v>
      </c>
      <c r="B9" s="4" t="s">
        <v>747</v>
      </c>
      <c r="C9" s="19" t="n">
        <f aca="false">E237</f>
        <v>13734.8481819054</v>
      </c>
      <c r="D9" s="19" t="n">
        <f aca="false">E230</f>
        <v>5728.17442250538</v>
      </c>
      <c r="E9" s="14" t="n">
        <f aca="false">E247</f>
        <v>0.0610700646416362</v>
      </c>
      <c r="F9" s="16" t="n">
        <f aca="false">E256</f>
        <v>26.3838461833675</v>
      </c>
      <c r="G9" s="15" t="n">
        <f aca="false">F9/F$4-1</f>
        <v>-0.0123843768920695</v>
      </c>
      <c r="H9" s="19" t="n">
        <f aca="false">F237</f>
        <v>14777.8617946476</v>
      </c>
      <c r="I9" s="19" t="n">
        <f aca="false">F230</f>
        <v>6454.33767007557</v>
      </c>
      <c r="J9" s="14" t="n">
        <f aca="false">F247</f>
        <v>0.0633606179266945</v>
      </c>
      <c r="K9" s="16" t="n">
        <f aca="false">F256</f>
        <v>30.57863553053</v>
      </c>
      <c r="L9" s="15" t="n">
        <f aca="false">K9/K$4-1</f>
        <v>-0.0266975851646588</v>
      </c>
    </row>
    <row r="10" customFormat="false" ht="17.15" hidden="false" customHeight="false" outlineLevel="0" collapsed="false">
      <c r="A10" s="4" t="s">
        <v>748</v>
      </c>
      <c r="B10" s="4" t="s">
        <v>749</v>
      </c>
      <c r="C10" s="19" t="n">
        <f aca="false">E281</f>
        <v>13734.8481819054</v>
      </c>
      <c r="D10" s="19" t="n">
        <f aca="false">E274</f>
        <v>5728.17442250538</v>
      </c>
      <c r="E10" s="14" t="n">
        <f aca="false">E291</f>
        <v>0.0618374292095399</v>
      </c>
      <c r="F10" s="16" t="n">
        <f aca="false">E300</f>
        <v>26.8801133859391</v>
      </c>
      <c r="G10" s="15" t="n">
        <f aca="false">F10/F$4-1</f>
        <v>0.00619218844603453</v>
      </c>
      <c r="H10" s="19" t="n">
        <f aca="false">F281</f>
        <v>14777.8617946476</v>
      </c>
      <c r="I10" s="19" t="n">
        <f aca="false">F274</f>
        <v>6454.33767007557</v>
      </c>
      <c r="J10" s="14" t="n">
        <f aca="false">F291</f>
        <v>0.0651687575856269</v>
      </c>
      <c r="K10" s="16" t="n">
        <f aca="false">F300</f>
        <v>31.8367887733227</v>
      </c>
      <c r="L10" s="15" t="n">
        <f aca="false">K10/K$4-1</f>
        <v>0.0133487925823295</v>
      </c>
    </row>
    <row r="11" customFormat="false" ht="17.15" hidden="false" customHeight="false" outlineLevel="0" collapsed="false">
      <c r="A11" s="4" t="s">
        <v>750</v>
      </c>
      <c r="B11" s="0" t="s">
        <v>751</v>
      </c>
      <c r="C11" s="19" t="n">
        <f aca="false">E325</f>
        <v>13734.8481819054</v>
      </c>
      <c r="D11" s="19" t="n">
        <f aca="false">E318</f>
        <v>5728.17442250538</v>
      </c>
      <c r="E11" s="14" t="n">
        <f aca="false">E335</f>
        <v>0.0615816410202386</v>
      </c>
      <c r="F11" s="16" t="n">
        <f aca="false">E344</f>
        <v>26.7146909850819</v>
      </c>
      <c r="G11" s="15" t="n">
        <f aca="false">F11/F$4-1</f>
        <v>0</v>
      </c>
      <c r="H11" s="19" t="n">
        <f aca="false">F325</f>
        <v>13809.7111441362</v>
      </c>
      <c r="I11" s="19" t="n">
        <f aca="false">F318</f>
        <v>5486.18701956424</v>
      </c>
      <c r="J11" s="14" t="n">
        <f aca="false">F335</f>
        <v>0.0643520344436292</v>
      </c>
      <c r="K11" s="16" t="n">
        <f aca="false">F344</f>
        <v>28.7046040695167</v>
      </c>
      <c r="L11" s="15" t="n">
        <f aca="false">K11/K$4-1</f>
        <v>-0.0863470533255439</v>
      </c>
    </row>
    <row r="12" customFormat="false" ht="17.15" hidden="false" customHeight="false" outlineLevel="0" collapsed="false">
      <c r="A12" s="4" t="s">
        <v>752</v>
      </c>
      <c r="B12" s="0" t="s">
        <v>753</v>
      </c>
      <c r="C12" s="19" t="n">
        <f aca="false">E369</f>
        <v>13734.8481819054</v>
      </c>
      <c r="D12" s="19" t="n">
        <f aca="false">E362</f>
        <v>5728.17442250538</v>
      </c>
      <c r="E12" s="14" t="n">
        <f aca="false">E379</f>
        <v>0.0615816410202386</v>
      </c>
      <c r="F12" s="16" t="n">
        <f aca="false">E388</f>
        <v>26.7146909850819</v>
      </c>
      <c r="G12" s="15" t="n">
        <f aca="false">F12/F$4-1</f>
        <v>0</v>
      </c>
      <c r="H12" s="19" t="n">
        <f aca="false">F369</f>
        <v>16068.7293286627</v>
      </c>
      <c r="I12" s="19" t="n">
        <f aca="false">F362</f>
        <v>7745.20520409069</v>
      </c>
      <c r="J12" s="14" t="n">
        <f aca="false">F379</f>
        <v>0.0648112755558492</v>
      </c>
      <c r="K12" s="16" t="n">
        <f aca="false">F388</f>
        <v>35.0344714117809</v>
      </c>
      <c r="L12" s="15" t="n">
        <f aca="false">K12/K$4-1</f>
        <v>0.115129404434059</v>
      </c>
    </row>
    <row r="13" customFormat="false" ht="17.15" hidden="false" customHeight="false" outlineLevel="0" collapsed="false">
      <c r="A13" s="0" t="s">
        <v>754</v>
      </c>
      <c r="B13" s="0" t="s">
        <v>755</v>
      </c>
      <c r="C13" s="19" t="n">
        <f aca="false">E413</f>
        <v>12589.2132974043</v>
      </c>
      <c r="D13" s="19" t="n">
        <f aca="false">E406</f>
        <v>4582.5395380043</v>
      </c>
      <c r="E13" s="14" t="n">
        <f aca="false">E423</f>
        <v>0.0616601590044905</v>
      </c>
      <c r="F13" s="16" t="n">
        <f aca="false">E432</f>
        <v>23.9324376302573</v>
      </c>
      <c r="G13" s="15" t="n">
        <f aca="false">F13/F$4-1</f>
        <v>-0.1041469413357</v>
      </c>
      <c r="H13" s="19" t="n">
        <f aca="false">F413</f>
        <v>13486.9942606325</v>
      </c>
      <c r="I13" s="19" t="n">
        <f aca="false">F406</f>
        <v>5163.47013606046</v>
      </c>
      <c r="J13" s="14" t="n">
        <f aca="false">F423</f>
        <v>0.064273870028487</v>
      </c>
      <c r="K13" s="16" t="n">
        <f aca="false">F432</f>
        <v>27.8388728153519</v>
      </c>
      <c r="L13" s="15" t="n">
        <f aca="false">K13/K$4-1</f>
        <v>-0.113902838783524</v>
      </c>
    </row>
    <row r="14" customFormat="false" ht="17.15" hidden="false" customHeight="false" outlineLevel="0" collapsed="false">
      <c r="A14" s="0" t="s">
        <v>756</v>
      </c>
      <c r="B14" s="0" t="s">
        <v>753</v>
      </c>
      <c r="C14" s="19" t="n">
        <f aca="false">E457</f>
        <v>14880.4830664065</v>
      </c>
      <c r="D14" s="19" t="n">
        <f aca="false">E450</f>
        <v>6873.80930700646</v>
      </c>
      <c r="E14" s="14" t="n">
        <f aca="false">E467</f>
        <v>0.0615152130926628</v>
      </c>
      <c r="F14" s="16" t="n">
        <f aca="false">E476</f>
        <v>29.4969443399066</v>
      </c>
      <c r="G14" s="15" t="n">
        <f aca="false">F14/F$4-1</f>
        <v>0.1041469413357</v>
      </c>
      <c r="H14" s="19" t="n">
        <f aca="false">F457</f>
        <v>16068.7293286627</v>
      </c>
      <c r="I14" s="19" t="n">
        <f aca="false">F450</f>
        <v>7745.20520409069</v>
      </c>
      <c r="J14" s="14" t="n">
        <f aca="false">F467</f>
        <v>0.0648112755558492</v>
      </c>
      <c r="K14" s="16" t="n">
        <f aca="false">F476</f>
        <v>34.9979870175404</v>
      </c>
      <c r="L14" s="15" t="n">
        <f aca="false">K14/K$4-1</f>
        <v>0.113968124723504</v>
      </c>
    </row>
    <row r="15" customFormat="false" ht="17.15" hidden="false" customHeight="false" outlineLevel="0" collapsed="false">
      <c r="A15" s="4" t="s">
        <v>757</v>
      </c>
      <c r="B15" s="0" t="s">
        <v>758</v>
      </c>
      <c r="C15" s="19" t="n">
        <f aca="false">E501</f>
        <v>13366.8739269054</v>
      </c>
      <c r="D15" s="19" t="n">
        <f aca="false">E494</f>
        <v>5728.17442250538</v>
      </c>
      <c r="E15" s="14" t="n">
        <f aca="false">E511</f>
        <v>0.0615646478977634</v>
      </c>
      <c r="F15" s="16" t="n">
        <f aca="false">E520</f>
        <v>25.7953952420968</v>
      </c>
      <c r="G15" s="15" t="n">
        <f aca="false">F15/F$4-1</f>
        <v>-0.0344116180680685</v>
      </c>
      <c r="H15" s="19" t="n">
        <f aca="false">F501</f>
        <v>14094.7677685476</v>
      </c>
      <c r="I15" s="19" t="n">
        <f aca="false">F494</f>
        <v>6454.33767007557</v>
      </c>
      <c r="J15" s="14" t="n">
        <f aca="false">F511</f>
        <v>0.0646807652711552</v>
      </c>
      <c r="K15" s="16" t="n">
        <f aca="false">F520</f>
        <v>29.6913445566641</v>
      </c>
      <c r="L15" s="15" t="n">
        <f aca="false">K15/K$4-1</f>
        <v>-0.0549396055341763</v>
      </c>
    </row>
    <row r="16" customFormat="false" ht="17.15" hidden="false" customHeight="false" outlineLevel="0" collapsed="false">
      <c r="A16" s="4" t="s">
        <v>759</v>
      </c>
      <c r="B16" s="0" t="s">
        <v>760</v>
      </c>
      <c r="C16" s="19" t="n">
        <f aca="false">E545</f>
        <v>13902.1092069054</v>
      </c>
      <c r="D16" s="19" t="n">
        <f aca="false">E538</f>
        <v>5728.17442250538</v>
      </c>
      <c r="E16" s="14" t="n">
        <f aca="false">E555</f>
        <v>0.0615890677849105</v>
      </c>
      <c r="F16" s="16" t="n">
        <f aca="false">E564</f>
        <v>27.1325526864388</v>
      </c>
      <c r="G16" s="15" t="n">
        <f aca="false">F16/F$4-1</f>
        <v>0.0156416445763949</v>
      </c>
      <c r="H16" s="19" t="n">
        <f aca="false">F545</f>
        <v>15092.9815657476</v>
      </c>
      <c r="I16" s="19" t="n">
        <f aca="false">F538</f>
        <v>6454.33767007557</v>
      </c>
      <c r="J16" s="14" t="n">
        <f aca="false">F555</f>
        <v>0.064516622332216</v>
      </c>
      <c r="K16" s="16" t="n">
        <f aca="false">F564</f>
        <v>32.2148441466096</v>
      </c>
      <c r="L16" s="15" t="n">
        <f aca="false">K16/K$4-1</f>
        <v>0.0253821028127414</v>
      </c>
    </row>
    <row r="17" customFormat="false" ht="17.15" hidden="false" customHeight="false" outlineLevel="0" collapsed="false">
      <c r="A17" s="4" t="s">
        <v>761</v>
      </c>
      <c r="B17" s="4" t="s">
        <v>762</v>
      </c>
      <c r="C17" s="19" t="n">
        <f aca="false">E589</f>
        <v>13451.1734835054</v>
      </c>
      <c r="D17" s="19" t="n">
        <f aca="false">E582</f>
        <v>5728.17442250538</v>
      </c>
      <c r="E17" s="14" t="n">
        <f aca="false">E599</f>
        <v>0.0615686229673208</v>
      </c>
      <c r="F17" s="16" t="n">
        <f aca="false">E608</f>
        <v>26.0059975395807</v>
      </c>
      <c r="G17" s="15" t="n">
        <f aca="false">F17/F$4-1</f>
        <v>-0.0265282292015653</v>
      </c>
      <c r="H17" s="19" t="n">
        <f aca="false">F589</f>
        <v>14164.1788637756</v>
      </c>
      <c r="I17" s="19" t="n">
        <f aca="false">F582</f>
        <v>6454.33767007557</v>
      </c>
      <c r="J17" s="14" t="n">
        <f aca="false">F599</f>
        <v>0.0646686030982552</v>
      </c>
      <c r="K17" s="16" t="n">
        <f aca="false">F608</f>
        <v>29.8650767890686</v>
      </c>
      <c r="L17" s="15" t="n">
        <f aca="false">K17/K$4-1</f>
        <v>-0.0494097969472235</v>
      </c>
    </row>
    <row r="18" customFormat="false" ht="17.15" hidden="false" customHeight="false" outlineLevel="0" collapsed="false">
      <c r="A18" s="4" t="s">
        <v>763</v>
      </c>
      <c r="B18" s="0" t="s">
        <v>764</v>
      </c>
      <c r="C18" s="19" t="n">
        <f aca="false">E633</f>
        <v>14042.1624385054</v>
      </c>
      <c r="D18" s="19" t="n">
        <f aca="false">E626</f>
        <v>5728.17442250538</v>
      </c>
      <c r="E18" s="14" t="n">
        <f aca="false">E643</f>
        <v>0.0615951503660912</v>
      </c>
      <c r="F18" s="16" t="n">
        <f aca="false">E652</f>
        <v>27.4824422177083</v>
      </c>
      <c r="G18" s="15" t="n">
        <f aca="false">F18/F$4-1</f>
        <v>0.0287389149683626</v>
      </c>
      <c r="H18" s="19" t="n">
        <f aca="false">F633</f>
        <v>15464.3545647756</v>
      </c>
      <c r="I18" s="19" t="n">
        <f aca="false">F626</f>
        <v>6454.33767007557</v>
      </c>
      <c r="J18" s="14" t="n">
        <f aca="false">F643</f>
        <v>0.0644609633721584</v>
      </c>
      <c r="K18" s="16" t="n">
        <f aca="false">F652</f>
        <v>33.157392174525</v>
      </c>
      <c r="L18" s="15" t="n">
        <f aca="false">K18/K$4-1</f>
        <v>0.0553829271056523</v>
      </c>
    </row>
    <row r="19" customFormat="false" ht="17.15" hidden="false" customHeight="false" outlineLevel="0" collapsed="false">
      <c r="A19" s="0" t="s">
        <v>765</v>
      </c>
      <c r="B19" s="0" t="s">
        <v>766</v>
      </c>
      <c r="C19" s="19" t="n">
        <f aca="false">E677</f>
        <v>13734.8481819054</v>
      </c>
      <c r="D19" s="19" t="n">
        <f aca="false">E670</f>
        <v>5728.17442250538</v>
      </c>
      <c r="E19" s="14" t="n">
        <f aca="false">E687</f>
        <v>0.0603066693765175</v>
      </c>
      <c r="F19" s="16" t="n">
        <f aca="false">E696</f>
        <v>25.8901459937538</v>
      </c>
      <c r="G19" s="15" t="n">
        <f aca="false">F19/F$4-1</f>
        <v>-0.0308648522937642</v>
      </c>
      <c r="H19" s="19" t="n">
        <f aca="false">F677</f>
        <v>14777.8617946476</v>
      </c>
      <c r="I19" s="19" t="n">
        <f aca="false">F670</f>
        <v>6454.33767007557</v>
      </c>
      <c r="J19" s="14" t="n">
        <f aca="false">F687</f>
        <v>0.0627082683406006</v>
      </c>
      <c r="K19" s="16" t="n">
        <f aca="false">F696</f>
        <v>30.1247127690199</v>
      </c>
      <c r="L19" s="15" t="n">
        <f aca="false">K19/K$4-1</f>
        <v>-0.041145715771581</v>
      </c>
    </row>
    <row r="20" customFormat="false" ht="17.15" hidden="false" customHeight="false" outlineLevel="0" collapsed="false">
      <c r="A20" s="0" t="s">
        <v>767</v>
      </c>
      <c r="B20" s="4" t="s">
        <v>768</v>
      </c>
      <c r="C20" s="19" t="n">
        <f aca="false">E721</f>
        <v>13734.8481819054</v>
      </c>
      <c r="D20" s="19" t="n">
        <f aca="false">E714</f>
        <v>5728.17442250538</v>
      </c>
      <c r="E20" s="14" t="n">
        <f aca="false">E731</f>
        <v>0.0628566126639597</v>
      </c>
      <c r="F20" s="16" t="n">
        <f aca="false">E740</f>
        <v>27.53923597641</v>
      </c>
      <c r="G20" s="15" t="n">
        <f aca="false">F20/F$4-1</f>
        <v>0.0308648522937638</v>
      </c>
      <c r="H20" s="19" t="n">
        <f aca="false">F721</f>
        <v>14777.8617946476</v>
      </c>
      <c r="I20" s="19" t="n">
        <f aca="false">F714</f>
        <v>6454.33767007557</v>
      </c>
      <c r="J20" s="14" t="n">
        <f aca="false">F731</f>
        <v>0.0664238203913649</v>
      </c>
      <c r="K20" s="16" t="n">
        <f aca="false">F740</f>
        <v>32.7100959490971</v>
      </c>
      <c r="L20" s="15" t="n">
        <f aca="false">K20/K$4-1</f>
        <v>0.0411457157715807</v>
      </c>
    </row>
    <row r="21" customFormat="false" ht="17.15" hidden="false" customHeight="false" outlineLevel="0" collapsed="false">
      <c r="A21" s="0" t="s">
        <v>769</v>
      </c>
      <c r="B21" s="0" t="s">
        <v>770</v>
      </c>
      <c r="C21" s="19" t="n">
        <f aca="false">E765</f>
        <v>13734.8481819054</v>
      </c>
      <c r="D21" s="19" t="n">
        <f aca="false">E758</f>
        <v>5728.17442250538</v>
      </c>
      <c r="E21" s="14" t="n">
        <f aca="false">E775</f>
        <v>0.0602053625682372</v>
      </c>
      <c r="F21" s="16" t="n">
        <f aca="false">E784</f>
        <v>25.8246292257799</v>
      </c>
      <c r="G21" s="15" t="n">
        <f aca="false">F21/F$4-1</f>
        <v>-0.0333173144244521</v>
      </c>
      <c r="H21" s="19" t="n">
        <f aca="false">F765</f>
        <v>14777.8617946476</v>
      </c>
      <c r="I21" s="19" t="n">
        <f aca="false">F758</f>
        <v>6454.33767007557</v>
      </c>
      <c r="J21" s="14" t="n">
        <f aca="false">F775</f>
        <v>0.0629609616234903</v>
      </c>
      <c r="K21" s="16" t="n">
        <f aca="false">F784</f>
        <v>30.3005436965309</v>
      </c>
      <c r="L21" s="15" t="n">
        <f aca="false">K21/K$4-1</f>
        <v>-0.0355491067869059</v>
      </c>
    </row>
    <row r="22" customFormat="false" ht="17.15" hidden="false" customHeight="false" outlineLevel="0" collapsed="false">
      <c r="A22" s="0" t="s">
        <v>771</v>
      </c>
      <c r="B22" s="0" t="s">
        <v>772</v>
      </c>
      <c r="C22" s="19" t="n">
        <f aca="false">E809</f>
        <v>13734.8481819054</v>
      </c>
      <c r="D22" s="19" t="n">
        <f aca="false">E802</f>
        <v>5728.17442250538</v>
      </c>
      <c r="E22" s="14" t="n">
        <f aca="false">E819</f>
        <v>0.0624991599882396</v>
      </c>
      <c r="F22" s="16" t="n">
        <f aca="false">E828</f>
        <v>27.3080654912833</v>
      </c>
      <c r="G22" s="15" t="n">
        <f aca="false">F22/F$4-1</f>
        <v>0.0222115429496346</v>
      </c>
      <c r="H22" s="19" t="n">
        <f aca="false">F809</f>
        <v>14777.8617946476</v>
      </c>
      <c r="I22" s="19" t="n">
        <f aca="false">F802</f>
        <v>6454.33767007557</v>
      </c>
      <c r="J22" s="14" t="n">
        <f aca="false">F819</f>
        <v>0.0656360995276444</v>
      </c>
      <c r="K22" s="16" t="n">
        <f aca="false">F828</f>
        <v>32.1619781340769</v>
      </c>
      <c r="L22" s="15" t="n">
        <f aca="false">K22/K$4-1</f>
        <v>0.0236994045246044</v>
      </c>
    </row>
    <row r="23" customFormat="false" ht="17.15" hidden="false" customHeight="false" outlineLevel="0" collapsed="false">
      <c r="A23" s="4" t="s">
        <v>773</v>
      </c>
      <c r="B23" s="4" t="s">
        <v>774</v>
      </c>
      <c r="C23" s="19" t="n">
        <f aca="false">E853</f>
        <v>13734.8481819054</v>
      </c>
      <c r="D23" s="19" t="n">
        <f aca="false">E846</f>
        <v>5728.17442250538</v>
      </c>
      <c r="E23" s="14" t="n">
        <f aca="false">E863</f>
        <v>0.0615816410202386</v>
      </c>
      <c r="F23" s="16" t="n">
        <f aca="false">E872</f>
        <v>25.4212583108906</v>
      </c>
      <c r="G23" s="15" t="n">
        <f aca="false">F23/F$4-1</f>
        <v>-0.0484165313727031</v>
      </c>
      <c r="H23" s="19" t="n">
        <f aca="false">F853</f>
        <v>14777.8617946476</v>
      </c>
      <c r="I23" s="19" t="n">
        <f aca="false">F846</f>
        <v>6454.33767007557</v>
      </c>
      <c r="J23" s="14" t="n">
        <f aca="false">F863</f>
        <v>0.0645660443659828</v>
      </c>
      <c r="K23" s="16" t="n">
        <f aca="false">F872</f>
        <v>30.0257494207053</v>
      </c>
      <c r="L23" s="15" t="n">
        <f aca="false">K23/K$4-1</f>
        <v>-0.0442956688098248</v>
      </c>
    </row>
    <row r="24" customFormat="false" ht="17.15" hidden="false" customHeight="false" outlineLevel="0" collapsed="false">
      <c r="A24" s="4" t="s">
        <v>775</v>
      </c>
      <c r="B24" s="0" t="s">
        <v>776</v>
      </c>
      <c r="C24" s="19" t="n">
        <f aca="false">E897</f>
        <v>13734.8481819054</v>
      </c>
      <c r="D24" s="19" t="n">
        <f aca="false">E890</f>
        <v>5728.17442250538</v>
      </c>
      <c r="E24" s="14" t="n">
        <f aca="false">E907</f>
        <v>0.0615816410202386</v>
      </c>
      <c r="F24" s="16" t="n">
        <f aca="false">E916</f>
        <v>24.2860827137108</v>
      </c>
      <c r="G24" s="15" t="n">
        <f aca="false">F24/F$4-1</f>
        <v>-0.0909090909090909</v>
      </c>
      <c r="H24" s="19" t="n">
        <f aca="false">F897</f>
        <v>14777.8617946476</v>
      </c>
      <c r="I24" s="19" t="n">
        <f aca="false">F890</f>
        <v>6454.33767007557</v>
      </c>
      <c r="J24" s="14" t="n">
        <f aca="false">F907</f>
        <v>0.0645660443659828</v>
      </c>
      <c r="K24" s="16" t="n">
        <f aca="false">F916</f>
        <v>28.5612766900532</v>
      </c>
      <c r="L24" s="15" t="n">
        <f aca="false">K24/K$4-1</f>
        <v>-0.0909090909090911</v>
      </c>
    </row>
    <row r="25" customFormat="false" ht="17.15" hidden="false" customHeight="false" outlineLevel="0" collapsed="false">
      <c r="A25" s="4" t="s">
        <v>777</v>
      </c>
      <c r="B25" s="0" t="s">
        <v>778</v>
      </c>
      <c r="C25" s="19" t="n">
        <f aca="false">E941</f>
        <v>13734.8481819054</v>
      </c>
      <c r="D25" s="19" t="n">
        <f aca="false">E934</f>
        <v>5728.17442250538</v>
      </c>
      <c r="E25" s="14" t="n">
        <f aca="false">E951</f>
        <v>0.0615816410202386</v>
      </c>
      <c r="F25" s="16" t="n">
        <f aca="false">E960</f>
        <v>29.5480673016815</v>
      </c>
      <c r="G25" s="15" t="n">
        <f aca="false">F25/F$4-1</f>
        <v>0.106060606060606</v>
      </c>
      <c r="H25" s="19" t="n">
        <f aca="false">F941</f>
        <v>14777.8617946476</v>
      </c>
      <c r="I25" s="19" t="n">
        <f aca="false">F934</f>
        <v>6454.33767007557</v>
      </c>
      <c r="J25" s="14" t="n">
        <f aca="false">F951</f>
        <v>0.0645660443659828</v>
      </c>
      <c r="K25" s="16" t="n">
        <f aca="false">F960</f>
        <v>34.7495533062314</v>
      </c>
      <c r="L25" s="15" t="n">
        <f aca="false">K25/K$4-1</f>
        <v>0.106060606060606</v>
      </c>
    </row>
    <row r="26" customFormat="false" ht="17.15" hidden="false" customHeight="false" outlineLevel="0" collapsed="false">
      <c r="A26" s="4" t="s">
        <v>779</v>
      </c>
      <c r="B26" s="0" t="s">
        <v>780</v>
      </c>
      <c r="C26" s="19" t="n">
        <f aca="false">PL!E125</f>
        <v>13734.8481819054</v>
      </c>
      <c r="D26" s="19" t="n">
        <f aca="false">PL!E118</f>
        <v>5728.17442250538</v>
      </c>
      <c r="E26" s="14" t="n">
        <f aca="false">PL!E135</f>
        <v>0.0615816410202386</v>
      </c>
      <c r="F26" s="16" t="n">
        <f aca="false">PL!E144</f>
        <v>26.7146909850819</v>
      </c>
      <c r="G26" s="15" t="n">
        <f aca="false">F26/F$4-1</f>
        <v>0</v>
      </c>
      <c r="H26" s="19" t="n">
        <f aca="false">PL!F125</f>
        <v>13486.9942606325</v>
      </c>
      <c r="I26" s="19" t="n">
        <f aca="false">PL!F118</f>
        <v>5163.47013606046</v>
      </c>
      <c r="J26" s="14" t="n">
        <f aca="false">PL!F135</f>
        <v>0.064273870028487</v>
      </c>
      <c r="K26" s="16" t="n">
        <f aca="false">PL!F144</f>
        <v>27.705697658271</v>
      </c>
      <c r="L26" s="15" t="n">
        <f aca="false">K26/K$4-1</f>
        <v>-0.118141736292651</v>
      </c>
    </row>
    <row r="27" customFormat="false" ht="17.15" hidden="false" customHeight="false" outlineLevel="0" collapsed="false">
      <c r="A27" s="4" t="s">
        <v>781</v>
      </c>
      <c r="B27" s="0" t="s">
        <v>782</v>
      </c>
      <c r="C27" s="19" t="n">
        <f aca="false">PL!E169</f>
        <v>13734.8481819054</v>
      </c>
      <c r="D27" s="19" t="n">
        <f aca="false">PL!E162</f>
        <v>5728.17442250538</v>
      </c>
      <c r="E27" s="14" t="n">
        <f aca="false">PL!E179</f>
        <v>0.0615816410202386</v>
      </c>
      <c r="F27" s="16" t="n">
        <f aca="false">PL!E188</f>
        <v>26.7146909850819</v>
      </c>
      <c r="G27" s="15" t="n">
        <f aca="false">F27/F$4-1</f>
        <v>0</v>
      </c>
      <c r="H27" s="19" t="n">
        <f aca="false">PL!F169</f>
        <v>12196.1267266173</v>
      </c>
      <c r="I27" s="19" t="n">
        <f aca="false">PL!F162</f>
        <v>3872.60260204534</v>
      </c>
      <c r="J27" s="14" t="n">
        <f aca="false">PL!F179</f>
        <v>0.0639198468147046</v>
      </c>
      <c r="K27" s="16" t="n">
        <f aca="false">PL!F188</f>
        <v>23.5957303984814</v>
      </c>
      <c r="L27" s="15" t="n">
        <f aca="false">K27/K$4-1</f>
        <v>-0.24895990359948</v>
      </c>
    </row>
    <row r="29" customFormat="false" ht="17.15" hidden="false" customHeight="false" outlineLevel="0" collapsed="false">
      <c r="A29" s="4" t="s">
        <v>783</v>
      </c>
    </row>
    <row r="40" customFormat="false" ht="17.15" hidden="false" customHeight="false" outlineLevel="0" collapsed="false">
      <c r="A40" s="1" t="s">
        <v>784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1" t="s">
        <v>347</v>
      </c>
      <c r="D41" s="11" t="s">
        <v>429</v>
      </c>
      <c r="E41" s="11" t="s">
        <v>430</v>
      </c>
      <c r="F41" s="11" t="s">
        <v>431</v>
      </c>
      <c r="G41" s="11" t="s">
        <v>432</v>
      </c>
      <c r="H41" s="5" t="s">
        <v>400</v>
      </c>
    </row>
    <row r="42" customFormat="false" ht="17.15" hidden="false" customHeight="false" outlineLevel="0" collapsed="false">
      <c r="A42" s="6" t="s">
        <v>446</v>
      </c>
    </row>
    <row r="43" customFormat="false" ht="17.15" hidden="false" customHeight="false" outlineLevel="0" collapsed="false">
      <c r="A43" s="0" t="s">
        <v>447</v>
      </c>
      <c r="B43" s="0" t="s">
        <v>32</v>
      </c>
      <c r="D43" s="22" t="n">
        <f aca="false">itc_26*1</f>
        <v>781.872916666666</v>
      </c>
      <c r="E43" s="22" t="n">
        <f aca="false">itc_27*1*1</f>
        <v>1565.35</v>
      </c>
      <c r="F43" s="22" t="n">
        <f aca="false">itc_28*um28_A*1</f>
        <v>1984.26388888889</v>
      </c>
      <c r="G43" s="22" t="n">
        <f aca="false">itc_29*um29_A*1</f>
        <v>2260.39027777778</v>
      </c>
    </row>
    <row r="44" customFormat="false" ht="17.15" hidden="false" customHeight="false" outlineLevel="0" collapsed="false">
      <c r="A44" s="4" t="s">
        <v>448</v>
      </c>
      <c r="B44" s="0" t="s">
        <v>32</v>
      </c>
      <c r="D44" s="22" t="n">
        <f aca="false">itpg_gb*(1-vr26)+itpg_vr*vr26</f>
        <v>33.41403216</v>
      </c>
      <c r="E44" s="22" t="n">
        <f aca="false">itpg_vr</f>
        <v>37.586352</v>
      </c>
      <c r="F44" s="22" t="n">
        <f aca="false">itpg_vr</f>
        <v>37.586352</v>
      </c>
      <c r="G44" s="22" t="n">
        <f aca="false">itpg_vr</f>
        <v>37.586352</v>
      </c>
    </row>
    <row r="45" customFormat="false" ht="17.15" hidden="false" customHeight="false" outlineLevel="0" collapsed="false">
      <c r="A45" s="4" t="s">
        <v>449</v>
      </c>
      <c r="B45" s="0" t="s">
        <v>402</v>
      </c>
      <c r="D45" s="18" t="n">
        <f aca="false">D43/D44</f>
        <v>23.3995380420639</v>
      </c>
      <c r="E45" s="18" t="n">
        <f aca="false">E43/E44</f>
        <v>41.6467658260637</v>
      </c>
      <c r="F45" s="18" t="n">
        <f aca="false">F43/F44</f>
        <v>52.792138191248</v>
      </c>
      <c r="G45" s="18" t="n">
        <f aca="false">G43/G44</f>
        <v>60.1385917361116</v>
      </c>
    </row>
    <row r="46" customFormat="false" ht="17.15" hidden="false" customHeight="false" outlineLevel="0" collapsed="false">
      <c r="A46" s="4" t="s">
        <v>404</v>
      </c>
      <c r="B46" s="0" t="s">
        <v>405</v>
      </c>
      <c r="D46" s="16" t="n">
        <f aca="false">(racks_gb*odm_gb*(1-vr26)+racks_vr*odm_vr*vr26)/1000</f>
        <v>27.1209</v>
      </c>
      <c r="E46" s="16" t="n">
        <f aca="false">racks_vr*odm_vr/1000</f>
        <v>27.351</v>
      </c>
      <c r="F46" s="16" t="n">
        <f aca="false">$E46*vpg_28</f>
        <v>27.351</v>
      </c>
      <c r="G46" s="16" t="n">
        <f aca="false">$E46*vpg_29</f>
        <v>27.351</v>
      </c>
      <c r="H46" s="4" t="s">
        <v>450</v>
      </c>
    </row>
    <row r="47" customFormat="false" ht="17.15" hidden="false" customHeight="false" outlineLevel="0" collapsed="false">
      <c r="A47" s="0" t="s">
        <v>451</v>
      </c>
      <c r="B47" s="0" t="s">
        <v>32</v>
      </c>
      <c r="D47" s="19" t="n">
        <f aca="false">D45*D46</f>
        <v>634.61653128501</v>
      </c>
      <c r="E47" s="19" t="n">
        <f aca="false">E45*E46</f>
        <v>1139.08069210867</v>
      </c>
      <c r="F47" s="19" t="n">
        <f aca="false">F45*F46</f>
        <v>1443.91777166882</v>
      </c>
      <c r="G47" s="19" t="n">
        <f aca="false">G45*G46</f>
        <v>1644.85062257439</v>
      </c>
    </row>
    <row r="48" customFormat="false" ht="17.15" hidden="false" customHeight="false" outlineLevel="0" collapsed="false">
      <c r="A48" s="0" t="s">
        <v>452</v>
      </c>
      <c r="B48" s="0" t="s">
        <v>209</v>
      </c>
      <c r="D48" s="19" t="n">
        <f aca="false">D47*fx</f>
        <v>20307.7290011203</v>
      </c>
      <c r="E48" s="19" t="n">
        <f aca="false">E47*fx</f>
        <v>36450.5821474774</v>
      </c>
      <c r="F48" s="19" t="n">
        <f aca="false">F47*fx</f>
        <v>46205.3686934024</v>
      </c>
      <c r="G48" s="19" t="n">
        <f aca="false">G47*fx</f>
        <v>52635.2199223804</v>
      </c>
    </row>
    <row r="49" customFormat="false" ht="17.15" hidden="false" customHeight="false" outlineLevel="0" collapsed="false">
      <c r="A49" s="4" t="s">
        <v>453</v>
      </c>
      <c r="B49" s="0" t="s">
        <v>52</v>
      </c>
      <c r="D49" s="15" t="n">
        <f aca="false">a26_ai/D48</f>
        <v>0.174610057569922</v>
      </c>
      <c r="H49" s="8" t="s">
        <v>454</v>
      </c>
    </row>
    <row r="50" customFormat="false" ht="17.15" hidden="false" customHeight="false" outlineLevel="0" collapsed="false">
      <c r="A50" s="4" t="s">
        <v>455</v>
      </c>
      <c r="B50" s="0" t="s">
        <v>71</v>
      </c>
      <c r="D50" s="16" t="n">
        <f aca="false">1</f>
        <v>1</v>
      </c>
      <c r="E50" s="16" t="n">
        <f aca="false">RLO_27</f>
        <v>0.85</v>
      </c>
      <c r="F50" s="16" t="n">
        <f aca="false">RLO_28</f>
        <v>0.75</v>
      </c>
      <c r="G50" s="16" t="n">
        <f aca="false">RLO_29</f>
        <v>0.7</v>
      </c>
    </row>
    <row r="51" customFormat="false" ht="15" hidden="false" customHeight="false" outlineLevel="0" collapsed="false">
      <c r="A51" s="4" t="s">
        <v>456</v>
      </c>
      <c r="B51" s="0" t="s">
        <v>52</v>
      </c>
      <c r="D51" s="15" t="n">
        <f aca="false">$D$49*D50</f>
        <v>0.174610057569922</v>
      </c>
      <c r="E51" s="15" t="n">
        <f aca="false">$D$49*E50</f>
        <v>0.148418548934434</v>
      </c>
      <c r="F51" s="15" t="n">
        <f aca="false">$D$49*F50</f>
        <v>0.130957543177442</v>
      </c>
      <c r="G51" s="15" t="n">
        <f aca="false">$D$49*G50</f>
        <v>0.122227040298946</v>
      </c>
    </row>
    <row r="52" customFormat="false" ht="17.15" hidden="false" customHeight="false" outlineLevel="0" collapsed="false">
      <c r="A52" s="0" t="s">
        <v>457</v>
      </c>
      <c r="B52" s="0" t="s">
        <v>209</v>
      </c>
      <c r="D52" s="19" t="n">
        <f aca="false">D48*D51</f>
        <v>3545.93373</v>
      </c>
      <c r="E52" s="19" t="n">
        <f aca="false">E48*E51</f>
        <v>5409.94251014397</v>
      </c>
      <c r="F52" s="19" t="n">
        <f aca="false">F48*F51</f>
        <v>6050.94156569585</v>
      </c>
      <c r="G52" s="19" t="n">
        <f aca="false">G48*G51</f>
        <v>6433.44714659665</v>
      </c>
    </row>
    <row r="53" customFormat="false" ht="17.15" hidden="false" customHeight="false" outlineLevel="0" collapsed="false">
      <c r="A53" s="4" t="s">
        <v>458</v>
      </c>
      <c r="B53" s="0" t="s">
        <v>52</v>
      </c>
      <c r="D53" s="15" t="n">
        <f aca="false">0</f>
        <v>0</v>
      </c>
      <c r="E53" s="15" t="n">
        <f aca="false">cs_27</f>
        <v>0.1</v>
      </c>
      <c r="F53" s="15" t="n">
        <f aca="false">cs_28</f>
        <v>0.2</v>
      </c>
      <c r="G53" s="15" t="n">
        <f aca="false">cs_29</f>
        <v>0.25</v>
      </c>
      <c r="H53" s="8" t="s">
        <v>459</v>
      </c>
    </row>
    <row r="54" customFormat="false" ht="17.15" hidden="false" customHeight="false" outlineLevel="0" collapsed="false">
      <c r="A54" s="0" t="s">
        <v>460</v>
      </c>
      <c r="B54" s="0" t="s">
        <v>209</v>
      </c>
      <c r="C54" s="19" t="n">
        <f aca="false">a25_ai</f>
        <v>1620.621</v>
      </c>
      <c r="D54" s="19" t="n">
        <f aca="false">D52*(1-D53)</f>
        <v>3545.93373</v>
      </c>
      <c r="E54" s="19" t="n">
        <f aca="false">E52*(1-E53)</f>
        <v>4868.94825912957</v>
      </c>
      <c r="F54" s="19" t="n">
        <f aca="false">F52*(1-F53)</f>
        <v>4840.75325255668</v>
      </c>
      <c r="G54" s="19" t="n">
        <f aca="false">G52*(1-G53)</f>
        <v>4825.08535994749</v>
      </c>
    </row>
    <row r="55" customFormat="false" ht="17.15" hidden="false" customHeight="false" outlineLevel="0" collapsed="false">
      <c r="A55" s="6" t="s">
        <v>461</v>
      </c>
    </row>
    <row r="56" customFormat="false" ht="17.15" hidden="false" customHeight="false" outlineLevel="0" collapsed="false">
      <c r="A56" s="4" t="s">
        <v>382</v>
      </c>
      <c r="B56" s="0" t="s">
        <v>209</v>
      </c>
      <c r="C56" s="19" t="n">
        <f aca="false">a25_cn</f>
        <v>1620.621</v>
      </c>
      <c r="D56" s="19" t="n">
        <f aca="false">a26_cn</f>
        <v>2363.95582</v>
      </c>
      <c r="E56" s="19" t="n">
        <f aca="false">D56*(1+g_cn27)</f>
        <v>2647.6305184</v>
      </c>
      <c r="F56" s="19" t="n">
        <f aca="false">E56*(1+g_cn28)</f>
        <v>2859.440959872</v>
      </c>
      <c r="G56" s="19" t="n">
        <f aca="false">F56*(1+g_cn29)</f>
        <v>3031.00741746432</v>
      </c>
    </row>
    <row r="57" customFormat="false" ht="17.15" hidden="false" customHeight="false" outlineLevel="0" collapsed="false">
      <c r="A57" s="4" t="s">
        <v>383</v>
      </c>
      <c r="B57" s="0" t="s">
        <v>209</v>
      </c>
      <c r="C57" s="19" t="n">
        <f aca="false">a25_ce</f>
        <v>3079.1799</v>
      </c>
      <c r="D57" s="19" t="n">
        <f aca="false">a26_ce</f>
        <v>3345.2205</v>
      </c>
      <c r="E57" s="19" t="n">
        <f aca="false">D57*(1+g_ce27)</f>
        <v>3445.577115</v>
      </c>
      <c r="F57" s="19" t="n">
        <f aca="false">E57*(1+g_ce28)</f>
        <v>3514.4886573</v>
      </c>
      <c r="G57" s="19" t="n">
        <f aca="false">F57*(1+g_ce29)</f>
        <v>3584.778430446</v>
      </c>
    </row>
    <row r="58" customFormat="false" ht="15" hidden="false" customHeight="false" outlineLevel="0" collapsed="false">
      <c r="A58" s="4" t="s">
        <v>384</v>
      </c>
      <c r="B58" s="0" t="s">
        <v>209</v>
      </c>
      <c r="C58" s="19" t="n">
        <f aca="false">a25_pc</f>
        <v>1215.46575</v>
      </c>
      <c r="D58" s="19" t="n">
        <f aca="false">a26_pc</f>
        <v>1338.0882</v>
      </c>
      <c r="E58" s="19" t="n">
        <f aca="false">D58*(1+g_pc27)</f>
        <v>1311.326436</v>
      </c>
      <c r="F58" s="19" t="n">
        <f aca="false">E58*(1+g_pc28)</f>
        <v>1311.326436</v>
      </c>
      <c r="G58" s="19" t="n">
        <f aca="false">F58*(1+g_pc29)</f>
        <v>1311.326436</v>
      </c>
    </row>
    <row r="59" customFormat="false" ht="15" hidden="false" customHeight="false" outlineLevel="0" collapsed="false">
      <c r="A59" s="4" t="s">
        <v>462</v>
      </c>
      <c r="B59" s="0" t="s">
        <v>209</v>
      </c>
      <c r="C59" s="19" t="n">
        <f aca="false">a25_co</f>
        <v>567.217349999999</v>
      </c>
      <c r="D59" s="19" t="n">
        <f aca="false">a26_co</f>
        <v>557.53675</v>
      </c>
      <c r="E59" s="19" t="n">
        <f aca="false">D59*(1+g_co27)</f>
        <v>602.13969</v>
      </c>
      <c r="F59" s="19" t="n">
        <f aca="false">E59*(1+g_co28)</f>
        <v>638.2680714</v>
      </c>
      <c r="G59" s="19" t="n">
        <f aca="false">F59*(1+g_co29)</f>
        <v>670.18147497</v>
      </c>
    </row>
    <row r="60" customFormat="false" ht="17.15" hidden="false" customHeight="false" outlineLevel="0" collapsed="false">
      <c r="A60" s="4" t="s">
        <v>387</v>
      </c>
      <c r="B60" s="0" t="s">
        <v>209</v>
      </c>
      <c r="C60" s="19" t="n">
        <f aca="false">SUM(C56:C59)</f>
        <v>6482.484</v>
      </c>
      <c r="D60" s="19" t="n">
        <f aca="false">SUM(D56:D59)</f>
        <v>7604.80127</v>
      </c>
      <c r="E60" s="19" t="n">
        <f aca="false">SUM(E56:E59)</f>
        <v>8006.6737594</v>
      </c>
      <c r="F60" s="19" t="n">
        <f aca="false">SUM(F56:F59)</f>
        <v>8323.524124572</v>
      </c>
      <c r="G60" s="19" t="n">
        <f aca="false">SUM(G56:G59)</f>
        <v>8597.29375888032</v>
      </c>
    </row>
    <row r="61" customFormat="false" ht="15" hidden="false" customHeight="false" outlineLevel="0" collapsed="false">
      <c r="A61" s="4" t="s">
        <v>353</v>
      </c>
      <c r="B61" s="0" t="s">
        <v>209</v>
      </c>
      <c r="C61" s="19" t="n">
        <f aca="false">C54+C60</f>
        <v>8103.105</v>
      </c>
      <c r="D61" s="19" t="n">
        <f aca="false">D54+D60</f>
        <v>11150.735</v>
      </c>
      <c r="E61" s="19" t="n">
        <f aca="false">E54+E60</f>
        <v>12875.6220185296</v>
      </c>
      <c r="F61" s="19" t="n">
        <f aca="false">F54+F60</f>
        <v>13164.2773771287</v>
      </c>
      <c r="G61" s="19" t="n">
        <f aca="false">G54+G60</f>
        <v>13422.3791188278</v>
      </c>
    </row>
    <row r="62" customFormat="false" ht="15" hidden="false" customHeight="false" outlineLevel="0" collapsed="false">
      <c r="A62" s="4" t="s">
        <v>463</v>
      </c>
      <c r="B62" s="0" t="s">
        <v>52</v>
      </c>
      <c r="D62" s="15" t="n">
        <f aca="false">D61/C61-1</f>
        <v>0.376106443147411</v>
      </c>
      <c r="E62" s="15" t="n">
        <f aca="false">E61/D61-1</f>
        <v>0.154688190377547</v>
      </c>
      <c r="F62" s="15" t="n">
        <f aca="false">F61/E61-1</f>
        <v>0.0224187505802591</v>
      </c>
      <c r="G62" s="15" t="n">
        <f aca="false">G61/F61-1</f>
        <v>0.0196062217701025</v>
      </c>
    </row>
    <row r="63" customFormat="false" ht="17.15" hidden="false" customHeight="false" outlineLevel="0" collapsed="false">
      <c r="A63" s="0" t="s">
        <v>464</v>
      </c>
      <c r="B63" s="0" t="s">
        <v>52</v>
      </c>
      <c r="C63" s="15" t="n">
        <f aca="false">C54/C61</f>
        <v>0.2</v>
      </c>
      <c r="D63" s="15" t="n">
        <f aca="false">D54/D61</f>
        <v>0.318</v>
      </c>
      <c r="E63" s="15" t="n">
        <f aca="false">E54/E61</f>
        <v>0.378152469226152</v>
      </c>
      <c r="F63" s="15" t="n">
        <f aca="false">F54/F61</f>
        <v>0.367718873879617</v>
      </c>
      <c r="G63" s="15" t="n">
        <f aca="false">G54/G61</f>
        <v>0.359480634336967</v>
      </c>
    </row>
    <row r="64" customFormat="false" ht="17.15" hidden="false" customHeight="false" outlineLevel="0" collapsed="false">
      <c r="A64" s="4" t="s">
        <v>465</v>
      </c>
      <c r="B64" s="0" t="s">
        <v>52</v>
      </c>
      <c r="C64" s="15" t="n">
        <f aca="false">(C54+C56)/C61</f>
        <v>0.4</v>
      </c>
      <c r="D64" s="15" t="n">
        <f aca="false">(D54+D56)/D61</f>
        <v>0.53</v>
      </c>
      <c r="E64" s="15" t="n">
        <f aca="false">(E54+E56)/E61</f>
        <v>0.583783740056388</v>
      </c>
      <c r="F64" s="15" t="n">
        <f aca="false">(F54+F56)/F61</f>
        <v>0.584931021417615</v>
      </c>
      <c r="G64" s="15" t="n">
        <f aca="false">(G54+G56)/G61</f>
        <v>0.585298083734792</v>
      </c>
    </row>
    <row r="65" customFormat="false" ht="17.15" hidden="false" customHeight="false" outlineLevel="0" collapsed="false">
      <c r="A65" s="4" t="s">
        <v>418</v>
      </c>
      <c r="B65" s="0" t="s">
        <v>405</v>
      </c>
      <c r="D65" s="16" t="n">
        <f aca="false">D54/fx/D45</f>
        <v>4.7355819103481</v>
      </c>
      <c r="E65" s="16" t="n">
        <f aca="false">E54/fx/E45</f>
        <v>3.65345615871513</v>
      </c>
      <c r="F65" s="16" t="n">
        <f aca="false">F54/fx/F45</f>
        <v>2.86545581075697</v>
      </c>
      <c r="G65" s="16" t="n">
        <f aca="false">G54/fx/G45</f>
        <v>2.50727383441234</v>
      </c>
    </row>
    <row r="66" customFormat="false" ht="17.15" hidden="false" customHeight="false" outlineLevel="0" collapsed="false">
      <c r="A66" s="4" t="s">
        <v>466</v>
      </c>
      <c r="B66" s="4" t="s">
        <v>416</v>
      </c>
      <c r="D66" s="19" t="n">
        <f aca="false">D52/fx/(odm_gb*(1-vr26)+odm_vr*vr26)</f>
        <v>24.0630682003257</v>
      </c>
      <c r="E66" s="19" t="n">
        <f aca="false">E52/fx/odm_vr</f>
        <v>25.0460301395554</v>
      </c>
      <c r="F66" s="19" t="n">
        <f aca="false">F52/fx/odm_vr</f>
        <v>28.013618359703</v>
      </c>
      <c r="G66" s="19" t="n">
        <f aca="false">G52/fx/odm_vr</f>
        <v>29.78447753054</v>
      </c>
      <c r="H66" s="4" t="s">
        <v>467</v>
      </c>
    </row>
    <row r="67" customFormat="false" ht="17.15" hidden="false" customHeight="false" outlineLevel="0" collapsed="false">
      <c r="A67" s="6" t="s">
        <v>468</v>
      </c>
    </row>
    <row r="68" customFormat="false" ht="17.15" hidden="false" customHeight="false" outlineLevel="0" collapsed="false">
      <c r="A68" s="4" t="s">
        <v>469</v>
      </c>
      <c r="B68" s="0" t="s">
        <v>52</v>
      </c>
      <c r="D68" s="14" t="n">
        <f aca="false">a26_gp/D61-d_ai*D63</f>
        <v>0.0621989258510762</v>
      </c>
      <c r="H68" s="8" t="s">
        <v>470</v>
      </c>
    </row>
    <row r="69" customFormat="false" ht="17.15" hidden="false" customHeight="false" outlineLevel="0" collapsed="false">
      <c r="A69" s="0" t="s">
        <v>471</v>
      </c>
      <c r="B69" s="0" t="s">
        <v>209</v>
      </c>
      <c r="D69" s="22" t="n">
        <f aca="false">($D$68+d_ai)*D52*(1-D53*(1-keep))</f>
        <v>202.8236004951</v>
      </c>
      <c r="E69" s="22" t="n">
        <f aca="false">($D$68+d_ai+vrd)*E52*(1-E53*(1-keep))</f>
        <v>295.636785321262</v>
      </c>
      <c r="F69" s="22" t="n">
        <f aca="false">($D$68+d_ai+vrd)*F52*(1-F53*(1-keep))</f>
        <v>327.325365317759</v>
      </c>
      <c r="G69" s="22" t="n">
        <f aca="false">($D$68+d_ai+vrd)*G52*(1-G53*(1-keep))</f>
        <v>346.241387711511</v>
      </c>
      <c r="H69" s="4" t="s">
        <v>472</v>
      </c>
    </row>
    <row r="70" customFormat="false" ht="15" hidden="false" customHeight="false" outlineLevel="0" collapsed="false">
      <c r="A70" s="4" t="s">
        <v>357</v>
      </c>
      <c r="B70" s="0" t="s">
        <v>209</v>
      </c>
      <c r="C70" s="19" t="n">
        <f aca="false">a25_gp</f>
        <v>498.161</v>
      </c>
      <c r="D70" s="19" t="n">
        <f aca="false">a26_gp</f>
        <v>675.8340708</v>
      </c>
      <c r="E70" s="19" t="n">
        <f aca="false">$D$68*E60+E69</f>
        <v>793.64329279594</v>
      </c>
      <c r="F70" s="19" t="n">
        <f aca="false">$D$68*F60+F69</f>
        <v>845.039625161657</v>
      </c>
      <c r="G70" s="19" t="n">
        <f aca="false">$D$68*G60+G69</f>
        <v>880.983824740028</v>
      </c>
    </row>
    <row r="71" customFormat="false" ht="15" hidden="false" customHeight="false" outlineLevel="0" collapsed="false">
      <c r="A71" s="4" t="s">
        <v>360</v>
      </c>
      <c r="B71" s="0" t="s">
        <v>52</v>
      </c>
      <c r="C71" s="14" t="n">
        <f aca="false">C70/C61</f>
        <v>0.0614777915379352</v>
      </c>
      <c r="D71" s="14" t="n">
        <f aca="false">D70/D61</f>
        <v>0.0606089258510762</v>
      </c>
      <c r="E71" s="14" t="n">
        <f aca="false">E70/E61</f>
        <v>0.0616392195774147</v>
      </c>
      <c r="F71" s="14" t="n">
        <f aca="false">F70/F61</f>
        <v>0.0641918732759164</v>
      </c>
      <c r="G71" s="14" t="n">
        <f aca="false">G70/G61</f>
        <v>0.0656354448746167</v>
      </c>
    </row>
    <row r="72" customFormat="false" ht="17.15" hidden="false" customHeight="false" outlineLevel="0" collapsed="false">
      <c r="A72" s="0" t="s">
        <v>473</v>
      </c>
      <c r="B72" s="0" t="s">
        <v>52</v>
      </c>
      <c r="D72" s="14" t="n">
        <f aca="false">D69/D54</f>
        <v>0.0571989258510762</v>
      </c>
      <c r="E72" s="14" t="n">
        <f aca="false">E69/E54</f>
        <v>0.0607188184361838</v>
      </c>
      <c r="F72" s="14" t="n">
        <f aca="false">F69/F54</f>
        <v>0.0676186841675683</v>
      </c>
      <c r="G72" s="14" t="n">
        <f aca="false">G69/G54</f>
        <v>0.0717586036063991</v>
      </c>
      <c r="H72" s="4" t="s">
        <v>474</v>
      </c>
    </row>
    <row r="73" customFormat="false" ht="15" hidden="false" customHeight="false" outlineLevel="0" collapsed="false">
      <c r="A73" s="4" t="s">
        <v>475</v>
      </c>
      <c r="B73" s="0" t="s">
        <v>209</v>
      </c>
      <c r="C73" s="19" t="n">
        <f aca="false">a25_opx</f>
        <v>238.938</v>
      </c>
      <c r="D73" s="19" t="n">
        <f aca="false">a26_opx</f>
        <v>254.8304233</v>
      </c>
      <c r="E73" s="19" t="n">
        <f aca="false">D73*(1+MAX(0,phi*E62))</f>
        <v>270.598126113368</v>
      </c>
      <c r="F73" s="19" t="n">
        <f aca="false">E73*(1+MAX(0,phi*F62))</f>
        <v>273.024714872097</v>
      </c>
      <c r="G73" s="19" t="n">
        <f aca="false">F73*(1+MAX(0,phi*G62))</f>
        <v>275.165908115497</v>
      </c>
    </row>
    <row r="74" customFormat="false" ht="15" hidden="false" customHeight="false" outlineLevel="0" collapsed="false">
      <c r="A74" s="4" t="s">
        <v>361</v>
      </c>
      <c r="B74" s="0" t="s">
        <v>209</v>
      </c>
      <c r="C74" s="19" t="n">
        <f aca="false">C73</f>
        <v>238.938</v>
      </c>
      <c r="D74" s="19" t="n">
        <f aca="false">D73</f>
        <v>254.8304233</v>
      </c>
      <c r="E74" s="19" t="n">
        <f aca="false">E73+0*E61</f>
        <v>270.598126113368</v>
      </c>
      <c r="F74" s="19" t="n">
        <f aca="false">F73+0*F61</f>
        <v>273.024714872097</v>
      </c>
      <c r="G74" s="19" t="n">
        <f aca="false">G73+0*G61</f>
        <v>275.165908115497</v>
      </c>
    </row>
    <row r="75" customFormat="false" ht="15" hidden="false" customHeight="false" outlineLevel="0" collapsed="false">
      <c r="A75" s="4" t="s">
        <v>364</v>
      </c>
      <c r="B75" s="0" t="s">
        <v>209</v>
      </c>
      <c r="C75" s="19" t="n">
        <f aca="false">C70-C74</f>
        <v>259.223</v>
      </c>
      <c r="D75" s="19" t="n">
        <f aca="false">D70-D74</f>
        <v>421.0036475</v>
      </c>
      <c r="E75" s="19" t="n">
        <f aca="false">E70-E74</f>
        <v>523.045166682571</v>
      </c>
      <c r="F75" s="19" t="n">
        <f aca="false">F70-F74</f>
        <v>572.01491028956</v>
      </c>
      <c r="G75" s="19" t="n">
        <f aca="false">G70-G74</f>
        <v>605.817916624531</v>
      </c>
    </row>
    <row r="76" customFormat="false" ht="15" hidden="false" customHeight="false" outlineLevel="0" collapsed="false">
      <c r="A76" s="4" t="s">
        <v>367</v>
      </c>
      <c r="B76" s="0" t="s">
        <v>52</v>
      </c>
      <c r="C76" s="14" t="n">
        <f aca="false">C75/C61</f>
        <v>0.0319905764518663</v>
      </c>
      <c r="D76" s="14" t="n">
        <f aca="false">D75/D61</f>
        <v>0.0377556858359561</v>
      </c>
      <c r="E76" s="14" t="n">
        <f aca="false">E75/E61</f>
        <v>0.0406229047365515</v>
      </c>
      <c r="F76" s="14" t="n">
        <f aca="false">F75/F61</f>
        <v>0.0434520554302028</v>
      </c>
      <c r="G76" s="14" t="n">
        <f aca="false">G75/G61</f>
        <v>0.0451349132118269</v>
      </c>
    </row>
    <row r="77" customFormat="false" ht="17.15" hidden="false" customHeight="false" outlineLevel="0" collapsed="false">
      <c r="A77" s="4" t="s">
        <v>243</v>
      </c>
      <c r="B77" s="0" t="s">
        <v>52</v>
      </c>
      <c r="C77" s="15" t="n">
        <f aca="false">a25_ni/a25_oi</f>
        <v>0.730467589681471</v>
      </c>
      <c r="D77" s="15" t="n">
        <f aca="false">a26_ni/a26_oi</f>
        <v>0.653811645064191</v>
      </c>
      <c r="E77" s="15" t="n">
        <f aca="false">nio_f</f>
        <v>0.66</v>
      </c>
      <c r="F77" s="15" t="n">
        <f aca="false">nio_f</f>
        <v>0.66</v>
      </c>
      <c r="G77" s="15" t="n">
        <f aca="false">nio_f</f>
        <v>0.66</v>
      </c>
    </row>
    <row r="78" customFormat="false" ht="15" hidden="false" customHeight="false" outlineLevel="0" collapsed="false">
      <c r="A78" s="4" t="s">
        <v>368</v>
      </c>
      <c r="B78" s="0" t="s">
        <v>209</v>
      </c>
      <c r="C78" s="19" t="n">
        <f aca="false">a25_ni</f>
        <v>189.354</v>
      </c>
      <c r="D78" s="19" t="n">
        <f aca="false">a26_ni</f>
        <v>275.25708735</v>
      </c>
      <c r="E78" s="19" t="n">
        <f aca="false">E75*E77</f>
        <v>345.209810010497</v>
      </c>
      <c r="F78" s="19" t="n">
        <f aca="false">F75*F77</f>
        <v>377.52984079111</v>
      </c>
      <c r="G78" s="19" t="n">
        <f aca="false">G75*G77</f>
        <v>399.83982497219</v>
      </c>
    </row>
    <row r="79" customFormat="false" ht="15" hidden="false" customHeight="false" outlineLevel="0" collapsed="false">
      <c r="A79" s="4" t="s">
        <v>476</v>
      </c>
      <c r="B79" s="4" t="s">
        <v>230</v>
      </c>
      <c r="C79" s="23" t="n">
        <f aca="false">a25_sh</f>
        <v>13.9128581925055</v>
      </c>
      <c r="D79" s="23" t="n">
        <f aca="false">a26_sh</f>
        <v>14.0169642857143</v>
      </c>
      <c r="E79" s="23" t="n">
        <f aca="false">D79*(1+sh_g)</f>
        <v>14.0169642857143</v>
      </c>
      <c r="F79" s="23" t="n">
        <f aca="false">E79*(1+sh_g)</f>
        <v>14.0169642857143</v>
      </c>
      <c r="G79" s="23" t="n">
        <f aca="false">F79*(1+sh_g)</f>
        <v>14.0169642857143</v>
      </c>
    </row>
    <row r="80" customFormat="false" ht="15" hidden="false" customHeight="false" outlineLevel="0" collapsed="false">
      <c r="A80" s="0" t="s">
        <v>374</v>
      </c>
      <c r="B80" s="0" t="s">
        <v>260</v>
      </c>
      <c r="C80" s="22" t="n">
        <f aca="false">C78/C79</f>
        <v>13.61</v>
      </c>
      <c r="D80" s="22" t="n">
        <f aca="false">D78/D79</f>
        <v>19.6374251756163</v>
      </c>
      <c r="E80" s="22" t="n">
        <f aca="false">E78/E79</f>
        <v>24.6280009689634</v>
      </c>
      <c r="F80" s="22" t="n">
        <f aca="false">F78/F79</f>
        <v>26.9337806029711</v>
      </c>
      <c r="G80" s="22" t="n">
        <f aca="false">G78/G79</f>
        <v>28.5254222542107</v>
      </c>
    </row>
    <row r="81" customFormat="false" ht="17.15" hidden="false" customHeight="false" outlineLevel="0" collapsed="false">
      <c r="A81" s="0" t="s">
        <v>477</v>
      </c>
      <c r="B81" s="0" t="s">
        <v>52</v>
      </c>
      <c r="D81" s="15" t="n">
        <f aca="false">D80/C80-1</f>
        <v>0.442867389832203</v>
      </c>
      <c r="E81" s="15" t="n">
        <f aca="false">E80/D80-1</f>
        <v>0.254135954623212</v>
      </c>
      <c r="F81" s="15" t="n">
        <f aca="false">F80/E80-1</f>
        <v>0.0936243114864832</v>
      </c>
      <c r="G81" s="15" t="n">
        <f aca="false">G80/F80-1</f>
        <v>0.0590946245052584</v>
      </c>
    </row>
    <row r="84" customFormat="false" ht="17.15" hidden="false" customHeight="false" outlineLevel="0" collapsed="false">
      <c r="A84" s="1" t="s">
        <v>785</v>
      </c>
    </row>
    <row r="85" customFormat="false" ht="17.15" hidden="false" customHeight="false" outlineLevel="0" collapsed="false">
      <c r="A85" s="5" t="s">
        <v>21</v>
      </c>
      <c r="B85" s="5" t="s">
        <v>22</v>
      </c>
      <c r="C85" s="11" t="s">
        <v>347</v>
      </c>
      <c r="D85" s="11" t="s">
        <v>429</v>
      </c>
      <c r="E85" s="11" t="s">
        <v>430</v>
      </c>
      <c r="F85" s="11" t="s">
        <v>431</v>
      </c>
      <c r="G85" s="11" t="s">
        <v>432</v>
      </c>
      <c r="H85" s="5" t="s">
        <v>400</v>
      </c>
    </row>
    <row r="86" customFormat="false" ht="17.15" hidden="false" customHeight="false" outlineLevel="0" collapsed="false">
      <c r="A86" s="6" t="s">
        <v>446</v>
      </c>
    </row>
    <row r="87" customFormat="false" ht="17.15" hidden="false" customHeight="false" outlineLevel="0" collapsed="false">
      <c r="A87" s="0" t="s">
        <v>447</v>
      </c>
      <c r="B87" s="0" t="s">
        <v>32</v>
      </c>
      <c r="D87" s="22" t="n">
        <f aca="false">itc_26*1</f>
        <v>781.872916666666</v>
      </c>
      <c r="E87" s="22" t="n">
        <f aca="false">itc_27*1*1</f>
        <v>1565.35</v>
      </c>
      <c r="F87" s="22" t="n">
        <f aca="false">itc_28*um28_A*1</f>
        <v>1984.26388888889</v>
      </c>
      <c r="G87" s="22" t="n">
        <f aca="false">itc_29*um29_A*1</f>
        <v>2260.39027777778</v>
      </c>
    </row>
    <row r="88" customFormat="false" ht="17.15" hidden="false" customHeight="false" outlineLevel="0" collapsed="false">
      <c r="A88" s="4" t="s">
        <v>448</v>
      </c>
      <c r="B88" s="0" t="s">
        <v>32</v>
      </c>
      <c r="D88" s="22" t="n">
        <f aca="false">itpg_gb*(1-vr26)+itpg_vr*vr26</f>
        <v>33.41403216</v>
      </c>
      <c r="E88" s="22" t="n">
        <f aca="false">itpg_vr</f>
        <v>37.586352</v>
      </c>
      <c r="F88" s="22" t="n">
        <f aca="false">itpg_vr</f>
        <v>37.586352</v>
      </c>
      <c r="G88" s="22" t="n">
        <f aca="false">itpg_vr</f>
        <v>37.586352</v>
      </c>
    </row>
    <row r="89" customFormat="false" ht="17.15" hidden="false" customHeight="false" outlineLevel="0" collapsed="false">
      <c r="A89" s="4" t="s">
        <v>449</v>
      </c>
      <c r="B89" s="0" t="s">
        <v>402</v>
      </c>
      <c r="D89" s="18" t="n">
        <f aca="false">D87/D88</f>
        <v>23.3995380420639</v>
      </c>
      <c r="E89" s="18" t="n">
        <f aca="false">E87/E88</f>
        <v>41.6467658260637</v>
      </c>
      <c r="F89" s="18" t="n">
        <f aca="false">F87/F88</f>
        <v>52.792138191248</v>
      </c>
      <c r="G89" s="18" t="n">
        <f aca="false">G87/G88</f>
        <v>60.1385917361116</v>
      </c>
    </row>
    <row r="90" customFormat="false" ht="17.15" hidden="false" customHeight="false" outlineLevel="0" collapsed="false">
      <c r="A90" s="4" t="s">
        <v>404</v>
      </c>
      <c r="B90" s="0" t="s">
        <v>405</v>
      </c>
      <c r="D90" s="16" t="n">
        <f aca="false">(racks_gb*odm_gb*(1-vr26)+racks_vr*odm_vr*vr26)/1000</f>
        <v>27.1209</v>
      </c>
      <c r="E90" s="16" t="n">
        <f aca="false">racks_vr*odm_vr/1000</f>
        <v>27.351</v>
      </c>
      <c r="F90" s="16" t="n">
        <f aca="false">$E90*vpg_28</f>
        <v>27.351</v>
      </c>
      <c r="G90" s="16" t="n">
        <f aca="false">$E90*vpg_29</f>
        <v>27.351</v>
      </c>
      <c r="H90" s="4" t="s">
        <v>450</v>
      </c>
    </row>
    <row r="91" customFormat="false" ht="17.15" hidden="false" customHeight="false" outlineLevel="0" collapsed="false">
      <c r="A91" s="0" t="s">
        <v>451</v>
      </c>
      <c r="B91" s="0" t="s">
        <v>32</v>
      </c>
      <c r="D91" s="19" t="n">
        <f aca="false">D89*D90</f>
        <v>634.61653128501</v>
      </c>
      <c r="E91" s="19" t="n">
        <f aca="false">E89*E90</f>
        <v>1139.08069210867</v>
      </c>
      <c r="F91" s="19" t="n">
        <f aca="false">F89*F90</f>
        <v>1443.91777166882</v>
      </c>
      <c r="G91" s="19" t="n">
        <f aca="false">G89*G90</f>
        <v>1644.85062257439</v>
      </c>
    </row>
    <row r="92" customFormat="false" ht="17.15" hidden="false" customHeight="false" outlineLevel="0" collapsed="false">
      <c r="A92" s="0" t="s">
        <v>452</v>
      </c>
      <c r="B92" s="0" t="s">
        <v>209</v>
      </c>
      <c r="D92" s="19" t="n">
        <f aca="false">D91*fx</f>
        <v>20307.7290011203</v>
      </c>
      <c r="E92" s="19" t="n">
        <f aca="false">E91*fx</f>
        <v>36450.5821474774</v>
      </c>
      <c r="F92" s="19" t="n">
        <f aca="false">F91*fx</f>
        <v>46205.3686934024</v>
      </c>
      <c r="G92" s="19" t="n">
        <f aca="false">G91*fx</f>
        <v>52635.2199223804</v>
      </c>
    </row>
    <row r="93" customFormat="false" ht="17.15" hidden="false" customHeight="false" outlineLevel="0" collapsed="false">
      <c r="A93" s="4" t="s">
        <v>453</v>
      </c>
      <c r="B93" s="0" t="s">
        <v>52</v>
      </c>
      <c r="D93" s="15" t="n">
        <f aca="false">a26_ai/D92</f>
        <v>0.174610057569922</v>
      </c>
      <c r="H93" s="8" t="s">
        <v>454</v>
      </c>
    </row>
    <row r="94" customFormat="false" ht="17.15" hidden="false" customHeight="false" outlineLevel="0" collapsed="false">
      <c r="A94" s="4" t="s">
        <v>455</v>
      </c>
      <c r="B94" s="0" t="s">
        <v>71</v>
      </c>
      <c r="D94" s="16" t="n">
        <f aca="false">1</f>
        <v>1</v>
      </c>
      <c r="E94" s="16" t="n">
        <f aca="false">RHI_27</f>
        <v>1.15</v>
      </c>
      <c r="F94" s="16" t="n">
        <f aca="false">RHI_28</f>
        <v>1.15</v>
      </c>
      <c r="G94" s="16" t="n">
        <f aca="false">RHI_29</f>
        <v>1.15</v>
      </c>
    </row>
    <row r="95" customFormat="false" ht="15" hidden="false" customHeight="false" outlineLevel="0" collapsed="false">
      <c r="A95" s="4" t="s">
        <v>456</v>
      </c>
      <c r="B95" s="0" t="s">
        <v>52</v>
      </c>
      <c r="D95" s="15" t="n">
        <f aca="false">$D$93*D94</f>
        <v>0.174610057569922</v>
      </c>
      <c r="E95" s="15" t="n">
        <f aca="false">$D$93*E94</f>
        <v>0.20080156620541</v>
      </c>
      <c r="F95" s="15" t="n">
        <f aca="false">$D$93*F94</f>
        <v>0.20080156620541</v>
      </c>
      <c r="G95" s="15" t="n">
        <f aca="false">$D$93*G94</f>
        <v>0.20080156620541</v>
      </c>
    </row>
    <row r="96" customFormat="false" ht="17.15" hidden="false" customHeight="false" outlineLevel="0" collapsed="false">
      <c r="A96" s="0" t="s">
        <v>457</v>
      </c>
      <c r="B96" s="0" t="s">
        <v>209</v>
      </c>
      <c r="D96" s="19" t="n">
        <f aca="false">D92*D95</f>
        <v>3545.93373</v>
      </c>
      <c r="E96" s="19" t="n">
        <f aca="false">E92*E95</f>
        <v>7319.33398431243</v>
      </c>
      <c r="F96" s="19" t="n">
        <f aca="false">F92*F95</f>
        <v>9278.11040073363</v>
      </c>
      <c r="G96" s="19" t="n">
        <f aca="false">G92*G95</f>
        <v>10569.2345979802</v>
      </c>
    </row>
    <row r="97" customFormat="false" ht="17.15" hidden="false" customHeight="false" outlineLevel="0" collapsed="false">
      <c r="A97" s="4" t="s">
        <v>458</v>
      </c>
      <c r="B97" s="0" t="s">
        <v>52</v>
      </c>
      <c r="D97" s="15" t="n">
        <f aca="false">0</f>
        <v>0</v>
      </c>
      <c r="E97" s="15" t="n">
        <f aca="false">cs_27</f>
        <v>0.1</v>
      </c>
      <c r="F97" s="15" t="n">
        <f aca="false">cs_28</f>
        <v>0.2</v>
      </c>
      <c r="G97" s="15" t="n">
        <f aca="false">cs_29</f>
        <v>0.25</v>
      </c>
      <c r="H97" s="8" t="s">
        <v>459</v>
      </c>
    </row>
    <row r="98" customFormat="false" ht="17.15" hidden="false" customHeight="false" outlineLevel="0" collapsed="false">
      <c r="A98" s="0" t="s">
        <v>460</v>
      </c>
      <c r="B98" s="0" t="s">
        <v>209</v>
      </c>
      <c r="C98" s="19" t="n">
        <f aca="false">a25_ai</f>
        <v>1620.621</v>
      </c>
      <c r="D98" s="19" t="n">
        <f aca="false">D96*(1-D97)</f>
        <v>3545.93373</v>
      </c>
      <c r="E98" s="19" t="n">
        <f aca="false">E96*(1-E97)</f>
        <v>6587.40058588119</v>
      </c>
      <c r="F98" s="19" t="n">
        <f aca="false">F96*(1-F97)</f>
        <v>7422.48832058691</v>
      </c>
      <c r="G98" s="19" t="n">
        <f aca="false">G96*(1-G97)</f>
        <v>7926.92594848515</v>
      </c>
    </row>
    <row r="99" customFormat="false" ht="17.15" hidden="false" customHeight="false" outlineLevel="0" collapsed="false">
      <c r="A99" s="6" t="s">
        <v>461</v>
      </c>
    </row>
    <row r="100" customFormat="false" ht="17.15" hidden="false" customHeight="false" outlineLevel="0" collapsed="false">
      <c r="A100" s="4" t="s">
        <v>382</v>
      </c>
      <c r="B100" s="0" t="s">
        <v>209</v>
      </c>
      <c r="C100" s="19" t="n">
        <f aca="false">a25_cn</f>
        <v>1620.621</v>
      </c>
      <c r="D100" s="19" t="n">
        <f aca="false">a26_cn</f>
        <v>2363.95582</v>
      </c>
      <c r="E100" s="19" t="n">
        <f aca="false">D100*(1+g_cn27)</f>
        <v>2647.6305184</v>
      </c>
      <c r="F100" s="19" t="n">
        <f aca="false">E100*(1+g_cn28)</f>
        <v>2859.440959872</v>
      </c>
      <c r="G100" s="19" t="n">
        <f aca="false">F100*(1+g_cn29)</f>
        <v>3031.00741746432</v>
      </c>
    </row>
    <row r="101" customFormat="false" ht="17.15" hidden="false" customHeight="false" outlineLevel="0" collapsed="false">
      <c r="A101" s="4" t="s">
        <v>383</v>
      </c>
      <c r="B101" s="0" t="s">
        <v>209</v>
      </c>
      <c r="C101" s="19" t="n">
        <f aca="false">a25_ce</f>
        <v>3079.1799</v>
      </c>
      <c r="D101" s="19" t="n">
        <f aca="false">a26_ce</f>
        <v>3345.2205</v>
      </c>
      <c r="E101" s="19" t="n">
        <f aca="false">D101*(1+g_ce27)</f>
        <v>3445.577115</v>
      </c>
      <c r="F101" s="19" t="n">
        <f aca="false">E101*(1+g_ce28)</f>
        <v>3514.4886573</v>
      </c>
      <c r="G101" s="19" t="n">
        <f aca="false">F101*(1+g_ce29)</f>
        <v>3584.778430446</v>
      </c>
    </row>
    <row r="102" customFormat="false" ht="15" hidden="false" customHeight="false" outlineLevel="0" collapsed="false">
      <c r="A102" s="4" t="s">
        <v>384</v>
      </c>
      <c r="B102" s="0" t="s">
        <v>209</v>
      </c>
      <c r="C102" s="19" t="n">
        <f aca="false">a25_pc</f>
        <v>1215.46575</v>
      </c>
      <c r="D102" s="19" t="n">
        <f aca="false">a26_pc</f>
        <v>1338.0882</v>
      </c>
      <c r="E102" s="19" t="n">
        <f aca="false">D102*(1+g_pc27)</f>
        <v>1311.326436</v>
      </c>
      <c r="F102" s="19" t="n">
        <f aca="false">E102*(1+g_pc28)</f>
        <v>1311.326436</v>
      </c>
      <c r="G102" s="19" t="n">
        <f aca="false">F102*(1+g_pc29)</f>
        <v>1311.326436</v>
      </c>
    </row>
    <row r="103" customFormat="false" ht="15" hidden="false" customHeight="false" outlineLevel="0" collapsed="false">
      <c r="A103" s="4" t="s">
        <v>462</v>
      </c>
      <c r="B103" s="0" t="s">
        <v>209</v>
      </c>
      <c r="C103" s="19" t="n">
        <f aca="false">a25_co</f>
        <v>567.217349999999</v>
      </c>
      <c r="D103" s="19" t="n">
        <f aca="false">a26_co</f>
        <v>557.53675</v>
      </c>
      <c r="E103" s="19" t="n">
        <f aca="false">D103*(1+g_co27)</f>
        <v>602.13969</v>
      </c>
      <c r="F103" s="19" t="n">
        <f aca="false">E103*(1+g_co28)</f>
        <v>638.2680714</v>
      </c>
      <c r="G103" s="19" t="n">
        <f aca="false">F103*(1+g_co29)</f>
        <v>670.18147497</v>
      </c>
    </row>
    <row r="104" customFormat="false" ht="17.15" hidden="false" customHeight="false" outlineLevel="0" collapsed="false">
      <c r="A104" s="4" t="s">
        <v>387</v>
      </c>
      <c r="B104" s="0" t="s">
        <v>209</v>
      </c>
      <c r="C104" s="19" t="n">
        <f aca="false">SUM(C100:C103)</f>
        <v>6482.484</v>
      </c>
      <c r="D104" s="19" t="n">
        <f aca="false">SUM(D100:D103)</f>
        <v>7604.80127</v>
      </c>
      <c r="E104" s="19" t="n">
        <f aca="false">SUM(E100:E103)</f>
        <v>8006.6737594</v>
      </c>
      <c r="F104" s="19" t="n">
        <f aca="false">SUM(F100:F103)</f>
        <v>8323.524124572</v>
      </c>
      <c r="G104" s="19" t="n">
        <f aca="false">SUM(G100:G103)</f>
        <v>8597.29375888032</v>
      </c>
    </row>
    <row r="105" customFormat="false" ht="15" hidden="false" customHeight="false" outlineLevel="0" collapsed="false">
      <c r="A105" s="4" t="s">
        <v>353</v>
      </c>
      <c r="B105" s="0" t="s">
        <v>209</v>
      </c>
      <c r="C105" s="19" t="n">
        <f aca="false">C98+C104</f>
        <v>8103.105</v>
      </c>
      <c r="D105" s="19" t="n">
        <f aca="false">D98+D104</f>
        <v>11150.735</v>
      </c>
      <c r="E105" s="19" t="n">
        <f aca="false">E98+E104</f>
        <v>14594.0743452812</v>
      </c>
      <c r="F105" s="19" t="n">
        <f aca="false">F98+F104</f>
        <v>15746.0124451589</v>
      </c>
      <c r="G105" s="19" t="n">
        <f aca="false">G98+G104</f>
        <v>16524.2197073655</v>
      </c>
    </row>
    <row r="106" customFormat="false" ht="15" hidden="false" customHeight="false" outlineLevel="0" collapsed="false">
      <c r="A106" s="4" t="s">
        <v>463</v>
      </c>
      <c r="B106" s="0" t="s">
        <v>52</v>
      </c>
      <c r="D106" s="15" t="n">
        <f aca="false">D105/C105-1</f>
        <v>0.376106443147411</v>
      </c>
      <c r="E106" s="15" t="n">
        <f aca="false">E105/D105-1</f>
        <v>0.308799316393151</v>
      </c>
      <c r="F106" s="15" t="n">
        <f aca="false">F105/E105-1</f>
        <v>0.0789319056915856</v>
      </c>
      <c r="G106" s="15" t="n">
        <f aca="false">G105/F105-1</f>
        <v>0.0494224975953088</v>
      </c>
    </row>
    <row r="107" customFormat="false" ht="17.15" hidden="false" customHeight="false" outlineLevel="0" collapsed="false">
      <c r="A107" s="0" t="s">
        <v>464</v>
      </c>
      <c r="B107" s="0" t="s">
        <v>52</v>
      </c>
      <c r="C107" s="15" t="n">
        <f aca="false">C98/C105</f>
        <v>0.2</v>
      </c>
      <c r="D107" s="15" t="n">
        <f aca="false">D98/D105</f>
        <v>0.318</v>
      </c>
      <c r="E107" s="15" t="n">
        <f aca="false">E98/E105</f>
        <v>0.451375019068006</v>
      </c>
      <c r="F107" s="15" t="n">
        <f aca="false">F98/F105</f>
        <v>0.471388444943656</v>
      </c>
      <c r="G107" s="15" t="n">
        <f aca="false">G98/G105</f>
        <v>0.479715598610192</v>
      </c>
    </row>
    <row r="108" customFormat="false" ht="17.15" hidden="false" customHeight="false" outlineLevel="0" collapsed="false">
      <c r="A108" s="4" t="s">
        <v>465</v>
      </c>
      <c r="B108" s="0" t="s">
        <v>52</v>
      </c>
      <c r="C108" s="15" t="n">
        <f aca="false">(C98+C100)/C105</f>
        <v>0.4</v>
      </c>
      <c r="D108" s="15" t="n">
        <f aca="false">(D98+D100)/D105</f>
        <v>0.53</v>
      </c>
      <c r="E108" s="15" t="n">
        <f aca="false">(E98+E100)/E105</f>
        <v>0.632793206735117</v>
      </c>
      <c r="F108" s="15" t="n">
        <f aca="false">(F98+F100)/F105</f>
        <v>0.652986228498764</v>
      </c>
      <c r="G108" s="15" t="n">
        <f aca="false">(G98+G100)/G105</f>
        <v>0.663143770780602</v>
      </c>
    </row>
    <row r="109" customFormat="false" ht="17.15" hidden="false" customHeight="false" outlineLevel="0" collapsed="false">
      <c r="A109" s="4" t="s">
        <v>418</v>
      </c>
      <c r="B109" s="0" t="s">
        <v>405</v>
      </c>
      <c r="D109" s="16" t="n">
        <f aca="false">D98/fx/D89</f>
        <v>4.7355819103481</v>
      </c>
      <c r="E109" s="16" t="n">
        <f aca="false">E98/fx/E89</f>
        <v>4.94291127355576</v>
      </c>
      <c r="F109" s="16" t="n">
        <f aca="false">F98/fx/F89</f>
        <v>4.39369890982735</v>
      </c>
      <c r="G109" s="16" t="n">
        <f aca="false">G98/fx/G89</f>
        <v>4.11909272796314</v>
      </c>
    </row>
    <row r="110" customFormat="false" ht="17.15" hidden="false" customHeight="false" outlineLevel="0" collapsed="false">
      <c r="A110" s="4" t="s">
        <v>466</v>
      </c>
      <c r="B110" s="4" t="s">
        <v>416</v>
      </c>
      <c r="D110" s="19" t="n">
        <f aca="false">D96/fx/(odm_gb*(1-vr26)+odm_vr*vr26)</f>
        <v>24.0630682003257</v>
      </c>
      <c r="E110" s="19" t="n">
        <f aca="false">E96/fx/odm_vr</f>
        <v>33.8858054829279</v>
      </c>
      <c r="F110" s="19" t="n">
        <f aca="false">F96/fx/odm_vr</f>
        <v>42.9542148182113</v>
      </c>
      <c r="G110" s="19" t="n">
        <f aca="false">G96/fx/odm_vr</f>
        <v>48.9316416573158</v>
      </c>
      <c r="H110" s="4" t="s">
        <v>467</v>
      </c>
    </row>
    <row r="111" customFormat="false" ht="17.15" hidden="false" customHeight="false" outlineLevel="0" collapsed="false">
      <c r="A111" s="6" t="s">
        <v>468</v>
      </c>
    </row>
    <row r="112" customFormat="false" ht="17.15" hidden="false" customHeight="false" outlineLevel="0" collapsed="false">
      <c r="A112" s="4" t="s">
        <v>469</v>
      </c>
      <c r="B112" s="0" t="s">
        <v>52</v>
      </c>
      <c r="D112" s="14" t="n">
        <f aca="false">a26_gp/D105-d_ai*D107</f>
        <v>0.0621989258510762</v>
      </c>
      <c r="H112" s="8" t="s">
        <v>470</v>
      </c>
    </row>
    <row r="113" customFormat="false" ht="17.15" hidden="false" customHeight="false" outlineLevel="0" collapsed="false">
      <c r="A113" s="0" t="s">
        <v>471</v>
      </c>
      <c r="B113" s="0" t="s">
        <v>209</v>
      </c>
      <c r="D113" s="22" t="n">
        <f aca="false">($D$112+d_ai)*D96*(1-D97*(1-keep))</f>
        <v>202.8236004951</v>
      </c>
      <c r="E113" s="22" t="n">
        <f aca="false">($D$112+d_ai+vrd)*E96*(1-E97*(1-keep))</f>
        <v>399.979180140531</v>
      </c>
      <c r="F113" s="22" t="n">
        <f aca="false">($D$112+d_ai+vrd)*F96*(1-F97*(1-keep))</f>
        <v>501.898893487231</v>
      </c>
      <c r="G113" s="22" t="n">
        <f aca="false">($D$112+d_ai+vrd)*G96*(1-G97*(1-keep))</f>
        <v>568.825136954625</v>
      </c>
      <c r="H113" s="4" t="s">
        <v>472</v>
      </c>
    </row>
    <row r="114" customFormat="false" ht="15" hidden="false" customHeight="false" outlineLevel="0" collapsed="false">
      <c r="A114" s="4" t="s">
        <v>357</v>
      </c>
      <c r="B114" s="0" t="s">
        <v>209</v>
      </c>
      <c r="C114" s="19" t="n">
        <f aca="false">a25_gp</f>
        <v>498.161</v>
      </c>
      <c r="D114" s="19" t="n">
        <f aca="false">a26_gp</f>
        <v>675.8340708</v>
      </c>
      <c r="E114" s="19" t="n">
        <f aca="false">$D$112*E104+E113</f>
        <v>897.985687615209</v>
      </c>
      <c r="F114" s="19" t="n">
        <f aca="false">$D$112*F104+F113</f>
        <v>1019.61315333113</v>
      </c>
      <c r="G114" s="19" t="n">
        <f aca="false">$D$112*G104+G113</f>
        <v>1103.56757398314</v>
      </c>
    </row>
    <row r="115" customFormat="false" ht="15" hidden="false" customHeight="false" outlineLevel="0" collapsed="false">
      <c r="A115" s="4" t="s">
        <v>360</v>
      </c>
      <c r="B115" s="0" t="s">
        <v>52</v>
      </c>
      <c r="C115" s="14" t="n">
        <f aca="false">C114/C105</f>
        <v>0.0614777915379352</v>
      </c>
      <c r="D115" s="14" t="n">
        <f aca="false">D114/D105</f>
        <v>0.0606089258510762</v>
      </c>
      <c r="E115" s="14" t="n">
        <f aca="false">E114/E105</f>
        <v>0.0615308423384564</v>
      </c>
      <c r="F115" s="14" t="n">
        <f aca="false">F114/F105</f>
        <v>0.0647537372958579</v>
      </c>
      <c r="G115" s="14" t="n">
        <f aca="false">G114/G105</f>
        <v>0.0667848523879914</v>
      </c>
    </row>
    <row r="116" customFormat="false" ht="17.15" hidden="false" customHeight="false" outlineLevel="0" collapsed="false">
      <c r="A116" s="0" t="s">
        <v>473</v>
      </c>
      <c r="B116" s="0" t="s">
        <v>52</v>
      </c>
      <c r="D116" s="14" t="n">
        <f aca="false">D113/D98</f>
        <v>0.0571989258510762</v>
      </c>
      <c r="E116" s="14" t="n">
        <f aca="false">E113/E98</f>
        <v>0.0607188184361838</v>
      </c>
      <c r="F116" s="14" t="n">
        <f aca="false">F113/F98</f>
        <v>0.0676186841675683</v>
      </c>
      <c r="G116" s="14" t="n">
        <f aca="false">G113/G98</f>
        <v>0.0717586036063991</v>
      </c>
      <c r="H116" s="4" t="s">
        <v>474</v>
      </c>
    </row>
    <row r="117" customFormat="false" ht="15" hidden="false" customHeight="false" outlineLevel="0" collapsed="false">
      <c r="A117" s="4" t="s">
        <v>475</v>
      </c>
      <c r="B117" s="0" t="s">
        <v>209</v>
      </c>
      <c r="C117" s="19" t="n">
        <f aca="false">a25_opx</f>
        <v>238.938</v>
      </c>
      <c r="D117" s="19" t="n">
        <f aca="false">a26_opx</f>
        <v>254.8304233</v>
      </c>
      <c r="E117" s="19" t="n">
        <f aca="false">D117*(1+MAX(0,phi*E106))</f>
        <v>286.307007504487</v>
      </c>
      <c r="F117" s="19" t="n">
        <f aca="false">E117*(1+MAX(0,phi*F106))</f>
        <v>295.346510590561</v>
      </c>
      <c r="G117" s="19" t="n">
        <f aca="false">F117*(1+MAX(0,phi*G106))</f>
        <v>301.185215474339</v>
      </c>
    </row>
    <row r="118" customFormat="false" ht="15" hidden="false" customHeight="false" outlineLevel="0" collapsed="false">
      <c r="A118" s="4" t="s">
        <v>361</v>
      </c>
      <c r="B118" s="0" t="s">
        <v>209</v>
      </c>
      <c r="C118" s="19" t="n">
        <f aca="false">C117</f>
        <v>238.938</v>
      </c>
      <c r="D118" s="19" t="n">
        <f aca="false">D117</f>
        <v>254.8304233</v>
      </c>
      <c r="E118" s="19" t="n">
        <f aca="false">E117+0*E105</f>
        <v>286.307007504487</v>
      </c>
      <c r="F118" s="19" t="n">
        <f aca="false">F117+0*F105</f>
        <v>295.346510590561</v>
      </c>
      <c r="G118" s="19" t="n">
        <f aca="false">G117+0*G105</f>
        <v>301.185215474339</v>
      </c>
    </row>
    <row r="119" customFormat="false" ht="15" hidden="false" customHeight="false" outlineLevel="0" collapsed="false">
      <c r="A119" s="4" t="s">
        <v>364</v>
      </c>
      <c r="B119" s="0" t="s">
        <v>209</v>
      </c>
      <c r="C119" s="19" t="n">
        <f aca="false">C114-C118</f>
        <v>259.223</v>
      </c>
      <c r="D119" s="19" t="n">
        <f aca="false">D114-D118</f>
        <v>421.0036475</v>
      </c>
      <c r="E119" s="19" t="n">
        <f aca="false">E114-E118</f>
        <v>611.678680110722</v>
      </c>
      <c r="F119" s="19" t="n">
        <f aca="false">F114-F118</f>
        <v>724.266642740568</v>
      </c>
      <c r="G119" s="19" t="n">
        <f aca="false">G114-G118</f>
        <v>802.382358508804</v>
      </c>
    </row>
    <row r="120" customFormat="false" ht="15" hidden="false" customHeight="false" outlineLevel="0" collapsed="false">
      <c r="A120" s="4" t="s">
        <v>367</v>
      </c>
      <c r="B120" s="0" t="s">
        <v>52</v>
      </c>
      <c r="C120" s="14" t="n">
        <f aca="false">C119/C105</f>
        <v>0.0319905764518663</v>
      </c>
      <c r="D120" s="14" t="n">
        <f aca="false">D119/D105</f>
        <v>0.0377556858359561</v>
      </c>
      <c r="E120" s="14" t="n">
        <f aca="false">E119/E105</f>
        <v>0.0419128110244622</v>
      </c>
      <c r="F120" s="14" t="n">
        <f aca="false">F119/F105</f>
        <v>0.0459968290551709</v>
      </c>
      <c r="G120" s="14" t="n">
        <f aca="false">G119/G105</f>
        <v>0.0485579575143963</v>
      </c>
    </row>
    <row r="121" customFormat="false" ht="17.15" hidden="false" customHeight="false" outlineLevel="0" collapsed="false">
      <c r="A121" s="4" t="s">
        <v>243</v>
      </c>
      <c r="B121" s="0" t="s">
        <v>52</v>
      </c>
      <c r="C121" s="15" t="n">
        <f aca="false">a25_ni/a25_oi</f>
        <v>0.730467589681471</v>
      </c>
      <c r="D121" s="15" t="n">
        <f aca="false">a26_ni/a26_oi</f>
        <v>0.653811645064191</v>
      </c>
      <c r="E121" s="15" t="n">
        <f aca="false">nio_f</f>
        <v>0.66</v>
      </c>
      <c r="F121" s="15" t="n">
        <f aca="false">nio_f</f>
        <v>0.66</v>
      </c>
      <c r="G121" s="15" t="n">
        <f aca="false">nio_f</f>
        <v>0.66</v>
      </c>
    </row>
    <row r="122" customFormat="false" ht="15" hidden="false" customHeight="false" outlineLevel="0" collapsed="false">
      <c r="A122" s="4" t="s">
        <v>368</v>
      </c>
      <c r="B122" s="0" t="s">
        <v>209</v>
      </c>
      <c r="C122" s="19" t="n">
        <f aca="false">a25_ni</f>
        <v>189.354</v>
      </c>
      <c r="D122" s="19" t="n">
        <f aca="false">a26_ni</f>
        <v>275.25708735</v>
      </c>
      <c r="E122" s="19" t="n">
        <f aca="false">E119*E121</f>
        <v>403.707928873076</v>
      </c>
      <c r="F122" s="19" t="n">
        <f aca="false">F119*F121</f>
        <v>478.015984208775</v>
      </c>
      <c r="G122" s="19" t="n">
        <f aca="false">G119*G121</f>
        <v>529.57235661581</v>
      </c>
    </row>
    <row r="123" customFormat="false" ht="15" hidden="false" customHeight="false" outlineLevel="0" collapsed="false">
      <c r="A123" s="4" t="s">
        <v>476</v>
      </c>
      <c r="B123" s="4" t="s">
        <v>230</v>
      </c>
      <c r="C123" s="23" t="n">
        <f aca="false">a25_sh</f>
        <v>13.9128581925055</v>
      </c>
      <c r="D123" s="23" t="n">
        <f aca="false">a26_sh</f>
        <v>14.0169642857143</v>
      </c>
      <c r="E123" s="23" t="n">
        <f aca="false">D123*(1+sh_g)</f>
        <v>14.0169642857143</v>
      </c>
      <c r="F123" s="23" t="n">
        <f aca="false">E123*(1+sh_g)</f>
        <v>14.0169642857143</v>
      </c>
      <c r="G123" s="23" t="n">
        <f aca="false">F123*(1+sh_g)</f>
        <v>14.0169642857143</v>
      </c>
    </row>
    <row r="124" customFormat="false" ht="15" hidden="false" customHeight="false" outlineLevel="0" collapsed="false">
      <c r="A124" s="0" t="s">
        <v>374</v>
      </c>
      <c r="B124" s="0" t="s">
        <v>260</v>
      </c>
      <c r="C124" s="22" t="n">
        <f aca="false">C122/C123</f>
        <v>13.61</v>
      </c>
      <c r="D124" s="22" t="n">
        <f aca="false">D122/D123</f>
        <v>19.6374251756163</v>
      </c>
      <c r="E124" s="22" t="n">
        <f aca="false">E122/E123</f>
        <v>28.8013810012004</v>
      </c>
      <c r="F124" s="22" t="n">
        <f aca="false">F122/F123</f>
        <v>34.1026754770258</v>
      </c>
      <c r="G124" s="22" t="n">
        <f aca="false">G122/G123</f>
        <v>37.7808165749225</v>
      </c>
    </row>
    <row r="125" customFormat="false" ht="17.15" hidden="false" customHeight="false" outlineLevel="0" collapsed="false">
      <c r="A125" s="0" t="s">
        <v>477</v>
      </c>
      <c r="B125" s="0" t="s">
        <v>52</v>
      </c>
      <c r="D125" s="15" t="n">
        <f aca="false">D124/C124-1</f>
        <v>0.442867389832203</v>
      </c>
      <c r="E125" s="15" t="n">
        <f aca="false">E124/D124-1</f>
        <v>0.466657708107425</v>
      </c>
      <c r="F125" s="15" t="n">
        <f aca="false">F124/E124-1</f>
        <v>0.184063898727787</v>
      </c>
      <c r="G125" s="15" t="n">
        <f aca="false">G124/F124-1</f>
        <v>0.107854913036795</v>
      </c>
    </row>
    <row r="128" customFormat="false" ht="17.15" hidden="false" customHeight="false" outlineLevel="0" collapsed="false">
      <c r="A128" s="1" t="s">
        <v>786</v>
      </c>
    </row>
    <row r="129" customFormat="false" ht="17.15" hidden="false" customHeight="false" outlineLevel="0" collapsed="false">
      <c r="A129" s="5" t="s">
        <v>21</v>
      </c>
      <c r="B129" s="5" t="s">
        <v>22</v>
      </c>
      <c r="C129" s="11" t="s">
        <v>347</v>
      </c>
      <c r="D129" s="11" t="s">
        <v>429</v>
      </c>
      <c r="E129" s="11" t="s">
        <v>430</v>
      </c>
      <c r="F129" s="11" t="s">
        <v>431</v>
      </c>
      <c r="G129" s="11" t="s">
        <v>432</v>
      </c>
      <c r="H129" s="5" t="s">
        <v>400</v>
      </c>
    </row>
    <row r="130" customFormat="false" ht="17.15" hidden="false" customHeight="false" outlineLevel="0" collapsed="false">
      <c r="A130" s="6" t="s">
        <v>446</v>
      </c>
    </row>
    <row r="131" customFormat="false" ht="17.15" hidden="false" customHeight="false" outlineLevel="0" collapsed="false">
      <c r="A131" s="0" t="s">
        <v>447</v>
      </c>
      <c r="B131" s="0" t="s">
        <v>32</v>
      </c>
      <c r="D131" s="22" t="n">
        <f aca="false">itc_26*1</f>
        <v>781.872916666666</v>
      </c>
      <c r="E131" s="22" t="n">
        <f aca="false">itc_27*1*1</f>
        <v>1565.35</v>
      </c>
      <c r="F131" s="22" t="n">
        <f aca="false">itc_28*um28_A*1</f>
        <v>1984.26388888889</v>
      </c>
      <c r="G131" s="22" t="n">
        <f aca="false">itc_29*um29_A*1</f>
        <v>2260.39027777778</v>
      </c>
    </row>
    <row r="132" customFormat="false" ht="17.15" hidden="false" customHeight="false" outlineLevel="0" collapsed="false">
      <c r="A132" s="4" t="s">
        <v>448</v>
      </c>
      <c r="B132" s="0" t="s">
        <v>32</v>
      </c>
      <c r="D132" s="22" t="n">
        <f aca="false">itpg_gb*(1-vr26)+itpg_vr*vr26</f>
        <v>33.41403216</v>
      </c>
      <c r="E132" s="22" t="n">
        <f aca="false">itpg_vr</f>
        <v>37.586352</v>
      </c>
      <c r="F132" s="22" t="n">
        <f aca="false">itpg_vr</f>
        <v>37.586352</v>
      </c>
      <c r="G132" s="22" t="n">
        <f aca="false">itpg_vr</f>
        <v>37.586352</v>
      </c>
    </row>
    <row r="133" customFormat="false" ht="17.15" hidden="false" customHeight="false" outlineLevel="0" collapsed="false">
      <c r="A133" s="4" t="s">
        <v>449</v>
      </c>
      <c r="B133" s="0" t="s">
        <v>402</v>
      </c>
      <c r="D133" s="18" t="n">
        <f aca="false">D131/D132</f>
        <v>23.3995380420639</v>
      </c>
      <c r="E133" s="18" t="n">
        <f aca="false">E131/E132</f>
        <v>41.6467658260637</v>
      </c>
      <c r="F133" s="18" t="n">
        <f aca="false">F131/F132</f>
        <v>52.792138191248</v>
      </c>
      <c r="G133" s="18" t="n">
        <f aca="false">G131/G132</f>
        <v>60.1385917361116</v>
      </c>
    </row>
    <row r="134" customFormat="false" ht="17.15" hidden="false" customHeight="false" outlineLevel="0" collapsed="false">
      <c r="A134" s="4" t="s">
        <v>404</v>
      </c>
      <c r="B134" s="0" t="s">
        <v>405</v>
      </c>
      <c r="D134" s="16" t="n">
        <f aca="false">(racks_gb*odm_gb*(1-vr26)+racks_vr*odm_vr*vr26)/1000</f>
        <v>27.1209</v>
      </c>
      <c r="E134" s="16" t="n">
        <f aca="false">racks_vr*odm_vr/1000</f>
        <v>27.351</v>
      </c>
      <c r="F134" s="16" t="n">
        <f aca="false">$E134*vpg_28</f>
        <v>27.351</v>
      </c>
      <c r="G134" s="16" t="n">
        <f aca="false">$E134*vpg_29</f>
        <v>27.351</v>
      </c>
      <c r="H134" s="4" t="s">
        <v>450</v>
      </c>
    </row>
    <row r="135" customFormat="false" ht="17.15" hidden="false" customHeight="false" outlineLevel="0" collapsed="false">
      <c r="A135" s="0" t="s">
        <v>451</v>
      </c>
      <c r="B135" s="0" t="s">
        <v>32</v>
      </c>
      <c r="D135" s="19" t="n">
        <f aca="false">D133*D134</f>
        <v>634.61653128501</v>
      </c>
      <c r="E135" s="19" t="n">
        <f aca="false">E133*E134</f>
        <v>1139.08069210867</v>
      </c>
      <c r="F135" s="19" t="n">
        <f aca="false">F133*F134</f>
        <v>1443.91777166882</v>
      </c>
      <c r="G135" s="19" t="n">
        <f aca="false">G133*G134</f>
        <v>1644.85062257439</v>
      </c>
    </row>
    <row r="136" customFormat="false" ht="17.15" hidden="false" customHeight="false" outlineLevel="0" collapsed="false">
      <c r="A136" s="0" t="s">
        <v>452</v>
      </c>
      <c r="B136" s="0" t="s">
        <v>209</v>
      </c>
      <c r="D136" s="19" t="n">
        <f aca="false">D135*fx</f>
        <v>20307.7290011203</v>
      </c>
      <c r="E136" s="19" t="n">
        <f aca="false">E135*fx</f>
        <v>36450.5821474774</v>
      </c>
      <c r="F136" s="19" t="n">
        <f aca="false">F135*fx</f>
        <v>46205.3686934024</v>
      </c>
      <c r="G136" s="19" t="n">
        <f aca="false">G135*fx</f>
        <v>52635.2199223804</v>
      </c>
    </row>
    <row r="137" customFormat="false" ht="17.15" hidden="false" customHeight="false" outlineLevel="0" collapsed="false">
      <c r="A137" s="4" t="s">
        <v>453</v>
      </c>
      <c r="B137" s="0" t="s">
        <v>52</v>
      </c>
      <c r="D137" s="15" t="n">
        <f aca="false">a26_ai/D136</f>
        <v>0.174610057569922</v>
      </c>
      <c r="H137" s="8" t="s">
        <v>454</v>
      </c>
    </row>
    <row r="138" customFormat="false" ht="17.15" hidden="false" customHeight="false" outlineLevel="0" collapsed="false">
      <c r="A138" s="4" t="s">
        <v>455</v>
      </c>
      <c r="B138" s="0" t="s">
        <v>71</v>
      </c>
      <c r="D138" s="16" t="n">
        <f aca="false">1</f>
        <v>1</v>
      </c>
      <c r="E138" s="16" t="n">
        <f aca="false">rel_27</f>
        <v>1</v>
      </c>
      <c r="F138" s="16" t="n">
        <f aca="false">rel_28</f>
        <v>1</v>
      </c>
      <c r="G138" s="16" t="n">
        <f aca="false">rel_29</f>
        <v>0.95</v>
      </c>
    </row>
    <row r="139" customFormat="false" ht="15" hidden="false" customHeight="false" outlineLevel="0" collapsed="false">
      <c r="A139" s="4" t="s">
        <v>456</v>
      </c>
      <c r="B139" s="0" t="s">
        <v>52</v>
      </c>
      <c r="D139" s="15" t="n">
        <f aca="false">$D$137*D138</f>
        <v>0.174610057569922</v>
      </c>
      <c r="E139" s="15" t="n">
        <f aca="false">$D$137*E138</f>
        <v>0.174610057569922</v>
      </c>
      <c r="F139" s="15" t="n">
        <f aca="false">$D$137*F138</f>
        <v>0.174610057569922</v>
      </c>
      <c r="G139" s="15" t="n">
        <f aca="false">$D$137*G138</f>
        <v>0.165879554691426</v>
      </c>
    </row>
    <row r="140" customFormat="false" ht="17.15" hidden="false" customHeight="false" outlineLevel="0" collapsed="false">
      <c r="A140" s="0" t="s">
        <v>457</v>
      </c>
      <c r="B140" s="0" t="s">
        <v>209</v>
      </c>
      <c r="D140" s="19" t="n">
        <f aca="false">D136*D139</f>
        <v>3545.93373</v>
      </c>
      <c r="E140" s="19" t="n">
        <f aca="false">E136*E139</f>
        <v>6364.6382472282</v>
      </c>
      <c r="F140" s="19" t="n">
        <f aca="false">F136*F139</f>
        <v>8067.92208759447</v>
      </c>
      <c r="G140" s="19" t="n">
        <f aca="false">G136*G139</f>
        <v>8731.10684180974</v>
      </c>
    </row>
    <row r="141" customFormat="false" ht="17.15" hidden="false" customHeight="false" outlineLevel="0" collapsed="false">
      <c r="A141" s="4" t="s">
        <v>458</v>
      </c>
      <c r="B141" s="0" t="s">
        <v>52</v>
      </c>
      <c r="D141" s="15" t="n">
        <f aca="false">0</f>
        <v>0</v>
      </c>
      <c r="E141" s="15" t="n">
        <f aca="false">CSLO_27</f>
        <v>0</v>
      </c>
      <c r="F141" s="15" t="n">
        <f aca="false">CSLO_28</f>
        <v>0</v>
      </c>
      <c r="G141" s="15" t="n">
        <f aca="false">CSLO_29</f>
        <v>0</v>
      </c>
      <c r="H141" s="8" t="s">
        <v>459</v>
      </c>
    </row>
    <row r="142" customFormat="false" ht="17.15" hidden="false" customHeight="false" outlineLevel="0" collapsed="false">
      <c r="A142" s="0" t="s">
        <v>460</v>
      </c>
      <c r="B142" s="0" t="s">
        <v>209</v>
      </c>
      <c r="C142" s="19" t="n">
        <f aca="false">a25_ai</f>
        <v>1620.621</v>
      </c>
      <c r="D142" s="19" t="n">
        <f aca="false">D140*(1-D141)</f>
        <v>3545.93373</v>
      </c>
      <c r="E142" s="19" t="n">
        <f aca="false">E140*(1-E141)</f>
        <v>6364.6382472282</v>
      </c>
      <c r="F142" s="19" t="n">
        <f aca="false">F140*(1-F141)</f>
        <v>8067.92208759447</v>
      </c>
      <c r="G142" s="19" t="n">
        <f aca="false">G140*(1-G141)</f>
        <v>8731.10684180974</v>
      </c>
    </row>
    <row r="143" customFormat="false" ht="17.15" hidden="false" customHeight="false" outlineLevel="0" collapsed="false">
      <c r="A143" s="6" t="s">
        <v>461</v>
      </c>
    </row>
    <row r="144" customFormat="false" ht="17.15" hidden="false" customHeight="false" outlineLevel="0" collapsed="false">
      <c r="A144" s="4" t="s">
        <v>382</v>
      </c>
      <c r="B144" s="0" t="s">
        <v>209</v>
      </c>
      <c r="C144" s="19" t="n">
        <f aca="false">a25_cn</f>
        <v>1620.621</v>
      </c>
      <c r="D144" s="19" t="n">
        <f aca="false">a26_cn</f>
        <v>2363.95582</v>
      </c>
      <c r="E144" s="19" t="n">
        <f aca="false">D144*(1+g_cn27)</f>
        <v>2647.6305184</v>
      </c>
      <c r="F144" s="19" t="n">
        <f aca="false">E144*(1+g_cn28)</f>
        <v>2859.440959872</v>
      </c>
      <c r="G144" s="19" t="n">
        <f aca="false">F144*(1+g_cn29)</f>
        <v>3031.00741746432</v>
      </c>
    </row>
    <row r="145" customFormat="false" ht="17.15" hidden="false" customHeight="false" outlineLevel="0" collapsed="false">
      <c r="A145" s="4" t="s">
        <v>383</v>
      </c>
      <c r="B145" s="0" t="s">
        <v>209</v>
      </c>
      <c r="C145" s="19" t="n">
        <f aca="false">a25_ce</f>
        <v>3079.1799</v>
      </c>
      <c r="D145" s="19" t="n">
        <f aca="false">a26_ce</f>
        <v>3345.2205</v>
      </c>
      <c r="E145" s="19" t="n">
        <f aca="false">D145*(1+g_ce27)</f>
        <v>3445.577115</v>
      </c>
      <c r="F145" s="19" t="n">
        <f aca="false">E145*(1+g_ce28)</f>
        <v>3514.4886573</v>
      </c>
      <c r="G145" s="19" t="n">
        <f aca="false">F145*(1+g_ce29)</f>
        <v>3584.778430446</v>
      </c>
    </row>
    <row r="146" customFormat="false" ht="15" hidden="false" customHeight="false" outlineLevel="0" collapsed="false">
      <c r="A146" s="4" t="s">
        <v>384</v>
      </c>
      <c r="B146" s="0" t="s">
        <v>209</v>
      </c>
      <c r="C146" s="19" t="n">
        <f aca="false">a25_pc</f>
        <v>1215.46575</v>
      </c>
      <c r="D146" s="19" t="n">
        <f aca="false">a26_pc</f>
        <v>1338.0882</v>
      </c>
      <c r="E146" s="19" t="n">
        <f aca="false">D146*(1+g_pc27)</f>
        <v>1311.326436</v>
      </c>
      <c r="F146" s="19" t="n">
        <f aca="false">E146*(1+g_pc28)</f>
        <v>1311.326436</v>
      </c>
      <c r="G146" s="19" t="n">
        <f aca="false">F146*(1+g_pc29)</f>
        <v>1311.326436</v>
      </c>
    </row>
    <row r="147" customFormat="false" ht="15" hidden="false" customHeight="false" outlineLevel="0" collapsed="false">
      <c r="A147" s="4" t="s">
        <v>462</v>
      </c>
      <c r="B147" s="0" t="s">
        <v>209</v>
      </c>
      <c r="C147" s="19" t="n">
        <f aca="false">a25_co</f>
        <v>567.217349999999</v>
      </c>
      <c r="D147" s="19" t="n">
        <f aca="false">a26_co</f>
        <v>557.53675</v>
      </c>
      <c r="E147" s="19" t="n">
        <f aca="false">D147*(1+g_co27)</f>
        <v>602.13969</v>
      </c>
      <c r="F147" s="19" t="n">
        <f aca="false">E147*(1+g_co28)</f>
        <v>638.2680714</v>
      </c>
      <c r="G147" s="19" t="n">
        <f aca="false">F147*(1+g_co29)</f>
        <v>670.18147497</v>
      </c>
    </row>
    <row r="148" customFormat="false" ht="17.15" hidden="false" customHeight="false" outlineLevel="0" collapsed="false">
      <c r="A148" s="4" t="s">
        <v>387</v>
      </c>
      <c r="B148" s="0" t="s">
        <v>209</v>
      </c>
      <c r="C148" s="19" t="n">
        <f aca="false">SUM(C144:C147)</f>
        <v>6482.484</v>
      </c>
      <c r="D148" s="19" t="n">
        <f aca="false">SUM(D144:D147)</f>
        <v>7604.80127</v>
      </c>
      <c r="E148" s="19" t="n">
        <f aca="false">SUM(E144:E147)</f>
        <v>8006.6737594</v>
      </c>
      <c r="F148" s="19" t="n">
        <f aca="false">SUM(F144:F147)</f>
        <v>8323.524124572</v>
      </c>
      <c r="G148" s="19" t="n">
        <f aca="false">SUM(G144:G147)</f>
        <v>8597.29375888032</v>
      </c>
    </row>
    <row r="149" customFormat="false" ht="15" hidden="false" customHeight="false" outlineLevel="0" collapsed="false">
      <c r="A149" s="4" t="s">
        <v>353</v>
      </c>
      <c r="B149" s="0" t="s">
        <v>209</v>
      </c>
      <c r="C149" s="19" t="n">
        <f aca="false">C142+C148</f>
        <v>8103.105</v>
      </c>
      <c r="D149" s="19" t="n">
        <f aca="false">D142+D148</f>
        <v>11150.735</v>
      </c>
      <c r="E149" s="19" t="n">
        <f aca="false">E142+E148</f>
        <v>14371.3120066282</v>
      </c>
      <c r="F149" s="19" t="n">
        <f aca="false">F142+F148</f>
        <v>16391.4462121665</v>
      </c>
      <c r="G149" s="19" t="n">
        <f aca="false">G142+G148</f>
        <v>17328.4006006901</v>
      </c>
    </row>
    <row r="150" customFormat="false" ht="15" hidden="false" customHeight="false" outlineLevel="0" collapsed="false">
      <c r="A150" s="4" t="s">
        <v>463</v>
      </c>
      <c r="B150" s="0" t="s">
        <v>52</v>
      </c>
      <c r="D150" s="15" t="n">
        <f aca="false">D149/C149-1</f>
        <v>0.376106443147411</v>
      </c>
      <c r="E150" s="15" t="n">
        <f aca="false">E149/D149-1</f>
        <v>0.288821948205943</v>
      </c>
      <c r="F150" s="15" t="n">
        <f aca="false">F149/E149-1</f>
        <v>0.140567138519194</v>
      </c>
      <c r="G150" s="15" t="n">
        <f aca="false">G149/F149-1</f>
        <v>0.0571611788487669</v>
      </c>
    </row>
    <row r="151" customFormat="false" ht="17.15" hidden="false" customHeight="false" outlineLevel="0" collapsed="false">
      <c r="A151" s="0" t="s">
        <v>464</v>
      </c>
      <c r="B151" s="0" t="s">
        <v>52</v>
      </c>
      <c r="C151" s="15" t="n">
        <f aca="false">C142/C149</f>
        <v>0.2</v>
      </c>
      <c r="D151" s="15" t="n">
        <f aca="false">D142/D149</f>
        <v>0.318</v>
      </c>
      <c r="E151" s="15" t="n">
        <f aca="false">E142/E149</f>
        <v>0.442871064541133</v>
      </c>
      <c r="F151" s="15" t="n">
        <f aca="false">F142/F149</f>
        <v>0.492203188368217</v>
      </c>
      <c r="G151" s="15" t="n">
        <f aca="false">G142/G149</f>
        <v>0.503861091569065</v>
      </c>
    </row>
    <row r="152" customFormat="false" ht="17.15" hidden="false" customHeight="false" outlineLevel="0" collapsed="false">
      <c r="A152" s="4" t="s">
        <v>465</v>
      </c>
      <c r="B152" s="0" t="s">
        <v>52</v>
      </c>
      <c r="C152" s="15" t="n">
        <f aca="false">(C142+C144)/C149</f>
        <v>0.4</v>
      </c>
      <c r="D152" s="15" t="n">
        <f aca="false">(D142+D144)/D149</f>
        <v>0.53</v>
      </c>
      <c r="E152" s="15" t="n">
        <f aca="false">(E142+E144)/E149</f>
        <v>0.627101322514719</v>
      </c>
      <c r="F152" s="15" t="n">
        <f aca="false">(F142+F144)/F149</f>
        <v>0.666650331278011</v>
      </c>
      <c r="G152" s="15" t="n">
        <f aca="false">(G142+G144)/G149</f>
        <v>0.678776681721316</v>
      </c>
    </row>
    <row r="153" customFormat="false" ht="17.15" hidden="false" customHeight="false" outlineLevel="0" collapsed="false">
      <c r="A153" s="4" t="s">
        <v>418</v>
      </c>
      <c r="B153" s="0" t="s">
        <v>405</v>
      </c>
      <c r="D153" s="16" t="n">
        <f aca="false">D142/fx/D133</f>
        <v>4.7355819103481</v>
      </c>
      <c r="E153" s="16" t="n">
        <f aca="false">E142/fx/E133</f>
        <v>4.77575968459494</v>
      </c>
      <c r="F153" s="16" t="n">
        <f aca="false">F142/fx/F133</f>
        <v>4.77575968459494</v>
      </c>
      <c r="G153" s="16" t="n">
        <f aca="false">G142/fx/G133</f>
        <v>4.5369717003652</v>
      </c>
    </row>
    <row r="154" customFormat="false" ht="17.15" hidden="false" customHeight="false" outlineLevel="0" collapsed="false">
      <c r="A154" s="4" t="s">
        <v>466</v>
      </c>
      <c r="B154" s="4" t="s">
        <v>416</v>
      </c>
      <c r="D154" s="19" t="n">
        <f aca="false">D140/fx/(odm_gb*(1-vr26)+odm_vr*vr26)</f>
        <v>24.0630682003257</v>
      </c>
      <c r="E154" s="19" t="n">
        <f aca="false">E140/fx/odm_vr</f>
        <v>29.4659178112417</v>
      </c>
      <c r="F154" s="19" t="n">
        <f aca="false">F140/fx/odm_vr</f>
        <v>37.3514911462707</v>
      </c>
      <c r="G154" s="19" t="n">
        <f aca="false">G140/fx/odm_vr</f>
        <v>40.4217909343043</v>
      </c>
      <c r="H154" s="4" t="s">
        <v>467</v>
      </c>
    </row>
    <row r="155" customFormat="false" ht="17.15" hidden="false" customHeight="false" outlineLevel="0" collapsed="false">
      <c r="A155" s="6" t="s">
        <v>468</v>
      </c>
    </row>
    <row r="156" customFormat="false" ht="17.15" hidden="false" customHeight="false" outlineLevel="0" collapsed="false">
      <c r="A156" s="4" t="s">
        <v>469</v>
      </c>
      <c r="B156" s="0" t="s">
        <v>52</v>
      </c>
      <c r="D156" s="14" t="n">
        <f aca="false">a26_gp/D149-d_ai*D151</f>
        <v>0.0621989258510762</v>
      </c>
      <c r="H156" s="8" t="s">
        <v>470</v>
      </c>
    </row>
    <row r="157" customFormat="false" ht="17.15" hidden="false" customHeight="false" outlineLevel="0" collapsed="false">
      <c r="A157" s="0" t="s">
        <v>471</v>
      </c>
      <c r="B157" s="0" t="s">
        <v>209</v>
      </c>
      <c r="D157" s="22" t="n">
        <f aca="false">($D$156+d_ai)*D140*(1-D141*(1-keep))</f>
        <v>202.8236004951</v>
      </c>
      <c r="E157" s="22" t="n">
        <f aca="false">($D$156+d_ai+vrd)*E140*(1-E141*(1-keep))</f>
        <v>351.321194677673</v>
      </c>
      <c r="F157" s="22" t="n">
        <f aca="false">($D$156+d_ai+vrd)*F140*(1-F141*(1-keep))</f>
        <v>445.340633085387</v>
      </c>
      <c r="G157" s="22" t="n">
        <f aca="false">($D$156+d_ai+vrd)*G140*(1-G141*(1-keep))</f>
        <v>481.94771915888</v>
      </c>
      <c r="H157" s="4" t="s">
        <v>472</v>
      </c>
    </row>
    <row r="158" customFormat="false" ht="15" hidden="false" customHeight="false" outlineLevel="0" collapsed="false">
      <c r="A158" s="4" t="s">
        <v>357</v>
      </c>
      <c r="B158" s="0" t="s">
        <v>209</v>
      </c>
      <c r="C158" s="19" t="n">
        <f aca="false">a25_gp</f>
        <v>498.161</v>
      </c>
      <c r="D158" s="19" t="n">
        <f aca="false">a26_gp</f>
        <v>675.8340708</v>
      </c>
      <c r="E158" s="19" t="n">
        <f aca="false">$D$156*E148+E157</f>
        <v>849.327702152351</v>
      </c>
      <c r="F158" s="19" t="n">
        <f aca="false">$D$156*F148+F157</f>
        <v>963.054892929284</v>
      </c>
      <c r="G158" s="19" t="n">
        <f aca="false">$D$156*G148+G157</f>
        <v>1016.6901561874</v>
      </c>
    </row>
    <row r="159" customFormat="false" ht="15" hidden="false" customHeight="false" outlineLevel="0" collapsed="false">
      <c r="A159" s="4" t="s">
        <v>360</v>
      </c>
      <c r="B159" s="0" t="s">
        <v>52</v>
      </c>
      <c r="C159" s="14" t="n">
        <f aca="false">C158/C149</f>
        <v>0.0614777915379352</v>
      </c>
      <c r="D159" s="14" t="n">
        <f aca="false">D158/D149</f>
        <v>0.0606089258510762</v>
      </c>
      <c r="E159" s="14" t="n">
        <f aca="false">E158/E149</f>
        <v>0.0590988283992883</v>
      </c>
      <c r="F159" s="14" t="n">
        <f aca="false">F158/F149</f>
        <v>0.0587535035324987</v>
      </c>
      <c r="G159" s="14" t="n">
        <f aca="false">G158/G149</f>
        <v>0.0586718982100927</v>
      </c>
    </row>
    <row r="160" customFormat="false" ht="17.15" hidden="false" customHeight="false" outlineLevel="0" collapsed="false">
      <c r="A160" s="0" t="s">
        <v>473</v>
      </c>
      <c r="B160" s="0" t="s">
        <v>52</v>
      </c>
      <c r="D160" s="14" t="n">
        <f aca="false">D157/D142</f>
        <v>0.0571989258510762</v>
      </c>
      <c r="E160" s="14" t="n">
        <f aca="false">E157/E142</f>
        <v>0.0551989258510762</v>
      </c>
      <c r="F160" s="14" t="n">
        <f aca="false">F157/F142</f>
        <v>0.0551989258510762</v>
      </c>
      <c r="G160" s="14" t="n">
        <f aca="false">G157/G142</f>
        <v>0.0551989258510762</v>
      </c>
      <c r="H160" s="4" t="s">
        <v>474</v>
      </c>
    </row>
    <row r="161" customFormat="false" ht="15" hidden="false" customHeight="false" outlineLevel="0" collapsed="false">
      <c r="A161" s="4" t="s">
        <v>475</v>
      </c>
      <c r="B161" s="0" t="s">
        <v>209</v>
      </c>
      <c r="C161" s="19" t="n">
        <f aca="false">a25_opx</f>
        <v>238.938</v>
      </c>
      <c r="D161" s="19" t="n">
        <f aca="false">a26_opx</f>
        <v>254.8304233</v>
      </c>
      <c r="E161" s="19" t="n">
        <f aca="false">D161*(1+MAX(0,phi*E150))</f>
        <v>284.27067102786</v>
      </c>
      <c r="F161" s="19" t="n">
        <f aca="false">E161*(1+MAX(0,phi*F150))</f>
        <v>300.254316944387</v>
      </c>
      <c r="G161" s="19" t="n">
        <f aca="false">F161*(1+MAX(0,phi*G150))</f>
        <v>307.119473228776</v>
      </c>
    </row>
    <row r="162" customFormat="false" ht="15" hidden="false" customHeight="false" outlineLevel="0" collapsed="false">
      <c r="A162" s="4" t="s">
        <v>361</v>
      </c>
      <c r="B162" s="0" t="s">
        <v>209</v>
      </c>
      <c r="C162" s="19" t="n">
        <f aca="false">C161</f>
        <v>238.938</v>
      </c>
      <c r="D162" s="19" t="n">
        <f aca="false">D161</f>
        <v>254.8304233</v>
      </c>
      <c r="E162" s="19" t="n">
        <f aca="false">E161+0*E149</f>
        <v>284.27067102786</v>
      </c>
      <c r="F162" s="19" t="n">
        <f aca="false">F161+0*F149</f>
        <v>300.254316944387</v>
      </c>
      <c r="G162" s="19" t="n">
        <f aca="false">G161+0*G149</f>
        <v>307.119473228776</v>
      </c>
    </row>
    <row r="163" customFormat="false" ht="15" hidden="false" customHeight="false" outlineLevel="0" collapsed="false">
      <c r="A163" s="4" t="s">
        <v>364</v>
      </c>
      <c r="B163" s="0" t="s">
        <v>209</v>
      </c>
      <c r="C163" s="19" t="n">
        <f aca="false">C158-C162</f>
        <v>259.223</v>
      </c>
      <c r="D163" s="19" t="n">
        <f aca="false">D158-D162</f>
        <v>421.0036475</v>
      </c>
      <c r="E163" s="19" t="n">
        <f aca="false">E158-E162</f>
        <v>565.05703112449</v>
      </c>
      <c r="F163" s="19" t="n">
        <f aca="false">F158-F162</f>
        <v>662.800575984897</v>
      </c>
      <c r="G163" s="19" t="n">
        <f aca="false">G158-G162</f>
        <v>709.57068295862</v>
      </c>
    </row>
    <row r="164" customFormat="false" ht="15" hidden="false" customHeight="false" outlineLevel="0" collapsed="false">
      <c r="A164" s="4" t="s">
        <v>367</v>
      </c>
      <c r="B164" s="0" t="s">
        <v>52</v>
      </c>
      <c r="C164" s="14" t="n">
        <f aca="false">C163/C149</f>
        <v>0.0319905764518663</v>
      </c>
      <c r="D164" s="14" t="n">
        <f aca="false">D163/D149</f>
        <v>0.0377556858359561</v>
      </c>
      <c r="E164" s="14" t="n">
        <f aca="false">E163/E149</f>
        <v>0.0393184025831379</v>
      </c>
      <c r="F164" s="14" t="n">
        <f aca="false">F163/F149</f>
        <v>0.0404357594446387</v>
      </c>
      <c r="G164" s="14" t="n">
        <f aca="false">G163/G149</f>
        <v>0.0409484233028618</v>
      </c>
    </row>
    <row r="165" customFormat="false" ht="17.15" hidden="false" customHeight="false" outlineLevel="0" collapsed="false">
      <c r="A165" s="4" t="s">
        <v>243</v>
      </c>
      <c r="B165" s="0" t="s">
        <v>52</v>
      </c>
      <c r="C165" s="15" t="n">
        <f aca="false">a25_ni/a25_oi</f>
        <v>0.730467589681471</v>
      </c>
      <c r="D165" s="15" t="n">
        <f aca="false">a26_ni/a26_oi</f>
        <v>0.653811645064191</v>
      </c>
      <c r="E165" s="15" t="n">
        <f aca="false">nio_f</f>
        <v>0.66</v>
      </c>
      <c r="F165" s="15" t="n">
        <f aca="false">nio_f</f>
        <v>0.66</v>
      </c>
      <c r="G165" s="15" t="n">
        <f aca="false">nio_f</f>
        <v>0.66</v>
      </c>
    </row>
    <row r="166" customFormat="false" ht="15" hidden="false" customHeight="false" outlineLevel="0" collapsed="false">
      <c r="A166" s="4" t="s">
        <v>368</v>
      </c>
      <c r="B166" s="0" t="s">
        <v>209</v>
      </c>
      <c r="C166" s="19" t="n">
        <f aca="false">a25_ni</f>
        <v>189.354</v>
      </c>
      <c r="D166" s="19" t="n">
        <f aca="false">a26_ni</f>
        <v>275.25708735</v>
      </c>
      <c r="E166" s="19" t="n">
        <f aca="false">E163*E165</f>
        <v>372.937640542164</v>
      </c>
      <c r="F166" s="19" t="n">
        <f aca="false">F163*F165</f>
        <v>437.448380150032</v>
      </c>
      <c r="G166" s="19" t="n">
        <f aca="false">G163*G165</f>
        <v>468.316650752689</v>
      </c>
    </row>
    <row r="167" customFormat="false" ht="15" hidden="false" customHeight="false" outlineLevel="0" collapsed="false">
      <c r="A167" s="4" t="s">
        <v>476</v>
      </c>
      <c r="B167" s="4" t="s">
        <v>230</v>
      </c>
      <c r="C167" s="23" t="n">
        <f aca="false">a25_sh</f>
        <v>13.9128581925055</v>
      </c>
      <c r="D167" s="23" t="n">
        <f aca="false">a26_sh</f>
        <v>14.0169642857143</v>
      </c>
      <c r="E167" s="23" t="n">
        <f aca="false">D167*(1+sh_g)</f>
        <v>14.0169642857143</v>
      </c>
      <c r="F167" s="23" t="n">
        <f aca="false">E167*(1+sh_g)</f>
        <v>14.0169642857143</v>
      </c>
      <c r="G167" s="23" t="n">
        <f aca="false">F167*(1+sh_g)</f>
        <v>14.0169642857143</v>
      </c>
    </row>
    <row r="168" customFormat="false" ht="15" hidden="false" customHeight="false" outlineLevel="0" collapsed="false">
      <c r="A168" s="0" t="s">
        <v>374</v>
      </c>
      <c r="B168" s="0" t="s">
        <v>260</v>
      </c>
      <c r="C168" s="22" t="n">
        <f aca="false">C166/C167</f>
        <v>13.61</v>
      </c>
      <c r="D168" s="22" t="n">
        <f aca="false">D166/D167</f>
        <v>19.6374251756163</v>
      </c>
      <c r="E168" s="22" t="n">
        <f aca="false">E166/E167</f>
        <v>26.6061632847457</v>
      </c>
      <c r="F168" s="22" t="n">
        <f aca="false">F166/F167</f>
        <v>31.2084964499672</v>
      </c>
      <c r="G168" s="22" t="n">
        <f aca="false">G166/G167</f>
        <v>33.4107044297734</v>
      </c>
    </row>
    <row r="169" customFormat="false" ht="17.15" hidden="false" customHeight="false" outlineLevel="0" collapsed="false">
      <c r="A169" s="0" t="s">
        <v>477</v>
      </c>
      <c r="B169" s="0" t="s">
        <v>52</v>
      </c>
      <c r="D169" s="15" t="n">
        <f aca="false">D168/C168-1</f>
        <v>0.442867389832203</v>
      </c>
      <c r="E169" s="15" t="n">
        <f aca="false">E168/D168-1</f>
        <v>0.354870256503002</v>
      </c>
      <c r="F169" s="15" t="n">
        <f aca="false">F168/E168-1</f>
        <v>0.172979963926636</v>
      </c>
      <c r="G169" s="15" t="n">
        <f aca="false">G168/F168-1</f>
        <v>0.0705643728571375</v>
      </c>
    </row>
    <row r="172" customFormat="false" ht="17.15" hidden="false" customHeight="false" outlineLevel="0" collapsed="false">
      <c r="A172" s="1" t="s">
        <v>787</v>
      </c>
    </row>
    <row r="173" customFormat="false" ht="17.15" hidden="false" customHeight="false" outlineLevel="0" collapsed="false">
      <c r="A173" s="5" t="s">
        <v>21</v>
      </c>
      <c r="B173" s="5" t="s">
        <v>22</v>
      </c>
      <c r="C173" s="11" t="s">
        <v>347</v>
      </c>
      <c r="D173" s="11" t="s">
        <v>429</v>
      </c>
      <c r="E173" s="11" t="s">
        <v>430</v>
      </c>
      <c r="F173" s="11" t="s">
        <v>431</v>
      </c>
      <c r="G173" s="11" t="s">
        <v>432</v>
      </c>
      <c r="H173" s="5" t="s">
        <v>400</v>
      </c>
    </row>
    <row r="174" customFormat="false" ht="17.15" hidden="false" customHeight="false" outlineLevel="0" collapsed="false">
      <c r="A174" s="6" t="s">
        <v>446</v>
      </c>
    </row>
    <row r="175" customFormat="false" ht="17.15" hidden="false" customHeight="false" outlineLevel="0" collapsed="false">
      <c r="A175" s="0" t="s">
        <v>447</v>
      </c>
      <c r="B175" s="0" t="s">
        <v>32</v>
      </c>
      <c r="D175" s="22" t="n">
        <f aca="false">itc_26*1</f>
        <v>781.872916666666</v>
      </c>
      <c r="E175" s="22" t="n">
        <f aca="false">itc_27*1*1</f>
        <v>1565.35</v>
      </c>
      <c r="F175" s="22" t="n">
        <f aca="false">itc_28*um28_A*1</f>
        <v>1984.26388888889</v>
      </c>
      <c r="G175" s="22" t="n">
        <f aca="false">itc_29*um29_A*1</f>
        <v>2260.39027777778</v>
      </c>
    </row>
    <row r="176" customFormat="false" ht="17.15" hidden="false" customHeight="false" outlineLevel="0" collapsed="false">
      <c r="A176" s="4" t="s">
        <v>448</v>
      </c>
      <c r="B176" s="0" t="s">
        <v>32</v>
      </c>
      <c r="D176" s="22" t="n">
        <f aca="false">itpg_gb*(1-vr26)+itpg_vr*vr26</f>
        <v>33.41403216</v>
      </c>
      <c r="E176" s="22" t="n">
        <f aca="false">itpg_vr</f>
        <v>37.586352</v>
      </c>
      <c r="F176" s="22" t="n">
        <f aca="false">itpg_vr</f>
        <v>37.586352</v>
      </c>
      <c r="G176" s="22" t="n">
        <f aca="false">itpg_vr</f>
        <v>37.586352</v>
      </c>
    </row>
    <row r="177" customFormat="false" ht="17.15" hidden="false" customHeight="false" outlineLevel="0" collapsed="false">
      <c r="A177" s="4" t="s">
        <v>449</v>
      </c>
      <c r="B177" s="0" t="s">
        <v>402</v>
      </c>
      <c r="D177" s="18" t="n">
        <f aca="false">D175/D176</f>
        <v>23.3995380420639</v>
      </c>
      <c r="E177" s="18" t="n">
        <f aca="false">E175/E176</f>
        <v>41.6467658260637</v>
      </c>
      <c r="F177" s="18" t="n">
        <f aca="false">F175/F176</f>
        <v>52.792138191248</v>
      </c>
      <c r="G177" s="18" t="n">
        <f aca="false">G175/G176</f>
        <v>60.1385917361116</v>
      </c>
    </row>
    <row r="178" customFormat="false" ht="17.15" hidden="false" customHeight="false" outlineLevel="0" collapsed="false">
      <c r="A178" s="4" t="s">
        <v>404</v>
      </c>
      <c r="B178" s="0" t="s">
        <v>405</v>
      </c>
      <c r="D178" s="16" t="n">
        <f aca="false">(racks_gb*odm_gb*(1-vr26)+racks_vr*odm_vr*vr26)/1000</f>
        <v>27.1209</v>
      </c>
      <c r="E178" s="16" t="n">
        <f aca="false">racks_vr*odm_vr/1000</f>
        <v>27.351</v>
      </c>
      <c r="F178" s="16" t="n">
        <f aca="false">$E178*vpg_28</f>
        <v>27.351</v>
      </c>
      <c r="G178" s="16" t="n">
        <f aca="false">$E178*vpg_29</f>
        <v>27.351</v>
      </c>
      <c r="H178" s="4" t="s">
        <v>450</v>
      </c>
    </row>
    <row r="179" customFormat="false" ht="17.15" hidden="false" customHeight="false" outlineLevel="0" collapsed="false">
      <c r="A179" s="0" t="s">
        <v>451</v>
      </c>
      <c r="B179" s="0" t="s">
        <v>32</v>
      </c>
      <c r="D179" s="19" t="n">
        <f aca="false">D177*D178</f>
        <v>634.61653128501</v>
      </c>
      <c r="E179" s="19" t="n">
        <f aca="false">E177*E178</f>
        <v>1139.08069210867</v>
      </c>
      <c r="F179" s="19" t="n">
        <f aca="false">F177*F178</f>
        <v>1443.91777166882</v>
      </c>
      <c r="G179" s="19" t="n">
        <f aca="false">G177*G178</f>
        <v>1644.85062257439</v>
      </c>
    </row>
    <row r="180" customFormat="false" ht="17.15" hidden="false" customHeight="false" outlineLevel="0" collapsed="false">
      <c r="A180" s="0" t="s">
        <v>452</v>
      </c>
      <c r="B180" s="0" t="s">
        <v>209</v>
      </c>
      <c r="D180" s="19" t="n">
        <f aca="false">D179*fx</f>
        <v>20307.7290011203</v>
      </c>
      <c r="E180" s="19" t="n">
        <f aca="false">E179*fx</f>
        <v>36450.5821474774</v>
      </c>
      <c r="F180" s="19" t="n">
        <f aca="false">F179*fx</f>
        <v>46205.3686934024</v>
      </c>
      <c r="G180" s="19" t="n">
        <f aca="false">G179*fx</f>
        <v>52635.2199223804</v>
      </c>
    </row>
    <row r="181" customFormat="false" ht="17.15" hidden="false" customHeight="false" outlineLevel="0" collapsed="false">
      <c r="A181" s="4" t="s">
        <v>453</v>
      </c>
      <c r="B181" s="0" t="s">
        <v>52</v>
      </c>
      <c r="D181" s="15" t="n">
        <f aca="false">a26_ai/D180</f>
        <v>0.174610057569922</v>
      </c>
      <c r="H181" s="8" t="s">
        <v>454</v>
      </c>
    </row>
    <row r="182" customFormat="false" ht="17.15" hidden="false" customHeight="false" outlineLevel="0" collapsed="false">
      <c r="A182" s="4" t="s">
        <v>455</v>
      </c>
      <c r="B182" s="0" t="s">
        <v>71</v>
      </c>
      <c r="D182" s="16" t="n">
        <f aca="false">1</f>
        <v>1</v>
      </c>
      <c r="E182" s="16" t="n">
        <f aca="false">rel_27</f>
        <v>1</v>
      </c>
      <c r="F182" s="16" t="n">
        <f aca="false">rel_28</f>
        <v>1</v>
      </c>
      <c r="G182" s="16" t="n">
        <f aca="false">rel_29</f>
        <v>0.95</v>
      </c>
    </row>
    <row r="183" customFormat="false" ht="15" hidden="false" customHeight="false" outlineLevel="0" collapsed="false">
      <c r="A183" s="4" t="s">
        <v>456</v>
      </c>
      <c r="B183" s="0" t="s">
        <v>52</v>
      </c>
      <c r="D183" s="15" t="n">
        <f aca="false">$D$181*D182</f>
        <v>0.174610057569922</v>
      </c>
      <c r="E183" s="15" t="n">
        <f aca="false">$D$181*E182</f>
        <v>0.174610057569922</v>
      </c>
      <c r="F183" s="15" t="n">
        <f aca="false">$D$181*F182</f>
        <v>0.174610057569922</v>
      </c>
      <c r="G183" s="15" t="n">
        <f aca="false">$D$181*G182</f>
        <v>0.165879554691426</v>
      </c>
    </row>
    <row r="184" customFormat="false" ht="17.15" hidden="false" customHeight="false" outlineLevel="0" collapsed="false">
      <c r="A184" s="0" t="s">
        <v>457</v>
      </c>
      <c r="B184" s="0" t="s">
        <v>209</v>
      </c>
      <c r="D184" s="19" t="n">
        <f aca="false">D180*D183</f>
        <v>3545.93373</v>
      </c>
      <c r="E184" s="19" t="n">
        <f aca="false">E180*E183</f>
        <v>6364.6382472282</v>
      </c>
      <c r="F184" s="19" t="n">
        <f aca="false">F180*F183</f>
        <v>8067.92208759447</v>
      </c>
      <c r="G184" s="19" t="n">
        <f aca="false">G180*G183</f>
        <v>8731.10684180974</v>
      </c>
    </row>
    <row r="185" customFormat="false" ht="17.15" hidden="false" customHeight="false" outlineLevel="0" collapsed="false">
      <c r="A185" s="4" t="s">
        <v>458</v>
      </c>
      <c r="B185" s="0" t="s">
        <v>52</v>
      </c>
      <c r="D185" s="15" t="n">
        <f aca="false">0</f>
        <v>0</v>
      </c>
      <c r="E185" s="15" t="n">
        <f aca="false">CSHI_27</f>
        <v>0.25</v>
      </c>
      <c r="F185" s="15" t="n">
        <f aca="false">CSHI_28</f>
        <v>0.4</v>
      </c>
      <c r="G185" s="15" t="n">
        <f aca="false">CSHI_29</f>
        <v>0.5</v>
      </c>
      <c r="H185" s="8" t="s">
        <v>459</v>
      </c>
    </row>
    <row r="186" customFormat="false" ht="17.15" hidden="false" customHeight="false" outlineLevel="0" collapsed="false">
      <c r="A186" s="0" t="s">
        <v>460</v>
      </c>
      <c r="B186" s="0" t="s">
        <v>209</v>
      </c>
      <c r="C186" s="19" t="n">
        <f aca="false">a25_ai</f>
        <v>1620.621</v>
      </c>
      <c r="D186" s="19" t="n">
        <f aca="false">D184*(1-D185)</f>
        <v>3545.93373</v>
      </c>
      <c r="E186" s="19" t="n">
        <f aca="false">E184*(1-E185)</f>
        <v>4773.47868542115</v>
      </c>
      <c r="F186" s="19" t="n">
        <f aca="false">F184*(1-F185)</f>
        <v>4840.75325255668</v>
      </c>
      <c r="G186" s="19" t="n">
        <f aca="false">G184*(1-G185)</f>
        <v>4365.55342090487</v>
      </c>
    </row>
    <row r="187" customFormat="false" ht="17.15" hidden="false" customHeight="false" outlineLevel="0" collapsed="false">
      <c r="A187" s="6" t="s">
        <v>461</v>
      </c>
    </row>
    <row r="188" customFormat="false" ht="17.15" hidden="false" customHeight="false" outlineLevel="0" collapsed="false">
      <c r="A188" s="4" t="s">
        <v>382</v>
      </c>
      <c r="B188" s="0" t="s">
        <v>209</v>
      </c>
      <c r="C188" s="19" t="n">
        <f aca="false">a25_cn</f>
        <v>1620.621</v>
      </c>
      <c r="D188" s="19" t="n">
        <f aca="false">a26_cn</f>
        <v>2363.95582</v>
      </c>
      <c r="E188" s="19" t="n">
        <f aca="false">D188*(1+g_cn27)</f>
        <v>2647.6305184</v>
      </c>
      <c r="F188" s="19" t="n">
        <f aca="false">E188*(1+g_cn28)</f>
        <v>2859.440959872</v>
      </c>
      <c r="G188" s="19" t="n">
        <f aca="false">F188*(1+g_cn29)</f>
        <v>3031.00741746432</v>
      </c>
    </row>
    <row r="189" customFormat="false" ht="17.15" hidden="false" customHeight="false" outlineLevel="0" collapsed="false">
      <c r="A189" s="4" t="s">
        <v>383</v>
      </c>
      <c r="B189" s="0" t="s">
        <v>209</v>
      </c>
      <c r="C189" s="19" t="n">
        <f aca="false">a25_ce</f>
        <v>3079.1799</v>
      </c>
      <c r="D189" s="19" t="n">
        <f aca="false">a26_ce</f>
        <v>3345.2205</v>
      </c>
      <c r="E189" s="19" t="n">
        <f aca="false">D189*(1+g_ce27)</f>
        <v>3445.577115</v>
      </c>
      <c r="F189" s="19" t="n">
        <f aca="false">E189*(1+g_ce28)</f>
        <v>3514.4886573</v>
      </c>
      <c r="G189" s="19" t="n">
        <f aca="false">F189*(1+g_ce29)</f>
        <v>3584.778430446</v>
      </c>
    </row>
    <row r="190" customFormat="false" ht="15" hidden="false" customHeight="false" outlineLevel="0" collapsed="false">
      <c r="A190" s="4" t="s">
        <v>384</v>
      </c>
      <c r="B190" s="0" t="s">
        <v>209</v>
      </c>
      <c r="C190" s="19" t="n">
        <f aca="false">a25_pc</f>
        <v>1215.46575</v>
      </c>
      <c r="D190" s="19" t="n">
        <f aca="false">a26_pc</f>
        <v>1338.0882</v>
      </c>
      <c r="E190" s="19" t="n">
        <f aca="false">D190*(1+g_pc27)</f>
        <v>1311.326436</v>
      </c>
      <c r="F190" s="19" t="n">
        <f aca="false">E190*(1+g_pc28)</f>
        <v>1311.326436</v>
      </c>
      <c r="G190" s="19" t="n">
        <f aca="false">F190*(1+g_pc29)</f>
        <v>1311.326436</v>
      </c>
    </row>
    <row r="191" customFormat="false" ht="15" hidden="false" customHeight="false" outlineLevel="0" collapsed="false">
      <c r="A191" s="4" t="s">
        <v>462</v>
      </c>
      <c r="B191" s="0" t="s">
        <v>209</v>
      </c>
      <c r="C191" s="19" t="n">
        <f aca="false">a25_co</f>
        <v>567.217349999999</v>
      </c>
      <c r="D191" s="19" t="n">
        <f aca="false">a26_co</f>
        <v>557.53675</v>
      </c>
      <c r="E191" s="19" t="n">
        <f aca="false">D191*(1+g_co27)</f>
        <v>602.13969</v>
      </c>
      <c r="F191" s="19" t="n">
        <f aca="false">E191*(1+g_co28)</f>
        <v>638.2680714</v>
      </c>
      <c r="G191" s="19" t="n">
        <f aca="false">F191*(1+g_co29)</f>
        <v>670.18147497</v>
      </c>
    </row>
    <row r="192" customFormat="false" ht="17.15" hidden="false" customHeight="false" outlineLevel="0" collapsed="false">
      <c r="A192" s="4" t="s">
        <v>387</v>
      </c>
      <c r="B192" s="0" t="s">
        <v>209</v>
      </c>
      <c r="C192" s="19" t="n">
        <f aca="false">SUM(C188:C191)</f>
        <v>6482.484</v>
      </c>
      <c r="D192" s="19" t="n">
        <f aca="false">SUM(D188:D191)</f>
        <v>7604.80127</v>
      </c>
      <c r="E192" s="19" t="n">
        <f aca="false">SUM(E188:E191)</f>
        <v>8006.6737594</v>
      </c>
      <c r="F192" s="19" t="n">
        <f aca="false">SUM(F188:F191)</f>
        <v>8323.524124572</v>
      </c>
      <c r="G192" s="19" t="n">
        <f aca="false">SUM(G188:G191)</f>
        <v>8597.29375888032</v>
      </c>
    </row>
    <row r="193" customFormat="false" ht="15" hidden="false" customHeight="false" outlineLevel="0" collapsed="false">
      <c r="A193" s="4" t="s">
        <v>353</v>
      </c>
      <c r="B193" s="0" t="s">
        <v>209</v>
      </c>
      <c r="C193" s="19" t="n">
        <f aca="false">C186+C192</f>
        <v>8103.105</v>
      </c>
      <c r="D193" s="19" t="n">
        <f aca="false">D186+D192</f>
        <v>11150.735</v>
      </c>
      <c r="E193" s="19" t="n">
        <f aca="false">E186+E192</f>
        <v>12780.1524448211</v>
      </c>
      <c r="F193" s="19" t="n">
        <f aca="false">F186+F192</f>
        <v>13164.2773771287</v>
      </c>
      <c r="G193" s="19" t="n">
        <f aca="false">G186+G192</f>
        <v>12962.8471797852</v>
      </c>
    </row>
    <row r="194" customFormat="false" ht="15" hidden="false" customHeight="false" outlineLevel="0" collapsed="false">
      <c r="A194" s="4" t="s">
        <v>463</v>
      </c>
      <c r="B194" s="0" t="s">
        <v>52</v>
      </c>
      <c r="D194" s="15" t="n">
        <f aca="false">D193/C193-1</f>
        <v>0.376106443147411</v>
      </c>
      <c r="E194" s="15" t="n">
        <f aca="false">E193/D193-1</f>
        <v>0.146126461154458</v>
      </c>
      <c r="F194" s="15" t="n">
        <f aca="false">F193/E193-1</f>
        <v>0.0300563654436836</v>
      </c>
      <c r="G194" s="15" t="n">
        <f aca="false">G193/F193-1</f>
        <v>-0.0153012726466436</v>
      </c>
    </row>
    <row r="195" customFormat="false" ht="17.15" hidden="false" customHeight="false" outlineLevel="0" collapsed="false">
      <c r="A195" s="0" t="s">
        <v>464</v>
      </c>
      <c r="B195" s="0" t="s">
        <v>52</v>
      </c>
      <c r="C195" s="15" t="n">
        <f aca="false">C186/C193</f>
        <v>0.2</v>
      </c>
      <c r="D195" s="15" t="n">
        <f aca="false">D186/D193</f>
        <v>0.318</v>
      </c>
      <c r="E195" s="15" t="n">
        <f aca="false">E186/E193</f>
        <v>0.373507178887799</v>
      </c>
      <c r="F195" s="15" t="n">
        <f aca="false">F186/F193</f>
        <v>0.367718873879617</v>
      </c>
      <c r="G195" s="15" t="n">
        <f aca="false">G186/G193</f>
        <v>0.33677427191402</v>
      </c>
    </row>
    <row r="196" customFormat="false" ht="17.15" hidden="false" customHeight="false" outlineLevel="0" collapsed="false">
      <c r="A196" s="4" t="s">
        <v>465</v>
      </c>
      <c r="B196" s="0" t="s">
        <v>52</v>
      </c>
      <c r="C196" s="15" t="n">
        <f aca="false">(C186+C188)/C193</f>
        <v>0.4</v>
      </c>
      <c r="D196" s="15" t="n">
        <f aca="false">(D186+D188)/D193</f>
        <v>0.53</v>
      </c>
      <c r="E196" s="15" t="n">
        <f aca="false">(E186+E188)/E193</f>
        <v>0.580674544835213</v>
      </c>
      <c r="F196" s="15" t="n">
        <f aca="false">(F186+F188)/F193</f>
        <v>0.584931021417615</v>
      </c>
      <c r="G196" s="15" t="n">
        <f aca="false">(G186+G188)/G193</f>
        <v>0.570596932586207</v>
      </c>
    </row>
    <row r="197" customFormat="false" ht="17.15" hidden="false" customHeight="false" outlineLevel="0" collapsed="false">
      <c r="A197" s="4" t="s">
        <v>418</v>
      </c>
      <c r="B197" s="0" t="s">
        <v>405</v>
      </c>
      <c r="D197" s="16" t="n">
        <f aca="false">D186/fx/D177</f>
        <v>4.7355819103481</v>
      </c>
      <c r="E197" s="16" t="n">
        <f aca="false">E186/fx/E177</f>
        <v>3.58181976344621</v>
      </c>
      <c r="F197" s="16" t="n">
        <f aca="false">F186/fx/F177</f>
        <v>2.86545581075697</v>
      </c>
      <c r="G197" s="16" t="n">
        <f aca="false">G186/fx/G177</f>
        <v>2.2684858501826</v>
      </c>
    </row>
    <row r="198" customFormat="false" ht="17.15" hidden="false" customHeight="false" outlineLevel="0" collapsed="false">
      <c r="A198" s="4" t="s">
        <v>466</v>
      </c>
      <c r="B198" s="4" t="s">
        <v>416</v>
      </c>
      <c r="D198" s="19" t="n">
        <f aca="false">D184/fx/(odm_gb*(1-vr26)+odm_vr*vr26)</f>
        <v>24.0630682003257</v>
      </c>
      <c r="E198" s="19" t="n">
        <f aca="false">E184/fx/odm_vr</f>
        <v>29.4659178112417</v>
      </c>
      <c r="F198" s="19" t="n">
        <f aca="false">F184/fx/odm_vr</f>
        <v>37.3514911462707</v>
      </c>
      <c r="G198" s="19" t="n">
        <f aca="false">G184/fx/odm_vr</f>
        <v>40.4217909343043</v>
      </c>
      <c r="H198" s="4" t="s">
        <v>467</v>
      </c>
    </row>
    <row r="199" customFormat="false" ht="17.15" hidden="false" customHeight="false" outlineLevel="0" collapsed="false">
      <c r="A199" s="6" t="s">
        <v>468</v>
      </c>
    </row>
    <row r="200" customFormat="false" ht="17.15" hidden="false" customHeight="false" outlineLevel="0" collapsed="false">
      <c r="A200" s="4" t="s">
        <v>469</v>
      </c>
      <c r="B200" s="0" t="s">
        <v>52</v>
      </c>
      <c r="D200" s="14" t="n">
        <f aca="false">a26_gp/D193-d_ai*D195</f>
        <v>0.0621989258510762</v>
      </c>
      <c r="H200" s="8" t="s">
        <v>470</v>
      </c>
    </row>
    <row r="201" customFormat="false" ht="17.15" hidden="false" customHeight="false" outlineLevel="0" collapsed="false">
      <c r="A201" s="0" t="s">
        <v>471</v>
      </c>
      <c r="B201" s="0" t="s">
        <v>209</v>
      </c>
      <c r="D201" s="22" t="n">
        <f aca="false">($D$200+d_ai)*D184*(1-D185*(1-keep))</f>
        <v>202.8236004951</v>
      </c>
      <c r="E201" s="22" t="n">
        <f aca="false">($D$200+d_ai+vrd)*E184*(1-E185*(1-keep))</f>
        <v>342.538164810731</v>
      </c>
      <c r="F201" s="22" t="n">
        <f aca="false">($D$200+d_ai+vrd)*F184*(1-F185*(1-keep))</f>
        <v>427.527007761971</v>
      </c>
      <c r="G201" s="22" t="n">
        <f aca="false">($D$200+d_ai+vrd)*G184*(1-G185*(1-keep))</f>
        <v>457.850333200936</v>
      </c>
      <c r="H201" s="4" t="s">
        <v>472</v>
      </c>
    </row>
    <row r="202" customFormat="false" ht="15" hidden="false" customHeight="false" outlineLevel="0" collapsed="false">
      <c r="A202" s="4" t="s">
        <v>357</v>
      </c>
      <c r="B202" s="0" t="s">
        <v>209</v>
      </c>
      <c r="C202" s="19" t="n">
        <f aca="false">a25_gp</f>
        <v>498.161</v>
      </c>
      <c r="D202" s="19" t="n">
        <f aca="false">a26_gp</f>
        <v>675.8340708</v>
      </c>
      <c r="E202" s="19" t="n">
        <f aca="false">$D$200*E192+E201</f>
        <v>840.544672285409</v>
      </c>
      <c r="F202" s="19" t="n">
        <f aca="false">$D$200*F192+F201</f>
        <v>945.241267605869</v>
      </c>
      <c r="G202" s="19" t="n">
        <f aca="false">$D$200*G192+G201</f>
        <v>992.592770229453</v>
      </c>
    </row>
    <row r="203" customFormat="false" ht="15" hidden="false" customHeight="false" outlineLevel="0" collapsed="false">
      <c r="A203" s="4" t="s">
        <v>360</v>
      </c>
      <c r="B203" s="0" t="s">
        <v>52</v>
      </c>
      <c r="C203" s="14" t="n">
        <f aca="false">C202/C193</f>
        <v>0.0614777915379352</v>
      </c>
      <c r="D203" s="14" t="n">
        <f aca="false">D202/D193</f>
        <v>0.0606089258510762</v>
      </c>
      <c r="E203" s="14" t="n">
        <f aca="false">E202/E193</f>
        <v>0.0657695341205433</v>
      </c>
      <c r="F203" s="14" t="n">
        <f aca="false">F202/F193</f>
        <v>0.0718035058459122</v>
      </c>
      <c r="G203" s="14" t="n">
        <f aca="false">G202/G193</f>
        <v>0.076572126205217</v>
      </c>
    </row>
    <row r="204" customFormat="false" ht="17.15" hidden="false" customHeight="false" outlineLevel="0" collapsed="false">
      <c r="A204" s="0" t="s">
        <v>473</v>
      </c>
      <c r="B204" s="0" t="s">
        <v>52</v>
      </c>
      <c r="D204" s="14" t="n">
        <f aca="false">D201/D186</f>
        <v>0.0571989258510762</v>
      </c>
      <c r="E204" s="14" t="n">
        <f aca="false">E201/E186</f>
        <v>0.0717586036063991</v>
      </c>
      <c r="F204" s="14" t="n">
        <f aca="false">F201/F186</f>
        <v>0.0883182813617219</v>
      </c>
      <c r="G204" s="14" t="n">
        <f aca="false">G201/G186</f>
        <v>0.104877959117045</v>
      </c>
      <c r="H204" s="4" t="s">
        <v>474</v>
      </c>
    </row>
    <row r="205" customFormat="false" ht="15" hidden="false" customHeight="false" outlineLevel="0" collapsed="false">
      <c r="A205" s="4" t="s">
        <v>475</v>
      </c>
      <c r="B205" s="0" t="s">
        <v>209</v>
      </c>
      <c r="C205" s="19" t="n">
        <f aca="false">a25_opx</f>
        <v>238.938</v>
      </c>
      <c r="D205" s="19" t="n">
        <f aca="false">a26_opx</f>
        <v>254.8304233</v>
      </c>
      <c r="E205" s="19" t="n">
        <f aca="false">D205*(1+MAX(0,phi*E194))</f>
        <v>269.725410480529</v>
      </c>
      <c r="F205" s="19" t="n">
        <f aca="false">E205*(1+MAX(0,phi*F194))</f>
        <v>272.968196683269</v>
      </c>
      <c r="G205" s="19" t="n">
        <f aca="false">F205*(1+MAX(0,phi*G194))</f>
        <v>272.968196683269</v>
      </c>
    </row>
    <row r="206" customFormat="false" ht="15" hidden="false" customHeight="false" outlineLevel="0" collapsed="false">
      <c r="A206" s="4" t="s">
        <v>361</v>
      </c>
      <c r="B206" s="0" t="s">
        <v>209</v>
      </c>
      <c r="C206" s="19" t="n">
        <f aca="false">C205</f>
        <v>238.938</v>
      </c>
      <c r="D206" s="19" t="n">
        <f aca="false">D205</f>
        <v>254.8304233</v>
      </c>
      <c r="E206" s="19" t="n">
        <f aca="false">E205+0*E193</f>
        <v>269.725410480529</v>
      </c>
      <c r="F206" s="19" t="n">
        <f aca="false">F205+0*F193</f>
        <v>272.968196683269</v>
      </c>
      <c r="G206" s="19" t="n">
        <f aca="false">G205+0*G193</f>
        <v>272.968196683269</v>
      </c>
    </row>
    <row r="207" customFormat="false" ht="15" hidden="false" customHeight="false" outlineLevel="0" collapsed="false">
      <c r="A207" s="4" t="s">
        <v>364</v>
      </c>
      <c r="B207" s="0" t="s">
        <v>209</v>
      </c>
      <c r="C207" s="19" t="n">
        <f aca="false">C202-C206</f>
        <v>259.223</v>
      </c>
      <c r="D207" s="19" t="n">
        <f aca="false">D202-D206</f>
        <v>421.0036475</v>
      </c>
      <c r="E207" s="19" t="n">
        <f aca="false">E202-E206</f>
        <v>570.81926180488</v>
      </c>
      <c r="F207" s="19" t="n">
        <f aca="false">F202-F206</f>
        <v>672.2730709226</v>
      </c>
      <c r="G207" s="19" t="n">
        <f aca="false">G202-G206</f>
        <v>719.624573546184</v>
      </c>
    </row>
    <row r="208" customFormat="false" ht="15" hidden="false" customHeight="false" outlineLevel="0" collapsed="false">
      <c r="A208" s="4" t="s">
        <v>367</v>
      </c>
      <c r="B208" s="0" t="s">
        <v>52</v>
      </c>
      <c r="C208" s="14" t="n">
        <f aca="false">C207/C193</f>
        <v>0.0319905764518663</v>
      </c>
      <c r="D208" s="14" t="n">
        <f aca="false">D207/D193</f>
        <v>0.0377556858359561</v>
      </c>
      <c r="E208" s="14" t="n">
        <f aca="false">E207/E193</f>
        <v>0.0446645111839954</v>
      </c>
      <c r="F208" s="14" t="n">
        <f aca="false">F207/F193</f>
        <v>0.0510679812999529</v>
      </c>
      <c r="G208" s="14" t="n">
        <f aca="false">G207/G193</f>
        <v>0.055514391519511</v>
      </c>
    </row>
    <row r="209" customFormat="false" ht="17.15" hidden="false" customHeight="false" outlineLevel="0" collapsed="false">
      <c r="A209" s="4" t="s">
        <v>243</v>
      </c>
      <c r="B209" s="0" t="s">
        <v>52</v>
      </c>
      <c r="C209" s="15" t="n">
        <f aca="false">a25_ni/a25_oi</f>
        <v>0.730467589681471</v>
      </c>
      <c r="D209" s="15" t="n">
        <f aca="false">a26_ni/a26_oi</f>
        <v>0.653811645064191</v>
      </c>
      <c r="E209" s="15" t="n">
        <f aca="false">nio_f</f>
        <v>0.66</v>
      </c>
      <c r="F209" s="15" t="n">
        <f aca="false">nio_f</f>
        <v>0.66</v>
      </c>
      <c r="G209" s="15" t="n">
        <f aca="false">nio_f</f>
        <v>0.66</v>
      </c>
    </row>
    <row r="210" customFormat="false" ht="15" hidden="false" customHeight="false" outlineLevel="0" collapsed="false">
      <c r="A210" s="4" t="s">
        <v>368</v>
      </c>
      <c r="B210" s="0" t="s">
        <v>209</v>
      </c>
      <c r="C210" s="19" t="n">
        <f aca="false">a25_ni</f>
        <v>189.354</v>
      </c>
      <c r="D210" s="19" t="n">
        <f aca="false">a26_ni</f>
        <v>275.25708735</v>
      </c>
      <c r="E210" s="19" t="n">
        <f aca="false">E207*E209</f>
        <v>376.740712791221</v>
      </c>
      <c r="F210" s="19" t="n">
        <f aca="false">F207*F209</f>
        <v>443.700226808916</v>
      </c>
      <c r="G210" s="19" t="n">
        <f aca="false">G207*G209</f>
        <v>474.952218540482</v>
      </c>
    </row>
    <row r="211" customFormat="false" ht="15" hidden="false" customHeight="false" outlineLevel="0" collapsed="false">
      <c r="A211" s="4" t="s">
        <v>476</v>
      </c>
      <c r="B211" s="4" t="s">
        <v>230</v>
      </c>
      <c r="C211" s="23" t="n">
        <f aca="false">a25_sh</f>
        <v>13.9128581925055</v>
      </c>
      <c r="D211" s="23" t="n">
        <f aca="false">a26_sh</f>
        <v>14.0169642857143</v>
      </c>
      <c r="E211" s="23" t="n">
        <f aca="false">D211*(1+sh_g)</f>
        <v>14.0169642857143</v>
      </c>
      <c r="F211" s="23" t="n">
        <f aca="false">E211*(1+sh_g)</f>
        <v>14.0169642857143</v>
      </c>
      <c r="G211" s="23" t="n">
        <f aca="false">F211*(1+sh_g)</f>
        <v>14.0169642857143</v>
      </c>
    </row>
    <row r="212" customFormat="false" ht="15" hidden="false" customHeight="false" outlineLevel="0" collapsed="false">
      <c r="A212" s="0" t="s">
        <v>374</v>
      </c>
      <c r="B212" s="0" t="s">
        <v>260</v>
      </c>
      <c r="C212" s="22" t="n">
        <f aca="false">C210/C211</f>
        <v>13.61</v>
      </c>
      <c r="D212" s="22" t="n">
        <f aca="false">D210/D211</f>
        <v>19.6374251756163</v>
      </c>
      <c r="E212" s="22" t="n">
        <f aca="false">E210/E211</f>
        <v>26.8774825355862</v>
      </c>
      <c r="F212" s="22" t="n">
        <f aca="false">F210/F211</f>
        <v>31.6545164676722</v>
      </c>
      <c r="G212" s="22" t="n">
        <f aca="false">G210/G211</f>
        <v>33.884099927724</v>
      </c>
    </row>
    <row r="213" customFormat="false" ht="17.15" hidden="false" customHeight="false" outlineLevel="0" collapsed="false">
      <c r="A213" s="0" t="s">
        <v>477</v>
      </c>
      <c r="B213" s="0" t="s">
        <v>52</v>
      </c>
      <c r="D213" s="15" t="n">
        <f aca="false">D212/C212-1</f>
        <v>0.442867389832203</v>
      </c>
      <c r="E213" s="15" t="n">
        <f aca="false">E212/D212-1</f>
        <v>0.368686693658793</v>
      </c>
      <c r="F213" s="15" t="n">
        <f aca="false">F212/E212-1</f>
        <v>0.177733681931005</v>
      </c>
      <c r="G213" s="15" t="n">
        <f aca="false">G212/F212-1</f>
        <v>0.0704349239492823</v>
      </c>
    </row>
    <row r="216" customFormat="false" ht="17.15" hidden="false" customHeight="false" outlineLevel="0" collapsed="false">
      <c r="A216" s="1" t="s">
        <v>788</v>
      </c>
    </row>
    <row r="217" customFormat="false" ht="17.15" hidden="false" customHeight="false" outlineLevel="0" collapsed="false">
      <c r="A217" s="5" t="s">
        <v>21</v>
      </c>
      <c r="B217" s="5" t="s">
        <v>22</v>
      </c>
      <c r="C217" s="11" t="s">
        <v>347</v>
      </c>
      <c r="D217" s="11" t="s">
        <v>429</v>
      </c>
      <c r="E217" s="11" t="s">
        <v>430</v>
      </c>
      <c r="F217" s="11" t="s">
        <v>431</v>
      </c>
      <c r="G217" s="11" t="s">
        <v>432</v>
      </c>
      <c r="H217" s="5" t="s">
        <v>400</v>
      </c>
    </row>
    <row r="218" customFormat="false" ht="17.15" hidden="false" customHeight="false" outlineLevel="0" collapsed="false">
      <c r="A218" s="6" t="s">
        <v>446</v>
      </c>
    </row>
    <row r="219" customFormat="false" ht="17.15" hidden="false" customHeight="false" outlineLevel="0" collapsed="false">
      <c r="A219" s="0" t="s">
        <v>447</v>
      </c>
      <c r="B219" s="0" t="s">
        <v>32</v>
      </c>
      <c r="D219" s="22" t="n">
        <f aca="false">itc_26*1</f>
        <v>781.872916666666</v>
      </c>
      <c r="E219" s="22" t="n">
        <f aca="false">itc_27*1*1</f>
        <v>1565.35</v>
      </c>
      <c r="F219" s="22" t="n">
        <f aca="false">itc_28*um28_A*1</f>
        <v>1984.26388888889</v>
      </c>
      <c r="G219" s="22" t="n">
        <f aca="false">itc_29*um29_A*1</f>
        <v>2260.39027777778</v>
      </c>
    </row>
    <row r="220" customFormat="false" ht="17.15" hidden="false" customHeight="false" outlineLevel="0" collapsed="false">
      <c r="A220" s="4" t="s">
        <v>448</v>
      </c>
      <c r="B220" s="0" t="s">
        <v>32</v>
      </c>
      <c r="D220" s="22" t="n">
        <f aca="false">itpg_gb*(1-vr26)+itpg_vr*vr26</f>
        <v>33.41403216</v>
      </c>
      <c r="E220" s="22" t="n">
        <f aca="false">itpg_vr</f>
        <v>37.586352</v>
      </c>
      <c r="F220" s="22" t="n">
        <f aca="false">itpg_vr</f>
        <v>37.586352</v>
      </c>
      <c r="G220" s="22" t="n">
        <f aca="false">itpg_vr</f>
        <v>37.586352</v>
      </c>
    </row>
    <row r="221" customFormat="false" ht="17.15" hidden="false" customHeight="false" outlineLevel="0" collapsed="false">
      <c r="A221" s="4" t="s">
        <v>449</v>
      </c>
      <c r="B221" s="0" t="s">
        <v>402</v>
      </c>
      <c r="D221" s="18" t="n">
        <f aca="false">D219/D220</f>
        <v>23.3995380420639</v>
      </c>
      <c r="E221" s="18" t="n">
        <f aca="false">E219/E220</f>
        <v>41.6467658260637</v>
      </c>
      <c r="F221" s="18" t="n">
        <f aca="false">F219/F220</f>
        <v>52.792138191248</v>
      </c>
      <c r="G221" s="18" t="n">
        <f aca="false">G219/G220</f>
        <v>60.1385917361116</v>
      </c>
    </row>
    <row r="222" customFormat="false" ht="17.15" hidden="false" customHeight="false" outlineLevel="0" collapsed="false">
      <c r="A222" s="4" t="s">
        <v>404</v>
      </c>
      <c r="B222" s="0" t="s">
        <v>405</v>
      </c>
      <c r="D222" s="16" t="n">
        <f aca="false">(racks_gb*odm_gb*(1-vr26)+racks_vr*odm_vr*vr26)/1000</f>
        <v>27.1209</v>
      </c>
      <c r="E222" s="16" t="n">
        <f aca="false">racks_vr*odm_vr/1000</f>
        <v>27.351</v>
      </c>
      <c r="F222" s="16" t="n">
        <f aca="false">$E222*vpg_28</f>
        <v>27.351</v>
      </c>
      <c r="G222" s="16" t="n">
        <f aca="false">$E222*vpg_29</f>
        <v>27.351</v>
      </c>
      <c r="H222" s="4" t="s">
        <v>450</v>
      </c>
    </row>
    <row r="223" customFormat="false" ht="17.15" hidden="false" customHeight="false" outlineLevel="0" collapsed="false">
      <c r="A223" s="0" t="s">
        <v>451</v>
      </c>
      <c r="B223" s="0" t="s">
        <v>32</v>
      </c>
      <c r="D223" s="19" t="n">
        <f aca="false">D221*D222</f>
        <v>634.61653128501</v>
      </c>
      <c r="E223" s="19" t="n">
        <f aca="false">E221*E222</f>
        <v>1139.08069210867</v>
      </c>
      <c r="F223" s="19" t="n">
        <f aca="false">F221*F222</f>
        <v>1443.91777166882</v>
      </c>
      <c r="G223" s="19" t="n">
        <f aca="false">G221*G222</f>
        <v>1644.85062257439</v>
      </c>
    </row>
    <row r="224" customFormat="false" ht="17.15" hidden="false" customHeight="false" outlineLevel="0" collapsed="false">
      <c r="A224" s="0" t="s">
        <v>452</v>
      </c>
      <c r="B224" s="0" t="s">
        <v>209</v>
      </c>
      <c r="D224" s="19" t="n">
        <f aca="false">D223*fx</f>
        <v>20307.7290011203</v>
      </c>
      <c r="E224" s="19" t="n">
        <f aca="false">E223*fx</f>
        <v>36450.5821474774</v>
      </c>
      <c r="F224" s="19" t="n">
        <f aca="false">F223*fx</f>
        <v>46205.3686934024</v>
      </c>
      <c r="G224" s="19" t="n">
        <f aca="false">G223*fx</f>
        <v>52635.2199223804</v>
      </c>
    </row>
    <row r="225" customFormat="false" ht="17.15" hidden="false" customHeight="false" outlineLevel="0" collapsed="false">
      <c r="A225" s="4" t="s">
        <v>453</v>
      </c>
      <c r="B225" s="0" t="s">
        <v>52</v>
      </c>
      <c r="D225" s="15" t="n">
        <f aca="false">a26_ai/D224</f>
        <v>0.174610057569922</v>
      </c>
      <c r="H225" s="8" t="s">
        <v>454</v>
      </c>
    </row>
    <row r="226" customFormat="false" ht="17.15" hidden="false" customHeight="false" outlineLevel="0" collapsed="false">
      <c r="A226" s="4" t="s">
        <v>455</v>
      </c>
      <c r="B226" s="0" t="s">
        <v>71</v>
      </c>
      <c r="D226" s="16" t="n">
        <f aca="false">1</f>
        <v>1</v>
      </c>
      <c r="E226" s="16" t="n">
        <f aca="false">rel_27</f>
        <v>1</v>
      </c>
      <c r="F226" s="16" t="n">
        <f aca="false">rel_28</f>
        <v>1</v>
      </c>
      <c r="G226" s="16" t="n">
        <f aca="false">rel_29</f>
        <v>0.95</v>
      </c>
    </row>
    <row r="227" customFormat="false" ht="15" hidden="false" customHeight="false" outlineLevel="0" collapsed="false">
      <c r="A227" s="4" t="s">
        <v>456</v>
      </c>
      <c r="B227" s="0" t="s">
        <v>52</v>
      </c>
      <c r="D227" s="15" t="n">
        <f aca="false">$D$225*D226</f>
        <v>0.174610057569922</v>
      </c>
      <c r="E227" s="15" t="n">
        <f aca="false">$D$225*E226</f>
        <v>0.174610057569922</v>
      </c>
      <c r="F227" s="15" t="n">
        <f aca="false">$D$225*F226</f>
        <v>0.174610057569922</v>
      </c>
      <c r="G227" s="15" t="n">
        <f aca="false">$D$225*G226</f>
        <v>0.165879554691426</v>
      </c>
    </row>
    <row r="228" customFormat="false" ht="17.15" hidden="false" customHeight="false" outlineLevel="0" collapsed="false">
      <c r="A228" s="0" t="s">
        <v>457</v>
      </c>
      <c r="B228" s="0" t="s">
        <v>209</v>
      </c>
      <c r="D228" s="19" t="n">
        <f aca="false">D224*D227</f>
        <v>3545.93373</v>
      </c>
      <c r="E228" s="19" t="n">
        <f aca="false">E224*E227</f>
        <v>6364.6382472282</v>
      </c>
      <c r="F228" s="19" t="n">
        <f aca="false">F224*F227</f>
        <v>8067.92208759447</v>
      </c>
      <c r="G228" s="19" t="n">
        <f aca="false">G224*G227</f>
        <v>8731.10684180974</v>
      </c>
    </row>
    <row r="229" customFormat="false" ht="17.15" hidden="false" customHeight="false" outlineLevel="0" collapsed="false">
      <c r="A229" s="4" t="s">
        <v>458</v>
      </c>
      <c r="B229" s="0" t="s">
        <v>52</v>
      </c>
      <c r="D229" s="15" t="n">
        <f aca="false">0</f>
        <v>0</v>
      </c>
      <c r="E229" s="15" t="n">
        <f aca="false">cs_27</f>
        <v>0.1</v>
      </c>
      <c r="F229" s="15" t="n">
        <f aca="false">cs_28</f>
        <v>0.2</v>
      </c>
      <c r="G229" s="15" t="n">
        <f aca="false">cs_29</f>
        <v>0.25</v>
      </c>
      <c r="H229" s="8" t="s">
        <v>459</v>
      </c>
    </row>
    <row r="230" customFormat="false" ht="17.15" hidden="false" customHeight="false" outlineLevel="0" collapsed="false">
      <c r="A230" s="0" t="s">
        <v>460</v>
      </c>
      <c r="B230" s="0" t="s">
        <v>209</v>
      </c>
      <c r="C230" s="19" t="n">
        <f aca="false">a25_ai</f>
        <v>1620.621</v>
      </c>
      <c r="D230" s="19" t="n">
        <f aca="false">D228*(1-D229)</f>
        <v>3545.93373</v>
      </c>
      <c r="E230" s="19" t="n">
        <f aca="false">E228*(1-E229)</f>
        <v>5728.17442250538</v>
      </c>
      <c r="F230" s="19" t="n">
        <f aca="false">F228*(1-F229)</f>
        <v>6454.33767007557</v>
      </c>
      <c r="G230" s="19" t="n">
        <f aca="false">G228*(1-G229)</f>
        <v>6548.3301313573</v>
      </c>
    </row>
    <row r="231" customFormat="false" ht="17.15" hidden="false" customHeight="false" outlineLevel="0" collapsed="false">
      <c r="A231" s="6" t="s">
        <v>461</v>
      </c>
    </row>
    <row r="232" customFormat="false" ht="17.15" hidden="false" customHeight="false" outlineLevel="0" collapsed="false">
      <c r="A232" s="4" t="s">
        <v>382</v>
      </c>
      <c r="B232" s="0" t="s">
        <v>209</v>
      </c>
      <c r="C232" s="19" t="n">
        <f aca="false">a25_cn</f>
        <v>1620.621</v>
      </c>
      <c r="D232" s="19" t="n">
        <f aca="false">a26_cn</f>
        <v>2363.95582</v>
      </c>
      <c r="E232" s="19" t="n">
        <f aca="false">D232*(1+g_cn27)</f>
        <v>2647.6305184</v>
      </c>
      <c r="F232" s="19" t="n">
        <f aca="false">E232*(1+g_cn28)</f>
        <v>2859.440959872</v>
      </c>
      <c r="G232" s="19" t="n">
        <f aca="false">F232*(1+g_cn29)</f>
        <v>3031.00741746432</v>
      </c>
    </row>
    <row r="233" customFormat="false" ht="17.15" hidden="false" customHeight="false" outlineLevel="0" collapsed="false">
      <c r="A233" s="4" t="s">
        <v>383</v>
      </c>
      <c r="B233" s="0" t="s">
        <v>209</v>
      </c>
      <c r="C233" s="19" t="n">
        <f aca="false">a25_ce</f>
        <v>3079.1799</v>
      </c>
      <c r="D233" s="19" t="n">
        <f aca="false">a26_ce</f>
        <v>3345.2205</v>
      </c>
      <c r="E233" s="19" t="n">
        <f aca="false">D233*(1+g_ce27)</f>
        <v>3445.577115</v>
      </c>
      <c r="F233" s="19" t="n">
        <f aca="false">E233*(1+g_ce28)</f>
        <v>3514.4886573</v>
      </c>
      <c r="G233" s="19" t="n">
        <f aca="false">F233*(1+g_ce29)</f>
        <v>3584.778430446</v>
      </c>
    </row>
    <row r="234" customFormat="false" ht="15" hidden="false" customHeight="false" outlineLevel="0" collapsed="false">
      <c r="A234" s="4" t="s">
        <v>384</v>
      </c>
      <c r="B234" s="0" t="s">
        <v>209</v>
      </c>
      <c r="C234" s="19" t="n">
        <f aca="false">a25_pc</f>
        <v>1215.46575</v>
      </c>
      <c r="D234" s="19" t="n">
        <f aca="false">a26_pc</f>
        <v>1338.0882</v>
      </c>
      <c r="E234" s="19" t="n">
        <f aca="false">D234*(1+g_pc27)</f>
        <v>1311.326436</v>
      </c>
      <c r="F234" s="19" t="n">
        <f aca="false">E234*(1+g_pc28)</f>
        <v>1311.326436</v>
      </c>
      <c r="G234" s="19" t="n">
        <f aca="false">F234*(1+g_pc29)</f>
        <v>1311.326436</v>
      </c>
    </row>
    <row r="235" customFormat="false" ht="15" hidden="false" customHeight="false" outlineLevel="0" collapsed="false">
      <c r="A235" s="4" t="s">
        <v>462</v>
      </c>
      <c r="B235" s="0" t="s">
        <v>209</v>
      </c>
      <c r="C235" s="19" t="n">
        <f aca="false">a25_co</f>
        <v>567.217349999999</v>
      </c>
      <c r="D235" s="19" t="n">
        <f aca="false">a26_co</f>
        <v>557.53675</v>
      </c>
      <c r="E235" s="19" t="n">
        <f aca="false">D235*(1+g_co27)</f>
        <v>602.13969</v>
      </c>
      <c r="F235" s="19" t="n">
        <f aca="false">E235*(1+g_co28)</f>
        <v>638.2680714</v>
      </c>
      <c r="G235" s="19" t="n">
        <f aca="false">F235*(1+g_co29)</f>
        <v>670.18147497</v>
      </c>
    </row>
    <row r="236" customFormat="false" ht="17.15" hidden="false" customHeight="false" outlineLevel="0" collapsed="false">
      <c r="A236" s="4" t="s">
        <v>387</v>
      </c>
      <c r="B236" s="0" t="s">
        <v>209</v>
      </c>
      <c r="C236" s="19" t="n">
        <f aca="false">SUM(C232:C235)</f>
        <v>6482.484</v>
      </c>
      <c r="D236" s="19" t="n">
        <f aca="false">SUM(D232:D235)</f>
        <v>7604.80127</v>
      </c>
      <c r="E236" s="19" t="n">
        <f aca="false">SUM(E232:E235)</f>
        <v>8006.6737594</v>
      </c>
      <c r="F236" s="19" t="n">
        <f aca="false">SUM(F232:F235)</f>
        <v>8323.524124572</v>
      </c>
      <c r="G236" s="19" t="n">
        <f aca="false">SUM(G232:G235)</f>
        <v>8597.29375888032</v>
      </c>
    </row>
    <row r="237" customFormat="false" ht="15" hidden="false" customHeight="false" outlineLevel="0" collapsed="false">
      <c r="A237" s="4" t="s">
        <v>353</v>
      </c>
      <c r="B237" s="0" t="s">
        <v>209</v>
      </c>
      <c r="C237" s="19" t="n">
        <f aca="false">C230+C236</f>
        <v>8103.105</v>
      </c>
      <c r="D237" s="19" t="n">
        <f aca="false">D230+D236</f>
        <v>11150.735</v>
      </c>
      <c r="E237" s="19" t="n">
        <f aca="false">E230+E236</f>
        <v>13734.8481819054</v>
      </c>
      <c r="F237" s="19" t="n">
        <f aca="false">F230+F236</f>
        <v>14777.8617946476</v>
      </c>
      <c r="G237" s="19" t="n">
        <f aca="false">G230+G236</f>
        <v>15145.6238902376</v>
      </c>
    </row>
    <row r="238" customFormat="false" ht="15" hidden="false" customHeight="false" outlineLevel="0" collapsed="false">
      <c r="A238" s="4" t="s">
        <v>463</v>
      </c>
      <c r="B238" s="0" t="s">
        <v>52</v>
      </c>
      <c r="D238" s="15" t="n">
        <f aca="false">D237/C237-1</f>
        <v>0.376106443147411</v>
      </c>
      <c r="E238" s="15" t="n">
        <f aca="false">E237/D237-1</f>
        <v>0.231743753385349</v>
      </c>
      <c r="F238" s="15" t="n">
        <f aca="false">F237/E237-1</f>
        <v>0.0759392167229256</v>
      </c>
      <c r="G238" s="15" t="n">
        <f aca="false">G237/F237-1</f>
        <v>0.0248860153586801</v>
      </c>
    </row>
    <row r="239" customFormat="false" ht="17.15" hidden="false" customHeight="false" outlineLevel="0" collapsed="false">
      <c r="A239" s="0" t="s">
        <v>464</v>
      </c>
      <c r="B239" s="0" t="s">
        <v>52</v>
      </c>
      <c r="C239" s="15" t="n">
        <f aca="false">C230/C237</f>
        <v>0.2</v>
      </c>
      <c r="D239" s="15" t="n">
        <f aca="false">D230/D237</f>
        <v>0.318</v>
      </c>
      <c r="E239" s="15" t="n">
        <f aca="false">E230/E237</f>
        <v>0.417054076364078</v>
      </c>
      <c r="F239" s="15" t="n">
        <f aca="false">F230/F237</f>
        <v>0.436757208841491</v>
      </c>
      <c r="G239" s="15" t="n">
        <f aca="false">G230/G237</f>
        <v>0.43235789947076</v>
      </c>
    </row>
    <row r="240" customFormat="false" ht="17.15" hidden="false" customHeight="false" outlineLevel="0" collapsed="false">
      <c r="A240" s="4" t="s">
        <v>465</v>
      </c>
      <c r="B240" s="0" t="s">
        <v>52</v>
      </c>
      <c r="C240" s="15" t="n">
        <f aca="false">(C230+C232)/C237</f>
        <v>0.4</v>
      </c>
      <c r="D240" s="15" t="n">
        <f aca="false">(D230+D232)/D237</f>
        <v>0.53</v>
      </c>
      <c r="E240" s="15" t="n">
        <f aca="false">(E230+E232)/E237</f>
        <v>0.609821443235162</v>
      </c>
      <c r="F240" s="15" t="n">
        <f aca="false">(F230+F232)/F237</f>
        <v>0.630252113558198</v>
      </c>
      <c r="G240" s="15" t="n">
        <f aca="false">(G230+G232)/G237</f>
        <v>0.632482202003983</v>
      </c>
    </row>
    <row r="241" customFormat="false" ht="17.15" hidden="false" customHeight="false" outlineLevel="0" collapsed="false">
      <c r="A241" s="4" t="s">
        <v>418</v>
      </c>
      <c r="B241" s="0" t="s">
        <v>405</v>
      </c>
      <c r="D241" s="16" t="n">
        <f aca="false">D230/fx/D221</f>
        <v>4.7355819103481</v>
      </c>
      <c r="E241" s="16" t="n">
        <f aca="false">E230/fx/E221</f>
        <v>4.29818371613545</v>
      </c>
      <c r="F241" s="16" t="n">
        <f aca="false">F230/fx/F221</f>
        <v>3.82060774767595</v>
      </c>
      <c r="G241" s="16" t="n">
        <f aca="false">G230/fx/G221</f>
        <v>3.4027287752739</v>
      </c>
    </row>
    <row r="242" customFormat="false" ht="17.15" hidden="false" customHeight="false" outlineLevel="0" collapsed="false">
      <c r="A242" s="4" t="s">
        <v>466</v>
      </c>
      <c r="B242" s="4" t="s">
        <v>416</v>
      </c>
      <c r="D242" s="19" t="n">
        <f aca="false">D228/fx/(odm_gb*(1-vr26)+odm_vr*vr26)</f>
        <v>24.0630682003257</v>
      </c>
      <c r="E242" s="19" t="n">
        <f aca="false">E228/fx/odm_vr</f>
        <v>29.4659178112417</v>
      </c>
      <c r="F242" s="19" t="n">
        <f aca="false">F228/fx/odm_vr</f>
        <v>37.3514911462707</v>
      </c>
      <c r="G242" s="19" t="n">
        <f aca="false">G228/fx/odm_vr</f>
        <v>40.4217909343043</v>
      </c>
      <c r="H242" s="4" t="s">
        <v>467</v>
      </c>
    </row>
    <row r="243" customFormat="false" ht="17.15" hidden="false" customHeight="false" outlineLevel="0" collapsed="false">
      <c r="A243" s="6" t="s">
        <v>468</v>
      </c>
    </row>
    <row r="244" customFormat="false" ht="17.15" hidden="false" customHeight="false" outlineLevel="0" collapsed="false">
      <c r="A244" s="4" t="s">
        <v>469</v>
      </c>
      <c r="B244" s="0" t="s">
        <v>52</v>
      </c>
      <c r="D244" s="14" t="n">
        <f aca="false">a26_gp/D237-d_ai*D239</f>
        <v>0.0621989258510762</v>
      </c>
      <c r="H244" s="8" t="s">
        <v>470</v>
      </c>
    </row>
    <row r="245" customFormat="false" ht="17.15" hidden="false" customHeight="false" outlineLevel="0" collapsed="false">
      <c r="A245" s="0" t="s">
        <v>471</v>
      </c>
      <c r="B245" s="0" t="s">
        <v>209</v>
      </c>
      <c r="D245" s="22" t="n">
        <f aca="false">($D$244+d_ai)*D228*(1-D229*(1-keep_lo))</f>
        <v>202.8236004951</v>
      </c>
      <c r="E245" s="22" t="n">
        <f aca="false">($D$244+d_ai+vrd)*E228*(1-E229*(1-keep_lo))</f>
        <v>340.781558837343</v>
      </c>
      <c r="F245" s="22" t="n">
        <f aca="false">($D$244+d_ai+vrd)*F228*(1-F229*(1-keep_lo))</f>
        <v>418.620195100264</v>
      </c>
      <c r="G245" s="22" t="n">
        <f aca="false">($D$244+d_ai+vrd)*G228*(1-G229*(1-keep_lo))</f>
        <v>445.801640221964</v>
      </c>
      <c r="H245" s="4" t="s">
        <v>472</v>
      </c>
    </row>
    <row r="246" customFormat="false" ht="15" hidden="false" customHeight="false" outlineLevel="0" collapsed="false">
      <c r="A246" s="4" t="s">
        <v>357</v>
      </c>
      <c r="B246" s="0" t="s">
        <v>209</v>
      </c>
      <c r="C246" s="19" t="n">
        <f aca="false">a25_gp</f>
        <v>498.161</v>
      </c>
      <c r="D246" s="19" t="n">
        <f aca="false">a26_gp</f>
        <v>675.8340708</v>
      </c>
      <c r="E246" s="19" t="n">
        <f aca="false">$D$244*E236+E245</f>
        <v>838.788066312021</v>
      </c>
      <c r="F246" s="19" t="n">
        <f aca="false">$D$244*F236+F245</f>
        <v>936.334454944161</v>
      </c>
      <c r="G246" s="19" t="n">
        <f aca="false">$D$244*G236+G245</f>
        <v>980.544077250481</v>
      </c>
    </row>
    <row r="247" customFormat="false" ht="15" hidden="false" customHeight="false" outlineLevel="0" collapsed="false">
      <c r="A247" s="4" t="s">
        <v>360</v>
      </c>
      <c r="B247" s="0" t="s">
        <v>52</v>
      </c>
      <c r="C247" s="14" t="n">
        <f aca="false">C246/C237</f>
        <v>0.0614777915379352</v>
      </c>
      <c r="D247" s="14" t="n">
        <f aca="false">D246/D237</f>
        <v>0.0606089258510762</v>
      </c>
      <c r="E247" s="14" t="n">
        <f aca="false">E246/E237</f>
        <v>0.0610700646416362</v>
      </c>
      <c r="F247" s="14" t="n">
        <f aca="false">F246/F237</f>
        <v>0.0633606179266945</v>
      </c>
      <c r="G247" s="14" t="n">
        <f aca="false">G246/G237</f>
        <v>0.0647410819360507</v>
      </c>
    </row>
    <row r="248" customFormat="false" ht="17.15" hidden="false" customHeight="false" outlineLevel="0" collapsed="false">
      <c r="A248" s="0" t="s">
        <v>473</v>
      </c>
      <c r="B248" s="0" t="s">
        <v>52</v>
      </c>
      <c r="D248" s="14" t="n">
        <f aca="false">D245/D230</f>
        <v>0.0571989258510762</v>
      </c>
      <c r="E248" s="14" t="n">
        <f aca="false">E245/E230</f>
        <v>0.0594921756394932</v>
      </c>
      <c r="F248" s="14" t="n">
        <f aca="false">F245/F230</f>
        <v>0.0648587378750145</v>
      </c>
      <c r="G248" s="14" t="n">
        <f aca="false">G245/G230</f>
        <v>0.0680786752163273</v>
      </c>
      <c r="H248" s="4" t="s">
        <v>474</v>
      </c>
    </row>
    <row r="249" customFormat="false" ht="15" hidden="false" customHeight="false" outlineLevel="0" collapsed="false">
      <c r="A249" s="4" t="s">
        <v>475</v>
      </c>
      <c r="B249" s="0" t="s">
        <v>209</v>
      </c>
      <c r="C249" s="19" t="n">
        <f aca="false">a25_opx</f>
        <v>238.938</v>
      </c>
      <c r="D249" s="19" t="n">
        <f aca="false">a26_opx</f>
        <v>254.8304233</v>
      </c>
      <c r="E249" s="19" t="n">
        <f aca="false">D249*(1+MAX(0,phi*E238))</f>
        <v>278.452566808928</v>
      </c>
      <c r="F249" s="19" t="n">
        <f aca="false">E249*(1+MAX(0,phi*F238))</f>
        <v>286.910754736111</v>
      </c>
      <c r="G249" s="19" t="n">
        <f aca="false">F249*(1+MAX(0,phi*G238))</f>
        <v>289.766780915684</v>
      </c>
    </row>
    <row r="250" customFormat="false" ht="15" hidden="false" customHeight="false" outlineLevel="0" collapsed="false">
      <c r="A250" s="4" t="s">
        <v>361</v>
      </c>
      <c r="B250" s="0" t="s">
        <v>209</v>
      </c>
      <c r="C250" s="19" t="n">
        <f aca="false">C249</f>
        <v>238.938</v>
      </c>
      <c r="D250" s="19" t="n">
        <f aca="false">D249</f>
        <v>254.8304233</v>
      </c>
      <c r="E250" s="19" t="n">
        <f aca="false">E249+0*E237</f>
        <v>278.452566808928</v>
      </c>
      <c r="F250" s="19" t="n">
        <f aca="false">F249+0*F237</f>
        <v>286.910754736111</v>
      </c>
      <c r="G250" s="19" t="n">
        <f aca="false">G249+0*G237</f>
        <v>289.766780915684</v>
      </c>
    </row>
    <row r="251" customFormat="false" ht="15" hidden="false" customHeight="false" outlineLevel="0" collapsed="false">
      <c r="A251" s="4" t="s">
        <v>364</v>
      </c>
      <c r="B251" s="0" t="s">
        <v>209</v>
      </c>
      <c r="C251" s="19" t="n">
        <f aca="false">C246-C250</f>
        <v>259.223</v>
      </c>
      <c r="D251" s="19" t="n">
        <f aca="false">D246-D250</f>
        <v>421.0036475</v>
      </c>
      <c r="E251" s="19" t="n">
        <f aca="false">E246-E250</f>
        <v>560.335499503093</v>
      </c>
      <c r="F251" s="19" t="n">
        <f aca="false">F246-F250</f>
        <v>649.42370020805</v>
      </c>
      <c r="G251" s="19" t="n">
        <f aca="false">G246-G250</f>
        <v>690.777296334797</v>
      </c>
    </row>
    <row r="252" customFormat="false" ht="15" hidden="false" customHeight="false" outlineLevel="0" collapsed="false">
      <c r="A252" s="4" t="s">
        <v>367</v>
      </c>
      <c r="B252" s="0" t="s">
        <v>52</v>
      </c>
      <c r="C252" s="14" t="n">
        <f aca="false">C251/C237</f>
        <v>0.0319905764518663</v>
      </c>
      <c r="D252" s="14" t="n">
        <f aca="false">D251/D237</f>
        <v>0.0377556858359561</v>
      </c>
      <c r="E252" s="14" t="n">
        <f aca="false">E251/E237</f>
        <v>0.0407966285525669</v>
      </c>
      <c r="F252" s="14" t="n">
        <f aca="false">F251/F237</f>
        <v>0.043945714828871</v>
      </c>
      <c r="G252" s="14" t="n">
        <f aca="false">G251/G237</f>
        <v>0.0456090354112153</v>
      </c>
    </row>
    <row r="253" customFormat="false" ht="17.15" hidden="false" customHeight="false" outlineLevel="0" collapsed="false">
      <c r="A253" s="4" t="s">
        <v>243</v>
      </c>
      <c r="B253" s="0" t="s">
        <v>52</v>
      </c>
      <c r="C253" s="15" t="n">
        <f aca="false">a25_ni/a25_oi</f>
        <v>0.730467589681471</v>
      </c>
      <c r="D253" s="15" t="n">
        <f aca="false">a26_ni/a26_oi</f>
        <v>0.653811645064191</v>
      </c>
      <c r="E253" s="15" t="n">
        <f aca="false">nio_f</f>
        <v>0.66</v>
      </c>
      <c r="F253" s="15" t="n">
        <f aca="false">nio_f</f>
        <v>0.66</v>
      </c>
      <c r="G253" s="15" t="n">
        <f aca="false">nio_f</f>
        <v>0.66</v>
      </c>
    </row>
    <row r="254" customFormat="false" ht="15" hidden="false" customHeight="false" outlineLevel="0" collapsed="false">
      <c r="A254" s="4" t="s">
        <v>368</v>
      </c>
      <c r="B254" s="0" t="s">
        <v>209</v>
      </c>
      <c r="C254" s="19" t="n">
        <f aca="false">a25_ni</f>
        <v>189.354</v>
      </c>
      <c r="D254" s="19" t="n">
        <f aca="false">a26_ni</f>
        <v>275.25708735</v>
      </c>
      <c r="E254" s="19" t="n">
        <f aca="false">E251*E253</f>
        <v>369.821429672041</v>
      </c>
      <c r="F254" s="19" t="n">
        <f aca="false">F251*F253</f>
        <v>428.619642137313</v>
      </c>
      <c r="G254" s="19" t="n">
        <f aca="false">G251*G253</f>
        <v>455.913015580966</v>
      </c>
    </row>
    <row r="255" customFormat="false" ht="15" hidden="false" customHeight="false" outlineLevel="0" collapsed="false">
      <c r="A255" s="4" t="s">
        <v>476</v>
      </c>
      <c r="B255" s="4" t="s">
        <v>230</v>
      </c>
      <c r="C255" s="23" t="n">
        <f aca="false">a25_sh</f>
        <v>13.9128581925055</v>
      </c>
      <c r="D255" s="23" t="n">
        <f aca="false">a26_sh</f>
        <v>14.0169642857143</v>
      </c>
      <c r="E255" s="23" t="n">
        <f aca="false">D255*(1+sh_g)</f>
        <v>14.0169642857143</v>
      </c>
      <c r="F255" s="23" t="n">
        <f aca="false">E255*(1+sh_g)</f>
        <v>14.0169642857143</v>
      </c>
      <c r="G255" s="23" t="n">
        <f aca="false">F255*(1+sh_g)</f>
        <v>14.0169642857143</v>
      </c>
    </row>
    <row r="256" customFormat="false" ht="15" hidden="false" customHeight="false" outlineLevel="0" collapsed="false">
      <c r="A256" s="0" t="s">
        <v>374</v>
      </c>
      <c r="B256" s="0" t="s">
        <v>260</v>
      </c>
      <c r="C256" s="22" t="n">
        <f aca="false">C254/C255</f>
        <v>13.61</v>
      </c>
      <c r="D256" s="22" t="n">
        <f aca="false">D254/D255</f>
        <v>19.6374251756163</v>
      </c>
      <c r="E256" s="22" t="n">
        <f aca="false">E254/E255</f>
        <v>26.3838461833675</v>
      </c>
      <c r="F256" s="22" t="n">
        <f aca="false">F254/F255</f>
        <v>30.57863553053</v>
      </c>
      <c r="G256" s="22" t="n">
        <f aca="false">G254/G255</f>
        <v>32.525802754996</v>
      </c>
    </row>
    <row r="257" customFormat="false" ht="17.15" hidden="false" customHeight="false" outlineLevel="0" collapsed="false">
      <c r="A257" s="0" t="s">
        <v>477</v>
      </c>
      <c r="B257" s="0" t="s">
        <v>52</v>
      </c>
      <c r="D257" s="15" t="n">
        <f aca="false">D256/C256-1</f>
        <v>0.442867389832203</v>
      </c>
      <c r="E257" s="15" t="n">
        <f aca="false">E256/D256-1</f>
        <v>0.343549164282913</v>
      </c>
      <c r="F257" s="15" t="n">
        <f aca="false">F256/E256-1</f>
        <v>0.158990820292416</v>
      </c>
      <c r="G257" s="15" t="n">
        <f aca="false">G256/F256-1</f>
        <v>0.0636773744375179</v>
      </c>
    </row>
    <row r="260" customFormat="false" ht="17.15" hidden="false" customHeight="false" outlineLevel="0" collapsed="false">
      <c r="A260" s="1" t="s">
        <v>789</v>
      </c>
    </row>
    <row r="261" customFormat="false" ht="17.15" hidden="false" customHeight="false" outlineLevel="0" collapsed="false">
      <c r="A261" s="5" t="s">
        <v>21</v>
      </c>
      <c r="B261" s="5" t="s">
        <v>22</v>
      </c>
      <c r="C261" s="11" t="s">
        <v>347</v>
      </c>
      <c r="D261" s="11" t="s">
        <v>429</v>
      </c>
      <c r="E261" s="11" t="s">
        <v>430</v>
      </c>
      <c r="F261" s="11" t="s">
        <v>431</v>
      </c>
      <c r="G261" s="11" t="s">
        <v>432</v>
      </c>
      <c r="H261" s="5" t="s">
        <v>400</v>
      </c>
    </row>
    <row r="262" customFormat="false" ht="17.15" hidden="false" customHeight="false" outlineLevel="0" collapsed="false">
      <c r="A262" s="6" t="s">
        <v>446</v>
      </c>
    </row>
    <row r="263" customFormat="false" ht="17.15" hidden="false" customHeight="false" outlineLevel="0" collapsed="false">
      <c r="A263" s="0" t="s">
        <v>447</v>
      </c>
      <c r="B263" s="0" t="s">
        <v>32</v>
      </c>
      <c r="D263" s="22" t="n">
        <f aca="false">itc_26*1</f>
        <v>781.872916666666</v>
      </c>
      <c r="E263" s="22" t="n">
        <f aca="false">itc_27*1*1</f>
        <v>1565.35</v>
      </c>
      <c r="F263" s="22" t="n">
        <f aca="false">itc_28*um28_A*1</f>
        <v>1984.26388888889</v>
      </c>
      <c r="G263" s="22" t="n">
        <f aca="false">itc_29*um29_A*1</f>
        <v>2260.39027777778</v>
      </c>
    </row>
    <row r="264" customFormat="false" ht="17.15" hidden="false" customHeight="false" outlineLevel="0" collapsed="false">
      <c r="A264" s="4" t="s">
        <v>448</v>
      </c>
      <c r="B264" s="0" t="s">
        <v>32</v>
      </c>
      <c r="D264" s="22" t="n">
        <f aca="false">itpg_gb*(1-vr26)+itpg_vr*vr26</f>
        <v>33.41403216</v>
      </c>
      <c r="E264" s="22" t="n">
        <f aca="false">itpg_vr</f>
        <v>37.586352</v>
      </c>
      <c r="F264" s="22" t="n">
        <f aca="false">itpg_vr</f>
        <v>37.586352</v>
      </c>
      <c r="G264" s="22" t="n">
        <f aca="false">itpg_vr</f>
        <v>37.586352</v>
      </c>
    </row>
    <row r="265" customFormat="false" ht="17.15" hidden="false" customHeight="false" outlineLevel="0" collapsed="false">
      <c r="A265" s="4" t="s">
        <v>449</v>
      </c>
      <c r="B265" s="0" t="s">
        <v>402</v>
      </c>
      <c r="D265" s="18" t="n">
        <f aca="false">D263/D264</f>
        <v>23.3995380420639</v>
      </c>
      <c r="E265" s="18" t="n">
        <f aca="false">E263/E264</f>
        <v>41.6467658260637</v>
      </c>
      <c r="F265" s="18" t="n">
        <f aca="false">F263/F264</f>
        <v>52.792138191248</v>
      </c>
      <c r="G265" s="18" t="n">
        <f aca="false">G263/G264</f>
        <v>60.1385917361116</v>
      </c>
    </row>
    <row r="266" customFormat="false" ht="17.15" hidden="false" customHeight="false" outlineLevel="0" collapsed="false">
      <c r="A266" s="4" t="s">
        <v>404</v>
      </c>
      <c r="B266" s="0" t="s">
        <v>405</v>
      </c>
      <c r="D266" s="16" t="n">
        <f aca="false">(racks_gb*odm_gb*(1-vr26)+racks_vr*odm_vr*vr26)/1000</f>
        <v>27.1209</v>
      </c>
      <c r="E266" s="16" t="n">
        <f aca="false">racks_vr*odm_vr/1000</f>
        <v>27.351</v>
      </c>
      <c r="F266" s="16" t="n">
        <f aca="false">$E266*vpg_28</f>
        <v>27.351</v>
      </c>
      <c r="G266" s="16" t="n">
        <f aca="false">$E266*vpg_29</f>
        <v>27.351</v>
      </c>
      <c r="H266" s="4" t="s">
        <v>450</v>
      </c>
    </row>
    <row r="267" customFormat="false" ht="17.15" hidden="false" customHeight="false" outlineLevel="0" collapsed="false">
      <c r="A267" s="0" t="s">
        <v>451</v>
      </c>
      <c r="B267" s="0" t="s">
        <v>32</v>
      </c>
      <c r="D267" s="19" t="n">
        <f aca="false">D265*D266</f>
        <v>634.61653128501</v>
      </c>
      <c r="E267" s="19" t="n">
        <f aca="false">E265*E266</f>
        <v>1139.08069210867</v>
      </c>
      <c r="F267" s="19" t="n">
        <f aca="false">F265*F266</f>
        <v>1443.91777166882</v>
      </c>
      <c r="G267" s="19" t="n">
        <f aca="false">G265*G266</f>
        <v>1644.85062257439</v>
      </c>
    </row>
    <row r="268" customFormat="false" ht="17.15" hidden="false" customHeight="false" outlineLevel="0" collapsed="false">
      <c r="A268" s="0" t="s">
        <v>452</v>
      </c>
      <c r="B268" s="0" t="s">
        <v>209</v>
      </c>
      <c r="D268" s="19" t="n">
        <f aca="false">D267*fx</f>
        <v>20307.7290011203</v>
      </c>
      <c r="E268" s="19" t="n">
        <f aca="false">E267*fx</f>
        <v>36450.5821474774</v>
      </c>
      <c r="F268" s="19" t="n">
        <f aca="false">F267*fx</f>
        <v>46205.3686934024</v>
      </c>
      <c r="G268" s="19" t="n">
        <f aca="false">G267*fx</f>
        <v>52635.2199223804</v>
      </c>
    </row>
    <row r="269" customFormat="false" ht="17.15" hidden="false" customHeight="false" outlineLevel="0" collapsed="false">
      <c r="A269" s="4" t="s">
        <v>453</v>
      </c>
      <c r="B269" s="0" t="s">
        <v>52</v>
      </c>
      <c r="D269" s="15" t="n">
        <f aca="false">a26_ai/D268</f>
        <v>0.174610057569922</v>
      </c>
      <c r="H269" s="8" t="s">
        <v>454</v>
      </c>
    </row>
    <row r="270" customFormat="false" ht="17.15" hidden="false" customHeight="false" outlineLevel="0" collapsed="false">
      <c r="A270" s="4" t="s">
        <v>455</v>
      </c>
      <c r="B270" s="0" t="s">
        <v>71</v>
      </c>
      <c r="D270" s="16" t="n">
        <f aca="false">1</f>
        <v>1</v>
      </c>
      <c r="E270" s="16" t="n">
        <f aca="false">rel_27</f>
        <v>1</v>
      </c>
      <c r="F270" s="16" t="n">
        <f aca="false">rel_28</f>
        <v>1</v>
      </c>
      <c r="G270" s="16" t="n">
        <f aca="false">rel_29</f>
        <v>0.95</v>
      </c>
    </row>
    <row r="271" customFormat="false" ht="15" hidden="false" customHeight="false" outlineLevel="0" collapsed="false">
      <c r="A271" s="4" t="s">
        <v>456</v>
      </c>
      <c r="B271" s="0" t="s">
        <v>52</v>
      </c>
      <c r="D271" s="15" t="n">
        <f aca="false">$D$269*D270</f>
        <v>0.174610057569922</v>
      </c>
      <c r="E271" s="15" t="n">
        <f aca="false">$D$269*E270</f>
        <v>0.174610057569922</v>
      </c>
      <c r="F271" s="15" t="n">
        <f aca="false">$D$269*F270</f>
        <v>0.174610057569922</v>
      </c>
      <c r="G271" s="15" t="n">
        <f aca="false">$D$269*G270</f>
        <v>0.165879554691426</v>
      </c>
    </row>
    <row r="272" customFormat="false" ht="17.15" hidden="false" customHeight="false" outlineLevel="0" collapsed="false">
      <c r="A272" s="0" t="s">
        <v>457</v>
      </c>
      <c r="B272" s="0" t="s">
        <v>209</v>
      </c>
      <c r="D272" s="19" t="n">
        <f aca="false">D268*D271</f>
        <v>3545.93373</v>
      </c>
      <c r="E272" s="19" t="n">
        <f aca="false">E268*E271</f>
        <v>6364.6382472282</v>
      </c>
      <c r="F272" s="19" t="n">
        <f aca="false">F268*F271</f>
        <v>8067.92208759447</v>
      </c>
      <c r="G272" s="19" t="n">
        <f aca="false">G268*G271</f>
        <v>8731.10684180974</v>
      </c>
    </row>
    <row r="273" customFormat="false" ht="17.15" hidden="false" customHeight="false" outlineLevel="0" collapsed="false">
      <c r="A273" s="4" t="s">
        <v>458</v>
      </c>
      <c r="B273" s="0" t="s">
        <v>52</v>
      </c>
      <c r="D273" s="15" t="n">
        <f aca="false">0</f>
        <v>0</v>
      </c>
      <c r="E273" s="15" t="n">
        <f aca="false">cs_27</f>
        <v>0.1</v>
      </c>
      <c r="F273" s="15" t="n">
        <f aca="false">cs_28</f>
        <v>0.2</v>
      </c>
      <c r="G273" s="15" t="n">
        <f aca="false">cs_29</f>
        <v>0.25</v>
      </c>
      <c r="H273" s="8" t="s">
        <v>459</v>
      </c>
    </row>
    <row r="274" customFormat="false" ht="17.15" hidden="false" customHeight="false" outlineLevel="0" collapsed="false">
      <c r="A274" s="0" t="s">
        <v>460</v>
      </c>
      <c r="B274" s="0" t="s">
        <v>209</v>
      </c>
      <c r="C274" s="19" t="n">
        <f aca="false">a25_ai</f>
        <v>1620.621</v>
      </c>
      <c r="D274" s="19" t="n">
        <f aca="false">D272*(1-D273)</f>
        <v>3545.93373</v>
      </c>
      <c r="E274" s="19" t="n">
        <f aca="false">E272*(1-E273)</f>
        <v>5728.17442250538</v>
      </c>
      <c r="F274" s="19" t="n">
        <f aca="false">F272*(1-F273)</f>
        <v>6454.33767007557</v>
      </c>
      <c r="G274" s="19" t="n">
        <f aca="false">G272*(1-G273)</f>
        <v>6548.3301313573</v>
      </c>
    </row>
    <row r="275" customFormat="false" ht="17.15" hidden="false" customHeight="false" outlineLevel="0" collapsed="false">
      <c r="A275" s="6" t="s">
        <v>461</v>
      </c>
    </row>
    <row r="276" customFormat="false" ht="17.15" hidden="false" customHeight="false" outlineLevel="0" collapsed="false">
      <c r="A276" s="4" t="s">
        <v>382</v>
      </c>
      <c r="B276" s="0" t="s">
        <v>209</v>
      </c>
      <c r="C276" s="19" t="n">
        <f aca="false">a25_cn</f>
        <v>1620.621</v>
      </c>
      <c r="D276" s="19" t="n">
        <f aca="false">a26_cn</f>
        <v>2363.95582</v>
      </c>
      <c r="E276" s="19" t="n">
        <f aca="false">D276*(1+g_cn27)</f>
        <v>2647.6305184</v>
      </c>
      <c r="F276" s="19" t="n">
        <f aca="false">E276*(1+g_cn28)</f>
        <v>2859.440959872</v>
      </c>
      <c r="G276" s="19" t="n">
        <f aca="false">F276*(1+g_cn29)</f>
        <v>3031.00741746432</v>
      </c>
    </row>
    <row r="277" customFormat="false" ht="17.15" hidden="false" customHeight="false" outlineLevel="0" collapsed="false">
      <c r="A277" s="4" t="s">
        <v>383</v>
      </c>
      <c r="B277" s="0" t="s">
        <v>209</v>
      </c>
      <c r="C277" s="19" t="n">
        <f aca="false">a25_ce</f>
        <v>3079.1799</v>
      </c>
      <c r="D277" s="19" t="n">
        <f aca="false">a26_ce</f>
        <v>3345.2205</v>
      </c>
      <c r="E277" s="19" t="n">
        <f aca="false">D277*(1+g_ce27)</f>
        <v>3445.577115</v>
      </c>
      <c r="F277" s="19" t="n">
        <f aca="false">E277*(1+g_ce28)</f>
        <v>3514.4886573</v>
      </c>
      <c r="G277" s="19" t="n">
        <f aca="false">F277*(1+g_ce29)</f>
        <v>3584.778430446</v>
      </c>
    </row>
    <row r="278" customFormat="false" ht="15" hidden="false" customHeight="false" outlineLevel="0" collapsed="false">
      <c r="A278" s="4" t="s">
        <v>384</v>
      </c>
      <c r="B278" s="0" t="s">
        <v>209</v>
      </c>
      <c r="C278" s="19" t="n">
        <f aca="false">a25_pc</f>
        <v>1215.46575</v>
      </c>
      <c r="D278" s="19" t="n">
        <f aca="false">a26_pc</f>
        <v>1338.0882</v>
      </c>
      <c r="E278" s="19" t="n">
        <f aca="false">D278*(1+g_pc27)</f>
        <v>1311.326436</v>
      </c>
      <c r="F278" s="19" t="n">
        <f aca="false">E278*(1+g_pc28)</f>
        <v>1311.326436</v>
      </c>
      <c r="G278" s="19" t="n">
        <f aca="false">F278*(1+g_pc29)</f>
        <v>1311.326436</v>
      </c>
    </row>
    <row r="279" customFormat="false" ht="15" hidden="false" customHeight="false" outlineLevel="0" collapsed="false">
      <c r="A279" s="4" t="s">
        <v>462</v>
      </c>
      <c r="B279" s="0" t="s">
        <v>209</v>
      </c>
      <c r="C279" s="19" t="n">
        <f aca="false">a25_co</f>
        <v>567.217349999999</v>
      </c>
      <c r="D279" s="19" t="n">
        <f aca="false">a26_co</f>
        <v>557.53675</v>
      </c>
      <c r="E279" s="19" t="n">
        <f aca="false">D279*(1+g_co27)</f>
        <v>602.13969</v>
      </c>
      <c r="F279" s="19" t="n">
        <f aca="false">E279*(1+g_co28)</f>
        <v>638.2680714</v>
      </c>
      <c r="G279" s="19" t="n">
        <f aca="false">F279*(1+g_co29)</f>
        <v>670.18147497</v>
      </c>
    </row>
    <row r="280" customFormat="false" ht="17.15" hidden="false" customHeight="false" outlineLevel="0" collapsed="false">
      <c r="A280" s="4" t="s">
        <v>387</v>
      </c>
      <c r="B280" s="0" t="s">
        <v>209</v>
      </c>
      <c r="C280" s="19" t="n">
        <f aca="false">SUM(C276:C279)</f>
        <v>6482.484</v>
      </c>
      <c r="D280" s="19" t="n">
        <f aca="false">SUM(D276:D279)</f>
        <v>7604.80127</v>
      </c>
      <c r="E280" s="19" t="n">
        <f aca="false">SUM(E276:E279)</f>
        <v>8006.6737594</v>
      </c>
      <c r="F280" s="19" t="n">
        <f aca="false">SUM(F276:F279)</f>
        <v>8323.524124572</v>
      </c>
      <c r="G280" s="19" t="n">
        <f aca="false">SUM(G276:G279)</f>
        <v>8597.29375888032</v>
      </c>
    </row>
    <row r="281" customFormat="false" ht="15" hidden="false" customHeight="false" outlineLevel="0" collapsed="false">
      <c r="A281" s="4" t="s">
        <v>353</v>
      </c>
      <c r="B281" s="0" t="s">
        <v>209</v>
      </c>
      <c r="C281" s="19" t="n">
        <f aca="false">C274+C280</f>
        <v>8103.105</v>
      </c>
      <c r="D281" s="19" t="n">
        <f aca="false">D274+D280</f>
        <v>11150.735</v>
      </c>
      <c r="E281" s="19" t="n">
        <f aca="false">E274+E280</f>
        <v>13734.8481819054</v>
      </c>
      <c r="F281" s="19" t="n">
        <f aca="false">F274+F280</f>
        <v>14777.8617946476</v>
      </c>
      <c r="G281" s="19" t="n">
        <f aca="false">G274+G280</f>
        <v>15145.6238902376</v>
      </c>
    </row>
    <row r="282" customFormat="false" ht="15" hidden="false" customHeight="false" outlineLevel="0" collapsed="false">
      <c r="A282" s="4" t="s">
        <v>463</v>
      </c>
      <c r="B282" s="0" t="s">
        <v>52</v>
      </c>
      <c r="D282" s="15" t="n">
        <f aca="false">D281/C281-1</f>
        <v>0.376106443147411</v>
      </c>
      <c r="E282" s="15" t="n">
        <f aca="false">E281/D281-1</f>
        <v>0.231743753385349</v>
      </c>
      <c r="F282" s="15" t="n">
        <f aca="false">F281/E281-1</f>
        <v>0.0759392167229256</v>
      </c>
      <c r="G282" s="15" t="n">
        <f aca="false">G281/F281-1</f>
        <v>0.0248860153586801</v>
      </c>
    </row>
    <row r="283" customFormat="false" ht="17.15" hidden="false" customHeight="false" outlineLevel="0" collapsed="false">
      <c r="A283" s="0" t="s">
        <v>464</v>
      </c>
      <c r="B283" s="0" t="s">
        <v>52</v>
      </c>
      <c r="C283" s="15" t="n">
        <f aca="false">C274/C281</f>
        <v>0.2</v>
      </c>
      <c r="D283" s="15" t="n">
        <f aca="false">D274/D281</f>
        <v>0.318</v>
      </c>
      <c r="E283" s="15" t="n">
        <f aca="false">E274/E281</f>
        <v>0.417054076364078</v>
      </c>
      <c r="F283" s="15" t="n">
        <f aca="false">F274/F281</f>
        <v>0.436757208841491</v>
      </c>
      <c r="G283" s="15" t="n">
        <f aca="false">G274/G281</f>
        <v>0.43235789947076</v>
      </c>
    </row>
    <row r="284" customFormat="false" ht="17.15" hidden="false" customHeight="false" outlineLevel="0" collapsed="false">
      <c r="A284" s="4" t="s">
        <v>465</v>
      </c>
      <c r="B284" s="0" t="s">
        <v>52</v>
      </c>
      <c r="C284" s="15" t="n">
        <f aca="false">(C274+C276)/C281</f>
        <v>0.4</v>
      </c>
      <c r="D284" s="15" t="n">
        <f aca="false">(D274+D276)/D281</f>
        <v>0.53</v>
      </c>
      <c r="E284" s="15" t="n">
        <f aca="false">(E274+E276)/E281</f>
        <v>0.609821443235162</v>
      </c>
      <c r="F284" s="15" t="n">
        <f aca="false">(F274+F276)/F281</f>
        <v>0.630252113558198</v>
      </c>
      <c r="G284" s="15" t="n">
        <f aca="false">(G274+G276)/G281</f>
        <v>0.632482202003983</v>
      </c>
    </row>
    <row r="285" customFormat="false" ht="17.15" hidden="false" customHeight="false" outlineLevel="0" collapsed="false">
      <c r="A285" s="4" t="s">
        <v>418</v>
      </c>
      <c r="B285" s="0" t="s">
        <v>405</v>
      </c>
      <c r="D285" s="16" t="n">
        <f aca="false">D274/fx/D265</f>
        <v>4.7355819103481</v>
      </c>
      <c r="E285" s="16" t="n">
        <f aca="false">E274/fx/E265</f>
        <v>4.29818371613545</v>
      </c>
      <c r="F285" s="16" t="n">
        <f aca="false">F274/fx/F265</f>
        <v>3.82060774767595</v>
      </c>
      <c r="G285" s="16" t="n">
        <f aca="false">G274/fx/G265</f>
        <v>3.4027287752739</v>
      </c>
    </row>
    <row r="286" customFormat="false" ht="17.15" hidden="false" customHeight="false" outlineLevel="0" collapsed="false">
      <c r="A286" s="4" t="s">
        <v>466</v>
      </c>
      <c r="B286" s="4" t="s">
        <v>416</v>
      </c>
      <c r="D286" s="19" t="n">
        <f aca="false">D272/fx/(odm_gb*(1-vr26)+odm_vr*vr26)</f>
        <v>24.0630682003257</v>
      </c>
      <c r="E286" s="19" t="n">
        <f aca="false">E272/fx/odm_vr</f>
        <v>29.4659178112417</v>
      </c>
      <c r="F286" s="19" t="n">
        <f aca="false">F272/fx/odm_vr</f>
        <v>37.3514911462707</v>
      </c>
      <c r="G286" s="19" t="n">
        <f aca="false">G272/fx/odm_vr</f>
        <v>40.4217909343043</v>
      </c>
      <c r="H286" s="4" t="s">
        <v>467</v>
      </c>
    </row>
    <row r="287" customFormat="false" ht="17.15" hidden="false" customHeight="false" outlineLevel="0" collapsed="false">
      <c r="A287" s="6" t="s">
        <v>468</v>
      </c>
    </row>
    <row r="288" customFormat="false" ht="17.15" hidden="false" customHeight="false" outlineLevel="0" collapsed="false">
      <c r="A288" s="4" t="s">
        <v>469</v>
      </c>
      <c r="B288" s="0" t="s">
        <v>52</v>
      </c>
      <c r="D288" s="14" t="n">
        <f aca="false">a26_gp/D281-d_ai*D283</f>
        <v>0.0621989258510762</v>
      </c>
      <c r="H288" s="8" t="s">
        <v>470</v>
      </c>
    </row>
    <row r="289" customFormat="false" ht="17.15" hidden="false" customHeight="false" outlineLevel="0" collapsed="false">
      <c r="A289" s="0" t="s">
        <v>471</v>
      </c>
      <c r="B289" s="0" t="s">
        <v>209</v>
      </c>
      <c r="D289" s="22" t="n">
        <f aca="false">($D$288+d_ai)*D272*(1-D273*(1-keep_hi))</f>
        <v>202.8236004951</v>
      </c>
      <c r="E289" s="22" t="n">
        <f aca="false">($D$288+d_ai+vrd)*E272*(1-E273*(1-keep_hi))</f>
        <v>351.321194677673</v>
      </c>
      <c r="F289" s="22" t="n">
        <f aca="false">($D$288+d_ai+vrd)*F272*(1-F273*(1-keep_hi))</f>
        <v>445.340633085387</v>
      </c>
      <c r="G289" s="22" t="n">
        <f aca="false">($D$288+d_ai+vrd)*G272*(1-G273*(1-keep_hi))</f>
        <v>481.94771915888</v>
      </c>
      <c r="H289" s="4" t="s">
        <v>472</v>
      </c>
    </row>
    <row r="290" customFormat="false" ht="15" hidden="false" customHeight="false" outlineLevel="0" collapsed="false">
      <c r="A290" s="4" t="s">
        <v>357</v>
      </c>
      <c r="B290" s="0" t="s">
        <v>209</v>
      </c>
      <c r="C290" s="19" t="n">
        <f aca="false">a25_gp</f>
        <v>498.161</v>
      </c>
      <c r="D290" s="19" t="n">
        <f aca="false">a26_gp</f>
        <v>675.8340708</v>
      </c>
      <c r="E290" s="19" t="n">
        <f aca="false">$D$288*E280+E289</f>
        <v>849.327702152351</v>
      </c>
      <c r="F290" s="19" t="n">
        <f aca="false">$D$288*F280+F289</f>
        <v>963.054892929284</v>
      </c>
      <c r="G290" s="19" t="n">
        <f aca="false">$D$288*G280+G289</f>
        <v>1016.6901561874</v>
      </c>
    </row>
    <row r="291" customFormat="false" ht="15" hidden="false" customHeight="false" outlineLevel="0" collapsed="false">
      <c r="A291" s="4" t="s">
        <v>360</v>
      </c>
      <c r="B291" s="0" t="s">
        <v>52</v>
      </c>
      <c r="C291" s="14" t="n">
        <f aca="false">C290/C281</f>
        <v>0.0614777915379352</v>
      </c>
      <c r="D291" s="14" t="n">
        <f aca="false">D290/D281</f>
        <v>0.0606089258510762</v>
      </c>
      <c r="E291" s="14" t="n">
        <f aca="false">E290/E281</f>
        <v>0.0618374292095399</v>
      </c>
      <c r="F291" s="14" t="n">
        <f aca="false">F290/F281</f>
        <v>0.0651687575856269</v>
      </c>
      <c r="G291" s="14" t="n">
        <f aca="false">G290/G281</f>
        <v>0.067127651099452</v>
      </c>
    </row>
    <row r="292" customFormat="false" ht="17.15" hidden="false" customHeight="false" outlineLevel="0" collapsed="false">
      <c r="A292" s="0" t="s">
        <v>473</v>
      </c>
      <c r="B292" s="0" t="s">
        <v>52</v>
      </c>
      <c r="D292" s="14" t="n">
        <f aca="false">D289/D274</f>
        <v>0.0571989258510762</v>
      </c>
      <c r="E292" s="14" t="n">
        <f aca="false">E289/E274</f>
        <v>0.0613321398345291</v>
      </c>
      <c r="F292" s="14" t="n">
        <f aca="false">F289/F274</f>
        <v>0.0689986573138452</v>
      </c>
      <c r="G292" s="14" t="n">
        <f aca="false">G289/G274</f>
        <v>0.0735985678014349</v>
      </c>
      <c r="H292" s="4" t="s">
        <v>474</v>
      </c>
    </row>
    <row r="293" customFormat="false" ht="15" hidden="false" customHeight="false" outlineLevel="0" collapsed="false">
      <c r="A293" s="4" t="s">
        <v>475</v>
      </c>
      <c r="B293" s="0" t="s">
        <v>209</v>
      </c>
      <c r="C293" s="19" t="n">
        <f aca="false">a25_opx</f>
        <v>238.938</v>
      </c>
      <c r="D293" s="19" t="n">
        <f aca="false">a26_opx</f>
        <v>254.8304233</v>
      </c>
      <c r="E293" s="19" t="n">
        <f aca="false">D293*(1+MAX(0,phi*E282))</f>
        <v>278.452566808928</v>
      </c>
      <c r="F293" s="19" t="n">
        <f aca="false">E293*(1+MAX(0,phi*F282))</f>
        <v>286.910754736111</v>
      </c>
      <c r="G293" s="19" t="n">
        <f aca="false">F293*(1+MAX(0,phi*G282))</f>
        <v>289.766780915684</v>
      </c>
    </row>
    <row r="294" customFormat="false" ht="15" hidden="false" customHeight="false" outlineLevel="0" collapsed="false">
      <c r="A294" s="4" t="s">
        <v>361</v>
      </c>
      <c r="B294" s="0" t="s">
        <v>209</v>
      </c>
      <c r="C294" s="19" t="n">
        <f aca="false">C293</f>
        <v>238.938</v>
      </c>
      <c r="D294" s="19" t="n">
        <f aca="false">D293</f>
        <v>254.8304233</v>
      </c>
      <c r="E294" s="19" t="n">
        <f aca="false">E293+0*E281</f>
        <v>278.452566808928</v>
      </c>
      <c r="F294" s="19" t="n">
        <f aca="false">F293+0*F281</f>
        <v>286.910754736111</v>
      </c>
      <c r="G294" s="19" t="n">
        <f aca="false">G293+0*G281</f>
        <v>289.766780915684</v>
      </c>
    </row>
    <row r="295" customFormat="false" ht="15" hidden="false" customHeight="false" outlineLevel="0" collapsed="false">
      <c r="A295" s="4" t="s">
        <v>364</v>
      </c>
      <c r="B295" s="0" t="s">
        <v>209</v>
      </c>
      <c r="C295" s="19" t="n">
        <f aca="false">C290-C294</f>
        <v>259.223</v>
      </c>
      <c r="D295" s="19" t="n">
        <f aca="false">D290-D294</f>
        <v>421.0036475</v>
      </c>
      <c r="E295" s="19" t="n">
        <f aca="false">E290-E294</f>
        <v>570.875135343423</v>
      </c>
      <c r="F295" s="19" t="n">
        <f aca="false">F290-F294</f>
        <v>676.144138193173</v>
      </c>
      <c r="G295" s="19" t="n">
        <f aca="false">G290-G294</f>
        <v>726.923375271713</v>
      </c>
    </row>
    <row r="296" customFormat="false" ht="15" hidden="false" customHeight="false" outlineLevel="0" collapsed="false">
      <c r="A296" s="4" t="s">
        <v>367</v>
      </c>
      <c r="B296" s="0" t="s">
        <v>52</v>
      </c>
      <c r="C296" s="14" t="n">
        <f aca="false">C295/C281</f>
        <v>0.0319905764518663</v>
      </c>
      <c r="D296" s="14" t="n">
        <f aca="false">D295/D281</f>
        <v>0.0377556858359561</v>
      </c>
      <c r="E296" s="14" t="n">
        <f aca="false">E295/E281</f>
        <v>0.0415639931204706</v>
      </c>
      <c r="F296" s="14" t="n">
        <f aca="false">F295/F281</f>
        <v>0.0457538544878033</v>
      </c>
      <c r="G296" s="14" t="n">
        <f aca="false">G295/G281</f>
        <v>0.0479956045746167</v>
      </c>
    </row>
    <row r="297" customFormat="false" ht="17.15" hidden="false" customHeight="false" outlineLevel="0" collapsed="false">
      <c r="A297" s="4" t="s">
        <v>243</v>
      </c>
      <c r="B297" s="0" t="s">
        <v>52</v>
      </c>
      <c r="C297" s="15" t="n">
        <f aca="false">a25_ni/a25_oi</f>
        <v>0.730467589681471</v>
      </c>
      <c r="D297" s="15" t="n">
        <f aca="false">a26_ni/a26_oi</f>
        <v>0.653811645064191</v>
      </c>
      <c r="E297" s="15" t="n">
        <f aca="false">nio_f</f>
        <v>0.66</v>
      </c>
      <c r="F297" s="15" t="n">
        <f aca="false">nio_f</f>
        <v>0.66</v>
      </c>
      <c r="G297" s="15" t="n">
        <f aca="false">nio_f</f>
        <v>0.66</v>
      </c>
    </row>
    <row r="298" customFormat="false" ht="15" hidden="false" customHeight="false" outlineLevel="0" collapsed="false">
      <c r="A298" s="4" t="s">
        <v>368</v>
      </c>
      <c r="B298" s="0" t="s">
        <v>209</v>
      </c>
      <c r="C298" s="19" t="n">
        <f aca="false">a25_ni</f>
        <v>189.354</v>
      </c>
      <c r="D298" s="19" t="n">
        <f aca="false">a26_ni</f>
        <v>275.25708735</v>
      </c>
      <c r="E298" s="19" t="n">
        <f aca="false">E295*E297</f>
        <v>376.777589326659</v>
      </c>
      <c r="F298" s="19" t="n">
        <f aca="false">F295*F297</f>
        <v>446.255131207494</v>
      </c>
      <c r="G298" s="19" t="n">
        <f aca="false">G295*G297</f>
        <v>479.76942767933</v>
      </c>
    </row>
    <row r="299" customFormat="false" ht="15" hidden="false" customHeight="false" outlineLevel="0" collapsed="false">
      <c r="A299" s="4" t="s">
        <v>476</v>
      </c>
      <c r="B299" s="4" t="s">
        <v>230</v>
      </c>
      <c r="C299" s="23" t="n">
        <f aca="false">a25_sh</f>
        <v>13.9128581925055</v>
      </c>
      <c r="D299" s="23" t="n">
        <f aca="false">a26_sh</f>
        <v>14.0169642857143</v>
      </c>
      <c r="E299" s="23" t="n">
        <f aca="false">D299*(1+sh_g)</f>
        <v>14.0169642857143</v>
      </c>
      <c r="F299" s="23" t="n">
        <f aca="false">E299*(1+sh_g)</f>
        <v>14.0169642857143</v>
      </c>
      <c r="G299" s="23" t="n">
        <f aca="false">F299*(1+sh_g)</f>
        <v>14.0169642857143</v>
      </c>
    </row>
    <row r="300" customFormat="false" ht="15" hidden="false" customHeight="false" outlineLevel="0" collapsed="false">
      <c r="A300" s="0" t="s">
        <v>374</v>
      </c>
      <c r="B300" s="0" t="s">
        <v>260</v>
      </c>
      <c r="C300" s="22" t="n">
        <f aca="false">C298/C299</f>
        <v>13.61</v>
      </c>
      <c r="D300" s="22" t="n">
        <f aca="false">D298/D299</f>
        <v>19.6374251756163</v>
      </c>
      <c r="E300" s="22" t="n">
        <f aca="false">E298/E299</f>
        <v>26.8801133859391</v>
      </c>
      <c r="F300" s="22" t="n">
        <f aca="false">F298/F299</f>
        <v>31.8367887733227</v>
      </c>
      <c r="G300" s="22" t="n">
        <f aca="false">G298/G299</f>
        <v>34.2277698580069</v>
      </c>
    </row>
    <row r="301" customFormat="false" ht="17.15" hidden="false" customHeight="false" outlineLevel="0" collapsed="false">
      <c r="A301" s="0" t="s">
        <v>477</v>
      </c>
      <c r="B301" s="0" t="s">
        <v>52</v>
      </c>
      <c r="D301" s="15" t="n">
        <f aca="false">D300/C300-1</f>
        <v>0.442867389832203</v>
      </c>
      <c r="E301" s="15" t="n">
        <f aca="false">E300/D300-1</f>
        <v>0.368820664906521</v>
      </c>
      <c r="F301" s="15" t="n">
        <f aca="false">F300/E300-1</f>
        <v>0.184399348180444</v>
      </c>
      <c r="G301" s="15" t="n">
        <f aca="false">G300/F300-1</f>
        <v>0.0751012013714028</v>
      </c>
    </row>
    <row r="304" customFormat="false" ht="17.15" hidden="false" customHeight="false" outlineLevel="0" collapsed="false">
      <c r="A304" s="1" t="s">
        <v>790</v>
      </c>
    </row>
    <row r="305" customFormat="false" ht="17.15" hidden="false" customHeight="false" outlineLevel="0" collapsed="false">
      <c r="A305" s="5" t="s">
        <v>21</v>
      </c>
      <c r="B305" s="5" t="s">
        <v>22</v>
      </c>
      <c r="C305" s="11" t="s">
        <v>347</v>
      </c>
      <c r="D305" s="11" t="s">
        <v>429</v>
      </c>
      <c r="E305" s="11" t="s">
        <v>430</v>
      </c>
      <c r="F305" s="11" t="s">
        <v>431</v>
      </c>
      <c r="G305" s="11" t="s">
        <v>432</v>
      </c>
      <c r="H305" s="5" t="s">
        <v>400</v>
      </c>
    </row>
    <row r="306" customFormat="false" ht="17.15" hidden="false" customHeight="false" outlineLevel="0" collapsed="false">
      <c r="A306" s="6" t="s">
        <v>446</v>
      </c>
    </row>
    <row r="307" customFormat="false" ht="17.15" hidden="false" customHeight="false" outlineLevel="0" collapsed="false">
      <c r="A307" s="0" t="s">
        <v>447</v>
      </c>
      <c r="B307" s="0" t="s">
        <v>32</v>
      </c>
      <c r="D307" s="22" t="n">
        <f aca="false">itc_26*1</f>
        <v>781.872916666666</v>
      </c>
      <c r="E307" s="22" t="n">
        <f aca="false">itc_27*1*1</f>
        <v>1565.35</v>
      </c>
      <c r="F307" s="22" t="n">
        <f aca="false">itc_28*um28_A*1</f>
        <v>1984.26388888889</v>
      </c>
      <c r="G307" s="22" t="n">
        <f aca="false">itc_29*um29_A*1</f>
        <v>2260.39027777778</v>
      </c>
    </row>
    <row r="308" customFormat="false" ht="17.15" hidden="false" customHeight="false" outlineLevel="0" collapsed="false">
      <c r="A308" s="4" t="s">
        <v>448</v>
      </c>
      <c r="B308" s="0" t="s">
        <v>32</v>
      </c>
      <c r="D308" s="22" t="n">
        <f aca="false">itpg_gb*(1-vr26)+itpg_vr*vr26</f>
        <v>33.41403216</v>
      </c>
      <c r="E308" s="22" t="n">
        <f aca="false">itpg_vr</f>
        <v>37.586352</v>
      </c>
      <c r="F308" s="22" t="n">
        <f aca="false">itpg_vr</f>
        <v>37.586352</v>
      </c>
      <c r="G308" s="22" t="n">
        <f aca="false">itpg_vr</f>
        <v>37.586352</v>
      </c>
    </row>
    <row r="309" customFormat="false" ht="17.15" hidden="false" customHeight="false" outlineLevel="0" collapsed="false">
      <c r="A309" s="4" t="s">
        <v>449</v>
      </c>
      <c r="B309" s="0" t="s">
        <v>402</v>
      </c>
      <c r="D309" s="18" t="n">
        <f aca="false">D307/D308</f>
        <v>23.3995380420639</v>
      </c>
      <c r="E309" s="18" t="n">
        <f aca="false">E307/E308</f>
        <v>41.6467658260637</v>
      </c>
      <c r="F309" s="18" t="n">
        <f aca="false">F307/F308</f>
        <v>52.792138191248</v>
      </c>
      <c r="G309" s="18" t="n">
        <f aca="false">G307/G308</f>
        <v>60.1385917361116</v>
      </c>
    </row>
    <row r="310" customFormat="false" ht="17.15" hidden="false" customHeight="false" outlineLevel="0" collapsed="false">
      <c r="A310" s="4" t="s">
        <v>404</v>
      </c>
      <c r="B310" s="0" t="s">
        <v>405</v>
      </c>
      <c r="D310" s="16" t="n">
        <f aca="false">(racks_gb*odm_gb*(1-vr26)+racks_vr*odm_vr*vr26)/1000</f>
        <v>27.1209</v>
      </c>
      <c r="E310" s="16" t="n">
        <f aca="false">racks_vr*odm_vr/1000</f>
        <v>27.351</v>
      </c>
      <c r="F310" s="16" t="n">
        <f aca="false">$E310*VPLO_28</f>
        <v>23.24835</v>
      </c>
      <c r="G310" s="16" t="n">
        <f aca="false">$E310*VPLO_29</f>
        <v>23.24835</v>
      </c>
      <c r="H310" s="4" t="s">
        <v>450</v>
      </c>
    </row>
    <row r="311" customFormat="false" ht="17.15" hidden="false" customHeight="false" outlineLevel="0" collapsed="false">
      <c r="A311" s="0" t="s">
        <v>451</v>
      </c>
      <c r="B311" s="0" t="s">
        <v>32</v>
      </c>
      <c r="D311" s="19" t="n">
        <f aca="false">D309*D310</f>
        <v>634.61653128501</v>
      </c>
      <c r="E311" s="19" t="n">
        <f aca="false">E309*E310</f>
        <v>1139.08069210867</v>
      </c>
      <c r="F311" s="19" t="n">
        <f aca="false">F309*F310</f>
        <v>1227.3301059185</v>
      </c>
      <c r="G311" s="19" t="n">
        <f aca="false">G309*G310</f>
        <v>1398.12302918823</v>
      </c>
    </row>
    <row r="312" customFormat="false" ht="17.15" hidden="false" customHeight="false" outlineLevel="0" collapsed="false">
      <c r="A312" s="0" t="s">
        <v>452</v>
      </c>
      <c r="B312" s="0" t="s">
        <v>209</v>
      </c>
      <c r="D312" s="19" t="n">
        <f aca="false">D311*fx</f>
        <v>20307.7290011203</v>
      </c>
      <c r="E312" s="19" t="n">
        <f aca="false">E311*fx</f>
        <v>36450.5821474774</v>
      </c>
      <c r="F312" s="19" t="n">
        <f aca="false">F311*fx</f>
        <v>39274.563389392</v>
      </c>
      <c r="G312" s="19" t="n">
        <f aca="false">G311*fx</f>
        <v>44739.9369340233</v>
      </c>
    </row>
    <row r="313" customFormat="false" ht="17.15" hidden="false" customHeight="false" outlineLevel="0" collapsed="false">
      <c r="A313" s="4" t="s">
        <v>453</v>
      </c>
      <c r="B313" s="0" t="s">
        <v>52</v>
      </c>
      <c r="D313" s="15" t="n">
        <f aca="false">a26_ai/D312</f>
        <v>0.174610057569922</v>
      </c>
      <c r="H313" s="8" t="s">
        <v>454</v>
      </c>
    </row>
    <row r="314" customFormat="false" ht="17.15" hidden="false" customHeight="false" outlineLevel="0" collapsed="false">
      <c r="A314" s="4" t="s">
        <v>455</v>
      </c>
      <c r="B314" s="0" t="s">
        <v>71</v>
      </c>
      <c r="D314" s="16" t="n">
        <f aca="false">1</f>
        <v>1</v>
      </c>
      <c r="E314" s="16" t="n">
        <f aca="false">rel_27</f>
        <v>1</v>
      </c>
      <c r="F314" s="16" t="n">
        <f aca="false">rel_28</f>
        <v>1</v>
      </c>
      <c r="G314" s="16" t="n">
        <f aca="false">rel_29</f>
        <v>0.95</v>
      </c>
    </row>
    <row r="315" customFormat="false" ht="15" hidden="false" customHeight="false" outlineLevel="0" collapsed="false">
      <c r="A315" s="4" t="s">
        <v>456</v>
      </c>
      <c r="B315" s="0" t="s">
        <v>52</v>
      </c>
      <c r="D315" s="15" t="n">
        <f aca="false">$D$313*D314</f>
        <v>0.174610057569922</v>
      </c>
      <c r="E315" s="15" t="n">
        <f aca="false">$D$313*E314</f>
        <v>0.174610057569922</v>
      </c>
      <c r="F315" s="15" t="n">
        <f aca="false">$D$313*F314</f>
        <v>0.174610057569922</v>
      </c>
      <c r="G315" s="15" t="n">
        <f aca="false">$D$313*G314</f>
        <v>0.165879554691426</v>
      </c>
    </row>
    <row r="316" customFormat="false" ht="17.15" hidden="false" customHeight="false" outlineLevel="0" collapsed="false">
      <c r="A316" s="0" t="s">
        <v>457</v>
      </c>
      <c r="B316" s="0" t="s">
        <v>209</v>
      </c>
      <c r="D316" s="19" t="n">
        <f aca="false">D312*D315</f>
        <v>3545.93373</v>
      </c>
      <c r="E316" s="19" t="n">
        <f aca="false">E312*E315</f>
        <v>6364.6382472282</v>
      </c>
      <c r="F316" s="19" t="n">
        <f aca="false">F312*F315</f>
        <v>6857.7337744553</v>
      </c>
      <c r="G316" s="19" t="n">
        <f aca="false">G312*G315</f>
        <v>7421.44081553828</v>
      </c>
    </row>
    <row r="317" customFormat="false" ht="17.15" hidden="false" customHeight="false" outlineLevel="0" collapsed="false">
      <c r="A317" s="4" t="s">
        <v>458</v>
      </c>
      <c r="B317" s="0" t="s">
        <v>52</v>
      </c>
      <c r="D317" s="15" t="n">
        <f aca="false">0</f>
        <v>0</v>
      </c>
      <c r="E317" s="15" t="n">
        <f aca="false">cs_27</f>
        <v>0.1</v>
      </c>
      <c r="F317" s="15" t="n">
        <f aca="false">cs_28</f>
        <v>0.2</v>
      </c>
      <c r="G317" s="15" t="n">
        <f aca="false">cs_29</f>
        <v>0.25</v>
      </c>
      <c r="H317" s="8" t="s">
        <v>459</v>
      </c>
    </row>
    <row r="318" customFormat="false" ht="17.15" hidden="false" customHeight="false" outlineLevel="0" collapsed="false">
      <c r="A318" s="0" t="s">
        <v>460</v>
      </c>
      <c r="B318" s="0" t="s">
        <v>209</v>
      </c>
      <c r="C318" s="19" t="n">
        <f aca="false">a25_ai</f>
        <v>1620.621</v>
      </c>
      <c r="D318" s="19" t="n">
        <f aca="false">D316*(1-D317)</f>
        <v>3545.93373</v>
      </c>
      <c r="E318" s="19" t="n">
        <f aca="false">E316*(1-E317)</f>
        <v>5728.17442250538</v>
      </c>
      <c r="F318" s="19" t="n">
        <f aca="false">F316*(1-F317)</f>
        <v>5486.18701956424</v>
      </c>
      <c r="G318" s="19" t="n">
        <f aca="false">G316*(1-G317)</f>
        <v>5566.08061165371</v>
      </c>
    </row>
    <row r="319" customFormat="false" ht="17.15" hidden="false" customHeight="false" outlineLevel="0" collapsed="false">
      <c r="A319" s="6" t="s">
        <v>461</v>
      </c>
    </row>
    <row r="320" customFormat="false" ht="17.15" hidden="false" customHeight="false" outlineLevel="0" collapsed="false">
      <c r="A320" s="4" t="s">
        <v>382</v>
      </c>
      <c r="B320" s="0" t="s">
        <v>209</v>
      </c>
      <c r="C320" s="19" t="n">
        <f aca="false">a25_cn</f>
        <v>1620.621</v>
      </c>
      <c r="D320" s="19" t="n">
        <f aca="false">a26_cn</f>
        <v>2363.95582</v>
      </c>
      <c r="E320" s="19" t="n">
        <f aca="false">D320*(1+g_cn27)</f>
        <v>2647.6305184</v>
      </c>
      <c r="F320" s="19" t="n">
        <f aca="false">E320*(1+g_cn28)</f>
        <v>2859.440959872</v>
      </c>
      <c r="G320" s="19" t="n">
        <f aca="false">F320*(1+g_cn29)</f>
        <v>3031.00741746432</v>
      </c>
    </row>
    <row r="321" customFormat="false" ht="17.15" hidden="false" customHeight="false" outlineLevel="0" collapsed="false">
      <c r="A321" s="4" t="s">
        <v>383</v>
      </c>
      <c r="B321" s="0" t="s">
        <v>209</v>
      </c>
      <c r="C321" s="19" t="n">
        <f aca="false">a25_ce</f>
        <v>3079.1799</v>
      </c>
      <c r="D321" s="19" t="n">
        <f aca="false">a26_ce</f>
        <v>3345.2205</v>
      </c>
      <c r="E321" s="19" t="n">
        <f aca="false">D321*(1+g_ce27)</f>
        <v>3445.577115</v>
      </c>
      <c r="F321" s="19" t="n">
        <f aca="false">E321*(1+g_ce28)</f>
        <v>3514.4886573</v>
      </c>
      <c r="G321" s="19" t="n">
        <f aca="false">F321*(1+g_ce29)</f>
        <v>3584.778430446</v>
      </c>
    </row>
    <row r="322" customFormat="false" ht="15" hidden="false" customHeight="false" outlineLevel="0" collapsed="false">
      <c r="A322" s="4" t="s">
        <v>384</v>
      </c>
      <c r="B322" s="0" t="s">
        <v>209</v>
      </c>
      <c r="C322" s="19" t="n">
        <f aca="false">a25_pc</f>
        <v>1215.46575</v>
      </c>
      <c r="D322" s="19" t="n">
        <f aca="false">a26_pc</f>
        <v>1338.0882</v>
      </c>
      <c r="E322" s="19" t="n">
        <f aca="false">D322*(1+g_pc27)</f>
        <v>1311.326436</v>
      </c>
      <c r="F322" s="19" t="n">
        <f aca="false">E322*(1+g_pc28)</f>
        <v>1311.326436</v>
      </c>
      <c r="G322" s="19" t="n">
        <f aca="false">F322*(1+g_pc29)</f>
        <v>1311.326436</v>
      </c>
    </row>
    <row r="323" customFormat="false" ht="15" hidden="false" customHeight="false" outlineLevel="0" collapsed="false">
      <c r="A323" s="4" t="s">
        <v>462</v>
      </c>
      <c r="B323" s="0" t="s">
        <v>209</v>
      </c>
      <c r="C323" s="19" t="n">
        <f aca="false">a25_co</f>
        <v>567.217349999999</v>
      </c>
      <c r="D323" s="19" t="n">
        <f aca="false">a26_co</f>
        <v>557.53675</v>
      </c>
      <c r="E323" s="19" t="n">
        <f aca="false">D323*(1+g_co27)</f>
        <v>602.13969</v>
      </c>
      <c r="F323" s="19" t="n">
        <f aca="false">E323*(1+g_co28)</f>
        <v>638.2680714</v>
      </c>
      <c r="G323" s="19" t="n">
        <f aca="false">F323*(1+g_co29)</f>
        <v>670.18147497</v>
      </c>
    </row>
    <row r="324" customFormat="false" ht="17.15" hidden="false" customHeight="false" outlineLevel="0" collapsed="false">
      <c r="A324" s="4" t="s">
        <v>387</v>
      </c>
      <c r="B324" s="0" t="s">
        <v>209</v>
      </c>
      <c r="C324" s="19" t="n">
        <f aca="false">SUM(C320:C323)</f>
        <v>6482.484</v>
      </c>
      <c r="D324" s="19" t="n">
        <f aca="false">SUM(D320:D323)</f>
        <v>7604.80127</v>
      </c>
      <c r="E324" s="19" t="n">
        <f aca="false">SUM(E320:E323)</f>
        <v>8006.6737594</v>
      </c>
      <c r="F324" s="19" t="n">
        <f aca="false">SUM(F320:F323)</f>
        <v>8323.524124572</v>
      </c>
      <c r="G324" s="19" t="n">
        <f aca="false">SUM(G320:G323)</f>
        <v>8597.29375888032</v>
      </c>
    </row>
    <row r="325" customFormat="false" ht="15" hidden="false" customHeight="false" outlineLevel="0" collapsed="false">
      <c r="A325" s="4" t="s">
        <v>353</v>
      </c>
      <c r="B325" s="0" t="s">
        <v>209</v>
      </c>
      <c r="C325" s="19" t="n">
        <f aca="false">C318+C324</f>
        <v>8103.105</v>
      </c>
      <c r="D325" s="19" t="n">
        <f aca="false">D318+D324</f>
        <v>11150.735</v>
      </c>
      <c r="E325" s="19" t="n">
        <f aca="false">E318+E324</f>
        <v>13734.8481819054</v>
      </c>
      <c r="F325" s="19" t="n">
        <f aca="false">F318+F324</f>
        <v>13809.7111441362</v>
      </c>
      <c r="G325" s="19" t="n">
        <f aca="false">G318+G324</f>
        <v>14163.374370534</v>
      </c>
    </row>
    <row r="326" customFormat="false" ht="15" hidden="false" customHeight="false" outlineLevel="0" collapsed="false">
      <c r="A326" s="4" t="s">
        <v>463</v>
      </c>
      <c r="B326" s="0" t="s">
        <v>52</v>
      </c>
      <c r="D326" s="15" t="n">
        <f aca="false">D325/C325-1</f>
        <v>0.376106443147411</v>
      </c>
      <c r="E326" s="15" t="n">
        <f aca="false">E325/D325-1</f>
        <v>0.231743753385349</v>
      </c>
      <c r="F326" s="15" t="n">
        <f aca="false">F325/E325-1</f>
        <v>0.0054505853460749</v>
      </c>
      <c r="G326" s="15" t="n">
        <f aca="false">G325/F325-1</f>
        <v>0.0256097482928135</v>
      </c>
    </row>
    <row r="327" customFormat="false" ht="17.15" hidden="false" customHeight="false" outlineLevel="0" collapsed="false">
      <c r="A327" s="0" t="s">
        <v>464</v>
      </c>
      <c r="B327" s="0" t="s">
        <v>52</v>
      </c>
      <c r="C327" s="15" t="n">
        <f aca="false">C318/C325</f>
        <v>0.2</v>
      </c>
      <c r="D327" s="15" t="n">
        <f aca="false">D318/D325</f>
        <v>0.318</v>
      </c>
      <c r="E327" s="15" t="n">
        <f aca="false">E318/E325</f>
        <v>0.417054076364078</v>
      </c>
      <c r="F327" s="15" t="n">
        <f aca="false">F318/F325</f>
        <v>0.397270222548698</v>
      </c>
      <c r="G327" s="15" t="n">
        <f aca="false">G318/G325</f>
        <v>0.392991137989939</v>
      </c>
    </row>
    <row r="328" customFormat="false" ht="17.15" hidden="false" customHeight="false" outlineLevel="0" collapsed="false">
      <c r="A328" s="4" t="s">
        <v>465</v>
      </c>
      <c r="B328" s="0" t="s">
        <v>52</v>
      </c>
      <c r="C328" s="15" t="n">
        <f aca="false">(C318+C320)/C325</f>
        <v>0.4</v>
      </c>
      <c r="D328" s="15" t="n">
        <f aca="false">(D318+D320)/D325</f>
        <v>0.53</v>
      </c>
      <c r="E328" s="15" t="n">
        <f aca="false">(E318+E320)/E325</f>
        <v>0.609821443235162</v>
      </c>
      <c r="F328" s="15" t="n">
        <f aca="false">(F318+F320)/F325</f>
        <v>0.604330379711084</v>
      </c>
      <c r="G328" s="15" t="n">
        <f aca="false">(G318+G320)/G325</f>
        <v>0.60699433653351</v>
      </c>
    </row>
    <row r="329" customFormat="false" ht="17.15" hidden="false" customHeight="false" outlineLevel="0" collapsed="false">
      <c r="A329" s="4" t="s">
        <v>418</v>
      </c>
      <c r="B329" s="0" t="s">
        <v>405</v>
      </c>
      <c r="D329" s="16" t="n">
        <f aca="false">D318/fx/D309</f>
        <v>4.7355819103481</v>
      </c>
      <c r="E329" s="16" t="n">
        <f aca="false">E318/fx/E309</f>
        <v>4.29818371613545</v>
      </c>
      <c r="F329" s="16" t="n">
        <f aca="false">F318/fx/F309</f>
        <v>3.24751658552456</v>
      </c>
      <c r="G329" s="16" t="n">
        <f aca="false">G318/fx/G309</f>
        <v>2.89231945898281</v>
      </c>
    </row>
    <row r="330" customFormat="false" ht="17.15" hidden="false" customHeight="false" outlineLevel="0" collapsed="false">
      <c r="A330" s="4" t="s">
        <v>466</v>
      </c>
      <c r="B330" s="4" t="s">
        <v>416</v>
      </c>
      <c r="D330" s="19" t="n">
        <f aca="false">D316/fx/(odm_gb*(1-vr26)+odm_vr*vr26)</f>
        <v>24.0630682003257</v>
      </c>
      <c r="E330" s="19" t="n">
        <f aca="false">E316/fx/odm_vr</f>
        <v>29.4659178112417</v>
      </c>
      <c r="F330" s="19" t="n">
        <f aca="false">F316/fx/odm_vr</f>
        <v>31.7487674743301</v>
      </c>
      <c r="G330" s="19" t="n">
        <f aca="false">G316/fx/odm_vr</f>
        <v>34.3585222941587</v>
      </c>
      <c r="H330" s="4" t="s">
        <v>467</v>
      </c>
    </row>
    <row r="331" customFormat="false" ht="17.15" hidden="false" customHeight="false" outlineLevel="0" collapsed="false">
      <c r="A331" s="6" t="s">
        <v>468</v>
      </c>
    </row>
    <row r="332" customFormat="false" ht="17.15" hidden="false" customHeight="false" outlineLevel="0" collapsed="false">
      <c r="A332" s="4" t="s">
        <v>469</v>
      </c>
      <c r="B332" s="0" t="s">
        <v>52</v>
      </c>
      <c r="D332" s="14" t="n">
        <f aca="false">a26_gp/D325-d_ai*D327</f>
        <v>0.0621989258510762</v>
      </c>
      <c r="H332" s="8" t="s">
        <v>470</v>
      </c>
    </row>
    <row r="333" customFormat="false" ht="17.15" hidden="false" customHeight="false" outlineLevel="0" collapsed="false">
      <c r="A333" s="0" t="s">
        <v>471</v>
      </c>
      <c r="B333" s="0" t="s">
        <v>209</v>
      </c>
      <c r="D333" s="22" t="n">
        <f aca="false">($D$332+d_ai)*D316*(1-D317*(1-keep))</f>
        <v>202.8236004951</v>
      </c>
      <c r="E333" s="22" t="n">
        <f aca="false">($D$332+d_ai+vrd)*E316*(1-E317*(1-keep))</f>
        <v>347.807982730896</v>
      </c>
      <c r="F333" s="22" t="n">
        <f aca="false">($D$332+d_ai+vrd)*F316*(1-F317*(1-keep))</f>
        <v>370.968747360127</v>
      </c>
      <c r="G333" s="22" t="n">
        <f aca="false">($D$332+d_ai+vrd)*G316*(1-G317*(1-keep))</f>
        <v>399.414172252921</v>
      </c>
      <c r="H333" s="4" t="s">
        <v>472</v>
      </c>
    </row>
    <row r="334" customFormat="false" ht="15" hidden="false" customHeight="false" outlineLevel="0" collapsed="false">
      <c r="A334" s="4" t="s">
        <v>357</v>
      </c>
      <c r="B334" s="0" t="s">
        <v>209</v>
      </c>
      <c r="C334" s="19" t="n">
        <f aca="false">a25_gp</f>
        <v>498.161</v>
      </c>
      <c r="D334" s="19" t="n">
        <f aca="false">a26_gp</f>
        <v>675.8340708</v>
      </c>
      <c r="E334" s="19" t="n">
        <f aca="false">$D$332*E324+E333</f>
        <v>845.814490205574</v>
      </c>
      <c r="F334" s="19" t="n">
        <f aca="false">$D$332*F324+F333</f>
        <v>888.683007204025</v>
      </c>
      <c r="G334" s="19" t="n">
        <f aca="false">$D$332*G324+G333</f>
        <v>934.156609281439</v>
      </c>
    </row>
    <row r="335" customFormat="false" ht="15" hidden="false" customHeight="false" outlineLevel="0" collapsed="false">
      <c r="A335" s="4" t="s">
        <v>360</v>
      </c>
      <c r="B335" s="0" t="s">
        <v>52</v>
      </c>
      <c r="C335" s="14" t="n">
        <f aca="false">C334/C325</f>
        <v>0.0614777915379352</v>
      </c>
      <c r="D335" s="14" t="n">
        <f aca="false">D334/D325</f>
        <v>0.0606089258510762</v>
      </c>
      <c r="E335" s="14" t="n">
        <f aca="false">E334/E325</f>
        <v>0.0615816410202386</v>
      </c>
      <c r="F335" s="14" t="n">
        <f aca="false">F334/F325</f>
        <v>0.0643520344436292</v>
      </c>
      <c r="G335" s="14" t="n">
        <f aca="false">G334/G325</f>
        <v>0.0659557944909576</v>
      </c>
    </row>
    <row r="336" customFormat="false" ht="17.15" hidden="false" customHeight="false" outlineLevel="0" collapsed="false">
      <c r="A336" s="0" t="s">
        <v>473</v>
      </c>
      <c r="B336" s="0" t="s">
        <v>52</v>
      </c>
      <c r="D336" s="14" t="n">
        <f aca="false">D333/D318</f>
        <v>0.0571989258510762</v>
      </c>
      <c r="E336" s="14" t="n">
        <f aca="false">E333/E318</f>
        <v>0.0607188184361838</v>
      </c>
      <c r="F336" s="14" t="n">
        <f aca="false">F333/F318</f>
        <v>0.0676186841675683</v>
      </c>
      <c r="G336" s="14" t="n">
        <f aca="false">G333/G318</f>
        <v>0.0717586036063991</v>
      </c>
      <c r="H336" s="4" t="s">
        <v>474</v>
      </c>
    </row>
    <row r="337" customFormat="false" ht="15" hidden="false" customHeight="false" outlineLevel="0" collapsed="false">
      <c r="A337" s="4" t="s">
        <v>475</v>
      </c>
      <c r="B337" s="0" t="s">
        <v>209</v>
      </c>
      <c r="C337" s="19" t="n">
        <f aca="false">a25_opx</f>
        <v>238.938</v>
      </c>
      <c r="D337" s="19" t="n">
        <f aca="false">a26_opx</f>
        <v>254.8304233</v>
      </c>
      <c r="E337" s="19" t="n">
        <f aca="false">D337*(1+MAX(0,phi*E326))</f>
        <v>278.452566808928</v>
      </c>
      <c r="F337" s="19" t="n">
        <f aca="false">E337*(1+MAX(0,phi*F326))</f>
        <v>279.059658601018</v>
      </c>
      <c r="G337" s="19" t="n">
        <f aca="false">F337*(1+MAX(0,phi*G326))</f>
        <v>281.918317647198</v>
      </c>
    </row>
    <row r="338" customFormat="false" ht="15" hidden="false" customHeight="false" outlineLevel="0" collapsed="false">
      <c r="A338" s="4" t="s">
        <v>361</v>
      </c>
      <c r="B338" s="0" t="s">
        <v>209</v>
      </c>
      <c r="C338" s="19" t="n">
        <f aca="false">C337</f>
        <v>238.938</v>
      </c>
      <c r="D338" s="19" t="n">
        <f aca="false">D337</f>
        <v>254.8304233</v>
      </c>
      <c r="E338" s="19" t="n">
        <f aca="false">E337+0*E325</f>
        <v>278.452566808928</v>
      </c>
      <c r="F338" s="19" t="n">
        <f aca="false">F337+0*F325</f>
        <v>279.059658601018</v>
      </c>
      <c r="G338" s="19" t="n">
        <f aca="false">G337+0*G325</f>
        <v>281.918317647198</v>
      </c>
    </row>
    <row r="339" customFormat="false" ht="15" hidden="false" customHeight="false" outlineLevel="0" collapsed="false">
      <c r="A339" s="4" t="s">
        <v>364</v>
      </c>
      <c r="B339" s="0" t="s">
        <v>209</v>
      </c>
      <c r="C339" s="19" t="n">
        <f aca="false">C334-C338</f>
        <v>259.223</v>
      </c>
      <c r="D339" s="19" t="n">
        <f aca="false">D334-D338</f>
        <v>421.0036475</v>
      </c>
      <c r="E339" s="19" t="n">
        <f aca="false">E334-E338</f>
        <v>567.361923396647</v>
      </c>
      <c r="F339" s="19" t="n">
        <f aca="false">F334-F338</f>
        <v>609.623348603007</v>
      </c>
      <c r="G339" s="19" t="n">
        <f aca="false">G334-G338</f>
        <v>652.23829163424</v>
      </c>
    </row>
    <row r="340" customFormat="false" ht="15" hidden="false" customHeight="false" outlineLevel="0" collapsed="false">
      <c r="A340" s="4" t="s">
        <v>367</v>
      </c>
      <c r="B340" s="0" t="s">
        <v>52</v>
      </c>
      <c r="C340" s="14" t="n">
        <f aca="false">C339/C325</f>
        <v>0.0319905764518663</v>
      </c>
      <c r="D340" s="14" t="n">
        <f aca="false">D339/D325</f>
        <v>0.0377556858359561</v>
      </c>
      <c r="E340" s="14" t="n">
        <f aca="false">E339/E325</f>
        <v>0.0413082049311694</v>
      </c>
      <c r="F340" s="14" t="n">
        <f aca="false">F339/F325</f>
        <v>0.0441445401891596</v>
      </c>
      <c r="G340" s="14" t="n">
        <f aca="false">G339/G325</f>
        <v>0.0460510521413018</v>
      </c>
    </row>
    <row r="341" customFormat="false" ht="17.15" hidden="false" customHeight="false" outlineLevel="0" collapsed="false">
      <c r="A341" s="4" t="s">
        <v>243</v>
      </c>
      <c r="B341" s="0" t="s">
        <v>52</v>
      </c>
      <c r="C341" s="15" t="n">
        <f aca="false">a25_ni/a25_oi</f>
        <v>0.730467589681471</v>
      </c>
      <c r="D341" s="15" t="n">
        <f aca="false">a26_ni/a26_oi</f>
        <v>0.653811645064191</v>
      </c>
      <c r="E341" s="15" t="n">
        <f aca="false">nio_f</f>
        <v>0.66</v>
      </c>
      <c r="F341" s="15" t="n">
        <f aca="false">nio_f</f>
        <v>0.66</v>
      </c>
      <c r="G341" s="15" t="n">
        <f aca="false">nio_f</f>
        <v>0.66</v>
      </c>
    </row>
    <row r="342" customFormat="false" ht="15" hidden="false" customHeight="false" outlineLevel="0" collapsed="false">
      <c r="A342" s="4" t="s">
        <v>368</v>
      </c>
      <c r="B342" s="0" t="s">
        <v>209</v>
      </c>
      <c r="C342" s="19" t="n">
        <f aca="false">a25_ni</f>
        <v>189.354</v>
      </c>
      <c r="D342" s="19" t="n">
        <f aca="false">a26_ni</f>
        <v>275.25708735</v>
      </c>
      <c r="E342" s="19" t="n">
        <f aca="false">E339*E341</f>
        <v>374.458869441787</v>
      </c>
      <c r="F342" s="19" t="n">
        <f aca="false">F339*F341</f>
        <v>402.351410077985</v>
      </c>
      <c r="G342" s="19" t="n">
        <f aca="false">G339*G341</f>
        <v>430.477272478599</v>
      </c>
    </row>
    <row r="343" customFormat="false" ht="15" hidden="false" customHeight="false" outlineLevel="0" collapsed="false">
      <c r="A343" s="4" t="s">
        <v>476</v>
      </c>
      <c r="B343" s="4" t="s">
        <v>230</v>
      </c>
      <c r="C343" s="23" t="n">
        <f aca="false">a25_sh</f>
        <v>13.9128581925055</v>
      </c>
      <c r="D343" s="23" t="n">
        <f aca="false">a26_sh</f>
        <v>14.0169642857143</v>
      </c>
      <c r="E343" s="23" t="n">
        <f aca="false">D343*(1+sh_g)</f>
        <v>14.0169642857143</v>
      </c>
      <c r="F343" s="23" t="n">
        <f aca="false">E343*(1+sh_g)</f>
        <v>14.0169642857143</v>
      </c>
      <c r="G343" s="23" t="n">
        <f aca="false">F343*(1+sh_g)</f>
        <v>14.0169642857143</v>
      </c>
    </row>
    <row r="344" customFormat="false" ht="15" hidden="false" customHeight="false" outlineLevel="0" collapsed="false">
      <c r="A344" s="0" t="s">
        <v>374</v>
      </c>
      <c r="B344" s="0" t="s">
        <v>260</v>
      </c>
      <c r="C344" s="22" t="n">
        <f aca="false">C342/C343</f>
        <v>13.61</v>
      </c>
      <c r="D344" s="22" t="n">
        <f aca="false">D342/D343</f>
        <v>19.6374251756163</v>
      </c>
      <c r="E344" s="22" t="n">
        <f aca="false">E342/E343</f>
        <v>26.7146909850819</v>
      </c>
      <c r="F344" s="22" t="n">
        <f aca="false">F342/F343</f>
        <v>28.7046040695167</v>
      </c>
      <c r="G344" s="22" t="n">
        <f aca="false">G342/G343</f>
        <v>30.7111628241309</v>
      </c>
    </row>
    <row r="345" customFormat="false" ht="17.15" hidden="false" customHeight="false" outlineLevel="0" collapsed="false">
      <c r="A345" s="0" t="s">
        <v>477</v>
      </c>
      <c r="B345" s="0" t="s">
        <v>52</v>
      </c>
      <c r="D345" s="15" t="n">
        <f aca="false">D344/C344-1</f>
        <v>0.442867389832203</v>
      </c>
      <c r="E345" s="15" t="n">
        <f aca="false">E344/D344-1</f>
        <v>0.360396831365319</v>
      </c>
      <c r="F345" s="15" t="n">
        <f aca="false">F344/E344-1</f>
        <v>0.0744875950669237</v>
      </c>
      <c r="G345" s="15" t="n">
        <f aca="false">G344/F344-1</f>
        <v>0.0699037251917738</v>
      </c>
    </row>
    <row r="348" customFormat="false" ht="17.15" hidden="false" customHeight="false" outlineLevel="0" collapsed="false">
      <c r="A348" s="1" t="s">
        <v>791</v>
      </c>
    </row>
    <row r="349" customFormat="false" ht="17.15" hidden="false" customHeight="false" outlineLevel="0" collapsed="false">
      <c r="A349" s="5" t="s">
        <v>21</v>
      </c>
      <c r="B349" s="5" t="s">
        <v>22</v>
      </c>
      <c r="C349" s="11" t="s">
        <v>347</v>
      </c>
      <c r="D349" s="11" t="s">
        <v>429</v>
      </c>
      <c r="E349" s="11" t="s">
        <v>430</v>
      </c>
      <c r="F349" s="11" t="s">
        <v>431</v>
      </c>
      <c r="G349" s="11" t="s">
        <v>432</v>
      </c>
      <c r="H349" s="5" t="s">
        <v>400</v>
      </c>
    </row>
    <row r="350" customFormat="false" ht="17.15" hidden="false" customHeight="false" outlineLevel="0" collapsed="false">
      <c r="A350" s="6" t="s">
        <v>446</v>
      </c>
    </row>
    <row r="351" customFormat="false" ht="17.15" hidden="false" customHeight="false" outlineLevel="0" collapsed="false">
      <c r="A351" s="0" t="s">
        <v>447</v>
      </c>
      <c r="B351" s="0" t="s">
        <v>32</v>
      </c>
      <c r="D351" s="22" t="n">
        <f aca="false">itc_26*1</f>
        <v>781.872916666666</v>
      </c>
      <c r="E351" s="22" t="n">
        <f aca="false">itc_27*1*1</f>
        <v>1565.35</v>
      </c>
      <c r="F351" s="22" t="n">
        <f aca="false">itc_28*um28_A*1</f>
        <v>1984.26388888889</v>
      </c>
      <c r="G351" s="22" t="n">
        <f aca="false">itc_29*um29_A*1</f>
        <v>2260.39027777778</v>
      </c>
    </row>
    <row r="352" customFormat="false" ht="17.15" hidden="false" customHeight="false" outlineLevel="0" collapsed="false">
      <c r="A352" s="4" t="s">
        <v>448</v>
      </c>
      <c r="B352" s="0" t="s">
        <v>32</v>
      </c>
      <c r="D352" s="22" t="n">
        <f aca="false">itpg_gb*(1-vr26)+itpg_vr*vr26</f>
        <v>33.41403216</v>
      </c>
      <c r="E352" s="22" t="n">
        <f aca="false">itpg_vr</f>
        <v>37.586352</v>
      </c>
      <c r="F352" s="22" t="n">
        <f aca="false">itpg_vr</f>
        <v>37.586352</v>
      </c>
      <c r="G352" s="22" t="n">
        <f aca="false">itpg_vr</f>
        <v>37.586352</v>
      </c>
    </row>
    <row r="353" customFormat="false" ht="17.15" hidden="false" customHeight="false" outlineLevel="0" collapsed="false">
      <c r="A353" s="4" t="s">
        <v>449</v>
      </c>
      <c r="B353" s="0" t="s">
        <v>402</v>
      </c>
      <c r="D353" s="18" t="n">
        <f aca="false">D351/D352</f>
        <v>23.3995380420639</v>
      </c>
      <c r="E353" s="18" t="n">
        <f aca="false">E351/E352</f>
        <v>41.6467658260637</v>
      </c>
      <c r="F353" s="18" t="n">
        <f aca="false">F351/F352</f>
        <v>52.792138191248</v>
      </c>
      <c r="G353" s="18" t="n">
        <f aca="false">G351/G352</f>
        <v>60.1385917361116</v>
      </c>
    </row>
    <row r="354" customFormat="false" ht="17.15" hidden="false" customHeight="false" outlineLevel="0" collapsed="false">
      <c r="A354" s="4" t="s">
        <v>404</v>
      </c>
      <c r="B354" s="0" t="s">
        <v>405</v>
      </c>
      <c r="D354" s="16" t="n">
        <f aca="false">(racks_gb*odm_gb*(1-vr26)+racks_vr*odm_vr*vr26)/1000</f>
        <v>27.1209</v>
      </c>
      <c r="E354" s="16" t="n">
        <f aca="false">racks_vr*odm_vr/1000</f>
        <v>27.351</v>
      </c>
      <c r="F354" s="16" t="n">
        <f aca="false">$E354*VPHI_28</f>
        <v>32.8212</v>
      </c>
      <c r="G354" s="16" t="n">
        <f aca="false">$E354*VPHI_29</f>
        <v>32.8212</v>
      </c>
      <c r="H354" s="4" t="s">
        <v>450</v>
      </c>
    </row>
    <row r="355" customFormat="false" ht="17.15" hidden="false" customHeight="false" outlineLevel="0" collapsed="false">
      <c r="A355" s="0" t="s">
        <v>451</v>
      </c>
      <c r="B355" s="0" t="s">
        <v>32</v>
      </c>
      <c r="D355" s="19" t="n">
        <f aca="false">D353*D354</f>
        <v>634.61653128501</v>
      </c>
      <c r="E355" s="19" t="n">
        <f aca="false">E353*E354</f>
        <v>1139.08069210867</v>
      </c>
      <c r="F355" s="19" t="n">
        <f aca="false">F353*F354</f>
        <v>1732.70132600259</v>
      </c>
      <c r="G355" s="19" t="n">
        <f aca="false">G353*G354</f>
        <v>1973.82074708926</v>
      </c>
    </row>
    <row r="356" customFormat="false" ht="17.15" hidden="false" customHeight="false" outlineLevel="0" collapsed="false">
      <c r="A356" s="0" t="s">
        <v>452</v>
      </c>
      <c r="B356" s="0" t="s">
        <v>209</v>
      </c>
      <c r="D356" s="19" t="n">
        <f aca="false">D355*fx</f>
        <v>20307.7290011203</v>
      </c>
      <c r="E356" s="19" t="n">
        <f aca="false">E355*fx</f>
        <v>36450.5821474774</v>
      </c>
      <c r="F356" s="19" t="n">
        <f aca="false">F355*fx</f>
        <v>55446.4424320828</v>
      </c>
      <c r="G356" s="19" t="n">
        <f aca="false">G355*fx</f>
        <v>63162.2639068565</v>
      </c>
    </row>
    <row r="357" customFormat="false" ht="17.15" hidden="false" customHeight="false" outlineLevel="0" collapsed="false">
      <c r="A357" s="4" t="s">
        <v>453</v>
      </c>
      <c r="B357" s="0" t="s">
        <v>52</v>
      </c>
      <c r="D357" s="15" t="n">
        <f aca="false">a26_ai/D356</f>
        <v>0.174610057569922</v>
      </c>
      <c r="H357" s="8" t="s">
        <v>454</v>
      </c>
    </row>
    <row r="358" customFormat="false" ht="17.15" hidden="false" customHeight="false" outlineLevel="0" collapsed="false">
      <c r="A358" s="4" t="s">
        <v>455</v>
      </c>
      <c r="B358" s="0" t="s">
        <v>71</v>
      </c>
      <c r="D358" s="16" t="n">
        <f aca="false">1</f>
        <v>1</v>
      </c>
      <c r="E358" s="16" t="n">
        <f aca="false">rel_27</f>
        <v>1</v>
      </c>
      <c r="F358" s="16" t="n">
        <f aca="false">rel_28</f>
        <v>1</v>
      </c>
      <c r="G358" s="16" t="n">
        <f aca="false">rel_29</f>
        <v>0.95</v>
      </c>
    </row>
    <row r="359" customFormat="false" ht="15" hidden="false" customHeight="false" outlineLevel="0" collapsed="false">
      <c r="A359" s="4" t="s">
        <v>456</v>
      </c>
      <c r="B359" s="0" t="s">
        <v>52</v>
      </c>
      <c r="D359" s="15" t="n">
        <f aca="false">$D$357*D358</f>
        <v>0.174610057569922</v>
      </c>
      <c r="E359" s="15" t="n">
        <f aca="false">$D$357*E358</f>
        <v>0.174610057569922</v>
      </c>
      <c r="F359" s="15" t="n">
        <f aca="false">$D$357*F358</f>
        <v>0.174610057569922</v>
      </c>
      <c r="G359" s="15" t="n">
        <f aca="false">$D$357*G358</f>
        <v>0.165879554691426</v>
      </c>
    </row>
    <row r="360" customFormat="false" ht="17.15" hidden="false" customHeight="false" outlineLevel="0" collapsed="false">
      <c r="A360" s="0" t="s">
        <v>457</v>
      </c>
      <c r="B360" s="0" t="s">
        <v>209</v>
      </c>
      <c r="D360" s="19" t="n">
        <f aca="false">D356*D359</f>
        <v>3545.93373</v>
      </c>
      <c r="E360" s="19" t="n">
        <f aca="false">E356*E359</f>
        <v>6364.6382472282</v>
      </c>
      <c r="F360" s="19" t="n">
        <f aca="false">F356*F359</f>
        <v>9681.50650511336</v>
      </c>
      <c r="G360" s="19" t="n">
        <f aca="false">G356*G359</f>
        <v>10477.3282101717</v>
      </c>
    </row>
    <row r="361" customFormat="false" ht="17.15" hidden="false" customHeight="false" outlineLevel="0" collapsed="false">
      <c r="A361" s="4" t="s">
        <v>458</v>
      </c>
      <c r="B361" s="0" t="s">
        <v>52</v>
      </c>
      <c r="D361" s="15" t="n">
        <f aca="false">0</f>
        <v>0</v>
      </c>
      <c r="E361" s="15" t="n">
        <f aca="false">cs_27</f>
        <v>0.1</v>
      </c>
      <c r="F361" s="15" t="n">
        <f aca="false">cs_28</f>
        <v>0.2</v>
      </c>
      <c r="G361" s="15" t="n">
        <f aca="false">cs_29</f>
        <v>0.25</v>
      </c>
      <c r="H361" s="8" t="s">
        <v>459</v>
      </c>
    </row>
    <row r="362" customFormat="false" ht="17.15" hidden="false" customHeight="false" outlineLevel="0" collapsed="false">
      <c r="A362" s="0" t="s">
        <v>460</v>
      </c>
      <c r="B362" s="0" t="s">
        <v>209</v>
      </c>
      <c r="C362" s="19" t="n">
        <f aca="false">a25_ai</f>
        <v>1620.621</v>
      </c>
      <c r="D362" s="19" t="n">
        <f aca="false">D360*(1-D361)</f>
        <v>3545.93373</v>
      </c>
      <c r="E362" s="19" t="n">
        <f aca="false">E360*(1-E361)</f>
        <v>5728.17442250538</v>
      </c>
      <c r="F362" s="19" t="n">
        <f aca="false">F360*(1-F361)</f>
        <v>7745.20520409069</v>
      </c>
      <c r="G362" s="19" t="n">
        <f aca="false">G360*(1-G361)</f>
        <v>7857.99615762876</v>
      </c>
    </row>
    <row r="363" customFormat="false" ht="17.15" hidden="false" customHeight="false" outlineLevel="0" collapsed="false">
      <c r="A363" s="6" t="s">
        <v>461</v>
      </c>
    </row>
    <row r="364" customFormat="false" ht="17.15" hidden="false" customHeight="false" outlineLevel="0" collapsed="false">
      <c r="A364" s="4" t="s">
        <v>382</v>
      </c>
      <c r="B364" s="0" t="s">
        <v>209</v>
      </c>
      <c r="C364" s="19" t="n">
        <f aca="false">a25_cn</f>
        <v>1620.621</v>
      </c>
      <c r="D364" s="19" t="n">
        <f aca="false">a26_cn</f>
        <v>2363.95582</v>
      </c>
      <c r="E364" s="19" t="n">
        <f aca="false">D364*(1+g_cn27)</f>
        <v>2647.6305184</v>
      </c>
      <c r="F364" s="19" t="n">
        <f aca="false">E364*(1+g_cn28)</f>
        <v>2859.440959872</v>
      </c>
      <c r="G364" s="19" t="n">
        <f aca="false">F364*(1+g_cn29)</f>
        <v>3031.00741746432</v>
      </c>
    </row>
    <row r="365" customFormat="false" ht="17.15" hidden="false" customHeight="false" outlineLevel="0" collapsed="false">
      <c r="A365" s="4" t="s">
        <v>383</v>
      </c>
      <c r="B365" s="0" t="s">
        <v>209</v>
      </c>
      <c r="C365" s="19" t="n">
        <f aca="false">a25_ce</f>
        <v>3079.1799</v>
      </c>
      <c r="D365" s="19" t="n">
        <f aca="false">a26_ce</f>
        <v>3345.2205</v>
      </c>
      <c r="E365" s="19" t="n">
        <f aca="false">D365*(1+g_ce27)</f>
        <v>3445.577115</v>
      </c>
      <c r="F365" s="19" t="n">
        <f aca="false">E365*(1+g_ce28)</f>
        <v>3514.4886573</v>
      </c>
      <c r="G365" s="19" t="n">
        <f aca="false">F365*(1+g_ce29)</f>
        <v>3584.778430446</v>
      </c>
    </row>
    <row r="366" customFormat="false" ht="15" hidden="false" customHeight="false" outlineLevel="0" collapsed="false">
      <c r="A366" s="4" t="s">
        <v>384</v>
      </c>
      <c r="B366" s="0" t="s">
        <v>209</v>
      </c>
      <c r="C366" s="19" t="n">
        <f aca="false">a25_pc</f>
        <v>1215.46575</v>
      </c>
      <c r="D366" s="19" t="n">
        <f aca="false">a26_pc</f>
        <v>1338.0882</v>
      </c>
      <c r="E366" s="19" t="n">
        <f aca="false">D366*(1+g_pc27)</f>
        <v>1311.326436</v>
      </c>
      <c r="F366" s="19" t="n">
        <f aca="false">E366*(1+g_pc28)</f>
        <v>1311.326436</v>
      </c>
      <c r="G366" s="19" t="n">
        <f aca="false">F366*(1+g_pc29)</f>
        <v>1311.326436</v>
      </c>
    </row>
    <row r="367" customFormat="false" ht="15" hidden="false" customHeight="false" outlineLevel="0" collapsed="false">
      <c r="A367" s="4" t="s">
        <v>462</v>
      </c>
      <c r="B367" s="0" t="s">
        <v>209</v>
      </c>
      <c r="C367" s="19" t="n">
        <f aca="false">a25_co</f>
        <v>567.217349999999</v>
      </c>
      <c r="D367" s="19" t="n">
        <f aca="false">a26_co</f>
        <v>557.53675</v>
      </c>
      <c r="E367" s="19" t="n">
        <f aca="false">D367*(1+g_co27)</f>
        <v>602.13969</v>
      </c>
      <c r="F367" s="19" t="n">
        <f aca="false">E367*(1+g_co28)</f>
        <v>638.2680714</v>
      </c>
      <c r="G367" s="19" t="n">
        <f aca="false">F367*(1+g_co29)</f>
        <v>670.18147497</v>
      </c>
    </row>
    <row r="368" customFormat="false" ht="17.15" hidden="false" customHeight="false" outlineLevel="0" collapsed="false">
      <c r="A368" s="4" t="s">
        <v>387</v>
      </c>
      <c r="B368" s="0" t="s">
        <v>209</v>
      </c>
      <c r="C368" s="19" t="n">
        <f aca="false">SUM(C364:C367)</f>
        <v>6482.484</v>
      </c>
      <c r="D368" s="19" t="n">
        <f aca="false">SUM(D364:D367)</f>
        <v>7604.80127</v>
      </c>
      <c r="E368" s="19" t="n">
        <f aca="false">SUM(E364:E367)</f>
        <v>8006.6737594</v>
      </c>
      <c r="F368" s="19" t="n">
        <f aca="false">SUM(F364:F367)</f>
        <v>8323.524124572</v>
      </c>
      <c r="G368" s="19" t="n">
        <f aca="false">SUM(G364:G367)</f>
        <v>8597.29375888032</v>
      </c>
    </row>
    <row r="369" customFormat="false" ht="15" hidden="false" customHeight="false" outlineLevel="0" collapsed="false">
      <c r="A369" s="4" t="s">
        <v>353</v>
      </c>
      <c r="B369" s="0" t="s">
        <v>209</v>
      </c>
      <c r="C369" s="19" t="n">
        <f aca="false">C362+C368</f>
        <v>8103.105</v>
      </c>
      <c r="D369" s="19" t="n">
        <f aca="false">D362+D368</f>
        <v>11150.735</v>
      </c>
      <c r="E369" s="19" t="n">
        <f aca="false">E362+E368</f>
        <v>13734.8481819054</v>
      </c>
      <c r="F369" s="19" t="n">
        <f aca="false">F362+F368</f>
        <v>16068.7293286627</v>
      </c>
      <c r="G369" s="19" t="n">
        <f aca="false">G362+G368</f>
        <v>16455.2899165091</v>
      </c>
    </row>
    <row r="370" customFormat="false" ht="15" hidden="false" customHeight="false" outlineLevel="0" collapsed="false">
      <c r="A370" s="4" t="s">
        <v>463</v>
      </c>
      <c r="B370" s="0" t="s">
        <v>52</v>
      </c>
      <c r="D370" s="15" t="n">
        <f aca="false">D369/C369-1</f>
        <v>0.376106443147411</v>
      </c>
      <c r="E370" s="15" t="n">
        <f aca="false">E369/D369-1</f>
        <v>0.231743753385349</v>
      </c>
      <c r="F370" s="15" t="n">
        <f aca="false">F369/E369-1</f>
        <v>0.169924058558727</v>
      </c>
      <c r="G370" s="15" t="n">
        <f aca="false">G369/F369-1</f>
        <v>0.0240566991913207</v>
      </c>
    </row>
    <row r="371" customFormat="false" ht="17.15" hidden="false" customHeight="false" outlineLevel="0" collapsed="false">
      <c r="A371" s="0" t="s">
        <v>464</v>
      </c>
      <c r="B371" s="0" t="s">
        <v>52</v>
      </c>
      <c r="C371" s="15" t="n">
        <f aca="false">C362/C369</f>
        <v>0.2</v>
      </c>
      <c r="D371" s="15" t="n">
        <f aca="false">D362/D369</f>
        <v>0.318</v>
      </c>
      <c r="E371" s="15" t="n">
        <f aca="false">E362/E369</f>
        <v>0.417054076364078</v>
      </c>
      <c r="F371" s="15" t="n">
        <f aca="false">F362/F369</f>
        <v>0.482004833467145</v>
      </c>
      <c r="G371" s="15" t="n">
        <f aca="false">G362/G369</f>
        <v>0.477536172106277</v>
      </c>
    </row>
    <row r="372" customFormat="false" ht="17.15" hidden="false" customHeight="false" outlineLevel="0" collapsed="false">
      <c r="A372" s="4" t="s">
        <v>465</v>
      </c>
      <c r="B372" s="0" t="s">
        <v>52</v>
      </c>
      <c r="C372" s="15" t="n">
        <f aca="false">(C362+C364)/C369</f>
        <v>0.4</v>
      </c>
      <c r="D372" s="15" t="n">
        <f aca="false">(D362+D364)/D369</f>
        <v>0.53</v>
      </c>
      <c r="E372" s="15" t="n">
        <f aca="false">(E362+E364)/E369</f>
        <v>0.609821443235162</v>
      </c>
      <c r="F372" s="15" t="n">
        <f aca="false">(F362+F364)/F369</f>
        <v>0.659955491629733</v>
      </c>
      <c r="G372" s="15" t="n">
        <f aca="false">(G362+G364)/G369</f>
        <v>0.661732709076641</v>
      </c>
    </row>
    <row r="373" customFormat="false" ht="17.15" hidden="false" customHeight="false" outlineLevel="0" collapsed="false">
      <c r="A373" s="4" t="s">
        <v>418</v>
      </c>
      <c r="B373" s="0" t="s">
        <v>405</v>
      </c>
      <c r="D373" s="16" t="n">
        <f aca="false">D362/fx/D353</f>
        <v>4.7355819103481</v>
      </c>
      <c r="E373" s="16" t="n">
        <f aca="false">E362/fx/E353</f>
        <v>4.29818371613545</v>
      </c>
      <c r="F373" s="16" t="n">
        <f aca="false">F362/fx/F353</f>
        <v>4.58472929721114</v>
      </c>
      <c r="G373" s="16" t="n">
        <f aca="false">G362/fx/G353</f>
        <v>4.08327453032867</v>
      </c>
    </row>
    <row r="374" customFormat="false" ht="17.15" hidden="false" customHeight="false" outlineLevel="0" collapsed="false">
      <c r="A374" s="4" t="s">
        <v>466</v>
      </c>
      <c r="B374" s="4" t="s">
        <v>416</v>
      </c>
      <c r="D374" s="19" t="n">
        <f aca="false">D360/fx/(odm_gb*(1-vr26)+odm_vr*vr26)</f>
        <v>24.0630682003257</v>
      </c>
      <c r="E374" s="19" t="n">
        <f aca="false">E360/fx/odm_vr</f>
        <v>29.4659178112417</v>
      </c>
      <c r="F374" s="19" t="n">
        <f aca="false">F360/fx/odm_vr</f>
        <v>44.8217893755248</v>
      </c>
      <c r="G374" s="19" t="n">
        <f aca="false">G360/fx/odm_vr</f>
        <v>48.5061491211652</v>
      </c>
      <c r="H374" s="4" t="s">
        <v>467</v>
      </c>
    </row>
    <row r="375" customFormat="false" ht="17.15" hidden="false" customHeight="false" outlineLevel="0" collapsed="false">
      <c r="A375" s="6" t="s">
        <v>468</v>
      </c>
    </row>
    <row r="376" customFormat="false" ht="17.15" hidden="false" customHeight="false" outlineLevel="0" collapsed="false">
      <c r="A376" s="4" t="s">
        <v>469</v>
      </c>
      <c r="B376" s="0" t="s">
        <v>52</v>
      </c>
      <c r="D376" s="14" t="n">
        <f aca="false">a26_gp/D369-d_ai*D371</f>
        <v>0.0621989258510762</v>
      </c>
      <c r="H376" s="8" t="s">
        <v>470</v>
      </c>
    </row>
    <row r="377" customFormat="false" ht="17.15" hidden="false" customHeight="false" outlineLevel="0" collapsed="false">
      <c r="A377" s="0" t="s">
        <v>471</v>
      </c>
      <c r="B377" s="0" t="s">
        <v>209</v>
      </c>
      <c r="D377" s="22" t="n">
        <f aca="false">($D$376+d_ai)*D360*(1-D361*(1-keep))</f>
        <v>202.8236004951</v>
      </c>
      <c r="E377" s="22" t="n">
        <f aca="false">($D$376+d_ai+vrd)*E360*(1-E361*(1-keep))</f>
        <v>347.807982730896</v>
      </c>
      <c r="F377" s="22" t="n">
        <f aca="false">($D$376+d_ai+vrd)*F360*(1-F361*(1-keep))</f>
        <v>523.720584508415</v>
      </c>
      <c r="G377" s="22" t="n">
        <f aca="false">($D$376+d_ai+vrd)*G360*(1-G361*(1-keep))</f>
        <v>563.878831415889</v>
      </c>
      <c r="H377" s="4" t="s">
        <v>472</v>
      </c>
    </row>
    <row r="378" customFormat="false" ht="15" hidden="false" customHeight="false" outlineLevel="0" collapsed="false">
      <c r="A378" s="4" t="s">
        <v>357</v>
      </c>
      <c r="B378" s="0" t="s">
        <v>209</v>
      </c>
      <c r="C378" s="19" t="n">
        <f aca="false">a25_gp</f>
        <v>498.161</v>
      </c>
      <c r="D378" s="19" t="n">
        <f aca="false">a26_gp</f>
        <v>675.8340708</v>
      </c>
      <c r="E378" s="19" t="n">
        <f aca="false">$D$376*E368+E377</f>
        <v>845.814490205574</v>
      </c>
      <c r="F378" s="19" t="n">
        <f aca="false">$D$376*F368+F377</f>
        <v>1041.43484435231</v>
      </c>
      <c r="G378" s="19" t="n">
        <f aca="false">$D$376*G368+G377</f>
        <v>1098.62126844441</v>
      </c>
    </row>
    <row r="379" customFormat="false" ht="15" hidden="false" customHeight="false" outlineLevel="0" collapsed="false">
      <c r="A379" s="4" t="s">
        <v>360</v>
      </c>
      <c r="B379" s="0" t="s">
        <v>52</v>
      </c>
      <c r="C379" s="14" t="n">
        <f aca="false">C378/C369</f>
        <v>0.0614777915379352</v>
      </c>
      <c r="D379" s="14" t="n">
        <f aca="false">D378/D369</f>
        <v>0.0606089258510762</v>
      </c>
      <c r="E379" s="14" t="n">
        <f aca="false">E378/E369</f>
        <v>0.0615816410202386</v>
      </c>
      <c r="F379" s="14" t="n">
        <f aca="false">F378/F369</f>
        <v>0.0648112755558492</v>
      </c>
      <c r="G379" s="14" t="n">
        <f aca="false">G378/G369</f>
        <v>0.0667640177729226</v>
      </c>
    </row>
    <row r="380" customFormat="false" ht="17.15" hidden="false" customHeight="false" outlineLevel="0" collapsed="false">
      <c r="A380" s="0" t="s">
        <v>473</v>
      </c>
      <c r="B380" s="0" t="s">
        <v>52</v>
      </c>
      <c r="D380" s="14" t="n">
        <f aca="false">D377/D362</f>
        <v>0.0571989258510762</v>
      </c>
      <c r="E380" s="14" t="n">
        <f aca="false">E377/E362</f>
        <v>0.0607188184361838</v>
      </c>
      <c r="F380" s="14" t="n">
        <f aca="false">F377/F362</f>
        <v>0.0676186841675683</v>
      </c>
      <c r="G380" s="14" t="n">
        <f aca="false">G377/G362</f>
        <v>0.0717586036063991</v>
      </c>
      <c r="H380" s="4" t="s">
        <v>474</v>
      </c>
    </row>
    <row r="381" customFormat="false" ht="15" hidden="false" customHeight="false" outlineLevel="0" collapsed="false">
      <c r="A381" s="4" t="s">
        <v>475</v>
      </c>
      <c r="B381" s="0" t="s">
        <v>209</v>
      </c>
      <c r="C381" s="19" t="n">
        <f aca="false">a25_opx</f>
        <v>238.938</v>
      </c>
      <c r="D381" s="19" t="n">
        <f aca="false">a26_opx</f>
        <v>254.8304233</v>
      </c>
      <c r="E381" s="19" t="n">
        <f aca="false">D381*(1+MAX(0,phi*E370))</f>
        <v>278.452566808928</v>
      </c>
      <c r="F381" s="19" t="n">
        <f aca="false">E381*(1+MAX(0,phi*F370))</f>
        <v>297.378882916235</v>
      </c>
      <c r="G381" s="19" t="n">
        <f aca="false">F381*(1+MAX(0,phi*G370))</f>
        <v>300.240464649102</v>
      </c>
    </row>
    <row r="382" customFormat="false" ht="15" hidden="false" customHeight="false" outlineLevel="0" collapsed="false">
      <c r="A382" s="4" t="s">
        <v>361</v>
      </c>
      <c r="B382" s="0" t="s">
        <v>209</v>
      </c>
      <c r="C382" s="19" t="n">
        <f aca="false">C381</f>
        <v>238.938</v>
      </c>
      <c r="D382" s="19" t="n">
        <f aca="false">D381</f>
        <v>254.8304233</v>
      </c>
      <c r="E382" s="19" t="n">
        <f aca="false">E381+0*E369</f>
        <v>278.452566808928</v>
      </c>
      <c r="F382" s="19" t="n">
        <f aca="false">F381+0*F369</f>
        <v>297.378882916235</v>
      </c>
      <c r="G382" s="19" t="n">
        <f aca="false">G381+0*G369</f>
        <v>300.240464649102</v>
      </c>
    </row>
    <row r="383" customFormat="false" ht="15" hidden="false" customHeight="false" outlineLevel="0" collapsed="false">
      <c r="A383" s="4" t="s">
        <v>364</v>
      </c>
      <c r="B383" s="0" t="s">
        <v>209</v>
      </c>
      <c r="C383" s="19" t="n">
        <f aca="false">C378-C382</f>
        <v>259.223</v>
      </c>
      <c r="D383" s="19" t="n">
        <f aca="false">D378-D382</f>
        <v>421.0036475</v>
      </c>
      <c r="E383" s="19" t="n">
        <f aca="false">E378-E382</f>
        <v>567.361923396647</v>
      </c>
      <c r="F383" s="19" t="n">
        <f aca="false">F378-F382</f>
        <v>744.055961436077</v>
      </c>
      <c r="G383" s="19" t="n">
        <f aca="false">G378-G382</f>
        <v>798.380803795305</v>
      </c>
    </row>
    <row r="384" customFormat="false" ht="15" hidden="false" customHeight="false" outlineLevel="0" collapsed="false">
      <c r="A384" s="4" t="s">
        <v>367</v>
      </c>
      <c r="B384" s="0" t="s">
        <v>52</v>
      </c>
      <c r="C384" s="14" t="n">
        <f aca="false">C383/C369</f>
        <v>0.0319905764518663</v>
      </c>
      <c r="D384" s="14" t="n">
        <f aca="false">D383/D369</f>
        <v>0.0377556858359561</v>
      </c>
      <c r="E384" s="14" t="n">
        <f aca="false">E383/E369</f>
        <v>0.0413082049311694</v>
      </c>
      <c r="F384" s="14" t="n">
        <f aca="false">F383/F369</f>
        <v>0.0463045923680389</v>
      </c>
      <c r="G384" s="14" t="n">
        <f aca="false">G383/G369</f>
        <v>0.0485181852064675</v>
      </c>
    </row>
    <row r="385" customFormat="false" ht="17.15" hidden="false" customHeight="false" outlineLevel="0" collapsed="false">
      <c r="A385" s="4" t="s">
        <v>243</v>
      </c>
      <c r="B385" s="0" t="s">
        <v>52</v>
      </c>
      <c r="C385" s="15" t="n">
        <f aca="false">a25_ni/a25_oi</f>
        <v>0.730467589681471</v>
      </c>
      <c r="D385" s="15" t="n">
        <f aca="false">a26_ni/a26_oi</f>
        <v>0.653811645064191</v>
      </c>
      <c r="E385" s="15" t="n">
        <f aca="false">nio_f</f>
        <v>0.66</v>
      </c>
      <c r="F385" s="15" t="n">
        <f aca="false">nio_f</f>
        <v>0.66</v>
      </c>
      <c r="G385" s="15" t="n">
        <f aca="false">nio_f</f>
        <v>0.66</v>
      </c>
    </row>
    <row r="386" customFormat="false" ht="15" hidden="false" customHeight="false" outlineLevel="0" collapsed="false">
      <c r="A386" s="4" t="s">
        <v>368</v>
      </c>
      <c r="B386" s="0" t="s">
        <v>209</v>
      </c>
      <c r="C386" s="19" t="n">
        <f aca="false">a25_ni</f>
        <v>189.354</v>
      </c>
      <c r="D386" s="19" t="n">
        <f aca="false">a26_ni</f>
        <v>275.25708735</v>
      </c>
      <c r="E386" s="19" t="n">
        <f aca="false">E383*E385</f>
        <v>374.458869441787</v>
      </c>
      <c r="F386" s="19" t="n">
        <f aca="false">F383*F385</f>
        <v>491.076934547811</v>
      </c>
      <c r="G386" s="19" t="n">
        <f aca="false">G383*G385</f>
        <v>526.931330504901</v>
      </c>
    </row>
    <row r="387" customFormat="false" ht="15" hidden="false" customHeight="false" outlineLevel="0" collapsed="false">
      <c r="A387" s="4" t="s">
        <v>476</v>
      </c>
      <c r="B387" s="4" t="s">
        <v>230</v>
      </c>
      <c r="C387" s="23" t="n">
        <f aca="false">a25_sh</f>
        <v>13.9128581925055</v>
      </c>
      <c r="D387" s="23" t="n">
        <f aca="false">a26_sh</f>
        <v>14.0169642857143</v>
      </c>
      <c r="E387" s="23" t="n">
        <f aca="false">D387*(1+sh_g)</f>
        <v>14.0169642857143</v>
      </c>
      <c r="F387" s="23" t="n">
        <f aca="false">E387*(1+sh_g)</f>
        <v>14.0169642857143</v>
      </c>
      <c r="G387" s="23" t="n">
        <f aca="false">F387*(1+sh_g)</f>
        <v>14.0169642857143</v>
      </c>
    </row>
    <row r="388" customFormat="false" ht="15" hidden="false" customHeight="false" outlineLevel="0" collapsed="false">
      <c r="A388" s="0" t="s">
        <v>374</v>
      </c>
      <c r="B388" s="0" t="s">
        <v>260</v>
      </c>
      <c r="C388" s="22" t="n">
        <f aca="false">C386/C387</f>
        <v>13.61</v>
      </c>
      <c r="D388" s="22" t="n">
        <f aca="false">D386/D387</f>
        <v>19.6374251756163</v>
      </c>
      <c r="E388" s="22" t="n">
        <f aca="false">E386/E387</f>
        <v>26.7146909850819</v>
      </c>
      <c r="F388" s="22" t="n">
        <f aca="false">F386/F387</f>
        <v>35.0344714117809</v>
      </c>
      <c r="G388" s="22" t="n">
        <f aca="false">G386/G387</f>
        <v>37.5924001634174</v>
      </c>
    </row>
    <row r="389" customFormat="false" ht="17.15" hidden="false" customHeight="false" outlineLevel="0" collapsed="false">
      <c r="A389" s="0" t="s">
        <v>477</v>
      </c>
      <c r="B389" s="0" t="s">
        <v>52</v>
      </c>
      <c r="D389" s="15" t="n">
        <f aca="false">D388/C388-1</f>
        <v>0.442867389832203</v>
      </c>
      <c r="E389" s="15" t="n">
        <f aca="false">E388/D388-1</f>
        <v>0.360396831365319</v>
      </c>
      <c r="F389" s="15" t="n">
        <f aca="false">F388/E388-1</f>
        <v>0.311430906363279</v>
      </c>
      <c r="G389" s="15" t="n">
        <f aca="false">G388/F388-1</f>
        <v>0.0730117695104233</v>
      </c>
    </row>
    <row r="392" customFormat="false" ht="17.15" hidden="false" customHeight="false" outlineLevel="0" collapsed="false">
      <c r="A392" s="1" t="s">
        <v>792</v>
      </c>
    </row>
    <row r="393" customFormat="false" ht="17.15" hidden="false" customHeight="false" outlineLevel="0" collapsed="false">
      <c r="A393" s="5" t="s">
        <v>21</v>
      </c>
      <c r="B393" s="5" t="s">
        <v>22</v>
      </c>
      <c r="C393" s="11" t="s">
        <v>347</v>
      </c>
      <c r="D393" s="11" t="s">
        <v>429</v>
      </c>
      <c r="E393" s="11" t="s">
        <v>430</v>
      </c>
      <c r="F393" s="11" t="s">
        <v>431</v>
      </c>
      <c r="G393" s="11" t="s">
        <v>432</v>
      </c>
      <c r="H393" s="5" t="s">
        <v>400</v>
      </c>
    </row>
    <row r="394" customFormat="false" ht="17.15" hidden="false" customHeight="false" outlineLevel="0" collapsed="false">
      <c r="A394" s="6" t="s">
        <v>446</v>
      </c>
    </row>
    <row r="395" customFormat="false" ht="17.15" hidden="false" customHeight="false" outlineLevel="0" collapsed="false">
      <c r="A395" s="0" t="s">
        <v>447</v>
      </c>
      <c r="B395" s="0" t="s">
        <v>32</v>
      </c>
      <c r="D395" s="22" t="n">
        <f aca="false">itc_26*1</f>
        <v>781.872916666666</v>
      </c>
      <c r="E395" s="22" t="n">
        <f aca="false">itc_27*1*mf_lo</f>
        <v>1252.28</v>
      </c>
      <c r="F395" s="22" t="n">
        <f aca="false">itc_28*um28_A*mf_lo</f>
        <v>1587.41111111111</v>
      </c>
      <c r="G395" s="22" t="n">
        <f aca="false">itc_29*um29_A*mf_lo</f>
        <v>1808.31222222222</v>
      </c>
    </row>
    <row r="396" customFormat="false" ht="17.15" hidden="false" customHeight="false" outlineLevel="0" collapsed="false">
      <c r="A396" s="4" t="s">
        <v>448</v>
      </c>
      <c r="B396" s="0" t="s">
        <v>32</v>
      </c>
      <c r="D396" s="22" t="n">
        <f aca="false">itpg_gb*(1-vr26)+itpg_vr*vr26</f>
        <v>33.41403216</v>
      </c>
      <c r="E396" s="22" t="n">
        <f aca="false">itpg_vr</f>
        <v>37.586352</v>
      </c>
      <c r="F396" s="22" t="n">
        <f aca="false">itpg_vr</f>
        <v>37.586352</v>
      </c>
      <c r="G396" s="22" t="n">
        <f aca="false">itpg_vr</f>
        <v>37.586352</v>
      </c>
    </row>
    <row r="397" customFormat="false" ht="17.15" hidden="false" customHeight="false" outlineLevel="0" collapsed="false">
      <c r="A397" s="4" t="s">
        <v>449</v>
      </c>
      <c r="B397" s="0" t="s">
        <v>402</v>
      </c>
      <c r="D397" s="18" t="n">
        <f aca="false">D395/D396</f>
        <v>23.3995380420639</v>
      </c>
      <c r="E397" s="18" t="n">
        <f aca="false">E395/E396</f>
        <v>33.3174126608509</v>
      </c>
      <c r="F397" s="18" t="n">
        <f aca="false">F395/F396</f>
        <v>42.2337105529984</v>
      </c>
      <c r="G397" s="18" t="n">
        <f aca="false">G395/G396</f>
        <v>48.1108733888892</v>
      </c>
    </row>
    <row r="398" customFormat="false" ht="17.15" hidden="false" customHeight="false" outlineLevel="0" collapsed="false">
      <c r="A398" s="4" t="s">
        <v>404</v>
      </c>
      <c r="B398" s="0" t="s">
        <v>405</v>
      </c>
      <c r="D398" s="16" t="n">
        <f aca="false">(racks_gb*odm_gb*(1-vr26)+racks_vr*odm_vr*vr26)/1000</f>
        <v>27.1209</v>
      </c>
      <c r="E398" s="16" t="n">
        <f aca="false">racks_vr*odm_vr/1000</f>
        <v>27.351</v>
      </c>
      <c r="F398" s="16" t="n">
        <f aca="false">$E398*vpg_28</f>
        <v>27.351</v>
      </c>
      <c r="G398" s="16" t="n">
        <f aca="false">$E398*vpg_29</f>
        <v>27.351</v>
      </c>
      <c r="H398" s="4" t="s">
        <v>450</v>
      </c>
    </row>
    <row r="399" customFormat="false" ht="17.15" hidden="false" customHeight="false" outlineLevel="0" collapsed="false">
      <c r="A399" s="0" t="s">
        <v>451</v>
      </c>
      <c r="B399" s="0" t="s">
        <v>32</v>
      </c>
      <c r="D399" s="19" t="n">
        <f aca="false">D397*D398</f>
        <v>634.61653128501</v>
      </c>
      <c r="E399" s="19" t="n">
        <f aca="false">E397*E398</f>
        <v>911.264553686934</v>
      </c>
      <c r="F399" s="19" t="n">
        <f aca="false">F397*F398</f>
        <v>1155.13421733506</v>
      </c>
      <c r="G399" s="19" t="n">
        <f aca="false">G397*G398</f>
        <v>1315.88049805951</v>
      </c>
    </row>
    <row r="400" customFormat="false" ht="17.15" hidden="false" customHeight="false" outlineLevel="0" collapsed="false">
      <c r="A400" s="0" t="s">
        <v>452</v>
      </c>
      <c r="B400" s="0" t="s">
        <v>209</v>
      </c>
      <c r="D400" s="19" t="n">
        <f aca="false">D399*fx</f>
        <v>20307.7290011203</v>
      </c>
      <c r="E400" s="19" t="n">
        <f aca="false">E399*fx</f>
        <v>29160.4657179819</v>
      </c>
      <c r="F400" s="19" t="n">
        <f aca="false">F399*fx</f>
        <v>36964.2949547219</v>
      </c>
      <c r="G400" s="19" t="n">
        <f aca="false">G399*fx</f>
        <v>42108.1759379043</v>
      </c>
    </row>
    <row r="401" customFormat="false" ht="17.15" hidden="false" customHeight="false" outlineLevel="0" collapsed="false">
      <c r="A401" s="4" t="s">
        <v>453</v>
      </c>
      <c r="B401" s="0" t="s">
        <v>52</v>
      </c>
      <c r="D401" s="15" t="n">
        <f aca="false">a26_ai/D400</f>
        <v>0.174610057569922</v>
      </c>
      <c r="H401" s="8" t="s">
        <v>454</v>
      </c>
    </row>
    <row r="402" customFormat="false" ht="17.15" hidden="false" customHeight="false" outlineLevel="0" collapsed="false">
      <c r="A402" s="4" t="s">
        <v>455</v>
      </c>
      <c r="B402" s="0" t="s">
        <v>71</v>
      </c>
      <c r="D402" s="16" t="n">
        <f aca="false">1</f>
        <v>1</v>
      </c>
      <c r="E402" s="16" t="n">
        <f aca="false">rel_27</f>
        <v>1</v>
      </c>
      <c r="F402" s="16" t="n">
        <f aca="false">rel_28</f>
        <v>1</v>
      </c>
      <c r="G402" s="16" t="n">
        <f aca="false">rel_29</f>
        <v>0.95</v>
      </c>
    </row>
    <row r="403" customFormat="false" ht="15" hidden="false" customHeight="false" outlineLevel="0" collapsed="false">
      <c r="A403" s="4" t="s">
        <v>456</v>
      </c>
      <c r="B403" s="0" t="s">
        <v>52</v>
      </c>
      <c r="D403" s="15" t="n">
        <f aca="false">$D$401*D402</f>
        <v>0.174610057569922</v>
      </c>
      <c r="E403" s="15" t="n">
        <f aca="false">$D$401*E402</f>
        <v>0.174610057569922</v>
      </c>
      <c r="F403" s="15" t="n">
        <f aca="false">$D$401*F402</f>
        <v>0.174610057569922</v>
      </c>
      <c r="G403" s="15" t="n">
        <f aca="false">$D$401*G402</f>
        <v>0.165879554691426</v>
      </c>
    </row>
    <row r="404" customFormat="false" ht="17.15" hidden="false" customHeight="false" outlineLevel="0" collapsed="false">
      <c r="A404" s="0" t="s">
        <v>457</v>
      </c>
      <c r="B404" s="0" t="s">
        <v>209</v>
      </c>
      <c r="D404" s="19" t="n">
        <f aca="false">D400*D403</f>
        <v>3545.93373</v>
      </c>
      <c r="E404" s="19" t="n">
        <f aca="false">E400*E403</f>
        <v>5091.71059778256</v>
      </c>
      <c r="F404" s="19" t="n">
        <f aca="false">F400*F403</f>
        <v>6454.33767007557</v>
      </c>
      <c r="G404" s="19" t="n">
        <f aca="false">G400*G403</f>
        <v>6984.88547344779</v>
      </c>
    </row>
    <row r="405" customFormat="false" ht="17.15" hidden="false" customHeight="false" outlineLevel="0" collapsed="false">
      <c r="A405" s="4" t="s">
        <v>458</v>
      </c>
      <c r="B405" s="0" t="s">
        <v>52</v>
      </c>
      <c r="D405" s="15" t="n">
        <f aca="false">0</f>
        <v>0</v>
      </c>
      <c r="E405" s="15" t="n">
        <f aca="false">cs_27</f>
        <v>0.1</v>
      </c>
      <c r="F405" s="15" t="n">
        <f aca="false">cs_28</f>
        <v>0.2</v>
      </c>
      <c r="G405" s="15" t="n">
        <f aca="false">cs_29</f>
        <v>0.25</v>
      </c>
      <c r="H405" s="8" t="s">
        <v>459</v>
      </c>
    </row>
    <row r="406" customFormat="false" ht="17.15" hidden="false" customHeight="false" outlineLevel="0" collapsed="false">
      <c r="A406" s="0" t="s">
        <v>460</v>
      </c>
      <c r="B406" s="0" t="s">
        <v>209</v>
      </c>
      <c r="C406" s="19" t="n">
        <f aca="false">a25_ai</f>
        <v>1620.621</v>
      </c>
      <c r="D406" s="19" t="n">
        <f aca="false">D404*(1-D405)</f>
        <v>3545.93373</v>
      </c>
      <c r="E406" s="19" t="n">
        <f aca="false">E404*(1-E405)</f>
        <v>4582.5395380043</v>
      </c>
      <c r="F406" s="19" t="n">
        <f aca="false">F404*(1-F405)</f>
        <v>5163.47013606046</v>
      </c>
      <c r="G406" s="19" t="n">
        <f aca="false">G404*(1-G405)</f>
        <v>5238.66410508584</v>
      </c>
    </row>
    <row r="407" customFormat="false" ht="17.15" hidden="false" customHeight="false" outlineLevel="0" collapsed="false">
      <c r="A407" s="6" t="s">
        <v>461</v>
      </c>
    </row>
    <row r="408" customFormat="false" ht="17.15" hidden="false" customHeight="false" outlineLevel="0" collapsed="false">
      <c r="A408" s="4" t="s">
        <v>382</v>
      </c>
      <c r="B408" s="0" t="s">
        <v>209</v>
      </c>
      <c r="C408" s="19" t="n">
        <f aca="false">a25_cn</f>
        <v>1620.621</v>
      </c>
      <c r="D408" s="19" t="n">
        <f aca="false">a26_cn</f>
        <v>2363.95582</v>
      </c>
      <c r="E408" s="19" t="n">
        <f aca="false">D408*(1+g_cn27)</f>
        <v>2647.6305184</v>
      </c>
      <c r="F408" s="19" t="n">
        <f aca="false">E408*(1+g_cn28)</f>
        <v>2859.440959872</v>
      </c>
      <c r="G408" s="19" t="n">
        <f aca="false">F408*(1+g_cn29)</f>
        <v>3031.00741746432</v>
      </c>
    </row>
    <row r="409" customFormat="false" ht="17.15" hidden="false" customHeight="false" outlineLevel="0" collapsed="false">
      <c r="A409" s="4" t="s">
        <v>383</v>
      </c>
      <c r="B409" s="0" t="s">
        <v>209</v>
      </c>
      <c r="C409" s="19" t="n">
        <f aca="false">a25_ce</f>
        <v>3079.1799</v>
      </c>
      <c r="D409" s="19" t="n">
        <f aca="false">a26_ce</f>
        <v>3345.2205</v>
      </c>
      <c r="E409" s="19" t="n">
        <f aca="false">D409*(1+g_ce27)</f>
        <v>3445.577115</v>
      </c>
      <c r="F409" s="19" t="n">
        <f aca="false">E409*(1+g_ce28)</f>
        <v>3514.4886573</v>
      </c>
      <c r="G409" s="19" t="n">
        <f aca="false">F409*(1+g_ce29)</f>
        <v>3584.778430446</v>
      </c>
    </row>
    <row r="410" customFormat="false" ht="15" hidden="false" customHeight="false" outlineLevel="0" collapsed="false">
      <c r="A410" s="4" t="s">
        <v>384</v>
      </c>
      <c r="B410" s="0" t="s">
        <v>209</v>
      </c>
      <c r="C410" s="19" t="n">
        <f aca="false">a25_pc</f>
        <v>1215.46575</v>
      </c>
      <c r="D410" s="19" t="n">
        <f aca="false">a26_pc</f>
        <v>1338.0882</v>
      </c>
      <c r="E410" s="19" t="n">
        <f aca="false">D410*(1+g_pc27)</f>
        <v>1311.326436</v>
      </c>
      <c r="F410" s="19" t="n">
        <f aca="false">E410*(1+g_pc28)</f>
        <v>1311.326436</v>
      </c>
      <c r="G410" s="19" t="n">
        <f aca="false">F410*(1+g_pc29)</f>
        <v>1311.326436</v>
      </c>
    </row>
    <row r="411" customFormat="false" ht="15" hidden="false" customHeight="false" outlineLevel="0" collapsed="false">
      <c r="A411" s="4" t="s">
        <v>462</v>
      </c>
      <c r="B411" s="0" t="s">
        <v>209</v>
      </c>
      <c r="C411" s="19" t="n">
        <f aca="false">a25_co</f>
        <v>567.217349999999</v>
      </c>
      <c r="D411" s="19" t="n">
        <f aca="false">a26_co</f>
        <v>557.53675</v>
      </c>
      <c r="E411" s="19" t="n">
        <f aca="false">D411*(1+g_co27)</f>
        <v>602.13969</v>
      </c>
      <c r="F411" s="19" t="n">
        <f aca="false">E411*(1+g_co28)</f>
        <v>638.2680714</v>
      </c>
      <c r="G411" s="19" t="n">
        <f aca="false">F411*(1+g_co29)</f>
        <v>670.18147497</v>
      </c>
    </row>
    <row r="412" customFormat="false" ht="17.15" hidden="false" customHeight="false" outlineLevel="0" collapsed="false">
      <c r="A412" s="4" t="s">
        <v>387</v>
      </c>
      <c r="B412" s="0" t="s">
        <v>209</v>
      </c>
      <c r="C412" s="19" t="n">
        <f aca="false">SUM(C408:C411)</f>
        <v>6482.484</v>
      </c>
      <c r="D412" s="19" t="n">
        <f aca="false">SUM(D408:D411)</f>
        <v>7604.80127</v>
      </c>
      <c r="E412" s="19" t="n">
        <f aca="false">SUM(E408:E411)</f>
        <v>8006.6737594</v>
      </c>
      <c r="F412" s="19" t="n">
        <f aca="false">SUM(F408:F411)</f>
        <v>8323.524124572</v>
      </c>
      <c r="G412" s="19" t="n">
        <f aca="false">SUM(G408:G411)</f>
        <v>8597.29375888032</v>
      </c>
    </row>
    <row r="413" customFormat="false" ht="15" hidden="false" customHeight="false" outlineLevel="0" collapsed="false">
      <c r="A413" s="4" t="s">
        <v>353</v>
      </c>
      <c r="B413" s="0" t="s">
        <v>209</v>
      </c>
      <c r="C413" s="19" t="n">
        <f aca="false">C406+C412</f>
        <v>8103.105</v>
      </c>
      <c r="D413" s="19" t="n">
        <f aca="false">D406+D412</f>
        <v>11150.735</v>
      </c>
      <c r="E413" s="19" t="n">
        <f aca="false">E406+E412</f>
        <v>12589.2132974043</v>
      </c>
      <c r="F413" s="19" t="n">
        <f aca="false">F406+F412</f>
        <v>13486.9942606325</v>
      </c>
      <c r="G413" s="19" t="n">
        <f aca="false">G406+G412</f>
        <v>13835.9578639662</v>
      </c>
    </row>
    <row r="414" customFormat="false" ht="15" hidden="false" customHeight="false" outlineLevel="0" collapsed="false">
      <c r="A414" s="4" t="s">
        <v>463</v>
      </c>
      <c r="B414" s="0" t="s">
        <v>52</v>
      </c>
      <c r="D414" s="15" t="n">
        <f aca="false">D413/C413-1</f>
        <v>0.376106443147411</v>
      </c>
      <c r="E414" s="15" t="n">
        <f aca="false">E413/D413-1</f>
        <v>0.129003002708279</v>
      </c>
      <c r="F414" s="15" t="n">
        <f aca="false">F413/E413-1</f>
        <v>0.0713135080023837</v>
      </c>
      <c r="G414" s="15" t="n">
        <f aca="false">G413/F413-1</f>
        <v>0.0258740825857919</v>
      </c>
    </row>
    <row r="415" customFormat="false" ht="17.15" hidden="false" customHeight="false" outlineLevel="0" collapsed="false">
      <c r="A415" s="0" t="s">
        <v>464</v>
      </c>
      <c r="B415" s="0" t="s">
        <v>52</v>
      </c>
      <c r="C415" s="15" t="n">
        <f aca="false">C406/C413</f>
        <v>0.2</v>
      </c>
      <c r="D415" s="15" t="n">
        <f aca="false">D406/D413</f>
        <v>0.318</v>
      </c>
      <c r="E415" s="15" t="n">
        <f aca="false">E406/E413</f>
        <v>0.364005234461247</v>
      </c>
      <c r="F415" s="15" t="n">
        <f aca="false">F406/F413</f>
        <v>0.382848100642576</v>
      </c>
      <c r="G415" s="15" t="n">
        <f aca="false">G406/G413</f>
        <v>0.378626775001189</v>
      </c>
    </row>
    <row r="416" customFormat="false" ht="17.15" hidden="false" customHeight="false" outlineLevel="0" collapsed="false">
      <c r="A416" s="4" t="s">
        <v>465</v>
      </c>
      <c r="B416" s="0" t="s">
        <v>52</v>
      </c>
      <c r="C416" s="15" t="n">
        <f aca="false">(C406+C408)/C413</f>
        <v>0.4</v>
      </c>
      <c r="D416" s="15" t="n">
        <f aca="false">(D406+D408)/D413</f>
        <v>0.53</v>
      </c>
      <c r="E416" s="15" t="n">
        <f aca="false">(E406+E408)/E413</f>
        <v>0.574314683975928</v>
      </c>
      <c r="F416" s="15" t="n">
        <f aca="false">(F406+F408)/F413</f>
        <v>0.594862794547985</v>
      </c>
      <c r="G416" s="15" t="n">
        <f aca="false">(G406+G408)/G413</f>
        <v>0.597694182351291</v>
      </c>
    </row>
    <row r="417" customFormat="false" ht="17.15" hidden="false" customHeight="false" outlineLevel="0" collapsed="false">
      <c r="A417" s="4" t="s">
        <v>418</v>
      </c>
      <c r="B417" s="0" t="s">
        <v>405</v>
      </c>
      <c r="D417" s="16" t="n">
        <f aca="false">D406/fx/D397</f>
        <v>4.7355819103481</v>
      </c>
      <c r="E417" s="16" t="n">
        <f aca="false">E406/fx/E397</f>
        <v>4.29818371613545</v>
      </c>
      <c r="F417" s="16" t="n">
        <f aca="false">F406/fx/F397</f>
        <v>3.82060774767595</v>
      </c>
      <c r="G417" s="16" t="n">
        <f aca="false">G406/fx/G397</f>
        <v>3.4027287752739</v>
      </c>
    </row>
    <row r="418" customFormat="false" ht="17.15" hidden="false" customHeight="false" outlineLevel="0" collapsed="false">
      <c r="A418" s="4" t="s">
        <v>466</v>
      </c>
      <c r="B418" s="4" t="s">
        <v>416</v>
      </c>
      <c r="D418" s="19" t="n">
        <f aca="false">D404/fx/(odm_gb*(1-vr26)+odm_vr*vr26)</f>
        <v>24.0630682003257</v>
      </c>
      <c r="E418" s="19" t="n">
        <f aca="false">E404/fx/odm_vr</f>
        <v>23.5727342489933</v>
      </c>
      <c r="F418" s="19" t="n">
        <f aca="false">F404/fx/odm_vr</f>
        <v>29.8811929170165</v>
      </c>
      <c r="G418" s="19" t="n">
        <f aca="false">G404/fx/odm_vr</f>
        <v>32.3374327474435</v>
      </c>
      <c r="H418" s="4" t="s">
        <v>467</v>
      </c>
    </row>
    <row r="419" customFormat="false" ht="17.15" hidden="false" customHeight="false" outlineLevel="0" collapsed="false">
      <c r="A419" s="6" t="s">
        <v>468</v>
      </c>
    </row>
    <row r="420" customFormat="false" ht="17.15" hidden="false" customHeight="false" outlineLevel="0" collapsed="false">
      <c r="A420" s="4" t="s">
        <v>469</v>
      </c>
      <c r="B420" s="0" t="s">
        <v>52</v>
      </c>
      <c r="D420" s="14" t="n">
        <f aca="false">a26_gp/D413-d_ai*D415</f>
        <v>0.0621989258510762</v>
      </c>
      <c r="H420" s="8" t="s">
        <v>470</v>
      </c>
    </row>
    <row r="421" customFormat="false" ht="17.15" hidden="false" customHeight="false" outlineLevel="0" collapsed="false">
      <c r="A421" s="0" t="s">
        <v>471</v>
      </c>
      <c r="B421" s="0" t="s">
        <v>209</v>
      </c>
      <c r="D421" s="22" t="n">
        <f aca="false">($D$420+d_ai)*D404*(1-D405*(1-keep))</f>
        <v>202.8236004951</v>
      </c>
      <c r="E421" s="22" t="n">
        <f aca="false">($D$420+d_ai+vrd)*E404*(1-E405*(1-keep))</f>
        <v>278.246386184717</v>
      </c>
      <c r="F421" s="22" t="n">
        <f aca="false">($D$420+d_ai+vrd)*F404*(1-F405*(1-keep))</f>
        <v>349.147056338943</v>
      </c>
      <c r="G421" s="22" t="n">
        <f aca="false">($D$420+d_ai+vrd)*G404*(1-G405*(1-keep))</f>
        <v>375.919220943926</v>
      </c>
      <c r="H421" s="4" t="s">
        <v>472</v>
      </c>
    </row>
    <row r="422" customFormat="false" ht="15" hidden="false" customHeight="false" outlineLevel="0" collapsed="false">
      <c r="A422" s="4" t="s">
        <v>357</v>
      </c>
      <c r="B422" s="0" t="s">
        <v>209</v>
      </c>
      <c r="C422" s="19" t="n">
        <f aca="false">a25_gp</f>
        <v>498.161</v>
      </c>
      <c r="D422" s="19" t="n">
        <f aca="false">a26_gp</f>
        <v>675.8340708</v>
      </c>
      <c r="E422" s="19" t="n">
        <f aca="false">$D$420*E412+E421</f>
        <v>776.252893659395</v>
      </c>
      <c r="F422" s="19" t="n">
        <f aca="false">$D$420*F412+F421</f>
        <v>866.861316182841</v>
      </c>
      <c r="G422" s="19" t="n">
        <f aca="false">$D$420*G412+G421</f>
        <v>910.661657972443</v>
      </c>
    </row>
    <row r="423" customFormat="false" ht="15" hidden="false" customHeight="false" outlineLevel="0" collapsed="false">
      <c r="A423" s="4" t="s">
        <v>360</v>
      </c>
      <c r="B423" s="0" t="s">
        <v>52</v>
      </c>
      <c r="C423" s="14" t="n">
        <f aca="false">C422/C413</f>
        <v>0.0614777915379352</v>
      </c>
      <c r="D423" s="14" t="n">
        <f aca="false">D422/D413</f>
        <v>0.0606089258510762</v>
      </c>
      <c r="E423" s="14" t="n">
        <f aca="false">E422/E413</f>
        <v>0.0616601590044905</v>
      </c>
      <c r="F423" s="14" t="n">
        <f aca="false">F422/F413</f>
        <v>0.064273870028487</v>
      </c>
      <c r="G423" s="14" t="n">
        <f aca="false">G422/G413</f>
        <v>0.0658184758096247</v>
      </c>
    </row>
    <row r="424" customFormat="false" ht="17.15" hidden="false" customHeight="false" outlineLevel="0" collapsed="false">
      <c r="A424" s="0" t="s">
        <v>473</v>
      </c>
      <c r="B424" s="0" t="s">
        <v>52</v>
      </c>
      <c r="D424" s="14" t="n">
        <f aca="false">D421/D406</f>
        <v>0.0571989258510762</v>
      </c>
      <c r="E424" s="14" t="n">
        <f aca="false">E421/E406</f>
        <v>0.0607188184361838</v>
      </c>
      <c r="F424" s="14" t="n">
        <f aca="false">F421/F406</f>
        <v>0.0676186841675683</v>
      </c>
      <c r="G424" s="14" t="n">
        <f aca="false">G421/G406</f>
        <v>0.0717586036063991</v>
      </c>
      <c r="H424" s="4" t="s">
        <v>474</v>
      </c>
    </row>
    <row r="425" customFormat="false" ht="15" hidden="false" customHeight="false" outlineLevel="0" collapsed="false">
      <c r="A425" s="4" t="s">
        <v>475</v>
      </c>
      <c r="B425" s="0" t="s">
        <v>209</v>
      </c>
      <c r="C425" s="19" t="n">
        <f aca="false">a25_opx</f>
        <v>238.938</v>
      </c>
      <c r="D425" s="19" t="n">
        <f aca="false">a26_opx</f>
        <v>254.8304233</v>
      </c>
      <c r="E425" s="19" t="n">
        <f aca="false">D425*(1+MAX(0,phi*E414))</f>
        <v>267.979979214849</v>
      </c>
      <c r="F425" s="19" t="n">
        <f aca="false">E425*(1+MAX(0,phi*F414))</f>
        <v>275.624216171735</v>
      </c>
      <c r="G425" s="19" t="n">
        <f aca="false">F425*(1+MAX(0,phi*G414))</f>
        <v>278.476825664484</v>
      </c>
    </row>
    <row r="426" customFormat="false" ht="15" hidden="false" customHeight="false" outlineLevel="0" collapsed="false">
      <c r="A426" s="4" t="s">
        <v>361</v>
      </c>
      <c r="B426" s="0" t="s">
        <v>209</v>
      </c>
      <c r="C426" s="19" t="n">
        <f aca="false">C425</f>
        <v>238.938</v>
      </c>
      <c r="D426" s="19" t="n">
        <f aca="false">D425</f>
        <v>254.8304233</v>
      </c>
      <c r="E426" s="19" t="n">
        <f aca="false">E425+0*E413</f>
        <v>267.979979214849</v>
      </c>
      <c r="F426" s="19" t="n">
        <f aca="false">F425+0*F413</f>
        <v>275.624216171735</v>
      </c>
      <c r="G426" s="19" t="n">
        <f aca="false">G425+0*G413</f>
        <v>278.476825664484</v>
      </c>
    </row>
    <row r="427" customFormat="false" ht="15" hidden="false" customHeight="false" outlineLevel="0" collapsed="false">
      <c r="A427" s="4" t="s">
        <v>364</v>
      </c>
      <c r="B427" s="0" t="s">
        <v>209</v>
      </c>
      <c r="C427" s="19" t="n">
        <f aca="false">C422-C426</f>
        <v>259.223</v>
      </c>
      <c r="D427" s="19" t="n">
        <f aca="false">D422-D426</f>
        <v>421.0036475</v>
      </c>
      <c r="E427" s="19" t="n">
        <f aca="false">E422-E426</f>
        <v>508.272914444546</v>
      </c>
      <c r="F427" s="19" t="n">
        <f aca="false">F422-F426</f>
        <v>591.237100011105</v>
      </c>
      <c r="G427" s="19" t="n">
        <f aca="false">G422-G426</f>
        <v>632.184832307959</v>
      </c>
    </row>
    <row r="428" customFormat="false" ht="15" hidden="false" customHeight="false" outlineLevel="0" collapsed="false">
      <c r="A428" s="4" t="s">
        <v>367</v>
      </c>
      <c r="B428" s="0" t="s">
        <v>52</v>
      </c>
      <c r="C428" s="14" t="n">
        <f aca="false">C427/C413</f>
        <v>0.0319905764518663</v>
      </c>
      <c r="D428" s="14" t="n">
        <f aca="false">D427/D413</f>
        <v>0.0377556858359561</v>
      </c>
      <c r="E428" s="14" t="n">
        <f aca="false">E427/E413</f>
        <v>0.0403736836001773</v>
      </c>
      <c r="F428" s="14" t="n">
        <f aca="false">F427/F413</f>
        <v>0.0438375733381071</v>
      </c>
      <c r="G428" s="14" t="n">
        <f aca="false">G427/G413</f>
        <v>0.0456914395464008</v>
      </c>
    </row>
    <row r="429" customFormat="false" ht="17.15" hidden="false" customHeight="false" outlineLevel="0" collapsed="false">
      <c r="A429" s="4" t="s">
        <v>243</v>
      </c>
      <c r="B429" s="0" t="s">
        <v>52</v>
      </c>
      <c r="C429" s="15" t="n">
        <f aca="false">a25_ni/a25_oi</f>
        <v>0.730467589681471</v>
      </c>
      <c r="D429" s="15" t="n">
        <f aca="false">a26_ni/a26_oi</f>
        <v>0.653811645064191</v>
      </c>
      <c r="E429" s="15" t="n">
        <f aca="false">nio_f</f>
        <v>0.66</v>
      </c>
      <c r="F429" s="15" t="n">
        <f aca="false">nio_f</f>
        <v>0.66</v>
      </c>
      <c r="G429" s="15" t="n">
        <f aca="false">nio_f</f>
        <v>0.66</v>
      </c>
    </row>
    <row r="430" customFormat="false" ht="15" hidden="false" customHeight="false" outlineLevel="0" collapsed="false">
      <c r="A430" s="4" t="s">
        <v>368</v>
      </c>
      <c r="B430" s="0" t="s">
        <v>209</v>
      </c>
      <c r="C430" s="19" t="n">
        <f aca="false">a25_ni</f>
        <v>189.354</v>
      </c>
      <c r="D430" s="19" t="n">
        <f aca="false">a26_ni</f>
        <v>275.25708735</v>
      </c>
      <c r="E430" s="19" t="n">
        <f aca="false">E427*E429</f>
        <v>335.460123533401</v>
      </c>
      <c r="F430" s="19" t="n">
        <f aca="false">F427*F429</f>
        <v>390.21648600733</v>
      </c>
      <c r="G430" s="19" t="n">
        <f aca="false">G427*G429</f>
        <v>417.241989323253</v>
      </c>
    </row>
    <row r="431" customFormat="false" ht="15" hidden="false" customHeight="false" outlineLevel="0" collapsed="false">
      <c r="A431" s="4" t="s">
        <v>476</v>
      </c>
      <c r="B431" s="4" t="s">
        <v>230</v>
      </c>
      <c r="C431" s="23" t="n">
        <f aca="false">a25_sh</f>
        <v>13.9128581925055</v>
      </c>
      <c r="D431" s="23" t="n">
        <f aca="false">a26_sh</f>
        <v>14.0169642857143</v>
      </c>
      <c r="E431" s="23" t="n">
        <f aca="false">D431*(1+sh_g)</f>
        <v>14.0169642857143</v>
      </c>
      <c r="F431" s="23" t="n">
        <f aca="false">E431*(1+sh_g)</f>
        <v>14.0169642857143</v>
      </c>
      <c r="G431" s="23" t="n">
        <f aca="false">F431*(1+sh_g)</f>
        <v>14.0169642857143</v>
      </c>
    </row>
    <row r="432" customFormat="false" ht="15" hidden="false" customHeight="false" outlineLevel="0" collapsed="false">
      <c r="A432" s="0" t="s">
        <v>374</v>
      </c>
      <c r="B432" s="0" t="s">
        <v>260</v>
      </c>
      <c r="C432" s="22" t="n">
        <f aca="false">C430/C431</f>
        <v>13.61</v>
      </c>
      <c r="D432" s="22" t="n">
        <f aca="false">D430/D431</f>
        <v>19.6374251756163</v>
      </c>
      <c r="E432" s="22" t="n">
        <f aca="false">E430/E431</f>
        <v>23.9324376302573</v>
      </c>
      <c r="F432" s="22" t="n">
        <f aca="false">F430/F431</f>
        <v>27.8388728153519</v>
      </c>
      <c r="G432" s="22" t="n">
        <f aca="false">G430/G431</f>
        <v>29.7669296160293</v>
      </c>
    </row>
    <row r="433" customFormat="false" ht="17.15" hidden="false" customHeight="false" outlineLevel="0" collapsed="false">
      <c r="A433" s="0" t="s">
        <v>477</v>
      </c>
      <c r="B433" s="0" t="s">
        <v>52</v>
      </c>
      <c r="D433" s="15" t="n">
        <f aca="false">D432/C432-1</f>
        <v>0.442867389832203</v>
      </c>
      <c r="E433" s="15" t="n">
        <f aca="false">E432/D432-1</f>
        <v>0.218715662375843</v>
      </c>
      <c r="F433" s="15" t="n">
        <f aca="false">F432/E432-1</f>
        <v>0.163227634620713</v>
      </c>
      <c r="G433" s="15" t="n">
        <f aca="false">G432/F432-1</f>
        <v>0.0692577179207543</v>
      </c>
    </row>
    <row r="436" customFormat="false" ht="17.15" hidden="false" customHeight="false" outlineLevel="0" collapsed="false">
      <c r="A436" s="1" t="s">
        <v>793</v>
      </c>
    </row>
    <row r="437" customFormat="false" ht="17.15" hidden="false" customHeight="false" outlineLevel="0" collapsed="false">
      <c r="A437" s="5" t="s">
        <v>21</v>
      </c>
      <c r="B437" s="5" t="s">
        <v>22</v>
      </c>
      <c r="C437" s="11" t="s">
        <v>347</v>
      </c>
      <c r="D437" s="11" t="s">
        <v>429</v>
      </c>
      <c r="E437" s="11" t="s">
        <v>430</v>
      </c>
      <c r="F437" s="11" t="s">
        <v>431</v>
      </c>
      <c r="G437" s="11" t="s">
        <v>432</v>
      </c>
      <c r="H437" s="5" t="s">
        <v>400</v>
      </c>
    </row>
    <row r="438" customFormat="false" ht="17.15" hidden="false" customHeight="false" outlineLevel="0" collapsed="false">
      <c r="A438" s="6" t="s">
        <v>446</v>
      </c>
    </row>
    <row r="439" customFormat="false" ht="17.15" hidden="false" customHeight="false" outlineLevel="0" collapsed="false">
      <c r="A439" s="0" t="s">
        <v>447</v>
      </c>
      <c r="B439" s="0" t="s">
        <v>32</v>
      </c>
      <c r="D439" s="22" t="n">
        <f aca="false">itc_26*1</f>
        <v>781.872916666666</v>
      </c>
      <c r="E439" s="22" t="n">
        <f aca="false">itc_27*1*mf_hi</f>
        <v>1878.42</v>
      </c>
      <c r="F439" s="22" t="n">
        <f aca="false">itc_28*um28_A*mf_hi</f>
        <v>2381.11666666667</v>
      </c>
      <c r="G439" s="22" t="n">
        <f aca="false">itc_29*um29_A*mf_hi</f>
        <v>2712.46833333334</v>
      </c>
    </row>
    <row r="440" customFormat="false" ht="17.15" hidden="false" customHeight="false" outlineLevel="0" collapsed="false">
      <c r="A440" s="4" t="s">
        <v>448</v>
      </c>
      <c r="B440" s="0" t="s">
        <v>32</v>
      </c>
      <c r="D440" s="22" t="n">
        <f aca="false">itpg_gb*(1-vr26)+itpg_vr*vr26</f>
        <v>33.41403216</v>
      </c>
      <c r="E440" s="22" t="n">
        <f aca="false">itpg_vr</f>
        <v>37.586352</v>
      </c>
      <c r="F440" s="22" t="n">
        <f aca="false">itpg_vr</f>
        <v>37.586352</v>
      </c>
      <c r="G440" s="22" t="n">
        <f aca="false">itpg_vr</f>
        <v>37.586352</v>
      </c>
    </row>
    <row r="441" customFormat="false" ht="17.15" hidden="false" customHeight="false" outlineLevel="0" collapsed="false">
      <c r="A441" s="4" t="s">
        <v>449</v>
      </c>
      <c r="B441" s="0" t="s">
        <v>402</v>
      </c>
      <c r="D441" s="18" t="n">
        <f aca="false">D439/D440</f>
        <v>23.3995380420639</v>
      </c>
      <c r="E441" s="18" t="n">
        <f aca="false">E439/E440</f>
        <v>49.9761189912764</v>
      </c>
      <c r="F441" s="18" t="n">
        <f aca="false">F439/F440</f>
        <v>63.3505658294976</v>
      </c>
      <c r="G441" s="18" t="n">
        <f aca="false">G439/G440</f>
        <v>72.1663100833339</v>
      </c>
    </row>
    <row r="442" customFormat="false" ht="17.15" hidden="false" customHeight="false" outlineLevel="0" collapsed="false">
      <c r="A442" s="4" t="s">
        <v>404</v>
      </c>
      <c r="B442" s="0" t="s">
        <v>405</v>
      </c>
      <c r="D442" s="16" t="n">
        <f aca="false">(racks_gb*odm_gb*(1-vr26)+racks_vr*odm_vr*vr26)/1000</f>
        <v>27.1209</v>
      </c>
      <c r="E442" s="16" t="n">
        <f aca="false">racks_vr*odm_vr/1000</f>
        <v>27.351</v>
      </c>
      <c r="F442" s="16" t="n">
        <f aca="false">$E442*vpg_28</f>
        <v>27.351</v>
      </c>
      <c r="G442" s="16" t="n">
        <f aca="false">$E442*vpg_29</f>
        <v>27.351</v>
      </c>
      <c r="H442" s="4" t="s">
        <v>450</v>
      </c>
    </row>
    <row r="443" customFormat="false" ht="17.15" hidden="false" customHeight="false" outlineLevel="0" collapsed="false">
      <c r="A443" s="0" t="s">
        <v>451</v>
      </c>
      <c r="B443" s="0" t="s">
        <v>32</v>
      </c>
      <c r="D443" s="19" t="n">
        <f aca="false">D441*D442</f>
        <v>634.61653128501</v>
      </c>
      <c r="E443" s="19" t="n">
        <f aca="false">E441*E442</f>
        <v>1366.8968305304</v>
      </c>
      <c r="F443" s="19" t="n">
        <f aca="false">F441*F442</f>
        <v>1732.70132600259</v>
      </c>
      <c r="G443" s="19" t="n">
        <f aca="false">G441*G442</f>
        <v>1973.82074708926</v>
      </c>
    </row>
    <row r="444" customFormat="false" ht="17.15" hidden="false" customHeight="false" outlineLevel="0" collapsed="false">
      <c r="A444" s="0" t="s">
        <v>452</v>
      </c>
      <c r="B444" s="0" t="s">
        <v>209</v>
      </c>
      <c r="D444" s="19" t="n">
        <f aca="false">D443*fx</f>
        <v>20307.7290011203</v>
      </c>
      <c r="E444" s="19" t="n">
        <f aca="false">E443*fx</f>
        <v>43740.6985769728</v>
      </c>
      <c r="F444" s="19" t="n">
        <f aca="false">F443*fx</f>
        <v>55446.4424320828</v>
      </c>
      <c r="G444" s="19" t="n">
        <f aca="false">G443*fx</f>
        <v>63162.2639068565</v>
      </c>
    </row>
    <row r="445" customFormat="false" ht="17.15" hidden="false" customHeight="false" outlineLevel="0" collapsed="false">
      <c r="A445" s="4" t="s">
        <v>453</v>
      </c>
      <c r="B445" s="0" t="s">
        <v>52</v>
      </c>
      <c r="D445" s="15" t="n">
        <f aca="false">a26_ai/D444</f>
        <v>0.174610057569922</v>
      </c>
      <c r="H445" s="8" t="s">
        <v>454</v>
      </c>
    </row>
    <row r="446" customFormat="false" ht="17.15" hidden="false" customHeight="false" outlineLevel="0" collapsed="false">
      <c r="A446" s="4" t="s">
        <v>455</v>
      </c>
      <c r="B446" s="0" t="s">
        <v>71</v>
      </c>
      <c r="D446" s="16" t="n">
        <f aca="false">1</f>
        <v>1</v>
      </c>
      <c r="E446" s="16" t="n">
        <f aca="false">rel_27</f>
        <v>1</v>
      </c>
      <c r="F446" s="16" t="n">
        <f aca="false">rel_28</f>
        <v>1</v>
      </c>
      <c r="G446" s="16" t="n">
        <f aca="false">rel_29</f>
        <v>0.95</v>
      </c>
    </row>
    <row r="447" customFormat="false" ht="15" hidden="false" customHeight="false" outlineLevel="0" collapsed="false">
      <c r="A447" s="4" t="s">
        <v>456</v>
      </c>
      <c r="B447" s="0" t="s">
        <v>52</v>
      </c>
      <c r="D447" s="15" t="n">
        <f aca="false">$D$445*D446</f>
        <v>0.174610057569922</v>
      </c>
      <c r="E447" s="15" t="n">
        <f aca="false">$D$445*E446</f>
        <v>0.174610057569922</v>
      </c>
      <c r="F447" s="15" t="n">
        <f aca="false">$D$445*F446</f>
        <v>0.174610057569922</v>
      </c>
      <c r="G447" s="15" t="n">
        <f aca="false">$D$445*G446</f>
        <v>0.165879554691426</v>
      </c>
    </row>
    <row r="448" customFormat="false" ht="17.15" hidden="false" customHeight="false" outlineLevel="0" collapsed="false">
      <c r="A448" s="0" t="s">
        <v>457</v>
      </c>
      <c r="B448" s="0" t="s">
        <v>209</v>
      </c>
      <c r="D448" s="19" t="n">
        <f aca="false">D444*D447</f>
        <v>3545.93373</v>
      </c>
      <c r="E448" s="19" t="n">
        <f aca="false">E444*E447</f>
        <v>7637.56589667384</v>
      </c>
      <c r="F448" s="19" t="n">
        <f aca="false">F444*F447</f>
        <v>9681.50650511336</v>
      </c>
      <c r="G448" s="19" t="n">
        <f aca="false">G444*G447</f>
        <v>10477.3282101717</v>
      </c>
    </row>
    <row r="449" customFormat="false" ht="17.15" hidden="false" customHeight="false" outlineLevel="0" collapsed="false">
      <c r="A449" s="4" t="s">
        <v>458</v>
      </c>
      <c r="B449" s="0" t="s">
        <v>52</v>
      </c>
      <c r="D449" s="15" t="n">
        <f aca="false">0</f>
        <v>0</v>
      </c>
      <c r="E449" s="15" t="n">
        <f aca="false">cs_27</f>
        <v>0.1</v>
      </c>
      <c r="F449" s="15" t="n">
        <f aca="false">cs_28</f>
        <v>0.2</v>
      </c>
      <c r="G449" s="15" t="n">
        <f aca="false">cs_29</f>
        <v>0.25</v>
      </c>
      <c r="H449" s="8" t="s">
        <v>459</v>
      </c>
    </row>
    <row r="450" customFormat="false" ht="17.15" hidden="false" customHeight="false" outlineLevel="0" collapsed="false">
      <c r="A450" s="0" t="s">
        <v>460</v>
      </c>
      <c r="B450" s="0" t="s">
        <v>209</v>
      </c>
      <c r="C450" s="19" t="n">
        <f aca="false">a25_ai</f>
        <v>1620.621</v>
      </c>
      <c r="D450" s="19" t="n">
        <f aca="false">D448*(1-D449)</f>
        <v>3545.93373</v>
      </c>
      <c r="E450" s="19" t="n">
        <f aca="false">E448*(1-E449)</f>
        <v>6873.80930700646</v>
      </c>
      <c r="F450" s="19" t="n">
        <f aca="false">F448*(1-F449)</f>
        <v>7745.20520409069</v>
      </c>
      <c r="G450" s="19" t="n">
        <f aca="false">G448*(1-G449)</f>
        <v>7857.99615762876</v>
      </c>
    </row>
    <row r="451" customFormat="false" ht="17.15" hidden="false" customHeight="false" outlineLevel="0" collapsed="false">
      <c r="A451" s="6" t="s">
        <v>461</v>
      </c>
    </row>
    <row r="452" customFormat="false" ht="17.15" hidden="false" customHeight="false" outlineLevel="0" collapsed="false">
      <c r="A452" s="4" t="s">
        <v>382</v>
      </c>
      <c r="B452" s="0" t="s">
        <v>209</v>
      </c>
      <c r="C452" s="19" t="n">
        <f aca="false">a25_cn</f>
        <v>1620.621</v>
      </c>
      <c r="D452" s="19" t="n">
        <f aca="false">a26_cn</f>
        <v>2363.95582</v>
      </c>
      <c r="E452" s="19" t="n">
        <f aca="false">D452*(1+g_cn27)</f>
        <v>2647.6305184</v>
      </c>
      <c r="F452" s="19" t="n">
        <f aca="false">E452*(1+g_cn28)</f>
        <v>2859.440959872</v>
      </c>
      <c r="G452" s="19" t="n">
        <f aca="false">F452*(1+g_cn29)</f>
        <v>3031.00741746432</v>
      </c>
    </row>
    <row r="453" customFormat="false" ht="17.15" hidden="false" customHeight="false" outlineLevel="0" collapsed="false">
      <c r="A453" s="4" t="s">
        <v>383</v>
      </c>
      <c r="B453" s="0" t="s">
        <v>209</v>
      </c>
      <c r="C453" s="19" t="n">
        <f aca="false">a25_ce</f>
        <v>3079.1799</v>
      </c>
      <c r="D453" s="19" t="n">
        <f aca="false">a26_ce</f>
        <v>3345.2205</v>
      </c>
      <c r="E453" s="19" t="n">
        <f aca="false">D453*(1+g_ce27)</f>
        <v>3445.577115</v>
      </c>
      <c r="F453" s="19" t="n">
        <f aca="false">E453*(1+g_ce28)</f>
        <v>3514.4886573</v>
      </c>
      <c r="G453" s="19" t="n">
        <f aca="false">F453*(1+g_ce29)</f>
        <v>3584.778430446</v>
      </c>
    </row>
    <row r="454" customFormat="false" ht="15" hidden="false" customHeight="false" outlineLevel="0" collapsed="false">
      <c r="A454" s="4" t="s">
        <v>384</v>
      </c>
      <c r="B454" s="0" t="s">
        <v>209</v>
      </c>
      <c r="C454" s="19" t="n">
        <f aca="false">a25_pc</f>
        <v>1215.46575</v>
      </c>
      <c r="D454" s="19" t="n">
        <f aca="false">a26_pc</f>
        <v>1338.0882</v>
      </c>
      <c r="E454" s="19" t="n">
        <f aca="false">D454*(1+g_pc27)</f>
        <v>1311.326436</v>
      </c>
      <c r="F454" s="19" t="n">
        <f aca="false">E454*(1+g_pc28)</f>
        <v>1311.326436</v>
      </c>
      <c r="G454" s="19" t="n">
        <f aca="false">F454*(1+g_pc29)</f>
        <v>1311.326436</v>
      </c>
    </row>
    <row r="455" customFormat="false" ht="15" hidden="false" customHeight="false" outlineLevel="0" collapsed="false">
      <c r="A455" s="4" t="s">
        <v>462</v>
      </c>
      <c r="B455" s="0" t="s">
        <v>209</v>
      </c>
      <c r="C455" s="19" t="n">
        <f aca="false">a25_co</f>
        <v>567.217349999999</v>
      </c>
      <c r="D455" s="19" t="n">
        <f aca="false">a26_co</f>
        <v>557.53675</v>
      </c>
      <c r="E455" s="19" t="n">
        <f aca="false">D455*(1+g_co27)</f>
        <v>602.13969</v>
      </c>
      <c r="F455" s="19" t="n">
        <f aca="false">E455*(1+g_co28)</f>
        <v>638.2680714</v>
      </c>
      <c r="G455" s="19" t="n">
        <f aca="false">F455*(1+g_co29)</f>
        <v>670.18147497</v>
      </c>
    </row>
    <row r="456" customFormat="false" ht="17.15" hidden="false" customHeight="false" outlineLevel="0" collapsed="false">
      <c r="A456" s="4" t="s">
        <v>387</v>
      </c>
      <c r="B456" s="0" t="s">
        <v>209</v>
      </c>
      <c r="C456" s="19" t="n">
        <f aca="false">SUM(C452:C455)</f>
        <v>6482.484</v>
      </c>
      <c r="D456" s="19" t="n">
        <f aca="false">SUM(D452:D455)</f>
        <v>7604.80127</v>
      </c>
      <c r="E456" s="19" t="n">
        <f aca="false">SUM(E452:E455)</f>
        <v>8006.6737594</v>
      </c>
      <c r="F456" s="19" t="n">
        <f aca="false">SUM(F452:F455)</f>
        <v>8323.524124572</v>
      </c>
      <c r="G456" s="19" t="n">
        <f aca="false">SUM(G452:G455)</f>
        <v>8597.29375888032</v>
      </c>
    </row>
    <row r="457" customFormat="false" ht="15" hidden="false" customHeight="false" outlineLevel="0" collapsed="false">
      <c r="A457" s="4" t="s">
        <v>353</v>
      </c>
      <c r="B457" s="0" t="s">
        <v>209</v>
      </c>
      <c r="C457" s="19" t="n">
        <f aca="false">C450+C456</f>
        <v>8103.105</v>
      </c>
      <c r="D457" s="19" t="n">
        <f aca="false">D450+D456</f>
        <v>11150.735</v>
      </c>
      <c r="E457" s="19" t="n">
        <f aca="false">E450+E456</f>
        <v>14880.4830664065</v>
      </c>
      <c r="F457" s="19" t="n">
        <f aca="false">F450+F456</f>
        <v>16068.7293286627</v>
      </c>
      <c r="G457" s="19" t="n">
        <f aca="false">G450+G456</f>
        <v>16455.2899165091</v>
      </c>
    </row>
    <row r="458" customFormat="false" ht="15" hidden="false" customHeight="false" outlineLevel="0" collapsed="false">
      <c r="A458" s="4" t="s">
        <v>463</v>
      </c>
      <c r="B458" s="0" t="s">
        <v>52</v>
      </c>
      <c r="D458" s="15" t="n">
        <f aca="false">D457/C457-1</f>
        <v>0.376106443147411</v>
      </c>
      <c r="E458" s="15" t="n">
        <f aca="false">E457/D457-1</f>
        <v>0.334484504062419</v>
      </c>
      <c r="F458" s="15" t="n">
        <f aca="false">F457/E457-1</f>
        <v>0.0798526672120454</v>
      </c>
      <c r="G458" s="15" t="n">
        <f aca="false">G457/F457-1</f>
        <v>0.0240566991913207</v>
      </c>
    </row>
    <row r="459" customFormat="false" ht="17.15" hidden="false" customHeight="false" outlineLevel="0" collapsed="false">
      <c r="A459" s="0" t="s">
        <v>464</v>
      </c>
      <c r="B459" s="0" t="s">
        <v>52</v>
      </c>
      <c r="C459" s="15" t="n">
        <f aca="false">C450/C457</f>
        <v>0.2</v>
      </c>
      <c r="D459" s="15" t="n">
        <f aca="false">D450/D457</f>
        <v>0.318</v>
      </c>
      <c r="E459" s="15" t="n">
        <f aca="false">E450/E457</f>
        <v>0.461934553893917</v>
      </c>
      <c r="F459" s="15" t="n">
        <f aca="false">F450/F457</f>
        <v>0.482004833467145</v>
      </c>
      <c r="G459" s="15" t="n">
        <f aca="false">G450/G457</f>
        <v>0.477536172106277</v>
      </c>
    </row>
    <row r="460" customFormat="false" ht="17.15" hidden="false" customHeight="false" outlineLevel="0" collapsed="false">
      <c r="A460" s="4" t="s">
        <v>465</v>
      </c>
      <c r="B460" s="0" t="s">
        <v>52</v>
      </c>
      <c r="C460" s="15" t="n">
        <f aca="false">(C450+C452)/C457</f>
        <v>0.4</v>
      </c>
      <c r="D460" s="15" t="n">
        <f aca="false">(D450+D452)/D457</f>
        <v>0.53</v>
      </c>
      <c r="E460" s="15" t="n">
        <f aca="false">(E450+E452)/E457</f>
        <v>0.639860936161518</v>
      </c>
      <c r="F460" s="15" t="n">
        <f aca="false">(F450+F452)/F457</f>
        <v>0.659955491629733</v>
      </c>
      <c r="G460" s="15" t="n">
        <f aca="false">(G450+G452)/G457</f>
        <v>0.661732709076641</v>
      </c>
    </row>
    <row r="461" customFormat="false" ht="17.15" hidden="false" customHeight="false" outlineLevel="0" collapsed="false">
      <c r="A461" s="4" t="s">
        <v>418</v>
      </c>
      <c r="B461" s="0" t="s">
        <v>405</v>
      </c>
      <c r="D461" s="16" t="n">
        <f aca="false">D450/fx/D441</f>
        <v>4.7355819103481</v>
      </c>
      <c r="E461" s="16" t="n">
        <f aca="false">E450/fx/E441</f>
        <v>4.29818371613545</v>
      </c>
      <c r="F461" s="16" t="n">
        <f aca="false">F450/fx/F441</f>
        <v>3.82060774767595</v>
      </c>
      <c r="G461" s="16" t="n">
        <f aca="false">G450/fx/G441</f>
        <v>3.4027287752739</v>
      </c>
    </row>
    <row r="462" customFormat="false" ht="17.15" hidden="false" customHeight="false" outlineLevel="0" collapsed="false">
      <c r="A462" s="4" t="s">
        <v>466</v>
      </c>
      <c r="B462" s="4" t="s">
        <v>416</v>
      </c>
      <c r="D462" s="19" t="n">
        <f aca="false">D448/fx/(odm_gb*(1-vr26)+odm_vr*vr26)</f>
        <v>24.0630682003257</v>
      </c>
      <c r="E462" s="19" t="n">
        <f aca="false">E448/fx/odm_vr</f>
        <v>35.35910137349</v>
      </c>
      <c r="F462" s="19" t="n">
        <f aca="false">F448/fx/odm_vr</f>
        <v>44.8217893755248</v>
      </c>
      <c r="G462" s="19" t="n">
        <f aca="false">G448/fx/odm_vr</f>
        <v>48.5061491211652</v>
      </c>
      <c r="H462" s="4" t="s">
        <v>467</v>
      </c>
    </row>
    <row r="463" customFormat="false" ht="17.15" hidden="false" customHeight="false" outlineLevel="0" collapsed="false">
      <c r="A463" s="6" t="s">
        <v>468</v>
      </c>
    </row>
    <row r="464" customFormat="false" ht="17.15" hidden="false" customHeight="false" outlineLevel="0" collapsed="false">
      <c r="A464" s="4" t="s">
        <v>469</v>
      </c>
      <c r="B464" s="0" t="s">
        <v>52</v>
      </c>
      <c r="D464" s="14" t="n">
        <f aca="false">a26_gp/D457-d_ai*D459</f>
        <v>0.0621989258510762</v>
      </c>
      <c r="H464" s="8" t="s">
        <v>470</v>
      </c>
    </row>
    <row r="465" customFormat="false" ht="17.15" hidden="false" customHeight="false" outlineLevel="0" collapsed="false">
      <c r="A465" s="0" t="s">
        <v>471</v>
      </c>
      <c r="B465" s="0" t="s">
        <v>209</v>
      </c>
      <c r="D465" s="22" t="n">
        <f aca="false">($D$464+d_ai)*D448*(1-D449*(1-keep))</f>
        <v>202.8236004951</v>
      </c>
      <c r="E465" s="22" t="n">
        <f aca="false">($D$464+d_ai+vrd)*E448*(1-E449*(1-keep))</f>
        <v>417.369579277076</v>
      </c>
      <c r="F465" s="22" t="n">
        <f aca="false">($D$464+d_ai+vrd)*F448*(1-F449*(1-keep))</f>
        <v>523.720584508415</v>
      </c>
      <c r="G465" s="22" t="n">
        <f aca="false">($D$464+d_ai+vrd)*G448*(1-G449*(1-keep))</f>
        <v>563.878831415889</v>
      </c>
      <c r="H465" s="4" t="s">
        <v>472</v>
      </c>
    </row>
    <row r="466" customFormat="false" ht="15" hidden="false" customHeight="false" outlineLevel="0" collapsed="false">
      <c r="A466" s="4" t="s">
        <v>357</v>
      </c>
      <c r="B466" s="0" t="s">
        <v>209</v>
      </c>
      <c r="C466" s="19" t="n">
        <f aca="false">a25_gp</f>
        <v>498.161</v>
      </c>
      <c r="D466" s="19" t="n">
        <f aca="false">a26_gp</f>
        <v>675.8340708</v>
      </c>
      <c r="E466" s="19" t="n">
        <f aca="false">$D$464*E456+E465</f>
        <v>915.376086751754</v>
      </c>
      <c r="F466" s="19" t="n">
        <f aca="false">$D$464*F456+F465</f>
        <v>1041.43484435231</v>
      </c>
      <c r="G466" s="19" t="n">
        <f aca="false">$D$464*G456+G465</f>
        <v>1098.62126844441</v>
      </c>
    </row>
    <row r="467" customFormat="false" ht="15" hidden="false" customHeight="false" outlineLevel="0" collapsed="false">
      <c r="A467" s="4" t="s">
        <v>360</v>
      </c>
      <c r="B467" s="0" t="s">
        <v>52</v>
      </c>
      <c r="C467" s="14" t="n">
        <f aca="false">C466/C457</f>
        <v>0.0614777915379352</v>
      </c>
      <c r="D467" s="14" t="n">
        <f aca="false">D466/D457</f>
        <v>0.0606089258510762</v>
      </c>
      <c r="E467" s="14" t="n">
        <f aca="false">E466/E457</f>
        <v>0.0615152130926628</v>
      </c>
      <c r="F467" s="14" t="n">
        <f aca="false">F466/F457</f>
        <v>0.0648112755558492</v>
      </c>
      <c r="G467" s="14" t="n">
        <f aca="false">G466/G457</f>
        <v>0.0667640177729226</v>
      </c>
    </row>
    <row r="468" customFormat="false" ht="17.15" hidden="false" customHeight="false" outlineLevel="0" collapsed="false">
      <c r="A468" s="0" t="s">
        <v>473</v>
      </c>
      <c r="B468" s="0" t="s">
        <v>52</v>
      </c>
      <c r="D468" s="14" t="n">
        <f aca="false">D465/D450</f>
        <v>0.0571989258510762</v>
      </c>
      <c r="E468" s="14" t="n">
        <f aca="false">E465/E450</f>
        <v>0.0607188184361838</v>
      </c>
      <c r="F468" s="14" t="n">
        <f aca="false">F465/F450</f>
        <v>0.0676186841675683</v>
      </c>
      <c r="G468" s="14" t="n">
        <f aca="false">G465/G450</f>
        <v>0.0717586036063991</v>
      </c>
      <c r="H468" s="4" t="s">
        <v>474</v>
      </c>
    </row>
    <row r="469" customFormat="false" ht="15" hidden="false" customHeight="false" outlineLevel="0" collapsed="false">
      <c r="A469" s="4" t="s">
        <v>475</v>
      </c>
      <c r="B469" s="0" t="s">
        <v>209</v>
      </c>
      <c r="C469" s="19" t="n">
        <f aca="false">a25_opx</f>
        <v>238.938</v>
      </c>
      <c r="D469" s="19" t="n">
        <f aca="false">a26_opx</f>
        <v>254.8304233</v>
      </c>
      <c r="E469" s="19" t="n">
        <f aca="false">D469*(1+MAX(0,phi*E458))</f>
        <v>288.925154403007</v>
      </c>
      <c r="F469" s="19" t="n">
        <f aca="false">E469*(1+MAX(0,phi*F458))</f>
        <v>298.1537320845</v>
      </c>
      <c r="G469" s="19" t="n">
        <f aca="false">F469*(1+MAX(0,phi*G458))</f>
        <v>301.02276994271</v>
      </c>
    </row>
    <row r="470" customFormat="false" ht="15" hidden="false" customHeight="false" outlineLevel="0" collapsed="false">
      <c r="A470" s="4" t="s">
        <v>361</v>
      </c>
      <c r="B470" s="0" t="s">
        <v>209</v>
      </c>
      <c r="C470" s="19" t="n">
        <f aca="false">C469</f>
        <v>238.938</v>
      </c>
      <c r="D470" s="19" t="n">
        <f aca="false">D469</f>
        <v>254.8304233</v>
      </c>
      <c r="E470" s="19" t="n">
        <f aca="false">E469+0*E457</f>
        <v>288.925154403007</v>
      </c>
      <c r="F470" s="19" t="n">
        <f aca="false">F469+0*F457</f>
        <v>298.1537320845</v>
      </c>
      <c r="G470" s="19" t="n">
        <f aca="false">G469+0*G457</f>
        <v>301.02276994271</v>
      </c>
    </row>
    <row r="471" customFormat="false" ht="15" hidden="false" customHeight="false" outlineLevel="0" collapsed="false">
      <c r="A471" s="4" t="s">
        <v>364</v>
      </c>
      <c r="B471" s="0" t="s">
        <v>209</v>
      </c>
      <c r="C471" s="19" t="n">
        <f aca="false">C466-C470</f>
        <v>259.223</v>
      </c>
      <c r="D471" s="19" t="n">
        <f aca="false">D466-D470</f>
        <v>421.0036475</v>
      </c>
      <c r="E471" s="19" t="n">
        <f aca="false">E466-E470</f>
        <v>626.450932348747</v>
      </c>
      <c r="F471" s="19" t="n">
        <f aca="false">F466-F470</f>
        <v>743.281112267813</v>
      </c>
      <c r="G471" s="19" t="n">
        <f aca="false">G466-G470</f>
        <v>797.598498501696</v>
      </c>
    </row>
    <row r="472" customFormat="false" ht="15" hidden="false" customHeight="false" outlineLevel="0" collapsed="false">
      <c r="A472" s="4" t="s">
        <v>367</v>
      </c>
      <c r="B472" s="0" t="s">
        <v>52</v>
      </c>
      <c r="C472" s="14" t="n">
        <f aca="false">C471/C457</f>
        <v>0.0319905764518663</v>
      </c>
      <c r="D472" s="14" t="n">
        <f aca="false">D471/D457</f>
        <v>0.0377556858359561</v>
      </c>
      <c r="E472" s="14" t="n">
        <f aca="false">E471/E457</f>
        <v>0.0420988303641161</v>
      </c>
      <c r="F472" s="14" t="n">
        <f aca="false">F471/F457</f>
        <v>0.0462563714320572</v>
      </c>
      <c r="G472" s="14" t="n">
        <f aca="false">G471/G457</f>
        <v>0.0484706439417692</v>
      </c>
    </row>
    <row r="473" customFormat="false" ht="17.15" hidden="false" customHeight="false" outlineLevel="0" collapsed="false">
      <c r="A473" s="4" t="s">
        <v>243</v>
      </c>
      <c r="B473" s="0" t="s">
        <v>52</v>
      </c>
      <c r="C473" s="15" t="n">
        <f aca="false">a25_ni/a25_oi</f>
        <v>0.730467589681471</v>
      </c>
      <c r="D473" s="15" t="n">
        <f aca="false">a26_ni/a26_oi</f>
        <v>0.653811645064191</v>
      </c>
      <c r="E473" s="15" t="n">
        <f aca="false">nio_f</f>
        <v>0.66</v>
      </c>
      <c r="F473" s="15" t="n">
        <f aca="false">nio_f</f>
        <v>0.66</v>
      </c>
      <c r="G473" s="15" t="n">
        <f aca="false">nio_f</f>
        <v>0.66</v>
      </c>
    </row>
    <row r="474" customFormat="false" ht="15" hidden="false" customHeight="false" outlineLevel="0" collapsed="false">
      <c r="A474" s="4" t="s">
        <v>368</v>
      </c>
      <c r="B474" s="0" t="s">
        <v>209</v>
      </c>
      <c r="C474" s="19" t="n">
        <f aca="false">a25_ni</f>
        <v>189.354</v>
      </c>
      <c r="D474" s="19" t="n">
        <f aca="false">a26_ni</f>
        <v>275.25708735</v>
      </c>
      <c r="E474" s="19" t="n">
        <f aca="false">E471*E473</f>
        <v>413.457615350173</v>
      </c>
      <c r="F474" s="19" t="n">
        <f aca="false">F471*F473</f>
        <v>490.565534096756</v>
      </c>
      <c r="G474" s="19" t="n">
        <f aca="false">G471*G473</f>
        <v>526.41500901112</v>
      </c>
    </row>
    <row r="475" customFormat="false" ht="15" hidden="false" customHeight="false" outlineLevel="0" collapsed="false">
      <c r="A475" s="4" t="s">
        <v>476</v>
      </c>
      <c r="B475" s="4" t="s">
        <v>230</v>
      </c>
      <c r="C475" s="23" t="n">
        <f aca="false">a25_sh</f>
        <v>13.9128581925055</v>
      </c>
      <c r="D475" s="23" t="n">
        <f aca="false">a26_sh</f>
        <v>14.0169642857143</v>
      </c>
      <c r="E475" s="23" t="n">
        <f aca="false">D475*(1+sh_g)</f>
        <v>14.0169642857143</v>
      </c>
      <c r="F475" s="23" t="n">
        <f aca="false">E475*(1+sh_g)</f>
        <v>14.0169642857143</v>
      </c>
      <c r="G475" s="23" t="n">
        <f aca="false">F475*(1+sh_g)</f>
        <v>14.0169642857143</v>
      </c>
    </row>
    <row r="476" customFormat="false" ht="15" hidden="false" customHeight="false" outlineLevel="0" collapsed="false">
      <c r="A476" s="0" t="s">
        <v>374</v>
      </c>
      <c r="B476" s="0" t="s">
        <v>260</v>
      </c>
      <c r="C476" s="22" t="n">
        <f aca="false">C474/C475</f>
        <v>13.61</v>
      </c>
      <c r="D476" s="22" t="n">
        <f aca="false">D474/D475</f>
        <v>19.6374251756163</v>
      </c>
      <c r="E476" s="22" t="n">
        <f aca="false">E474/E475</f>
        <v>29.4969443399066</v>
      </c>
      <c r="F476" s="22" t="n">
        <f aca="false">F474/F475</f>
        <v>34.9979870175404</v>
      </c>
      <c r="G476" s="22" t="n">
        <f aca="false">G474/G475</f>
        <v>37.5555646915379</v>
      </c>
    </row>
    <row r="477" customFormat="false" ht="17.15" hidden="false" customHeight="false" outlineLevel="0" collapsed="false">
      <c r="A477" s="0" t="s">
        <v>477</v>
      </c>
      <c r="B477" s="0" t="s">
        <v>52</v>
      </c>
      <c r="D477" s="15" t="n">
        <f aca="false">D476/C476-1</f>
        <v>0.442867389832203</v>
      </c>
      <c r="E477" s="15" t="n">
        <f aca="false">E476/D476-1</f>
        <v>0.502078000354794</v>
      </c>
      <c r="F477" s="15" t="n">
        <f aca="false">F476/E476-1</f>
        <v>0.186495340474689</v>
      </c>
      <c r="G477" s="15" t="n">
        <f aca="false">G476/F476-1</f>
        <v>0.0730778508122676</v>
      </c>
    </row>
    <row r="480" customFormat="false" ht="17.15" hidden="false" customHeight="false" outlineLevel="0" collapsed="false">
      <c r="A480" s="1" t="s">
        <v>794</v>
      </c>
    </row>
    <row r="481" customFormat="false" ht="17.15" hidden="false" customHeight="false" outlineLevel="0" collapsed="false">
      <c r="A481" s="5" t="s">
        <v>21</v>
      </c>
      <c r="B481" s="5" t="s">
        <v>22</v>
      </c>
      <c r="C481" s="11" t="s">
        <v>347</v>
      </c>
      <c r="D481" s="11" t="s">
        <v>429</v>
      </c>
      <c r="E481" s="11" t="s">
        <v>430</v>
      </c>
      <c r="F481" s="11" t="s">
        <v>431</v>
      </c>
      <c r="G481" s="11" t="s">
        <v>432</v>
      </c>
      <c r="H481" s="5" t="s">
        <v>400</v>
      </c>
    </row>
    <row r="482" customFormat="false" ht="17.15" hidden="false" customHeight="false" outlineLevel="0" collapsed="false">
      <c r="A482" s="6" t="s">
        <v>446</v>
      </c>
    </row>
    <row r="483" customFormat="false" ht="17.15" hidden="false" customHeight="false" outlineLevel="0" collapsed="false">
      <c r="A483" s="0" t="s">
        <v>447</v>
      </c>
      <c r="B483" s="0" t="s">
        <v>32</v>
      </c>
      <c r="D483" s="22" t="n">
        <f aca="false">itc_26*1</f>
        <v>781.872916666666</v>
      </c>
      <c r="E483" s="22" t="n">
        <f aca="false">itc_27*1*1</f>
        <v>1565.35</v>
      </c>
      <c r="F483" s="22" t="n">
        <f aca="false">itc_28*um28_A*1</f>
        <v>1984.26388888889</v>
      </c>
      <c r="G483" s="22" t="n">
        <f aca="false">itc_29*um29_A*1</f>
        <v>2260.39027777778</v>
      </c>
    </row>
    <row r="484" customFormat="false" ht="17.15" hidden="false" customHeight="false" outlineLevel="0" collapsed="false">
      <c r="A484" s="4" t="s">
        <v>448</v>
      </c>
      <c r="B484" s="0" t="s">
        <v>32</v>
      </c>
      <c r="D484" s="22" t="n">
        <f aca="false">itpg_gb*(1-vr26)+itpg_vr*vr26</f>
        <v>33.41403216</v>
      </c>
      <c r="E484" s="22" t="n">
        <f aca="false">itpg_vr</f>
        <v>37.586352</v>
      </c>
      <c r="F484" s="22" t="n">
        <f aca="false">itpg_vr</f>
        <v>37.586352</v>
      </c>
      <c r="G484" s="22" t="n">
        <f aca="false">itpg_vr</f>
        <v>37.586352</v>
      </c>
    </row>
    <row r="485" customFormat="false" ht="17.15" hidden="false" customHeight="false" outlineLevel="0" collapsed="false">
      <c r="A485" s="4" t="s">
        <v>449</v>
      </c>
      <c r="B485" s="0" t="s">
        <v>402</v>
      </c>
      <c r="D485" s="18" t="n">
        <f aca="false">D483/D484</f>
        <v>23.3995380420639</v>
      </c>
      <c r="E485" s="18" t="n">
        <f aca="false">E483/E484</f>
        <v>41.6467658260637</v>
      </c>
      <c r="F485" s="18" t="n">
        <f aca="false">F483/F484</f>
        <v>52.792138191248</v>
      </c>
      <c r="G485" s="18" t="n">
        <f aca="false">G483/G484</f>
        <v>60.1385917361116</v>
      </c>
    </row>
    <row r="486" customFormat="false" ht="17.15" hidden="false" customHeight="false" outlineLevel="0" collapsed="false">
      <c r="A486" s="4" t="s">
        <v>404</v>
      </c>
      <c r="B486" s="0" t="s">
        <v>405</v>
      </c>
      <c r="D486" s="16" t="n">
        <f aca="false">(racks_gb*odm_gb*(1-vr26)+racks_vr*odm_vr*vr26)/1000</f>
        <v>27.1209</v>
      </c>
      <c r="E486" s="16" t="n">
        <f aca="false">racks_vr*odm_vr/1000</f>
        <v>27.351</v>
      </c>
      <c r="F486" s="16" t="n">
        <f aca="false">$E486*vpg_28</f>
        <v>27.351</v>
      </c>
      <c r="G486" s="16" t="n">
        <f aca="false">$E486*vpg_29</f>
        <v>27.351</v>
      </c>
      <c r="H486" s="4" t="s">
        <v>450</v>
      </c>
    </row>
    <row r="487" customFormat="false" ht="17.15" hidden="false" customHeight="false" outlineLevel="0" collapsed="false">
      <c r="A487" s="0" t="s">
        <v>451</v>
      </c>
      <c r="B487" s="0" t="s">
        <v>32</v>
      </c>
      <c r="D487" s="19" t="n">
        <f aca="false">D485*D486</f>
        <v>634.61653128501</v>
      </c>
      <c r="E487" s="19" t="n">
        <f aca="false">E485*E486</f>
        <v>1139.08069210867</v>
      </c>
      <c r="F487" s="19" t="n">
        <f aca="false">F485*F486</f>
        <v>1443.91777166882</v>
      </c>
      <c r="G487" s="19" t="n">
        <f aca="false">G485*G486</f>
        <v>1644.85062257439</v>
      </c>
    </row>
    <row r="488" customFormat="false" ht="17.15" hidden="false" customHeight="false" outlineLevel="0" collapsed="false">
      <c r="A488" s="0" t="s">
        <v>452</v>
      </c>
      <c r="B488" s="0" t="s">
        <v>209</v>
      </c>
      <c r="D488" s="19" t="n">
        <f aca="false">D487*fx</f>
        <v>20307.7290011203</v>
      </c>
      <c r="E488" s="19" t="n">
        <f aca="false">E487*fx</f>
        <v>36450.5821474774</v>
      </c>
      <c r="F488" s="19" t="n">
        <f aca="false">F487*fx</f>
        <v>46205.3686934024</v>
      </c>
      <c r="G488" s="19" t="n">
        <f aca="false">G487*fx</f>
        <v>52635.2199223804</v>
      </c>
    </row>
    <row r="489" customFormat="false" ht="17.15" hidden="false" customHeight="false" outlineLevel="0" collapsed="false">
      <c r="A489" s="4" t="s">
        <v>453</v>
      </c>
      <c r="B489" s="0" t="s">
        <v>52</v>
      </c>
      <c r="D489" s="15" t="n">
        <f aca="false">a26_ai/D488</f>
        <v>0.174610057569922</v>
      </c>
      <c r="H489" s="8" t="s">
        <v>454</v>
      </c>
    </row>
    <row r="490" customFormat="false" ht="17.15" hidden="false" customHeight="false" outlineLevel="0" collapsed="false">
      <c r="A490" s="4" t="s">
        <v>455</v>
      </c>
      <c r="B490" s="0" t="s">
        <v>71</v>
      </c>
      <c r="D490" s="16" t="n">
        <f aca="false">1</f>
        <v>1</v>
      </c>
      <c r="E490" s="16" t="n">
        <f aca="false">rel_27</f>
        <v>1</v>
      </c>
      <c r="F490" s="16" t="n">
        <f aca="false">rel_28</f>
        <v>1</v>
      </c>
      <c r="G490" s="16" t="n">
        <f aca="false">rel_29</f>
        <v>0.95</v>
      </c>
    </row>
    <row r="491" customFormat="false" ht="15" hidden="false" customHeight="false" outlineLevel="0" collapsed="false">
      <c r="A491" s="4" t="s">
        <v>456</v>
      </c>
      <c r="B491" s="0" t="s">
        <v>52</v>
      </c>
      <c r="D491" s="15" t="n">
        <f aca="false">$D$489*D490</f>
        <v>0.174610057569922</v>
      </c>
      <c r="E491" s="15" t="n">
        <f aca="false">$D$489*E490</f>
        <v>0.174610057569922</v>
      </c>
      <c r="F491" s="15" t="n">
        <f aca="false">$D$489*F490</f>
        <v>0.174610057569922</v>
      </c>
      <c r="G491" s="15" t="n">
        <f aca="false">$D$489*G490</f>
        <v>0.165879554691426</v>
      </c>
    </row>
    <row r="492" customFormat="false" ht="17.15" hidden="false" customHeight="false" outlineLevel="0" collapsed="false">
      <c r="A492" s="0" t="s">
        <v>457</v>
      </c>
      <c r="B492" s="0" t="s">
        <v>209</v>
      </c>
      <c r="D492" s="19" t="n">
        <f aca="false">D488*D491</f>
        <v>3545.93373</v>
      </c>
      <c r="E492" s="19" t="n">
        <f aca="false">E488*E491</f>
        <v>6364.6382472282</v>
      </c>
      <c r="F492" s="19" t="n">
        <f aca="false">F488*F491</f>
        <v>8067.92208759447</v>
      </c>
      <c r="G492" s="19" t="n">
        <f aca="false">G488*G491</f>
        <v>8731.10684180974</v>
      </c>
    </row>
    <row r="493" customFormat="false" ht="17.15" hidden="false" customHeight="false" outlineLevel="0" collapsed="false">
      <c r="A493" s="4" t="s">
        <v>458</v>
      </c>
      <c r="B493" s="0" t="s">
        <v>52</v>
      </c>
      <c r="D493" s="15" t="n">
        <f aca="false">0</f>
        <v>0</v>
      </c>
      <c r="E493" s="15" t="n">
        <f aca="false">cs_27</f>
        <v>0.1</v>
      </c>
      <c r="F493" s="15" t="n">
        <f aca="false">cs_28</f>
        <v>0.2</v>
      </c>
      <c r="G493" s="15" t="n">
        <f aca="false">cs_29</f>
        <v>0.25</v>
      </c>
      <c r="H493" s="8" t="s">
        <v>459</v>
      </c>
    </row>
    <row r="494" customFormat="false" ht="17.15" hidden="false" customHeight="false" outlineLevel="0" collapsed="false">
      <c r="A494" s="0" t="s">
        <v>460</v>
      </c>
      <c r="B494" s="0" t="s">
        <v>209</v>
      </c>
      <c r="C494" s="19" t="n">
        <f aca="false">a25_ai</f>
        <v>1620.621</v>
      </c>
      <c r="D494" s="19" t="n">
        <f aca="false">D492*(1-D493)</f>
        <v>3545.93373</v>
      </c>
      <c r="E494" s="19" t="n">
        <f aca="false">E492*(1-E493)</f>
        <v>5728.17442250538</v>
      </c>
      <c r="F494" s="19" t="n">
        <f aca="false">F492*(1-F493)</f>
        <v>6454.33767007557</v>
      </c>
      <c r="G494" s="19" t="n">
        <f aca="false">G492*(1-G493)</f>
        <v>6548.3301313573</v>
      </c>
    </row>
    <row r="495" customFormat="false" ht="17.15" hidden="false" customHeight="false" outlineLevel="0" collapsed="false">
      <c r="A495" s="6" t="s">
        <v>461</v>
      </c>
    </row>
    <row r="496" customFormat="false" ht="17.15" hidden="false" customHeight="false" outlineLevel="0" collapsed="false">
      <c r="A496" s="4" t="s">
        <v>382</v>
      </c>
      <c r="B496" s="0" t="s">
        <v>209</v>
      </c>
      <c r="C496" s="19" t="n">
        <f aca="false">a25_cn</f>
        <v>1620.621</v>
      </c>
      <c r="D496" s="19" t="n">
        <f aca="false">a26_cn</f>
        <v>2363.95582</v>
      </c>
      <c r="E496" s="19" t="n">
        <f aca="false">D496*(1+g_cn27)</f>
        <v>2647.6305184</v>
      </c>
      <c r="F496" s="19" t="n">
        <f aca="false">E496*(1+g_cn28)</f>
        <v>2859.440959872</v>
      </c>
      <c r="G496" s="19" t="n">
        <f aca="false">F496*(1+g_cn29)</f>
        <v>3031.00741746432</v>
      </c>
    </row>
    <row r="497" customFormat="false" ht="17.15" hidden="false" customHeight="false" outlineLevel="0" collapsed="false">
      <c r="A497" s="4" t="s">
        <v>383</v>
      </c>
      <c r="B497" s="0" t="s">
        <v>209</v>
      </c>
      <c r="C497" s="19" t="n">
        <f aca="false">a25_ce</f>
        <v>3079.1799</v>
      </c>
      <c r="D497" s="19" t="n">
        <f aca="false">a26_ce</f>
        <v>3345.2205</v>
      </c>
      <c r="E497" s="19" t="n">
        <f aca="false">D497*(1+GCELO27)</f>
        <v>3077.60286</v>
      </c>
      <c r="F497" s="19" t="n">
        <f aca="false">E497*(1+GCELO28)</f>
        <v>2831.3946312</v>
      </c>
      <c r="G497" s="19" t="n">
        <f aca="false">F497*(1+GCELO29)</f>
        <v>2604.883060704</v>
      </c>
    </row>
    <row r="498" customFormat="false" ht="15" hidden="false" customHeight="false" outlineLevel="0" collapsed="false">
      <c r="A498" s="4" t="s">
        <v>384</v>
      </c>
      <c r="B498" s="0" t="s">
        <v>209</v>
      </c>
      <c r="C498" s="19" t="n">
        <f aca="false">a25_pc</f>
        <v>1215.46575</v>
      </c>
      <c r="D498" s="19" t="n">
        <f aca="false">a26_pc</f>
        <v>1338.0882</v>
      </c>
      <c r="E498" s="19" t="n">
        <f aca="false">D498*(1+g_pc27)</f>
        <v>1311.326436</v>
      </c>
      <c r="F498" s="19" t="n">
        <f aca="false">E498*(1+g_pc28)</f>
        <v>1311.326436</v>
      </c>
      <c r="G498" s="19" t="n">
        <f aca="false">F498*(1+g_pc29)</f>
        <v>1311.326436</v>
      </c>
    </row>
    <row r="499" customFormat="false" ht="15" hidden="false" customHeight="false" outlineLevel="0" collapsed="false">
      <c r="A499" s="4" t="s">
        <v>462</v>
      </c>
      <c r="B499" s="0" t="s">
        <v>209</v>
      </c>
      <c r="C499" s="19" t="n">
        <f aca="false">a25_co</f>
        <v>567.217349999999</v>
      </c>
      <c r="D499" s="19" t="n">
        <f aca="false">a26_co</f>
        <v>557.53675</v>
      </c>
      <c r="E499" s="19" t="n">
        <f aca="false">D499*(1+g_co27)</f>
        <v>602.13969</v>
      </c>
      <c r="F499" s="19" t="n">
        <f aca="false">E499*(1+g_co28)</f>
        <v>638.2680714</v>
      </c>
      <c r="G499" s="19" t="n">
        <f aca="false">F499*(1+g_co29)</f>
        <v>670.18147497</v>
      </c>
    </row>
    <row r="500" customFormat="false" ht="17.15" hidden="false" customHeight="false" outlineLevel="0" collapsed="false">
      <c r="A500" s="4" t="s">
        <v>387</v>
      </c>
      <c r="B500" s="0" t="s">
        <v>209</v>
      </c>
      <c r="C500" s="19" t="n">
        <f aca="false">SUM(C496:C499)</f>
        <v>6482.484</v>
      </c>
      <c r="D500" s="19" t="n">
        <f aca="false">SUM(D496:D499)</f>
        <v>7604.80127</v>
      </c>
      <c r="E500" s="19" t="n">
        <f aca="false">SUM(E496:E499)</f>
        <v>7638.6995044</v>
      </c>
      <c r="F500" s="19" t="n">
        <f aca="false">SUM(F496:F499)</f>
        <v>7640.430098472</v>
      </c>
      <c r="G500" s="19" t="n">
        <f aca="false">SUM(G496:G499)</f>
        <v>7617.39838913832</v>
      </c>
    </row>
    <row r="501" customFormat="false" ht="15" hidden="false" customHeight="false" outlineLevel="0" collapsed="false">
      <c r="A501" s="4" t="s">
        <v>353</v>
      </c>
      <c r="B501" s="0" t="s">
        <v>209</v>
      </c>
      <c r="C501" s="19" t="n">
        <f aca="false">C494+C500</f>
        <v>8103.105</v>
      </c>
      <c r="D501" s="19" t="n">
        <f aca="false">D494+D500</f>
        <v>11150.735</v>
      </c>
      <c r="E501" s="19" t="n">
        <f aca="false">E494+E500</f>
        <v>13366.8739269054</v>
      </c>
      <c r="F501" s="19" t="n">
        <f aca="false">F494+F500</f>
        <v>14094.7677685476</v>
      </c>
      <c r="G501" s="19" t="n">
        <f aca="false">G494+G500</f>
        <v>14165.7285204956</v>
      </c>
    </row>
    <row r="502" customFormat="false" ht="15" hidden="false" customHeight="false" outlineLevel="0" collapsed="false">
      <c r="A502" s="4" t="s">
        <v>463</v>
      </c>
      <c r="B502" s="0" t="s">
        <v>52</v>
      </c>
      <c r="D502" s="15" t="n">
        <f aca="false">D501/C501-1</f>
        <v>0.376106443147411</v>
      </c>
      <c r="E502" s="15" t="n">
        <f aca="false">E501/D501-1</f>
        <v>0.198743753385349</v>
      </c>
      <c r="F502" s="15" t="n">
        <f aca="false">F501/E501-1</f>
        <v>0.0544550540105762</v>
      </c>
      <c r="G502" s="15" t="n">
        <f aca="false">G501/F501-1</f>
        <v>0.00503454566356187</v>
      </c>
    </row>
    <row r="503" customFormat="false" ht="17.15" hidden="false" customHeight="false" outlineLevel="0" collapsed="false">
      <c r="A503" s="0" t="s">
        <v>464</v>
      </c>
      <c r="B503" s="0" t="s">
        <v>52</v>
      </c>
      <c r="C503" s="15" t="n">
        <f aca="false">C494/C501</f>
        <v>0.2</v>
      </c>
      <c r="D503" s="15" t="n">
        <f aca="false">D494/D501</f>
        <v>0.318</v>
      </c>
      <c r="E503" s="15" t="n">
        <f aca="false">E494/E501</f>
        <v>0.428535082610114</v>
      </c>
      <c r="F503" s="15" t="n">
        <f aca="false">F494/F501</f>
        <v>0.457924371374065</v>
      </c>
      <c r="G503" s="15" t="n">
        <f aca="false">G494/G501</f>
        <v>0.462265680291902</v>
      </c>
    </row>
    <row r="504" customFormat="false" ht="17.15" hidden="false" customHeight="false" outlineLevel="0" collapsed="false">
      <c r="A504" s="4" t="s">
        <v>465</v>
      </c>
      <c r="B504" s="0" t="s">
        <v>52</v>
      </c>
      <c r="C504" s="15" t="n">
        <f aca="false">(C494+C496)/C501</f>
        <v>0.4</v>
      </c>
      <c r="D504" s="15" t="n">
        <f aca="false">(D494+D496)/D501</f>
        <v>0.53</v>
      </c>
      <c r="E504" s="15" t="n">
        <f aca="false">(E494+E496)/E501</f>
        <v>0.626609107462757</v>
      </c>
      <c r="F504" s="15" t="n">
        <f aca="false">(F494+F496)/F501</f>
        <v>0.660796884552525</v>
      </c>
      <c r="G504" s="15" t="n">
        <f aca="false">(G494+G496)/G501</f>
        <v>0.676233314436444</v>
      </c>
    </row>
    <row r="505" customFormat="false" ht="17.15" hidden="false" customHeight="false" outlineLevel="0" collapsed="false">
      <c r="A505" s="4" t="s">
        <v>418</v>
      </c>
      <c r="B505" s="0" t="s">
        <v>405</v>
      </c>
      <c r="D505" s="16" t="n">
        <f aca="false">D494/fx/D485</f>
        <v>4.7355819103481</v>
      </c>
      <c r="E505" s="16" t="n">
        <f aca="false">E494/fx/E485</f>
        <v>4.29818371613545</v>
      </c>
      <c r="F505" s="16" t="n">
        <f aca="false">F494/fx/F485</f>
        <v>3.82060774767595</v>
      </c>
      <c r="G505" s="16" t="n">
        <f aca="false">G494/fx/G485</f>
        <v>3.4027287752739</v>
      </c>
    </row>
    <row r="506" customFormat="false" ht="17.15" hidden="false" customHeight="false" outlineLevel="0" collapsed="false">
      <c r="A506" s="4" t="s">
        <v>466</v>
      </c>
      <c r="B506" s="4" t="s">
        <v>416</v>
      </c>
      <c r="D506" s="19" t="n">
        <f aca="false">D492/fx/(odm_gb*(1-vr26)+odm_vr*vr26)</f>
        <v>24.0630682003257</v>
      </c>
      <c r="E506" s="19" t="n">
        <f aca="false">E492/fx/odm_vr</f>
        <v>29.4659178112417</v>
      </c>
      <c r="F506" s="19" t="n">
        <f aca="false">F492/fx/odm_vr</f>
        <v>37.3514911462707</v>
      </c>
      <c r="G506" s="19" t="n">
        <f aca="false">G492/fx/odm_vr</f>
        <v>40.4217909343043</v>
      </c>
      <c r="H506" s="4" t="s">
        <v>467</v>
      </c>
    </row>
    <row r="507" customFormat="false" ht="17.15" hidden="false" customHeight="false" outlineLevel="0" collapsed="false">
      <c r="A507" s="6" t="s">
        <v>468</v>
      </c>
    </row>
    <row r="508" customFormat="false" ht="17.15" hidden="false" customHeight="false" outlineLevel="0" collapsed="false">
      <c r="A508" s="4" t="s">
        <v>469</v>
      </c>
      <c r="B508" s="0" t="s">
        <v>52</v>
      </c>
      <c r="D508" s="14" t="n">
        <f aca="false">a26_gp/D501-d_ai*D503</f>
        <v>0.0621989258510762</v>
      </c>
      <c r="H508" s="8" t="s">
        <v>470</v>
      </c>
    </row>
    <row r="509" customFormat="false" ht="17.15" hidden="false" customHeight="false" outlineLevel="0" collapsed="false">
      <c r="A509" s="0" t="s">
        <v>471</v>
      </c>
      <c r="B509" s="0" t="s">
        <v>209</v>
      </c>
      <c r="D509" s="22" t="n">
        <f aca="false">($D$508+d_ai)*D492*(1-D493*(1-keep))</f>
        <v>202.8236004951</v>
      </c>
      <c r="E509" s="22" t="n">
        <f aca="false">($D$508+d_ai+vrd)*E492*(1-E493*(1-keep))</f>
        <v>347.807982730896</v>
      </c>
      <c r="F509" s="22" t="n">
        <f aca="false">($D$508+d_ai+vrd)*F492*(1-F493*(1-keep))</f>
        <v>436.433820423679</v>
      </c>
      <c r="G509" s="22" t="n">
        <f aca="false">($D$508+d_ai+vrd)*G492*(1-G493*(1-keep))</f>
        <v>469.899026179908</v>
      </c>
      <c r="H509" s="4" t="s">
        <v>472</v>
      </c>
    </row>
    <row r="510" customFormat="false" ht="15" hidden="false" customHeight="false" outlineLevel="0" collapsed="false">
      <c r="A510" s="4" t="s">
        <v>357</v>
      </c>
      <c r="B510" s="0" t="s">
        <v>209</v>
      </c>
      <c r="C510" s="19" t="n">
        <f aca="false">a25_gp</f>
        <v>498.161</v>
      </c>
      <c r="D510" s="19" t="n">
        <f aca="false">a26_gp</f>
        <v>675.8340708</v>
      </c>
      <c r="E510" s="19" t="n">
        <f aca="false">$D$508*E500+E509</f>
        <v>822.926886803724</v>
      </c>
      <c r="F510" s="19" t="n">
        <f aca="false">$D$508*F500+F509</f>
        <v>911.66036558887</v>
      </c>
      <c r="G510" s="19" t="n">
        <f aca="false">$D$508*G500+G509</f>
        <v>943.693023764029</v>
      </c>
    </row>
    <row r="511" customFormat="false" ht="15" hidden="false" customHeight="false" outlineLevel="0" collapsed="false">
      <c r="A511" s="4" t="s">
        <v>360</v>
      </c>
      <c r="B511" s="0" t="s">
        <v>52</v>
      </c>
      <c r="C511" s="14" t="n">
        <f aca="false">C510/C501</f>
        <v>0.0614777915379352</v>
      </c>
      <c r="D511" s="14" t="n">
        <f aca="false">D510/D501</f>
        <v>0.0606089258510762</v>
      </c>
      <c r="E511" s="14" t="n">
        <f aca="false">E510/E501</f>
        <v>0.0615646478977634</v>
      </c>
      <c r="F511" s="14" t="n">
        <f aca="false">F510/F501</f>
        <v>0.0646807652711552</v>
      </c>
      <c r="G511" s="14" t="n">
        <f aca="false">G510/G501</f>
        <v>0.0666180367920119</v>
      </c>
    </row>
    <row r="512" customFormat="false" ht="17.15" hidden="false" customHeight="false" outlineLevel="0" collapsed="false">
      <c r="A512" s="0" t="s">
        <v>473</v>
      </c>
      <c r="B512" s="0" t="s">
        <v>52</v>
      </c>
      <c r="D512" s="14" t="n">
        <f aca="false">D509/D494</f>
        <v>0.0571989258510762</v>
      </c>
      <c r="E512" s="14" t="n">
        <f aca="false">E509/E494</f>
        <v>0.0607188184361838</v>
      </c>
      <c r="F512" s="14" t="n">
        <f aca="false">F509/F494</f>
        <v>0.0676186841675683</v>
      </c>
      <c r="G512" s="14" t="n">
        <f aca="false">G509/G494</f>
        <v>0.0717586036063991</v>
      </c>
      <c r="H512" s="4" t="s">
        <v>474</v>
      </c>
    </row>
    <row r="513" customFormat="false" ht="15" hidden="false" customHeight="false" outlineLevel="0" collapsed="false">
      <c r="A513" s="4" t="s">
        <v>475</v>
      </c>
      <c r="B513" s="0" t="s">
        <v>209</v>
      </c>
      <c r="C513" s="19" t="n">
        <f aca="false">a25_opx</f>
        <v>238.938</v>
      </c>
      <c r="D513" s="19" t="n">
        <f aca="false">a26_opx</f>
        <v>254.8304233</v>
      </c>
      <c r="E513" s="19" t="n">
        <f aca="false">D513*(1+MAX(0,phi*E502))</f>
        <v>275.088805221368</v>
      </c>
      <c r="F513" s="19" t="n">
        <f aca="false">E513*(1+MAX(0,phi*F502))</f>
        <v>281.080795519781</v>
      </c>
      <c r="G513" s="19" t="n">
        <f aca="false">F513*(1+MAX(0,phi*G502))</f>
        <v>281.646841159859</v>
      </c>
    </row>
    <row r="514" customFormat="false" ht="15" hidden="false" customHeight="false" outlineLevel="0" collapsed="false">
      <c r="A514" s="4" t="s">
        <v>361</v>
      </c>
      <c r="B514" s="0" t="s">
        <v>209</v>
      </c>
      <c r="C514" s="19" t="n">
        <f aca="false">C513</f>
        <v>238.938</v>
      </c>
      <c r="D514" s="19" t="n">
        <f aca="false">D513</f>
        <v>254.8304233</v>
      </c>
      <c r="E514" s="19" t="n">
        <f aca="false">E513+0*E501</f>
        <v>275.088805221368</v>
      </c>
      <c r="F514" s="19" t="n">
        <f aca="false">F513+0*F501</f>
        <v>281.080795519781</v>
      </c>
      <c r="G514" s="19" t="n">
        <f aca="false">G513+0*G501</f>
        <v>281.646841159859</v>
      </c>
    </row>
    <row r="515" customFormat="false" ht="15" hidden="false" customHeight="false" outlineLevel="0" collapsed="false">
      <c r="A515" s="4" t="s">
        <v>364</v>
      </c>
      <c r="B515" s="0" t="s">
        <v>209</v>
      </c>
      <c r="C515" s="19" t="n">
        <f aca="false">C510-C514</f>
        <v>259.223</v>
      </c>
      <c r="D515" s="19" t="n">
        <f aca="false">D510-D514</f>
        <v>421.0036475</v>
      </c>
      <c r="E515" s="19" t="n">
        <f aca="false">E510-E514</f>
        <v>547.838081582356</v>
      </c>
      <c r="F515" s="19" t="n">
        <f aca="false">F510-F514</f>
        <v>630.579570069088</v>
      </c>
      <c r="G515" s="19" t="n">
        <f aca="false">G510-G514</f>
        <v>662.04618260417</v>
      </c>
    </row>
    <row r="516" customFormat="false" ht="15" hidden="false" customHeight="false" outlineLevel="0" collapsed="false">
      <c r="A516" s="4" t="s">
        <v>367</v>
      </c>
      <c r="B516" s="0" t="s">
        <v>52</v>
      </c>
      <c r="C516" s="14" t="n">
        <f aca="false">C515/C501</f>
        <v>0.0319905764518663</v>
      </c>
      <c r="D516" s="14" t="n">
        <f aca="false">D515/D501</f>
        <v>0.0377556858359561</v>
      </c>
      <c r="E516" s="14" t="n">
        <f aca="false">E515/E501</f>
        <v>0.0409847571375418</v>
      </c>
      <c r="F516" s="14" t="n">
        <f aca="false">F515/F501</f>
        <v>0.0447385569187046</v>
      </c>
      <c r="G516" s="14" t="n">
        <f aca="false">G515/G501</f>
        <v>0.0467357666530381</v>
      </c>
    </row>
    <row r="517" customFormat="false" ht="17.15" hidden="false" customHeight="false" outlineLevel="0" collapsed="false">
      <c r="A517" s="4" t="s">
        <v>243</v>
      </c>
      <c r="B517" s="0" t="s">
        <v>52</v>
      </c>
      <c r="C517" s="15" t="n">
        <f aca="false">a25_ni/a25_oi</f>
        <v>0.730467589681471</v>
      </c>
      <c r="D517" s="15" t="n">
        <f aca="false">a26_ni/a26_oi</f>
        <v>0.653811645064191</v>
      </c>
      <c r="E517" s="15" t="n">
        <f aca="false">nio_f</f>
        <v>0.66</v>
      </c>
      <c r="F517" s="15" t="n">
        <f aca="false">nio_f</f>
        <v>0.66</v>
      </c>
      <c r="G517" s="15" t="n">
        <f aca="false">nio_f</f>
        <v>0.66</v>
      </c>
    </row>
    <row r="518" customFormat="false" ht="15" hidden="false" customHeight="false" outlineLevel="0" collapsed="false">
      <c r="A518" s="4" t="s">
        <v>368</v>
      </c>
      <c r="B518" s="0" t="s">
        <v>209</v>
      </c>
      <c r="C518" s="19" t="n">
        <f aca="false">a25_ni</f>
        <v>189.354</v>
      </c>
      <c r="D518" s="19" t="n">
        <f aca="false">a26_ni</f>
        <v>275.25708735</v>
      </c>
      <c r="E518" s="19" t="n">
        <f aca="false">E515*E517</f>
        <v>361.573133844355</v>
      </c>
      <c r="F518" s="19" t="n">
        <f aca="false">F515*F517</f>
        <v>416.182516245598</v>
      </c>
      <c r="G518" s="19" t="n">
        <f aca="false">G515*G517</f>
        <v>436.950480518752</v>
      </c>
    </row>
    <row r="519" customFormat="false" ht="15" hidden="false" customHeight="false" outlineLevel="0" collapsed="false">
      <c r="A519" s="4" t="s">
        <v>476</v>
      </c>
      <c r="B519" s="4" t="s">
        <v>230</v>
      </c>
      <c r="C519" s="23" t="n">
        <f aca="false">a25_sh</f>
        <v>13.9128581925055</v>
      </c>
      <c r="D519" s="23" t="n">
        <f aca="false">a26_sh</f>
        <v>14.0169642857143</v>
      </c>
      <c r="E519" s="23" t="n">
        <f aca="false">D519*(1+sh_g)</f>
        <v>14.0169642857143</v>
      </c>
      <c r="F519" s="23" t="n">
        <f aca="false">E519*(1+sh_g)</f>
        <v>14.0169642857143</v>
      </c>
      <c r="G519" s="23" t="n">
        <f aca="false">F519*(1+sh_g)</f>
        <v>14.0169642857143</v>
      </c>
    </row>
    <row r="520" customFormat="false" ht="15" hidden="false" customHeight="false" outlineLevel="0" collapsed="false">
      <c r="A520" s="0" t="s">
        <v>374</v>
      </c>
      <c r="B520" s="0" t="s">
        <v>260</v>
      </c>
      <c r="C520" s="22" t="n">
        <f aca="false">C518/C519</f>
        <v>13.61</v>
      </c>
      <c r="D520" s="22" t="n">
        <f aca="false">D518/D519</f>
        <v>19.6374251756163</v>
      </c>
      <c r="E520" s="22" t="n">
        <f aca="false">E518/E519</f>
        <v>25.7953952420968</v>
      </c>
      <c r="F520" s="22" t="n">
        <f aca="false">F518/F519</f>
        <v>29.6913445566641</v>
      </c>
      <c r="G520" s="22" t="n">
        <f aca="false">G518/G519</f>
        <v>31.1729752328812</v>
      </c>
    </row>
    <row r="521" customFormat="false" ht="17.15" hidden="false" customHeight="false" outlineLevel="0" collapsed="false">
      <c r="A521" s="0" t="s">
        <v>477</v>
      </c>
      <c r="B521" s="0" t="s">
        <v>52</v>
      </c>
      <c r="D521" s="15" t="n">
        <f aca="false">D520/C520-1</f>
        <v>0.442867389832203</v>
      </c>
      <c r="E521" s="15" t="n">
        <f aca="false">E520/D520-1</f>
        <v>0.313583375183365</v>
      </c>
      <c r="F521" s="15" t="n">
        <f aca="false">F520/E520-1</f>
        <v>0.15103274355763</v>
      </c>
      <c r="G521" s="15" t="n">
        <f aca="false">G520/F520-1</f>
        <v>0.0499010973851155</v>
      </c>
    </row>
    <row r="524" customFormat="false" ht="17.15" hidden="false" customHeight="false" outlineLevel="0" collapsed="false">
      <c r="A524" s="1" t="s">
        <v>795</v>
      </c>
    </row>
    <row r="525" customFormat="false" ht="17.15" hidden="false" customHeight="false" outlineLevel="0" collapsed="false">
      <c r="A525" s="5" t="s">
        <v>21</v>
      </c>
      <c r="B525" s="5" t="s">
        <v>22</v>
      </c>
      <c r="C525" s="11" t="s">
        <v>347</v>
      </c>
      <c r="D525" s="11" t="s">
        <v>429</v>
      </c>
      <c r="E525" s="11" t="s">
        <v>430</v>
      </c>
      <c r="F525" s="11" t="s">
        <v>431</v>
      </c>
      <c r="G525" s="11" t="s">
        <v>432</v>
      </c>
      <c r="H525" s="5" t="s">
        <v>400</v>
      </c>
    </row>
    <row r="526" customFormat="false" ht="17.15" hidden="false" customHeight="false" outlineLevel="0" collapsed="false">
      <c r="A526" s="6" t="s">
        <v>446</v>
      </c>
    </row>
    <row r="527" customFormat="false" ht="17.15" hidden="false" customHeight="false" outlineLevel="0" collapsed="false">
      <c r="A527" s="0" t="s">
        <v>447</v>
      </c>
      <c r="B527" s="0" t="s">
        <v>32</v>
      </c>
      <c r="D527" s="22" t="n">
        <f aca="false">itc_26*1</f>
        <v>781.872916666666</v>
      </c>
      <c r="E527" s="22" t="n">
        <f aca="false">itc_27*1*1</f>
        <v>1565.35</v>
      </c>
      <c r="F527" s="22" t="n">
        <f aca="false">itc_28*um28_A*1</f>
        <v>1984.26388888889</v>
      </c>
      <c r="G527" s="22" t="n">
        <f aca="false">itc_29*um29_A*1</f>
        <v>2260.39027777778</v>
      </c>
    </row>
    <row r="528" customFormat="false" ht="17.15" hidden="false" customHeight="false" outlineLevel="0" collapsed="false">
      <c r="A528" s="4" t="s">
        <v>448</v>
      </c>
      <c r="B528" s="0" t="s">
        <v>32</v>
      </c>
      <c r="D528" s="22" t="n">
        <f aca="false">itpg_gb*(1-vr26)+itpg_vr*vr26</f>
        <v>33.41403216</v>
      </c>
      <c r="E528" s="22" t="n">
        <f aca="false">itpg_vr</f>
        <v>37.586352</v>
      </c>
      <c r="F528" s="22" t="n">
        <f aca="false">itpg_vr</f>
        <v>37.586352</v>
      </c>
      <c r="G528" s="22" t="n">
        <f aca="false">itpg_vr</f>
        <v>37.586352</v>
      </c>
    </row>
    <row r="529" customFormat="false" ht="17.15" hidden="false" customHeight="false" outlineLevel="0" collapsed="false">
      <c r="A529" s="4" t="s">
        <v>449</v>
      </c>
      <c r="B529" s="0" t="s">
        <v>402</v>
      </c>
      <c r="D529" s="18" t="n">
        <f aca="false">D527/D528</f>
        <v>23.3995380420639</v>
      </c>
      <c r="E529" s="18" t="n">
        <f aca="false">E527/E528</f>
        <v>41.6467658260637</v>
      </c>
      <c r="F529" s="18" t="n">
        <f aca="false">F527/F528</f>
        <v>52.792138191248</v>
      </c>
      <c r="G529" s="18" t="n">
        <f aca="false">G527/G528</f>
        <v>60.1385917361116</v>
      </c>
    </row>
    <row r="530" customFormat="false" ht="17.15" hidden="false" customHeight="false" outlineLevel="0" collapsed="false">
      <c r="A530" s="4" t="s">
        <v>404</v>
      </c>
      <c r="B530" s="0" t="s">
        <v>405</v>
      </c>
      <c r="D530" s="16" t="n">
        <f aca="false">(racks_gb*odm_gb*(1-vr26)+racks_vr*odm_vr*vr26)/1000</f>
        <v>27.1209</v>
      </c>
      <c r="E530" s="16" t="n">
        <f aca="false">racks_vr*odm_vr/1000</f>
        <v>27.351</v>
      </c>
      <c r="F530" s="16" t="n">
        <f aca="false">$E530*vpg_28</f>
        <v>27.351</v>
      </c>
      <c r="G530" s="16" t="n">
        <f aca="false">$E530*vpg_29</f>
        <v>27.351</v>
      </c>
      <c r="H530" s="4" t="s">
        <v>450</v>
      </c>
    </row>
    <row r="531" customFormat="false" ht="17.15" hidden="false" customHeight="false" outlineLevel="0" collapsed="false">
      <c r="A531" s="0" t="s">
        <v>451</v>
      </c>
      <c r="B531" s="0" t="s">
        <v>32</v>
      </c>
      <c r="D531" s="19" t="n">
        <f aca="false">D529*D530</f>
        <v>634.61653128501</v>
      </c>
      <c r="E531" s="19" t="n">
        <f aca="false">E529*E530</f>
        <v>1139.08069210867</v>
      </c>
      <c r="F531" s="19" t="n">
        <f aca="false">F529*F530</f>
        <v>1443.91777166882</v>
      </c>
      <c r="G531" s="19" t="n">
        <f aca="false">G529*G530</f>
        <v>1644.85062257439</v>
      </c>
    </row>
    <row r="532" customFormat="false" ht="17.15" hidden="false" customHeight="false" outlineLevel="0" collapsed="false">
      <c r="A532" s="0" t="s">
        <v>452</v>
      </c>
      <c r="B532" s="0" t="s">
        <v>209</v>
      </c>
      <c r="D532" s="19" t="n">
        <f aca="false">D531*fx</f>
        <v>20307.7290011203</v>
      </c>
      <c r="E532" s="19" t="n">
        <f aca="false">E531*fx</f>
        <v>36450.5821474774</v>
      </c>
      <c r="F532" s="19" t="n">
        <f aca="false">F531*fx</f>
        <v>46205.3686934024</v>
      </c>
      <c r="G532" s="19" t="n">
        <f aca="false">G531*fx</f>
        <v>52635.2199223804</v>
      </c>
    </row>
    <row r="533" customFormat="false" ht="17.15" hidden="false" customHeight="false" outlineLevel="0" collapsed="false">
      <c r="A533" s="4" t="s">
        <v>453</v>
      </c>
      <c r="B533" s="0" t="s">
        <v>52</v>
      </c>
      <c r="D533" s="15" t="n">
        <f aca="false">a26_ai/D532</f>
        <v>0.174610057569922</v>
      </c>
      <c r="H533" s="8" t="s">
        <v>454</v>
      </c>
    </row>
    <row r="534" customFormat="false" ht="17.15" hidden="false" customHeight="false" outlineLevel="0" collapsed="false">
      <c r="A534" s="4" t="s">
        <v>455</v>
      </c>
      <c r="B534" s="0" t="s">
        <v>71</v>
      </c>
      <c r="D534" s="16" t="n">
        <f aca="false">1</f>
        <v>1</v>
      </c>
      <c r="E534" s="16" t="n">
        <f aca="false">rel_27</f>
        <v>1</v>
      </c>
      <c r="F534" s="16" t="n">
        <f aca="false">rel_28</f>
        <v>1</v>
      </c>
      <c r="G534" s="16" t="n">
        <f aca="false">rel_29</f>
        <v>0.95</v>
      </c>
    </row>
    <row r="535" customFormat="false" ht="15" hidden="false" customHeight="false" outlineLevel="0" collapsed="false">
      <c r="A535" s="4" t="s">
        <v>456</v>
      </c>
      <c r="B535" s="0" t="s">
        <v>52</v>
      </c>
      <c r="D535" s="15" t="n">
        <f aca="false">$D$533*D534</f>
        <v>0.174610057569922</v>
      </c>
      <c r="E535" s="15" t="n">
        <f aca="false">$D$533*E534</f>
        <v>0.174610057569922</v>
      </c>
      <c r="F535" s="15" t="n">
        <f aca="false">$D$533*F534</f>
        <v>0.174610057569922</v>
      </c>
      <c r="G535" s="15" t="n">
        <f aca="false">$D$533*G534</f>
        <v>0.165879554691426</v>
      </c>
    </row>
    <row r="536" customFormat="false" ht="17.15" hidden="false" customHeight="false" outlineLevel="0" collapsed="false">
      <c r="A536" s="0" t="s">
        <v>457</v>
      </c>
      <c r="B536" s="0" t="s">
        <v>209</v>
      </c>
      <c r="D536" s="19" t="n">
        <f aca="false">D532*D535</f>
        <v>3545.93373</v>
      </c>
      <c r="E536" s="19" t="n">
        <f aca="false">E532*E535</f>
        <v>6364.6382472282</v>
      </c>
      <c r="F536" s="19" t="n">
        <f aca="false">F532*F535</f>
        <v>8067.92208759447</v>
      </c>
      <c r="G536" s="19" t="n">
        <f aca="false">G532*G535</f>
        <v>8731.10684180974</v>
      </c>
    </row>
    <row r="537" customFormat="false" ht="17.15" hidden="false" customHeight="false" outlineLevel="0" collapsed="false">
      <c r="A537" s="4" t="s">
        <v>458</v>
      </c>
      <c r="B537" s="0" t="s">
        <v>52</v>
      </c>
      <c r="D537" s="15" t="n">
        <f aca="false">0</f>
        <v>0</v>
      </c>
      <c r="E537" s="15" t="n">
        <f aca="false">cs_27</f>
        <v>0.1</v>
      </c>
      <c r="F537" s="15" t="n">
        <f aca="false">cs_28</f>
        <v>0.2</v>
      </c>
      <c r="G537" s="15" t="n">
        <f aca="false">cs_29</f>
        <v>0.25</v>
      </c>
      <c r="H537" s="8" t="s">
        <v>459</v>
      </c>
    </row>
    <row r="538" customFormat="false" ht="17.15" hidden="false" customHeight="false" outlineLevel="0" collapsed="false">
      <c r="A538" s="0" t="s">
        <v>460</v>
      </c>
      <c r="B538" s="0" t="s">
        <v>209</v>
      </c>
      <c r="C538" s="19" t="n">
        <f aca="false">a25_ai</f>
        <v>1620.621</v>
      </c>
      <c r="D538" s="19" t="n">
        <f aca="false">D536*(1-D537)</f>
        <v>3545.93373</v>
      </c>
      <c r="E538" s="19" t="n">
        <f aca="false">E536*(1-E537)</f>
        <v>5728.17442250538</v>
      </c>
      <c r="F538" s="19" t="n">
        <f aca="false">F536*(1-F537)</f>
        <v>6454.33767007557</v>
      </c>
      <c r="G538" s="19" t="n">
        <f aca="false">G536*(1-G537)</f>
        <v>6548.3301313573</v>
      </c>
    </row>
    <row r="539" customFormat="false" ht="17.15" hidden="false" customHeight="false" outlineLevel="0" collapsed="false">
      <c r="A539" s="6" t="s">
        <v>461</v>
      </c>
    </row>
    <row r="540" customFormat="false" ht="17.15" hidden="false" customHeight="false" outlineLevel="0" collapsed="false">
      <c r="A540" s="4" t="s">
        <v>382</v>
      </c>
      <c r="B540" s="0" t="s">
        <v>209</v>
      </c>
      <c r="C540" s="19" t="n">
        <f aca="false">a25_cn</f>
        <v>1620.621</v>
      </c>
      <c r="D540" s="19" t="n">
        <f aca="false">a26_cn</f>
        <v>2363.95582</v>
      </c>
      <c r="E540" s="19" t="n">
        <f aca="false">D540*(1+g_cn27)</f>
        <v>2647.6305184</v>
      </c>
      <c r="F540" s="19" t="n">
        <f aca="false">E540*(1+g_cn28)</f>
        <v>2859.440959872</v>
      </c>
      <c r="G540" s="19" t="n">
        <f aca="false">F540*(1+g_cn29)</f>
        <v>3031.00741746432</v>
      </c>
    </row>
    <row r="541" customFormat="false" ht="17.15" hidden="false" customHeight="false" outlineLevel="0" collapsed="false">
      <c r="A541" s="4" t="s">
        <v>383</v>
      </c>
      <c r="B541" s="0" t="s">
        <v>209</v>
      </c>
      <c r="C541" s="19" t="n">
        <f aca="false">a25_ce</f>
        <v>3079.1799</v>
      </c>
      <c r="D541" s="19" t="n">
        <f aca="false">a26_ce</f>
        <v>3345.2205</v>
      </c>
      <c r="E541" s="19" t="n">
        <f aca="false">D541*(1+GCEHI27)</f>
        <v>3612.83814</v>
      </c>
      <c r="F541" s="19" t="n">
        <f aca="false">E541*(1+GCEHI28)</f>
        <v>3829.6084284</v>
      </c>
      <c r="G541" s="19" t="n">
        <f aca="false">F541*(1+GCEHI29)</f>
        <v>4059.384934104</v>
      </c>
    </row>
    <row r="542" customFormat="false" ht="15" hidden="false" customHeight="false" outlineLevel="0" collapsed="false">
      <c r="A542" s="4" t="s">
        <v>384</v>
      </c>
      <c r="B542" s="0" t="s">
        <v>209</v>
      </c>
      <c r="C542" s="19" t="n">
        <f aca="false">a25_pc</f>
        <v>1215.46575</v>
      </c>
      <c r="D542" s="19" t="n">
        <f aca="false">a26_pc</f>
        <v>1338.0882</v>
      </c>
      <c r="E542" s="19" t="n">
        <f aca="false">D542*(1+g_pc27)</f>
        <v>1311.326436</v>
      </c>
      <c r="F542" s="19" t="n">
        <f aca="false">E542*(1+g_pc28)</f>
        <v>1311.326436</v>
      </c>
      <c r="G542" s="19" t="n">
        <f aca="false">F542*(1+g_pc29)</f>
        <v>1311.326436</v>
      </c>
    </row>
    <row r="543" customFormat="false" ht="15" hidden="false" customHeight="false" outlineLevel="0" collapsed="false">
      <c r="A543" s="4" t="s">
        <v>462</v>
      </c>
      <c r="B543" s="0" t="s">
        <v>209</v>
      </c>
      <c r="C543" s="19" t="n">
        <f aca="false">a25_co</f>
        <v>567.217349999999</v>
      </c>
      <c r="D543" s="19" t="n">
        <f aca="false">a26_co</f>
        <v>557.53675</v>
      </c>
      <c r="E543" s="19" t="n">
        <f aca="false">D543*(1+g_co27)</f>
        <v>602.13969</v>
      </c>
      <c r="F543" s="19" t="n">
        <f aca="false">E543*(1+g_co28)</f>
        <v>638.2680714</v>
      </c>
      <c r="G543" s="19" t="n">
        <f aca="false">F543*(1+g_co29)</f>
        <v>670.18147497</v>
      </c>
    </row>
    <row r="544" customFormat="false" ht="17.15" hidden="false" customHeight="false" outlineLevel="0" collapsed="false">
      <c r="A544" s="4" t="s">
        <v>387</v>
      </c>
      <c r="B544" s="0" t="s">
        <v>209</v>
      </c>
      <c r="C544" s="19" t="n">
        <f aca="false">SUM(C540:C543)</f>
        <v>6482.484</v>
      </c>
      <c r="D544" s="19" t="n">
        <f aca="false">SUM(D540:D543)</f>
        <v>7604.80127</v>
      </c>
      <c r="E544" s="19" t="n">
        <f aca="false">SUM(E540:E543)</f>
        <v>8173.9347844</v>
      </c>
      <c r="F544" s="19" t="n">
        <f aca="false">SUM(F540:F543)</f>
        <v>8638.643895672</v>
      </c>
      <c r="G544" s="19" t="n">
        <f aca="false">SUM(G540:G543)</f>
        <v>9071.90026253832</v>
      </c>
    </row>
    <row r="545" customFormat="false" ht="15" hidden="false" customHeight="false" outlineLevel="0" collapsed="false">
      <c r="A545" s="4" t="s">
        <v>353</v>
      </c>
      <c r="B545" s="0" t="s">
        <v>209</v>
      </c>
      <c r="C545" s="19" t="n">
        <f aca="false">C538+C544</f>
        <v>8103.105</v>
      </c>
      <c r="D545" s="19" t="n">
        <f aca="false">D538+D544</f>
        <v>11150.735</v>
      </c>
      <c r="E545" s="19" t="n">
        <f aca="false">E538+E544</f>
        <v>13902.1092069054</v>
      </c>
      <c r="F545" s="19" t="n">
        <f aca="false">F538+F544</f>
        <v>15092.9815657476</v>
      </c>
      <c r="G545" s="19" t="n">
        <f aca="false">G538+G544</f>
        <v>15620.2303938956</v>
      </c>
    </row>
    <row r="546" customFormat="false" ht="15" hidden="false" customHeight="false" outlineLevel="0" collapsed="false">
      <c r="A546" s="4" t="s">
        <v>463</v>
      </c>
      <c r="B546" s="0" t="s">
        <v>52</v>
      </c>
      <c r="D546" s="15" t="n">
        <f aca="false">D545/C545-1</f>
        <v>0.376106443147411</v>
      </c>
      <c r="E546" s="15" t="n">
        <f aca="false">E545/D545-1</f>
        <v>0.246743753385349</v>
      </c>
      <c r="F546" s="15" t="n">
        <f aca="false">F545/E545-1</f>
        <v>0.0856612720500476</v>
      </c>
      <c r="G546" s="15" t="n">
        <f aca="false">G545/F545-1</f>
        <v>0.0349333778651531</v>
      </c>
    </row>
    <row r="547" customFormat="false" ht="17.15" hidden="false" customHeight="false" outlineLevel="0" collapsed="false">
      <c r="A547" s="0" t="s">
        <v>464</v>
      </c>
      <c r="B547" s="0" t="s">
        <v>52</v>
      </c>
      <c r="C547" s="15" t="n">
        <f aca="false">C538/C545</f>
        <v>0.2</v>
      </c>
      <c r="D547" s="15" t="n">
        <f aca="false">D538/D545</f>
        <v>0.318</v>
      </c>
      <c r="E547" s="15" t="n">
        <f aca="false">E538/E545</f>
        <v>0.412036356300533</v>
      </c>
      <c r="F547" s="15" t="n">
        <f aca="false">F538/F545</f>
        <v>0.427638345807248</v>
      </c>
      <c r="G547" s="15" t="n">
        <f aca="false">G538/G545</f>
        <v>0.419221097655281</v>
      </c>
    </row>
    <row r="548" customFormat="false" ht="17.15" hidden="false" customHeight="false" outlineLevel="0" collapsed="false">
      <c r="A548" s="4" t="s">
        <v>465</v>
      </c>
      <c r="B548" s="0" t="s">
        <v>52</v>
      </c>
      <c r="C548" s="15" t="n">
        <f aca="false">(C538+C540)/C545</f>
        <v>0.4</v>
      </c>
      <c r="D548" s="15" t="n">
        <f aca="false">(D538+D540)/D545</f>
        <v>0.53</v>
      </c>
      <c r="E548" s="15" t="n">
        <f aca="false">(E538+E540)/E545</f>
        <v>0.602484473129084</v>
      </c>
      <c r="F548" s="15" t="n">
        <f aca="false">(F538+F540)/F545</f>
        <v>0.617093354906397</v>
      </c>
      <c r="G548" s="15" t="n">
        <f aca="false">(G538+G540)/G545</f>
        <v>0.61326480514431</v>
      </c>
    </row>
    <row r="549" customFormat="false" ht="17.15" hidden="false" customHeight="false" outlineLevel="0" collapsed="false">
      <c r="A549" s="4" t="s">
        <v>418</v>
      </c>
      <c r="B549" s="0" t="s">
        <v>405</v>
      </c>
      <c r="D549" s="16" t="n">
        <f aca="false">D538/fx/D529</f>
        <v>4.7355819103481</v>
      </c>
      <c r="E549" s="16" t="n">
        <f aca="false">E538/fx/E529</f>
        <v>4.29818371613545</v>
      </c>
      <c r="F549" s="16" t="n">
        <f aca="false">F538/fx/F529</f>
        <v>3.82060774767595</v>
      </c>
      <c r="G549" s="16" t="n">
        <f aca="false">G538/fx/G529</f>
        <v>3.4027287752739</v>
      </c>
    </row>
    <row r="550" customFormat="false" ht="17.15" hidden="false" customHeight="false" outlineLevel="0" collapsed="false">
      <c r="A550" s="4" t="s">
        <v>466</v>
      </c>
      <c r="B550" s="4" t="s">
        <v>416</v>
      </c>
      <c r="D550" s="19" t="n">
        <f aca="false">D536/fx/(odm_gb*(1-vr26)+odm_vr*vr26)</f>
        <v>24.0630682003257</v>
      </c>
      <c r="E550" s="19" t="n">
        <f aca="false">E536/fx/odm_vr</f>
        <v>29.4659178112417</v>
      </c>
      <c r="F550" s="19" t="n">
        <f aca="false">F536/fx/odm_vr</f>
        <v>37.3514911462707</v>
      </c>
      <c r="G550" s="19" t="n">
        <f aca="false">G536/fx/odm_vr</f>
        <v>40.4217909343043</v>
      </c>
      <c r="H550" s="4" t="s">
        <v>467</v>
      </c>
    </row>
    <row r="551" customFormat="false" ht="17.15" hidden="false" customHeight="false" outlineLevel="0" collapsed="false">
      <c r="A551" s="6" t="s">
        <v>468</v>
      </c>
    </row>
    <row r="552" customFormat="false" ht="17.15" hidden="false" customHeight="false" outlineLevel="0" collapsed="false">
      <c r="A552" s="4" t="s">
        <v>469</v>
      </c>
      <c r="B552" s="0" t="s">
        <v>52</v>
      </c>
      <c r="D552" s="14" t="n">
        <f aca="false">a26_gp/D545-d_ai*D547</f>
        <v>0.0621989258510762</v>
      </c>
      <c r="H552" s="8" t="s">
        <v>470</v>
      </c>
    </row>
    <row r="553" customFormat="false" ht="17.15" hidden="false" customHeight="false" outlineLevel="0" collapsed="false">
      <c r="A553" s="0" t="s">
        <v>471</v>
      </c>
      <c r="B553" s="0" t="s">
        <v>209</v>
      </c>
      <c r="D553" s="22" t="n">
        <f aca="false">($D$552+d_ai)*D536*(1-D537*(1-keep))</f>
        <v>202.8236004951</v>
      </c>
      <c r="E553" s="22" t="n">
        <f aca="false">($D$552+d_ai+vrd)*E536*(1-E537*(1-keep))</f>
        <v>347.807982730896</v>
      </c>
      <c r="F553" s="22" t="n">
        <f aca="false">($D$552+d_ai+vrd)*F536*(1-F537*(1-keep))</f>
        <v>436.433820423679</v>
      </c>
      <c r="G553" s="22" t="n">
        <f aca="false">($D$552+d_ai+vrd)*G536*(1-G537*(1-keep))</f>
        <v>469.899026179908</v>
      </c>
      <c r="H553" s="4" t="s">
        <v>472</v>
      </c>
    </row>
    <row r="554" customFormat="false" ht="15" hidden="false" customHeight="false" outlineLevel="0" collapsed="false">
      <c r="A554" s="4" t="s">
        <v>357</v>
      </c>
      <c r="B554" s="0" t="s">
        <v>209</v>
      </c>
      <c r="C554" s="19" t="n">
        <f aca="false">a25_gp</f>
        <v>498.161</v>
      </c>
      <c r="D554" s="19" t="n">
        <f aca="false">a26_gp</f>
        <v>675.8340708</v>
      </c>
      <c r="E554" s="19" t="n">
        <f aca="false">$D$552*E544+E553</f>
        <v>856.217946297324</v>
      </c>
      <c r="F554" s="19" t="n">
        <f aca="false">$D$552*F544+F553</f>
        <v>973.748191544434</v>
      </c>
      <c r="G554" s="19" t="n">
        <f aca="false">$D$552*G544+G553</f>
        <v>1034.16147793789</v>
      </c>
    </row>
    <row r="555" customFormat="false" ht="15" hidden="false" customHeight="false" outlineLevel="0" collapsed="false">
      <c r="A555" s="4" t="s">
        <v>360</v>
      </c>
      <c r="B555" s="0" t="s">
        <v>52</v>
      </c>
      <c r="C555" s="14" t="n">
        <f aca="false">C554/C545</f>
        <v>0.0614777915379352</v>
      </c>
      <c r="D555" s="14" t="n">
        <f aca="false">D554/D545</f>
        <v>0.0606089258510762</v>
      </c>
      <c r="E555" s="14" t="n">
        <f aca="false">E554/E545</f>
        <v>0.0615890677849105</v>
      </c>
      <c r="F555" s="14" t="n">
        <f aca="false">F554/F545</f>
        <v>0.064516622332216</v>
      </c>
      <c r="G555" s="14" t="n">
        <f aca="false">G554/G545</f>
        <v>0.0662065444528934</v>
      </c>
    </row>
    <row r="556" customFormat="false" ht="17.15" hidden="false" customHeight="false" outlineLevel="0" collapsed="false">
      <c r="A556" s="0" t="s">
        <v>473</v>
      </c>
      <c r="B556" s="0" t="s">
        <v>52</v>
      </c>
      <c r="D556" s="14" t="n">
        <f aca="false">D553/D538</f>
        <v>0.0571989258510762</v>
      </c>
      <c r="E556" s="14" t="n">
        <f aca="false">E553/E538</f>
        <v>0.0607188184361838</v>
      </c>
      <c r="F556" s="14" t="n">
        <f aca="false">F553/F538</f>
        <v>0.0676186841675683</v>
      </c>
      <c r="G556" s="14" t="n">
        <f aca="false">G553/G538</f>
        <v>0.0717586036063991</v>
      </c>
      <c r="H556" s="4" t="s">
        <v>474</v>
      </c>
    </row>
    <row r="557" customFormat="false" ht="15" hidden="false" customHeight="false" outlineLevel="0" collapsed="false">
      <c r="A557" s="4" t="s">
        <v>475</v>
      </c>
      <c r="B557" s="0" t="s">
        <v>209</v>
      </c>
      <c r="C557" s="19" t="n">
        <f aca="false">a25_opx</f>
        <v>238.938</v>
      </c>
      <c r="D557" s="19" t="n">
        <f aca="false">a26_opx</f>
        <v>254.8304233</v>
      </c>
      <c r="E557" s="19" t="n">
        <f aca="false">D557*(1+MAX(0,phi*E546))</f>
        <v>279.981549348728</v>
      </c>
      <c r="F557" s="19" t="n">
        <f aca="false">E557*(1+MAX(0,phi*F546))</f>
        <v>289.57497961583</v>
      </c>
      <c r="G557" s="19" t="n">
        <f aca="false">F557*(1+MAX(0,phi*G546))</f>
        <v>293.621312489115</v>
      </c>
    </row>
    <row r="558" customFormat="false" ht="15" hidden="false" customHeight="false" outlineLevel="0" collapsed="false">
      <c r="A558" s="4" t="s">
        <v>361</v>
      </c>
      <c r="B558" s="0" t="s">
        <v>209</v>
      </c>
      <c r="C558" s="19" t="n">
        <f aca="false">C557</f>
        <v>238.938</v>
      </c>
      <c r="D558" s="19" t="n">
        <f aca="false">D557</f>
        <v>254.8304233</v>
      </c>
      <c r="E558" s="19" t="n">
        <f aca="false">E557+0*E545</f>
        <v>279.981549348728</v>
      </c>
      <c r="F558" s="19" t="n">
        <f aca="false">F557+0*F545</f>
        <v>289.57497961583</v>
      </c>
      <c r="G558" s="19" t="n">
        <f aca="false">G557+0*G545</f>
        <v>293.621312489115</v>
      </c>
    </row>
    <row r="559" customFormat="false" ht="15" hidden="false" customHeight="false" outlineLevel="0" collapsed="false">
      <c r="A559" s="4" t="s">
        <v>364</v>
      </c>
      <c r="B559" s="0" t="s">
        <v>209</v>
      </c>
      <c r="C559" s="19" t="n">
        <f aca="false">C554-C558</f>
        <v>259.223</v>
      </c>
      <c r="D559" s="19" t="n">
        <f aca="false">D554-D558</f>
        <v>421.0036475</v>
      </c>
      <c r="E559" s="19" t="n">
        <f aca="false">E554-E558</f>
        <v>576.236396948597</v>
      </c>
      <c r="F559" s="19" t="n">
        <f aca="false">F554-F558</f>
        <v>684.173211928604</v>
      </c>
      <c r="G559" s="19" t="n">
        <f aca="false">G554-G558</f>
        <v>740.540165448772</v>
      </c>
    </row>
    <row r="560" customFormat="false" ht="15" hidden="false" customHeight="false" outlineLevel="0" collapsed="false">
      <c r="A560" s="4" t="s">
        <v>367</v>
      </c>
      <c r="B560" s="0" t="s">
        <v>52</v>
      </c>
      <c r="C560" s="14" t="n">
        <f aca="false">C559/C545</f>
        <v>0.0319905764518663</v>
      </c>
      <c r="D560" s="14" t="n">
        <f aca="false">D559/D545</f>
        <v>0.0377556858359561</v>
      </c>
      <c r="E560" s="14" t="n">
        <f aca="false">E559/E545</f>
        <v>0.0414495662760563</v>
      </c>
      <c r="F560" s="14" t="n">
        <f aca="false">F559/F545</f>
        <v>0.0453305537377244</v>
      </c>
      <c r="G560" s="14" t="n">
        <f aca="false">G559/G545</f>
        <v>0.0474090424260435</v>
      </c>
    </row>
    <row r="561" customFormat="false" ht="17.15" hidden="false" customHeight="false" outlineLevel="0" collapsed="false">
      <c r="A561" s="4" t="s">
        <v>243</v>
      </c>
      <c r="B561" s="0" t="s">
        <v>52</v>
      </c>
      <c r="C561" s="15" t="n">
        <f aca="false">a25_ni/a25_oi</f>
        <v>0.730467589681471</v>
      </c>
      <c r="D561" s="15" t="n">
        <f aca="false">a26_ni/a26_oi</f>
        <v>0.653811645064191</v>
      </c>
      <c r="E561" s="15" t="n">
        <f aca="false">nio_f</f>
        <v>0.66</v>
      </c>
      <c r="F561" s="15" t="n">
        <f aca="false">nio_f</f>
        <v>0.66</v>
      </c>
      <c r="G561" s="15" t="n">
        <f aca="false">nio_f</f>
        <v>0.66</v>
      </c>
    </row>
    <row r="562" customFormat="false" ht="15" hidden="false" customHeight="false" outlineLevel="0" collapsed="false">
      <c r="A562" s="4" t="s">
        <v>368</v>
      </c>
      <c r="B562" s="0" t="s">
        <v>209</v>
      </c>
      <c r="C562" s="19" t="n">
        <f aca="false">a25_ni</f>
        <v>189.354</v>
      </c>
      <c r="D562" s="19" t="n">
        <f aca="false">a26_ni</f>
        <v>275.25708735</v>
      </c>
      <c r="E562" s="19" t="n">
        <f aca="false">E559*E561</f>
        <v>380.316021986074</v>
      </c>
      <c r="F562" s="19" t="n">
        <f aca="false">F559*F561</f>
        <v>451.554319872879</v>
      </c>
      <c r="G562" s="19" t="n">
        <f aca="false">G559*G561</f>
        <v>488.75650919619</v>
      </c>
    </row>
    <row r="563" customFormat="false" ht="15" hidden="false" customHeight="false" outlineLevel="0" collapsed="false">
      <c r="A563" s="4" t="s">
        <v>476</v>
      </c>
      <c r="B563" s="4" t="s">
        <v>230</v>
      </c>
      <c r="C563" s="23" t="n">
        <f aca="false">a25_sh</f>
        <v>13.9128581925055</v>
      </c>
      <c r="D563" s="23" t="n">
        <f aca="false">a26_sh</f>
        <v>14.0169642857143</v>
      </c>
      <c r="E563" s="23" t="n">
        <f aca="false">D563*(1+sh_g)</f>
        <v>14.0169642857143</v>
      </c>
      <c r="F563" s="23" t="n">
        <f aca="false">E563*(1+sh_g)</f>
        <v>14.0169642857143</v>
      </c>
      <c r="G563" s="23" t="n">
        <f aca="false">F563*(1+sh_g)</f>
        <v>14.0169642857143</v>
      </c>
    </row>
    <row r="564" customFormat="false" ht="15" hidden="false" customHeight="false" outlineLevel="0" collapsed="false">
      <c r="A564" s="0" t="s">
        <v>374</v>
      </c>
      <c r="B564" s="0" t="s">
        <v>260</v>
      </c>
      <c r="C564" s="22" t="n">
        <f aca="false">C562/C563</f>
        <v>13.61</v>
      </c>
      <c r="D564" s="22" t="n">
        <f aca="false">D562/D563</f>
        <v>19.6374251756163</v>
      </c>
      <c r="E564" s="22" t="n">
        <f aca="false">E562/E563</f>
        <v>27.1325526864388</v>
      </c>
      <c r="F564" s="22" t="n">
        <f aca="false">F562/F563</f>
        <v>32.2148441466096</v>
      </c>
      <c r="G564" s="22" t="n">
        <f aca="false">G562/G563</f>
        <v>34.8689273393039</v>
      </c>
    </row>
    <row r="565" customFormat="false" ht="17.15" hidden="false" customHeight="false" outlineLevel="0" collapsed="false">
      <c r="A565" s="0" t="s">
        <v>477</v>
      </c>
      <c r="B565" s="0" t="s">
        <v>52</v>
      </c>
      <c r="D565" s="15" t="n">
        <f aca="false">D564/C564-1</f>
        <v>0.442867389832203</v>
      </c>
      <c r="E565" s="15" t="n">
        <f aca="false">E564/D564-1</f>
        <v>0.381675675084389</v>
      </c>
      <c r="F565" s="15" t="n">
        <f aca="false">F564/E564-1</f>
        <v>0.187313428224208</v>
      </c>
      <c r="G565" s="15" t="n">
        <f aca="false">G564/F564-1</f>
        <v>0.0823869636188712</v>
      </c>
    </row>
    <row r="568" customFormat="false" ht="17.15" hidden="false" customHeight="false" outlineLevel="0" collapsed="false">
      <c r="A568" s="1" t="s">
        <v>796</v>
      </c>
    </row>
    <row r="569" customFormat="false" ht="17.15" hidden="false" customHeight="false" outlineLevel="0" collapsed="false">
      <c r="A569" s="5" t="s">
        <v>21</v>
      </c>
      <c r="B569" s="5" t="s">
        <v>22</v>
      </c>
      <c r="C569" s="11" t="s">
        <v>347</v>
      </c>
      <c r="D569" s="11" t="s">
        <v>429</v>
      </c>
      <c r="E569" s="11" t="s">
        <v>430</v>
      </c>
      <c r="F569" s="11" t="s">
        <v>431</v>
      </c>
      <c r="G569" s="11" t="s">
        <v>432</v>
      </c>
      <c r="H569" s="5" t="s">
        <v>400</v>
      </c>
    </row>
    <row r="570" customFormat="false" ht="17.15" hidden="false" customHeight="false" outlineLevel="0" collapsed="false">
      <c r="A570" s="6" t="s">
        <v>446</v>
      </c>
    </row>
    <row r="571" customFormat="false" ht="17.15" hidden="false" customHeight="false" outlineLevel="0" collapsed="false">
      <c r="A571" s="0" t="s">
        <v>447</v>
      </c>
      <c r="B571" s="0" t="s">
        <v>32</v>
      </c>
      <c r="D571" s="22" t="n">
        <f aca="false">itc_26*1</f>
        <v>781.872916666666</v>
      </c>
      <c r="E571" s="22" t="n">
        <f aca="false">itc_27*1*1</f>
        <v>1565.35</v>
      </c>
      <c r="F571" s="22" t="n">
        <f aca="false">itc_28*um28_A*1</f>
        <v>1984.26388888889</v>
      </c>
      <c r="G571" s="22" t="n">
        <f aca="false">itc_29*um29_A*1</f>
        <v>2260.39027777778</v>
      </c>
    </row>
    <row r="572" customFormat="false" ht="17.15" hidden="false" customHeight="false" outlineLevel="0" collapsed="false">
      <c r="A572" s="4" t="s">
        <v>448</v>
      </c>
      <c r="B572" s="0" t="s">
        <v>32</v>
      </c>
      <c r="D572" s="22" t="n">
        <f aca="false">itpg_gb*(1-vr26)+itpg_vr*vr26</f>
        <v>33.41403216</v>
      </c>
      <c r="E572" s="22" t="n">
        <f aca="false">itpg_vr</f>
        <v>37.586352</v>
      </c>
      <c r="F572" s="22" t="n">
        <f aca="false">itpg_vr</f>
        <v>37.586352</v>
      </c>
      <c r="G572" s="22" t="n">
        <f aca="false">itpg_vr</f>
        <v>37.586352</v>
      </c>
    </row>
    <row r="573" customFormat="false" ht="17.15" hidden="false" customHeight="false" outlineLevel="0" collapsed="false">
      <c r="A573" s="4" t="s">
        <v>449</v>
      </c>
      <c r="B573" s="0" t="s">
        <v>402</v>
      </c>
      <c r="D573" s="18" t="n">
        <f aca="false">D571/D572</f>
        <v>23.3995380420639</v>
      </c>
      <c r="E573" s="18" t="n">
        <f aca="false">E571/E572</f>
        <v>41.6467658260637</v>
      </c>
      <c r="F573" s="18" t="n">
        <f aca="false">F571/F572</f>
        <v>52.792138191248</v>
      </c>
      <c r="G573" s="18" t="n">
        <f aca="false">G571/G572</f>
        <v>60.1385917361116</v>
      </c>
    </row>
    <row r="574" customFormat="false" ht="17.15" hidden="false" customHeight="false" outlineLevel="0" collapsed="false">
      <c r="A574" s="4" t="s">
        <v>404</v>
      </c>
      <c r="B574" s="0" t="s">
        <v>405</v>
      </c>
      <c r="D574" s="16" t="n">
        <f aca="false">(racks_gb*odm_gb*(1-vr26)+racks_vr*odm_vr*vr26)/1000</f>
        <v>27.1209</v>
      </c>
      <c r="E574" s="16" t="n">
        <f aca="false">racks_vr*odm_vr/1000</f>
        <v>27.351</v>
      </c>
      <c r="F574" s="16" t="n">
        <f aca="false">$E574*vpg_28</f>
        <v>27.351</v>
      </c>
      <c r="G574" s="16" t="n">
        <f aca="false">$E574*vpg_29</f>
        <v>27.351</v>
      </c>
      <c r="H574" s="4" t="s">
        <v>450</v>
      </c>
    </row>
    <row r="575" customFormat="false" ht="17.15" hidden="false" customHeight="false" outlineLevel="0" collapsed="false">
      <c r="A575" s="0" t="s">
        <v>451</v>
      </c>
      <c r="B575" s="0" t="s">
        <v>32</v>
      </c>
      <c r="D575" s="19" t="n">
        <f aca="false">D573*D574</f>
        <v>634.61653128501</v>
      </c>
      <c r="E575" s="19" t="n">
        <f aca="false">E573*E574</f>
        <v>1139.08069210867</v>
      </c>
      <c r="F575" s="19" t="n">
        <f aca="false">F573*F574</f>
        <v>1443.91777166882</v>
      </c>
      <c r="G575" s="19" t="n">
        <f aca="false">G573*G574</f>
        <v>1644.85062257439</v>
      </c>
    </row>
    <row r="576" customFormat="false" ht="17.15" hidden="false" customHeight="false" outlineLevel="0" collapsed="false">
      <c r="A576" s="0" t="s">
        <v>452</v>
      </c>
      <c r="B576" s="0" t="s">
        <v>209</v>
      </c>
      <c r="D576" s="19" t="n">
        <f aca="false">D575*fx</f>
        <v>20307.7290011203</v>
      </c>
      <c r="E576" s="19" t="n">
        <f aca="false">E575*fx</f>
        <v>36450.5821474774</v>
      </c>
      <c r="F576" s="19" t="n">
        <f aca="false">F575*fx</f>
        <v>46205.3686934024</v>
      </c>
      <c r="G576" s="19" t="n">
        <f aca="false">G575*fx</f>
        <v>52635.2199223804</v>
      </c>
    </row>
    <row r="577" customFormat="false" ht="17.15" hidden="false" customHeight="false" outlineLevel="0" collapsed="false">
      <c r="A577" s="4" t="s">
        <v>453</v>
      </c>
      <c r="B577" s="0" t="s">
        <v>52</v>
      </c>
      <c r="D577" s="15" t="n">
        <f aca="false">a26_ai/D576</f>
        <v>0.174610057569922</v>
      </c>
      <c r="H577" s="8" t="s">
        <v>454</v>
      </c>
    </row>
    <row r="578" customFormat="false" ht="17.15" hidden="false" customHeight="false" outlineLevel="0" collapsed="false">
      <c r="A578" s="4" t="s">
        <v>455</v>
      </c>
      <c r="B578" s="0" t="s">
        <v>71</v>
      </c>
      <c r="D578" s="16" t="n">
        <f aca="false">1</f>
        <v>1</v>
      </c>
      <c r="E578" s="16" t="n">
        <f aca="false">rel_27</f>
        <v>1</v>
      </c>
      <c r="F578" s="16" t="n">
        <f aca="false">rel_28</f>
        <v>1</v>
      </c>
      <c r="G578" s="16" t="n">
        <f aca="false">rel_29</f>
        <v>0.95</v>
      </c>
    </row>
    <row r="579" customFormat="false" ht="15" hidden="false" customHeight="false" outlineLevel="0" collapsed="false">
      <c r="A579" s="4" t="s">
        <v>456</v>
      </c>
      <c r="B579" s="0" t="s">
        <v>52</v>
      </c>
      <c r="D579" s="15" t="n">
        <f aca="false">$D$577*D578</f>
        <v>0.174610057569922</v>
      </c>
      <c r="E579" s="15" t="n">
        <f aca="false">$D$577*E578</f>
        <v>0.174610057569922</v>
      </c>
      <c r="F579" s="15" t="n">
        <f aca="false">$D$577*F578</f>
        <v>0.174610057569922</v>
      </c>
      <c r="G579" s="15" t="n">
        <f aca="false">$D$577*G578</f>
        <v>0.165879554691426</v>
      </c>
    </row>
    <row r="580" customFormat="false" ht="17.15" hidden="false" customHeight="false" outlineLevel="0" collapsed="false">
      <c r="A580" s="0" t="s">
        <v>457</v>
      </c>
      <c r="B580" s="0" t="s">
        <v>209</v>
      </c>
      <c r="D580" s="19" t="n">
        <f aca="false">D576*D579</f>
        <v>3545.93373</v>
      </c>
      <c r="E580" s="19" t="n">
        <f aca="false">E576*E579</f>
        <v>6364.6382472282</v>
      </c>
      <c r="F580" s="19" t="n">
        <f aca="false">F576*F579</f>
        <v>8067.92208759447</v>
      </c>
      <c r="G580" s="19" t="n">
        <f aca="false">G576*G579</f>
        <v>8731.10684180974</v>
      </c>
    </row>
    <row r="581" customFormat="false" ht="17.15" hidden="false" customHeight="false" outlineLevel="0" collapsed="false">
      <c r="A581" s="4" t="s">
        <v>458</v>
      </c>
      <c r="B581" s="0" t="s">
        <v>52</v>
      </c>
      <c r="D581" s="15" t="n">
        <f aca="false">0</f>
        <v>0</v>
      </c>
      <c r="E581" s="15" t="n">
        <f aca="false">cs_27</f>
        <v>0.1</v>
      </c>
      <c r="F581" s="15" t="n">
        <f aca="false">cs_28</f>
        <v>0.2</v>
      </c>
      <c r="G581" s="15" t="n">
        <f aca="false">cs_29</f>
        <v>0.25</v>
      </c>
      <c r="H581" s="8" t="s">
        <v>459</v>
      </c>
    </row>
    <row r="582" customFormat="false" ht="17.15" hidden="false" customHeight="false" outlineLevel="0" collapsed="false">
      <c r="A582" s="0" t="s">
        <v>460</v>
      </c>
      <c r="B582" s="0" t="s">
        <v>209</v>
      </c>
      <c r="C582" s="19" t="n">
        <f aca="false">a25_ai</f>
        <v>1620.621</v>
      </c>
      <c r="D582" s="19" t="n">
        <f aca="false">D580*(1-D581)</f>
        <v>3545.93373</v>
      </c>
      <c r="E582" s="19" t="n">
        <f aca="false">E580*(1-E581)</f>
        <v>5728.17442250538</v>
      </c>
      <c r="F582" s="19" t="n">
        <f aca="false">F580*(1-F581)</f>
        <v>6454.33767007557</v>
      </c>
      <c r="G582" s="19" t="n">
        <f aca="false">G580*(1-G581)</f>
        <v>6548.3301313573</v>
      </c>
    </row>
    <row r="583" customFormat="false" ht="17.15" hidden="false" customHeight="false" outlineLevel="0" collapsed="false">
      <c r="A583" s="6" t="s">
        <v>461</v>
      </c>
    </row>
    <row r="584" customFormat="false" ht="17.15" hidden="false" customHeight="false" outlineLevel="0" collapsed="false">
      <c r="A584" s="4" t="s">
        <v>382</v>
      </c>
      <c r="B584" s="0" t="s">
        <v>209</v>
      </c>
      <c r="C584" s="19" t="n">
        <f aca="false">a25_cn</f>
        <v>1620.621</v>
      </c>
      <c r="D584" s="19" t="n">
        <f aca="false">a26_cn</f>
        <v>2363.95582</v>
      </c>
      <c r="E584" s="19" t="n">
        <f aca="false">D584*(1+GCNLO27)</f>
        <v>2363.95582</v>
      </c>
      <c r="F584" s="19" t="n">
        <f aca="false">E584*(1+GCNLO28)</f>
        <v>2245.758029</v>
      </c>
      <c r="G584" s="19" t="n">
        <f aca="false">F584*(1+GCNLO29)</f>
        <v>2133.47012755</v>
      </c>
    </row>
    <row r="585" customFormat="false" ht="17.15" hidden="false" customHeight="false" outlineLevel="0" collapsed="false">
      <c r="A585" s="4" t="s">
        <v>383</v>
      </c>
      <c r="B585" s="0" t="s">
        <v>209</v>
      </c>
      <c r="C585" s="19" t="n">
        <f aca="false">a25_ce</f>
        <v>3079.1799</v>
      </c>
      <c r="D585" s="19" t="n">
        <f aca="false">a26_ce</f>
        <v>3345.2205</v>
      </c>
      <c r="E585" s="19" t="n">
        <f aca="false">D585*(1+g_ce27)</f>
        <v>3445.577115</v>
      </c>
      <c r="F585" s="19" t="n">
        <f aca="false">E585*(1+g_ce28)</f>
        <v>3514.4886573</v>
      </c>
      <c r="G585" s="19" t="n">
        <f aca="false">F585*(1+g_ce29)</f>
        <v>3584.778430446</v>
      </c>
    </row>
    <row r="586" customFormat="false" ht="15" hidden="false" customHeight="false" outlineLevel="0" collapsed="false">
      <c r="A586" s="4" t="s">
        <v>384</v>
      </c>
      <c r="B586" s="0" t="s">
        <v>209</v>
      </c>
      <c r="C586" s="19" t="n">
        <f aca="false">a25_pc</f>
        <v>1215.46575</v>
      </c>
      <c r="D586" s="19" t="n">
        <f aca="false">a26_pc</f>
        <v>1338.0882</v>
      </c>
      <c r="E586" s="19" t="n">
        <f aca="false">D586*(1+g_pc27)</f>
        <v>1311.326436</v>
      </c>
      <c r="F586" s="19" t="n">
        <f aca="false">E586*(1+g_pc28)</f>
        <v>1311.326436</v>
      </c>
      <c r="G586" s="19" t="n">
        <f aca="false">F586*(1+g_pc29)</f>
        <v>1311.326436</v>
      </c>
    </row>
    <row r="587" customFormat="false" ht="15" hidden="false" customHeight="false" outlineLevel="0" collapsed="false">
      <c r="A587" s="4" t="s">
        <v>462</v>
      </c>
      <c r="B587" s="0" t="s">
        <v>209</v>
      </c>
      <c r="C587" s="19" t="n">
        <f aca="false">a25_co</f>
        <v>567.217349999999</v>
      </c>
      <c r="D587" s="19" t="n">
        <f aca="false">a26_co</f>
        <v>557.53675</v>
      </c>
      <c r="E587" s="19" t="n">
        <f aca="false">D587*(1+g_co27)</f>
        <v>602.13969</v>
      </c>
      <c r="F587" s="19" t="n">
        <f aca="false">E587*(1+g_co28)</f>
        <v>638.2680714</v>
      </c>
      <c r="G587" s="19" t="n">
        <f aca="false">F587*(1+g_co29)</f>
        <v>670.18147497</v>
      </c>
    </row>
    <row r="588" customFormat="false" ht="17.15" hidden="false" customHeight="false" outlineLevel="0" collapsed="false">
      <c r="A588" s="4" t="s">
        <v>387</v>
      </c>
      <c r="B588" s="0" t="s">
        <v>209</v>
      </c>
      <c r="C588" s="19" t="n">
        <f aca="false">SUM(C584:C587)</f>
        <v>6482.484</v>
      </c>
      <c r="D588" s="19" t="n">
        <f aca="false">SUM(D584:D587)</f>
        <v>7604.80127</v>
      </c>
      <c r="E588" s="19" t="n">
        <f aca="false">SUM(E584:E587)</f>
        <v>7722.999061</v>
      </c>
      <c r="F588" s="19" t="n">
        <f aca="false">SUM(F584:F587)</f>
        <v>7709.8411937</v>
      </c>
      <c r="G588" s="19" t="n">
        <f aca="false">SUM(G584:G587)</f>
        <v>7699.756468966</v>
      </c>
    </row>
    <row r="589" customFormat="false" ht="15" hidden="false" customHeight="false" outlineLevel="0" collapsed="false">
      <c r="A589" s="4" t="s">
        <v>353</v>
      </c>
      <c r="B589" s="0" t="s">
        <v>209</v>
      </c>
      <c r="C589" s="19" t="n">
        <f aca="false">C582+C588</f>
        <v>8103.105</v>
      </c>
      <c r="D589" s="19" t="n">
        <f aca="false">D582+D588</f>
        <v>11150.735</v>
      </c>
      <c r="E589" s="19" t="n">
        <f aca="false">E582+E588</f>
        <v>13451.1734835054</v>
      </c>
      <c r="F589" s="19" t="n">
        <f aca="false">F582+F588</f>
        <v>14164.1788637756</v>
      </c>
      <c r="G589" s="19" t="n">
        <f aca="false">G582+G588</f>
        <v>14248.0866003233</v>
      </c>
    </row>
    <row r="590" customFormat="false" ht="15" hidden="false" customHeight="false" outlineLevel="0" collapsed="false">
      <c r="A590" s="4" t="s">
        <v>463</v>
      </c>
      <c r="B590" s="0" t="s">
        <v>52</v>
      </c>
      <c r="D590" s="15" t="n">
        <f aca="false">D589/C589-1</f>
        <v>0.376106443147411</v>
      </c>
      <c r="E590" s="15" t="n">
        <f aca="false">E589/D589-1</f>
        <v>0.206303753385349</v>
      </c>
      <c r="F590" s="15" t="n">
        <f aca="false">F589/E589-1</f>
        <v>0.053006927696273</v>
      </c>
      <c r="G590" s="15" t="n">
        <f aca="false">G589/F589-1</f>
        <v>0.00592393935114188</v>
      </c>
    </row>
    <row r="591" customFormat="false" ht="17.15" hidden="false" customHeight="false" outlineLevel="0" collapsed="false">
      <c r="A591" s="0" t="s">
        <v>464</v>
      </c>
      <c r="B591" s="0" t="s">
        <v>52</v>
      </c>
      <c r="C591" s="15" t="n">
        <f aca="false">C582/C589</f>
        <v>0.2</v>
      </c>
      <c r="D591" s="15" t="n">
        <f aca="false">D582/D589</f>
        <v>0.318</v>
      </c>
      <c r="E591" s="15" t="n">
        <f aca="false">E582/E589</f>
        <v>0.425849419720116</v>
      </c>
      <c r="F591" s="15" t="n">
        <f aca="false">F582/F589</f>
        <v>0.455680327970323</v>
      </c>
      <c r="G591" s="15" t="n">
        <f aca="false">G582/G589</f>
        <v>0.459593650364865</v>
      </c>
    </row>
    <row r="592" customFormat="false" ht="17.15" hidden="false" customHeight="false" outlineLevel="0" collapsed="false">
      <c r="A592" s="4" t="s">
        <v>465</v>
      </c>
      <c r="B592" s="0" t="s">
        <v>52</v>
      </c>
      <c r="C592" s="15" t="n">
        <f aca="false">(C582+C584)/C589</f>
        <v>0.4</v>
      </c>
      <c r="D592" s="15" t="n">
        <f aca="false">(D582+D584)/D589</f>
        <v>0.53</v>
      </c>
      <c r="E592" s="15" t="n">
        <f aca="false">(E582+E584)/E589</f>
        <v>0.601592883507779</v>
      </c>
      <c r="F592" s="15" t="n">
        <f aca="false">(F582+F584)/F589</f>
        <v>0.6142322673802</v>
      </c>
      <c r="G592" s="15" t="n">
        <f aca="false">(G582+G584)/G589</f>
        <v>0.609330958074771</v>
      </c>
    </row>
    <row r="593" customFormat="false" ht="17.15" hidden="false" customHeight="false" outlineLevel="0" collapsed="false">
      <c r="A593" s="4" t="s">
        <v>418</v>
      </c>
      <c r="B593" s="0" t="s">
        <v>405</v>
      </c>
      <c r="D593" s="16" t="n">
        <f aca="false">D582/fx/D573</f>
        <v>4.7355819103481</v>
      </c>
      <c r="E593" s="16" t="n">
        <f aca="false">E582/fx/E573</f>
        <v>4.29818371613545</v>
      </c>
      <c r="F593" s="16" t="n">
        <f aca="false">F582/fx/F573</f>
        <v>3.82060774767595</v>
      </c>
      <c r="G593" s="16" t="n">
        <f aca="false">G582/fx/G573</f>
        <v>3.4027287752739</v>
      </c>
    </row>
    <row r="594" customFormat="false" ht="17.15" hidden="false" customHeight="false" outlineLevel="0" collapsed="false">
      <c r="A594" s="4" t="s">
        <v>466</v>
      </c>
      <c r="B594" s="4" t="s">
        <v>416</v>
      </c>
      <c r="D594" s="19" t="n">
        <f aca="false">D580/fx/(odm_gb*(1-vr26)+odm_vr*vr26)</f>
        <v>24.0630682003257</v>
      </c>
      <c r="E594" s="19" t="n">
        <f aca="false">E580/fx/odm_vr</f>
        <v>29.4659178112417</v>
      </c>
      <c r="F594" s="19" t="n">
        <f aca="false">F580/fx/odm_vr</f>
        <v>37.3514911462707</v>
      </c>
      <c r="G594" s="19" t="n">
        <f aca="false">G580/fx/odm_vr</f>
        <v>40.4217909343043</v>
      </c>
      <c r="H594" s="4" t="s">
        <v>467</v>
      </c>
    </row>
    <row r="595" customFormat="false" ht="17.15" hidden="false" customHeight="false" outlineLevel="0" collapsed="false">
      <c r="A595" s="6" t="s">
        <v>468</v>
      </c>
    </row>
    <row r="596" customFormat="false" ht="17.15" hidden="false" customHeight="false" outlineLevel="0" collapsed="false">
      <c r="A596" s="4" t="s">
        <v>469</v>
      </c>
      <c r="B596" s="0" t="s">
        <v>52</v>
      </c>
      <c r="D596" s="14" t="n">
        <f aca="false">a26_gp/D589-d_ai*D591</f>
        <v>0.0621989258510762</v>
      </c>
      <c r="H596" s="8" t="s">
        <v>470</v>
      </c>
    </row>
    <row r="597" customFormat="false" ht="17.15" hidden="false" customHeight="false" outlineLevel="0" collapsed="false">
      <c r="A597" s="0" t="s">
        <v>471</v>
      </c>
      <c r="B597" s="0" t="s">
        <v>209</v>
      </c>
      <c r="D597" s="22" t="n">
        <f aca="false">($D$596+d_ai)*D580*(1-D581*(1-keep))</f>
        <v>202.8236004951</v>
      </c>
      <c r="E597" s="22" t="n">
        <f aca="false">($D$596+d_ai+vrd)*E580*(1-E581*(1-keep))</f>
        <v>347.807982730896</v>
      </c>
      <c r="F597" s="22" t="n">
        <f aca="false">($D$596+d_ai+vrd)*F580*(1-F581*(1-keep))</f>
        <v>436.433820423679</v>
      </c>
      <c r="G597" s="22" t="n">
        <f aca="false">($D$596+d_ai+vrd)*G580*(1-G581*(1-keep))</f>
        <v>469.899026179908</v>
      </c>
      <c r="H597" s="4" t="s">
        <v>472</v>
      </c>
    </row>
    <row r="598" customFormat="false" ht="15" hidden="false" customHeight="false" outlineLevel="0" collapsed="false">
      <c r="A598" s="4" t="s">
        <v>357</v>
      </c>
      <c r="B598" s="0" t="s">
        <v>209</v>
      </c>
      <c r="C598" s="19" t="n">
        <f aca="false">a25_gp</f>
        <v>498.161</v>
      </c>
      <c r="D598" s="19" t="n">
        <f aca="false">a26_gp</f>
        <v>675.8340708</v>
      </c>
      <c r="E598" s="19" t="n">
        <f aca="false">$D$596*E588+E597</f>
        <v>828.170228673966</v>
      </c>
      <c r="F598" s="19" t="n">
        <f aca="false">$D$596*F588+F597</f>
        <v>915.977661154198</v>
      </c>
      <c r="G598" s="19" t="n">
        <f aca="false">$D$596*G588+G597</f>
        <v>948.815607864468</v>
      </c>
    </row>
    <row r="599" customFormat="false" ht="15" hidden="false" customHeight="false" outlineLevel="0" collapsed="false">
      <c r="A599" s="4" t="s">
        <v>360</v>
      </c>
      <c r="B599" s="0" t="s">
        <v>52</v>
      </c>
      <c r="C599" s="14" t="n">
        <f aca="false">C598/C589</f>
        <v>0.0614777915379352</v>
      </c>
      <c r="D599" s="14" t="n">
        <f aca="false">D598/D589</f>
        <v>0.0606089258510762</v>
      </c>
      <c r="E599" s="14" t="n">
        <f aca="false">E598/E589</f>
        <v>0.0615686229673208</v>
      </c>
      <c r="F599" s="14" t="n">
        <f aca="false">F598/F589</f>
        <v>0.0646686030982552</v>
      </c>
      <c r="G599" s="14" t="n">
        <f aca="false">G598/G589</f>
        <v>0.0665924930469568</v>
      </c>
    </row>
    <row r="600" customFormat="false" ht="17.15" hidden="false" customHeight="false" outlineLevel="0" collapsed="false">
      <c r="A600" s="0" t="s">
        <v>473</v>
      </c>
      <c r="B600" s="0" t="s">
        <v>52</v>
      </c>
      <c r="D600" s="14" t="n">
        <f aca="false">D597/D582</f>
        <v>0.0571989258510762</v>
      </c>
      <c r="E600" s="14" t="n">
        <f aca="false">E597/E582</f>
        <v>0.0607188184361838</v>
      </c>
      <c r="F600" s="14" t="n">
        <f aca="false">F597/F582</f>
        <v>0.0676186841675683</v>
      </c>
      <c r="G600" s="14" t="n">
        <f aca="false">G597/G582</f>
        <v>0.0717586036063991</v>
      </c>
      <c r="H600" s="4" t="s">
        <v>474</v>
      </c>
    </row>
    <row r="601" customFormat="false" ht="15" hidden="false" customHeight="false" outlineLevel="0" collapsed="false">
      <c r="A601" s="4" t="s">
        <v>475</v>
      </c>
      <c r="B601" s="0" t="s">
        <v>209</v>
      </c>
      <c r="C601" s="19" t="n">
        <f aca="false">a25_opx</f>
        <v>238.938</v>
      </c>
      <c r="D601" s="19" t="n">
        <f aca="false">a26_opx</f>
        <v>254.8304233</v>
      </c>
      <c r="E601" s="19" t="n">
        <f aca="false">D601*(1+MAX(0,phi*E590))</f>
        <v>275.859412421427</v>
      </c>
      <c r="F601" s="19" t="n">
        <f aca="false">E601*(1+MAX(0,phi*F590))</f>
        <v>281.70839639285</v>
      </c>
      <c r="G601" s="19" t="n">
        <f aca="false">F601*(1+MAX(0,phi*G590))</f>
        <v>282.375925774826</v>
      </c>
    </row>
    <row r="602" customFormat="false" ht="15" hidden="false" customHeight="false" outlineLevel="0" collapsed="false">
      <c r="A602" s="4" t="s">
        <v>361</v>
      </c>
      <c r="B602" s="0" t="s">
        <v>209</v>
      </c>
      <c r="C602" s="19" t="n">
        <f aca="false">C601</f>
        <v>238.938</v>
      </c>
      <c r="D602" s="19" t="n">
        <f aca="false">D601</f>
        <v>254.8304233</v>
      </c>
      <c r="E602" s="19" t="n">
        <f aca="false">E601+0*E589</f>
        <v>275.859412421427</v>
      </c>
      <c r="F602" s="19" t="n">
        <f aca="false">F601+0*F589</f>
        <v>281.70839639285</v>
      </c>
      <c r="G602" s="19" t="n">
        <f aca="false">G601+0*G589</f>
        <v>282.375925774826</v>
      </c>
    </row>
    <row r="603" customFormat="false" ht="15" hidden="false" customHeight="false" outlineLevel="0" collapsed="false">
      <c r="A603" s="4" t="s">
        <v>364</v>
      </c>
      <c r="B603" s="0" t="s">
        <v>209</v>
      </c>
      <c r="C603" s="19" t="n">
        <f aca="false">C598-C602</f>
        <v>259.223</v>
      </c>
      <c r="D603" s="19" t="n">
        <f aca="false">D598-D602</f>
        <v>421.0036475</v>
      </c>
      <c r="E603" s="19" t="n">
        <f aca="false">E598-E602</f>
        <v>552.310816252539</v>
      </c>
      <c r="F603" s="19" t="n">
        <f aca="false">F598-F602</f>
        <v>634.269264761348</v>
      </c>
      <c r="G603" s="19" t="n">
        <f aca="false">G598-G602</f>
        <v>666.439682089642</v>
      </c>
    </row>
    <row r="604" customFormat="false" ht="15" hidden="false" customHeight="false" outlineLevel="0" collapsed="false">
      <c r="A604" s="4" t="s">
        <v>367</v>
      </c>
      <c r="B604" s="0" t="s">
        <v>52</v>
      </c>
      <c r="C604" s="14" t="n">
        <f aca="false">C603/C589</f>
        <v>0.0319905764518663</v>
      </c>
      <c r="D604" s="14" t="n">
        <f aca="false">D603/D589</f>
        <v>0.0377556858359561</v>
      </c>
      <c r="E604" s="14" t="n">
        <f aca="false">E603/E589</f>
        <v>0.0410604187753444</v>
      </c>
      <c r="F604" s="14" t="n">
        <f aca="false">F603/F589</f>
        <v>0.0447798118663603</v>
      </c>
      <c r="G604" s="14" t="n">
        <f aca="false">G603/G589</f>
        <v>0.04677397750197</v>
      </c>
    </row>
    <row r="605" customFormat="false" ht="17.15" hidden="false" customHeight="false" outlineLevel="0" collapsed="false">
      <c r="A605" s="4" t="s">
        <v>243</v>
      </c>
      <c r="B605" s="0" t="s">
        <v>52</v>
      </c>
      <c r="C605" s="15" t="n">
        <f aca="false">a25_ni/a25_oi</f>
        <v>0.730467589681471</v>
      </c>
      <c r="D605" s="15" t="n">
        <f aca="false">a26_ni/a26_oi</f>
        <v>0.653811645064191</v>
      </c>
      <c r="E605" s="15" t="n">
        <f aca="false">nio_f</f>
        <v>0.66</v>
      </c>
      <c r="F605" s="15" t="n">
        <f aca="false">nio_f</f>
        <v>0.66</v>
      </c>
      <c r="G605" s="15" t="n">
        <f aca="false">nio_f</f>
        <v>0.66</v>
      </c>
    </row>
    <row r="606" customFormat="false" ht="15" hidden="false" customHeight="false" outlineLevel="0" collapsed="false">
      <c r="A606" s="4" t="s">
        <v>368</v>
      </c>
      <c r="B606" s="0" t="s">
        <v>209</v>
      </c>
      <c r="C606" s="19" t="n">
        <f aca="false">a25_ni</f>
        <v>189.354</v>
      </c>
      <c r="D606" s="19" t="n">
        <f aca="false">a26_ni</f>
        <v>275.25708735</v>
      </c>
      <c r="E606" s="19" t="n">
        <f aca="false">E603*E605</f>
        <v>364.525138726676</v>
      </c>
      <c r="F606" s="19" t="n">
        <f aca="false">F603*F605</f>
        <v>418.617714742489</v>
      </c>
      <c r="G606" s="19" t="n">
        <f aca="false">G603*G605</f>
        <v>439.850190179164</v>
      </c>
    </row>
    <row r="607" customFormat="false" ht="15" hidden="false" customHeight="false" outlineLevel="0" collapsed="false">
      <c r="A607" s="4" t="s">
        <v>476</v>
      </c>
      <c r="B607" s="4" t="s">
        <v>230</v>
      </c>
      <c r="C607" s="23" t="n">
        <f aca="false">a25_sh</f>
        <v>13.9128581925055</v>
      </c>
      <c r="D607" s="23" t="n">
        <f aca="false">a26_sh</f>
        <v>14.0169642857143</v>
      </c>
      <c r="E607" s="23" t="n">
        <f aca="false">D607*(1+sh_g)</f>
        <v>14.0169642857143</v>
      </c>
      <c r="F607" s="23" t="n">
        <f aca="false">E607*(1+sh_g)</f>
        <v>14.0169642857143</v>
      </c>
      <c r="G607" s="23" t="n">
        <f aca="false">F607*(1+sh_g)</f>
        <v>14.0169642857143</v>
      </c>
    </row>
    <row r="608" customFormat="false" ht="15" hidden="false" customHeight="false" outlineLevel="0" collapsed="false">
      <c r="A608" s="0" t="s">
        <v>374</v>
      </c>
      <c r="B608" s="0" t="s">
        <v>260</v>
      </c>
      <c r="C608" s="22" t="n">
        <f aca="false">C606/C607</f>
        <v>13.61</v>
      </c>
      <c r="D608" s="22" t="n">
        <f aca="false">D606/D607</f>
        <v>19.6374251756163</v>
      </c>
      <c r="E608" s="22" t="n">
        <f aca="false">E606/E607</f>
        <v>26.0059975395807</v>
      </c>
      <c r="F608" s="22" t="n">
        <f aca="false">F606/F607</f>
        <v>29.8650767890686</v>
      </c>
      <c r="G608" s="22" t="n">
        <f aca="false">G606/G607</f>
        <v>31.3798466781746</v>
      </c>
    </row>
    <row r="609" customFormat="false" ht="17.15" hidden="false" customHeight="false" outlineLevel="0" collapsed="false">
      <c r="A609" s="0" t="s">
        <v>477</v>
      </c>
      <c r="B609" s="0" t="s">
        <v>52</v>
      </c>
      <c r="D609" s="15" t="n">
        <f aca="false">D608/C608-1</f>
        <v>0.442867389832203</v>
      </c>
      <c r="E609" s="15" t="n">
        <f aca="false">E608/D608-1</f>
        <v>0.324307912417776</v>
      </c>
      <c r="F609" s="15" t="n">
        <f aca="false">F608/E608-1</f>
        <v>0.148391894739453</v>
      </c>
      <c r="G609" s="15" t="n">
        <f aca="false">G608/F608-1</f>
        <v>0.0507204417991141</v>
      </c>
    </row>
    <row r="612" customFormat="false" ht="17.15" hidden="false" customHeight="false" outlineLevel="0" collapsed="false">
      <c r="A612" s="1" t="s">
        <v>797</v>
      </c>
    </row>
    <row r="613" customFormat="false" ht="17.15" hidden="false" customHeight="false" outlineLevel="0" collapsed="false">
      <c r="A613" s="5" t="s">
        <v>21</v>
      </c>
      <c r="B613" s="5" t="s">
        <v>22</v>
      </c>
      <c r="C613" s="11" t="s">
        <v>347</v>
      </c>
      <c r="D613" s="11" t="s">
        <v>429</v>
      </c>
      <c r="E613" s="11" t="s">
        <v>430</v>
      </c>
      <c r="F613" s="11" t="s">
        <v>431</v>
      </c>
      <c r="G613" s="11" t="s">
        <v>432</v>
      </c>
      <c r="H613" s="5" t="s">
        <v>400</v>
      </c>
    </row>
    <row r="614" customFormat="false" ht="17.15" hidden="false" customHeight="false" outlineLevel="0" collapsed="false">
      <c r="A614" s="6" t="s">
        <v>446</v>
      </c>
    </row>
    <row r="615" customFormat="false" ht="17.15" hidden="false" customHeight="false" outlineLevel="0" collapsed="false">
      <c r="A615" s="0" t="s">
        <v>447</v>
      </c>
      <c r="B615" s="0" t="s">
        <v>32</v>
      </c>
      <c r="D615" s="22" t="n">
        <f aca="false">itc_26*1</f>
        <v>781.872916666666</v>
      </c>
      <c r="E615" s="22" t="n">
        <f aca="false">itc_27*1*1</f>
        <v>1565.35</v>
      </c>
      <c r="F615" s="22" t="n">
        <f aca="false">itc_28*um28_A*1</f>
        <v>1984.26388888889</v>
      </c>
      <c r="G615" s="22" t="n">
        <f aca="false">itc_29*um29_A*1</f>
        <v>2260.39027777778</v>
      </c>
    </row>
    <row r="616" customFormat="false" ht="17.15" hidden="false" customHeight="false" outlineLevel="0" collapsed="false">
      <c r="A616" s="4" t="s">
        <v>448</v>
      </c>
      <c r="B616" s="0" t="s">
        <v>32</v>
      </c>
      <c r="D616" s="22" t="n">
        <f aca="false">itpg_gb*(1-vr26)+itpg_vr*vr26</f>
        <v>33.41403216</v>
      </c>
      <c r="E616" s="22" t="n">
        <f aca="false">itpg_vr</f>
        <v>37.586352</v>
      </c>
      <c r="F616" s="22" t="n">
        <f aca="false">itpg_vr</f>
        <v>37.586352</v>
      </c>
      <c r="G616" s="22" t="n">
        <f aca="false">itpg_vr</f>
        <v>37.586352</v>
      </c>
    </row>
    <row r="617" customFormat="false" ht="17.15" hidden="false" customHeight="false" outlineLevel="0" collapsed="false">
      <c r="A617" s="4" t="s">
        <v>449</v>
      </c>
      <c r="B617" s="0" t="s">
        <v>402</v>
      </c>
      <c r="D617" s="18" t="n">
        <f aca="false">D615/D616</f>
        <v>23.3995380420639</v>
      </c>
      <c r="E617" s="18" t="n">
        <f aca="false">E615/E616</f>
        <v>41.6467658260637</v>
      </c>
      <c r="F617" s="18" t="n">
        <f aca="false">F615/F616</f>
        <v>52.792138191248</v>
      </c>
      <c r="G617" s="18" t="n">
        <f aca="false">G615/G616</f>
        <v>60.1385917361116</v>
      </c>
    </row>
    <row r="618" customFormat="false" ht="17.15" hidden="false" customHeight="false" outlineLevel="0" collapsed="false">
      <c r="A618" s="4" t="s">
        <v>404</v>
      </c>
      <c r="B618" s="0" t="s">
        <v>405</v>
      </c>
      <c r="D618" s="16" t="n">
        <f aca="false">(racks_gb*odm_gb*(1-vr26)+racks_vr*odm_vr*vr26)/1000</f>
        <v>27.1209</v>
      </c>
      <c r="E618" s="16" t="n">
        <f aca="false">racks_vr*odm_vr/1000</f>
        <v>27.351</v>
      </c>
      <c r="F618" s="16" t="n">
        <f aca="false">$E618*vpg_28</f>
        <v>27.351</v>
      </c>
      <c r="G618" s="16" t="n">
        <f aca="false">$E618*vpg_29</f>
        <v>27.351</v>
      </c>
      <c r="H618" s="4" t="s">
        <v>450</v>
      </c>
    </row>
    <row r="619" customFormat="false" ht="17.15" hidden="false" customHeight="false" outlineLevel="0" collapsed="false">
      <c r="A619" s="0" t="s">
        <v>451</v>
      </c>
      <c r="B619" s="0" t="s">
        <v>32</v>
      </c>
      <c r="D619" s="19" t="n">
        <f aca="false">D617*D618</f>
        <v>634.61653128501</v>
      </c>
      <c r="E619" s="19" t="n">
        <f aca="false">E617*E618</f>
        <v>1139.08069210867</v>
      </c>
      <c r="F619" s="19" t="n">
        <f aca="false">F617*F618</f>
        <v>1443.91777166882</v>
      </c>
      <c r="G619" s="19" t="n">
        <f aca="false">G617*G618</f>
        <v>1644.85062257439</v>
      </c>
    </row>
    <row r="620" customFormat="false" ht="17.15" hidden="false" customHeight="false" outlineLevel="0" collapsed="false">
      <c r="A620" s="0" t="s">
        <v>452</v>
      </c>
      <c r="B620" s="0" t="s">
        <v>209</v>
      </c>
      <c r="D620" s="19" t="n">
        <f aca="false">D619*fx</f>
        <v>20307.7290011203</v>
      </c>
      <c r="E620" s="19" t="n">
        <f aca="false">E619*fx</f>
        <v>36450.5821474774</v>
      </c>
      <c r="F620" s="19" t="n">
        <f aca="false">F619*fx</f>
        <v>46205.3686934024</v>
      </c>
      <c r="G620" s="19" t="n">
        <f aca="false">G619*fx</f>
        <v>52635.2199223804</v>
      </c>
    </row>
    <row r="621" customFormat="false" ht="17.15" hidden="false" customHeight="false" outlineLevel="0" collapsed="false">
      <c r="A621" s="4" t="s">
        <v>453</v>
      </c>
      <c r="B621" s="0" t="s">
        <v>52</v>
      </c>
      <c r="D621" s="15" t="n">
        <f aca="false">a26_ai/D620</f>
        <v>0.174610057569922</v>
      </c>
      <c r="H621" s="8" t="s">
        <v>454</v>
      </c>
    </row>
    <row r="622" customFormat="false" ht="17.15" hidden="false" customHeight="false" outlineLevel="0" collapsed="false">
      <c r="A622" s="4" t="s">
        <v>455</v>
      </c>
      <c r="B622" s="0" t="s">
        <v>71</v>
      </c>
      <c r="D622" s="16" t="n">
        <f aca="false">1</f>
        <v>1</v>
      </c>
      <c r="E622" s="16" t="n">
        <f aca="false">rel_27</f>
        <v>1</v>
      </c>
      <c r="F622" s="16" t="n">
        <f aca="false">rel_28</f>
        <v>1</v>
      </c>
      <c r="G622" s="16" t="n">
        <f aca="false">rel_29</f>
        <v>0.95</v>
      </c>
    </row>
    <row r="623" customFormat="false" ht="15" hidden="false" customHeight="false" outlineLevel="0" collapsed="false">
      <c r="A623" s="4" t="s">
        <v>456</v>
      </c>
      <c r="B623" s="0" t="s">
        <v>52</v>
      </c>
      <c r="D623" s="15" t="n">
        <f aca="false">$D$621*D622</f>
        <v>0.174610057569922</v>
      </c>
      <c r="E623" s="15" t="n">
        <f aca="false">$D$621*E622</f>
        <v>0.174610057569922</v>
      </c>
      <c r="F623" s="15" t="n">
        <f aca="false">$D$621*F622</f>
        <v>0.174610057569922</v>
      </c>
      <c r="G623" s="15" t="n">
        <f aca="false">$D$621*G622</f>
        <v>0.165879554691426</v>
      </c>
    </row>
    <row r="624" customFormat="false" ht="17.15" hidden="false" customHeight="false" outlineLevel="0" collapsed="false">
      <c r="A624" s="0" t="s">
        <v>457</v>
      </c>
      <c r="B624" s="0" t="s">
        <v>209</v>
      </c>
      <c r="D624" s="19" t="n">
        <f aca="false">D620*D623</f>
        <v>3545.93373</v>
      </c>
      <c r="E624" s="19" t="n">
        <f aca="false">E620*E623</f>
        <v>6364.6382472282</v>
      </c>
      <c r="F624" s="19" t="n">
        <f aca="false">F620*F623</f>
        <v>8067.92208759447</v>
      </c>
      <c r="G624" s="19" t="n">
        <f aca="false">G620*G623</f>
        <v>8731.10684180974</v>
      </c>
    </row>
    <row r="625" customFormat="false" ht="17.15" hidden="false" customHeight="false" outlineLevel="0" collapsed="false">
      <c r="A625" s="4" t="s">
        <v>458</v>
      </c>
      <c r="B625" s="0" t="s">
        <v>52</v>
      </c>
      <c r="D625" s="15" t="n">
        <f aca="false">0</f>
        <v>0</v>
      </c>
      <c r="E625" s="15" t="n">
        <f aca="false">cs_27</f>
        <v>0.1</v>
      </c>
      <c r="F625" s="15" t="n">
        <f aca="false">cs_28</f>
        <v>0.2</v>
      </c>
      <c r="G625" s="15" t="n">
        <f aca="false">cs_29</f>
        <v>0.25</v>
      </c>
      <c r="H625" s="8" t="s">
        <v>459</v>
      </c>
    </row>
    <row r="626" customFormat="false" ht="17.15" hidden="false" customHeight="false" outlineLevel="0" collapsed="false">
      <c r="A626" s="0" t="s">
        <v>460</v>
      </c>
      <c r="B626" s="0" t="s">
        <v>209</v>
      </c>
      <c r="C626" s="19" t="n">
        <f aca="false">a25_ai</f>
        <v>1620.621</v>
      </c>
      <c r="D626" s="19" t="n">
        <f aca="false">D624*(1-D625)</f>
        <v>3545.93373</v>
      </c>
      <c r="E626" s="19" t="n">
        <f aca="false">E624*(1-E625)</f>
        <v>5728.17442250538</v>
      </c>
      <c r="F626" s="19" t="n">
        <f aca="false">F624*(1-F625)</f>
        <v>6454.33767007557</v>
      </c>
      <c r="G626" s="19" t="n">
        <f aca="false">G624*(1-G625)</f>
        <v>6548.3301313573</v>
      </c>
    </row>
    <row r="627" customFormat="false" ht="17.15" hidden="false" customHeight="false" outlineLevel="0" collapsed="false">
      <c r="A627" s="6" t="s">
        <v>461</v>
      </c>
    </row>
    <row r="628" customFormat="false" ht="17.15" hidden="false" customHeight="false" outlineLevel="0" collapsed="false">
      <c r="A628" s="4" t="s">
        <v>382</v>
      </c>
      <c r="B628" s="0" t="s">
        <v>209</v>
      </c>
      <c r="C628" s="19" t="n">
        <f aca="false">a25_cn</f>
        <v>1620.621</v>
      </c>
      <c r="D628" s="19" t="n">
        <f aca="false">a26_cn</f>
        <v>2363.95582</v>
      </c>
      <c r="E628" s="19" t="n">
        <f aca="false">D628*(1+GCNHI27)</f>
        <v>2954.944775</v>
      </c>
      <c r="F628" s="19" t="n">
        <f aca="false">E628*(1+GCNHI28)</f>
        <v>3545.93373</v>
      </c>
      <c r="G628" s="19" t="n">
        <f aca="false">F628*(1+GCNHI29)</f>
        <v>4077.8237895</v>
      </c>
    </row>
    <row r="629" customFormat="false" ht="17.15" hidden="false" customHeight="false" outlineLevel="0" collapsed="false">
      <c r="A629" s="4" t="s">
        <v>383</v>
      </c>
      <c r="B629" s="0" t="s">
        <v>209</v>
      </c>
      <c r="C629" s="19" t="n">
        <f aca="false">a25_ce</f>
        <v>3079.1799</v>
      </c>
      <c r="D629" s="19" t="n">
        <f aca="false">a26_ce</f>
        <v>3345.2205</v>
      </c>
      <c r="E629" s="19" t="n">
        <f aca="false">D629*(1+g_ce27)</f>
        <v>3445.577115</v>
      </c>
      <c r="F629" s="19" t="n">
        <f aca="false">E629*(1+g_ce28)</f>
        <v>3514.4886573</v>
      </c>
      <c r="G629" s="19" t="n">
        <f aca="false">F629*(1+g_ce29)</f>
        <v>3584.778430446</v>
      </c>
    </row>
    <row r="630" customFormat="false" ht="15" hidden="false" customHeight="false" outlineLevel="0" collapsed="false">
      <c r="A630" s="4" t="s">
        <v>384</v>
      </c>
      <c r="B630" s="0" t="s">
        <v>209</v>
      </c>
      <c r="C630" s="19" t="n">
        <f aca="false">a25_pc</f>
        <v>1215.46575</v>
      </c>
      <c r="D630" s="19" t="n">
        <f aca="false">a26_pc</f>
        <v>1338.0882</v>
      </c>
      <c r="E630" s="19" t="n">
        <f aca="false">D630*(1+g_pc27)</f>
        <v>1311.326436</v>
      </c>
      <c r="F630" s="19" t="n">
        <f aca="false">E630*(1+g_pc28)</f>
        <v>1311.326436</v>
      </c>
      <c r="G630" s="19" t="n">
        <f aca="false">F630*(1+g_pc29)</f>
        <v>1311.326436</v>
      </c>
    </row>
    <row r="631" customFormat="false" ht="15" hidden="false" customHeight="false" outlineLevel="0" collapsed="false">
      <c r="A631" s="4" t="s">
        <v>462</v>
      </c>
      <c r="B631" s="0" t="s">
        <v>209</v>
      </c>
      <c r="C631" s="19" t="n">
        <f aca="false">a25_co</f>
        <v>567.217349999999</v>
      </c>
      <c r="D631" s="19" t="n">
        <f aca="false">a26_co</f>
        <v>557.53675</v>
      </c>
      <c r="E631" s="19" t="n">
        <f aca="false">D631*(1+g_co27)</f>
        <v>602.13969</v>
      </c>
      <c r="F631" s="19" t="n">
        <f aca="false">E631*(1+g_co28)</f>
        <v>638.2680714</v>
      </c>
      <c r="G631" s="19" t="n">
        <f aca="false">F631*(1+g_co29)</f>
        <v>670.18147497</v>
      </c>
    </row>
    <row r="632" customFormat="false" ht="17.15" hidden="false" customHeight="false" outlineLevel="0" collapsed="false">
      <c r="A632" s="4" t="s">
        <v>387</v>
      </c>
      <c r="B632" s="0" t="s">
        <v>209</v>
      </c>
      <c r="C632" s="19" t="n">
        <f aca="false">SUM(C628:C631)</f>
        <v>6482.484</v>
      </c>
      <c r="D632" s="19" t="n">
        <f aca="false">SUM(D628:D631)</f>
        <v>7604.80127</v>
      </c>
      <c r="E632" s="19" t="n">
        <f aca="false">SUM(E628:E631)</f>
        <v>8313.988016</v>
      </c>
      <c r="F632" s="19" t="n">
        <f aca="false">SUM(F628:F631)</f>
        <v>9010.0168947</v>
      </c>
      <c r="G632" s="19" t="n">
        <f aca="false">SUM(G628:G631)</f>
        <v>9644.110130916</v>
      </c>
    </row>
    <row r="633" customFormat="false" ht="15" hidden="false" customHeight="false" outlineLevel="0" collapsed="false">
      <c r="A633" s="4" t="s">
        <v>353</v>
      </c>
      <c r="B633" s="0" t="s">
        <v>209</v>
      </c>
      <c r="C633" s="19" t="n">
        <f aca="false">C626+C632</f>
        <v>8103.105</v>
      </c>
      <c r="D633" s="19" t="n">
        <f aca="false">D626+D632</f>
        <v>11150.735</v>
      </c>
      <c r="E633" s="19" t="n">
        <f aca="false">E626+E632</f>
        <v>14042.1624385054</v>
      </c>
      <c r="F633" s="19" t="n">
        <f aca="false">F626+F632</f>
        <v>15464.3545647756</v>
      </c>
      <c r="G633" s="19" t="n">
        <f aca="false">G626+G632</f>
        <v>16192.4402622733</v>
      </c>
    </row>
    <row r="634" customFormat="false" ht="15" hidden="false" customHeight="false" outlineLevel="0" collapsed="false">
      <c r="A634" s="4" t="s">
        <v>463</v>
      </c>
      <c r="B634" s="0" t="s">
        <v>52</v>
      </c>
      <c r="D634" s="15" t="n">
        <f aca="false">D633/C633-1</f>
        <v>0.376106443147411</v>
      </c>
      <c r="E634" s="15" t="n">
        <f aca="false">E633/D633-1</f>
        <v>0.259303753385349</v>
      </c>
      <c r="F634" s="15" t="n">
        <f aca="false">F633/E633-1</f>
        <v>0.101280136339284</v>
      </c>
      <c r="G634" s="15" t="n">
        <f aca="false">G633/F633-1</f>
        <v>0.0470815444930466</v>
      </c>
    </row>
    <row r="635" customFormat="false" ht="17.15" hidden="false" customHeight="false" outlineLevel="0" collapsed="false">
      <c r="A635" s="0" t="s">
        <v>464</v>
      </c>
      <c r="B635" s="0" t="s">
        <v>52</v>
      </c>
      <c r="C635" s="15" t="n">
        <f aca="false">C626/C633</f>
        <v>0.2</v>
      </c>
      <c r="D635" s="15" t="n">
        <f aca="false">D626/D633</f>
        <v>0.318</v>
      </c>
      <c r="E635" s="15" t="n">
        <f aca="false">E626/E633</f>
        <v>0.407926802413139</v>
      </c>
      <c r="F635" s="15" t="n">
        <f aca="false">F626/F633</f>
        <v>0.417368707050804</v>
      </c>
      <c r="G635" s="15" t="n">
        <f aca="false">G626/G633</f>
        <v>0.404406625887899</v>
      </c>
    </row>
    <row r="636" customFormat="false" ht="17.15" hidden="false" customHeight="false" outlineLevel="0" collapsed="false">
      <c r="A636" s="4" t="s">
        <v>465</v>
      </c>
      <c r="B636" s="0" t="s">
        <v>52</v>
      </c>
      <c r="C636" s="15" t="n">
        <f aca="false">(C626+C628)/C633</f>
        <v>0.4</v>
      </c>
      <c r="D636" s="15" t="n">
        <f aca="false">(D626+D628)/D633</f>
        <v>0.53</v>
      </c>
      <c r="E636" s="15" t="n">
        <f aca="false">(E626+E628)/E633</f>
        <v>0.618360543508254</v>
      </c>
      <c r="F636" s="15" t="n">
        <f aca="false">(F626+F628)/F633</f>
        <v>0.646665941225508</v>
      </c>
      <c r="G636" s="15" t="n">
        <f aca="false">(G626+G628)/G633</f>
        <v>0.656241662698311</v>
      </c>
    </row>
    <row r="637" customFormat="false" ht="17.15" hidden="false" customHeight="false" outlineLevel="0" collapsed="false">
      <c r="A637" s="4" t="s">
        <v>418</v>
      </c>
      <c r="B637" s="0" t="s">
        <v>405</v>
      </c>
      <c r="D637" s="16" t="n">
        <f aca="false">D626/fx/D617</f>
        <v>4.7355819103481</v>
      </c>
      <c r="E637" s="16" t="n">
        <f aca="false">E626/fx/E617</f>
        <v>4.29818371613545</v>
      </c>
      <c r="F637" s="16" t="n">
        <f aca="false">F626/fx/F617</f>
        <v>3.82060774767595</v>
      </c>
      <c r="G637" s="16" t="n">
        <f aca="false">G626/fx/G617</f>
        <v>3.4027287752739</v>
      </c>
    </row>
    <row r="638" customFormat="false" ht="17.15" hidden="false" customHeight="false" outlineLevel="0" collapsed="false">
      <c r="A638" s="4" t="s">
        <v>466</v>
      </c>
      <c r="B638" s="4" t="s">
        <v>416</v>
      </c>
      <c r="D638" s="19" t="n">
        <f aca="false">D624/fx/(odm_gb*(1-vr26)+odm_vr*vr26)</f>
        <v>24.0630682003257</v>
      </c>
      <c r="E638" s="19" t="n">
        <f aca="false">E624/fx/odm_vr</f>
        <v>29.4659178112417</v>
      </c>
      <c r="F638" s="19" t="n">
        <f aca="false">F624/fx/odm_vr</f>
        <v>37.3514911462707</v>
      </c>
      <c r="G638" s="19" t="n">
        <f aca="false">G624/fx/odm_vr</f>
        <v>40.4217909343043</v>
      </c>
      <c r="H638" s="4" t="s">
        <v>467</v>
      </c>
    </row>
    <row r="639" customFormat="false" ht="17.15" hidden="false" customHeight="false" outlineLevel="0" collapsed="false">
      <c r="A639" s="6" t="s">
        <v>468</v>
      </c>
    </row>
    <row r="640" customFormat="false" ht="17.15" hidden="false" customHeight="false" outlineLevel="0" collapsed="false">
      <c r="A640" s="4" t="s">
        <v>469</v>
      </c>
      <c r="B640" s="0" t="s">
        <v>52</v>
      </c>
      <c r="D640" s="14" t="n">
        <f aca="false">a26_gp/D633-d_ai*D635</f>
        <v>0.0621989258510762</v>
      </c>
      <c r="H640" s="8" t="s">
        <v>470</v>
      </c>
    </row>
    <row r="641" customFormat="false" ht="17.15" hidden="false" customHeight="false" outlineLevel="0" collapsed="false">
      <c r="A641" s="0" t="s">
        <v>471</v>
      </c>
      <c r="B641" s="0" t="s">
        <v>209</v>
      </c>
      <c r="D641" s="22" t="n">
        <f aca="false">($D$640+d_ai)*D624*(1-D625*(1-keep))</f>
        <v>202.8236004951</v>
      </c>
      <c r="E641" s="22" t="n">
        <f aca="false">($D$640+d_ai+vrd)*E624*(1-E625*(1-keep))</f>
        <v>347.807982730896</v>
      </c>
      <c r="F641" s="22" t="n">
        <f aca="false">($D$640+d_ai+vrd)*F624*(1-F625*(1-keep))</f>
        <v>436.433820423679</v>
      </c>
      <c r="G641" s="22" t="n">
        <f aca="false">($D$640+d_ai+vrd)*G624*(1-G625*(1-keep))</f>
        <v>469.899026179908</v>
      </c>
      <c r="H641" s="4" t="s">
        <v>472</v>
      </c>
    </row>
    <row r="642" customFormat="false" ht="15" hidden="false" customHeight="false" outlineLevel="0" collapsed="false">
      <c r="A642" s="4" t="s">
        <v>357</v>
      </c>
      <c r="B642" s="0" t="s">
        <v>209</v>
      </c>
      <c r="C642" s="19" t="n">
        <f aca="false">a25_gp</f>
        <v>498.161</v>
      </c>
      <c r="D642" s="19" t="n">
        <f aca="false">a26_gp</f>
        <v>675.8340708</v>
      </c>
      <c r="E642" s="19" t="n">
        <f aca="false">$D$640*E632+E641</f>
        <v>864.929106864816</v>
      </c>
      <c r="F642" s="19" t="n">
        <f aca="false">$D$640*F632+F641</f>
        <v>996.847193174068</v>
      </c>
      <c r="G642" s="19" t="n">
        <f aca="false">$D$640*G632+G641</f>
        <v>1069.75231711236</v>
      </c>
    </row>
    <row r="643" customFormat="false" ht="15" hidden="false" customHeight="false" outlineLevel="0" collapsed="false">
      <c r="A643" s="4" t="s">
        <v>360</v>
      </c>
      <c r="B643" s="0" t="s">
        <v>52</v>
      </c>
      <c r="C643" s="14" t="n">
        <f aca="false">C642/C633</f>
        <v>0.0614777915379352</v>
      </c>
      <c r="D643" s="14" t="n">
        <f aca="false">D642/D633</f>
        <v>0.0606089258510762</v>
      </c>
      <c r="E643" s="14" t="n">
        <f aca="false">E642/E633</f>
        <v>0.0615951503660912</v>
      </c>
      <c r="F643" s="14" t="n">
        <f aca="false">F642/F633</f>
        <v>0.0644609633721584</v>
      </c>
      <c r="G643" s="14" t="n">
        <f aca="false">G642/G633</f>
        <v>0.0660649228766819</v>
      </c>
    </row>
    <row r="644" customFormat="false" ht="17.15" hidden="false" customHeight="false" outlineLevel="0" collapsed="false">
      <c r="A644" s="0" t="s">
        <v>473</v>
      </c>
      <c r="B644" s="0" t="s">
        <v>52</v>
      </c>
      <c r="D644" s="14" t="n">
        <f aca="false">D641/D626</f>
        <v>0.0571989258510762</v>
      </c>
      <c r="E644" s="14" t="n">
        <f aca="false">E641/E626</f>
        <v>0.0607188184361838</v>
      </c>
      <c r="F644" s="14" t="n">
        <f aca="false">F641/F626</f>
        <v>0.0676186841675683</v>
      </c>
      <c r="G644" s="14" t="n">
        <f aca="false">G641/G626</f>
        <v>0.0717586036063991</v>
      </c>
      <c r="H644" s="4" t="s">
        <v>474</v>
      </c>
    </row>
    <row r="645" customFormat="false" ht="15" hidden="false" customHeight="false" outlineLevel="0" collapsed="false">
      <c r="A645" s="4" t="s">
        <v>475</v>
      </c>
      <c r="B645" s="0" t="s">
        <v>209</v>
      </c>
      <c r="C645" s="19" t="n">
        <f aca="false">a25_opx</f>
        <v>238.938</v>
      </c>
      <c r="D645" s="19" t="n">
        <f aca="false">a26_opx</f>
        <v>254.8304233</v>
      </c>
      <c r="E645" s="19" t="n">
        <f aca="false">D645*(1+MAX(0,phi*E634))</f>
        <v>281.261817395387</v>
      </c>
      <c r="F645" s="19" t="n">
        <f aca="false">E645*(1+MAX(0,phi*F634))</f>
        <v>292.656311480523</v>
      </c>
      <c r="G645" s="19" t="n">
        <f aca="false">F645*(1+MAX(0,phi*G634))</f>
        <v>298.167795940579</v>
      </c>
    </row>
    <row r="646" customFormat="false" ht="15" hidden="false" customHeight="false" outlineLevel="0" collapsed="false">
      <c r="A646" s="4" t="s">
        <v>361</v>
      </c>
      <c r="B646" s="0" t="s">
        <v>209</v>
      </c>
      <c r="C646" s="19" t="n">
        <f aca="false">C645</f>
        <v>238.938</v>
      </c>
      <c r="D646" s="19" t="n">
        <f aca="false">D645</f>
        <v>254.8304233</v>
      </c>
      <c r="E646" s="19" t="n">
        <f aca="false">E645+0*E633</f>
        <v>281.261817395387</v>
      </c>
      <c r="F646" s="19" t="n">
        <f aca="false">F645+0*F633</f>
        <v>292.656311480523</v>
      </c>
      <c r="G646" s="19" t="n">
        <f aca="false">G645+0*G633</f>
        <v>298.167795940579</v>
      </c>
    </row>
    <row r="647" customFormat="false" ht="15" hidden="false" customHeight="false" outlineLevel="0" collapsed="false">
      <c r="A647" s="4" t="s">
        <v>364</v>
      </c>
      <c r="B647" s="0" t="s">
        <v>209</v>
      </c>
      <c r="C647" s="19" t="n">
        <f aca="false">C642-C646</f>
        <v>259.223</v>
      </c>
      <c r="D647" s="19" t="n">
        <f aca="false">D642-D646</f>
        <v>421.0036475</v>
      </c>
      <c r="E647" s="19" t="n">
        <f aca="false">E642-E646</f>
        <v>583.667289469429</v>
      </c>
      <c r="F647" s="19" t="n">
        <f aca="false">F642-F646</f>
        <v>704.190881693545</v>
      </c>
      <c r="G647" s="19" t="n">
        <f aca="false">G642-G646</f>
        <v>771.584521171785</v>
      </c>
    </row>
    <row r="648" customFormat="false" ht="15" hidden="false" customHeight="false" outlineLevel="0" collapsed="false">
      <c r="A648" s="4" t="s">
        <v>367</v>
      </c>
      <c r="B648" s="0" t="s">
        <v>52</v>
      </c>
      <c r="C648" s="14" t="n">
        <f aca="false">C647/C633</f>
        <v>0.0319905764518663</v>
      </c>
      <c r="D648" s="14" t="n">
        <f aca="false">D647/D633</f>
        <v>0.0377556858359561</v>
      </c>
      <c r="E648" s="14" t="n">
        <f aca="false">E647/E633</f>
        <v>0.0415653423769647</v>
      </c>
      <c r="F648" s="14" t="n">
        <f aca="false">F647/F633</f>
        <v>0.0455363900733069</v>
      </c>
      <c r="G648" s="14" t="n">
        <f aca="false">G647/G633</f>
        <v>0.0476509104665031</v>
      </c>
    </row>
    <row r="649" customFormat="false" ht="17.15" hidden="false" customHeight="false" outlineLevel="0" collapsed="false">
      <c r="A649" s="4" t="s">
        <v>243</v>
      </c>
      <c r="B649" s="0" t="s">
        <v>52</v>
      </c>
      <c r="C649" s="15" t="n">
        <f aca="false">a25_ni/a25_oi</f>
        <v>0.730467589681471</v>
      </c>
      <c r="D649" s="15" t="n">
        <f aca="false">a26_ni/a26_oi</f>
        <v>0.653811645064191</v>
      </c>
      <c r="E649" s="15" t="n">
        <f aca="false">nio_f</f>
        <v>0.66</v>
      </c>
      <c r="F649" s="15" t="n">
        <f aca="false">nio_f</f>
        <v>0.66</v>
      </c>
      <c r="G649" s="15" t="n">
        <f aca="false">nio_f</f>
        <v>0.66</v>
      </c>
    </row>
    <row r="650" customFormat="false" ht="15" hidden="false" customHeight="false" outlineLevel="0" collapsed="false">
      <c r="A650" s="4" t="s">
        <v>368</v>
      </c>
      <c r="B650" s="0" t="s">
        <v>209</v>
      </c>
      <c r="C650" s="19" t="n">
        <f aca="false">a25_ni</f>
        <v>189.354</v>
      </c>
      <c r="D650" s="19" t="n">
        <f aca="false">a26_ni</f>
        <v>275.25708735</v>
      </c>
      <c r="E650" s="19" t="n">
        <f aca="false">E647*E649</f>
        <v>385.220411049823</v>
      </c>
      <c r="F650" s="19" t="n">
        <f aca="false">F647*F649</f>
        <v>464.76598191774</v>
      </c>
      <c r="G650" s="19" t="n">
        <f aca="false">G647*G649</f>
        <v>509.245783973378</v>
      </c>
    </row>
    <row r="651" customFormat="false" ht="15" hidden="false" customHeight="false" outlineLevel="0" collapsed="false">
      <c r="A651" s="4" t="s">
        <v>476</v>
      </c>
      <c r="B651" s="4" t="s">
        <v>230</v>
      </c>
      <c r="C651" s="23" t="n">
        <f aca="false">a25_sh</f>
        <v>13.9128581925055</v>
      </c>
      <c r="D651" s="23" t="n">
        <f aca="false">a26_sh</f>
        <v>14.0169642857143</v>
      </c>
      <c r="E651" s="23" t="n">
        <f aca="false">D651*(1+sh_g)</f>
        <v>14.0169642857143</v>
      </c>
      <c r="F651" s="23" t="n">
        <f aca="false">E651*(1+sh_g)</f>
        <v>14.0169642857143</v>
      </c>
      <c r="G651" s="23" t="n">
        <f aca="false">F651*(1+sh_g)</f>
        <v>14.0169642857143</v>
      </c>
    </row>
    <row r="652" customFormat="false" ht="15" hidden="false" customHeight="false" outlineLevel="0" collapsed="false">
      <c r="A652" s="0" t="s">
        <v>374</v>
      </c>
      <c r="B652" s="0" t="s">
        <v>260</v>
      </c>
      <c r="C652" s="22" t="n">
        <f aca="false">C650/C651</f>
        <v>13.61</v>
      </c>
      <c r="D652" s="22" t="n">
        <f aca="false">D650/D651</f>
        <v>19.6374251756163</v>
      </c>
      <c r="E652" s="22" t="n">
        <f aca="false">E650/E651</f>
        <v>27.4824422177083</v>
      </c>
      <c r="F652" s="22" t="n">
        <f aca="false">F650/F651</f>
        <v>33.157392174525</v>
      </c>
      <c r="G652" s="22" t="n">
        <f aca="false">G650/G651</f>
        <v>36.3306757150254</v>
      </c>
    </row>
    <row r="653" customFormat="false" ht="17.15" hidden="false" customHeight="false" outlineLevel="0" collapsed="false">
      <c r="A653" s="0" t="s">
        <v>477</v>
      </c>
      <c r="B653" s="0" t="s">
        <v>52</v>
      </c>
      <c r="D653" s="15" t="n">
        <f aca="false">D652/C652-1</f>
        <v>0.442867389832203</v>
      </c>
      <c r="E653" s="15" t="n">
        <f aca="false">E652/D652-1</f>
        <v>0.399493160225156</v>
      </c>
      <c r="F653" s="15" t="n">
        <f aca="false">F652/E652-1</f>
        <v>0.206493655544198</v>
      </c>
      <c r="G653" s="15" t="n">
        <f aca="false">G652/F652-1</f>
        <v>0.095703652561024</v>
      </c>
    </row>
    <row r="656" customFormat="false" ht="17.15" hidden="false" customHeight="false" outlineLevel="0" collapsed="false">
      <c r="A656" s="1" t="s">
        <v>798</v>
      </c>
    </row>
    <row r="657" customFormat="false" ht="17.15" hidden="false" customHeight="false" outlineLevel="0" collapsed="false">
      <c r="A657" s="5" t="s">
        <v>21</v>
      </c>
      <c r="B657" s="5" t="s">
        <v>22</v>
      </c>
      <c r="C657" s="11" t="s">
        <v>347</v>
      </c>
      <c r="D657" s="11" t="s">
        <v>429</v>
      </c>
      <c r="E657" s="11" t="s">
        <v>430</v>
      </c>
      <c r="F657" s="11" t="s">
        <v>431</v>
      </c>
      <c r="G657" s="11" t="s">
        <v>432</v>
      </c>
      <c r="H657" s="5" t="s">
        <v>400</v>
      </c>
    </row>
    <row r="658" customFormat="false" ht="17.15" hidden="false" customHeight="false" outlineLevel="0" collapsed="false">
      <c r="A658" s="6" t="s">
        <v>446</v>
      </c>
    </row>
    <row r="659" customFormat="false" ht="17.15" hidden="false" customHeight="false" outlineLevel="0" collapsed="false">
      <c r="A659" s="0" t="s">
        <v>447</v>
      </c>
      <c r="B659" s="0" t="s">
        <v>32</v>
      </c>
      <c r="D659" s="22" t="n">
        <f aca="false">itc_26*1</f>
        <v>781.872916666666</v>
      </c>
      <c r="E659" s="22" t="n">
        <f aca="false">itc_27*1*1</f>
        <v>1565.35</v>
      </c>
      <c r="F659" s="22" t="n">
        <f aca="false">itc_28*um28_A*1</f>
        <v>1984.26388888889</v>
      </c>
      <c r="G659" s="22" t="n">
        <f aca="false">itc_29*um29_A*1</f>
        <v>2260.39027777778</v>
      </c>
    </row>
    <row r="660" customFormat="false" ht="17.15" hidden="false" customHeight="false" outlineLevel="0" collapsed="false">
      <c r="A660" s="4" t="s">
        <v>448</v>
      </c>
      <c r="B660" s="0" t="s">
        <v>32</v>
      </c>
      <c r="D660" s="22" t="n">
        <f aca="false">itpg_gb*(1-vr26)+itpg_vr*vr26</f>
        <v>33.41403216</v>
      </c>
      <c r="E660" s="22" t="n">
        <f aca="false">itpg_vr</f>
        <v>37.586352</v>
      </c>
      <c r="F660" s="22" t="n">
        <f aca="false">itpg_vr</f>
        <v>37.586352</v>
      </c>
      <c r="G660" s="22" t="n">
        <f aca="false">itpg_vr</f>
        <v>37.586352</v>
      </c>
    </row>
    <row r="661" customFormat="false" ht="17.15" hidden="false" customHeight="false" outlineLevel="0" collapsed="false">
      <c r="A661" s="4" t="s">
        <v>449</v>
      </c>
      <c r="B661" s="0" t="s">
        <v>402</v>
      </c>
      <c r="D661" s="18" t="n">
        <f aca="false">D659/D660</f>
        <v>23.3995380420639</v>
      </c>
      <c r="E661" s="18" t="n">
        <f aca="false">E659/E660</f>
        <v>41.6467658260637</v>
      </c>
      <c r="F661" s="18" t="n">
        <f aca="false">F659/F660</f>
        <v>52.792138191248</v>
      </c>
      <c r="G661" s="18" t="n">
        <f aca="false">G659/G660</f>
        <v>60.1385917361116</v>
      </c>
    </row>
    <row r="662" customFormat="false" ht="17.15" hidden="false" customHeight="false" outlineLevel="0" collapsed="false">
      <c r="A662" s="4" t="s">
        <v>404</v>
      </c>
      <c r="B662" s="0" t="s">
        <v>405</v>
      </c>
      <c r="D662" s="16" t="n">
        <f aca="false">(racks_gb*odm_gb*(1-vr26)+racks_vr*odm_vr*vr26)/1000</f>
        <v>27.1209</v>
      </c>
      <c r="E662" s="16" t="n">
        <f aca="false">racks_vr*odm_vr/1000</f>
        <v>27.351</v>
      </c>
      <c r="F662" s="16" t="n">
        <f aca="false">$E662*vpg_28</f>
        <v>27.351</v>
      </c>
      <c r="G662" s="16" t="n">
        <f aca="false">$E662*vpg_29</f>
        <v>27.351</v>
      </c>
      <c r="H662" s="4" t="s">
        <v>450</v>
      </c>
    </row>
    <row r="663" customFormat="false" ht="17.15" hidden="false" customHeight="false" outlineLevel="0" collapsed="false">
      <c r="A663" s="0" t="s">
        <v>451</v>
      </c>
      <c r="B663" s="0" t="s">
        <v>32</v>
      </c>
      <c r="D663" s="19" t="n">
        <f aca="false">D661*D662</f>
        <v>634.61653128501</v>
      </c>
      <c r="E663" s="19" t="n">
        <f aca="false">E661*E662</f>
        <v>1139.08069210867</v>
      </c>
      <c r="F663" s="19" t="n">
        <f aca="false">F661*F662</f>
        <v>1443.91777166882</v>
      </c>
      <c r="G663" s="19" t="n">
        <f aca="false">G661*G662</f>
        <v>1644.85062257439</v>
      </c>
    </row>
    <row r="664" customFormat="false" ht="17.15" hidden="false" customHeight="false" outlineLevel="0" collapsed="false">
      <c r="A664" s="0" t="s">
        <v>452</v>
      </c>
      <c r="B664" s="0" t="s">
        <v>209</v>
      </c>
      <c r="D664" s="19" t="n">
        <f aca="false">D663*fx</f>
        <v>20307.7290011203</v>
      </c>
      <c r="E664" s="19" t="n">
        <f aca="false">E663*fx</f>
        <v>36450.5821474774</v>
      </c>
      <c r="F664" s="19" t="n">
        <f aca="false">F663*fx</f>
        <v>46205.3686934024</v>
      </c>
      <c r="G664" s="19" t="n">
        <f aca="false">G663*fx</f>
        <v>52635.2199223804</v>
      </c>
    </row>
    <row r="665" customFormat="false" ht="17.15" hidden="false" customHeight="false" outlineLevel="0" collapsed="false">
      <c r="A665" s="4" t="s">
        <v>453</v>
      </c>
      <c r="B665" s="0" t="s">
        <v>52</v>
      </c>
      <c r="D665" s="15" t="n">
        <f aca="false">a26_ai/D664</f>
        <v>0.174610057569922</v>
      </c>
      <c r="H665" s="8" t="s">
        <v>454</v>
      </c>
    </row>
    <row r="666" customFormat="false" ht="17.15" hidden="false" customHeight="false" outlineLevel="0" collapsed="false">
      <c r="A666" s="4" t="s">
        <v>455</v>
      </c>
      <c r="B666" s="0" t="s">
        <v>71</v>
      </c>
      <c r="D666" s="16" t="n">
        <f aca="false">1</f>
        <v>1</v>
      </c>
      <c r="E666" s="16" t="n">
        <f aca="false">rel_27</f>
        <v>1</v>
      </c>
      <c r="F666" s="16" t="n">
        <f aca="false">rel_28</f>
        <v>1</v>
      </c>
      <c r="G666" s="16" t="n">
        <f aca="false">rel_29</f>
        <v>0.95</v>
      </c>
    </row>
    <row r="667" customFormat="false" ht="15" hidden="false" customHeight="false" outlineLevel="0" collapsed="false">
      <c r="A667" s="4" t="s">
        <v>456</v>
      </c>
      <c r="B667" s="0" t="s">
        <v>52</v>
      </c>
      <c r="D667" s="15" t="n">
        <f aca="false">$D$665*D666</f>
        <v>0.174610057569922</v>
      </c>
      <c r="E667" s="15" t="n">
        <f aca="false">$D$665*E666</f>
        <v>0.174610057569922</v>
      </c>
      <c r="F667" s="15" t="n">
        <f aca="false">$D$665*F666</f>
        <v>0.174610057569922</v>
      </c>
      <c r="G667" s="15" t="n">
        <f aca="false">$D$665*G666</f>
        <v>0.165879554691426</v>
      </c>
    </row>
    <row r="668" customFormat="false" ht="17.15" hidden="false" customHeight="false" outlineLevel="0" collapsed="false">
      <c r="A668" s="0" t="s">
        <v>457</v>
      </c>
      <c r="B668" s="0" t="s">
        <v>209</v>
      </c>
      <c r="D668" s="19" t="n">
        <f aca="false">D664*D667</f>
        <v>3545.93373</v>
      </c>
      <c r="E668" s="19" t="n">
        <f aca="false">E664*E667</f>
        <v>6364.6382472282</v>
      </c>
      <c r="F668" s="19" t="n">
        <f aca="false">F664*F667</f>
        <v>8067.92208759447</v>
      </c>
      <c r="G668" s="19" t="n">
        <f aca="false">G664*G667</f>
        <v>8731.10684180974</v>
      </c>
    </row>
    <row r="669" customFormat="false" ht="17.15" hidden="false" customHeight="false" outlineLevel="0" collapsed="false">
      <c r="A669" s="4" t="s">
        <v>458</v>
      </c>
      <c r="B669" s="0" t="s">
        <v>52</v>
      </c>
      <c r="D669" s="15" t="n">
        <f aca="false">0</f>
        <v>0</v>
      </c>
      <c r="E669" s="15" t="n">
        <f aca="false">cs_27</f>
        <v>0.1</v>
      </c>
      <c r="F669" s="15" t="n">
        <f aca="false">cs_28</f>
        <v>0.2</v>
      </c>
      <c r="G669" s="15" t="n">
        <f aca="false">cs_29</f>
        <v>0.25</v>
      </c>
      <c r="H669" s="8" t="s">
        <v>459</v>
      </c>
    </row>
    <row r="670" customFormat="false" ht="17.15" hidden="false" customHeight="false" outlineLevel="0" collapsed="false">
      <c r="A670" s="0" t="s">
        <v>460</v>
      </c>
      <c r="B670" s="0" t="s">
        <v>209</v>
      </c>
      <c r="C670" s="19" t="n">
        <f aca="false">a25_ai</f>
        <v>1620.621</v>
      </c>
      <c r="D670" s="19" t="n">
        <f aca="false">D668*(1-D669)</f>
        <v>3545.93373</v>
      </c>
      <c r="E670" s="19" t="n">
        <f aca="false">E668*(1-E669)</f>
        <v>5728.17442250538</v>
      </c>
      <c r="F670" s="19" t="n">
        <f aca="false">F668*(1-F669)</f>
        <v>6454.33767007557</v>
      </c>
      <c r="G670" s="19" t="n">
        <f aca="false">G668*(1-G669)</f>
        <v>6548.3301313573</v>
      </c>
    </row>
    <row r="671" customFormat="false" ht="17.15" hidden="false" customHeight="false" outlineLevel="0" collapsed="false">
      <c r="A671" s="6" t="s">
        <v>461</v>
      </c>
    </row>
    <row r="672" customFormat="false" ht="17.15" hidden="false" customHeight="false" outlineLevel="0" collapsed="false">
      <c r="A672" s="4" t="s">
        <v>382</v>
      </c>
      <c r="B672" s="0" t="s">
        <v>209</v>
      </c>
      <c r="C672" s="19" t="n">
        <f aca="false">a25_cn</f>
        <v>1620.621</v>
      </c>
      <c r="D672" s="19" t="n">
        <f aca="false">a26_cn</f>
        <v>2363.95582</v>
      </c>
      <c r="E672" s="19" t="n">
        <f aca="false">D672*(1+g_cn27)</f>
        <v>2647.6305184</v>
      </c>
      <c r="F672" s="19" t="n">
        <f aca="false">E672*(1+g_cn28)</f>
        <v>2859.440959872</v>
      </c>
      <c r="G672" s="19" t="n">
        <f aca="false">F672*(1+g_cn29)</f>
        <v>3031.00741746432</v>
      </c>
    </row>
    <row r="673" customFormat="false" ht="17.15" hidden="false" customHeight="false" outlineLevel="0" collapsed="false">
      <c r="A673" s="4" t="s">
        <v>383</v>
      </c>
      <c r="B673" s="0" t="s">
        <v>209</v>
      </c>
      <c r="C673" s="19" t="n">
        <f aca="false">a25_ce</f>
        <v>3079.1799</v>
      </c>
      <c r="D673" s="19" t="n">
        <f aca="false">a26_ce</f>
        <v>3345.2205</v>
      </c>
      <c r="E673" s="19" t="n">
        <f aca="false">D673*(1+g_ce27)</f>
        <v>3445.577115</v>
      </c>
      <c r="F673" s="19" t="n">
        <f aca="false">E673*(1+g_ce28)</f>
        <v>3514.4886573</v>
      </c>
      <c r="G673" s="19" t="n">
        <f aca="false">F673*(1+g_ce29)</f>
        <v>3584.778430446</v>
      </c>
    </row>
    <row r="674" customFormat="false" ht="15" hidden="false" customHeight="false" outlineLevel="0" collapsed="false">
      <c r="A674" s="4" t="s">
        <v>384</v>
      </c>
      <c r="B674" s="0" t="s">
        <v>209</v>
      </c>
      <c r="C674" s="19" t="n">
        <f aca="false">a25_pc</f>
        <v>1215.46575</v>
      </c>
      <c r="D674" s="19" t="n">
        <f aca="false">a26_pc</f>
        <v>1338.0882</v>
      </c>
      <c r="E674" s="19" t="n">
        <f aca="false">D674*(1+g_pc27)</f>
        <v>1311.326436</v>
      </c>
      <c r="F674" s="19" t="n">
        <f aca="false">E674*(1+g_pc28)</f>
        <v>1311.326436</v>
      </c>
      <c r="G674" s="19" t="n">
        <f aca="false">F674*(1+g_pc29)</f>
        <v>1311.326436</v>
      </c>
    </row>
    <row r="675" customFormat="false" ht="15" hidden="false" customHeight="false" outlineLevel="0" collapsed="false">
      <c r="A675" s="4" t="s">
        <v>462</v>
      </c>
      <c r="B675" s="0" t="s">
        <v>209</v>
      </c>
      <c r="C675" s="19" t="n">
        <f aca="false">a25_co</f>
        <v>567.217349999999</v>
      </c>
      <c r="D675" s="19" t="n">
        <f aca="false">a26_co</f>
        <v>557.53675</v>
      </c>
      <c r="E675" s="19" t="n">
        <f aca="false">D675*(1+g_co27)</f>
        <v>602.13969</v>
      </c>
      <c r="F675" s="19" t="n">
        <f aca="false">E675*(1+g_co28)</f>
        <v>638.2680714</v>
      </c>
      <c r="G675" s="19" t="n">
        <f aca="false">F675*(1+g_co29)</f>
        <v>670.18147497</v>
      </c>
    </row>
    <row r="676" customFormat="false" ht="17.15" hidden="false" customHeight="false" outlineLevel="0" collapsed="false">
      <c r="A676" s="4" t="s">
        <v>387</v>
      </c>
      <c r="B676" s="0" t="s">
        <v>209</v>
      </c>
      <c r="C676" s="19" t="n">
        <f aca="false">SUM(C672:C675)</f>
        <v>6482.484</v>
      </c>
      <c r="D676" s="19" t="n">
        <f aca="false">SUM(D672:D675)</f>
        <v>7604.80127</v>
      </c>
      <c r="E676" s="19" t="n">
        <f aca="false">SUM(E672:E675)</f>
        <v>8006.6737594</v>
      </c>
      <c r="F676" s="19" t="n">
        <f aca="false">SUM(F672:F675)</f>
        <v>8323.524124572</v>
      </c>
      <c r="G676" s="19" t="n">
        <f aca="false">SUM(G672:G675)</f>
        <v>8597.29375888032</v>
      </c>
    </row>
    <row r="677" customFormat="false" ht="15" hidden="false" customHeight="false" outlineLevel="0" collapsed="false">
      <c r="A677" s="4" t="s">
        <v>353</v>
      </c>
      <c r="B677" s="0" t="s">
        <v>209</v>
      </c>
      <c r="C677" s="19" t="n">
        <f aca="false">C670+C676</f>
        <v>8103.105</v>
      </c>
      <c r="D677" s="19" t="n">
        <f aca="false">D670+D676</f>
        <v>11150.735</v>
      </c>
      <c r="E677" s="19" t="n">
        <f aca="false">E670+E676</f>
        <v>13734.8481819054</v>
      </c>
      <c r="F677" s="19" t="n">
        <f aca="false">F670+F676</f>
        <v>14777.8617946476</v>
      </c>
      <c r="G677" s="19" t="n">
        <f aca="false">G670+G676</f>
        <v>15145.6238902376</v>
      </c>
    </row>
    <row r="678" customFormat="false" ht="15" hidden="false" customHeight="false" outlineLevel="0" collapsed="false">
      <c r="A678" s="4" t="s">
        <v>463</v>
      </c>
      <c r="B678" s="0" t="s">
        <v>52</v>
      </c>
      <c r="D678" s="15" t="n">
        <f aca="false">D677/C677-1</f>
        <v>0.376106443147411</v>
      </c>
      <c r="E678" s="15" t="n">
        <f aca="false">E677/D677-1</f>
        <v>0.231743753385349</v>
      </c>
      <c r="F678" s="15" t="n">
        <f aca="false">F677/E677-1</f>
        <v>0.0759392167229256</v>
      </c>
      <c r="G678" s="15" t="n">
        <f aca="false">G677/F677-1</f>
        <v>0.0248860153586801</v>
      </c>
    </row>
    <row r="679" customFormat="false" ht="17.15" hidden="false" customHeight="false" outlineLevel="0" collapsed="false">
      <c r="A679" s="0" t="s">
        <v>464</v>
      </c>
      <c r="B679" s="0" t="s">
        <v>52</v>
      </c>
      <c r="C679" s="15" t="n">
        <f aca="false">C670/C677</f>
        <v>0.2</v>
      </c>
      <c r="D679" s="15" t="n">
        <f aca="false">D670/D677</f>
        <v>0.318</v>
      </c>
      <c r="E679" s="15" t="n">
        <f aca="false">E670/E677</f>
        <v>0.417054076364078</v>
      </c>
      <c r="F679" s="15" t="n">
        <f aca="false">F670/F677</f>
        <v>0.436757208841491</v>
      </c>
      <c r="G679" s="15" t="n">
        <f aca="false">G670/G677</f>
        <v>0.43235789947076</v>
      </c>
    </row>
    <row r="680" customFormat="false" ht="17.15" hidden="false" customHeight="false" outlineLevel="0" collapsed="false">
      <c r="A680" s="4" t="s">
        <v>465</v>
      </c>
      <c r="B680" s="0" t="s">
        <v>52</v>
      </c>
      <c r="C680" s="15" t="n">
        <f aca="false">(C670+C672)/C677</f>
        <v>0.4</v>
      </c>
      <c r="D680" s="15" t="n">
        <f aca="false">(D670+D672)/D677</f>
        <v>0.53</v>
      </c>
      <c r="E680" s="15" t="n">
        <f aca="false">(E670+E672)/E677</f>
        <v>0.609821443235162</v>
      </c>
      <c r="F680" s="15" t="n">
        <f aca="false">(F670+F672)/F677</f>
        <v>0.630252113558198</v>
      </c>
      <c r="G680" s="15" t="n">
        <f aca="false">(G670+G672)/G677</f>
        <v>0.632482202003983</v>
      </c>
    </row>
    <row r="681" customFormat="false" ht="17.15" hidden="false" customHeight="false" outlineLevel="0" collapsed="false">
      <c r="A681" s="4" t="s">
        <v>418</v>
      </c>
      <c r="B681" s="0" t="s">
        <v>405</v>
      </c>
      <c r="D681" s="16" t="n">
        <f aca="false">D670/fx/D661</f>
        <v>4.7355819103481</v>
      </c>
      <c r="E681" s="16" t="n">
        <f aca="false">E670/fx/E661</f>
        <v>4.29818371613545</v>
      </c>
      <c r="F681" s="16" t="n">
        <f aca="false">F670/fx/F661</f>
        <v>3.82060774767595</v>
      </c>
      <c r="G681" s="16" t="n">
        <f aca="false">G670/fx/G661</f>
        <v>3.4027287752739</v>
      </c>
    </row>
    <row r="682" customFormat="false" ht="17.15" hidden="false" customHeight="false" outlineLevel="0" collapsed="false">
      <c r="A682" s="4" t="s">
        <v>466</v>
      </c>
      <c r="B682" s="4" t="s">
        <v>416</v>
      </c>
      <c r="D682" s="19" t="n">
        <f aca="false">D668/fx/(odm_gb*(1-vr26)+odm_vr*vr26)</f>
        <v>24.0630682003257</v>
      </c>
      <c r="E682" s="19" t="n">
        <f aca="false">E668/fx/odm_vr</f>
        <v>29.4659178112417</v>
      </c>
      <c r="F682" s="19" t="n">
        <f aca="false">F668/fx/odm_vr</f>
        <v>37.3514911462707</v>
      </c>
      <c r="G682" s="19" t="n">
        <f aca="false">G668/fx/odm_vr</f>
        <v>40.4217909343043</v>
      </c>
      <c r="H682" s="4" t="s">
        <v>467</v>
      </c>
    </row>
    <row r="683" customFormat="false" ht="17.15" hidden="false" customHeight="false" outlineLevel="0" collapsed="false">
      <c r="A683" s="6" t="s">
        <v>468</v>
      </c>
    </row>
    <row r="684" customFormat="false" ht="17.15" hidden="false" customHeight="false" outlineLevel="0" collapsed="false">
      <c r="A684" s="4" t="s">
        <v>469</v>
      </c>
      <c r="B684" s="0" t="s">
        <v>52</v>
      </c>
      <c r="D684" s="14" t="n">
        <f aca="false">a26_gp/D677-d_ai_lo*D679</f>
        <v>0.0653789258510762</v>
      </c>
      <c r="H684" s="8" t="s">
        <v>470</v>
      </c>
    </row>
    <row r="685" customFormat="false" ht="17.15" hidden="false" customHeight="false" outlineLevel="0" collapsed="false">
      <c r="A685" s="0" t="s">
        <v>471</v>
      </c>
      <c r="B685" s="0" t="s">
        <v>209</v>
      </c>
      <c r="D685" s="22" t="n">
        <f aca="false">($D$684+d_ai_lo)*D668*(1-D669*(1-keep))</f>
        <v>178.6403324565</v>
      </c>
      <c r="E685" s="22" t="n">
        <f aca="false">($D$684+d_ai_lo+vrd)*E668*(1-E669*(1-keep))</f>
        <v>304.835218213261</v>
      </c>
      <c r="F685" s="22" t="n">
        <f aca="false">($D$684+d_ai_lo+vrd)*F668*(1-F669*(1-keep))</f>
        <v>382.511056359033</v>
      </c>
      <c r="G685" s="22" t="n">
        <f aca="false">($D$684+d_ai_lo+vrd)*G668*(1-G669*(1-keep))</f>
        <v>411.841531235294</v>
      </c>
      <c r="H685" s="4" t="s">
        <v>472</v>
      </c>
    </row>
    <row r="686" customFormat="false" ht="15" hidden="false" customHeight="false" outlineLevel="0" collapsed="false">
      <c r="A686" s="4" t="s">
        <v>357</v>
      </c>
      <c r="B686" s="0" t="s">
        <v>209</v>
      </c>
      <c r="C686" s="19" t="n">
        <f aca="false">a25_gp</f>
        <v>498.161</v>
      </c>
      <c r="D686" s="19" t="n">
        <f aca="false">a26_gp</f>
        <v>675.8340708</v>
      </c>
      <c r="E686" s="19" t="n">
        <f aca="false">$D$684*E676+E685</f>
        <v>828.302948242831</v>
      </c>
      <c r="F686" s="19" t="n">
        <f aca="false">$D$684*F676+F685</f>
        <v>926.694122919069</v>
      </c>
      <c r="G686" s="19" t="n">
        <f aca="false">$D$684*G676+G685</f>
        <v>973.92336241705</v>
      </c>
    </row>
    <row r="687" customFormat="false" ht="15" hidden="false" customHeight="false" outlineLevel="0" collapsed="false">
      <c r="A687" s="4" t="s">
        <v>360</v>
      </c>
      <c r="B687" s="0" t="s">
        <v>52</v>
      </c>
      <c r="C687" s="14" t="n">
        <f aca="false">C686/C677</f>
        <v>0.0614777915379352</v>
      </c>
      <c r="D687" s="14" t="n">
        <f aca="false">D686/D677</f>
        <v>0.0606089258510762</v>
      </c>
      <c r="E687" s="14" t="n">
        <f aca="false">E686/E677</f>
        <v>0.0603066693765175</v>
      </c>
      <c r="F687" s="14" t="n">
        <f aca="false">F686/F677</f>
        <v>0.0627082683406006</v>
      </c>
      <c r="G687" s="14" t="n">
        <f aca="false">G686/G677</f>
        <v>0.0643039447879601</v>
      </c>
    </row>
    <row r="688" customFormat="false" ht="17.15" hidden="false" customHeight="false" outlineLevel="0" collapsed="false">
      <c r="A688" s="0" t="s">
        <v>473</v>
      </c>
      <c r="B688" s="0" t="s">
        <v>52</v>
      </c>
      <c r="D688" s="14" t="n">
        <f aca="false">D685/D670</f>
        <v>0.0503789258510762</v>
      </c>
      <c r="E688" s="14" t="n">
        <f aca="false">E685/E670</f>
        <v>0.0532168184361838</v>
      </c>
      <c r="F688" s="14" t="n">
        <f aca="false">F685/F670</f>
        <v>0.0592641841675683</v>
      </c>
      <c r="G688" s="14" t="n">
        <f aca="false">G685/G670</f>
        <v>0.062892603606399</v>
      </c>
      <c r="H688" s="4" t="s">
        <v>474</v>
      </c>
    </row>
    <row r="689" customFormat="false" ht="15" hidden="false" customHeight="false" outlineLevel="0" collapsed="false">
      <c r="A689" s="4" t="s">
        <v>475</v>
      </c>
      <c r="B689" s="0" t="s">
        <v>209</v>
      </c>
      <c r="C689" s="19" t="n">
        <f aca="false">a25_opx</f>
        <v>238.938</v>
      </c>
      <c r="D689" s="19" t="n">
        <f aca="false">a26_opx</f>
        <v>254.8304233</v>
      </c>
      <c r="E689" s="19" t="n">
        <f aca="false">D689*(1+MAX(0,phi*E678))</f>
        <v>278.452566808928</v>
      </c>
      <c r="F689" s="19" t="n">
        <f aca="false">E689*(1+MAX(0,phi*F678))</f>
        <v>286.910754736111</v>
      </c>
      <c r="G689" s="19" t="n">
        <f aca="false">F689*(1+MAX(0,phi*G678))</f>
        <v>289.766780915684</v>
      </c>
    </row>
    <row r="690" customFormat="false" ht="15" hidden="false" customHeight="false" outlineLevel="0" collapsed="false">
      <c r="A690" s="4" t="s">
        <v>361</v>
      </c>
      <c r="B690" s="0" t="s">
        <v>209</v>
      </c>
      <c r="C690" s="19" t="n">
        <f aca="false">C689</f>
        <v>238.938</v>
      </c>
      <c r="D690" s="19" t="n">
        <f aca="false">D689</f>
        <v>254.8304233</v>
      </c>
      <c r="E690" s="19" t="n">
        <f aca="false">E689+0*E677</f>
        <v>278.452566808928</v>
      </c>
      <c r="F690" s="19" t="n">
        <f aca="false">F689+0*F677</f>
        <v>286.910754736111</v>
      </c>
      <c r="G690" s="19" t="n">
        <f aca="false">G689+0*G677</f>
        <v>289.766780915684</v>
      </c>
    </row>
    <row r="691" customFormat="false" ht="15" hidden="false" customHeight="false" outlineLevel="0" collapsed="false">
      <c r="A691" s="4" t="s">
        <v>364</v>
      </c>
      <c r="B691" s="0" t="s">
        <v>209</v>
      </c>
      <c r="C691" s="19" t="n">
        <f aca="false">C686-C690</f>
        <v>259.223</v>
      </c>
      <c r="D691" s="19" t="n">
        <f aca="false">D686-D690</f>
        <v>421.0036475</v>
      </c>
      <c r="E691" s="19" t="n">
        <f aca="false">E686-E690</f>
        <v>549.850381433903</v>
      </c>
      <c r="F691" s="19" t="n">
        <f aca="false">F686-F690</f>
        <v>639.783368182958</v>
      </c>
      <c r="G691" s="19" t="n">
        <f aca="false">G686-G690</f>
        <v>684.156581501366</v>
      </c>
    </row>
    <row r="692" customFormat="false" ht="15" hidden="false" customHeight="false" outlineLevel="0" collapsed="false">
      <c r="A692" s="4" t="s">
        <v>367</v>
      </c>
      <c r="B692" s="0" t="s">
        <v>52</v>
      </c>
      <c r="C692" s="14" t="n">
        <f aca="false">C691/C677</f>
        <v>0.0319905764518663</v>
      </c>
      <c r="D692" s="14" t="n">
        <f aca="false">D691/D677</f>
        <v>0.0377556858359561</v>
      </c>
      <c r="E692" s="14" t="n">
        <f aca="false">E691/E677</f>
        <v>0.0400332332874483</v>
      </c>
      <c r="F692" s="14" t="n">
        <f aca="false">F691/F677</f>
        <v>0.0432933652427771</v>
      </c>
      <c r="G692" s="14" t="n">
        <f aca="false">G691/G677</f>
        <v>0.0451718982631248</v>
      </c>
    </row>
    <row r="693" customFormat="false" ht="17.15" hidden="false" customHeight="false" outlineLevel="0" collapsed="false">
      <c r="A693" s="4" t="s">
        <v>243</v>
      </c>
      <c r="B693" s="0" t="s">
        <v>52</v>
      </c>
      <c r="C693" s="15" t="n">
        <f aca="false">a25_ni/a25_oi</f>
        <v>0.730467589681471</v>
      </c>
      <c r="D693" s="15" t="n">
        <f aca="false">a26_ni/a26_oi</f>
        <v>0.653811645064191</v>
      </c>
      <c r="E693" s="15" t="n">
        <f aca="false">nio_f</f>
        <v>0.66</v>
      </c>
      <c r="F693" s="15" t="n">
        <f aca="false">nio_f</f>
        <v>0.66</v>
      </c>
      <c r="G693" s="15" t="n">
        <f aca="false">nio_f</f>
        <v>0.66</v>
      </c>
    </row>
    <row r="694" customFormat="false" ht="15" hidden="false" customHeight="false" outlineLevel="0" collapsed="false">
      <c r="A694" s="4" t="s">
        <v>368</v>
      </c>
      <c r="B694" s="0" t="s">
        <v>209</v>
      </c>
      <c r="C694" s="19" t="n">
        <f aca="false">a25_ni</f>
        <v>189.354</v>
      </c>
      <c r="D694" s="19" t="n">
        <f aca="false">a26_ni</f>
        <v>275.25708735</v>
      </c>
      <c r="E694" s="19" t="n">
        <f aca="false">E691*E693</f>
        <v>362.901251746376</v>
      </c>
      <c r="F694" s="19" t="n">
        <f aca="false">F691*F693</f>
        <v>422.257023000752</v>
      </c>
      <c r="G694" s="19" t="n">
        <f aca="false">G691*G693</f>
        <v>451.543343790902</v>
      </c>
    </row>
    <row r="695" customFormat="false" ht="15" hidden="false" customHeight="false" outlineLevel="0" collapsed="false">
      <c r="A695" s="4" t="s">
        <v>476</v>
      </c>
      <c r="B695" s="4" t="s">
        <v>230</v>
      </c>
      <c r="C695" s="23" t="n">
        <f aca="false">a25_sh</f>
        <v>13.9128581925055</v>
      </c>
      <c r="D695" s="23" t="n">
        <f aca="false">a26_sh</f>
        <v>14.0169642857143</v>
      </c>
      <c r="E695" s="23" t="n">
        <f aca="false">D695*(1+sh_g)</f>
        <v>14.0169642857143</v>
      </c>
      <c r="F695" s="23" t="n">
        <f aca="false">E695*(1+sh_g)</f>
        <v>14.0169642857143</v>
      </c>
      <c r="G695" s="23" t="n">
        <f aca="false">F695*(1+sh_g)</f>
        <v>14.0169642857143</v>
      </c>
    </row>
    <row r="696" customFormat="false" ht="15" hidden="false" customHeight="false" outlineLevel="0" collapsed="false">
      <c r="A696" s="0" t="s">
        <v>374</v>
      </c>
      <c r="B696" s="0" t="s">
        <v>260</v>
      </c>
      <c r="C696" s="22" t="n">
        <f aca="false">C694/C695</f>
        <v>13.61</v>
      </c>
      <c r="D696" s="22" t="n">
        <f aca="false">D694/D695</f>
        <v>19.6374251756163</v>
      </c>
      <c r="E696" s="22" t="n">
        <f aca="false">E694/E695</f>
        <v>25.8901459937538</v>
      </c>
      <c r="F696" s="22" t="n">
        <f aca="false">F694/F695</f>
        <v>30.1247127690199</v>
      </c>
      <c r="G696" s="22" t="n">
        <f aca="false">G694/G695</f>
        <v>32.2140610896114</v>
      </c>
    </row>
    <row r="697" customFormat="false" ht="17.15" hidden="false" customHeight="false" outlineLevel="0" collapsed="false">
      <c r="A697" s="0" t="s">
        <v>477</v>
      </c>
      <c r="B697" s="0" t="s">
        <v>52</v>
      </c>
      <c r="D697" s="15" t="n">
        <f aca="false">D696/C696-1</f>
        <v>0.442867389832203</v>
      </c>
      <c r="E697" s="15" t="n">
        <f aca="false">E696/D696-1</f>
        <v>0.318408384104323</v>
      </c>
      <c r="F697" s="15" t="n">
        <f aca="false">F696/E696-1</f>
        <v>0.163559014935167</v>
      </c>
      <c r="G697" s="15" t="n">
        <f aca="false">G696/F696-1</f>
        <v>0.0693566221398216</v>
      </c>
    </row>
    <row r="700" customFormat="false" ht="17.15" hidden="false" customHeight="false" outlineLevel="0" collapsed="false">
      <c r="A700" s="1" t="s">
        <v>799</v>
      </c>
    </row>
    <row r="701" customFormat="false" ht="17.15" hidden="false" customHeight="false" outlineLevel="0" collapsed="false">
      <c r="A701" s="5" t="s">
        <v>21</v>
      </c>
      <c r="B701" s="5" t="s">
        <v>22</v>
      </c>
      <c r="C701" s="11" t="s">
        <v>347</v>
      </c>
      <c r="D701" s="11" t="s">
        <v>429</v>
      </c>
      <c r="E701" s="11" t="s">
        <v>430</v>
      </c>
      <c r="F701" s="11" t="s">
        <v>431</v>
      </c>
      <c r="G701" s="11" t="s">
        <v>432</v>
      </c>
      <c r="H701" s="5" t="s">
        <v>400</v>
      </c>
    </row>
    <row r="702" customFormat="false" ht="17.15" hidden="false" customHeight="false" outlineLevel="0" collapsed="false">
      <c r="A702" s="6" t="s">
        <v>446</v>
      </c>
    </row>
    <row r="703" customFormat="false" ht="17.15" hidden="false" customHeight="false" outlineLevel="0" collapsed="false">
      <c r="A703" s="0" t="s">
        <v>447</v>
      </c>
      <c r="B703" s="0" t="s">
        <v>32</v>
      </c>
      <c r="D703" s="22" t="n">
        <f aca="false">itc_26*1</f>
        <v>781.872916666666</v>
      </c>
      <c r="E703" s="22" t="n">
        <f aca="false">itc_27*1*1</f>
        <v>1565.35</v>
      </c>
      <c r="F703" s="22" t="n">
        <f aca="false">itc_28*um28_A*1</f>
        <v>1984.26388888889</v>
      </c>
      <c r="G703" s="22" t="n">
        <f aca="false">itc_29*um29_A*1</f>
        <v>2260.39027777778</v>
      </c>
    </row>
    <row r="704" customFormat="false" ht="17.15" hidden="false" customHeight="false" outlineLevel="0" collapsed="false">
      <c r="A704" s="4" t="s">
        <v>448</v>
      </c>
      <c r="B704" s="0" t="s">
        <v>32</v>
      </c>
      <c r="D704" s="22" t="n">
        <f aca="false">itpg_gb*(1-vr26)+itpg_vr*vr26</f>
        <v>33.41403216</v>
      </c>
      <c r="E704" s="22" t="n">
        <f aca="false">itpg_vr</f>
        <v>37.586352</v>
      </c>
      <c r="F704" s="22" t="n">
        <f aca="false">itpg_vr</f>
        <v>37.586352</v>
      </c>
      <c r="G704" s="22" t="n">
        <f aca="false">itpg_vr</f>
        <v>37.586352</v>
      </c>
    </row>
    <row r="705" customFormat="false" ht="17.15" hidden="false" customHeight="false" outlineLevel="0" collapsed="false">
      <c r="A705" s="4" t="s">
        <v>449</v>
      </c>
      <c r="B705" s="0" t="s">
        <v>402</v>
      </c>
      <c r="D705" s="18" t="n">
        <f aca="false">D703/D704</f>
        <v>23.3995380420639</v>
      </c>
      <c r="E705" s="18" t="n">
        <f aca="false">E703/E704</f>
        <v>41.6467658260637</v>
      </c>
      <c r="F705" s="18" t="n">
        <f aca="false">F703/F704</f>
        <v>52.792138191248</v>
      </c>
      <c r="G705" s="18" t="n">
        <f aca="false">G703/G704</f>
        <v>60.1385917361116</v>
      </c>
    </row>
    <row r="706" customFormat="false" ht="17.15" hidden="false" customHeight="false" outlineLevel="0" collapsed="false">
      <c r="A706" s="4" t="s">
        <v>404</v>
      </c>
      <c r="B706" s="0" t="s">
        <v>405</v>
      </c>
      <c r="D706" s="16" t="n">
        <f aca="false">(racks_gb*odm_gb*(1-vr26)+racks_vr*odm_vr*vr26)/1000</f>
        <v>27.1209</v>
      </c>
      <c r="E706" s="16" t="n">
        <f aca="false">racks_vr*odm_vr/1000</f>
        <v>27.351</v>
      </c>
      <c r="F706" s="16" t="n">
        <f aca="false">$E706*vpg_28</f>
        <v>27.351</v>
      </c>
      <c r="G706" s="16" t="n">
        <f aca="false">$E706*vpg_29</f>
        <v>27.351</v>
      </c>
      <c r="H706" s="4" t="s">
        <v>450</v>
      </c>
    </row>
    <row r="707" customFormat="false" ht="17.15" hidden="false" customHeight="false" outlineLevel="0" collapsed="false">
      <c r="A707" s="0" t="s">
        <v>451</v>
      </c>
      <c r="B707" s="0" t="s">
        <v>32</v>
      </c>
      <c r="D707" s="19" t="n">
        <f aca="false">D705*D706</f>
        <v>634.61653128501</v>
      </c>
      <c r="E707" s="19" t="n">
        <f aca="false">E705*E706</f>
        <v>1139.08069210867</v>
      </c>
      <c r="F707" s="19" t="n">
        <f aca="false">F705*F706</f>
        <v>1443.91777166882</v>
      </c>
      <c r="G707" s="19" t="n">
        <f aca="false">G705*G706</f>
        <v>1644.85062257439</v>
      </c>
    </row>
    <row r="708" customFormat="false" ht="17.15" hidden="false" customHeight="false" outlineLevel="0" collapsed="false">
      <c r="A708" s="0" t="s">
        <v>452</v>
      </c>
      <c r="B708" s="0" t="s">
        <v>209</v>
      </c>
      <c r="D708" s="19" t="n">
        <f aca="false">D707*fx</f>
        <v>20307.7290011203</v>
      </c>
      <c r="E708" s="19" t="n">
        <f aca="false">E707*fx</f>
        <v>36450.5821474774</v>
      </c>
      <c r="F708" s="19" t="n">
        <f aca="false">F707*fx</f>
        <v>46205.3686934024</v>
      </c>
      <c r="G708" s="19" t="n">
        <f aca="false">G707*fx</f>
        <v>52635.2199223804</v>
      </c>
    </row>
    <row r="709" customFormat="false" ht="17.15" hidden="false" customHeight="false" outlineLevel="0" collapsed="false">
      <c r="A709" s="4" t="s">
        <v>453</v>
      </c>
      <c r="B709" s="0" t="s">
        <v>52</v>
      </c>
      <c r="D709" s="15" t="n">
        <f aca="false">a26_ai/D708</f>
        <v>0.174610057569922</v>
      </c>
      <c r="H709" s="8" t="s">
        <v>454</v>
      </c>
    </row>
    <row r="710" customFormat="false" ht="17.15" hidden="false" customHeight="false" outlineLevel="0" collapsed="false">
      <c r="A710" s="4" t="s">
        <v>455</v>
      </c>
      <c r="B710" s="0" t="s">
        <v>71</v>
      </c>
      <c r="D710" s="16" t="n">
        <f aca="false">1</f>
        <v>1</v>
      </c>
      <c r="E710" s="16" t="n">
        <f aca="false">rel_27</f>
        <v>1</v>
      </c>
      <c r="F710" s="16" t="n">
        <f aca="false">rel_28</f>
        <v>1</v>
      </c>
      <c r="G710" s="16" t="n">
        <f aca="false">rel_29</f>
        <v>0.95</v>
      </c>
    </row>
    <row r="711" customFormat="false" ht="15" hidden="false" customHeight="false" outlineLevel="0" collapsed="false">
      <c r="A711" s="4" t="s">
        <v>456</v>
      </c>
      <c r="B711" s="0" t="s">
        <v>52</v>
      </c>
      <c r="D711" s="15" t="n">
        <f aca="false">$D$709*D710</f>
        <v>0.174610057569922</v>
      </c>
      <c r="E711" s="15" t="n">
        <f aca="false">$D$709*E710</f>
        <v>0.174610057569922</v>
      </c>
      <c r="F711" s="15" t="n">
        <f aca="false">$D$709*F710</f>
        <v>0.174610057569922</v>
      </c>
      <c r="G711" s="15" t="n">
        <f aca="false">$D$709*G710</f>
        <v>0.165879554691426</v>
      </c>
    </row>
    <row r="712" customFormat="false" ht="17.15" hidden="false" customHeight="false" outlineLevel="0" collapsed="false">
      <c r="A712" s="0" t="s">
        <v>457</v>
      </c>
      <c r="B712" s="0" t="s">
        <v>209</v>
      </c>
      <c r="D712" s="19" t="n">
        <f aca="false">D708*D711</f>
        <v>3545.93373</v>
      </c>
      <c r="E712" s="19" t="n">
        <f aca="false">E708*E711</f>
        <v>6364.6382472282</v>
      </c>
      <c r="F712" s="19" t="n">
        <f aca="false">F708*F711</f>
        <v>8067.92208759447</v>
      </c>
      <c r="G712" s="19" t="n">
        <f aca="false">G708*G711</f>
        <v>8731.10684180974</v>
      </c>
    </row>
    <row r="713" customFormat="false" ht="17.15" hidden="false" customHeight="false" outlineLevel="0" collapsed="false">
      <c r="A713" s="4" t="s">
        <v>458</v>
      </c>
      <c r="B713" s="0" t="s">
        <v>52</v>
      </c>
      <c r="D713" s="15" t="n">
        <f aca="false">0</f>
        <v>0</v>
      </c>
      <c r="E713" s="15" t="n">
        <f aca="false">cs_27</f>
        <v>0.1</v>
      </c>
      <c r="F713" s="15" t="n">
        <f aca="false">cs_28</f>
        <v>0.2</v>
      </c>
      <c r="G713" s="15" t="n">
        <f aca="false">cs_29</f>
        <v>0.25</v>
      </c>
      <c r="H713" s="8" t="s">
        <v>459</v>
      </c>
    </row>
    <row r="714" customFormat="false" ht="17.15" hidden="false" customHeight="false" outlineLevel="0" collapsed="false">
      <c r="A714" s="0" t="s">
        <v>460</v>
      </c>
      <c r="B714" s="0" t="s">
        <v>209</v>
      </c>
      <c r="C714" s="19" t="n">
        <f aca="false">a25_ai</f>
        <v>1620.621</v>
      </c>
      <c r="D714" s="19" t="n">
        <f aca="false">D712*(1-D713)</f>
        <v>3545.93373</v>
      </c>
      <c r="E714" s="19" t="n">
        <f aca="false">E712*(1-E713)</f>
        <v>5728.17442250538</v>
      </c>
      <c r="F714" s="19" t="n">
        <f aca="false">F712*(1-F713)</f>
        <v>6454.33767007557</v>
      </c>
      <c r="G714" s="19" t="n">
        <f aca="false">G712*(1-G713)</f>
        <v>6548.3301313573</v>
      </c>
    </row>
    <row r="715" customFormat="false" ht="17.15" hidden="false" customHeight="false" outlineLevel="0" collapsed="false">
      <c r="A715" s="6" t="s">
        <v>461</v>
      </c>
    </row>
    <row r="716" customFormat="false" ht="17.15" hidden="false" customHeight="false" outlineLevel="0" collapsed="false">
      <c r="A716" s="4" t="s">
        <v>382</v>
      </c>
      <c r="B716" s="0" t="s">
        <v>209</v>
      </c>
      <c r="C716" s="19" t="n">
        <f aca="false">a25_cn</f>
        <v>1620.621</v>
      </c>
      <c r="D716" s="19" t="n">
        <f aca="false">a26_cn</f>
        <v>2363.95582</v>
      </c>
      <c r="E716" s="19" t="n">
        <f aca="false">D716*(1+g_cn27)</f>
        <v>2647.6305184</v>
      </c>
      <c r="F716" s="19" t="n">
        <f aca="false">E716*(1+g_cn28)</f>
        <v>2859.440959872</v>
      </c>
      <c r="G716" s="19" t="n">
        <f aca="false">F716*(1+g_cn29)</f>
        <v>3031.00741746432</v>
      </c>
    </row>
    <row r="717" customFormat="false" ht="17.15" hidden="false" customHeight="false" outlineLevel="0" collapsed="false">
      <c r="A717" s="4" t="s">
        <v>383</v>
      </c>
      <c r="B717" s="0" t="s">
        <v>209</v>
      </c>
      <c r="C717" s="19" t="n">
        <f aca="false">a25_ce</f>
        <v>3079.1799</v>
      </c>
      <c r="D717" s="19" t="n">
        <f aca="false">a26_ce</f>
        <v>3345.2205</v>
      </c>
      <c r="E717" s="19" t="n">
        <f aca="false">D717*(1+g_ce27)</f>
        <v>3445.577115</v>
      </c>
      <c r="F717" s="19" t="n">
        <f aca="false">E717*(1+g_ce28)</f>
        <v>3514.4886573</v>
      </c>
      <c r="G717" s="19" t="n">
        <f aca="false">F717*(1+g_ce29)</f>
        <v>3584.778430446</v>
      </c>
    </row>
    <row r="718" customFormat="false" ht="15" hidden="false" customHeight="false" outlineLevel="0" collapsed="false">
      <c r="A718" s="4" t="s">
        <v>384</v>
      </c>
      <c r="B718" s="0" t="s">
        <v>209</v>
      </c>
      <c r="C718" s="19" t="n">
        <f aca="false">a25_pc</f>
        <v>1215.46575</v>
      </c>
      <c r="D718" s="19" t="n">
        <f aca="false">a26_pc</f>
        <v>1338.0882</v>
      </c>
      <c r="E718" s="19" t="n">
        <f aca="false">D718*(1+g_pc27)</f>
        <v>1311.326436</v>
      </c>
      <c r="F718" s="19" t="n">
        <f aca="false">E718*(1+g_pc28)</f>
        <v>1311.326436</v>
      </c>
      <c r="G718" s="19" t="n">
        <f aca="false">F718*(1+g_pc29)</f>
        <v>1311.326436</v>
      </c>
    </row>
    <row r="719" customFormat="false" ht="15" hidden="false" customHeight="false" outlineLevel="0" collapsed="false">
      <c r="A719" s="4" t="s">
        <v>462</v>
      </c>
      <c r="B719" s="0" t="s">
        <v>209</v>
      </c>
      <c r="C719" s="19" t="n">
        <f aca="false">a25_co</f>
        <v>567.217349999999</v>
      </c>
      <c r="D719" s="19" t="n">
        <f aca="false">a26_co</f>
        <v>557.53675</v>
      </c>
      <c r="E719" s="19" t="n">
        <f aca="false">D719*(1+g_co27)</f>
        <v>602.13969</v>
      </c>
      <c r="F719" s="19" t="n">
        <f aca="false">E719*(1+g_co28)</f>
        <v>638.2680714</v>
      </c>
      <c r="G719" s="19" t="n">
        <f aca="false">F719*(1+g_co29)</f>
        <v>670.18147497</v>
      </c>
    </row>
    <row r="720" customFormat="false" ht="17.15" hidden="false" customHeight="false" outlineLevel="0" collapsed="false">
      <c r="A720" s="4" t="s">
        <v>387</v>
      </c>
      <c r="B720" s="0" t="s">
        <v>209</v>
      </c>
      <c r="C720" s="19" t="n">
        <f aca="false">SUM(C716:C719)</f>
        <v>6482.484</v>
      </c>
      <c r="D720" s="19" t="n">
        <f aca="false">SUM(D716:D719)</f>
        <v>7604.80127</v>
      </c>
      <c r="E720" s="19" t="n">
        <f aca="false">SUM(E716:E719)</f>
        <v>8006.6737594</v>
      </c>
      <c r="F720" s="19" t="n">
        <f aca="false">SUM(F716:F719)</f>
        <v>8323.524124572</v>
      </c>
      <c r="G720" s="19" t="n">
        <f aca="false">SUM(G716:G719)</f>
        <v>8597.29375888032</v>
      </c>
    </row>
    <row r="721" customFormat="false" ht="15" hidden="false" customHeight="false" outlineLevel="0" collapsed="false">
      <c r="A721" s="4" t="s">
        <v>353</v>
      </c>
      <c r="B721" s="0" t="s">
        <v>209</v>
      </c>
      <c r="C721" s="19" t="n">
        <f aca="false">C714+C720</f>
        <v>8103.105</v>
      </c>
      <c r="D721" s="19" t="n">
        <f aca="false">D714+D720</f>
        <v>11150.735</v>
      </c>
      <c r="E721" s="19" t="n">
        <f aca="false">E714+E720</f>
        <v>13734.8481819054</v>
      </c>
      <c r="F721" s="19" t="n">
        <f aca="false">F714+F720</f>
        <v>14777.8617946476</v>
      </c>
      <c r="G721" s="19" t="n">
        <f aca="false">G714+G720</f>
        <v>15145.6238902376</v>
      </c>
    </row>
    <row r="722" customFormat="false" ht="15" hidden="false" customHeight="false" outlineLevel="0" collapsed="false">
      <c r="A722" s="4" t="s">
        <v>463</v>
      </c>
      <c r="B722" s="0" t="s">
        <v>52</v>
      </c>
      <c r="D722" s="15" t="n">
        <f aca="false">D721/C721-1</f>
        <v>0.376106443147411</v>
      </c>
      <c r="E722" s="15" t="n">
        <f aca="false">E721/D721-1</f>
        <v>0.231743753385349</v>
      </c>
      <c r="F722" s="15" t="n">
        <f aca="false">F721/E721-1</f>
        <v>0.0759392167229256</v>
      </c>
      <c r="G722" s="15" t="n">
        <f aca="false">G721/F721-1</f>
        <v>0.0248860153586801</v>
      </c>
    </row>
    <row r="723" customFormat="false" ht="17.15" hidden="false" customHeight="false" outlineLevel="0" collapsed="false">
      <c r="A723" s="0" t="s">
        <v>464</v>
      </c>
      <c r="B723" s="0" t="s">
        <v>52</v>
      </c>
      <c r="C723" s="15" t="n">
        <f aca="false">C714/C721</f>
        <v>0.2</v>
      </c>
      <c r="D723" s="15" t="n">
        <f aca="false">D714/D721</f>
        <v>0.318</v>
      </c>
      <c r="E723" s="15" t="n">
        <f aca="false">E714/E721</f>
        <v>0.417054076364078</v>
      </c>
      <c r="F723" s="15" t="n">
        <f aca="false">F714/F721</f>
        <v>0.436757208841491</v>
      </c>
      <c r="G723" s="15" t="n">
        <f aca="false">G714/G721</f>
        <v>0.43235789947076</v>
      </c>
    </row>
    <row r="724" customFormat="false" ht="17.15" hidden="false" customHeight="false" outlineLevel="0" collapsed="false">
      <c r="A724" s="4" t="s">
        <v>465</v>
      </c>
      <c r="B724" s="0" t="s">
        <v>52</v>
      </c>
      <c r="C724" s="15" t="n">
        <f aca="false">(C714+C716)/C721</f>
        <v>0.4</v>
      </c>
      <c r="D724" s="15" t="n">
        <f aca="false">(D714+D716)/D721</f>
        <v>0.53</v>
      </c>
      <c r="E724" s="15" t="n">
        <f aca="false">(E714+E716)/E721</f>
        <v>0.609821443235162</v>
      </c>
      <c r="F724" s="15" t="n">
        <f aca="false">(F714+F716)/F721</f>
        <v>0.630252113558198</v>
      </c>
      <c r="G724" s="15" t="n">
        <f aca="false">(G714+G716)/G721</f>
        <v>0.632482202003983</v>
      </c>
    </row>
    <row r="725" customFormat="false" ht="17.15" hidden="false" customHeight="false" outlineLevel="0" collapsed="false">
      <c r="A725" s="4" t="s">
        <v>418</v>
      </c>
      <c r="B725" s="0" t="s">
        <v>405</v>
      </c>
      <c r="D725" s="16" t="n">
        <f aca="false">D714/fx/D705</f>
        <v>4.7355819103481</v>
      </c>
      <c r="E725" s="16" t="n">
        <f aca="false">E714/fx/E705</f>
        <v>4.29818371613545</v>
      </c>
      <c r="F725" s="16" t="n">
        <f aca="false">F714/fx/F705</f>
        <v>3.82060774767595</v>
      </c>
      <c r="G725" s="16" t="n">
        <f aca="false">G714/fx/G705</f>
        <v>3.4027287752739</v>
      </c>
    </row>
    <row r="726" customFormat="false" ht="17.15" hidden="false" customHeight="false" outlineLevel="0" collapsed="false">
      <c r="A726" s="4" t="s">
        <v>466</v>
      </c>
      <c r="B726" s="4" t="s">
        <v>416</v>
      </c>
      <c r="D726" s="19" t="n">
        <f aca="false">D712/fx/(odm_gb*(1-vr26)+odm_vr*vr26)</f>
        <v>24.0630682003257</v>
      </c>
      <c r="E726" s="19" t="n">
        <f aca="false">E712/fx/odm_vr</f>
        <v>29.4659178112417</v>
      </c>
      <c r="F726" s="19" t="n">
        <f aca="false">F712/fx/odm_vr</f>
        <v>37.3514911462707</v>
      </c>
      <c r="G726" s="19" t="n">
        <f aca="false">G712/fx/odm_vr</f>
        <v>40.4217909343043</v>
      </c>
      <c r="H726" s="4" t="s">
        <v>467</v>
      </c>
    </row>
    <row r="727" customFormat="false" ht="17.15" hidden="false" customHeight="false" outlineLevel="0" collapsed="false">
      <c r="A727" s="6" t="s">
        <v>468</v>
      </c>
    </row>
    <row r="728" customFormat="false" ht="17.15" hidden="false" customHeight="false" outlineLevel="0" collapsed="false">
      <c r="A728" s="4" t="s">
        <v>469</v>
      </c>
      <c r="B728" s="0" t="s">
        <v>52</v>
      </c>
      <c r="D728" s="14" t="n">
        <f aca="false">a26_gp/D721-d_ai_hi*D723</f>
        <v>0.0590189258510762</v>
      </c>
      <c r="H728" s="8" t="s">
        <v>470</v>
      </c>
    </row>
    <row r="729" customFormat="false" ht="17.15" hidden="false" customHeight="false" outlineLevel="0" collapsed="false">
      <c r="A729" s="0" t="s">
        <v>471</v>
      </c>
      <c r="B729" s="0" t="s">
        <v>209</v>
      </c>
      <c r="D729" s="22" t="n">
        <f aca="false">($D$728+d_ai_hi)*D712*(1-D713*(1-keep))</f>
        <v>227.0068685337</v>
      </c>
      <c r="E729" s="22" t="n">
        <f aca="false">($D$728+d_ai_hi+vrd)*E712*(1-E713*(1-keep))</f>
        <v>390.780747248531</v>
      </c>
      <c r="F729" s="22" t="n">
        <f aca="false">($D$728+d_ai_hi+vrd)*F712*(1-F713*(1-keep))</f>
        <v>490.356584488325</v>
      </c>
      <c r="G729" s="22" t="n">
        <f aca="false">($D$728+d_ai_hi+vrd)*G712*(1-G713*(1-keep))</f>
        <v>527.956521124522</v>
      </c>
      <c r="H729" s="4" t="s">
        <v>472</v>
      </c>
    </row>
    <row r="730" customFormat="false" ht="15" hidden="false" customHeight="false" outlineLevel="0" collapsed="false">
      <c r="A730" s="4" t="s">
        <v>357</v>
      </c>
      <c r="B730" s="0" t="s">
        <v>209</v>
      </c>
      <c r="C730" s="19" t="n">
        <f aca="false">a25_gp</f>
        <v>498.161</v>
      </c>
      <c r="D730" s="19" t="n">
        <f aca="false">a26_gp</f>
        <v>675.8340708</v>
      </c>
      <c r="E730" s="19" t="n">
        <f aca="false">$D$728*E720+E729</f>
        <v>863.326032168317</v>
      </c>
      <c r="F730" s="19" t="n">
        <f aca="false">$D$728*F720+F729</f>
        <v>981.602037616084</v>
      </c>
      <c r="G730" s="19" t="n">
        <f aca="false">$D$728*G720+G729</f>
        <v>1035.3595639998</v>
      </c>
    </row>
    <row r="731" customFormat="false" ht="15" hidden="false" customHeight="false" outlineLevel="0" collapsed="false">
      <c r="A731" s="4" t="s">
        <v>360</v>
      </c>
      <c r="B731" s="0" t="s">
        <v>52</v>
      </c>
      <c r="C731" s="14" t="n">
        <f aca="false">C730/C721</f>
        <v>0.0614777915379352</v>
      </c>
      <c r="D731" s="14" t="n">
        <f aca="false">D730/D721</f>
        <v>0.0606089258510762</v>
      </c>
      <c r="E731" s="14" t="n">
        <f aca="false">E730/E721</f>
        <v>0.0628566126639597</v>
      </c>
      <c r="F731" s="14" t="n">
        <f aca="false">F730/F721</f>
        <v>0.0664238203913649</v>
      </c>
      <c r="G731" s="14" t="n">
        <f aca="false">G730/G721</f>
        <v>0.0683603113020097</v>
      </c>
    </row>
    <row r="732" customFormat="false" ht="17.15" hidden="false" customHeight="false" outlineLevel="0" collapsed="false">
      <c r="A732" s="0" t="s">
        <v>473</v>
      </c>
      <c r="B732" s="0" t="s">
        <v>52</v>
      </c>
      <c r="D732" s="14" t="n">
        <f aca="false">D729/D714</f>
        <v>0.0640189258510762</v>
      </c>
      <c r="E732" s="14" t="n">
        <f aca="false">E729/E714</f>
        <v>0.0682208184361838</v>
      </c>
      <c r="F732" s="14" t="n">
        <f aca="false">F729/F714</f>
        <v>0.0759731841675683</v>
      </c>
      <c r="G732" s="14" t="n">
        <f aca="false">G729/G714</f>
        <v>0.080624603606399</v>
      </c>
      <c r="H732" s="4" t="s">
        <v>474</v>
      </c>
    </row>
    <row r="733" customFormat="false" ht="15" hidden="false" customHeight="false" outlineLevel="0" collapsed="false">
      <c r="A733" s="4" t="s">
        <v>475</v>
      </c>
      <c r="B733" s="0" t="s">
        <v>209</v>
      </c>
      <c r="C733" s="19" t="n">
        <f aca="false">a25_opx</f>
        <v>238.938</v>
      </c>
      <c r="D733" s="19" t="n">
        <f aca="false">a26_opx</f>
        <v>254.8304233</v>
      </c>
      <c r="E733" s="19" t="n">
        <f aca="false">D733*(1+MAX(0,phi*E722))</f>
        <v>278.452566808928</v>
      </c>
      <c r="F733" s="19" t="n">
        <f aca="false">E733*(1+MAX(0,phi*F722))</f>
        <v>286.910754736111</v>
      </c>
      <c r="G733" s="19" t="n">
        <f aca="false">F733*(1+MAX(0,phi*G722))</f>
        <v>289.766780915684</v>
      </c>
    </row>
    <row r="734" customFormat="false" ht="15" hidden="false" customHeight="false" outlineLevel="0" collapsed="false">
      <c r="A734" s="4" t="s">
        <v>361</v>
      </c>
      <c r="B734" s="0" t="s">
        <v>209</v>
      </c>
      <c r="C734" s="19" t="n">
        <f aca="false">C733</f>
        <v>238.938</v>
      </c>
      <c r="D734" s="19" t="n">
        <f aca="false">D733</f>
        <v>254.8304233</v>
      </c>
      <c r="E734" s="19" t="n">
        <f aca="false">E733+0*E721</f>
        <v>278.452566808928</v>
      </c>
      <c r="F734" s="19" t="n">
        <f aca="false">F733+0*F721</f>
        <v>286.910754736111</v>
      </c>
      <c r="G734" s="19" t="n">
        <f aca="false">G733+0*G721</f>
        <v>289.766780915684</v>
      </c>
    </row>
    <row r="735" customFormat="false" ht="15" hidden="false" customHeight="false" outlineLevel="0" collapsed="false">
      <c r="A735" s="4" t="s">
        <v>364</v>
      </c>
      <c r="B735" s="0" t="s">
        <v>209</v>
      </c>
      <c r="C735" s="19" t="n">
        <f aca="false">C730-C734</f>
        <v>259.223</v>
      </c>
      <c r="D735" s="19" t="n">
        <f aca="false">D730-D734</f>
        <v>421.0036475</v>
      </c>
      <c r="E735" s="19" t="n">
        <f aca="false">E730-E734</f>
        <v>584.87346535939</v>
      </c>
      <c r="F735" s="19" t="n">
        <f aca="false">F730-F734</f>
        <v>694.691282879973</v>
      </c>
      <c r="G735" s="19" t="n">
        <f aca="false">G730-G734</f>
        <v>745.592783084115</v>
      </c>
    </row>
    <row r="736" customFormat="false" ht="15" hidden="false" customHeight="false" outlineLevel="0" collapsed="false">
      <c r="A736" s="4" t="s">
        <v>367</v>
      </c>
      <c r="B736" s="0" t="s">
        <v>52</v>
      </c>
      <c r="C736" s="14" t="n">
        <f aca="false">C735/C721</f>
        <v>0.0319905764518663</v>
      </c>
      <c r="D736" s="14" t="n">
        <f aca="false">D735/D721</f>
        <v>0.0377556858359561</v>
      </c>
      <c r="E736" s="14" t="n">
        <f aca="false">E735/E721</f>
        <v>0.0425831765748904</v>
      </c>
      <c r="F736" s="14" t="n">
        <f aca="false">F735/F721</f>
        <v>0.0470089172935414</v>
      </c>
      <c r="G736" s="14" t="n">
        <f aca="false">G735/G721</f>
        <v>0.0492282647771743</v>
      </c>
    </row>
    <row r="737" customFormat="false" ht="17.15" hidden="false" customHeight="false" outlineLevel="0" collapsed="false">
      <c r="A737" s="4" t="s">
        <v>243</v>
      </c>
      <c r="B737" s="0" t="s">
        <v>52</v>
      </c>
      <c r="C737" s="15" t="n">
        <f aca="false">a25_ni/a25_oi</f>
        <v>0.730467589681471</v>
      </c>
      <c r="D737" s="15" t="n">
        <f aca="false">a26_ni/a26_oi</f>
        <v>0.653811645064191</v>
      </c>
      <c r="E737" s="15" t="n">
        <f aca="false">nio_f</f>
        <v>0.66</v>
      </c>
      <c r="F737" s="15" t="n">
        <f aca="false">nio_f</f>
        <v>0.66</v>
      </c>
      <c r="G737" s="15" t="n">
        <f aca="false">nio_f</f>
        <v>0.66</v>
      </c>
    </row>
    <row r="738" customFormat="false" ht="15" hidden="false" customHeight="false" outlineLevel="0" collapsed="false">
      <c r="A738" s="4" t="s">
        <v>368</v>
      </c>
      <c r="B738" s="0" t="s">
        <v>209</v>
      </c>
      <c r="C738" s="19" t="n">
        <f aca="false">a25_ni</f>
        <v>189.354</v>
      </c>
      <c r="D738" s="19" t="n">
        <f aca="false">a26_ni</f>
        <v>275.25708735</v>
      </c>
      <c r="E738" s="19" t="n">
        <f aca="false">E735*E737</f>
        <v>386.016487137197</v>
      </c>
      <c r="F738" s="19" t="n">
        <f aca="false">F735*F737</f>
        <v>458.496246700782</v>
      </c>
      <c r="G738" s="19" t="n">
        <f aca="false">G735*G737</f>
        <v>492.091236835516</v>
      </c>
    </row>
    <row r="739" customFormat="false" ht="15" hidden="false" customHeight="false" outlineLevel="0" collapsed="false">
      <c r="A739" s="4" t="s">
        <v>476</v>
      </c>
      <c r="B739" s="4" t="s">
        <v>230</v>
      </c>
      <c r="C739" s="23" t="n">
        <f aca="false">a25_sh</f>
        <v>13.9128581925055</v>
      </c>
      <c r="D739" s="23" t="n">
        <f aca="false">a26_sh</f>
        <v>14.0169642857143</v>
      </c>
      <c r="E739" s="23" t="n">
        <f aca="false">D739*(1+sh_g)</f>
        <v>14.0169642857143</v>
      </c>
      <c r="F739" s="23" t="n">
        <f aca="false">E739*(1+sh_g)</f>
        <v>14.0169642857143</v>
      </c>
      <c r="G739" s="23" t="n">
        <f aca="false">F739*(1+sh_g)</f>
        <v>14.0169642857143</v>
      </c>
    </row>
    <row r="740" customFormat="false" ht="15" hidden="false" customHeight="false" outlineLevel="0" collapsed="false">
      <c r="A740" s="0" t="s">
        <v>374</v>
      </c>
      <c r="B740" s="0" t="s">
        <v>260</v>
      </c>
      <c r="C740" s="22" t="n">
        <f aca="false">C738/C739</f>
        <v>13.61</v>
      </c>
      <c r="D740" s="22" t="n">
        <f aca="false">D738/D739</f>
        <v>19.6374251756163</v>
      </c>
      <c r="E740" s="22" t="n">
        <f aca="false">E738/E739</f>
        <v>27.53923597641</v>
      </c>
      <c r="F740" s="22" t="n">
        <f aca="false">F738/F739</f>
        <v>32.7100959490971</v>
      </c>
      <c r="G740" s="22" t="n">
        <f aca="false">G738/G739</f>
        <v>35.1068338910617</v>
      </c>
    </row>
    <row r="741" customFormat="false" ht="17.15" hidden="false" customHeight="false" outlineLevel="0" collapsed="false">
      <c r="A741" s="0" t="s">
        <v>477</v>
      </c>
      <c r="B741" s="0" t="s">
        <v>52</v>
      </c>
      <c r="D741" s="15" t="n">
        <f aca="false">D740/C740-1</f>
        <v>0.442867389832203</v>
      </c>
      <c r="E741" s="15" t="n">
        <f aca="false">E740/D740-1</f>
        <v>0.402385278626313</v>
      </c>
      <c r="F741" s="15" t="n">
        <f aca="false">F740/E740-1</f>
        <v>0.187763377935265</v>
      </c>
      <c r="G741" s="15" t="n">
        <f aca="false">G740/F740-1</f>
        <v>0.0732721159147416</v>
      </c>
    </row>
    <row r="744" customFormat="false" ht="17.15" hidden="false" customHeight="false" outlineLevel="0" collapsed="false">
      <c r="A744" s="1" t="s">
        <v>800</v>
      </c>
    </row>
    <row r="745" customFormat="false" ht="17.15" hidden="false" customHeight="false" outlineLevel="0" collapsed="false">
      <c r="A745" s="5" t="s">
        <v>21</v>
      </c>
      <c r="B745" s="5" t="s">
        <v>22</v>
      </c>
      <c r="C745" s="11" t="s">
        <v>347</v>
      </c>
      <c r="D745" s="11" t="s">
        <v>429</v>
      </c>
      <c r="E745" s="11" t="s">
        <v>430</v>
      </c>
      <c r="F745" s="11" t="s">
        <v>431</v>
      </c>
      <c r="G745" s="11" t="s">
        <v>432</v>
      </c>
      <c r="H745" s="5" t="s">
        <v>400</v>
      </c>
    </row>
    <row r="746" customFormat="false" ht="17.15" hidden="false" customHeight="false" outlineLevel="0" collapsed="false">
      <c r="A746" s="6" t="s">
        <v>446</v>
      </c>
    </row>
    <row r="747" customFormat="false" ht="17.15" hidden="false" customHeight="false" outlineLevel="0" collapsed="false">
      <c r="A747" s="0" t="s">
        <v>447</v>
      </c>
      <c r="B747" s="0" t="s">
        <v>32</v>
      </c>
      <c r="D747" s="22" t="n">
        <f aca="false">itc_26*1</f>
        <v>781.872916666666</v>
      </c>
      <c r="E747" s="22" t="n">
        <f aca="false">itc_27*1*1</f>
        <v>1565.35</v>
      </c>
      <c r="F747" s="22" t="n">
        <f aca="false">itc_28*um28_A*1</f>
        <v>1984.26388888889</v>
      </c>
      <c r="G747" s="22" t="n">
        <f aca="false">itc_29*um29_A*1</f>
        <v>2260.39027777778</v>
      </c>
    </row>
    <row r="748" customFormat="false" ht="17.15" hidden="false" customHeight="false" outlineLevel="0" collapsed="false">
      <c r="A748" s="4" t="s">
        <v>448</v>
      </c>
      <c r="B748" s="0" t="s">
        <v>32</v>
      </c>
      <c r="D748" s="22" t="n">
        <f aca="false">itpg_gb*(1-vr26)+itpg_vr*vr26</f>
        <v>33.41403216</v>
      </c>
      <c r="E748" s="22" t="n">
        <f aca="false">itpg_vr</f>
        <v>37.586352</v>
      </c>
      <c r="F748" s="22" t="n">
        <f aca="false">itpg_vr</f>
        <v>37.586352</v>
      </c>
      <c r="G748" s="22" t="n">
        <f aca="false">itpg_vr</f>
        <v>37.586352</v>
      </c>
    </row>
    <row r="749" customFormat="false" ht="17.15" hidden="false" customHeight="false" outlineLevel="0" collapsed="false">
      <c r="A749" s="4" t="s">
        <v>449</v>
      </c>
      <c r="B749" s="0" t="s">
        <v>402</v>
      </c>
      <c r="D749" s="18" t="n">
        <f aca="false">D747/D748</f>
        <v>23.3995380420639</v>
      </c>
      <c r="E749" s="18" t="n">
        <f aca="false">E747/E748</f>
        <v>41.6467658260637</v>
      </c>
      <c r="F749" s="18" t="n">
        <f aca="false">F747/F748</f>
        <v>52.792138191248</v>
      </c>
      <c r="G749" s="18" t="n">
        <f aca="false">G747/G748</f>
        <v>60.1385917361116</v>
      </c>
    </row>
    <row r="750" customFormat="false" ht="17.15" hidden="false" customHeight="false" outlineLevel="0" collapsed="false">
      <c r="A750" s="4" t="s">
        <v>404</v>
      </c>
      <c r="B750" s="0" t="s">
        <v>405</v>
      </c>
      <c r="D750" s="16" t="n">
        <f aca="false">(racks_gb*odm_gb*(1-vr26)+racks_vr*odm_vr*vr26)/1000</f>
        <v>27.1209</v>
      </c>
      <c r="E750" s="16" t="n">
        <f aca="false">racks_vr*odm_vr/1000</f>
        <v>27.351</v>
      </c>
      <c r="F750" s="16" t="n">
        <f aca="false">$E750*vpg_28</f>
        <v>27.351</v>
      </c>
      <c r="G750" s="16" t="n">
        <f aca="false">$E750*vpg_29</f>
        <v>27.351</v>
      </c>
      <c r="H750" s="4" t="s">
        <v>450</v>
      </c>
    </row>
    <row r="751" customFormat="false" ht="17.15" hidden="false" customHeight="false" outlineLevel="0" collapsed="false">
      <c r="A751" s="0" t="s">
        <v>451</v>
      </c>
      <c r="B751" s="0" t="s">
        <v>32</v>
      </c>
      <c r="D751" s="19" t="n">
        <f aca="false">D749*D750</f>
        <v>634.61653128501</v>
      </c>
      <c r="E751" s="19" t="n">
        <f aca="false">E749*E750</f>
        <v>1139.08069210867</v>
      </c>
      <c r="F751" s="19" t="n">
        <f aca="false">F749*F750</f>
        <v>1443.91777166882</v>
      </c>
      <c r="G751" s="19" t="n">
        <f aca="false">G749*G750</f>
        <v>1644.85062257439</v>
      </c>
    </row>
    <row r="752" customFormat="false" ht="17.15" hidden="false" customHeight="false" outlineLevel="0" collapsed="false">
      <c r="A752" s="0" t="s">
        <v>452</v>
      </c>
      <c r="B752" s="0" t="s">
        <v>209</v>
      </c>
      <c r="D752" s="19" t="n">
        <f aca="false">D751*fx</f>
        <v>20307.7290011203</v>
      </c>
      <c r="E752" s="19" t="n">
        <f aca="false">E751*fx</f>
        <v>36450.5821474774</v>
      </c>
      <c r="F752" s="19" t="n">
        <f aca="false">F751*fx</f>
        <v>46205.3686934024</v>
      </c>
      <c r="G752" s="19" t="n">
        <f aca="false">G751*fx</f>
        <v>52635.2199223804</v>
      </c>
    </row>
    <row r="753" customFormat="false" ht="17.15" hidden="false" customHeight="false" outlineLevel="0" collapsed="false">
      <c r="A753" s="4" t="s">
        <v>453</v>
      </c>
      <c r="B753" s="0" t="s">
        <v>52</v>
      </c>
      <c r="D753" s="15" t="n">
        <f aca="false">a26_ai/D752</f>
        <v>0.174610057569922</v>
      </c>
      <c r="H753" s="8" t="s">
        <v>454</v>
      </c>
    </row>
    <row r="754" customFormat="false" ht="17.15" hidden="false" customHeight="false" outlineLevel="0" collapsed="false">
      <c r="A754" s="4" t="s">
        <v>455</v>
      </c>
      <c r="B754" s="0" t="s">
        <v>71</v>
      </c>
      <c r="D754" s="16" t="n">
        <f aca="false">1</f>
        <v>1</v>
      </c>
      <c r="E754" s="16" t="n">
        <f aca="false">rel_27</f>
        <v>1</v>
      </c>
      <c r="F754" s="16" t="n">
        <f aca="false">rel_28</f>
        <v>1</v>
      </c>
      <c r="G754" s="16" t="n">
        <f aca="false">rel_29</f>
        <v>0.95</v>
      </c>
    </row>
    <row r="755" customFormat="false" ht="15" hidden="false" customHeight="false" outlineLevel="0" collapsed="false">
      <c r="A755" s="4" t="s">
        <v>456</v>
      </c>
      <c r="B755" s="0" t="s">
        <v>52</v>
      </c>
      <c r="D755" s="15" t="n">
        <f aca="false">$D$753*D754</f>
        <v>0.174610057569922</v>
      </c>
      <c r="E755" s="15" t="n">
        <f aca="false">$D$753*E754</f>
        <v>0.174610057569922</v>
      </c>
      <c r="F755" s="15" t="n">
        <f aca="false">$D$753*F754</f>
        <v>0.174610057569922</v>
      </c>
      <c r="G755" s="15" t="n">
        <f aca="false">$D$753*G754</f>
        <v>0.165879554691426</v>
      </c>
    </row>
    <row r="756" customFormat="false" ht="17.15" hidden="false" customHeight="false" outlineLevel="0" collapsed="false">
      <c r="A756" s="0" t="s">
        <v>457</v>
      </c>
      <c r="B756" s="0" t="s">
        <v>209</v>
      </c>
      <c r="D756" s="19" t="n">
        <f aca="false">D752*D755</f>
        <v>3545.93373</v>
      </c>
      <c r="E756" s="19" t="n">
        <f aca="false">E752*E755</f>
        <v>6364.6382472282</v>
      </c>
      <c r="F756" s="19" t="n">
        <f aca="false">F752*F755</f>
        <v>8067.92208759447</v>
      </c>
      <c r="G756" s="19" t="n">
        <f aca="false">G752*G755</f>
        <v>8731.10684180974</v>
      </c>
    </row>
    <row r="757" customFormat="false" ht="17.15" hidden="false" customHeight="false" outlineLevel="0" collapsed="false">
      <c r="A757" s="4" t="s">
        <v>458</v>
      </c>
      <c r="B757" s="0" t="s">
        <v>52</v>
      </c>
      <c r="D757" s="15" t="n">
        <f aca="false">0</f>
        <v>0</v>
      </c>
      <c r="E757" s="15" t="n">
        <f aca="false">cs_27</f>
        <v>0.1</v>
      </c>
      <c r="F757" s="15" t="n">
        <f aca="false">cs_28</f>
        <v>0.2</v>
      </c>
      <c r="G757" s="15" t="n">
        <f aca="false">cs_29</f>
        <v>0.25</v>
      </c>
      <c r="H757" s="8" t="s">
        <v>459</v>
      </c>
    </row>
    <row r="758" customFormat="false" ht="17.15" hidden="false" customHeight="false" outlineLevel="0" collapsed="false">
      <c r="A758" s="0" t="s">
        <v>460</v>
      </c>
      <c r="B758" s="0" t="s">
        <v>209</v>
      </c>
      <c r="C758" s="19" t="n">
        <f aca="false">a25_ai</f>
        <v>1620.621</v>
      </c>
      <c r="D758" s="19" t="n">
        <f aca="false">D756*(1-D757)</f>
        <v>3545.93373</v>
      </c>
      <c r="E758" s="19" t="n">
        <f aca="false">E756*(1-E757)</f>
        <v>5728.17442250538</v>
      </c>
      <c r="F758" s="19" t="n">
        <f aca="false">F756*(1-F757)</f>
        <v>6454.33767007557</v>
      </c>
      <c r="G758" s="19" t="n">
        <f aca="false">G756*(1-G757)</f>
        <v>6548.3301313573</v>
      </c>
    </row>
    <row r="759" customFormat="false" ht="17.15" hidden="false" customHeight="false" outlineLevel="0" collapsed="false">
      <c r="A759" s="6" t="s">
        <v>461</v>
      </c>
    </row>
    <row r="760" customFormat="false" ht="17.15" hidden="false" customHeight="false" outlineLevel="0" collapsed="false">
      <c r="A760" s="4" t="s">
        <v>382</v>
      </c>
      <c r="B760" s="0" t="s">
        <v>209</v>
      </c>
      <c r="C760" s="19" t="n">
        <f aca="false">a25_cn</f>
        <v>1620.621</v>
      </c>
      <c r="D760" s="19" t="n">
        <f aca="false">a26_cn</f>
        <v>2363.95582</v>
      </c>
      <c r="E760" s="19" t="n">
        <f aca="false">D760*(1+g_cn27)</f>
        <v>2647.6305184</v>
      </c>
      <c r="F760" s="19" t="n">
        <f aca="false">E760*(1+g_cn28)</f>
        <v>2859.440959872</v>
      </c>
      <c r="G760" s="19" t="n">
        <f aca="false">F760*(1+g_cn29)</f>
        <v>3031.00741746432</v>
      </c>
    </row>
    <row r="761" customFormat="false" ht="17.15" hidden="false" customHeight="false" outlineLevel="0" collapsed="false">
      <c r="A761" s="4" t="s">
        <v>383</v>
      </c>
      <c r="B761" s="0" t="s">
        <v>209</v>
      </c>
      <c r="C761" s="19" t="n">
        <f aca="false">a25_ce</f>
        <v>3079.1799</v>
      </c>
      <c r="D761" s="19" t="n">
        <f aca="false">a26_ce</f>
        <v>3345.2205</v>
      </c>
      <c r="E761" s="19" t="n">
        <f aca="false">D761*(1+g_ce27)</f>
        <v>3445.577115</v>
      </c>
      <c r="F761" s="19" t="n">
        <f aca="false">E761*(1+g_ce28)</f>
        <v>3514.4886573</v>
      </c>
      <c r="G761" s="19" t="n">
        <f aca="false">F761*(1+g_ce29)</f>
        <v>3584.778430446</v>
      </c>
    </row>
    <row r="762" customFormat="false" ht="15" hidden="false" customHeight="false" outlineLevel="0" collapsed="false">
      <c r="A762" s="4" t="s">
        <v>384</v>
      </c>
      <c r="B762" s="0" t="s">
        <v>209</v>
      </c>
      <c r="C762" s="19" t="n">
        <f aca="false">a25_pc</f>
        <v>1215.46575</v>
      </c>
      <c r="D762" s="19" t="n">
        <f aca="false">a26_pc</f>
        <v>1338.0882</v>
      </c>
      <c r="E762" s="19" t="n">
        <f aca="false">D762*(1+g_pc27)</f>
        <v>1311.326436</v>
      </c>
      <c r="F762" s="19" t="n">
        <f aca="false">E762*(1+g_pc28)</f>
        <v>1311.326436</v>
      </c>
      <c r="G762" s="19" t="n">
        <f aca="false">F762*(1+g_pc29)</f>
        <v>1311.326436</v>
      </c>
    </row>
    <row r="763" customFormat="false" ht="15" hidden="false" customHeight="false" outlineLevel="0" collapsed="false">
      <c r="A763" s="4" t="s">
        <v>462</v>
      </c>
      <c r="B763" s="0" t="s">
        <v>209</v>
      </c>
      <c r="C763" s="19" t="n">
        <f aca="false">a25_co</f>
        <v>567.217349999999</v>
      </c>
      <c r="D763" s="19" t="n">
        <f aca="false">a26_co</f>
        <v>557.53675</v>
      </c>
      <c r="E763" s="19" t="n">
        <f aca="false">D763*(1+g_co27)</f>
        <v>602.13969</v>
      </c>
      <c r="F763" s="19" t="n">
        <f aca="false">E763*(1+g_co28)</f>
        <v>638.2680714</v>
      </c>
      <c r="G763" s="19" t="n">
        <f aca="false">F763*(1+g_co29)</f>
        <v>670.18147497</v>
      </c>
    </row>
    <row r="764" customFormat="false" ht="17.15" hidden="false" customHeight="false" outlineLevel="0" collapsed="false">
      <c r="A764" s="4" t="s">
        <v>387</v>
      </c>
      <c r="B764" s="0" t="s">
        <v>209</v>
      </c>
      <c r="C764" s="19" t="n">
        <f aca="false">SUM(C760:C763)</f>
        <v>6482.484</v>
      </c>
      <c r="D764" s="19" t="n">
        <f aca="false">SUM(D760:D763)</f>
        <v>7604.80127</v>
      </c>
      <c r="E764" s="19" t="n">
        <f aca="false">SUM(E760:E763)</f>
        <v>8006.6737594</v>
      </c>
      <c r="F764" s="19" t="n">
        <f aca="false">SUM(F760:F763)</f>
        <v>8323.524124572</v>
      </c>
      <c r="G764" s="19" t="n">
        <f aca="false">SUM(G760:G763)</f>
        <v>8597.29375888032</v>
      </c>
    </row>
    <row r="765" customFormat="false" ht="15" hidden="false" customHeight="false" outlineLevel="0" collapsed="false">
      <c r="A765" s="4" t="s">
        <v>353</v>
      </c>
      <c r="B765" s="0" t="s">
        <v>209</v>
      </c>
      <c r="C765" s="19" t="n">
        <f aca="false">C758+C764</f>
        <v>8103.105</v>
      </c>
      <c r="D765" s="19" t="n">
        <f aca="false">D758+D764</f>
        <v>11150.735</v>
      </c>
      <c r="E765" s="19" t="n">
        <f aca="false">E758+E764</f>
        <v>13734.8481819054</v>
      </c>
      <c r="F765" s="19" t="n">
        <f aca="false">F758+F764</f>
        <v>14777.8617946476</v>
      </c>
      <c r="G765" s="19" t="n">
        <f aca="false">G758+G764</f>
        <v>15145.6238902376</v>
      </c>
    </row>
    <row r="766" customFormat="false" ht="15" hidden="false" customHeight="false" outlineLevel="0" collapsed="false">
      <c r="A766" s="4" t="s">
        <v>463</v>
      </c>
      <c r="B766" s="0" t="s">
        <v>52</v>
      </c>
      <c r="D766" s="15" t="n">
        <f aca="false">D765/C765-1</f>
        <v>0.376106443147411</v>
      </c>
      <c r="E766" s="15" t="n">
        <f aca="false">E765/D765-1</f>
        <v>0.231743753385349</v>
      </c>
      <c r="F766" s="15" t="n">
        <f aca="false">F765/E765-1</f>
        <v>0.0759392167229256</v>
      </c>
      <c r="G766" s="15" t="n">
        <f aca="false">G765/F765-1</f>
        <v>0.0248860153586801</v>
      </c>
    </row>
    <row r="767" customFormat="false" ht="17.15" hidden="false" customHeight="false" outlineLevel="0" collapsed="false">
      <c r="A767" s="0" t="s">
        <v>464</v>
      </c>
      <c r="B767" s="0" t="s">
        <v>52</v>
      </c>
      <c r="C767" s="15" t="n">
        <f aca="false">C758/C765</f>
        <v>0.2</v>
      </c>
      <c r="D767" s="15" t="n">
        <f aca="false">D758/D765</f>
        <v>0.318</v>
      </c>
      <c r="E767" s="15" t="n">
        <f aca="false">E758/E765</f>
        <v>0.417054076364078</v>
      </c>
      <c r="F767" s="15" t="n">
        <f aca="false">F758/F765</f>
        <v>0.436757208841491</v>
      </c>
      <c r="G767" s="15" t="n">
        <f aca="false">G758/G765</f>
        <v>0.43235789947076</v>
      </c>
    </row>
    <row r="768" customFormat="false" ht="17.15" hidden="false" customHeight="false" outlineLevel="0" collapsed="false">
      <c r="A768" s="4" t="s">
        <v>465</v>
      </c>
      <c r="B768" s="0" t="s">
        <v>52</v>
      </c>
      <c r="C768" s="15" t="n">
        <f aca="false">(C758+C760)/C765</f>
        <v>0.4</v>
      </c>
      <c r="D768" s="15" t="n">
        <f aca="false">(D758+D760)/D765</f>
        <v>0.53</v>
      </c>
      <c r="E768" s="15" t="n">
        <f aca="false">(E758+E760)/E765</f>
        <v>0.609821443235162</v>
      </c>
      <c r="F768" s="15" t="n">
        <f aca="false">(F758+F760)/F765</f>
        <v>0.630252113558198</v>
      </c>
      <c r="G768" s="15" t="n">
        <f aca="false">(G758+G760)/G765</f>
        <v>0.632482202003983</v>
      </c>
    </row>
    <row r="769" customFormat="false" ht="17.15" hidden="false" customHeight="false" outlineLevel="0" collapsed="false">
      <c r="A769" s="4" t="s">
        <v>418</v>
      </c>
      <c r="B769" s="0" t="s">
        <v>405</v>
      </c>
      <c r="D769" s="16" t="n">
        <f aca="false">D758/fx/D749</f>
        <v>4.7355819103481</v>
      </c>
      <c r="E769" s="16" t="n">
        <f aca="false">E758/fx/E749</f>
        <v>4.29818371613545</v>
      </c>
      <c r="F769" s="16" t="n">
        <f aca="false">F758/fx/F749</f>
        <v>3.82060774767595</v>
      </c>
      <c r="G769" s="16" t="n">
        <f aca="false">G758/fx/G749</f>
        <v>3.4027287752739</v>
      </c>
    </row>
    <row r="770" customFormat="false" ht="17.15" hidden="false" customHeight="false" outlineLevel="0" collapsed="false">
      <c r="A770" s="4" t="s">
        <v>466</v>
      </c>
      <c r="B770" s="4" t="s">
        <v>416</v>
      </c>
      <c r="D770" s="19" t="n">
        <f aca="false">D756/fx/(odm_gb*(1-vr26)+odm_vr*vr26)</f>
        <v>24.0630682003257</v>
      </c>
      <c r="E770" s="19" t="n">
        <f aca="false">E756/fx/odm_vr</f>
        <v>29.4659178112417</v>
      </c>
      <c r="F770" s="19" t="n">
        <f aca="false">F756/fx/odm_vr</f>
        <v>37.3514911462707</v>
      </c>
      <c r="G770" s="19" t="n">
        <f aca="false">G756/fx/odm_vr</f>
        <v>40.4217909343043</v>
      </c>
      <c r="H770" s="4" t="s">
        <v>467</v>
      </c>
    </row>
    <row r="771" customFormat="false" ht="17.15" hidden="false" customHeight="false" outlineLevel="0" collapsed="false">
      <c r="A771" s="6" t="s">
        <v>468</v>
      </c>
    </row>
    <row r="772" customFormat="false" ht="17.15" hidden="false" customHeight="false" outlineLevel="0" collapsed="false">
      <c r="A772" s="4" t="s">
        <v>469</v>
      </c>
      <c r="B772" s="0" t="s">
        <v>52</v>
      </c>
      <c r="D772" s="14" t="n">
        <f aca="false">a26_gp/D765-d_ai*D767</f>
        <v>0.0621989258510762</v>
      </c>
      <c r="H772" s="8" t="s">
        <v>470</v>
      </c>
    </row>
    <row r="773" customFormat="false" ht="17.15" hidden="false" customHeight="false" outlineLevel="0" collapsed="false">
      <c r="A773" s="0" t="s">
        <v>471</v>
      </c>
      <c r="B773" s="0" t="s">
        <v>209</v>
      </c>
      <c r="D773" s="22" t="n">
        <f aca="false">($D$772+d_ai)*D756*(1-D757*(1-keep))</f>
        <v>202.8236004951</v>
      </c>
      <c r="E773" s="22" t="n">
        <f aca="false">($D$772+d_ai+vrd_lo)*E756*(1-E757*(1-keep))</f>
        <v>328.905007136628</v>
      </c>
      <c r="F773" s="22" t="n">
        <f aca="false">($D$772+d_ai+vrd_lo)*F756*(1-F757*(1-keep))</f>
        <v>412.714129486151</v>
      </c>
      <c r="G773" s="22" t="n">
        <f aca="false">($D$772+d_ai+vrd_lo)*G756*(1-G757*(1-keep))</f>
        <v>444.360538667614</v>
      </c>
      <c r="H773" s="4" t="s">
        <v>472</v>
      </c>
    </row>
    <row r="774" customFormat="false" ht="15" hidden="false" customHeight="false" outlineLevel="0" collapsed="false">
      <c r="A774" s="4" t="s">
        <v>357</v>
      </c>
      <c r="B774" s="0" t="s">
        <v>209</v>
      </c>
      <c r="C774" s="19" t="n">
        <f aca="false">a25_gp</f>
        <v>498.161</v>
      </c>
      <c r="D774" s="19" t="n">
        <f aca="false">a26_gp</f>
        <v>675.8340708</v>
      </c>
      <c r="E774" s="19" t="n">
        <f aca="false">$D$772*E764+E773</f>
        <v>826.911514611306</v>
      </c>
      <c r="F774" s="19" t="n">
        <f aca="false">$D$772*F764+F773</f>
        <v>930.428389330049</v>
      </c>
      <c r="G774" s="19" t="n">
        <f aca="false">$D$772*G764+G773</f>
        <v>979.102975696131</v>
      </c>
    </row>
    <row r="775" customFormat="false" ht="15" hidden="false" customHeight="false" outlineLevel="0" collapsed="false">
      <c r="A775" s="4" t="s">
        <v>360</v>
      </c>
      <c r="B775" s="0" t="s">
        <v>52</v>
      </c>
      <c r="C775" s="14" t="n">
        <f aca="false">C774/C765</f>
        <v>0.0614777915379352</v>
      </c>
      <c r="D775" s="14" t="n">
        <f aca="false">D774/D765</f>
        <v>0.0606089258510762</v>
      </c>
      <c r="E775" s="14" t="n">
        <f aca="false">E774/E765</f>
        <v>0.0602053625682372</v>
      </c>
      <c r="F775" s="14" t="n">
        <f aca="false">F774/F765</f>
        <v>0.0629609616234903</v>
      </c>
      <c r="G775" s="14" t="n">
        <f aca="false">G774/G765</f>
        <v>0.064645932237049</v>
      </c>
    </row>
    <row r="776" customFormat="false" ht="17.15" hidden="false" customHeight="false" outlineLevel="0" collapsed="false">
      <c r="A776" s="0" t="s">
        <v>473</v>
      </c>
      <c r="B776" s="0" t="s">
        <v>52</v>
      </c>
      <c r="D776" s="14" t="n">
        <f aca="false">D773/D758</f>
        <v>0.0571989258510762</v>
      </c>
      <c r="E776" s="14" t="n">
        <f aca="false">E773/E758</f>
        <v>0.0574188184361838</v>
      </c>
      <c r="F776" s="14" t="n">
        <f aca="false">F773/F758</f>
        <v>0.0639436841675683</v>
      </c>
      <c r="G776" s="14" t="n">
        <f aca="false">G773/G758</f>
        <v>0.0678586036063991</v>
      </c>
      <c r="H776" s="4" t="s">
        <v>474</v>
      </c>
    </row>
    <row r="777" customFormat="false" ht="15" hidden="false" customHeight="false" outlineLevel="0" collapsed="false">
      <c r="A777" s="4" t="s">
        <v>475</v>
      </c>
      <c r="B777" s="0" t="s">
        <v>209</v>
      </c>
      <c r="C777" s="19" t="n">
        <f aca="false">a25_opx</f>
        <v>238.938</v>
      </c>
      <c r="D777" s="19" t="n">
        <f aca="false">a26_opx</f>
        <v>254.8304233</v>
      </c>
      <c r="E777" s="19" t="n">
        <f aca="false">D777*(1+MAX(0,phi*E766))</f>
        <v>278.452566808928</v>
      </c>
      <c r="F777" s="19" t="n">
        <f aca="false">E777*(1+MAX(0,phi*F766))</f>
        <v>286.910754736111</v>
      </c>
      <c r="G777" s="19" t="n">
        <f aca="false">F777*(1+MAX(0,phi*G766))</f>
        <v>289.766780915684</v>
      </c>
    </row>
    <row r="778" customFormat="false" ht="15" hidden="false" customHeight="false" outlineLevel="0" collapsed="false">
      <c r="A778" s="4" t="s">
        <v>361</v>
      </c>
      <c r="B778" s="0" t="s">
        <v>209</v>
      </c>
      <c r="C778" s="19" t="n">
        <f aca="false">C777</f>
        <v>238.938</v>
      </c>
      <c r="D778" s="19" t="n">
        <f aca="false">D777</f>
        <v>254.8304233</v>
      </c>
      <c r="E778" s="19" t="n">
        <f aca="false">E777+0*E765</f>
        <v>278.452566808928</v>
      </c>
      <c r="F778" s="19" t="n">
        <f aca="false">F777+0*F765</f>
        <v>286.910754736111</v>
      </c>
      <c r="G778" s="19" t="n">
        <f aca="false">G777+0*G765</f>
        <v>289.766780915684</v>
      </c>
    </row>
    <row r="779" customFormat="false" ht="15" hidden="false" customHeight="false" outlineLevel="0" collapsed="false">
      <c r="A779" s="4" t="s">
        <v>364</v>
      </c>
      <c r="B779" s="0" t="s">
        <v>209</v>
      </c>
      <c r="C779" s="19" t="n">
        <f aca="false">C774-C778</f>
        <v>259.223</v>
      </c>
      <c r="D779" s="19" t="n">
        <f aca="false">D774-D778</f>
        <v>421.0036475</v>
      </c>
      <c r="E779" s="19" t="n">
        <f aca="false">E774-E778</f>
        <v>548.458947802379</v>
      </c>
      <c r="F779" s="19" t="n">
        <f aca="false">F774-F778</f>
        <v>643.517634593938</v>
      </c>
      <c r="G779" s="19" t="n">
        <f aca="false">G774-G778</f>
        <v>689.336194780447</v>
      </c>
    </row>
    <row r="780" customFormat="false" ht="15" hidden="false" customHeight="false" outlineLevel="0" collapsed="false">
      <c r="A780" s="4" t="s">
        <v>367</v>
      </c>
      <c r="B780" s="0" t="s">
        <v>52</v>
      </c>
      <c r="C780" s="14" t="n">
        <f aca="false">C779/C765</f>
        <v>0.0319905764518663</v>
      </c>
      <c r="D780" s="14" t="n">
        <f aca="false">D779/D765</f>
        <v>0.0377556858359561</v>
      </c>
      <c r="E780" s="14" t="n">
        <f aca="false">E779/E765</f>
        <v>0.0399319264791679</v>
      </c>
      <c r="F780" s="14" t="n">
        <f aca="false">F779/F765</f>
        <v>0.0435460585256668</v>
      </c>
      <c r="G780" s="14" t="n">
        <f aca="false">G779/G765</f>
        <v>0.0455138857122136</v>
      </c>
    </row>
    <row r="781" customFormat="false" ht="17.15" hidden="false" customHeight="false" outlineLevel="0" collapsed="false">
      <c r="A781" s="4" t="s">
        <v>243</v>
      </c>
      <c r="B781" s="0" t="s">
        <v>52</v>
      </c>
      <c r="C781" s="15" t="n">
        <f aca="false">a25_ni/a25_oi</f>
        <v>0.730467589681471</v>
      </c>
      <c r="D781" s="15" t="n">
        <f aca="false">a26_ni/a26_oi</f>
        <v>0.653811645064191</v>
      </c>
      <c r="E781" s="15" t="n">
        <f aca="false">nio_f</f>
        <v>0.66</v>
      </c>
      <c r="F781" s="15" t="n">
        <f aca="false">nio_f</f>
        <v>0.66</v>
      </c>
      <c r="G781" s="15" t="n">
        <f aca="false">nio_f</f>
        <v>0.66</v>
      </c>
    </row>
    <row r="782" customFormat="false" ht="15" hidden="false" customHeight="false" outlineLevel="0" collapsed="false">
      <c r="A782" s="4" t="s">
        <v>368</v>
      </c>
      <c r="B782" s="0" t="s">
        <v>209</v>
      </c>
      <c r="C782" s="19" t="n">
        <f aca="false">a25_ni</f>
        <v>189.354</v>
      </c>
      <c r="D782" s="19" t="n">
        <f aca="false">a26_ni</f>
        <v>275.25708735</v>
      </c>
      <c r="E782" s="19" t="n">
        <f aca="false">E779*E781</f>
        <v>361.98290554957</v>
      </c>
      <c r="F782" s="19" t="n">
        <f aca="false">F779*F781</f>
        <v>424.721638831999</v>
      </c>
      <c r="G782" s="19" t="n">
        <f aca="false">G779*G781</f>
        <v>454.961888555095</v>
      </c>
    </row>
    <row r="783" customFormat="false" ht="15" hidden="false" customHeight="false" outlineLevel="0" collapsed="false">
      <c r="A783" s="4" t="s">
        <v>476</v>
      </c>
      <c r="B783" s="4" t="s">
        <v>230</v>
      </c>
      <c r="C783" s="23" t="n">
        <f aca="false">a25_sh</f>
        <v>13.9128581925055</v>
      </c>
      <c r="D783" s="23" t="n">
        <f aca="false">a26_sh</f>
        <v>14.0169642857143</v>
      </c>
      <c r="E783" s="23" t="n">
        <f aca="false">D783*(1+sh_g)</f>
        <v>14.0169642857143</v>
      </c>
      <c r="F783" s="23" t="n">
        <f aca="false">E783*(1+sh_g)</f>
        <v>14.0169642857143</v>
      </c>
      <c r="G783" s="23" t="n">
        <f aca="false">F783*(1+sh_g)</f>
        <v>14.0169642857143</v>
      </c>
    </row>
    <row r="784" customFormat="false" ht="15" hidden="false" customHeight="false" outlineLevel="0" collapsed="false">
      <c r="A784" s="0" t="s">
        <v>374</v>
      </c>
      <c r="B784" s="0" t="s">
        <v>260</v>
      </c>
      <c r="C784" s="22" t="n">
        <f aca="false">C782/C783</f>
        <v>13.61</v>
      </c>
      <c r="D784" s="22" t="n">
        <f aca="false">D782/D783</f>
        <v>19.6374251756163</v>
      </c>
      <c r="E784" s="22" t="n">
        <f aca="false">E782/E783</f>
        <v>25.8246292257799</v>
      </c>
      <c r="F784" s="22" t="n">
        <f aca="false">F782/F783</f>
        <v>30.3005436965309</v>
      </c>
      <c r="G784" s="22" t="n">
        <f aca="false">G782/G783</f>
        <v>32.4579473330599</v>
      </c>
    </row>
    <row r="785" customFormat="false" ht="17.15" hidden="false" customHeight="false" outlineLevel="0" collapsed="false">
      <c r="A785" s="0" t="s">
        <v>477</v>
      </c>
      <c r="B785" s="0" t="s">
        <v>52</v>
      </c>
      <c r="D785" s="15" t="n">
        <f aca="false">D784/C784-1</f>
        <v>0.442867389832203</v>
      </c>
      <c r="E785" s="15" t="n">
        <f aca="false">E784/D784-1</f>
        <v>0.315072062392692</v>
      </c>
      <c r="F785" s="15" t="n">
        <f aca="false">F784/E784-1</f>
        <v>0.173319602446911</v>
      </c>
      <c r="G785" s="15" t="n">
        <f aca="false">G784/F784-1</f>
        <v>0.0712001625494239</v>
      </c>
    </row>
    <row r="788" customFormat="false" ht="17.15" hidden="false" customHeight="false" outlineLevel="0" collapsed="false">
      <c r="A788" s="1" t="s">
        <v>801</v>
      </c>
    </row>
    <row r="789" customFormat="false" ht="17.15" hidden="false" customHeight="false" outlineLevel="0" collapsed="false">
      <c r="A789" s="5" t="s">
        <v>21</v>
      </c>
      <c r="B789" s="5" t="s">
        <v>22</v>
      </c>
      <c r="C789" s="11" t="s">
        <v>347</v>
      </c>
      <c r="D789" s="11" t="s">
        <v>429</v>
      </c>
      <c r="E789" s="11" t="s">
        <v>430</v>
      </c>
      <c r="F789" s="11" t="s">
        <v>431</v>
      </c>
      <c r="G789" s="11" t="s">
        <v>432</v>
      </c>
      <c r="H789" s="5" t="s">
        <v>400</v>
      </c>
    </row>
    <row r="790" customFormat="false" ht="17.15" hidden="false" customHeight="false" outlineLevel="0" collapsed="false">
      <c r="A790" s="6" t="s">
        <v>446</v>
      </c>
    </row>
    <row r="791" customFormat="false" ht="17.15" hidden="false" customHeight="false" outlineLevel="0" collapsed="false">
      <c r="A791" s="0" t="s">
        <v>447</v>
      </c>
      <c r="B791" s="0" t="s">
        <v>32</v>
      </c>
      <c r="D791" s="22" t="n">
        <f aca="false">itc_26*1</f>
        <v>781.872916666666</v>
      </c>
      <c r="E791" s="22" t="n">
        <f aca="false">itc_27*1*1</f>
        <v>1565.35</v>
      </c>
      <c r="F791" s="22" t="n">
        <f aca="false">itc_28*um28_A*1</f>
        <v>1984.26388888889</v>
      </c>
      <c r="G791" s="22" t="n">
        <f aca="false">itc_29*um29_A*1</f>
        <v>2260.39027777778</v>
      </c>
    </row>
    <row r="792" customFormat="false" ht="17.15" hidden="false" customHeight="false" outlineLevel="0" collapsed="false">
      <c r="A792" s="4" t="s">
        <v>448</v>
      </c>
      <c r="B792" s="0" t="s">
        <v>32</v>
      </c>
      <c r="D792" s="22" t="n">
        <f aca="false">itpg_gb*(1-vr26)+itpg_vr*vr26</f>
        <v>33.41403216</v>
      </c>
      <c r="E792" s="22" t="n">
        <f aca="false">itpg_vr</f>
        <v>37.586352</v>
      </c>
      <c r="F792" s="22" t="n">
        <f aca="false">itpg_vr</f>
        <v>37.586352</v>
      </c>
      <c r="G792" s="22" t="n">
        <f aca="false">itpg_vr</f>
        <v>37.586352</v>
      </c>
    </row>
    <row r="793" customFormat="false" ht="17.15" hidden="false" customHeight="false" outlineLevel="0" collapsed="false">
      <c r="A793" s="4" t="s">
        <v>449</v>
      </c>
      <c r="B793" s="0" t="s">
        <v>402</v>
      </c>
      <c r="D793" s="18" t="n">
        <f aca="false">D791/D792</f>
        <v>23.3995380420639</v>
      </c>
      <c r="E793" s="18" t="n">
        <f aca="false">E791/E792</f>
        <v>41.6467658260637</v>
      </c>
      <c r="F793" s="18" t="n">
        <f aca="false">F791/F792</f>
        <v>52.792138191248</v>
      </c>
      <c r="G793" s="18" t="n">
        <f aca="false">G791/G792</f>
        <v>60.1385917361116</v>
      </c>
    </row>
    <row r="794" customFormat="false" ht="17.15" hidden="false" customHeight="false" outlineLevel="0" collapsed="false">
      <c r="A794" s="4" t="s">
        <v>404</v>
      </c>
      <c r="B794" s="0" t="s">
        <v>405</v>
      </c>
      <c r="D794" s="16" t="n">
        <f aca="false">(racks_gb*odm_gb*(1-vr26)+racks_vr*odm_vr*vr26)/1000</f>
        <v>27.1209</v>
      </c>
      <c r="E794" s="16" t="n">
        <f aca="false">racks_vr*odm_vr/1000</f>
        <v>27.351</v>
      </c>
      <c r="F794" s="16" t="n">
        <f aca="false">$E794*vpg_28</f>
        <v>27.351</v>
      </c>
      <c r="G794" s="16" t="n">
        <f aca="false">$E794*vpg_29</f>
        <v>27.351</v>
      </c>
      <c r="H794" s="4" t="s">
        <v>450</v>
      </c>
    </row>
    <row r="795" customFormat="false" ht="17.15" hidden="false" customHeight="false" outlineLevel="0" collapsed="false">
      <c r="A795" s="0" t="s">
        <v>451</v>
      </c>
      <c r="B795" s="0" t="s">
        <v>32</v>
      </c>
      <c r="D795" s="19" t="n">
        <f aca="false">D793*D794</f>
        <v>634.61653128501</v>
      </c>
      <c r="E795" s="19" t="n">
        <f aca="false">E793*E794</f>
        <v>1139.08069210867</v>
      </c>
      <c r="F795" s="19" t="n">
        <f aca="false">F793*F794</f>
        <v>1443.91777166882</v>
      </c>
      <c r="G795" s="19" t="n">
        <f aca="false">G793*G794</f>
        <v>1644.85062257439</v>
      </c>
    </row>
    <row r="796" customFormat="false" ht="17.15" hidden="false" customHeight="false" outlineLevel="0" collapsed="false">
      <c r="A796" s="0" t="s">
        <v>452</v>
      </c>
      <c r="B796" s="0" t="s">
        <v>209</v>
      </c>
      <c r="D796" s="19" t="n">
        <f aca="false">D795*fx</f>
        <v>20307.7290011203</v>
      </c>
      <c r="E796" s="19" t="n">
        <f aca="false">E795*fx</f>
        <v>36450.5821474774</v>
      </c>
      <c r="F796" s="19" t="n">
        <f aca="false">F795*fx</f>
        <v>46205.3686934024</v>
      </c>
      <c r="G796" s="19" t="n">
        <f aca="false">G795*fx</f>
        <v>52635.2199223804</v>
      </c>
    </row>
    <row r="797" customFormat="false" ht="17.15" hidden="false" customHeight="false" outlineLevel="0" collapsed="false">
      <c r="A797" s="4" t="s">
        <v>453</v>
      </c>
      <c r="B797" s="0" t="s">
        <v>52</v>
      </c>
      <c r="D797" s="15" t="n">
        <f aca="false">a26_ai/D796</f>
        <v>0.174610057569922</v>
      </c>
      <c r="H797" s="8" t="s">
        <v>454</v>
      </c>
    </row>
    <row r="798" customFormat="false" ht="17.15" hidden="false" customHeight="false" outlineLevel="0" collapsed="false">
      <c r="A798" s="4" t="s">
        <v>455</v>
      </c>
      <c r="B798" s="0" t="s">
        <v>71</v>
      </c>
      <c r="D798" s="16" t="n">
        <f aca="false">1</f>
        <v>1</v>
      </c>
      <c r="E798" s="16" t="n">
        <f aca="false">rel_27</f>
        <v>1</v>
      </c>
      <c r="F798" s="16" t="n">
        <f aca="false">rel_28</f>
        <v>1</v>
      </c>
      <c r="G798" s="16" t="n">
        <f aca="false">rel_29</f>
        <v>0.95</v>
      </c>
    </row>
    <row r="799" customFormat="false" ht="15" hidden="false" customHeight="false" outlineLevel="0" collapsed="false">
      <c r="A799" s="4" t="s">
        <v>456</v>
      </c>
      <c r="B799" s="0" t="s">
        <v>52</v>
      </c>
      <c r="D799" s="15" t="n">
        <f aca="false">$D$797*D798</f>
        <v>0.174610057569922</v>
      </c>
      <c r="E799" s="15" t="n">
        <f aca="false">$D$797*E798</f>
        <v>0.174610057569922</v>
      </c>
      <c r="F799" s="15" t="n">
        <f aca="false">$D$797*F798</f>
        <v>0.174610057569922</v>
      </c>
      <c r="G799" s="15" t="n">
        <f aca="false">$D$797*G798</f>
        <v>0.165879554691426</v>
      </c>
    </row>
    <row r="800" customFormat="false" ht="17.15" hidden="false" customHeight="false" outlineLevel="0" collapsed="false">
      <c r="A800" s="0" t="s">
        <v>457</v>
      </c>
      <c r="B800" s="0" t="s">
        <v>209</v>
      </c>
      <c r="D800" s="19" t="n">
        <f aca="false">D796*D799</f>
        <v>3545.93373</v>
      </c>
      <c r="E800" s="19" t="n">
        <f aca="false">E796*E799</f>
        <v>6364.6382472282</v>
      </c>
      <c r="F800" s="19" t="n">
        <f aca="false">F796*F799</f>
        <v>8067.92208759447</v>
      </c>
      <c r="G800" s="19" t="n">
        <f aca="false">G796*G799</f>
        <v>8731.10684180974</v>
      </c>
    </row>
    <row r="801" customFormat="false" ht="17.15" hidden="false" customHeight="false" outlineLevel="0" collapsed="false">
      <c r="A801" s="4" t="s">
        <v>458</v>
      </c>
      <c r="B801" s="0" t="s">
        <v>52</v>
      </c>
      <c r="D801" s="15" t="n">
        <f aca="false">0</f>
        <v>0</v>
      </c>
      <c r="E801" s="15" t="n">
        <f aca="false">cs_27</f>
        <v>0.1</v>
      </c>
      <c r="F801" s="15" t="n">
        <f aca="false">cs_28</f>
        <v>0.2</v>
      </c>
      <c r="G801" s="15" t="n">
        <f aca="false">cs_29</f>
        <v>0.25</v>
      </c>
      <c r="H801" s="8" t="s">
        <v>459</v>
      </c>
    </row>
    <row r="802" customFormat="false" ht="17.15" hidden="false" customHeight="false" outlineLevel="0" collapsed="false">
      <c r="A802" s="0" t="s">
        <v>460</v>
      </c>
      <c r="B802" s="0" t="s">
        <v>209</v>
      </c>
      <c r="C802" s="19" t="n">
        <f aca="false">a25_ai</f>
        <v>1620.621</v>
      </c>
      <c r="D802" s="19" t="n">
        <f aca="false">D800*(1-D801)</f>
        <v>3545.93373</v>
      </c>
      <c r="E802" s="19" t="n">
        <f aca="false">E800*(1-E801)</f>
        <v>5728.17442250538</v>
      </c>
      <c r="F802" s="19" t="n">
        <f aca="false">F800*(1-F801)</f>
        <v>6454.33767007557</v>
      </c>
      <c r="G802" s="19" t="n">
        <f aca="false">G800*(1-G801)</f>
        <v>6548.3301313573</v>
      </c>
    </row>
    <row r="803" customFormat="false" ht="17.15" hidden="false" customHeight="false" outlineLevel="0" collapsed="false">
      <c r="A803" s="6" t="s">
        <v>461</v>
      </c>
    </row>
    <row r="804" customFormat="false" ht="17.15" hidden="false" customHeight="false" outlineLevel="0" collapsed="false">
      <c r="A804" s="4" t="s">
        <v>382</v>
      </c>
      <c r="B804" s="0" t="s">
        <v>209</v>
      </c>
      <c r="C804" s="19" t="n">
        <f aca="false">a25_cn</f>
        <v>1620.621</v>
      </c>
      <c r="D804" s="19" t="n">
        <f aca="false">a26_cn</f>
        <v>2363.95582</v>
      </c>
      <c r="E804" s="19" t="n">
        <f aca="false">D804*(1+g_cn27)</f>
        <v>2647.6305184</v>
      </c>
      <c r="F804" s="19" t="n">
        <f aca="false">E804*(1+g_cn28)</f>
        <v>2859.440959872</v>
      </c>
      <c r="G804" s="19" t="n">
        <f aca="false">F804*(1+g_cn29)</f>
        <v>3031.00741746432</v>
      </c>
    </row>
    <row r="805" customFormat="false" ht="17.15" hidden="false" customHeight="false" outlineLevel="0" collapsed="false">
      <c r="A805" s="4" t="s">
        <v>383</v>
      </c>
      <c r="B805" s="0" t="s">
        <v>209</v>
      </c>
      <c r="C805" s="19" t="n">
        <f aca="false">a25_ce</f>
        <v>3079.1799</v>
      </c>
      <c r="D805" s="19" t="n">
        <f aca="false">a26_ce</f>
        <v>3345.2205</v>
      </c>
      <c r="E805" s="19" t="n">
        <f aca="false">D805*(1+g_ce27)</f>
        <v>3445.577115</v>
      </c>
      <c r="F805" s="19" t="n">
        <f aca="false">E805*(1+g_ce28)</f>
        <v>3514.4886573</v>
      </c>
      <c r="G805" s="19" t="n">
        <f aca="false">F805*(1+g_ce29)</f>
        <v>3584.778430446</v>
      </c>
    </row>
    <row r="806" customFormat="false" ht="15" hidden="false" customHeight="false" outlineLevel="0" collapsed="false">
      <c r="A806" s="4" t="s">
        <v>384</v>
      </c>
      <c r="B806" s="0" t="s">
        <v>209</v>
      </c>
      <c r="C806" s="19" t="n">
        <f aca="false">a25_pc</f>
        <v>1215.46575</v>
      </c>
      <c r="D806" s="19" t="n">
        <f aca="false">a26_pc</f>
        <v>1338.0882</v>
      </c>
      <c r="E806" s="19" t="n">
        <f aca="false">D806*(1+g_pc27)</f>
        <v>1311.326436</v>
      </c>
      <c r="F806" s="19" t="n">
        <f aca="false">E806*(1+g_pc28)</f>
        <v>1311.326436</v>
      </c>
      <c r="G806" s="19" t="n">
        <f aca="false">F806*(1+g_pc29)</f>
        <v>1311.326436</v>
      </c>
    </row>
    <row r="807" customFormat="false" ht="15" hidden="false" customHeight="false" outlineLevel="0" collapsed="false">
      <c r="A807" s="4" t="s">
        <v>462</v>
      </c>
      <c r="B807" s="0" t="s">
        <v>209</v>
      </c>
      <c r="C807" s="19" t="n">
        <f aca="false">a25_co</f>
        <v>567.217349999999</v>
      </c>
      <c r="D807" s="19" t="n">
        <f aca="false">a26_co</f>
        <v>557.53675</v>
      </c>
      <c r="E807" s="19" t="n">
        <f aca="false">D807*(1+g_co27)</f>
        <v>602.13969</v>
      </c>
      <c r="F807" s="19" t="n">
        <f aca="false">E807*(1+g_co28)</f>
        <v>638.2680714</v>
      </c>
      <c r="G807" s="19" t="n">
        <f aca="false">F807*(1+g_co29)</f>
        <v>670.18147497</v>
      </c>
    </row>
    <row r="808" customFormat="false" ht="17.15" hidden="false" customHeight="false" outlineLevel="0" collapsed="false">
      <c r="A808" s="4" t="s">
        <v>387</v>
      </c>
      <c r="B808" s="0" t="s">
        <v>209</v>
      </c>
      <c r="C808" s="19" t="n">
        <f aca="false">SUM(C804:C807)</f>
        <v>6482.484</v>
      </c>
      <c r="D808" s="19" t="n">
        <f aca="false">SUM(D804:D807)</f>
        <v>7604.80127</v>
      </c>
      <c r="E808" s="19" t="n">
        <f aca="false">SUM(E804:E807)</f>
        <v>8006.6737594</v>
      </c>
      <c r="F808" s="19" t="n">
        <f aca="false">SUM(F804:F807)</f>
        <v>8323.524124572</v>
      </c>
      <c r="G808" s="19" t="n">
        <f aca="false">SUM(G804:G807)</f>
        <v>8597.29375888032</v>
      </c>
    </row>
    <row r="809" customFormat="false" ht="15" hidden="false" customHeight="false" outlineLevel="0" collapsed="false">
      <c r="A809" s="4" t="s">
        <v>353</v>
      </c>
      <c r="B809" s="0" t="s">
        <v>209</v>
      </c>
      <c r="C809" s="19" t="n">
        <f aca="false">C802+C808</f>
        <v>8103.105</v>
      </c>
      <c r="D809" s="19" t="n">
        <f aca="false">D802+D808</f>
        <v>11150.735</v>
      </c>
      <c r="E809" s="19" t="n">
        <f aca="false">E802+E808</f>
        <v>13734.8481819054</v>
      </c>
      <c r="F809" s="19" t="n">
        <f aca="false">F802+F808</f>
        <v>14777.8617946476</v>
      </c>
      <c r="G809" s="19" t="n">
        <f aca="false">G802+G808</f>
        <v>15145.6238902376</v>
      </c>
    </row>
    <row r="810" customFormat="false" ht="15" hidden="false" customHeight="false" outlineLevel="0" collapsed="false">
      <c r="A810" s="4" t="s">
        <v>463</v>
      </c>
      <c r="B810" s="0" t="s">
        <v>52</v>
      </c>
      <c r="D810" s="15" t="n">
        <f aca="false">D809/C809-1</f>
        <v>0.376106443147411</v>
      </c>
      <c r="E810" s="15" t="n">
        <f aca="false">E809/D809-1</f>
        <v>0.231743753385349</v>
      </c>
      <c r="F810" s="15" t="n">
        <f aca="false">F809/E809-1</f>
        <v>0.0759392167229256</v>
      </c>
      <c r="G810" s="15" t="n">
        <f aca="false">G809/F809-1</f>
        <v>0.0248860153586801</v>
      </c>
    </row>
    <row r="811" customFormat="false" ht="17.15" hidden="false" customHeight="false" outlineLevel="0" collapsed="false">
      <c r="A811" s="0" t="s">
        <v>464</v>
      </c>
      <c r="B811" s="0" t="s">
        <v>52</v>
      </c>
      <c r="C811" s="15" t="n">
        <f aca="false">C802/C809</f>
        <v>0.2</v>
      </c>
      <c r="D811" s="15" t="n">
        <f aca="false">D802/D809</f>
        <v>0.318</v>
      </c>
      <c r="E811" s="15" t="n">
        <f aca="false">E802/E809</f>
        <v>0.417054076364078</v>
      </c>
      <c r="F811" s="15" t="n">
        <f aca="false">F802/F809</f>
        <v>0.436757208841491</v>
      </c>
      <c r="G811" s="15" t="n">
        <f aca="false">G802/G809</f>
        <v>0.43235789947076</v>
      </c>
    </row>
    <row r="812" customFormat="false" ht="17.15" hidden="false" customHeight="false" outlineLevel="0" collapsed="false">
      <c r="A812" s="4" t="s">
        <v>465</v>
      </c>
      <c r="B812" s="0" t="s">
        <v>52</v>
      </c>
      <c r="C812" s="15" t="n">
        <f aca="false">(C802+C804)/C809</f>
        <v>0.4</v>
      </c>
      <c r="D812" s="15" t="n">
        <f aca="false">(D802+D804)/D809</f>
        <v>0.53</v>
      </c>
      <c r="E812" s="15" t="n">
        <f aca="false">(E802+E804)/E809</f>
        <v>0.609821443235162</v>
      </c>
      <c r="F812" s="15" t="n">
        <f aca="false">(F802+F804)/F809</f>
        <v>0.630252113558198</v>
      </c>
      <c r="G812" s="15" t="n">
        <f aca="false">(G802+G804)/G809</f>
        <v>0.632482202003983</v>
      </c>
    </row>
    <row r="813" customFormat="false" ht="17.15" hidden="false" customHeight="false" outlineLevel="0" collapsed="false">
      <c r="A813" s="4" t="s">
        <v>418</v>
      </c>
      <c r="B813" s="0" t="s">
        <v>405</v>
      </c>
      <c r="D813" s="16" t="n">
        <f aca="false">D802/fx/D793</f>
        <v>4.7355819103481</v>
      </c>
      <c r="E813" s="16" t="n">
        <f aca="false">E802/fx/E793</f>
        <v>4.29818371613545</v>
      </c>
      <c r="F813" s="16" t="n">
        <f aca="false">F802/fx/F793</f>
        <v>3.82060774767595</v>
      </c>
      <c r="G813" s="16" t="n">
        <f aca="false">G802/fx/G793</f>
        <v>3.4027287752739</v>
      </c>
    </row>
    <row r="814" customFormat="false" ht="17.15" hidden="false" customHeight="false" outlineLevel="0" collapsed="false">
      <c r="A814" s="4" t="s">
        <v>466</v>
      </c>
      <c r="B814" s="4" t="s">
        <v>416</v>
      </c>
      <c r="D814" s="19" t="n">
        <f aca="false">D800/fx/(odm_gb*(1-vr26)+odm_vr*vr26)</f>
        <v>24.0630682003257</v>
      </c>
      <c r="E814" s="19" t="n">
        <f aca="false">E800/fx/odm_vr</f>
        <v>29.4659178112417</v>
      </c>
      <c r="F814" s="19" t="n">
        <f aca="false">F800/fx/odm_vr</f>
        <v>37.3514911462707</v>
      </c>
      <c r="G814" s="19" t="n">
        <f aca="false">G800/fx/odm_vr</f>
        <v>40.4217909343043</v>
      </c>
      <c r="H814" s="4" t="s">
        <v>467</v>
      </c>
    </row>
    <row r="815" customFormat="false" ht="17.15" hidden="false" customHeight="false" outlineLevel="0" collapsed="false">
      <c r="A815" s="6" t="s">
        <v>468</v>
      </c>
    </row>
    <row r="816" customFormat="false" ht="17.15" hidden="false" customHeight="false" outlineLevel="0" collapsed="false">
      <c r="A816" s="4" t="s">
        <v>469</v>
      </c>
      <c r="B816" s="0" t="s">
        <v>52</v>
      </c>
      <c r="D816" s="14" t="n">
        <f aca="false">a26_gp/D809-d_ai*D811</f>
        <v>0.0621989258510762</v>
      </c>
      <c r="H816" s="8" t="s">
        <v>470</v>
      </c>
    </row>
    <row r="817" customFormat="false" ht="17.15" hidden="false" customHeight="false" outlineLevel="0" collapsed="false">
      <c r="A817" s="0" t="s">
        <v>471</v>
      </c>
      <c r="B817" s="0" t="s">
        <v>209</v>
      </c>
      <c r="D817" s="22" t="n">
        <f aca="false">($D$816+d_ai)*D800*(1-D801*(1-keep))</f>
        <v>202.8236004951</v>
      </c>
      <c r="E817" s="22" t="n">
        <f aca="false">($D$816+d_ai+vrd_hi)*E800*(1-E801*(1-keep))</f>
        <v>360.409966460408</v>
      </c>
      <c r="F817" s="22" t="n">
        <f aca="false">($D$816+d_ai+vrd_hi)*F800*(1-F801*(1-keep))</f>
        <v>452.246947715364</v>
      </c>
      <c r="G817" s="22" t="n">
        <f aca="false">($D$816+d_ai+vrd_hi)*G800*(1-G801*(1-keep))</f>
        <v>486.924684521437</v>
      </c>
      <c r="H817" s="4" t="s">
        <v>472</v>
      </c>
    </row>
    <row r="818" customFormat="false" ht="15" hidden="false" customHeight="false" outlineLevel="0" collapsed="false">
      <c r="A818" s="4" t="s">
        <v>357</v>
      </c>
      <c r="B818" s="0" t="s">
        <v>209</v>
      </c>
      <c r="C818" s="19" t="n">
        <f aca="false">a25_gp</f>
        <v>498.161</v>
      </c>
      <c r="D818" s="19" t="n">
        <f aca="false">a26_gp</f>
        <v>675.8340708</v>
      </c>
      <c r="E818" s="19" t="n">
        <f aca="false">$D$816*E808+E817</f>
        <v>858.416473935086</v>
      </c>
      <c r="F818" s="19" t="n">
        <f aca="false">$D$816*F808+F817</f>
        <v>969.961207559262</v>
      </c>
      <c r="G818" s="19" t="n">
        <f aca="false">$D$816*G808+G817</f>
        <v>1021.66712154995</v>
      </c>
    </row>
    <row r="819" customFormat="false" ht="15" hidden="false" customHeight="false" outlineLevel="0" collapsed="false">
      <c r="A819" s="4" t="s">
        <v>360</v>
      </c>
      <c r="B819" s="0" t="s">
        <v>52</v>
      </c>
      <c r="C819" s="14" t="n">
        <f aca="false">C818/C809</f>
        <v>0.0614777915379352</v>
      </c>
      <c r="D819" s="14" t="n">
        <f aca="false">D818/D809</f>
        <v>0.0606089258510762</v>
      </c>
      <c r="E819" s="14" t="n">
        <f aca="false">E818/E809</f>
        <v>0.0624991599882396</v>
      </c>
      <c r="F819" s="14" t="n">
        <f aca="false">F818/F809</f>
        <v>0.0656360995276444</v>
      </c>
      <c r="G819" s="14" t="n">
        <f aca="false">G818/G809</f>
        <v>0.0674562585836089</v>
      </c>
    </row>
    <row r="820" customFormat="false" ht="17.15" hidden="false" customHeight="false" outlineLevel="0" collapsed="false">
      <c r="A820" s="0" t="s">
        <v>473</v>
      </c>
      <c r="B820" s="0" t="s">
        <v>52</v>
      </c>
      <c r="D820" s="14" t="n">
        <f aca="false">D817/D802</f>
        <v>0.0571989258510762</v>
      </c>
      <c r="E820" s="14" t="n">
        <f aca="false">E817/E802</f>
        <v>0.0629188184361838</v>
      </c>
      <c r="F820" s="14" t="n">
        <f aca="false">F817/F802</f>
        <v>0.0700686841675683</v>
      </c>
      <c r="G820" s="14" t="n">
        <f aca="false">G817/G802</f>
        <v>0.0743586036063991</v>
      </c>
      <c r="H820" s="4" t="s">
        <v>474</v>
      </c>
    </row>
    <row r="821" customFormat="false" ht="15" hidden="false" customHeight="false" outlineLevel="0" collapsed="false">
      <c r="A821" s="4" t="s">
        <v>475</v>
      </c>
      <c r="B821" s="0" t="s">
        <v>209</v>
      </c>
      <c r="C821" s="19" t="n">
        <f aca="false">a25_opx</f>
        <v>238.938</v>
      </c>
      <c r="D821" s="19" t="n">
        <f aca="false">a26_opx</f>
        <v>254.8304233</v>
      </c>
      <c r="E821" s="19" t="n">
        <f aca="false">D821*(1+MAX(0,phi*E810))</f>
        <v>278.452566808928</v>
      </c>
      <c r="F821" s="19" t="n">
        <f aca="false">E821*(1+MAX(0,phi*F810))</f>
        <v>286.910754736111</v>
      </c>
      <c r="G821" s="19" t="n">
        <f aca="false">F821*(1+MAX(0,phi*G810))</f>
        <v>289.766780915684</v>
      </c>
    </row>
    <row r="822" customFormat="false" ht="15" hidden="false" customHeight="false" outlineLevel="0" collapsed="false">
      <c r="A822" s="4" t="s">
        <v>361</v>
      </c>
      <c r="B822" s="0" t="s">
        <v>209</v>
      </c>
      <c r="C822" s="19" t="n">
        <f aca="false">C821</f>
        <v>238.938</v>
      </c>
      <c r="D822" s="19" t="n">
        <f aca="false">D821</f>
        <v>254.8304233</v>
      </c>
      <c r="E822" s="19" t="n">
        <f aca="false">E821+0*E809</f>
        <v>278.452566808928</v>
      </c>
      <c r="F822" s="19" t="n">
        <f aca="false">F821+0*F809</f>
        <v>286.910754736111</v>
      </c>
      <c r="G822" s="19" t="n">
        <f aca="false">G821+0*G809</f>
        <v>289.766780915684</v>
      </c>
    </row>
    <row r="823" customFormat="false" ht="15" hidden="false" customHeight="false" outlineLevel="0" collapsed="false">
      <c r="A823" s="4" t="s">
        <v>364</v>
      </c>
      <c r="B823" s="0" t="s">
        <v>209</v>
      </c>
      <c r="C823" s="19" t="n">
        <f aca="false">C818-C822</f>
        <v>259.223</v>
      </c>
      <c r="D823" s="19" t="n">
        <f aca="false">D818-D822</f>
        <v>421.0036475</v>
      </c>
      <c r="E823" s="19" t="n">
        <f aca="false">E818-E822</f>
        <v>579.963907126158</v>
      </c>
      <c r="F823" s="19" t="n">
        <f aca="false">F818-F822</f>
        <v>683.050452823151</v>
      </c>
      <c r="G823" s="19" t="n">
        <f aca="false">G818-G822</f>
        <v>731.90034063427</v>
      </c>
    </row>
    <row r="824" customFormat="false" ht="15" hidden="false" customHeight="false" outlineLevel="0" collapsed="false">
      <c r="A824" s="4" t="s">
        <v>367</v>
      </c>
      <c r="B824" s="0" t="s">
        <v>52</v>
      </c>
      <c r="C824" s="14" t="n">
        <f aca="false">C823/C809</f>
        <v>0.0319905764518663</v>
      </c>
      <c r="D824" s="14" t="n">
        <f aca="false">D823/D809</f>
        <v>0.0377556858359561</v>
      </c>
      <c r="E824" s="14" t="n">
        <f aca="false">E823/E809</f>
        <v>0.0422257238991704</v>
      </c>
      <c r="F824" s="14" t="n">
        <f aca="false">F823/F809</f>
        <v>0.0462211964298209</v>
      </c>
      <c r="G824" s="14" t="n">
        <f aca="false">G823/G809</f>
        <v>0.0483242120587735</v>
      </c>
    </row>
    <row r="825" customFormat="false" ht="17.15" hidden="false" customHeight="false" outlineLevel="0" collapsed="false">
      <c r="A825" s="4" t="s">
        <v>243</v>
      </c>
      <c r="B825" s="0" t="s">
        <v>52</v>
      </c>
      <c r="C825" s="15" t="n">
        <f aca="false">a25_ni/a25_oi</f>
        <v>0.730467589681471</v>
      </c>
      <c r="D825" s="15" t="n">
        <f aca="false">a26_ni/a26_oi</f>
        <v>0.653811645064191</v>
      </c>
      <c r="E825" s="15" t="n">
        <f aca="false">nio_f</f>
        <v>0.66</v>
      </c>
      <c r="F825" s="15" t="n">
        <f aca="false">nio_f</f>
        <v>0.66</v>
      </c>
      <c r="G825" s="15" t="n">
        <f aca="false">nio_f</f>
        <v>0.66</v>
      </c>
    </row>
    <row r="826" customFormat="false" ht="15" hidden="false" customHeight="false" outlineLevel="0" collapsed="false">
      <c r="A826" s="4" t="s">
        <v>368</v>
      </c>
      <c r="B826" s="0" t="s">
        <v>209</v>
      </c>
      <c r="C826" s="19" t="n">
        <f aca="false">a25_ni</f>
        <v>189.354</v>
      </c>
      <c r="D826" s="19" t="n">
        <f aca="false">a26_ni</f>
        <v>275.25708735</v>
      </c>
      <c r="E826" s="19" t="n">
        <f aca="false">E823*E825</f>
        <v>382.776178703265</v>
      </c>
      <c r="F826" s="19" t="n">
        <f aca="false">F823*F825</f>
        <v>450.81329886328</v>
      </c>
      <c r="G826" s="19" t="n">
        <f aca="false">G823*G825</f>
        <v>483.054224818618</v>
      </c>
    </row>
    <row r="827" customFormat="false" ht="15" hidden="false" customHeight="false" outlineLevel="0" collapsed="false">
      <c r="A827" s="4" t="s">
        <v>476</v>
      </c>
      <c r="B827" s="4" t="s">
        <v>230</v>
      </c>
      <c r="C827" s="23" t="n">
        <f aca="false">a25_sh</f>
        <v>13.9128581925055</v>
      </c>
      <c r="D827" s="23" t="n">
        <f aca="false">a26_sh</f>
        <v>14.0169642857143</v>
      </c>
      <c r="E827" s="23" t="n">
        <f aca="false">D827*(1+sh_g)</f>
        <v>14.0169642857143</v>
      </c>
      <c r="F827" s="23" t="n">
        <f aca="false">E827*(1+sh_g)</f>
        <v>14.0169642857143</v>
      </c>
      <c r="G827" s="23" t="n">
        <f aca="false">F827*(1+sh_g)</f>
        <v>14.0169642857143</v>
      </c>
    </row>
    <row r="828" customFormat="false" ht="15" hidden="false" customHeight="false" outlineLevel="0" collapsed="false">
      <c r="A828" s="0" t="s">
        <v>374</v>
      </c>
      <c r="B828" s="0" t="s">
        <v>260</v>
      </c>
      <c r="C828" s="22" t="n">
        <f aca="false">C826/C827</f>
        <v>13.61</v>
      </c>
      <c r="D828" s="22" t="n">
        <f aca="false">D826/D827</f>
        <v>19.6374251756163</v>
      </c>
      <c r="E828" s="22" t="n">
        <f aca="false">E826/E827</f>
        <v>27.3080654912833</v>
      </c>
      <c r="F828" s="22" t="n">
        <f aca="false">F826/F827</f>
        <v>32.1619781340769</v>
      </c>
      <c r="G828" s="22" t="n">
        <f aca="false">G826/G827</f>
        <v>34.4621142618544</v>
      </c>
    </row>
    <row r="829" customFormat="false" ht="17.15" hidden="false" customHeight="false" outlineLevel="0" collapsed="false">
      <c r="A829" s="0" t="s">
        <v>477</v>
      </c>
      <c r="B829" s="0" t="s">
        <v>52</v>
      </c>
      <c r="D829" s="15" t="n">
        <f aca="false">D828/C828-1</f>
        <v>0.442867389832203</v>
      </c>
      <c r="E829" s="15" t="n">
        <f aca="false">E828/D828-1</f>
        <v>0.390613344013736</v>
      </c>
      <c r="F829" s="15" t="n">
        <f aca="false">F828/E828-1</f>
        <v>0.177746484617996</v>
      </c>
      <c r="G829" s="15" t="n">
        <f aca="false">G828/F828-1</f>
        <v>0.0715172467995806</v>
      </c>
    </row>
    <row r="832" customFormat="false" ht="17.15" hidden="false" customHeight="false" outlineLevel="0" collapsed="false">
      <c r="A832" s="1" t="s">
        <v>802</v>
      </c>
    </row>
    <row r="833" customFormat="false" ht="17.15" hidden="false" customHeight="false" outlineLevel="0" collapsed="false">
      <c r="A833" s="5" t="s">
        <v>21</v>
      </c>
      <c r="B833" s="5" t="s">
        <v>22</v>
      </c>
      <c r="C833" s="11" t="s">
        <v>347</v>
      </c>
      <c r="D833" s="11" t="s">
        <v>429</v>
      </c>
      <c r="E833" s="11" t="s">
        <v>430</v>
      </c>
      <c r="F833" s="11" t="s">
        <v>431</v>
      </c>
      <c r="G833" s="11" t="s">
        <v>432</v>
      </c>
      <c r="H833" s="5" t="s">
        <v>400</v>
      </c>
    </row>
    <row r="834" customFormat="false" ht="17.15" hidden="false" customHeight="false" outlineLevel="0" collapsed="false">
      <c r="A834" s="6" t="s">
        <v>446</v>
      </c>
    </row>
    <row r="835" customFormat="false" ht="17.15" hidden="false" customHeight="false" outlineLevel="0" collapsed="false">
      <c r="A835" s="0" t="s">
        <v>447</v>
      </c>
      <c r="B835" s="0" t="s">
        <v>32</v>
      </c>
      <c r="D835" s="22" t="n">
        <f aca="false">itc_26*1</f>
        <v>781.872916666666</v>
      </c>
      <c r="E835" s="22" t="n">
        <f aca="false">itc_27*1*1</f>
        <v>1565.35</v>
      </c>
      <c r="F835" s="22" t="n">
        <f aca="false">itc_28*um28_A*1</f>
        <v>1984.26388888889</v>
      </c>
      <c r="G835" s="22" t="n">
        <f aca="false">itc_29*um29_A*1</f>
        <v>2260.39027777778</v>
      </c>
    </row>
    <row r="836" customFormat="false" ht="17.15" hidden="false" customHeight="false" outlineLevel="0" collapsed="false">
      <c r="A836" s="4" t="s">
        <v>448</v>
      </c>
      <c r="B836" s="0" t="s">
        <v>32</v>
      </c>
      <c r="D836" s="22" t="n">
        <f aca="false">itpg_gb*(1-vr26)+itpg_vr*vr26</f>
        <v>33.41403216</v>
      </c>
      <c r="E836" s="22" t="n">
        <f aca="false">itpg_vr</f>
        <v>37.586352</v>
      </c>
      <c r="F836" s="22" t="n">
        <f aca="false">itpg_vr</f>
        <v>37.586352</v>
      </c>
      <c r="G836" s="22" t="n">
        <f aca="false">itpg_vr</f>
        <v>37.586352</v>
      </c>
    </row>
    <row r="837" customFormat="false" ht="17.15" hidden="false" customHeight="false" outlineLevel="0" collapsed="false">
      <c r="A837" s="4" t="s">
        <v>449</v>
      </c>
      <c r="B837" s="0" t="s">
        <v>402</v>
      </c>
      <c r="D837" s="18" t="n">
        <f aca="false">D835/D836</f>
        <v>23.3995380420639</v>
      </c>
      <c r="E837" s="18" t="n">
        <f aca="false">E835/E836</f>
        <v>41.6467658260637</v>
      </c>
      <c r="F837" s="18" t="n">
        <f aca="false">F835/F836</f>
        <v>52.792138191248</v>
      </c>
      <c r="G837" s="18" t="n">
        <f aca="false">G835/G836</f>
        <v>60.1385917361116</v>
      </c>
    </row>
    <row r="838" customFormat="false" ht="17.15" hidden="false" customHeight="false" outlineLevel="0" collapsed="false">
      <c r="A838" s="4" t="s">
        <v>404</v>
      </c>
      <c r="B838" s="0" t="s">
        <v>405</v>
      </c>
      <c r="D838" s="16" t="n">
        <f aca="false">(racks_gb*odm_gb*(1-vr26)+racks_vr*odm_vr*vr26)/1000</f>
        <v>27.1209</v>
      </c>
      <c r="E838" s="16" t="n">
        <f aca="false">racks_vr*odm_vr/1000</f>
        <v>27.351</v>
      </c>
      <c r="F838" s="16" t="n">
        <f aca="false">$E838*vpg_28</f>
        <v>27.351</v>
      </c>
      <c r="G838" s="16" t="n">
        <f aca="false">$E838*vpg_29</f>
        <v>27.351</v>
      </c>
      <c r="H838" s="4" t="s">
        <v>450</v>
      </c>
    </row>
    <row r="839" customFormat="false" ht="17.15" hidden="false" customHeight="false" outlineLevel="0" collapsed="false">
      <c r="A839" s="0" t="s">
        <v>451</v>
      </c>
      <c r="B839" s="0" t="s">
        <v>32</v>
      </c>
      <c r="D839" s="19" t="n">
        <f aca="false">D837*D838</f>
        <v>634.61653128501</v>
      </c>
      <c r="E839" s="19" t="n">
        <f aca="false">E837*E838</f>
        <v>1139.08069210867</v>
      </c>
      <c r="F839" s="19" t="n">
        <f aca="false">F837*F838</f>
        <v>1443.91777166882</v>
      </c>
      <c r="G839" s="19" t="n">
        <f aca="false">G837*G838</f>
        <v>1644.85062257439</v>
      </c>
    </row>
    <row r="840" customFormat="false" ht="17.15" hidden="false" customHeight="false" outlineLevel="0" collapsed="false">
      <c r="A840" s="0" t="s">
        <v>452</v>
      </c>
      <c r="B840" s="0" t="s">
        <v>209</v>
      </c>
      <c r="D840" s="19" t="n">
        <f aca="false">D839*fx</f>
        <v>20307.7290011203</v>
      </c>
      <c r="E840" s="19" t="n">
        <f aca="false">E839*fx</f>
        <v>36450.5821474774</v>
      </c>
      <c r="F840" s="19" t="n">
        <f aca="false">F839*fx</f>
        <v>46205.3686934024</v>
      </c>
      <c r="G840" s="19" t="n">
        <f aca="false">G839*fx</f>
        <v>52635.2199223804</v>
      </c>
    </row>
    <row r="841" customFormat="false" ht="17.15" hidden="false" customHeight="false" outlineLevel="0" collapsed="false">
      <c r="A841" s="4" t="s">
        <v>453</v>
      </c>
      <c r="B841" s="0" t="s">
        <v>52</v>
      </c>
      <c r="D841" s="15" t="n">
        <f aca="false">a26_ai/D840</f>
        <v>0.174610057569922</v>
      </c>
      <c r="H841" s="8" t="s">
        <v>454</v>
      </c>
    </row>
    <row r="842" customFormat="false" ht="17.15" hidden="false" customHeight="false" outlineLevel="0" collapsed="false">
      <c r="A842" s="4" t="s">
        <v>455</v>
      </c>
      <c r="B842" s="0" t="s">
        <v>71</v>
      </c>
      <c r="D842" s="16" t="n">
        <f aca="false">1</f>
        <v>1</v>
      </c>
      <c r="E842" s="16" t="n">
        <f aca="false">rel_27</f>
        <v>1</v>
      </c>
      <c r="F842" s="16" t="n">
        <f aca="false">rel_28</f>
        <v>1</v>
      </c>
      <c r="G842" s="16" t="n">
        <f aca="false">rel_29</f>
        <v>0.95</v>
      </c>
    </row>
    <row r="843" customFormat="false" ht="15" hidden="false" customHeight="false" outlineLevel="0" collapsed="false">
      <c r="A843" s="4" t="s">
        <v>456</v>
      </c>
      <c r="B843" s="0" t="s">
        <v>52</v>
      </c>
      <c r="D843" s="15" t="n">
        <f aca="false">$D$841*D842</f>
        <v>0.174610057569922</v>
      </c>
      <c r="E843" s="15" t="n">
        <f aca="false">$D$841*E842</f>
        <v>0.174610057569922</v>
      </c>
      <c r="F843" s="15" t="n">
        <f aca="false">$D$841*F842</f>
        <v>0.174610057569922</v>
      </c>
      <c r="G843" s="15" t="n">
        <f aca="false">$D$841*G842</f>
        <v>0.165879554691426</v>
      </c>
    </row>
    <row r="844" customFormat="false" ht="17.15" hidden="false" customHeight="false" outlineLevel="0" collapsed="false">
      <c r="A844" s="0" t="s">
        <v>457</v>
      </c>
      <c r="B844" s="0" t="s">
        <v>209</v>
      </c>
      <c r="D844" s="19" t="n">
        <f aca="false">D840*D843</f>
        <v>3545.93373</v>
      </c>
      <c r="E844" s="19" t="n">
        <f aca="false">E840*E843</f>
        <v>6364.6382472282</v>
      </c>
      <c r="F844" s="19" t="n">
        <f aca="false">F840*F843</f>
        <v>8067.92208759447</v>
      </c>
      <c r="G844" s="19" t="n">
        <f aca="false">G840*G843</f>
        <v>8731.10684180974</v>
      </c>
    </row>
    <row r="845" customFormat="false" ht="17.15" hidden="false" customHeight="false" outlineLevel="0" collapsed="false">
      <c r="A845" s="4" t="s">
        <v>458</v>
      </c>
      <c r="B845" s="0" t="s">
        <v>52</v>
      </c>
      <c r="D845" s="15" t="n">
        <f aca="false">0</f>
        <v>0</v>
      </c>
      <c r="E845" s="15" t="n">
        <f aca="false">cs_27</f>
        <v>0.1</v>
      </c>
      <c r="F845" s="15" t="n">
        <f aca="false">cs_28</f>
        <v>0.2</v>
      </c>
      <c r="G845" s="15" t="n">
        <f aca="false">cs_29</f>
        <v>0.25</v>
      </c>
      <c r="H845" s="8" t="s">
        <v>459</v>
      </c>
    </row>
    <row r="846" customFormat="false" ht="17.15" hidden="false" customHeight="false" outlineLevel="0" collapsed="false">
      <c r="A846" s="0" t="s">
        <v>460</v>
      </c>
      <c r="B846" s="0" t="s">
        <v>209</v>
      </c>
      <c r="C846" s="19" t="n">
        <f aca="false">a25_ai</f>
        <v>1620.621</v>
      </c>
      <c r="D846" s="19" t="n">
        <f aca="false">D844*(1-D845)</f>
        <v>3545.93373</v>
      </c>
      <c r="E846" s="19" t="n">
        <f aca="false">E844*(1-E845)</f>
        <v>5728.17442250538</v>
      </c>
      <c r="F846" s="19" t="n">
        <f aca="false">F844*(1-F845)</f>
        <v>6454.33767007557</v>
      </c>
      <c r="G846" s="19" t="n">
        <f aca="false">G844*(1-G845)</f>
        <v>6548.3301313573</v>
      </c>
    </row>
    <row r="847" customFormat="false" ht="17.15" hidden="false" customHeight="false" outlineLevel="0" collapsed="false">
      <c r="A847" s="6" t="s">
        <v>461</v>
      </c>
    </row>
    <row r="848" customFormat="false" ht="17.15" hidden="false" customHeight="false" outlineLevel="0" collapsed="false">
      <c r="A848" s="4" t="s">
        <v>382</v>
      </c>
      <c r="B848" s="0" t="s">
        <v>209</v>
      </c>
      <c r="C848" s="19" t="n">
        <f aca="false">a25_cn</f>
        <v>1620.621</v>
      </c>
      <c r="D848" s="19" t="n">
        <f aca="false">a26_cn</f>
        <v>2363.95582</v>
      </c>
      <c r="E848" s="19" t="n">
        <f aca="false">D848*(1+g_cn27)</f>
        <v>2647.6305184</v>
      </c>
      <c r="F848" s="19" t="n">
        <f aca="false">E848*(1+g_cn28)</f>
        <v>2859.440959872</v>
      </c>
      <c r="G848" s="19" t="n">
        <f aca="false">F848*(1+g_cn29)</f>
        <v>3031.00741746432</v>
      </c>
    </row>
    <row r="849" customFormat="false" ht="17.15" hidden="false" customHeight="false" outlineLevel="0" collapsed="false">
      <c r="A849" s="4" t="s">
        <v>383</v>
      </c>
      <c r="B849" s="0" t="s">
        <v>209</v>
      </c>
      <c r="C849" s="19" t="n">
        <f aca="false">a25_ce</f>
        <v>3079.1799</v>
      </c>
      <c r="D849" s="19" t="n">
        <f aca="false">a26_ce</f>
        <v>3345.2205</v>
      </c>
      <c r="E849" s="19" t="n">
        <f aca="false">D849*(1+g_ce27)</f>
        <v>3445.577115</v>
      </c>
      <c r="F849" s="19" t="n">
        <f aca="false">E849*(1+g_ce28)</f>
        <v>3514.4886573</v>
      </c>
      <c r="G849" s="19" t="n">
        <f aca="false">F849*(1+g_ce29)</f>
        <v>3584.778430446</v>
      </c>
    </row>
    <row r="850" customFormat="false" ht="15" hidden="false" customHeight="false" outlineLevel="0" collapsed="false">
      <c r="A850" s="4" t="s">
        <v>384</v>
      </c>
      <c r="B850" s="0" t="s">
        <v>209</v>
      </c>
      <c r="C850" s="19" t="n">
        <f aca="false">a25_pc</f>
        <v>1215.46575</v>
      </c>
      <c r="D850" s="19" t="n">
        <f aca="false">a26_pc</f>
        <v>1338.0882</v>
      </c>
      <c r="E850" s="19" t="n">
        <f aca="false">D850*(1+g_pc27)</f>
        <v>1311.326436</v>
      </c>
      <c r="F850" s="19" t="n">
        <f aca="false">E850*(1+g_pc28)</f>
        <v>1311.326436</v>
      </c>
      <c r="G850" s="19" t="n">
        <f aca="false">F850*(1+g_pc29)</f>
        <v>1311.326436</v>
      </c>
    </row>
    <row r="851" customFormat="false" ht="15" hidden="false" customHeight="false" outlineLevel="0" collapsed="false">
      <c r="A851" s="4" t="s">
        <v>462</v>
      </c>
      <c r="B851" s="0" t="s">
        <v>209</v>
      </c>
      <c r="C851" s="19" t="n">
        <f aca="false">a25_co</f>
        <v>567.217349999999</v>
      </c>
      <c r="D851" s="19" t="n">
        <f aca="false">a26_co</f>
        <v>557.53675</v>
      </c>
      <c r="E851" s="19" t="n">
        <f aca="false">D851*(1+g_co27)</f>
        <v>602.13969</v>
      </c>
      <c r="F851" s="19" t="n">
        <f aca="false">E851*(1+g_co28)</f>
        <v>638.2680714</v>
      </c>
      <c r="G851" s="19" t="n">
        <f aca="false">F851*(1+g_co29)</f>
        <v>670.18147497</v>
      </c>
    </row>
    <row r="852" customFormat="false" ht="17.15" hidden="false" customHeight="false" outlineLevel="0" collapsed="false">
      <c r="A852" s="4" t="s">
        <v>387</v>
      </c>
      <c r="B852" s="0" t="s">
        <v>209</v>
      </c>
      <c r="C852" s="19" t="n">
        <f aca="false">SUM(C848:C851)</f>
        <v>6482.484</v>
      </c>
      <c r="D852" s="19" t="n">
        <f aca="false">SUM(D848:D851)</f>
        <v>7604.80127</v>
      </c>
      <c r="E852" s="19" t="n">
        <f aca="false">SUM(E848:E851)</f>
        <v>8006.6737594</v>
      </c>
      <c r="F852" s="19" t="n">
        <f aca="false">SUM(F848:F851)</f>
        <v>8323.524124572</v>
      </c>
      <c r="G852" s="19" t="n">
        <f aca="false">SUM(G848:G851)</f>
        <v>8597.29375888032</v>
      </c>
    </row>
    <row r="853" customFormat="false" ht="15" hidden="false" customHeight="false" outlineLevel="0" collapsed="false">
      <c r="A853" s="4" t="s">
        <v>353</v>
      </c>
      <c r="B853" s="0" t="s">
        <v>209</v>
      </c>
      <c r="C853" s="19" t="n">
        <f aca="false">C846+C852</f>
        <v>8103.105</v>
      </c>
      <c r="D853" s="19" t="n">
        <f aca="false">D846+D852</f>
        <v>11150.735</v>
      </c>
      <c r="E853" s="19" t="n">
        <f aca="false">E846+E852</f>
        <v>13734.8481819054</v>
      </c>
      <c r="F853" s="19" t="n">
        <f aca="false">F846+F852</f>
        <v>14777.8617946476</v>
      </c>
      <c r="G853" s="19" t="n">
        <f aca="false">G846+G852</f>
        <v>15145.6238902376</v>
      </c>
    </row>
    <row r="854" customFormat="false" ht="15" hidden="false" customHeight="false" outlineLevel="0" collapsed="false">
      <c r="A854" s="4" t="s">
        <v>463</v>
      </c>
      <c r="B854" s="0" t="s">
        <v>52</v>
      </c>
      <c r="D854" s="15" t="n">
        <f aca="false">D853/C853-1</f>
        <v>0.376106443147411</v>
      </c>
      <c r="E854" s="15" t="n">
        <f aca="false">E853/D853-1</f>
        <v>0.231743753385349</v>
      </c>
      <c r="F854" s="15" t="n">
        <f aca="false">F853/E853-1</f>
        <v>0.0759392167229256</v>
      </c>
      <c r="G854" s="15" t="n">
        <f aca="false">G853/F853-1</f>
        <v>0.0248860153586801</v>
      </c>
    </row>
    <row r="855" customFormat="false" ht="17.15" hidden="false" customHeight="false" outlineLevel="0" collapsed="false">
      <c r="A855" s="0" t="s">
        <v>464</v>
      </c>
      <c r="B855" s="0" t="s">
        <v>52</v>
      </c>
      <c r="C855" s="15" t="n">
        <f aca="false">C846/C853</f>
        <v>0.2</v>
      </c>
      <c r="D855" s="15" t="n">
        <f aca="false">D846/D853</f>
        <v>0.318</v>
      </c>
      <c r="E855" s="15" t="n">
        <f aca="false">E846/E853</f>
        <v>0.417054076364078</v>
      </c>
      <c r="F855" s="15" t="n">
        <f aca="false">F846/F853</f>
        <v>0.436757208841491</v>
      </c>
      <c r="G855" s="15" t="n">
        <f aca="false">G846/G853</f>
        <v>0.43235789947076</v>
      </c>
    </row>
    <row r="856" customFormat="false" ht="17.15" hidden="false" customHeight="false" outlineLevel="0" collapsed="false">
      <c r="A856" s="4" t="s">
        <v>465</v>
      </c>
      <c r="B856" s="0" t="s">
        <v>52</v>
      </c>
      <c r="C856" s="15" t="n">
        <f aca="false">(C846+C848)/C853</f>
        <v>0.4</v>
      </c>
      <c r="D856" s="15" t="n">
        <f aca="false">(D846+D848)/D853</f>
        <v>0.53</v>
      </c>
      <c r="E856" s="15" t="n">
        <f aca="false">(E846+E848)/E853</f>
        <v>0.609821443235162</v>
      </c>
      <c r="F856" s="15" t="n">
        <f aca="false">(F846+F848)/F853</f>
        <v>0.630252113558198</v>
      </c>
      <c r="G856" s="15" t="n">
        <f aca="false">(G846+G848)/G853</f>
        <v>0.632482202003983</v>
      </c>
    </row>
    <row r="857" customFormat="false" ht="17.15" hidden="false" customHeight="false" outlineLevel="0" collapsed="false">
      <c r="A857" s="4" t="s">
        <v>418</v>
      </c>
      <c r="B857" s="0" t="s">
        <v>405</v>
      </c>
      <c r="D857" s="16" t="n">
        <f aca="false">D846/fx/D837</f>
        <v>4.7355819103481</v>
      </c>
      <c r="E857" s="16" t="n">
        <f aca="false">E846/fx/E837</f>
        <v>4.29818371613545</v>
      </c>
      <c r="F857" s="16" t="n">
        <f aca="false">F846/fx/F837</f>
        <v>3.82060774767595</v>
      </c>
      <c r="G857" s="16" t="n">
        <f aca="false">G846/fx/G837</f>
        <v>3.4027287752739</v>
      </c>
    </row>
    <row r="858" customFormat="false" ht="17.15" hidden="false" customHeight="false" outlineLevel="0" collapsed="false">
      <c r="A858" s="4" t="s">
        <v>466</v>
      </c>
      <c r="B858" s="4" t="s">
        <v>416</v>
      </c>
      <c r="D858" s="19" t="n">
        <f aca="false">D844/fx/(odm_gb*(1-vr26)+odm_vr*vr26)</f>
        <v>24.0630682003257</v>
      </c>
      <c r="E858" s="19" t="n">
        <f aca="false">E844/fx/odm_vr</f>
        <v>29.4659178112417</v>
      </c>
      <c r="F858" s="19" t="n">
        <f aca="false">F844/fx/odm_vr</f>
        <v>37.3514911462707</v>
      </c>
      <c r="G858" s="19" t="n">
        <f aca="false">G844/fx/odm_vr</f>
        <v>40.4217909343043</v>
      </c>
      <c r="H858" s="4" t="s">
        <v>467</v>
      </c>
    </row>
    <row r="859" customFormat="false" ht="17.15" hidden="false" customHeight="false" outlineLevel="0" collapsed="false">
      <c r="A859" s="6" t="s">
        <v>468</v>
      </c>
    </row>
    <row r="860" customFormat="false" ht="17.15" hidden="false" customHeight="false" outlineLevel="0" collapsed="false">
      <c r="A860" s="4" t="s">
        <v>469</v>
      </c>
      <c r="B860" s="0" t="s">
        <v>52</v>
      </c>
      <c r="D860" s="14" t="n">
        <f aca="false">a26_gp/D853-d_ai*D855</f>
        <v>0.0621989258510762</v>
      </c>
      <c r="H860" s="8" t="s">
        <v>470</v>
      </c>
    </row>
    <row r="861" customFormat="false" ht="17.15" hidden="false" customHeight="false" outlineLevel="0" collapsed="false">
      <c r="A861" s="0" t="s">
        <v>471</v>
      </c>
      <c r="B861" s="0" t="s">
        <v>209</v>
      </c>
      <c r="D861" s="22" t="n">
        <f aca="false">($D$860+d_ai)*D844*(1-D845*(1-keep))</f>
        <v>202.8236004951</v>
      </c>
      <c r="E861" s="22" t="n">
        <f aca="false">($D$860+d_ai+vrd)*E844*(1-E845*(1-keep))</f>
        <v>347.807982730896</v>
      </c>
      <c r="F861" s="22" t="n">
        <f aca="false">($D$860+d_ai+vrd)*F844*(1-F845*(1-keep))</f>
        <v>436.433820423679</v>
      </c>
      <c r="G861" s="22" t="n">
        <f aca="false">($D$860+d_ai+vrd)*G844*(1-G845*(1-keep))</f>
        <v>469.899026179908</v>
      </c>
      <c r="H861" s="4" t="s">
        <v>472</v>
      </c>
    </row>
    <row r="862" customFormat="false" ht="15" hidden="false" customHeight="false" outlineLevel="0" collapsed="false">
      <c r="A862" s="4" t="s">
        <v>357</v>
      </c>
      <c r="B862" s="0" t="s">
        <v>209</v>
      </c>
      <c r="C862" s="19" t="n">
        <f aca="false">a25_gp</f>
        <v>498.161</v>
      </c>
      <c r="D862" s="19" t="n">
        <f aca="false">a26_gp</f>
        <v>675.8340708</v>
      </c>
      <c r="E862" s="19" t="n">
        <f aca="false">$D$860*E852+E861</f>
        <v>845.814490205574</v>
      </c>
      <c r="F862" s="19" t="n">
        <f aca="false">$D$860*F852+F861</f>
        <v>954.148080267577</v>
      </c>
      <c r="G862" s="19" t="n">
        <f aca="false">$D$860*G852+G861</f>
        <v>1004.64146320842</v>
      </c>
    </row>
    <row r="863" customFormat="false" ht="15" hidden="false" customHeight="false" outlineLevel="0" collapsed="false">
      <c r="A863" s="4" t="s">
        <v>360</v>
      </c>
      <c r="B863" s="0" t="s">
        <v>52</v>
      </c>
      <c r="C863" s="14" t="n">
        <f aca="false">C862/C853</f>
        <v>0.0614777915379352</v>
      </c>
      <c r="D863" s="14" t="n">
        <f aca="false">D862/D853</f>
        <v>0.0606089258510762</v>
      </c>
      <c r="E863" s="14" t="n">
        <f aca="false">E862/E853</f>
        <v>0.0615816410202386</v>
      </c>
      <c r="F863" s="14" t="n">
        <f aca="false">F862/F853</f>
        <v>0.0645660443659828</v>
      </c>
      <c r="G863" s="14" t="n">
        <f aca="false">G862/G853</f>
        <v>0.0663321280449849</v>
      </c>
    </row>
    <row r="864" customFormat="false" ht="17.15" hidden="false" customHeight="false" outlineLevel="0" collapsed="false">
      <c r="A864" s="0" t="s">
        <v>473</v>
      </c>
      <c r="B864" s="0" t="s">
        <v>52</v>
      </c>
      <c r="D864" s="14" t="n">
        <f aca="false">D861/D846</f>
        <v>0.0571989258510762</v>
      </c>
      <c r="E864" s="14" t="n">
        <f aca="false">E861/E846</f>
        <v>0.0607188184361838</v>
      </c>
      <c r="F864" s="14" t="n">
        <f aca="false">F861/F846</f>
        <v>0.0676186841675683</v>
      </c>
      <c r="G864" s="14" t="n">
        <f aca="false">G861/G846</f>
        <v>0.0717586036063991</v>
      </c>
      <c r="H864" s="4" t="s">
        <v>474</v>
      </c>
    </row>
    <row r="865" customFormat="false" ht="15" hidden="false" customHeight="false" outlineLevel="0" collapsed="false">
      <c r="A865" s="4" t="s">
        <v>475</v>
      </c>
      <c r="B865" s="0" t="s">
        <v>209</v>
      </c>
      <c r="C865" s="19" t="n">
        <f aca="false">a25_opx</f>
        <v>238.938</v>
      </c>
      <c r="D865" s="19" t="n">
        <f aca="false">a26_opx</f>
        <v>254.8304233</v>
      </c>
      <c r="E865" s="19" t="n">
        <f aca="false">D865*(1+MAX(0,phi*E854))</f>
        <v>278.452566808928</v>
      </c>
      <c r="F865" s="19" t="n">
        <f aca="false">E865*(1+MAX(0,phi*F854))</f>
        <v>286.910754736111</v>
      </c>
      <c r="G865" s="19" t="n">
        <f aca="false">F865*(1+MAX(0,phi*G854))</f>
        <v>289.766780915684</v>
      </c>
    </row>
    <row r="866" customFormat="false" ht="15" hidden="false" customHeight="false" outlineLevel="0" collapsed="false">
      <c r="A866" s="4" t="s">
        <v>361</v>
      </c>
      <c r="B866" s="0" t="s">
        <v>209</v>
      </c>
      <c r="C866" s="19" t="n">
        <f aca="false">C865</f>
        <v>238.938</v>
      </c>
      <c r="D866" s="19" t="n">
        <f aca="false">D865</f>
        <v>254.8304233</v>
      </c>
      <c r="E866" s="19" t="n">
        <f aca="false">E865+opx_adj_hi*E853</f>
        <v>305.922263172738</v>
      </c>
      <c r="F866" s="19" t="n">
        <f aca="false">F865+opx_adj_hi*F853</f>
        <v>316.466478325406</v>
      </c>
      <c r="G866" s="19" t="n">
        <f aca="false">G865+opx_adj_hi*G853</f>
        <v>320.05802869616</v>
      </c>
    </row>
    <row r="867" customFormat="false" ht="15" hidden="false" customHeight="false" outlineLevel="0" collapsed="false">
      <c r="A867" s="4" t="s">
        <v>364</v>
      </c>
      <c r="B867" s="0" t="s">
        <v>209</v>
      </c>
      <c r="C867" s="19" t="n">
        <f aca="false">C862-C866</f>
        <v>259.223</v>
      </c>
      <c r="D867" s="19" t="n">
        <f aca="false">D862-D866</f>
        <v>421.0036475</v>
      </c>
      <c r="E867" s="19" t="n">
        <f aca="false">E862-E866</f>
        <v>539.892227032836</v>
      </c>
      <c r="F867" s="19" t="n">
        <f aca="false">F862-F866</f>
        <v>637.681601942171</v>
      </c>
      <c r="G867" s="19" t="n">
        <f aca="false">G862-G866</f>
        <v>684.583434512265</v>
      </c>
    </row>
    <row r="868" customFormat="false" ht="15" hidden="false" customHeight="false" outlineLevel="0" collapsed="false">
      <c r="A868" s="4" t="s">
        <v>367</v>
      </c>
      <c r="B868" s="0" t="s">
        <v>52</v>
      </c>
      <c r="C868" s="14" t="n">
        <f aca="false">C867/C853</f>
        <v>0.0319905764518663</v>
      </c>
      <c r="D868" s="14" t="n">
        <f aca="false">D867/D853</f>
        <v>0.0377556858359561</v>
      </c>
      <c r="E868" s="14" t="n">
        <f aca="false">E867/E853</f>
        <v>0.0393082049311694</v>
      </c>
      <c r="F868" s="14" t="n">
        <f aca="false">F867/F853</f>
        <v>0.0431511412681592</v>
      </c>
      <c r="G868" s="14" t="n">
        <f aca="false">G867/G853</f>
        <v>0.0452000815201496</v>
      </c>
    </row>
    <row r="869" customFormat="false" ht="17.15" hidden="false" customHeight="false" outlineLevel="0" collapsed="false">
      <c r="A869" s="4" t="s">
        <v>243</v>
      </c>
      <c r="B869" s="0" t="s">
        <v>52</v>
      </c>
      <c r="C869" s="15" t="n">
        <f aca="false">a25_ni/a25_oi</f>
        <v>0.730467589681471</v>
      </c>
      <c r="D869" s="15" t="n">
        <f aca="false">a26_ni/a26_oi</f>
        <v>0.653811645064191</v>
      </c>
      <c r="E869" s="15" t="n">
        <f aca="false">nio_f</f>
        <v>0.66</v>
      </c>
      <c r="F869" s="15" t="n">
        <f aca="false">nio_f</f>
        <v>0.66</v>
      </c>
      <c r="G869" s="15" t="n">
        <f aca="false">nio_f</f>
        <v>0.66</v>
      </c>
    </row>
    <row r="870" customFormat="false" ht="15" hidden="false" customHeight="false" outlineLevel="0" collapsed="false">
      <c r="A870" s="4" t="s">
        <v>368</v>
      </c>
      <c r="B870" s="0" t="s">
        <v>209</v>
      </c>
      <c r="C870" s="19" t="n">
        <f aca="false">a25_ni</f>
        <v>189.354</v>
      </c>
      <c r="D870" s="19" t="n">
        <f aca="false">a26_ni</f>
        <v>275.25708735</v>
      </c>
      <c r="E870" s="19" t="n">
        <f aca="false">E867*E869</f>
        <v>356.328869841672</v>
      </c>
      <c r="F870" s="19" t="n">
        <f aca="false">F867*F869</f>
        <v>420.869857281833</v>
      </c>
      <c r="G870" s="19" t="n">
        <f aca="false">G867*G869</f>
        <v>451.825066778095</v>
      </c>
    </row>
    <row r="871" customFormat="false" ht="15" hidden="false" customHeight="false" outlineLevel="0" collapsed="false">
      <c r="A871" s="4" t="s">
        <v>476</v>
      </c>
      <c r="B871" s="4" t="s">
        <v>230</v>
      </c>
      <c r="C871" s="23" t="n">
        <f aca="false">a25_sh</f>
        <v>13.9128581925055</v>
      </c>
      <c r="D871" s="23" t="n">
        <f aca="false">a26_sh</f>
        <v>14.0169642857143</v>
      </c>
      <c r="E871" s="23" t="n">
        <f aca="false">D871*(1+sh_g)</f>
        <v>14.0169642857143</v>
      </c>
      <c r="F871" s="23" t="n">
        <f aca="false">E871*(1+sh_g)</f>
        <v>14.0169642857143</v>
      </c>
      <c r="G871" s="23" t="n">
        <f aca="false">F871*(1+sh_g)</f>
        <v>14.0169642857143</v>
      </c>
    </row>
    <row r="872" customFormat="false" ht="15" hidden="false" customHeight="false" outlineLevel="0" collapsed="false">
      <c r="A872" s="0" t="s">
        <v>374</v>
      </c>
      <c r="B872" s="0" t="s">
        <v>260</v>
      </c>
      <c r="C872" s="22" t="n">
        <f aca="false">C870/C871</f>
        <v>13.61</v>
      </c>
      <c r="D872" s="22" t="n">
        <f aca="false">D870/D871</f>
        <v>19.6374251756163</v>
      </c>
      <c r="E872" s="22" t="n">
        <f aca="false">E870/E871</f>
        <v>25.4212583108906</v>
      </c>
      <c r="F872" s="22" t="n">
        <f aca="false">F870/F871</f>
        <v>30.0257494207053</v>
      </c>
      <c r="G872" s="22" t="n">
        <f aca="false">G870/G871</f>
        <v>32.2341598058135</v>
      </c>
    </row>
    <row r="873" customFormat="false" ht="17.15" hidden="false" customHeight="false" outlineLevel="0" collapsed="false">
      <c r="A873" s="0" t="s">
        <v>477</v>
      </c>
      <c r="B873" s="0" t="s">
        <v>52</v>
      </c>
      <c r="D873" s="15" t="n">
        <f aca="false">D872/C872-1</f>
        <v>0.442867389832203</v>
      </c>
      <c r="E873" s="15" t="n">
        <f aca="false">E872/D872-1</f>
        <v>0.294531135500194</v>
      </c>
      <c r="F873" s="15" t="n">
        <f aca="false">F872/E872-1</f>
        <v>0.18112758438248</v>
      </c>
      <c r="G873" s="15" t="n">
        <f aca="false">G872/F872-1</f>
        <v>0.0735505500350755</v>
      </c>
    </row>
    <row r="876" customFormat="false" ht="17.15" hidden="false" customHeight="false" outlineLevel="0" collapsed="false">
      <c r="A876" s="1" t="s">
        <v>803</v>
      </c>
    </row>
    <row r="877" customFormat="false" ht="17.15" hidden="false" customHeight="false" outlineLevel="0" collapsed="false">
      <c r="A877" s="5" t="s">
        <v>21</v>
      </c>
      <c r="B877" s="5" t="s">
        <v>22</v>
      </c>
      <c r="C877" s="11" t="s">
        <v>347</v>
      </c>
      <c r="D877" s="11" t="s">
        <v>429</v>
      </c>
      <c r="E877" s="11" t="s">
        <v>430</v>
      </c>
      <c r="F877" s="11" t="s">
        <v>431</v>
      </c>
      <c r="G877" s="11" t="s">
        <v>432</v>
      </c>
      <c r="H877" s="5" t="s">
        <v>400</v>
      </c>
    </row>
    <row r="878" customFormat="false" ht="17.15" hidden="false" customHeight="false" outlineLevel="0" collapsed="false">
      <c r="A878" s="6" t="s">
        <v>446</v>
      </c>
    </row>
    <row r="879" customFormat="false" ht="17.15" hidden="false" customHeight="false" outlineLevel="0" collapsed="false">
      <c r="A879" s="0" t="s">
        <v>447</v>
      </c>
      <c r="B879" s="0" t="s">
        <v>32</v>
      </c>
      <c r="D879" s="22" t="n">
        <f aca="false">itc_26*1</f>
        <v>781.872916666666</v>
      </c>
      <c r="E879" s="22" t="n">
        <f aca="false">itc_27*1*1</f>
        <v>1565.35</v>
      </c>
      <c r="F879" s="22" t="n">
        <f aca="false">itc_28*um28_A*1</f>
        <v>1984.26388888889</v>
      </c>
      <c r="G879" s="22" t="n">
        <f aca="false">itc_29*um29_A*1</f>
        <v>2260.39027777778</v>
      </c>
    </row>
    <row r="880" customFormat="false" ht="17.15" hidden="false" customHeight="false" outlineLevel="0" collapsed="false">
      <c r="A880" s="4" t="s">
        <v>448</v>
      </c>
      <c r="B880" s="0" t="s">
        <v>32</v>
      </c>
      <c r="D880" s="22" t="n">
        <f aca="false">itpg_gb*(1-vr26)+itpg_vr*vr26</f>
        <v>33.41403216</v>
      </c>
      <c r="E880" s="22" t="n">
        <f aca="false">itpg_vr</f>
        <v>37.586352</v>
      </c>
      <c r="F880" s="22" t="n">
        <f aca="false">itpg_vr</f>
        <v>37.586352</v>
      </c>
      <c r="G880" s="22" t="n">
        <f aca="false">itpg_vr</f>
        <v>37.586352</v>
      </c>
    </row>
    <row r="881" customFormat="false" ht="17.15" hidden="false" customHeight="false" outlineLevel="0" collapsed="false">
      <c r="A881" s="4" t="s">
        <v>449</v>
      </c>
      <c r="B881" s="0" t="s">
        <v>402</v>
      </c>
      <c r="D881" s="18" t="n">
        <f aca="false">D879/D880</f>
        <v>23.3995380420639</v>
      </c>
      <c r="E881" s="18" t="n">
        <f aca="false">E879/E880</f>
        <v>41.6467658260637</v>
      </c>
      <c r="F881" s="18" t="n">
        <f aca="false">F879/F880</f>
        <v>52.792138191248</v>
      </c>
      <c r="G881" s="18" t="n">
        <f aca="false">G879/G880</f>
        <v>60.1385917361116</v>
      </c>
    </row>
    <row r="882" customFormat="false" ht="17.15" hidden="false" customHeight="false" outlineLevel="0" collapsed="false">
      <c r="A882" s="4" t="s">
        <v>404</v>
      </c>
      <c r="B882" s="0" t="s">
        <v>405</v>
      </c>
      <c r="D882" s="16" t="n">
        <f aca="false">(racks_gb*odm_gb*(1-vr26)+racks_vr*odm_vr*vr26)/1000</f>
        <v>27.1209</v>
      </c>
      <c r="E882" s="16" t="n">
        <f aca="false">racks_vr*odm_vr/1000</f>
        <v>27.351</v>
      </c>
      <c r="F882" s="16" t="n">
        <f aca="false">$E882*vpg_28</f>
        <v>27.351</v>
      </c>
      <c r="G882" s="16" t="n">
        <f aca="false">$E882*vpg_29</f>
        <v>27.351</v>
      </c>
      <c r="H882" s="4" t="s">
        <v>450</v>
      </c>
    </row>
    <row r="883" customFormat="false" ht="17.15" hidden="false" customHeight="false" outlineLevel="0" collapsed="false">
      <c r="A883" s="0" t="s">
        <v>451</v>
      </c>
      <c r="B883" s="0" t="s">
        <v>32</v>
      </c>
      <c r="D883" s="19" t="n">
        <f aca="false">D881*D882</f>
        <v>634.61653128501</v>
      </c>
      <c r="E883" s="19" t="n">
        <f aca="false">E881*E882</f>
        <v>1139.08069210867</v>
      </c>
      <c r="F883" s="19" t="n">
        <f aca="false">F881*F882</f>
        <v>1443.91777166882</v>
      </c>
      <c r="G883" s="19" t="n">
        <f aca="false">G881*G882</f>
        <v>1644.85062257439</v>
      </c>
    </row>
    <row r="884" customFormat="false" ht="17.15" hidden="false" customHeight="false" outlineLevel="0" collapsed="false">
      <c r="A884" s="0" t="s">
        <v>452</v>
      </c>
      <c r="B884" s="0" t="s">
        <v>209</v>
      </c>
      <c r="D884" s="19" t="n">
        <f aca="false">D883*fx</f>
        <v>20307.7290011203</v>
      </c>
      <c r="E884" s="19" t="n">
        <f aca="false">E883*fx</f>
        <v>36450.5821474774</v>
      </c>
      <c r="F884" s="19" t="n">
        <f aca="false">F883*fx</f>
        <v>46205.3686934024</v>
      </c>
      <c r="G884" s="19" t="n">
        <f aca="false">G883*fx</f>
        <v>52635.2199223804</v>
      </c>
    </row>
    <row r="885" customFormat="false" ht="17.15" hidden="false" customHeight="false" outlineLevel="0" collapsed="false">
      <c r="A885" s="4" t="s">
        <v>453</v>
      </c>
      <c r="B885" s="0" t="s">
        <v>52</v>
      </c>
      <c r="D885" s="15" t="n">
        <f aca="false">a26_ai/D884</f>
        <v>0.174610057569922</v>
      </c>
      <c r="H885" s="8" t="s">
        <v>454</v>
      </c>
    </row>
    <row r="886" customFormat="false" ht="17.15" hidden="false" customHeight="false" outlineLevel="0" collapsed="false">
      <c r="A886" s="4" t="s">
        <v>455</v>
      </c>
      <c r="B886" s="0" t="s">
        <v>71</v>
      </c>
      <c r="D886" s="16" t="n">
        <f aca="false">1</f>
        <v>1</v>
      </c>
      <c r="E886" s="16" t="n">
        <f aca="false">rel_27</f>
        <v>1</v>
      </c>
      <c r="F886" s="16" t="n">
        <f aca="false">rel_28</f>
        <v>1</v>
      </c>
      <c r="G886" s="16" t="n">
        <f aca="false">rel_29</f>
        <v>0.95</v>
      </c>
    </row>
    <row r="887" customFormat="false" ht="15" hidden="false" customHeight="false" outlineLevel="0" collapsed="false">
      <c r="A887" s="4" t="s">
        <v>456</v>
      </c>
      <c r="B887" s="0" t="s">
        <v>52</v>
      </c>
      <c r="D887" s="15" t="n">
        <f aca="false">$D$885*D886</f>
        <v>0.174610057569922</v>
      </c>
      <c r="E887" s="15" t="n">
        <f aca="false">$D$885*E886</f>
        <v>0.174610057569922</v>
      </c>
      <c r="F887" s="15" t="n">
        <f aca="false">$D$885*F886</f>
        <v>0.174610057569922</v>
      </c>
      <c r="G887" s="15" t="n">
        <f aca="false">$D$885*G886</f>
        <v>0.165879554691426</v>
      </c>
    </row>
    <row r="888" customFormat="false" ht="17.15" hidden="false" customHeight="false" outlineLevel="0" collapsed="false">
      <c r="A888" s="0" t="s">
        <v>457</v>
      </c>
      <c r="B888" s="0" t="s">
        <v>209</v>
      </c>
      <c r="D888" s="19" t="n">
        <f aca="false">D884*D887</f>
        <v>3545.93373</v>
      </c>
      <c r="E888" s="19" t="n">
        <f aca="false">E884*E887</f>
        <v>6364.6382472282</v>
      </c>
      <c r="F888" s="19" t="n">
        <f aca="false">F884*F887</f>
        <v>8067.92208759447</v>
      </c>
      <c r="G888" s="19" t="n">
        <f aca="false">G884*G887</f>
        <v>8731.10684180974</v>
      </c>
    </row>
    <row r="889" customFormat="false" ht="17.15" hidden="false" customHeight="false" outlineLevel="0" collapsed="false">
      <c r="A889" s="4" t="s">
        <v>458</v>
      </c>
      <c r="B889" s="0" t="s">
        <v>52</v>
      </c>
      <c r="D889" s="15" t="n">
        <f aca="false">0</f>
        <v>0</v>
      </c>
      <c r="E889" s="15" t="n">
        <f aca="false">cs_27</f>
        <v>0.1</v>
      </c>
      <c r="F889" s="15" t="n">
        <f aca="false">cs_28</f>
        <v>0.2</v>
      </c>
      <c r="G889" s="15" t="n">
        <f aca="false">cs_29</f>
        <v>0.25</v>
      </c>
      <c r="H889" s="8" t="s">
        <v>459</v>
      </c>
    </row>
    <row r="890" customFormat="false" ht="17.15" hidden="false" customHeight="false" outlineLevel="0" collapsed="false">
      <c r="A890" s="0" t="s">
        <v>460</v>
      </c>
      <c r="B890" s="0" t="s">
        <v>209</v>
      </c>
      <c r="C890" s="19" t="n">
        <f aca="false">a25_ai</f>
        <v>1620.621</v>
      </c>
      <c r="D890" s="19" t="n">
        <f aca="false">D888*(1-D889)</f>
        <v>3545.93373</v>
      </c>
      <c r="E890" s="19" t="n">
        <f aca="false">E888*(1-E889)</f>
        <v>5728.17442250538</v>
      </c>
      <c r="F890" s="19" t="n">
        <f aca="false">F888*(1-F889)</f>
        <v>6454.33767007557</v>
      </c>
      <c r="G890" s="19" t="n">
        <f aca="false">G888*(1-G889)</f>
        <v>6548.3301313573</v>
      </c>
    </row>
    <row r="891" customFormat="false" ht="17.15" hidden="false" customHeight="false" outlineLevel="0" collapsed="false">
      <c r="A891" s="6" t="s">
        <v>461</v>
      </c>
    </row>
    <row r="892" customFormat="false" ht="17.15" hidden="false" customHeight="false" outlineLevel="0" collapsed="false">
      <c r="A892" s="4" t="s">
        <v>382</v>
      </c>
      <c r="B892" s="0" t="s">
        <v>209</v>
      </c>
      <c r="C892" s="19" t="n">
        <f aca="false">a25_cn</f>
        <v>1620.621</v>
      </c>
      <c r="D892" s="19" t="n">
        <f aca="false">a26_cn</f>
        <v>2363.95582</v>
      </c>
      <c r="E892" s="19" t="n">
        <f aca="false">D892*(1+g_cn27)</f>
        <v>2647.6305184</v>
      </c>
      <c r="F892" s="19" t="n">
        <f aca="false">E892*(1+g_cn28)</f>
        <v>2859.440959872</v>
      </c>
      <c r="G892" s="19" t="n">
        <f aca="false">F892*(1+g_cn29)</f>
        <v>3031.00741746432</v>
      </c>
    </row>
    <row r="893" customFormat="false" ht="17.15" hidden="false" customHeight="false" outlineLevel="0" collapsed="false">
      <c r="A893" s="4" t="s">
        <v>383</v>
      </c>
      <c r="B893" s="0" t="s">
        <v>209</v>
      </c>
      <c r="C893" s="19" t="n">
        <f aca="false">a25_ce</f>
        <v>3079.1799</v>
      </c>
      <c r="D893" s="19" t="n">
        <f aca="false">a26_ce</f>
        <v>3345.2205</v>
      </c>
      <c r="E893" s="19" t="n">
        <f aca="false">D893*(1+g_ce27)</f>
        <v>3445.577115</v>
      </c>
      <c r="F893" s="19" t="n">
        <f aca="false">E893*(1+g_ce28)</f>
        <v>3514.4886573</v>
      </c>
      <c r="G893" s="19" t="n">
        <f aca="false">F893*(1+g_ce29)</f>
        <v>3584.778430446</v>
      </c>
    </row>
    <row r="894" customFormat="false" ht="15" hidden="false" customHeight="false" outlineLevel="0" collapsed="false">
      <c r="A894" s="4" t="s">
        <v>384</v>
      </c>
      <c r="B894" s="0" t="s">
        <v>209</v>
      </c>
      <c r="C894" s="19" t="n">
        <f aca="false">a25_pc</f>
        <v>1215.46575</v>
      </c>
      <c r="D894" s="19" t="n">
        <f aca="false">a26_pc</f>
        <v>1338.0882</v>
      </c>
      <c r="E894" s="19" t="n">
        <f aca="false">D894*(1+g_pc27)</f>
        <v>1311.326436</v>
      </c>
      <c r="F894" s="19" t="n">
        <f aca="false">E894*(1+g_pc28)</f>
        <v>1311.326436</v>
      </c>
      <c r="G894" s="19" t="n">
        <f aca="false">F894*(1+g_pc29)</f>
        <v>1311.326436</v>
      </c>
    </row>
    <row r="895" customFormat="false" ht="15" hidden="false" customHeight="false" outlineLevel="0" collapsed="false">
      <c r="A895" s="4" t="s">
        <v>462</v>
      </c>
      <c r="B895" s="0" t="s">
        <v>209</v>
      </c>
      <c r="C895" s="19" t="n">
        <f aca="false">a25_co</f>
        <v>567.217349999999</v>
      </c>
      <c r="D895" s="19" t="n">
        <f aca="false">a26_co</f>
        <v>557.53675</v>
      </c>
      <c r="E895" s="19" t="n">
        <f aca="false">D895*(1+g_co27)</f>
        <v>602.13969</v>
      </c>
      <c r="F895" s="19" t="n">
        <f aca="false">E895*(1+g_co28)</f>
        <v>638.2680714</v>
      </c>
      <c r="G895" s="19" t="n">
        <f aca="false">F895*(1+g_co29)</f>
        <v>670.18147497</v>
      </c>
    </row>
    <row r="896" customFormat="false" ht="17.15" hidden="false" customHeight="false" outlineLevel="0" collapsed="false">
      <c r="A896" s="4" t="s">
        <v>387</v>
      </c>
      <c r="B896" s="0" t="s">
        <v>209</v>
      </c>
      <c r="C896" s="19" t="n">
        <f aca="false">SUM(C892:C895)</f>
        <v>6482.484</v>
      </c>
      <c r="D896" s="19" t="n">
        <f aca="false">SUM(D892:D895)</f>
        <v>7604.80127</v>
      </c>
      <c r="E896" s="19" t="n">
        <f aca="false">SUM(E892:E895)</f>
        <v>8006.6737594</v>
      </c>
      <c r="F896" s="19" t="n">
        <f aca="false">SUM(F892:F895)</f>
        <v>8323.524124572</v>
      </c>
      <c r="G896" s="19" t="n">
        <f aca="false">SUM(G892:G895)</f>
        <v>8597.29375888032</v>
      </c>
    </row>
    <row r="897" customFormat="false" ht="15" hidden="false" customHeight="false" outlineLevel="0" collapsed="false">
      <c r="A897" s="4" t="s">
        <v>353</v>
      </c>
      <c r="B897" s="0" t="s">
        <v>209</v>
      </c>
      <c r="C897" s="19" t="n">
        <f aca="false">C890+C896</f>
        <v>8103.105</v>
      </c>
      <c r="D897" s="19" t="n">
        <f aca="false">D890+D896</f>
        <v>11150.735</v>
      </c>
      <c r="E897" s="19" t="n">
        <f aca="false">E890+E896</f>
        <v>13734.8481819054</v>
      </c>
      <c r="F897" s="19" t="n">
        <f aca="false">F890+F896</f>
        <v>14777.8617946476</v>
      </c>
      <c r="G897" s="19" t="n">
        <f aca="false">G890+G896</f>
        <v>15145.6238902376</v>
      </c>
    </row>
    <row r="898" customFormat="false" ht="15" hidden="false" customHeight="false" outlineLevel="0" collapsed="false">
      <c r="A898" s="4" t="s">
        <v>463</v>
      </c>
      <c r="B898" s="0" t="s">
        <v>52</v>
      </c>
      <c r="D898" s="15" t="n">
        <f aca="false">D897/C897-1</f>
        <v>0.376106443147411</v>
      </c>
      <c r="E898" s="15" t="n">
        <f aca="false">E897/D897-1</f>
        <v>0.231743753385349</v>
      </c>
      <c r="F898" s="15" t="n">
        <f aca="false">F897/E897-1</f>
        <v>0.0759392167229256</v>
      </c>
      <c r="G898" s="15" t="n">
        <f aca="false">G897/F897-1</f>
        <v>0.0248860153586801</v>
      </c>
    </row>
    <row r="899" customFormat="false" ht="17.15" hidden="false" customHeight="false" outlineLevel="0" collapsed="false">
      <c r="A899" s="0" t="s">
        <v>464</v>
      </c>
      <c r="B899" s="0" t="s">
        <v>52</v>
      </c>
      <c r="C899" s="15" t="n">
        <f aca="false">C890/C897</f>
        <v>0.2</v>
      </c>
      <c r="D899" s="15" t="n">
        <f aca="false">D890/D897</f>
        <v>0.318</v>
      </c>
      <c r="E899" s="15" t="n">
        <f aca="false">E890/E897</f>
        <v>0.417054076364078</v>
      </c>
      <c r="F899" s="15" t="n">
        <f aca="false">F890/F897</f>
        <v>0.436757208841491</v>
      </c>
      <c r="G899" s="15" t="n">
        <f aca="false">G890/G897</f>
        <v>0.43235789947076</v>
      </c>
    </row>
    <row r="900" customFormat="false" ht="17.15" hidden="false" customHeight="false" outlineLevel="0" collapsed="false">
      <c r="A900" s="4" t="s">
        <v>465</v>
      </c>
      <c r="B900" s="0" t="s">
        <v>52</v>
      </c>
      <c r="C900" s="15" t="n">
        <f aca="false">(C890+C892)/C897</f>
        <v>0.4</v>
      </c>
      <c r="D900" s="15" t="n">
        <f aca="false">(D890+D892)/D897</f>
        <v>0.53</v>
      </c>
      <c r="E900" s="15" t="n">
        <f aca="false">(E890+E892)/E897</f>
        <v>0.609821443235162</v>
      </c>
      <c r="F900" s="15" t="n">
        <f aca="false">(F890+F892)/F897</f>
        <v>0.630252113558198</v>
      </c>
      <c r="G900" s="15" t="n">
        <f aca="false">(G890+G892)/G897</f>
        <v>0.632482202003983</v>
      </c>
    </row>
    <row r="901" customFormat="false" ht="17.15" hidden="false" customHeight="false" outlineLevel="0" collapsed="false">
      <c r="A901" s="4" t="s">
        <v>418</v>
      </c>
      <c r="B901" s="0" t="s">
        <v>405</v>
      </c>
      <c r="D901" s="16" t="n">
        <f aca="false">D890/fx/D881</f>
        <v>4.7355819103481</v>
      </c>
      <c r="E901" s="16" t="n">
        <f aca="false">E890/fx/E881</f>
        <v>4.29818371613545</v>
      </c>
      <c r="F901" s="16" t="n">
        <f aca="false">F890/fx/F881</f>
        <v>3.82060774767595</v>
      </c>
      <c r="G901" s="16" t="n">
        <f aca="false">G890/fx/G881</f>
        <v>3.4027287752739</v>
      </c>
    </row>
    <row r="902" customFormat="false" ht="17.15" hidden="false" customHeight="false" outlineLevel="0" collapsed="false">
      <c r="A902" s="4" t="s">
        <v>466</v>
      </c>
      <c r="B902" s="4" t="s">
        <v>416</v>
      </c>
      <c r="D902" s="19" t="n">
        <f aca="false">D888/fx/(odm_gb*(1-vr26)+odm_vr*vr26)</f>
        <v>24.0630682003257</v>
      </c>
      <c r="E902" s="19" t="n">
        <f aca="false">E888/fx/odm_vr</f>
        <v>29.4659178112417</v>
      </c>
      <c r="F902" s="19" t="n">
        <f aca="false">F888/fx/odm_vr</f>
        <v>37.3514911462707</v>
      </c>
      <c r="G902" s="19" t="n">
        <f aca="false">G888/fx/odm_vr</f>
        <v>40.4217909343043</v>
      </c>
      <c r="H902" s="4" t="s">
        <v>467</v>
      </c>
    </row>
    <row r="903" customFormat="false" ht="17.15" hidden="false" customHeight="false" outlineLevel="0" collapsed="false">
      <c r="A903" s="6" t="s">
        <v>468</v>
      </c>
    </row>
    <row r="904" customFormat="false" ht="17.15" hidden="false" customHeight="false" outlineLevel="0" collapsed="false">
      <c r="A904" s="4" t="s">
        <v>469</v>
      </c>
      <c r="B904" s="0" t="s">
        <v>52</v>
      </c>
      <c r="D904" s="14" t="n">
        <f aca="false">a26_gp/D897-d_ai*D899</f>
        <v>0.0621989258510762</v>
      </c>
      <c r="H904" s="8" t="s">
        <v>470</v>
      </c>
    </row>
    <row r="905" customFormat="false" ht="17.15" hidden="false" customHeight="false" outlineLevel="0" collapsed="false">
      <c r="A905" s="0" t="s">
        <v>471</v>
      </c>
      <c r="B905" s="0" t="s">
        <v>209</v>
      </c>
      <c r="D905" s="22" t="n">
        <f aca="false">($D$904+d_ai)*D888*(1-D889*(1-keep))</f>
        <v>202.8236004951</v>
      </c>
      <c r="E905" s="22" t="n">
        <f aca="false">($D$904+d_ai+vrd)*E888*(1-E889*(1-keep))</f>
        <v>347.807982730896</v>
      </c>
      <c r="F905" s="22" t="n">
        <f aca="false">($D$904+d_ai+vrd)*F888*(1-F889*(1-keep))</f>
        <v>436.433820423679</v>
      </c>
      <c r="G905" s="22" t="n">
        <f aca="false">($D$904+d_ai+vrd)*G888*(1-G889*(1-keep))</f>
        <v>469.899026179908</v>
      </c>
      <c r="H905" s="4" t="s">
        <v>472</v>
      </c>
    </row>
    <row r="906" customFormat="false" ht="15" hidden="false" customHeight="false" outlineLevel="0" collapsed="false">
      <c r="A906" s="4" t="s">
        <v>357</v>
      </c>
      <c r="B906" s="0" t="s">
        <v>209</v>
      </c>
      <c r="C906" s="19" t="n">
        <f aca="false">a25_gp</f>
        <v>498.161</v>
      </c>
      <c r="D906" s="19" t="n">
        <f aca="false">a26_gp</f>
        <v>675.8340708</v>
      </c>
      <c r="E906" s="19" t="n">
        <f aca="false">$D$904*E896+E905</f>
        <v>845.814490205574</v>
      </c>
      <c r="F906" s="19" t="n">
        <f aca="false">$D$904*F896+F905</f>
        <v>954.148080267577</v>
      </c>
      <c r="G906" s="19" t="n">
        <f aca="false">$D$904*G896+G905</f>
        <v>1004.64146320842</v>
      </c>
    </row>
    <row r="907" customFormat="false" ht="15" hidden="false" customHeight="false" outlineLevel="0" collapsed="false">
      <c r="A907" s="4" t="s">
        <v>360</v>
      </c>
      <c r="B907" s="0" t="s">
        <v>52</v>
      </c>
      <c r="C907" s="14" t="n">
        <f aca="false">C906/C897</f>
        <v>0.0614777915379352</v>
      </c>
      <c r="D907" s="14" t="n">
        <f aca="false">D906/D897</f>
        <v>0.0606089258510762</v>
      </c>
      <c r="E907" s="14" t="n">
        <f aca="false">E906/E897</f>
        <v>0.0615816410202386</v>
      </c>
      <c r="F907" s="14" t="n">
        <f aca="false">F906/F897</f>
        <v>0.0645660443659828</v>
      </c>
      <c r="G907" s="14" t="n">
        <f aca="false">G906/G897</f>
        <v>0.0663321280449849</v>
      </c>
    </row>
    <row r="908" customFormat="false" ht="17.15" hidden="false" customHeight="false" outlineLevel="0" collapsed="false">
      <c r="A908" s="0" t="s">
        <v>473</v>
      </c>
      <c r="B908" s="0" t="s">
        <v>52</v>
      </c>
      <c r="D908" s="14" t="n">
        <f aca="false">D905/D890</f>
        <v>0.0571989258510762</v>
      </c>
      <c r="E908" s="14" t="n">
        <f aca="false">E905/E890</f>
        <v>0.0607188184361838</v>
      </c>
      <c r="F908" s="14" t="n">
        <f aca="false">F905/F890</f>
        <v>0.0676186841675683</v>
      </c>
      <c r="G908" s="14" t="n">
        <f aca="false">G905/G890</f>
        <v>0.0717586036063991</v>
      </c>
      <c r="H908" s="4" t="s">
        <v>474</v>
      </c>
    </row>
    <row r="909" customFormat="false" ht="15" hidden="false" customHeight="false" outlineLevel="0" collapsed="false">
      <c r="A909" s="4" t="s">
        <v>475</v>
      </c>
      <c r="B909" s="0" t="s">
        <v>209</v>
      </c>
      <c r="C909" s="19" t="n">
        <f aca="false">a25_opx</f>
        <v>238.938</v>
      </c>
      <c r="D909" s="19" t="n">
        <f aca="false">a26_opx</f>
        <v>254.8304233</v>
      </c>
      <c r="E909" s="19" t="n">
        <f aca="false">D909*(1+MAX(0,phi*E898))</f>
        <v>278.452566808928</v>
      </c>
      <c r="F909" s="19" t="n">
        <f aca="false">E909*(1+MAX(0,phi*F898))</f>
        <v>286.910754736111</v>
      </c>
      <c r="G909" s="19" t="n">
        <f aca="false">F909*(1+MAX(0,phi*G898))</f>
        <v>289.766780915684</v>
      </c>
    </row>
    <row r="910" customFormat="false" ht="15" hidden="false" customHeight="false" outlineLevel="0" collapsed="false">
      <c r="A910" s="4" t="s">
        <v>361</v>
      </c>
      <c r="B910" s="0" t="s">
        <v>209</v>
      </c>
      <c r="C910" s="19" t="n">
        <f aca="false">C909</f>
        <v>238.938</v>
      </c>
      <c r="D910" s="19" t="n">
        <f aca="false">D909</f>
        <v>254.8304233</v>
      </c>
      <c r="E910" s="19" t="n">
        <f aca="false">E909+0*E897</f>
        <v>278.452566808928</v>
      </c>
      <c r="F910" s="19" t="n">
        <f aca="false">F909+0*F897</f>
        <v>286.910754736111</v>
      </c>
      <c r="G910" s="19" t="n">
        <f aca="false">G909+0*G897</f>
        <v>289.766780915684</v>
      </c>
    </row>
    <row r="911" customFormat="false" ht="15" hidden="false" customHeight="false" outlineLevel="0" collapsed="false">
      <c r="A911" s="4" t="s">
        <v>364</v>
      </c>
      <c r="B911" s="0" t="s">
        <v>209</v>
      </c>
      <c r="C911" s="19" t="n">
        <f aca="false">C906-C910</f>
        <v>259.223</v>
      </c>
      <c r="D911" s="19" t="n">
        <f aca="false">D906-D910</f>
        <v>421.0036475</v>
      </c>
      <c r="E911" s="19" t="n">
        <f aca="false">E906-E910</f>
        <v>567.361923396647</v>
      </c>
      <c r="F911" s="19" t="n">
        <f aca="false">F906-F910</f>
        <v>667.237325531466</v>
      </c>
      <c r="G911" s="19" t="n">
        <f aca="false">G906-G910</f>
        <v>714.874682292741</v>
      </c>
    </row>
    <row r="912" customFormat="false" ht="15" hidden="false" customHeight="false" outlineLevel="0" collapsed="false">
      <c r="A912" s="4" t="s">
        <v>367</v>
      </c>
      <c r="B912" s="0" t="s">
        <v>52</v>
      </c>
      <c r="C912" s="14" t="n">
        <f aca="false">C911/C897</f>
        <v>0.0319905764518663</v>
      </c>
      <c r="D912" s="14" t="n">
        <f aca="false">D911/D897</f>
        <v>0.0377556858359561</v>
      </c>
      <c r="E912" s="14" t="n">
        <f aca="false">E911/E897</f>
        <v>0.0413082049311694</v>
      </c>
      <c r="F912" s="14" t="n">
        <f aca="false">F911/F897</f>
        <v>0.0451511412681592</v>
      </c>
      <c r="G912" s="14" t="n">
        <f aca="false">G911/G897</f>
        <v>0.0472000815201496</v>
      </c>
    </row>
    <row r="913" customFormat="false" ht="17.15" hidden="false" customHeight="false" outlineLevel="0" collapsed="false">
      <c r="A913" s="4" t="s">
        <v>243</v>
      </c>
      <c r="B913" s="0" t="s">
        <v>52</v>
      </c>
      <c r="C913" s="15" t="n">
        <f aca="false">a25_ni/a25_oi</f>
        <v>0.730467589681471</v>
      </c>
      <c r="D913" s="15" t="n">
        <f aca="false">a26_ni/a26_oi</f>
        <v>0.653811645064191</v>
      </c>
      <c r="E913" s="15" t="n">
        <f aca="false">nio_f_lo</f>
        <v>0.6</v>
      </c>
      <c r="F913" s="15" t="n">
        <f aca="false">nio_f_lo</f>
        <v>0.6</v>
      </c>
      <c r="G913" s="15" t="n">
        <f aca="false">nio_f_lo</f>
        <v>0.6</v>
      </c>
    </row>
    <row r="914" customFormat="false" ht="15" hidden="false" customHeight="false" outlineLevel="0" collapsed="false">
      <c r="A914" s="4" t="s">
        <v>368</v>
      </c>
      <c r="B914" s="0" t="s">
        <v>209</v>
      </c>
      <c r="C914" s="19" t="n">
        <f aca="false">a25_ni</f>
        <v>189.354</v>
      </c>
      <c r="D914" s="19" t="n">
        <f aca="false">a26_ni</f>
        <v>275.25708735</v>
      </c>
      <c r="E914" s="19" t="n">
        <f aca="false">E911*E913</f>
        <v>340.417154037988</v>
      </c>
      <c r="F914" s="19" t="n">
        <f aca="false">F911*F913</f>
        <v>400.342395318879</v>
      </c>
      <c r="G914" s="19" t="n">
        <f aca="false">G911*G913</f>
        <v>428.924809375644</v>
      </c>
    </row>
    <row r="915" customFormat="false" ht="15" hidden="false" customHeight="false" outlineLevel="0" collapsed="false">
      <c r="A915" s="4" t="s">
        <v>476</v>
      </c>
      <c r="B915" s="4" t="s">
        <v>230</v>
      </c>
      <c r="C915" s="23" t="n">
        <f aca="false">a25_sh</f>
        <v>13.9128581925055</v>
      </c>
      <c r="D915" s="23" t="n">
        <f aca="false">a26_sh</f>
        <v>14.0169642857143</v>
      </c>
      <c r="E915" s="23" t="n">
        <f aca="false">D915*(1+sh_g)</f>
        <v>14.0169642857143</v>
      </c>
      <c r="F915" s="23" t="n">
        <f aca="false">E915*(1+sh_g)</f>
        <v>14.0169642857143</v>
      </c>
      <c r="G915" s="23" t="n">
        <f aca="false">F915*(1+sh_g)</f>
        <v>14.0169642857143</v>
      </c>
    </row>
    <row r="916" customFormat="false" ht="15" hidden="false" customHeight="false" outlineLevel="0" collapsed="false">
      <c r="A916" s="0" t="s">
        <v>374</v>
      </c>
      <c r="B916" s="0" t="s">
        <v>260</v>
      </c>
      <c r="C916" s="22" t="n">
        <f aca="false">C914/C915</f>
        <v>13.61</v>
      </c>
      <c r="D916" s="22" t="n">
        <f aca="false">D914/D915</f>
        <v>19.6374251756163</v>
      </c>
      <c r="E916" s="22" t="n">
        <f aca="false">E914/E915</f>
        <v>24.2860827137108</v>
      </c>
      <c r="F916" s="22" t="n">
        <f aca="false">F914/F915</f>
        <v>28.5612766900532</v>
      </c>
      <c r="G916" s="22" t="n">
        <f aca="false">G914/G915</f>
        <v>30.6004068093969</v>
      </c>
    </row>
    <row r="917" customFormat="false" ht="17.15" hidden="false" customHeight="false" outlineLevel="0" collapsed="false">
      <c r="A917" s="0" t="s">
        <v>477</v>
      </c>
      <c r="B917" s="0" t="s">
        <v>52</v>
      </c>
      <c r="D917" s="15" t="n">
        <f aca="false">D916/C916-1</f>
        <v>0.442867389832203</v>
      </c>
      <c r="E917" s="15" t="n">
        <f aca="false">E916/D916-1</f>
        <v>0.236724392150289</v>
      </c>
      <c r="F917" s="15" t="n">
        <f aca="false">F916/E916-1</f>
        <v>0.176034728479647</v>
      </c>
      <c r="G917" s="15" t="n">
        <f aca="false">G916/F916-1</f>
        <v>0.0713949219242658</v>
      </c>
    </row>
    <row r="920" customFormat="false" ht="17.15" hidden="false" customHeight="false" outlineLevel="0" collapsed="false">
      <c r="A920" s="1" t="s">
        <v>804</v>
      </c>
    </row>
    <row r="921" customFormat="false" ht="17.15" hidden="false" customHeight="false" outlineLevel="0" collapsed="false">
      <c r="A921" s="5" t="s">
        <v>21</v>
      </c>
      <c r="B921" s="5" t="s">
        <v>22</v>
      </c>
      <c r="C921" s="11" t="s">
        <v>347</v>
      </c>
      <c r="D921" s="11" t="s">
        <v>429</v>
      </c>
      <c r="E921" s="11" t="s">
        <v>430</v>
      </c>
      <c r="F921" s="11" t="s">
        <v>431</v>
      </c>
      <c r="G921" s="11" t="s">
        <v>432</v>
      </c>
      <c r="H921" s="5" t="s">
        <v>400</v>
      </c>
    </row>
    <row r="922" customFormat="false" ht="17.15" hidden="false" customHeight="false" outlineLevel="0" collapsed="false">
      <c r="A922" s="6" t="s">
        <v>446</v>
      </c>
    </row>
    <row r="923" customFormat="false" ht="17.15" hidden="false" customHeight="false" outlineLevel="0" collapsed="false">
      <c r="A923" s="0" t="s">
        <v>447</v>
      </c>
      <c r="B923" s="0" t="s">
        <v>32</v>
      </c>
      <c r="D923" s="22" t="n">
        <f aca="false">itc_26*1</f>
        <v>781.872916666666</v>
      </c>
      <c r="E923" s="22" t="n">
        <f aca="false">itc_27*1*1</f>
        <v>1565.35</v>
      </c>
      <c r="F923" s="22" t="n">
        <f aca="false">itc_28*um28_A*1</f>
        <v>1984.26388888889</v>
      </c>
      <c r="G923" s="22" t="n">
        <f aca="false">itc_29*um29_A*1</f>
        <v>2260.39027777778</v>
      </c>
    </row>
    <row r="924" customFormat="false" ht="17.15" hidden="false" customHeight="false" outlineLevel="0" collapsed="false">
      <c r="A924" s="4" t="s">
        <v>448</v>
      </c>
      <c r="B924" s="0" t="s">
        <v>32</v>
      </c>
      <c r="D924" s="22" t="n">
        <f aca="false">itpg_gb*(1-vr26)+itpg_vr*vr26</f>
        <v>33.41403216</v>
      </c>
      <c r="E924" s="22" t="n">
        <f aca="false">itpg_vr</f>
        <v>37.586352</v>
      </c>
      <c r="F924" s="22" t="n">
        <f aca="false">itpg_vr</f>
        <v>37.586352</v>
      </c>
      <c r="G924" s="22" t="n">
        <f aca="false">itpg_vr</f>
        <v>37.586352</v>
      </c>
    </row>
    <row r="925" customFormat="false" ht="17.15" hidden="false" customHeight="false" outlineLevel="0" collapsed="false">
      <c r="A925" s="4" t="s">
        <v>449</v>
      </c>
      <c r="B925" s="0" t="s">
        <v>402</v>
      </c>
      <c r="D925" s="18" t="n">
        <f aca="false">D923/D924</f>
        <v>23.3995380420639</v>
      </c>
      <c r="E925" s="18" t="n">
        <f aca="false">E923/E924</f>
        <v>41.6467658260637</v>
      </c>
      <c r="F925" s="18" t="n">
        <f aca="false">F923/F924</f>
        <v>52.792138191248</v>
      </c>
      <c r="G925" s="18" t="n">
        <f aca="false">G923/G924</f>
        <v>60.1385917361116</v>
      </c>
    </row>
    <row r="926" customFormat="false" ht="17.15" hidden="false" customHeight="false" outlineLevel="0" collapsed="false">
      <c r="A926" s="4" t="s">
        <v>404</v>
      </c>
      <c r="B926" s="0" t="s">
        <v>405</v>
      </c>
      <c r="D926" s="16" t="n">
        <f aca="false">(racks_gb*odm_gb*(1-vr26)+racks_vr*odm_vr*vr26)/1000</f>
        <v>27.1209</v>
      </c>
      <c r="E926" s="16" t="n">
        <f aca="false">racks_vr*odm_vr/1000</f>
        <v>27.351</v>
      </c>
      <c r="F926" s="16" t="n">
        <f aca="false">$E926*vpg_28</f>
        <v>27.351</v>
      </c>
      <c r="G926" s="16" t="n">
        <f aca="false">$E926*vpg_29</f>
        <v>27.351</v>
      </c>
      <c r="H926" s="4" t="s">
        <v>450</v>
      </c>
    </row>
    <row r="927" customFormat="false" ht="17.15" hidden="false" customHeight="false" outlineLevel="0" collapsed="false">
      <c r="A927" s="0" t="s">
        <v>451</v>
      </c>
      <c r="B927" s="0" t="s">
        <v>32</v>
      </c>
      <c r="D927" s="19" t="n">
        <f aca="false">D925*D926</f>
        <v>634.61653128501</v>
      </c>
      <c r="E927" s="19" t="n">
        <f aca="false">E925*E926</f>
        <v>1139.08069210867</v>
      </c>
      <c r="F927" s="19" t="n">
        <f aca="false">F925*F926</f>
        <v>1443.91777166882</v>
      </c>
      <c r="G927" s="19" t="n">
        <f aca="false">G925*G926</f>
        <v>1644.85062257439</v>
      </c>
    </row>
    <row r="928" customFormat="false" ht="17.15" hidden="false" customHeight="false" outlineLevel="0" collapsed="false">
      <c r="A928" s="0" t="s">
        <v>452</v>
      </c>
      <c r="B928" s="0" t="s">
        <v>209</v>
      </c>
      <c r="D928" s="19" t="n">
        <f aca="false">D927*fx</f>
        <v>20307.7290011203</v>
      </c>
      <c r="E928" s="19" t="n">
        <f aca="false">E927*fx</f>
        <v>36450.5821474774</v>
      </c>
      <c r="F928" s="19" t="n">
        <f aca="false">F927*fx</f>
        <v>46205.3686934024</v>
      </c>
      <c r="G928" s="19" t="n">
        <f aca="false">G927*fx</f>
        <v>52635.2199223804</v>
      </c>
    </row>
    <row r="929" customFormat="false" ht="17.15" hidden="false" customHeight="false" outlineLevel="0" collapsed="false">
      <c r="A929" s="4" t="s">
        <v>453</v>
      </c>
      <c r="B929" s="0" t="s">
        <v>52</v>
      </c>
      <c r="D929" s="15" t="n">
        <f aca="false">a26_ai/D928</f>
        <v>0.174610057569922</v>
      </c>
      <c r="H929" s="8" t="s">
        <v>454</v>
      </c>
    </row>
    <row r="930" customFormat="false" ht="17.15" hidden="false" customHeight="false" outlineLevel="0" collapsed="false">
      <c r="A930" s="4" t="s">
        <v>455</v>
      </c>
      <c r="B930" s="0" t="s">
        <v>71</v>
      </c>
      <c r="D930" s="16" t="n">
        <f aca="false">1</f>
        <v>1</v>
      </c>
      <c r="E930" s="16" t="n">
        <f aca="false">rel_27</f>
        <v>1</v>
      </c>
      <c r="F930" s="16" t="n">
        <f aca="false">rel_28</f>
        <v>1</v>
      </c>
      <c r="G930" s="16" t="n">
        <f aca="false">rel_29</f>
        <v>0.95</v>
      </c>
    </row>
    <row r="931" customFormat="false" ht="15" hidden="false" customHeight="false" outlineLevel="0" collapsed="false">
      <c r="A931" s="4" t="s">
        <v>456</v>
      </c>
      <c r="B931" s="0" t="s">
        <v>52</v>
      </c>
      <c r="D931" s="15" t="n">
        <f aca="false">$D$929*D930</f>
        <v>0.174610057569922</v>
      </c>
      <c r="E931" s="15" t="n">
        <f aca="false">$D$929*E930</f>
        <v>0.174610057569922</v>
      </c>
      <c r="F931" s="15" t="n">
        <f aca="false">$D$929*F930</f>
        <v>0.174610057569922</v>
      </c>
      <c r="G931" s="15" t="n">
        <f aca="false">$D$929*G930</f>
        <v>0.165879554691426</v>
      </c>
    </row>
    <row r="932" customFormat="false" ht="17.15" hidden="false" customHeight="false" outlineLevel="0" collapsed="false">
      <c r="A932" s="0" t="s">
        <v>457</v>
      </c>
      <c r="B932" s="0" t="s">
        <v>209</v>
      </c>
      <c r="D932" s="19" t="n">
        <f aca="false">D928*D931</f>
        <v>3545.93373</v>
      </c>
      <c r="E932" s="19" t="n">
        <f aca="false">E928*E931</f>
        <v>6364.6382472282</v>
      </c>
      <c r="F932" s="19" t="n">
        <f aca="false">F928*F931</f>
        <v>8067.92208759447</v>
      </c>
      <c r="G932" s="19" t="n">
        <f aca="false">G928*G931</f>
        <v>8731.10684180974</v>
      </c>
    </row>
    <row r="933" customFormat="false" ht="17.15" hidden="false" customHeight="false" outlineLevel="0" collapsed="false">
      <c r="A933" s="4" t="s">
        <v>458</v>
      </c>
      <c r="B933" s="0" t="s">
        <v>52</v>
      </c>
      <c r="D933" s="15" t="n">
        <f aca="false">0</f>
        <v>0</v>
      </c>
      <c r="E933" s="15" t="n">
        <f aca="false">cs_27</f>
        <v>0.1</v>
      </c>
      <c r="F933" s="15" t="n">
        <f aca="false">cs_28</f>
        <v>0.2</v>
      </c>
      <c r="G933" s="15" t="n">
        <f aca="false">cs_29</f>
        <v>0.25</v>
      </c>
      <c r="H933" s="8" t="s">
        <v>459</v>
      </c>
    </row>
    <row r="934" customFormat="false" ht="17.15" hidden="false" customHeight="false" outlineLevel="0" collapsed="false">
      <c r="A934" s="0" t="s">
        <v>460</v>
      </c>
      <c r="B934" s="0" t="s">
        <v>209</v>
      </c>
      <c r="C934" s="19" t="n">
        <f aca="false">a25_ai</f>
        <v>1620.621</v>
      </c>
      <c r="D934" s="19" t="n">
        <f aca="false">D932*(1-D933)</f>
        <v>3545.93373</v>
      </c>
      <c r="E934" s="19" t="n">
        <f aca="false">E932*(1-E933)</f>
        <v>5728.17442250538</v>
      </c>
      <c r="F934" s="19" t="n">
        <f aca="false">F932*(1-F933)</f>
        <v>6454.33767007557</v>
      </c>
      <c r="G934" s="19" t="n">
        <f aca="false">G932*(1-G933)</f>
        <v>6548.3301313573</v>
      </c>
    </row>
    <row r="935" customFormat="false" ht="17.15" hidden="false" customHeight="false" outlineLevel="0" collapsed="false">
      <c r="A935" s="6" t="s">
        <v>461</v>
      </c>
    </row>
    <row r="936" customFormat="false" ht="17.15" hidden="false" customHeight="false" outlineLevel="0" collapsed="false">
      <c r="A936" s="4" t="s">
        <v>382</v>
      </c>
      <c r="B936" s="0" t="s">
        <v>209</v>
      </c>
      <c r="C936" s="19" t="n">
        <f aca="false">a25_cn</f>
        <v>1620.621</v>
      </c>
      <c r="D936" s="19" t="n">
        <f aca="false">a26_cn</f>
        <v>2363.95582</v>
      </c>
      <c r="E936" s="19" t="n">
        <f aca="false">D936*(1+g_cn27)</f>
        <v>2647.6305184</v>
      </c>
      <c r="F936" s="19" t="n">
        <f aca="false">E936*(1+g_cn28)</f>
        <v>2859.440959872</v>
      </c>
      <c r="G936" s="19" t="n">
        <f aca="false">F936*(1+g_cn29)</f>
        <v>3031.00741746432</v>
      </c>
    </row>
    <row r="937" customFormat="false" ht="17.15" hidden="false" customHeight="false" outlineLevel="0" collapsed="false">
      <c r="A937" s="4" t="s">
        <v>383</v>
      </c>
      <c r="B937" s="0" t="s">
        <v>209</v>
      </c>
      <c r="C937" s="19" t="n">
        <f aca="false">a25_ce</f>
        <v>3079.1799</v>
      </c>
      <c r="D937" s="19" t="n">
        <f aca="false">a26_ce</f>
        <v>3345.2205</v>
      </c>
      <c r="E937" s="19" t="n">
        <f aca="false">D937*(1+g_ce27)</f>
        <v>3445.577115</v>
      </c>
      <c r="F937" s="19" t="n">
        <f aca="false">E937*(1+g_ce28)</f>
        <v>3514.4886573</v>
      </c>
      <c r="G937" s="19" t="n">
        <f aca="false">F937*(1+g_ce29)</f>
        <v>3584.778430446</v>
      </c>
    </row>
    <row r="938" customFormat="false" ht="15" hidden="false" customHeight="false" outlineLevel="0" collapsed="false">
      <c r="A938" s="4" t="s">
        <v>384</v>
      </c>
      <c r="B938" s="0" t="s">
        <v>209</v>
      </c>
      <c r="C938" s="19" t="n">
        <f aca="false">a25_pc</f>
        <v>1215.46575</v>
      </c>
      <c r="D938" s="19" t="n">
        <f aca="false">a26_pc</f>
        <v>1338.0882</v>
      </c>
      <c r="E938" s="19" t="n">
        <f aca="false">D938*(1+g_pc27)</f>
        <v>1311.326436</v>
      </c>
      <c r="F938" s="19" t="n">
        <f aca="false">E938*(1+g_pc28)</f>
        <v>1311.326436</v>
      </c>
      <c r="G938" s="19" t="n">
        <f aca="false">F938*(1+g_pc29)</f>
        <v>1311.326436</v>
      </c>
    </row>
    <row r="939" customFormat="false" ht="15" hidden="false" customHeight="false" outlineLevel="0" collapsed="false">
      <c r="A939" s="4" t="s">
        <v>462</v>
      </c>
      <c r="B939" s="0" t="s">
        <v>209</v>
      </c>
      <c r="C939" s="19" t="n">
        <f aca="false">a25_co</f>
        <v>567.217349999999</v>
      </c>
      <c r="D939" s="19" t="n">
        <f aca="false">a26_co</f>
        <v>557.53675</v>
      </c>
      <c r="E939" s="19" t="n">
        <f aca="false">D939*(1+g_co27)</f>
        <v>602.13969</v>
      </c>
      <c r="F939" s="19" t="n">
        <f aca="false">E939*(1+g_co28)</f>
        <v>638.2680714</v>
      </c>
      <c r="G939" s="19" t="n">
        <f aca="false">F939*(1+g_co29)</f>
        <v>670.18147497</v>
      </c>
    </row>
    <row r="940" customFormat="false" ht="17.15" hidden="false" customHeight="false" outlineLevel="0" collapsed="false">
      <c r="A940" s="4" t="s">
        <v>387</v>
      </c>
      <c r="B940" s="0" t="s">
        <v>209</v>
      </c>
      <c r="C940" s="19" t="n">
        <f aca="false">SUM(C936:C939)</f>
        <v>6482.484</v>
      </c>
      <c r="D940" s="19" t="n">
        <f aca="false">SUM(D936:D939)</f>
        <v>7604.80127</v>
      </c>
      <c r="E940" s="19" t="n">
        <f aca="false">SUM(E936:E939)</f>
        <v>8006.6737594</v>
      </c>
      <c r="F940" s="19" t="n">
        <f aca="false">SUM(F936:F939)</f>
        <v>8323.524124572</v>
      </c>
      <c r="G940" s="19" t="n">
        <f aca="false">SUM(G936:G939)</f>
        <v>8597.29375888032</v>
      </c>
    </row>
    <row r="941" customFormat="false" ht="15" hidden="false" customHeight="false" outlineLevel="0" collapsed="false">
      <c r="A941" s="4" t="s">
        <v>353</v>
      </c>
      <c r="B941" s="0" t="s">
        <v>209</v>
      </c>
      <c r="C941" s="19" t="n">
        <f aca="false">C934+C940</f>
        <v>8103.105</v>
      </c>
      <c r="D941" s="19" t="n">
        <f aca="false">D934+D940</f>
        <v>11150.735</v>
      </c>
      <c r="E941" s="19" t="n">
        <f aca="false">E934+E940</f>
        <v>13734.8481819054</v>
      </c>
      <c r="F941" s="19" t="n">
        <f aca="false">F934+F940</f>
        <v>14777.8617946476</v>
      </c>
      <c r="G941" s="19" t="n">
        <f aca="false">G934+G940</f>
        <v>15145.6238902376</v>
      </c>
    </row>
    <row r="942" customFormat="false" ht="15" hidden="false" customHeight="false" outlineLevel="0" collapsed="false">
      <c r="A942" s="4" t="s">
        <v>463</v>
      </c>
      <c r="B942" s="0" t="s">
        <v>52</v>
      </c>
      <c r="D942" s="15" t="n">
        <f aca="false">D941/C941-1</f>
        <v>0.376106443147411</v>
      </c>
      <c r="E942" s="15" t="n">
        <f aca="false">E941/D941-1</f>
        <v>0.231743753385349</v>
      </c>
      <c r="F942" s="15" t="n">
        <f aca="false">F941/E941-1</f>
        <v>0.0759392167229256</v>
      </c>
      <c r="G942" s="15" t="n">
        <f aca="false">G941/F941-1</f>
        <v>0.0248860153586801</v>
      </c>
    </row>
    <row r="943" customFormat="false" ht="17.15" hidden="false" customHeight="false" outlineLevel="0" collapsed="false">
      <c r="A943" s="0" t="s">
        <v>464</v>
      </c>
      <c r="B943" s="0" t="s">
        <v>52</v>
      </c>
      <c r="C943" s="15" t="n">
        <f aca="false">C934/C941</f>
        <v>0.2</v>
      </c>
      <c r="D943" s="15" t="n">
        <f aca="false">D934/D941</f>
        <v>0.318</v>
      </c>
      <c r="E943" s="15" t="n">
        <f aca="false">E934/E941</f>
        <v>0.417054076364078</v>
      </c>
      <c r="F943" s="15" t="n">
        <f aca="false">F934/F941</f>
        <v>0.436757208841491</v>
      </c>
      <c r="G943" s="15" t="n">
        <f aca="false">G934/G941</f>
        <v>0.43235789947076</v>
      </c>
    </row>
    <row r="944" customFormat="false" ht="17.15" hidden="false" customHeight="false" outlineLevel="0" collapsed="false">
      <c r="A944" s="4" t="s">
        <v>465</v>
      </c>
      <c r="B944" s="0" t="s">
        <v>52</v>
      </c>
      <c r="C944" s="15" t="n">
        <f aca="false">(C934+C936)/C941</f>
        <v>0.4</v>
      </c>
      <c r="D944" s="15" t="n">
        <f aca="false">(D934+D936)/D941</f>
        <v>0.53</v>
      </c>
      <c r="E944" s="15" t="n">
        <f aca="false">(E934+E936)/E941</f>
        <v>0.609821443235162</v>
      </c>
      <c r="F944" s="15" t="n">
        <f aca="false">(F934+F936)/F941</f>
        <v>0.630252113558198</v>
      </c>
      <c r="G944" s="15" t="n">
        <f aca="false">(G934+G936)/G941</f>
        <v>0.632482202003983</v>
      </c>
    </row>
    <row r="945" customFormat="false" ht="17.15" hidden="false" customHeight="false" outlineLevel="0" collapsed="false">
      <c r="A945" s="4" t="s">
        <v>418</v>
      </c>
      <c r="B945" s="0" t="s">
        <v>405</v>
      </c>
      <c r="D945" s="16" t="n">
        <f aca="false">D934/fx/D925</f>
        <v>4.7355819103481</v>
      </c>
      <c r="E945" s="16" t="n">
        <f aca="false">E934/fx/E925</f>
        <v>4.29818371613545</v>
      </c>
      <c r="F945" s="16" t="n">
        <f aca="false">F934/fx/F925</f>
        <v>3.82060774767595</v>
      </c>
      <c r="G945" s="16" t="n">
        <f aca="false">G934/fx/G925</f>
        <v>3.4027287752739</v>
      </c>
    </row>
    <row r="946" customFormat="false" ht="17.15" hidden="false" customHeight="false" outlineLevel="0" collapsed="false">
      <c r="A946" s="4" t="s">
        <v>466</v>
      </c>
      <c r="B946" s="4" t="s">
        <v>416</v>
      </c>
      <c r="D946" s="19" t="n">
        <f aca="false">D932/fx/(odm_gb*(1-vr26)+odm_vr*vr26)</f>
        <v>24.0630682003257</v>
      </c>
      <c r="E946" s="19" t="n">
        <f aca="false">E932/fx/odm_vr</f>
        <v>29.4659178112417</v>
      </c>
      <c r="F946" s="19" t="n">
        <f aca="false">F932/fx/odm_vr</f>
        <v>37.3514911462707</v>
      </c>
      <c r="G946" s="19" t="n">
        <f aca="false">G932/fx/odm_vr</f>
        <v>40.4217909343043</v>
      </c>
      <c r="H946" s="4" t="s">
        <v>467</v>
      </c>
    </row>
    <row r="947" customFormat="false" ht="17.15" hidden="false" customHeight="false" outlineLevel="0" collapsed="false">
      <c r="A947" s="6" t="s">
        <v>468</v>
      </c>
    </row>
    <row r="948" customFormat="false" ht="17.15" hidden="false" customHeight="false" outlineLevel="0" collapsed="false">
      <c r="A948" s="4" t="s">
        <v>469</v>
      </c>
      <c r="B948" s="0" t="s">
        <v>52</v>
      </c>
      <c r="D948" s="14" t="n">
        <f aca="false">a26_gp/D941-d_ai*D943</f>
        <v>0.0621989258510762</v>
      </c>
      <c r="H948" s="8" t="s">
        <v>470</v>
      </c>
    </row>
    <row r="949" customFormat="false" ht="17.15" hidden="false" customHeight="false" outlineLevel="0" collapsed="false">
      <c r="A949" s="0" t="s">
        <v>471</v>
      </c>
      <c r="B949" s="0" t="s">
        <v>209</v>
      </c>
      <c r="D949" s="22" t="n">
        <f aca="false">($D$948+d_ai)*D932*(1-D933*(1-keep))</f>
        <v>202.8236004951</v>
      </c>
      <c r="E949" s="22" t="n">
        <f aca="false">($D$948+d_ai+vrd)*E932*(1-E933*(1-keep))</f>
        <v>347.807982730896</v>
      </c>
      <c r="F949" s="22" t="n">
        <f aca="false">($D$948+d_ai+vrd)*F932*(1-F933*(1-keep))</f>
        <v>436.433820423679</v>
      </c>
      <c r="G949" s="22" t="n">
        <f aca="false">($D$948+d_ai+vrd)*G932*(1-G933*(1-keep))</f>
        <v>469.899026179908</v>
      </c>
      <c r="H949" s="4" t="s">
        <v>472</v>
      </c>
    </row>
    <row r="950" customFormat="false" ht="15" hidden="false" customHeight="false" outlineLevel="0" collapsed="false">
      <c r="A950" s="4" t="s">
        <v>357</v>
      </c>
      <c r="B950" s="0" t="s">
        <v>209</v>
      </c>
      <c r="C950" s="19" t="n">
        <f aca="false">a25_gp</f>
        <v>498.161</v>
      </c>
      <c r="D950" s="19" t="n">
        <f aca="false">a26_gp</f>
        <v>675.8340708</v>
      </c>
      <c r="E950" s="19" t="n">
        <f aca="false">$D$948*E940+E949</f>
        <v>845.814490205574</v>
      </c>
      <c r="F950" s="19" t="n">
        <f aca="false">$D$948*F940+F949</f>
        <v>954.148080267577</v>
      </c>
      <c r="G950" s="19" t="n">
        <f aca="false">$D$948*G940+G949</f>
        <v>1004.64146320842</v>
      </c>
    </row>
    <row r="951" customFormat="false" ht="15" hidden="false" customHeight="false" outlineLevel="0" collapsed="false">
      <c r="A951" s="4" t="s">
        <v>360</v>
      </c>
      <c r="B951" s="0" t="s">
        <v>52</v>
      </c>
      <c r="C951" s="14" t="n">
        <f aca="false">C950/C941</f>
        <v>0.0614777915379352</v>
      </c>
      <c r="D951" s="14" t="n">
        <f aca="false">D950/D941</f>
        <v>0.0606089258510762</v>
      </c>
      <c r="E951" s="14" t="n">
        <f aca="false">E950/E941</f>
        <v>0.0615816410202386</v>
      </c>
      <c r="F951" s="14" t="n">
        <f aca="false">F950/F941</f>
        <v>0.0645660443659828</v>
      </c>
      <c r="G951" s="14" t="n">
        <f aca="false">G950/G941</f>
        <v>0.0663321280449849</v>
      </c>
    </row>
    <row r="952" customFormat="false" ht="17.15" hidden="false" customHeight="false" outlineLevel="0" collapsed="false">
      <c r="A952" s="0" t="s">
        <v>473</v>
      </c>
      <c r="B952" s="0" t="s">
        <v>52</v>
      </c>
      <c r="D952" s="14" t="n">
        <f aca="false">D949/D934</f>
        <v>0.0571989258510762</v>
      </c>
      <c r="E952" s="14" t="n">
        <f aca="false">E949/E934</f>
        <v>0.0607188184361838</v>
      </c>
      <c r="F952" s="14" t="n">
        <f aca="false">F949/F934</f>
        <v>0.0676186841675683</v>
      </c>
      <c r="G952" s="14" t="n">
        <f aca="false">G949/G934</f>
        <v>0.0717586036063991</v>
      </c>
      <c r="H952" s="4" t="s">
        <v>474</v>
      </c>
    </row>
    <row r="953" customFormat="false" ht="15" hidden="false" customHeight="false" outlineLevel="0" collapsed="false">
      <c r="A953" s="4" t="s">
        <v>475</v>
      </c>
      <c r="B953" s="0" t="s">
        <v>209</v>
      </c>
      <c r="C953" s="19" t="n">
        <f aca="false">a25_opx</f>
        <v>238.938</v>
      </c>
      <c r="D953" s="19" t="n">
        <f aca="false">a26_opx</f>
        <v>254.8304233</v>
      </c>
      <c r="E953" s="19" t="n">
        <f aca="false">D953*(1+MAX(0,phi*E942))</f>
        <v>278.452566808928</v>
      </c>
      <c r="F953" s="19" t="n">
        <f aca="false">E953*(1+MAX(0,phi*F942))</f>
        <v>286.910754736111</v>
      </c>
      <c r="G953" s="19" t="n">
        <f aca="false">F953*(1+MAX(0,phi*G942))</f>
        <v>289.766780915684</v>
      </c>
    </row>
    <row r="954" customFormat="false" ht="15" hidden="false" customHeight="false" outlineLevel="0" collapsed="false">
      <c r="A954" s="4" t="s">
        <v>361</v>
      </c>
      <c r="B954" s="0" t="s">
        <v>209</v>
      </c>
      <c r="C954" s="19" t="n">
        <f aca="false">C953</f>
        <v>238.938</v>
      </c>
      <c r="D954" s="19" t="n">
        <f aca="false">D953</f>
        <v>254.8304233</v>
      </c>
      <c r="E954" s="19" t="n">
        <f aca="false">E953+0*E941</f>
        <v>278.452566808928</v>
      </c>
      <c r="F954" s="19" t="n">
        <f aca="false">F953+0*F941</f>
        <v>286.910754736111</v>
      </c>
      <c r="G954" s="19" t="n">
        <f aca="false">G953+0*G941</f>
        <v>289.766780915684</v>
      </c>
    </row>
    <row r="955" customFormat="false" ht="15" hidden="false" customHeight="false" outlineLevel="0" collapsed="false">
      <c r="A955" s="4" t="s">
        <v>364</v>
      </c>
      <c r="B955" s="0" t="s">
        <v>209</v>
      </c>
      <c r="C955" s="19" t="n">
        <f aca="false">C950-C954</f>
        <v>259.223</v>
      </c>
      <c r="D955" s="19" t="n">
        <f aca="false">D950-D954</f>
        <v>421.0036475</v>
      </c>
      <c r="E955" s="19" t="n">
        <f aca="false">E950-E954</f>
        <v>567.361923396647</v>
      </c>
      <c r="F955" s="19" t="n">
        <f aca="false">F950-F954</f>
        <v>667.237325531466</v>
      </c>
      <c r="G955" s="19" t="n">
        <f aca="false">G950-G954</f>
        <v>714.874682292741</v>
      </c>
    </row>
    <row r="956" customFormat="false" ht="15" hidden="false" customHeight="false" outlineLevel="0" collapsed="false">
      <c r="A956" s="4" t="s">
        <v>367</v>
      </c>
      <c r="B956" s="0" t="s">
        <v>52</v>
      </c>
      <c r="C956" s="14" t="n">
        <f aca="false">C955/C941</f>
        <v>0.0319905764518663</v>
      </c>
      <c r="D956" s="14" t="n">
        <f aca="false">D955/D941</f>
        <v>0.0377556858359561</v>
      </c>
      <c r="E956" s="14" t="n">
        <f aca="false">E955/E941</f>
        <v>0.0413082049311694</v>
      </c>
      <c r="F956" s="14" t="n">
        <f aca="false">F955/F941</f>
        <v>0.0451511412681592</v>
      </c>
      <c r="G956" s="14" t="n">
        <f aca="false">G955/G941</f>
        <v>0.0472000815201496</v>
      </c>
    </row>
    <row r="957" customFormat="false" ht="17.15" hidden="false" customHeight="false" outlineLevel="0" collapsed="false">
      <c r="A957" s="4" t="s">
        <v>243</v>
      </c>
      <c r="B957" s="0" t="s">
        <v>52</v>
      </c>
      <c r="C957" s="15" t="n">
        <f aca="false">a25_ni/a25_oi</f>
        <v>0.730467589681471</v>
      </c>
      <c r="D957" s="15" t="n">
        <f aca="false">a26_ni/a26_oi</f>
        <v>0.653811645064191</v>
      </c>
      <c r="E957" s="15" t="n">
        <f aca="false">nio_f_hi</f>
        <v>0.73</v>
      </c>
      <c r="F957" s="15" t="n">
        <f aca="false">nio_f_hi</f>
        <v>0.73</v>
      </c>
      <c r="G957" s="15" t="n">
        <f aca="false">nio_f_hi</f>
        <v>0.73</v>
      </c>
    </row>
    <row r="958" customFormat="false" ht="15" hidden="false" customHeight="false" outlineLevel="0" collapsed="false">
      <c r="A958" s="4" t="s">
        <v>368</v>
      </c>
      <c r="B958" s="0" t="s">
        <v>209</v>
      </c>
      <c r="C958" s="19" t="n">
        <f aca="false">a25_ni</f>
        <v>189.354</v>
      </c>
      <c r="D958" s="19" t="n">
        <f aca="false">a26_ni</f>
        <v>275.25708735</v>
      </c>
      <c r="E958" s="19" t="n">
        <f aca="false">E955*E957</f>
        <v>414.174204079552</v>
      </c>
      <c r="F958" s="19" t="n">
        <f aca="false">F955*F957</f>
        <v>487.08324763797</v>
      </c>
      <c r="G958" s="19" t="n">
        <f aca="false">G955*G957</f>
        <v>521.858518073701</v>
      </c>
    </row>
    <row r="959" customFormat="false" ht="15" hidden="false" customHeight="false" outlineLevel="0" collapsed="false">
      <c r="A959" s="4" t="s">
        <v>476</v>
      </c>
      <c r="B959" s="4" t="s">
        <v>230</v>
      </c>
      <c r="C959" s="23" t="n">
        <f aca="false">a25_sh</f>
        <v>13.9128581925055</v>
      </c>
      <c r="D959" s="23" t="n">
        <f aca="false">a26_sh</f>
        <v>14.0169642857143</v>
      </c>
      <c r="E959" s="23" t="n">
        <f aca="false">D959*(1+sh_g)</f>
        <v>14.0169642857143</v>
      </c>
      <c r="F959" s="23" t="n">
        <f aca="false">E959*(1+sh_g)</f>
        <v>14.0169642857143</v>
      </c>
      <c r="G959" s="23" t="n">
        <f aca="false">F959*(1+sh_g)</f>
        <v>14.0169642857143</v>
      </c>
    </row>
    <row r="960" customFormat="false" ht="15" hidden="false" customHeight="false" outlineLevel="0" collapsed="false">
      <c r="A960" s="0" t="s">
        <v>374</v>
      </c>
      <c r="B960" s="0" t="s">
        <v>260</v>
      </c>
      <c r="C960" s="22" t="n">
        <f aca="false">C958/C959</f>
        <v>13.61</v>
      </c>
      <c r="D960" s="22" t="n">
        <f aca="false">D958/D959</f>
        <v>19.6374251756163</v>
      </c>
      <c r="E960" s="22" t="n">
        <f aca="false">E958/E959</f>
        <v>29.5480673016815</v>
      </c>
      <c r="F960" s="22" t="n">
        <f aca="false">F958/F959</f>
        <v>34.7495533062314</v>
      </c>
      <c r="G960" s="22" t="n">
        <f aca="false">G958/G959</f>
        <v>37.2304949514329</v>
      </c>
    </row>
    <row r="961" customFormat="false" ht="17.15" hidden="false" customHeight="false" outlineLevel="0" collapsed="false">
      <c r="A961" s="0" t="s">
        <v>477</v>
      </c>
      <c r="B961" s="0" t="s">
        <v>52</v>
      </c>
      <c r="D961" s="15" t="n">
        <f aca="false">D960/C960-1</f>
        <v>0.442867389832203</v>
      </c>
      <c r="E961" s="15" t="n">
        <f aca="false">E960/D960-1</f>
        <v>0.504681343782852</v>
      </c>
      <c r="F961" s="15" t="n">
        <f aca="false">F960/E960-1</f>
        <v>0.176034728479647</v>
      </c>
      <c r="G961" s="15" t="n">
        <f aca="false">G960/F960-1</f>
        <v>0.0713949219242658</v>
      </c>
    </row>
    <row r="964" customFormat="false" ht="17.15" hidden="false" customHeight="false" outlineLevel="0" collapsed="false">
      <c r="A964" s="1" t="s">
        <v>805</v>
      </c>
    </row>
    <row r="965" customFormat="false" ht="17.15" hidden="false" customHeight="false" outlineLevel="0" collapsed="false">
      <c r="A965" s="5" t="s">
        <v>725</v>
      </c>
      <c r="B965" s="5" t="s">
        <v>726</v>
      </c>
      <c r="C965" s="11" t="s">
        <v>806</v>
      </c>
      <c r="D965" s="11" t="s">
        <v>807</v>
      </c>
      <c r="E965" s="5" t="s">
        <v>808</v>
      </c>
      <c r="F965" s="5" t="s">
        <v>809</v>
      </c>
    </row>
    <row r="966" customFormat="false" ht="17.15" hidden="false" customHeight="false" outlineLevel="0" collapsed="false">
      <c r="A966" s="4" t="s">
        <v>24</v>
      </c>
      <c r="B966" s="0" t="s">
        <v>810</v>
      </c>
      <c r="C966" s="2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290.306346086781</v>
      </c>
      <c r="D966" s="28" t="n">
        <f aca="false">Val!B116</f>
        <v>409.528230046632</v>
      </c>
      <c r="E966" s="28" t="n">
        <f aca="false">tp_w_dcf*C966+(1-tp_w_dcf)*D966</f>
        <v>349.917288066707</v>
      </c>
      <c r="F966" s="15" t="n">
        <f aca="false">E966/E$966-1</f>
        <v>0</v>
      </c>
    </row>
    <row r="967" customFormat="false" ht="17.15" hidden="false" customHeight="false" outlineLevel="0" collapsed="false">
      <c r="A967" s="4" t="s">
        <v>811</v>
      </c>
      <c r="B967" s="0" t="s">
        <v>812</v>
      </c>
      <c r="C967" s="28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251.473398211961</v>
      </c>
      <c r="D967" s="28" t="n">
        <f aca="false">Val!B116</f>
        <v>409.528230046632</v>
      </c>
      <c r="E967" s="28" t="n">
        <f aca="false">tp_w_dcf*C967+(1-tp_w_dcf)*D967</f>
        <v>330.500814129297</v>
      </c>
      <c r="F967" s="15" t="n">
        <f aca="false">E967/E$966-1</f>
        <v>-0.0554887529126829</v>
      </c>
    </row>
    <row r="968" customFormat="false" ht="17.15" hidden="false" customHeight="false" outlineLevel="0" collapsed="false">
      <c r="A968" s="4" t="s">
        <v>813</v>
      </c>
      <c r="B968" s="0" t="s">
        <v>814</v>
      </c>
      <c r="C968" s="28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344.651766189227</v>
      </c>
      <c r="D968" s="28" t="n">
        <f aca="false">Val!B116</f>
        <v>409.528230046632</v>
      </c>
      <c r="E968" s="28" t="n">
        <f aca="false">tp_w_dcf*C968+(1-tp_w_dcf)*D968</f>
        <v>377.08999811793</v>
      </c>
      <c r="F968" s="15" t="n">
        <f aca="false">E968/E$966-1</f>
        <v>0.0776546657678803</v>
      </c>
    </row>
    <row r="969" customFormat="false" ht="17.15" hidden="false" customHeight="false" outlineLevel="0" collapsed="false">
      <c r="A969" s="4" t="s">
        <v>815</v>
      </c>
      <c r="B969" s="0" t="s">
        <v>816</v>
      </c>
      <c r="C969" s="28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278.801102708132</v>
      </c>
      <c r="D969" s="28" t="n">
        <f aca="false">Val!B116</f>
        <v>409.528230046632</v>
      </c>
      <c r="E969" s="28" t="n">
        <f aca="false">tp_w_dcf*C969+(1-tp_w_dcf)*D969</f>
        <v>344.164666377382</v>
      </c>
      <c r="F969" s="15" t="n">
        <f aca="false">E969/E$966-1</f>
        <v>-0.0164399470546527</v>
      </c>
    </row>
    <row r="970" customFormat="false" ht="17.15" hidden="false" customHeight="false" outlineLevel="0" collapsed="false">
      <c r="A970" s="4" t="s">
        <v>817</v>
      </c>
      <c r="B970" s="0" t="s">
        <v>818</v>
      </c>
      <c r="C970" s="28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301.974660380668</v>
      </c>
      <c r="D970" s="28" t="n">
        <f aca="false">Val!B116</f>
        <v>409.528230046632</v>
      </c>
      <c r="E970" s="28" t="n">
        <f aca="false">tp_w_dcf*C970+(1-tp_w_dcf)*D970</f>
        <v>355.75144521365</v>
      </c>
      <c r="F970" s="15" t="n">
        <f aca="false">E970/E$966-1</f>
        <v>0.0166729605707041</v>
      </c>
    </row>
    <row r="971" customFormat="false" ht="17.15" hidden="false" customHeight="false" outlineLevel="0" collapsed="false">
      <c r="A971" s="0" t="s">
        <v>819</v>
      </c>
      <c r="B971" s="0" t="s">
        <v>820</v>
      </c>
      <c r="C971" s="2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290.306346086781</v>
      </c>
      <c r="D971" s="28" t="n">
        <f aca="false">Val!B116</f>
        <v>409.528230046632</v>
      </c>
      <c r="E971" s="28" t="n">
        <f aca="false">0.4*C971+(1-0.4)*D971</f>
        <v>361.839476462692</v>
      </c>
      <c r="F971" s="15" t="n">
        <f aca="false">E971/E$966-1</f>
        <v>0.0340714471750032</v>
      </c>
    </row>
    <row r="972" customFormat="false" ht="17.15" hidden="false" customHeight="false" outlineLevel="0" collapsed="false">
      <c r="A972" s="0" t="s">
        <v>821</v>
      </c>
      <c r="B972" s="0" t="s">
        <v>822</v>
      </c>
      <c r="C972" s="2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290.306346086781</v>
      </c>
      <c r="D972" s="28" t="n">
        <f aca="false">Val!B116</f>
        <v>409.528230046632</v>
      </c>
      <c r="E972" s="28" t="n">
        <f aca="false">0.8*C972+(1-0.8)*D972</f>
        <v>314.150722878751</v>
      </c>
      <c r="F972" s="15" t="n">
        <f aca="false">E972/E$966-1</f>
        <v>-0.10221434152501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823</v>
      </c>
    </row>
    <row r="2" customFormat="false" ht="17.15" hidden="false" customHeight="false" outlineLevel="0" collapsed="false">
      <c r="A2" s="4" t="s">
        <v>824</v>
      </c>
      <c r="B2" s="0" t="s">
        <v>825</v>
      </c>
    </row>
    <row r="3" customFormat="false" ht="17.15" hidden="false" customHeight="false" outlineLevel="0" collapsed="false">
      <c r="A3" s="4" t="s">
        <v>826</v>
      </c>
      <c r="B3" s="0" t="s">
        <v>827</v>
      </c>
    </row>
    <row r="4" customFormat="false" ht="17.15" hidden="false" customHeight="false" outlineLevel="0" collapsed="false">
      <c r="A4" s="4" t="s">
        <v>828</v>
      </c>
      <c r="B4" s="0" t="s">
        <v>829</v>
      </c>
    </row>
    <row r="5" customFormat="false" ht="17.15" hidden="false" customHeight="false" outlineLevel="0" collapsed="false">
      <c r="A5" s="4" t="s">
        <v>830</v>
      </c>
      <c r="B5" s="0" t="s">
        <v>831</v>
      </c>
    </row>
    <row r="6" customFormat="false" ht="17.15" hidden="false" customHeight="false" outlineLevel="0" collapsed="false">
      <c r="A6" s="4" t="s">
        <v>832</v>
      </c>
      <c r="B6" s="0" t="s">
        <v>833</v>
      </c>
    </row>
    <row r="7" customFormat="false" ht="17.15" hidden="false" customHeight="false" outlineLevel="0" collapsed="false">
      <c r="A7" s="4" t="s">
        <v>834</v>
      </c>
      <c r="B7" s="0" t="s">
        <v>835</v>
      </c>
    </row>
    <row r="8" customFormat="false" ht="17.15" hidden="false" customHeight="false" outlineLevel="0" collapsed="false">
      <c r="A8" s="4" t="s">
        <v>836</v>
      </c>
      <c r="B8" s="0" t="s">
        <v>837</v>
      </c>
    </row>
    <row r="9" customFormat="false" ht="17.15" hidden="false" customHeight="false" outlineLevel="0" collapsed="false">
      <c r="A9" s="4" t="s">
        <v>838</v>
      </c>
      <c r="B9" s="0" t="s">
        <v>839</v>
      </c>
    </row>
    <row r="10" customFormat="false" ht="17.15" hidden="false" customHeight="false" outlineLevel="0" collapsed="false">
      <c r="A10" s="4" t="s">
        <v>840</v>
      </c>
      <c r="B10" s="0" t="s">
        <v>841</v>
      </c>
    </row>
    <row r="11" customFormat="false" ht="17.15" hidden="false" customHeight="false" outlineLevel="0" collapsed="false">
      <c r="A11" s="4" t="s">
        <v>842</v>
      </c>
      <c r="B11" s="0" t="s">
        <v>256</v>
      </c>
    </row>
    <row r="12" customFormat="false" ht="17.15" hidden="false" customHeight="false" outlineLevel="0" collapsed="false">
      <c r="A12" s="4" t="s">
        <v>843</v>
      </c>
      <c r="B12" s="0" t="s">
        <v>269</v>
      </c>
    </row>
    <row r="13" customFormat="false" ht="17.15" hidden="false" customHeight="false" outlineLevel="0" collapsed="false">
      <c r="A13" s="4" t="s">
        <v>844</v>
      </c>
      <c r="B13" s="0" t="s">
        <v>845</v>
      </c>
    </row>
    <row r="14" customFormat="false" ht="17.15" hidden="false" customHeight="false" outlineLevel="0" collapsed="false">
      <c r="A14" s="4" t="s">
        <v>846</v>
      </c>
      <c r="B14" s="0" t="s">
        <v>276</v>
      </c>
    </row>
    <row r="15" customFormat="false" ht="17.15" hidden="false" customHeight="false" outlineLevel="0" collapsed="false">
      <c r="A15" s="4" t="s">
        <v>847</v>
      </c>
      <c r="B15" s="0" t="s">
        <v>848</v>
      </c>
    </row>
    <row r="16" customFormat="false" ht="17.15" hidden="false" customHeight="false" outlineLevel="0" collapsed="false">
      <c r="A16" s="4" t="s">
        <v>849</v>
      </c>
      <c r="B16" s="0" t="s">
        <v>850</v>
      </c>
    </row>
    <row r="17" customFormat="false" ht="17.15" hidden="false" customHeight="false" outlineLevel="0" collapsed="false">
      <c r="A17" s="4" t="s">
        <v>851</v>
      </c>
      <c r="B17" s="0" t="s">
        <v>852</v>
      </c>
    </row>
    <row r="18" customFormat="false" ht="17.15" hidden="false" customHeight="false" outlineLevel="0" collapsed="false">
      <c r="A18" s="4" t="s">
        <v>853</v>
      </c>
      <c r="B18" s="0" t="s">
        <v>854</v>
      </c>
    </row>
    <row r="19" customFormat="false" ht="17.15" hidden="false" customHeight="false" outlineLevel="0" collapsed="false">
      <c r="A19" s="4" t="s">
        <v>855</v>
      </c>
      <c r="B19" s="0" t="s">
        <v>856</v>
      </c>
    </row>
    <row r="20" customFormat="false" ht="17.15" hidden="false" customHeight="false" outlineLevel="0" collapsed="false">
      <c r="A20" s="4" t="s">
        <v>857</v>
      </c>
      <c r="B20" s="0" t="s">
        <v>858</v>
      </c>
    </row>
    <row r="21" customFormat="false" ht="17.15" hidden="false" customHeight="false" outlineLevel="0" collapsed="false">
      <c r="A21" s="4" t="s">
        <v>859</v>
      </c>
      <c r="B21" s="0" t="s">
        <v>860</v>
      </c>
    </row>
    <row r="22" customFormat="false" ht="17.15" hidden="false" customHeight="false" outlineLevel="0" collapsed="false">
      <c r="A22" s="4" t="s">
        <v>861</v>
      </c>
    </row>
    <row r="23" customFormat="false" ht="17.15" hidden="false" customHeight="false" outlineLevel="0" collapsed="false">
      <c r="A23" s="4" t="s">
        <v>862</v>
      </c>
      <c r="B23" s="4" t="s">
        <v>863</v>
      </c>
    </row>
    <row r="24" customFormat="false" ht="15" hidden="false" customHeight="false" outlineLevel="0" collapsed="false">
      <c r="A24" s="0" t="s">
        <v>864</v>
      </c>
      <c r="B24" s="4" t="s">
        <v>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2026-10-28T00:06:49Z</dcterms:created>
  <dc:creator>openpyxl</dc:creator>
  <dc:description/>
  <dc:language>en-US</dc:language>
  <cp:lastModifiedBy/>
  <dcterms:modified xsi:type="dcterms:W3CDTF">2026-10-28T00:06:49Z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