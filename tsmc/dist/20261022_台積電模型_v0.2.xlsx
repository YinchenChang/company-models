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Sources" sheetId="8" state="visible" r:id="rId10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rev27" vbProcedure="false">In!$E$143</definedName>
    <definedName function="false" hidden="false" name="cow_oth26" vbProcedure="false">In!$E$64</definedName>
    <definedName function="false" hidden="false" name="cow_oth_g" vbProcedure="false">In!$E$65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eps26_1to3q" vbProcedure="false">In!$E$99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_op" vbProcedure="false">In!$E$133</definedName>
    <definedName function="false" hidden="false" name="ni_op_26" vbProcedure="false">In!$E$122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<sst xmlns="http://schemas.openxmlformats.org/spreadsheetml/2006/main" count="890" uniqueCount="539">
  <si>
    <r>
      <rPr>
        <b val="true"/>
        <sz val="11"/>
        <rFont val="WenQuanYi Zen Hei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WenQuanYi Zen Hei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WenQuanYi Zen Hei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起假設未變</t>
    </r>
  </si>
  <si>
    <r>
      <rPr>
        <sz val="11"/>
        <rFont val="WenQuanYi Zen Hei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</si>
  <si>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</si>
  <si>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WenQuanYi Zen Hei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WenQuanYi Zen Hei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</si>
  <si>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WenQuanYi Zen Hei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</si>
  <si>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WenQuanYi Zen Hei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WenQuanYi Zen Hei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</si>
  <si>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</si>
  <si>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：見各頁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</si>
  <si>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</si>
  <si>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WenQuanYi Zen Hei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WenQuanYi Zen Hei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WenQuanYi Zen Hei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WenQuanYi Zen Hei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WenQuanYi Zen Hei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WenQuanYi Zen Hei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WenQuanYi Zen Hei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起毛利率、價格調升、非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產能全部未改（公司未給新的明確指引）。</t>
    </r>
  </si>
  <si>
    <r>
      <rPr>
        <sz val="11"/>
        <rFont val="WenQuanYi Zen Hei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頁不動。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</si>
  <si>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WenQuanYi Zen Hei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營業利益固定 </t>
    </r>
    <r>
      <rPr>
        <sz val="11"/>
        <rFont val="Cambria"/>
        <family val="0"/>
        <charset val="1"/>
      </rPr>
      <t xml:space="preserve">0.92</t>
    </r>
    <r>
      <rPr>
        <sz val="1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</si>
  <si>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</si>
  <si>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</si>
  <si>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</si>
  <si>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</si>
  <si>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</si>
  <si>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</si>
  <si>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</si>
  <si>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</si>
  <si>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</si>
  <si>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</si>
  <si>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</si>
  <si>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</si>
  <si>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</si>
  <si>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</si>
  <si>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</si>
  <si>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</si>
  <si>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</si>
  <si>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</si>
  <si>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</si>
  <si>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</si>
  <si>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</si>
  <si>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</si>
  <si>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</si>
  <si>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</si>
  <si>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</si>
  <si>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</si>
  <si>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</si>
  <si>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</si>
  <si>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</si>
  <si>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</si>
  <si>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</si>
  <si>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</si>
  <si>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</si>
  <si>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</si>
  <si>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</si>
  <si>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</si>
  <si>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</si>
  <si>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</si>
  <si>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</si>
  <si>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</si>
  <si>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</si>
  <si>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</si>
  <si>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</si>
  <si>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</si>
  <si>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</si>
  <si>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</si>
  <si>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</si>
  <si>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</si>
  <si>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</si>
  <si>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</si>
  <si>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</si>
  <si>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</si>
  <si>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</si>
  <si>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</si>
  <si>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</si>
  <si>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</si>
  <si>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</si>
  <si>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</si>
  <si>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</si>
  <si>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</si>
  <si>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</si>
  <si>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</si>
  <si>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</si>
  <si>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</si>
  <si>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</si>
  <si>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</si>
  <si>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</si>
  <si>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</si>
  <si>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</si>
  <si>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</si>
  <si>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</si>
  <si>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</si>
  <si>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</si>
  <si>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</si>
  <si>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</si>
  <si>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</si>
  <si>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</si>
  <si>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</si>
  <si>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</si>
  <si>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</si>
  <si>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</si>
  <si>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</si>
  <si>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</si>
  <si>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</si>
  <si>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</si>
  <si>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</si>
  <si>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</si>
  <si>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</si>
  <si>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</si>
  <si>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</si>
  <si>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</si>
  <si>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</si>
  <si>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</si>
  <si>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</si>
  <si>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</si>
  <si>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</si>
  <si>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</si>
  <si>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</si>
  <si>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</si>
  <si>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</si>
  <si>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</si>
  <si>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</si>
  <si>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</si>
  <si>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WenQuanYi Zen Hei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</si>
  <si>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</si>
  <si>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</si>
  <si>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</si>
  <si>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</si>
  <si>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WenQuanYi Zen Hei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WenQuanYi Zen Hei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</si>
  <si>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</si>
  <si>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</si>
  <si>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WenQuanYi Zen Hei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</si>
  <si>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</si>
  <si>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</si>
  <si>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WenQuanYi Zen Hei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</si>
  <si>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</si>
  <si>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</si>
  <si>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</si>
  <si>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</si>
  <si>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</si>
  <si>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</si>
  <si>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</si>
  <si>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</si>
  <si>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</si>
  <si>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</si>
  <si>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WenQuanYi Zen Hei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WenQuanYi Zen Hei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WenQuanYi Zen Hei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</si>
  <si>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</si>
  <si>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</si>
  <si>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</si>
  <si>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</si>
  <si>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</si>
  <si>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WenQuanYi Zen Hei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</si>
  <si>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</si>
  <si>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</si>
  <si>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</si>
  <si>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</si>
  <si>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</si>
  <si>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</si>
  <si>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</si>
  <si>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</si>
  <si>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</si>
  <si>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WenQuanYi Zen Hei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</si>
  <si>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</si>
  <si>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</si>
  <si>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</si>
  <si>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</si>
  <si>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</si>
  <si>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</si>
  <si>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</si>
  <si>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</si>
  <si>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</si>
  <si>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WenQuanYi Zen Hei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</si>
  <si>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</si>
  <si>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</si>
  <si>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</si>
  <si>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</si>
  <si>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</si>
  <si>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</si>
  <si>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cow_oth26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</si>
  <si>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WenQuanYi Zen Hei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</si>
  <si>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</si>
  <si>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WenQuanYi Zen Hei"/>
        <family val="2"/>
      </rPr>
      <t xml:space="preserve">萬片 − 本表加速器</t>
    </r>
  </si>
  <si>
    <t xml:space="preserve">cow_oth_g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</si>
  <si>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用途年增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</si>
  <si>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WenQuanYi Zen Hei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</si>
  <si>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</si>
  <si>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</si>
  <si>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</si>
  <si>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WenQuanYi Zen Hei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</si>
  <si>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</si>
  <si>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</si>
  <si>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WenQuanYi Zen Hei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</si>
  <si>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</si>
  <si>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</si>
  <si>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WenQuanYi Zen Hei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</si>
  <si>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</si>
  <si>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</si>
  <si>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WenQuanYi Zen Hei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</si>
  <si>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</si>
  <si>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年底</t>
    </r>
  </si>
  <si>
    <t xml:space="preserve">osat</t>
  </si>
  <si>
    <r>
      <rPr>
        <sz val="11"/>
        <color theme="1"/>
        <rFont val="WenQuanYi Zen Hei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台積電</t>
    </r>
  </si>
  <si>
    <r>
      <rPr>
        <sz val="11"/>
        <color theme="1"/>
        <rFont val="WenQuanYi Zen Hei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WenQuanYi Zen Hei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</si>
  <si>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</si>
  <si>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</si>
  <si>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</si>
  <si>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</si>
  <si>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</si>
  <si>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WenQuanYi Zen Hei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</si>
  <si>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</si>
  <si>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WenQuanYi Zen Hei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</si>
  <si>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WenQuanYi Zen Hei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WenQuanYi Zen Hei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</si>
  <si>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台積電營收</t>
    </r>
  </si>
  <si>
    <t xml:space="preserve">fx</t>
  </si>
  <si>
    <r>
      <rPr>
        <sz val="11"/>
        <color theme="1"/>
        <rFont val="WenQuanYi Zen Hei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</si>
  <si>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</si>
  <si>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</si>
  <si>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</si>
  <si>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</si>
  <si>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</si>
  <si>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</si>
  <si>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</si>
  <si>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</si>
  <si>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</si>
  <si>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</si>
  <si>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</si>
  <si>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</si>
  <si>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</si>
  <si>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</si>
  <si>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</si>
  <si>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WenQuanYi Zen Hei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WenQuanYi Zen Hei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WenQuanYi Zen Hei"/>
        <family val="2"/>
      </rPr>
      <t xml:space="preserve">與公司數不符，不採）</t>
    </r>
  </si>
  <si>
    <t xml:space="preserve">rev26_4q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</si>
  <si>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</si>
  <si>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WenQuanYi Zen Hei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</si>
  <si>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</si>
  <si>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</si>
  <si>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指引假設</t>
    </r>
  </si>
  <si>
    <t xml:space="preserve">ntd26_1q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</si>
  <si>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WenQuanYi Zen Hei"/>
        <family val="2"/>
      </rPr>
      <t xml:space="preserve">（新台幣）</t>
    </r>
  </si>
  <si>
    <t xml:space="preserve">NT$B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</si>
  <si>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</si>
  <si>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ntd26_2q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</si>
  <si>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</si>
  <si>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</si>
  <si>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ntd26_3q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</si>
  <si>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</si>
  <si>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</t>
    </r>
  </si>
  <si>
    <t xml:space="preserve">ntd26_4q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</si>
  <si>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指引匯率）</t>
    </r>
  </si>
  <si>
    <t xml:space="preserve">gm26_1q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</si>
  <si>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</si>
  <si>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</si>
  <si>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</si>
  <si>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</si>
  <si>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</si>
  <si>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WenQuanYi Zen Hei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WenQuanYi Zen Hei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奈米初期爬坡稀釋</t>
    </r>
  </si>
  <si>
    <t xml:space="preserve">gm26_4q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</si>
  <si>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</si>
  <si>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WenQuanYi Zen Hei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）</t>
    </r>
  </si>
  <si>
    <t xml:space="preserve">opm26_1q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</si>
  <si>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</si>
  <si>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</si>
  <si>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</si>
  <si>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</si>
  <si>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</si>
  <si>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</si>
  <si>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</si>
  <si>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</si>
  <si>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</si>
  <si>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</si>
  <si>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WenQuanYi Zen Hei"/>
        <family val="2"/>
      </rPr>
      <t xml:space="preserve">）</t>
    </r>
  </si>
  <si>
    <t xml:space="preserve">ni26_2q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</si>
  <si>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</si>
  <si>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WenQuanYi Zen Hei"/>
        <family val="2"/>
      </rPr>
      <t xml:space="preserve">）</t>
    </r>
  </si>
  <si>
    <t xml:space="preserve">ni26_3q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</si>
  <si>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</si>
  <si>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WenQuanYi Zen Hei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</si>
  <si>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</si>
  <si>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WenQuanYi Zen Hei"/>
        <family val="2"/>
      </rPr>
      <t xml:space="preserve">實績合計</t>
    </r>
  </si>
  <si>
    <t xml:space="preserve">NT$</t>
  </si>
  <si>
    <r>
      <rPr>
        <sz val="11"/>
        <color theme="1"/>
        <rFont val="WenQuanYi Zen Hei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</si>
  <si>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</si>
  <si>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WenQuanYi Zen Hei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（備忘，未進入公式）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</si>
  <si>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</si>
  <si>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</si>
  <si>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全年美元營收成長指引</t>
    </r>
  </si>
  <si>
    <r>
      <rPr>
        <sz val="11"/>
        <color theme="1"/>
        <rFont val="WenQuanYi Zen Hei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WenQuanYi Zen Hei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對照，不驅動營收</t>
    </r>
  </si>
  <si>
    <t xml:space="preserve">rev26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</si>
  <si>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</si>
  <si>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WenQuanYi Zen Hei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」推算）</t>
    </r>
  </si>
  <si>
    <t xml:space="preserve">ntd26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</si>
  <si>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</si>
  <si>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</si>
  <si>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美元營收）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</si>
  <si>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</si>
  <si>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</si>
  <si>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</si>
  <si>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WenQuanYi Zen Hei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</si>
  <si>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</si>
  <si>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</si>
  <si>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</si>
  <si>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WenQuanYi Zen Hei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</si>
  <si>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</si>
  <si>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</si>
  <si>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</si>
  <si>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</si>
  <si>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</si>
  <si>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</si>
  <si>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WenQuanYi Zen Hei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</si>
  <si>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</si>
  <si>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</si>
  <si>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na29_A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</si>
  <si>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</si>
  <si>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na27_B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</si>
  <si>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</si>
  <si>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na28_B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</si>
  <si>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</si>
  <si>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na29_B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</si>
  <si>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</si>
  <si>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na27_C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</si>
  <si>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</si>
  <si>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na28_C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</si>
  <si>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</si>
  <si>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na29_C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</si>
  <si>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</si>
  <si>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</si>
  <si>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</si>
  <si>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</si>
  <si>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</si>
  <si>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</si>
  <si>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</si>
  <si>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</si>
  <si>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</si>
  <si>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</si>
  <si>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</si>
  <si>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</si>
  <si>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比</t>
    </r>
  </si>
  <si>
    <t xml:space="preserve">gm27_A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</si>
  <si>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</si>
  <si>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WenQuanYi Zen Hei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WenQuanYi Zen Hei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WenQuanYi Zen Hei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WenQuanYi Zen Hei"/>
        <family val="2"/>
      </rPr>
      <t xml:space="preserve">以上</t>
    </r>
  </si>
  <si>
    <t xml:space="preserve">gm28_A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</si>
  <si>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</si>
  <si>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gm29_A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</si>
  <si>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</si>
  <si>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gm27_B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</si>
  <si>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</si>
  <si>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gm28_B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</si>
  <si>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</si>
  <si>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gm29_B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</si>
  <si>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</si>
  <si>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gm27_C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</si>
  <si>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</si>
  <si>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gm28_C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</si>
  <si>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</si>
  <si>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gm29_C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</si>
  <si>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</si>
  <si>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opex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</si>
  <si>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</si>
  <si>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</si>
  <si>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</si>
  <si>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</si>
  <si>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55.6% ÷ </t>
    </r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</si>
  <si>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</si>
  <si>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</si>
  <si>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</si>
  <si>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WenQuanYi Zen Hei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WenQuanYi Zen Hei"/>
        <family val="2"/>
      </rPr>
      <t xml:space="preserve">，一致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</si>
  <si>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</si>
  <si>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收盤）</t>
    </r>
  </si>
  <si>
    <t xml:space="preserve">Wantgoo</t>
  </si>
  <si>
    <t xml:space="preserve">capex26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</si>
  <si>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</si>
  <si>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</si>
  <si>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</si>
  <si>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</si>
  <si>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</si>
  <si>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</si>
  <si>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</si>
  <si>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</si>
  <si>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</si>
  <si>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</si>
  <si>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</si>
  <si>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</si>
  <si>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WenQuanYi Zen Hei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WenQuanYi Zen Hei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</si>
  <si>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</si>
  <si>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</si>
  <si>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WenQuanYi Zen Hei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</si>
  <si>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</si>
  <si>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</si>
  <si>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</si>
  <si>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cons_rev27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</si>
  <si>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</si>
  <si>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</si>
  <si>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</si>
  <si>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</si>
  <si>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</si>
  <si>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</si>
  <si>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</si>
  <si>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</si>
  <si>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</si>
  <si>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WenQuanYi Zen Hei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</si>
  <si>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</si>
  <si>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</si>
  <si>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</si>
  <si>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WenQuanYi Zen Hei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WenQuanYi Zen Hei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</si>
  <si>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</si>
  <si>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</si>
  <si>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</si>
  <si>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</si>
  <si>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</si>
  <si>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</si>
  <si>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</si>
  <si>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</si>
  <si>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</si>
  <si>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</si>
  <si>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</si>
  <si>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</si>
  <si>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WenQuanYi Zen Hei"/>
        <family val="2"/>
      </rPr>
      <t xml:space="preserve">等）</t>
    </r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</si>
  <si>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用途</t>
    </r>
  </si>
  <si>
    <t xml:space="preserve">需求合計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</si>
  <si>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</si>
  <si>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WenQuanYi Zen Hei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WenQuanYi Zen Hei"/>
        <family val="2"/>
      </rPr>
      <t xml:space="preserve">）</t>
    </r>
  </si>
  <si>
    <t xml:space="preserve">可用產能（含委外）</t>
  </si>
  <si>
    <r>
      <rPr>
        <sz val="11"/>
        <rFont val="WenQuanYi Zen Hei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</si>
  <si>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為瓶頸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</si>
  <si>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</si>
  <si>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；與上一列比，數字大者為較緊的瓶頸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</si>
  <si>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WenQuanYi Zen Hei"/>
        <family val="2"/>
      </rPr>
      <t xml:space="preserve">全球需求</t>
    </r>
  </si>
  <si>
    <r>
      <rPr>
        <sz val="11"/>
        <rFont val="WenQuanYi Zen Hei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</si>
  <si>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WenQuanYi Zen Hei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</si>
  <si>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WenQuanYi Zen Hei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WenQuanYi Zen Hei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</si>
  <si>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</si>
  <si>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</si>
  <si>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</si>
  <si>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</si>
  <si>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</si>
  <si>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</si>
  <si>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</si>
  <si>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</si>
  <si>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</si>
  <si>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</si>
  <si>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</si>
  <si>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</si>
  <si>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</si>
  <si>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WenQuanYi Zen Hei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</si>
  <si>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</si>
  <si>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</si>
  <si>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</si>
  <si>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</si>
  <si>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</si>
  <si>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</si>
  <si>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</si>
  <si>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</si>
  <si>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WenQuanYi Zen Hei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起兩者分開推。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</si>
  <si>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</si>
  <si>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</si>
  <si>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</si>
  <si>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</si>
  <si>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</si>
  <si>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</si>
  <si>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</si>
  <si>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</si>
  <si>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</si>
  <si>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</si>
  <si>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</si>
  <si>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</si>
  <si>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WenQuanYi Zen Hei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WenQuanYi Zen Hei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WenQuanYi Zen Hei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風險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</si>
  <si>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</si>
  <si>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</si>
  <si>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</si>
  <si>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</si>
  <si>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</si>
  <si>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</si>
  <si>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WenQuanYi Zen Hei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</si>
  <si>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同上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</si>
  <si>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</si>
  <si>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</si>
  <si>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</si>
  <si>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</si>
  <si>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指引推算</t>
    </r>
  </si>
  <si>
    <r>
      <rPr>
        <sz val="11"/>
        <color theme="1"/>
        <rFont val="WenQuanYi Zen Hei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</si>
  <si>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</si>
  <si>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</si>
  <si>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</si>
  <si>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</si>
  <si>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</si>
  <si>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</si>
  <si>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</si>
  <si>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</si>
  <si>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WenQuanYi Zen Hei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</si>
  <si>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</si>
  <si>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WenQuanYi Zen Hei"/>
        <family val="2"/>
      </rPr>
      <t xml:space="preserve">（不漲）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</si>
  <si>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</si>
  <si>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</si>
  <si>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</si>
  <si>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WenQuanYi Zen Hei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）</t>
    </r>
  </si>
  <si>
    <t xml:space="preserve">來源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</si>
  <si>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</si>
  <si>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</si>
  <si>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</si>
  <si>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</si>
  <si>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</si>
  <si>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</si>
  <si>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</si>
  <si>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</si>
  <si>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</si>
  <si>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</si>
  <si>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</si>
  <si>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</si>
  <si>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</si>
  <si>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</si>
  <si>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WenQuanYi Zen Hei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</si>
  <si>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</si>
  <si>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</si>
  <si>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</si>
  <si>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WenQuanYi Zen Hei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</si>
  <si>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</si>
  <si>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</si>
  <si>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</si>
  <si>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</si>
  <si>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</si>
  <si>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</si>
  <si>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</si>
  <si>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WenQuanYi Zen Hei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</si>
  <si>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</si>
  <si>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</si>
  <si>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</si>
  <si>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</si>
  <si>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</si>
  <si>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</si>
  <si>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</si>
  <si>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</si>
  <si>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</si>
  <si>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WenQuanYi Zen Hei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</si>
  <si>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</si>
  <si>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</si>
  <si>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</si>
  <si>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</si>
  <si>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</si>
  <si>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</si>
  <si>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</si>
  <si>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</si>
  <si>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</si>
  <si>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</si>
  <si>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</si>
  <si>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】查證方式說明</t>
    </r>
  </si>
  <si>
    <r>
      <rPr>
        <sz val="11"/>
        <color theme="1"/>
        <rFont val="WenQuanYi Zen Hei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</si>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</sst>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0.0"/>
    <numFmt numFmtId="168" formatCode="0.0%"/>
    <numFmt numFmtId="169" formatCode="0.0\x"/>
    <numFmt numFmtId="170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2" t="s">
        <v>5</v>
      </c>
    </row>
    <row r="8" customFormat="false" ht="14.9" hidden="false" customHeight="false" outlineLevel="0" collapsed="false">
      <c r="A8" s="3" t="s">
        <v>6</v>
      </c>
    </row>
    <row r="9" customFormat="false" ht="14.9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4.9" hidden="false" customHeight="false" outlineLevel="0" collapsed="false">
      <c r="A11" s="2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2" t="s">
        <v>10</v>
      </c>
    </row>
    <row r="14" customFormat="false" ht="14.9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</row>
    <row r="4" customFormat="false" ht="15" hidden="false" customHeight="false" outlineLevel="0" collapsed="false">
      <c r="A4" s="5" t="s">
        <v>21</v>
      </c>
    </row>
    <row r="5" customFormat="false" ht="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5" hidden="false" customHeight="false" outlineLevel="0" collapsed="false">
      <c r="A8" s="0" t="s">
        <v>32</v>
      </c>
      <c r="B8" s="0" t="s">
        <v>33</v>
      </c>
      <c r="C8" s="0" t="s">
        <v>34</v>
      </c>
      <c r="E8" s="7" t="n">
        <v>-0.5</v>
      </c>
      <c r="G8" s="8" t="s">
        <v>35</v>
      </c>
    </row>
    <row r="9" customFormat="false" ht="15" hidden="false" customHeight="false" outlineLevel="0" collapsed="false">
      <c r="A9" s="0" t="s">
        <v>36</v>
      </c>
      <c r="B9" s="0" t="s">
        <v>37</v>
      </c>
      <c r="C9" s="6" t="s">
        <v>24</v>
      </c>
      <c r="E9" s="7" t="n">
        <v>1.7</v>
      </c>
      <c r="G9" s="8" t="s">
        <v>25</v>
      </c>
      <c r="H9" s="8" t="s">
        <v>38</v>
      </c>
    </row>
    <row r="10" customFormat="false" ht="15" hidden="false" customHeight="false" outlineLevel="0" collapsed="false">
      <c r="A10" s="0" t="s">
        <v>39</v>
      </c>
      <c r="B10" s="0" t="s">
        <v>40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5" hidden="false" customHeight="false" outlineLevel="0" collapsed="false">
      <c r="A11" s="0" t="s">
        <v>41</v>
      </c>
      <c r="B11" s="0" t="s">
        <v>42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5" hidden="false" customHeight="false" outlineLevel="0" collapsed="false">
      <c r="A12" s="0" t="s">
        <v>43</v>
      </c>
      <c r="B12" s="0" t="s">
        <v>44</v>
      </c>
      <c r="C12" s="0" t="s">
        <v>34</v>
      </c>
      <c r="E12" s="7" t="n">
        <v>0.15</v>
      </c>
      <c r="G12" s="8" t="s">
        <v>35</v>
      </c>
    </row>
    <row r="13" customFormat="false" ht="15" hidden="false" customHeight="false" outlineLevel="0" collapsed="false">
      <c r="A13" s="0" t="s">
        <v>45</v>
      </c>
      <c r="B13" s="0" t="s">
        <v>46</v>
      </c>
      <c r="C13" s="6" t="s">
        <v>24</v>
      </c>
      <c r="E13" s="7" t="n">
        <v>0</v>
      </c>
      <c r="G13" s="8" t="s">
        <v>35</v>
      </c>
      <c r="H13" s="8" t="s">
        <v>47</v>
      </c>
    </row>
    <row r="14" customFormat="false" ht="15" hidden="false" customHeight="false" outlineLevel="0" collapsed="false">
      <c r="A14" s="0" t="s">
        <v>48</v>
      </c>
      <c r="B14" s="0" t="s">
        <v>49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5" hidden="false" customHeight="false" outlineLevel="0" collapsed="false">
      <c r="A15" s="0" t="s">
        <v>50</v>
      </c>
      <c r="B15" s="0" t="s">
        <v>51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5" hidden="false" customHeight="false" outlineLevel="0" collapsed="false">
      <c r="A16" s="0" t="s">
        <v>52</v>
      </c>
      <c r="B16" s="0" t="s">
        <v>53</v>
      </c>
      <c r="C16" s="0" t="s">
        <v>34</v>
      </c>
      <c r="E16" s="7" t="n">
        <v>0.15</v>
      </c>
      <c r="G16" s="8" t="s">
        <v>35</v>
      </c>
    </row>
    <row r="17" customFormat="false" ht="15" hidden="false" customHeight="false" outlineLevel="0" collapsed="false">
      <c r="A17" s="0" t="s">
        <v>54</v>
      </c>
      <c r="B17" s="0" t="s">
        <v>55</v>
      </c>
      <c r="C17" s="6" t="s">
        <v>24</v>
      </c>
      <c r="E17" s="7" t="n">
        <v>0.5</v>
      </c>
      <c r="G17" s="8" t="s">
        <v>25</v>
      </c>
      <c r="H17" s="8" t="s">
        <v>56</v>
      </c>
    </row>
    <row r="18" customFormat="false" ht="15" hidden="false" customHeight="false" outlineLevel="0" collapsed="false">
      <c r="A18" s="0" t="s">
        <v>57</v>
      </c>
      <c r="B18" s="0" t="s">
        <v>58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5" hidden="false" customHeight="false" outlineLevel="0" collapsed="false">
      <c r="A19" s="0" t="s">
        <v>59</v>
      </c>
      <c r="B19" s="0" t="s">
        <v>60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5" hidden="false" customHeight="false" outlineLevel="0" collapsed="false">
      <c r="A20" s="0" t="s">
        <v>61</v>
      </c>
      <c r="B20" s="0" t="s">
        <v>62</v>
      </c>
      <c r="C20" s="0" t="s">
        <v>34</v>
      </c>
      <c r="E20" s="7" t="n">
        <v>0</v>
      </c>
      <c r="G20" s="8" t="s">
        <v>35</v>
      </c>
    </row>
    <row r="21" customFormat="false" ht="15" hidden="false" customHeight="false" outlineLevel="0" collapsed="false">
      <c r="A21" s="0" t="s">
        <v>63</v>
      </c>
      <c r="B21" s="0" t="s">
        <v>64</v>
      </c>
      <c r="C21" s="6" t="s">
        <v>24</v>
      </c>
      <c r="E21" s="7" t="n">
        <v>0.75</v>
      </c>
      <c r="G21" s="8" t="s">
        <v>65</v>
      </c>
      <c r="H21" s="8" t="s">
        <v>66</v>
      </c>
    </row>
    <row r="22" customFormat="false" ht="15" hidden="false" customHeight="false" outlineLevel="0" collapsed="false">
      <c r="A22" s="0" t="s">
        <v>67</v>
      </c>
      <c r="B22" s="0" t="s">
        <v>68</v>
      </c>
      <c r="C22" s="6" t="s">
        <v>24</v>
      </c>
      <c r="E22" s="7" t="n">
        <v>1.5</v>
      </c>
      <c r="G22" s="8" t="s">
        <v>65</v>
      </c>
      <c r="H22" s="6" t="s">
        <v>29</v>
      </c>
    </row>
    <row r="23" customFormat="false" ht="15" hidden="false" customHeight="false" outlineLevel="0" collapsed="false">
      <c r="A23" s="0" t="s">
        <v>69</v>
      </c>
      <c r="B23" s="0" t="s">
        <v>70</v>
      </c>
      <c r="C23" s="6" t="s">
        <v>24</v>
      </c>
      <c r="E23" s="7" t="n">
        <v>2</v>
      </c>
      <c r="G23" s="8" t="s">
        <v>65</v>
      </c>
      <c r="H23" s="6" t="s">
        <v>29</v>
      </c>
    </row>
    <row r="24" customFormat="false" ht="15" hidden="false" customHeight="false" outlineLevel="0" collapsed="false">
      <c r="A24" s="0" t="s">
        <v>71</v>
      </c>
      <c r="B24" s="0" t="s">
        <v>72</v>
      </c>
      <c r="C24" s="0" t="s">
        <v>34</v>
      </c>
      <c r="E24" s="7" t="n">
        <v>0.15</v>
      </c>
      <c r="G24" s="8" t="s">
        <v>35</v>
      </c>
    </row>
    <row r="25" customFormat="false" ht="15" hidden="false" customHeight="false" outlineLevel="0" collapsed="false">
      <c r="A25" s="0" t="s">
        <v>73</v>
      </c>
      <c r="B25" s="0" t="s">
        <v>74</v>
      </c>
      <c r="C25" s="6" t="s">
        <v>24</v>
      </c>
      <c r="E25" s="7" t="n">
        <v>3.85</v>
      </c>
      <c r="G25" s="8" t="s">
        <v>25</v>
      </c>
      <c r="H25" s="8" t="s">
        <v>75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5" hidden="false" customHeight="false" outlineLevel="0" collapsed="false">
      <c r="A27" s="0" t="s">
        <v>78</v>
      </c>
      <c r="B27" s="0" t="s">
        <v>79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5" hidden="false" customHeight="false" outlineLevel="0" collapsed="false">
      <c r="A28" s="0" t="s">
        <v>80</v>
      </c>
      <c r="B28" s="0" t="s">
        <v>81</v>
      </c>
      <c r="C28" s="0" t="s">
        <v>34</v>
      </c>
      <c r="E28" s="7" t="n">
        <v>0.15</v>
      </c>
      <c r="G28" s="8" t="s">
        <v>35</v>
      </c>
    </row>
    <row r="29" customFormat="false" ht="15" hidden="false" customHeight="false" outlineLevel="0" collapsed="false">
      <c r="A29" s="0" t="s">
        <v>82</v>
      </c>
      <c r="B29" s="0" t="s">
        <v>83</v>
      </c>
      <c r="C29" s="6" t="s">
        <v>24</v>
      </c>
      <c r="E29" s="7" t="n">
        <v>2</v>
      </c>
      <c r="G29" s="8" t="s">
        <v>35</v>
      </c>
      <c r="H29" s="8" t="s">
        <v>84</v>
      </c>
    </row>
    <row r="30" customFormat="false" ht="15" hidden="false" customHeight="false" outlineLevel="0" collapsed="false">
      <c r="A30" s="0" t="s">
        <v>85</v>
      </c>
      <c r="B30" s="0" t="s">
        <v>86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5" hidden="false" customHeight="false" outlineLevel="0" collapsed="false">
      <c r="A31" s="0" t="s">
        <v>87</v>
      </c>
      <c r="B31" s="0" t="s">
        <v>88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5" hidden="false" customHeight="false" outlineLevel="0" collapsed="false">
      <c r="A32" s="0" t="s">
        <v>89</v>
      </c>
      <c r="B32" s="0" t="s">
        <v>90</v>
      </c>
      <c r="C32" s="0" t="s">
        <v>34</v>
      </c>
      <c r="E32" s="7" t="n">
        <v>0.15</v>
      </c>
      <c r="G32" s="8" t="s">
        <v>35</v>
      </c>
    </row>
    <row r="33" customFormat="false" ht="15" hidden="false" customHeight="false" outlineLevel="0" collapsed="false">
      <c r="A33" s="0" t="s">
        <v>91</v>
      </c>
      <c r="B33" s="6" t="s">
        <v>92</v>
      </c>
      <c r="C33" s="6" t="s">
        <v>24</v>
      </c>
      <c r="E33" s="7" t="n">
        <v>1</v>
      </c>
      <c r="G33" s="8" t="s">
        <v>93</v>
      </c>
      <c r="H33" s="8" t="s">
        <v>94</v>
      </c>
    </row>
    <row r="34" customFormat="false" ht="15" hidden="false" customHeight="false" outlineLevel="0" collapsed="false">
      <c r="A34" s="0" t="s">
        <v>95</v>
      </c>
      <c r="B34" s="6" t="s">
        <v>96</v>
      </c>
      <c r="C34" s="6" t="s">
        <v>24</v>
      </c>
      <c r="E34" s="7" t="n">
        <v>4.5</v>
      </c>
      <c r="G34" s="8" t="s">
        <v>93</v>
      </c>
      <c r="H34" s="6" t="s">
        <v>29</v>
      </c>
    </row>
    <row r="35" customFormat="false" ht="15" hidden="false" customHeight="false" outlineLevel="0" collapsed="false">
      <c r="A35" s="0" t="s">
        <v>97</v>
      </c>
      <c r="B35" s="6" t="s">
        <v>98</v>
      </c>
      <c r="C35" s="6" t="s">
        <v>24</v>
      </c>
      <c r="E35" s="7" t="n">
        <v>5</v>
      </c>
      <c r="G35" s="8" t="s">
        <v>93</v>
      </c>
      <c r="H35" s="6" t="s">
        <v>29</v>
      </c>
    </row>
    <row r="36" customFormat="false" ht="15" hidden="false" customHeight="false" outlineLevel="0" collapsed="false">
      <c r="A36" s="0" t="s">
        <v>99</v>
      </c>
      <c r="B36" s="6" t="s">
        <v>100</v>
      </c>
      <c r="C36" s="0" t="s">
        <v>34</v>
      </c>
      <c r="E36" s="7" t="n">
        <v>0.15</v>
      </c>
      <c r="G36" s="8" t="s">
        <v>35</v>
      </c>
    </row>
    <row r="37" customFormat="false" ht="15" hidden="false" customHeight="false" outlineLevel="0" collapsed="false">
      <c r="A37" s="0" t="s">
        <v>101</v>
      </c>
      <c r="B37" s="6" t="s">
        <v>102</v>
      </c>
      <c r="C37" s="0" t="s">
        <v>103</v>
      </c>
      <c r="E37" s="7" t="n">
        <v>1</v>
      </c>
      <c r="G37" s="8" t="s">
        <v>35</v>
      </c>
      <c r="H37" s="8" t="s">
        <v>104</v>
      </c>
    </row>
    <row r="38" customFormat="false" ht="15" hidden="false" customHeight="false" outlineLevel="0" collapsed="false">
      <c r="A38" s="0" t="s">
        <v>105</v>
      </c>
      <c r="B38" s="6" t="s">
        <v>106</v>
      </c>
      <c r="C38" s="0" t="s">
        <v>103</v>
      </c>
      <c r="E38" s="7" t="n">
        <v>1</v>
      </c>
      <c r="G38" s="8" t="s">
        <v>35</v>
      </c>
    </row>
    <row r="39" customFormat="false" ht="15" hidden="false" customHeight="false" outlineLevel="0" collapsed="false">
      <c r="A39" s="0" t="s">
        <v>107</v>
      </c>
      <c r="B39" s="6" t="s">
        <v>108</v>
      </c>
      <c r="C39" s="0" t="s">
        <v>103</v>
      </c>
      <c r="E39" s="7" t="n">
        <v>0.8</v>
      </c>
      <c r="G39" s="8" t="s">
        <v>35</v>
      </c>
    </row>
    <row r="40" customFormat="false" ht="15" hidden="false" customHeight="false" outlineLevel="0" collapsed="false">
      <c r="A40" s="0" t="s">
        <v>109</v>
      </c>
      <c r="B40" s="6" t="s">
        <v>110</v>
      </c>
      <c r="C40" s="0" t="s">
        <v>103</v>
      </c>
      <c r="E40" s="7" t="n">
        <v>0.85</v>
      </c>
      <c r="G40" s="8" t="s">
        <v>35</v>
      </c>
    </row>
    <row r="41" customFormat="false" ht="15" hidden="false" customHeight="false" outlineLevel="0" collapsed="false">
      <c r="A41" s="0" t="s">
        <v>111</v>
      </c>
      <c r="B41" s="6" t="s">
        <v>112</v>
      </c>
      <c r="C41" s="0" t="s">
        <v>103</v>
      </c>
      <c r="E41" s="7" t="n">
        <v>0.6</v>
      </c>
      <c r="G41" s="8" t="s">
        <v>35</v>
      </c>
    </row>
    <row r="42" customFormat="false" ht="15" hidden="false" customHeight="false" outlineLevel="0" collapsed="false">
      <c r="A42" s="0" t="s">
        <v>113</v>
      </c>
      <c r="B42" s="6" t="s">
        <v>114</v>
      </c>
      <c r="C42" s="0" t="s">
        <v>103</v>
      </c>
      <c r="E42" s="7" t="n">
        <v>0.6</v>
      </c>
      <c r="G42" s="8" t="s">
        <v>35</v>
      </c>
    </row>
    <row r="43" customFormat="false" ht="15" hidden="false" customHeight="false" outlineLevel="0" collapsed="false">
      <c r="A43" s="5" t="s">
        <v>115</v>
      </c>
    </row>
    <row r="44" customFormat="false" ht="15" hidden="false" customHeight="false" outlineLevel="0" collapsed="false">
      <c r="A44" s="0" t="s">
        <v>116</v>
      </c>
      <c r="B44" s="0" t="s">
        <v>117</v>
      </c>
      <c r="C44" s="6" t="s">
        <v>118</v>
      </c>
      <c r="D44" s="7" t="n">
        <v>11.2</v>
      </c>
      <c r="E44" s="7" t="n">
        <v>14</v>
      </c>
      <c r="F44" s="7" t="n">
        <v>16.8</v>
      </c>
      <c r="G44" s="8" t="s">
        <v>119</v>
      </c>
      <c r="H44" s="6" t="s">
        <v>120</v>
      </c>
    </row>
    <row r="45" customFormat="false" ht="15" hidden="false" customHeight="false" outlineLevel="0" collapsed="false">
      <c r="A45" s="0" t="s">
        <v>121</v>
      </c>
      <c r="B45" s="0" t="s">
        <v>122</v>
      </c>
      <c r="C45" s="0" t="s">
        <v>123</v>
      </c>
      <c r="D45" s="7" t="n">
        <v>1.84</v>
      </c>
      <c r="E45" s="7" t="n">
        <v>2.3</v>
      </c>
      <c r="F45" s="7" t="n">
        <v>2.76</v>
      </c>
      <c r="G45" s="8" t="s">
        <v>119</v>
      </c>
      <c r="H45" s="6" t="s">
        <v>29</v>
      </c>
    </row>
    <row r="46" customFormat="false" ht="15" hidden="false" customHeight="false" outlineLevel="0" collapsed="false">
      <c r="A46" s="0" t="s">
        <v>124</v>
      </c>
      <c r="B46" s="0" t="s">
        <v>125</v>
      </c>
      <c r="C46" s="6" t="s">
        <v>118</v>
      </c>
      <c r="D46" s="7" t="n">
        <v>6.4</v>
      </c>
      <c r="E46" s="7" t="n">
        <v>8</v>
      </c>
      <c r="F46" s="7" t="n">
        <v>9.6</v>
      </c>
      <c r="G46" s="8" t="s">
        <v>119</v>
      </c>
      <c r="H46" s="8" t="s">
        <v>126</v>
      </c>
    </row>
    <row r="47" customFormat="false" ht="15" hidden="false" customHeight="false" outlineLevel="0" collapsed="false">
      <c r="A47" s="0" t="s">
        <v>127</v>
      </c>
      <c r="B47" s="0" t="s">
        <v>128</v>
      </c>
      <c r="C47" s="0" t="s">
        <v>123</v>
      </c>
      <c r="D47" s="7" t="n">
        <v>2.24</v>
      </c>
      <c r="E47" s="7" t="n">
        <v>2.8</v>
      </c>
      <c r="F47" s="7" t="n">
        <v>3.36</v>
      </c>
      <c r="G47" s="8" t="s">
        <v>119</v>
      </c>
      <c r="H47" s="6" t="s">
        <v>29</v>
      </c>
    </row>
    <row r="48" customFormat="false" ht="15" hidden="false" customHeight="false" outlineLevel="0" collapsed="false">
      <c r="A48" s="0" t="s">
        <v>129</v>
      </c>
      <c r="B48" s="0" t="s">
        <v>130</v>
      </c>
      <c r="C48" s="6" t="s">
        <v>118</v>
      </c>
      <c r="D48" s="7" t="n">
        <v>3.2</v>
      </c>
      <c r="E48" s="7" t="n">
        <v>4</v>
      </c>
      <c r="F48" s="7" t="n">
        <v>4.8</v>
      </c>
      <c r="G48" s="8" t="s">
        <v>35</v>
      </c>
      <c r="H48" s="8" t="s">
        <v>131</v>
      </c>
    </row>
    <row r="49" customFormat="false" ht="15" hidden="false" customHeight="false" outlineLevel="0" collapsed="false">
      <c r="A49" s="0" t="s">
        <v>132</v>
      </c>
      <c r="B49" s="0" t="s">
        <v>133</v>
      </c>
      <c r="C49" s="0" t="s">
        <v>123</v>
      </c>
      <c r="D49" s="7" t="n">
        <v>4.8</v>
      </c>
      <c r="E49" s="7" t="n">
        <v>6</v>
      </c>
      <c r="F49" s="7" t="n">
        <v>7.2</v>
      </c>
      <c r="G49" s="8" t="s">
        <v>35</v>
      </c>
      <c r="H49" s="6" t="s">
        <v>29</v>
      </c>
    </row>
    <row r="50" customFormat="false" ht="15" hidden="false" customHeight="false" outlineLevel="0" collapsed="false">
      <c r="A50" s="0" t="s">
        <v>134</v>
      </c>
      <c r="B50" s="0" t="s">
        <v>135</v>
      </c>
      <c r="C50" s="6" t="s">
        <v>118</v>
      </c>
      <c r="D50" s="7" t="n">
        <v>23.2</v>
      </c>
      <c r="E50" s="7" t="n">
        <v>29</v>
      </c>
      <c r="F50" s="7" t="n">
        <v>34.8</v>
      </c>
      <c r="G50" s="8" t="s">
        <v>136</v>
      </c>
      <c r="H50" s="8" t="s">
        <v>137</v>
      </c>
    </row>
    <row r="51" customFormat="false" ht="15" hidden="false" customHeight="false" outlineLevel="0" collapsed="false">
      <c r="A51" s="0" t="s">
        <v>138</v>
      </c>
      <c r="B51" s="0" t="s">
        <v>139</v>
      </c>
      <c r="C51" s="0" t="s">
        <v>123</v>
      </c>
      <c r="D51" s="7" t="n">
        <v>0.88</v>
      </c>
      <c r="E51" s="7" t="n">
        <v>1.1</v>
      </c>
      <c r="F51" s="7" t="n">
        <v>1.32</v>
      </c>
      <c r="G51" s="8" t="s">
        <v>136</v>
      </c>
      <c r="H51" s="6" t="s">
        <v>29</v>
      </c>
    </row>
    <row r="52" customFormat="false" ht="15" hidden="false" customHeight="false" outlineLevel="0" collapsed="false">
      <c r="A52" s="0" t="s">
        <v>140</v>
      </c>
      <c r="B52" s="0" t="s">
        <v>141</v>
      </c>
      <c r="C52" s="6" t="s">
        <v>118</v>
      </c>
      <c r="D52" s="7" t="n">
        <v>6.8</v>
      </c>
      <c r="E52" s="7" t="n">
        <v>8.5</v>
      </c>
      <c r="F52" s="7" t="n">
        <v>10.2</v>
      </c>
      <c r="G52" s="8" t="s">
        <v>142</v>
      </c>
      <c r="H52" s="8" t="s">
        <v>143</v>
      </c>
    </row>
    <row r="53" customFormat="false" ht="15" hidden="false" customHeight="false" outlineLevel="0" collapsed="false">
      <c r="A53" s="0" t="s">
        <v>144</v>
      </c>
      <c r="B53" s="0" t="s">
        <v>145</v>
      </c>
      <c r="C53" s="0" t="s">
        <v>123</v>
      </c>
      <c r="D53" s="7" t="n">
        <v>1.6</v>
      </c>
      <c r="E53" s="7" t="n">
        <v>2</v>
      </c>
      <c r="F53" s="7" t="n">
        <v>2.4</v>
      </c>
      <c r="G53" s="8" t="s">
        <v>142</v>
      </c>
      <c r="H53" s="6" t="s">
        <v>29</v>
      </c>
    </row>
    <row r="54" customFormat="false" ht="15" hidden="false" customHeight="false" outlineLevel="0" collapsed="false">
      <c r="A54" s="0" t="s">
        <v>146</v>
      </c>
      <c r="B54" s="0" t="s">
        <v>147</v>
      </c>
      <c r="C54" s="6" t="s">
        <v>118</v>
      </c>
      <c r="D54" s="7" t="n">
        <v>4.8</v>
      </c>
      <c r="E54" s="7" t="n">
        <v>6</v>
      </c>
      <c r="F54" s="7" t="n">
        <v>7.2</v>
      </c>
      <c r="G54" s="8" t="s">
        <v>35</v>
      </c>
      <c r="H54" s="8" t="s">
        <v>148</v>
      </c>
    </row>
    <row r="55" customFormat="false" ht="15" hidden="false" customHeight="false" outlineLevel="0" collapsed="false">
      <c r="A55" s="0" t="s">
        <v>149</v>
      </c>
      <c r="B55" s="0" t="s">
        <v>150</v>
      </c>
      <c r="C55" s="0" t="s">
        <v>123</v>
      </c>
      <c r="D55" s="7" t="n">
        <v>2.4</v>
      </c>
      <c r="E55" s="7" t="n">
        <v>3</v>
      </c>
      <c r="F55" s="7" t="n">
        <v>3.6</v>
      </c>
      <c r="G55" s="8" t="s">
        <v>35</v>
      </c>
      <c r="H55" s="6" t="s">
        <v>29</v>
      </c>
    </row>
    <row r="56" customFormat="false" ht="15" hidden="false" customHeight="false" outlineLevel="0" collapsed="false">
      <c r="A56" s="0" t="s">
        <v>151</v>
      </c>
      <c r="B56" s="0" t="s">
        <v>152</v>
      </c>
      <c r="C56" s="6" t="s">
        <v>118</v>
      </c>
      <c r="D56" s="7" t="n">
        <v>22.4</v>
      </c>
      <c r="E56" s="7" t="n">
        <v>28</v>
      </c>
      <c r="F56" s="7" t="n">
        <v>33.6</v>
      </c>
      <c r="G56" s="8" t="s">
        <v>93</v>
      </c>
      <c r="H56" s="8" t="s">
        <v>153</v>
      </c>
    </row>
    <row r="57" customFormat="false" ht="15" hidden="false" customHeight="false" outlineLevel="0" collapsed="false">
      <c r="A57" s="0" t="s">
        <v>154</v>
      </c>
      <c r="B57" s="0" t="s">
        <v>155</v>
      </c>
      <c r="C57" s="0" t="s">
        <v>123</v>
      </c>
      <c r="D57" s="7" t="n">
        <v>1.2</v>
      </c>
      <c r="E57" s="7" t="n">
        <v>1.5</v>
      </c>
      <c r="F57" s="7" t="n">
        <v>1.8</v>
      </c>
      <c r="G57" s="8" t="s">
        <v>93</v>
      </c>
      <c r="H57" s="6" t="s">
        <v>29</v>
      </c>
    </row>
    <row r="58" customFormat="false" ht="15" hidden="false" customHeight="false" outlineLevel="0" collapsed="false">
      <c r="A58" s="0" t="s">
        <v>156</v>
      </c>
      <c r="B58" s="0" t="s">
        <v>157</v>
      </c>
      <c r="C58" s="6" t="s">
        <v>118</v>
      </c>
      <c r="D58" s="7" t="n">
        <v>19.2</v>
      </c>
      <c r="E58" s="7" t="n">
        <v>24</v>
      </c>
      <c r="F58" s="7" t="n">
        <v>28.8</v>
      </c>
      <c r="G58" s="8" t="s">
        <v>35</v>
      </c>
      <c r="H58" s="8" t="s">
        <v>158</v>
      </c>
    </row>
    <row r="59" customFormat="false" ht="15" hidden="false" customHeight="false" outlineLevel="0" collapsed="false">
      <c r="A59" s="0" t="s">
        <v>159</v>
      </c>
      <c r="B59" s="0" t="s">
        <v>160</v>
      </c>
      <c r="C59" s="0" t="s">
        <v>123</v>
      </c>
      <c r="D59" s="7" t="n">
        <v>1.44</v>
      </c>
      <c r="E59" s="7" t="n">
        <v>1.8</v>
      </c>
      <c r="F59" s="7" t="n">
        <v>2.16</v>
      </c>
      <c r="G59" s="8" t="s">
        <v>35</v>
      </c>
      <c r="H59" s="6" t="s">
        <v>29</v>
      </c>
    </row>
    <row r="60" customFormat="false" ht="15" hidden="false" customHeight="false" outlineLevel="0" collapsed="false">
      <c r="A60" s="0" t="s">
        <v>161</v>
      </c>
      <c r="B60" s="0" t="s">
        <v>162</v>
      </c>
      <c r="C60" s="6" t="s">
        <v>118</v>
      </c>
      <c r="D60" s="7" t="n">
        <v>24</v>
      </c>
      <c r="E60" s="7" t="n">
        <v>30</v>
      </c>
      <c r="F60" s="7" t="n">
        <v>36</v>
      </c>
      <c r="G60" s="8" t="s">
        <v>93</v>
      </c>
      <c r="H60" s="8" t="s">
        <v>163</v>
      </c>
    </row>
    <row r="61" customFormat="false" ht="15" hidden="false" customHeight="false" outlineLevel="0" collapsed="false">
      <c r="A61" s="0" t="s">
        <v>164</v>
      </c>
      <c r="B61" s="0" t="s">
        <v>165</v>
      </c>
      <c r="C61" s="0" t="s">
        <v>123</v>
      </c>
      <c r="D61" s="7" t="n">
        <v>0.96</v>
      </c>
      <c r="E61" s="7" t="n">
        <v>1.2</v>
      </c>
      <c r="F61" s="7" t="n">
        <v>1.44</v>
      </c>
      <c r="G61" s="8" t="s">
        <v>93</v>
      </c>
      <c r="H61" s="6" t="s">
        <v>29</v>
      </c>
    </row>
    <row r="62" customFormat="false" ht="15" hidden="false" customHeight="false" outlineLevel="0" collapsed="false">
      <c r="A62" s="0" t="s">
        <v>166</v>
      </c>
      <c r="B62" s="0" t="s">
        <v>167</v>
      </c>
      <c r="C62" s="6" t="s">
        <v>118</v>
      </c>
      <c r="D62" s="7" t="n">
        <v>16</v>
      </c>
      <c r="E62" s="7" t="n">
        <v>20</v>
      </c>
      <c r="F62" s="7" t="n">
        <v>24</v>
      </c>
      <c r="G62" s="8" t="s">
        <v>35</v>
      </c>
    </row>
    <row r="63" customFormat="false" ht="15" hidden="false" customHeight="false" outlineLevel="0" collapsed="false">
      <c r="A63" s="0" t="s">
        <v>168</v>
      </c>
      <c r="B63" s="0" t="s">
        <v>169</v>
      </c>
      <c r="C63" s="0" t="s">
        <v>123</v>
      </c>
      <c r="D63" s="7" t="n">
        <v>0.96</v>
      </c>
      <c r="E63" s="7" t="n">
        <v>1.2</v>
      </c>
      <c r="F63" s="7" t="n">
        <v>1.44</v>
      </c>
      <c r="G63" s="8" t="s">
        <v>35</v>
      </c>
      <c r="H63" s="6" t="s">
        <v>29</v>
      </c>
    </row>
    <row r="64" customFormat="false" ht="15" hidden="false" customHeight="false" outlineLevel="0" collapsed="false">
      <c r="A64" s="0" t="s">
        <v>170</v>
      </c>
      <c r="B64" s="6" t="s">
        <v>171</v>
      </c>
      <c r="C64" s="6" t="s">
        <v>172</v>
      </c>
      <c r="E64" s="7" t="n">
        <v>150</v>
      </c>
      <c r="G64" s="8" t="s">
        <v>35</v>
      </c>
      <c r="H64" s="8" t="s">
        <v>173</v>
      </c>
    </row>
    <row r="65" customFormat="false" ht="15" hidden="false" customHeight="false" outlineLevel="0" collapsed="false">
      <c r="A65" s="0" t="s">
        <v>174</v>
      </c>
      <c r="B65" s="6" t="s">
        <v>175</v>
      </c>
      <c r="C65" s="0" t="s">
        <v>34</v>
      </c>
      <c r="E65" s="7" t="n">
        <v>0.25</v>
      </c>
      <c r="G65" s="8" t="s">
        <v>35</v>
      </c>
    </row>
    <row r="66" customFormat="false" ht="15" hidden="false" customHeight="false" outlineLevel="0" collapsed="false">
      <c r="A66" s="5" t="s">
        <v>176</v>
      </c>
    </row>
    <row r="67" customFormat="false" ht="15" hidden="false" customHeight="false" outlineLevel="0" collapsed="false">
      <c r="A67" s="0" t="s">
        <v>177</v>
      </c>
      <c r="B67" s="0" t="s">
        <v>178</v>
      </c>
      <c r="C67" s="6" t="s">
        <v>179</v>
      </c>
      <c r="E67" s="7" t="n">
        <v>77.5</v>
      </c>
      <c r="G67" s="8" t="s">
        <v>25</v>
      </c>
      <c r="H67" s="8" t="s">
        <v>180</v>
      </c>
    </row>
    <row r="68" customFormat="false" ht="15" hidden="false" customHeight="false" outlineLevel="0" collapsed="false">
      <c r="A68" s="0" t="s">
        <v>181</v>
      </c>
      <c r="B68" s="0" t="s">
        <v>182</v>
      </c>
      <c r="C68" s="6" t="s">
        <v>179</v>
      </c>
      <c r="E68" s="7" t="n">
        <v>130</v>
      </c>
      <c r="G68" s="8" t="s">
        <v>25</v>
      </c>
      <c r="H68" s="8" t="s">
        <v>183</v>
      </c>
    </row>
    <row r="69" customFormat="false" ht="15" hidden="false" customHeight="false" outlineLevel="0" collapsed="false">
      <c r="A69" s="0" t="s">
        <v>184</v>
      </c>
      <c r="B69" s="0" t="s">
        <v>185</v>
      </c>
      <c r="C69" s="6" t="s">
        <v>179</v>
      </c>
      <c r="E69" s="7" t="n">
        <v>200</v>
      </c>
      <c r="G69" s="8" t="s">
        <v>25</v>
      </c>
      <c r="H69" s="8" t="s">
        <v>186</v>
      </c>
    </row>
    <row r="70" customFormat="false" ht="15" hidden="false" customHeight="false" outlineLevel="0" collapsed="false">
      <c r="A70" s="0" t="s">
        <v>187</v>
      </c>
      <c r="B70" s="0" t="s">
        <v>188</v>
      </c>
      <c r="C70" s="6" t="s">
        <v>179</v>
      </c>
      <c r="E70" s="7" t="n">
        <v>260</v>
      </c>
      <c r="G70" s="8" t="s">
        <v>25</v>
      </c>
      <c r="H70" s="8" t="s">
        <v>189</v>
      </c>
    </row>
    <row r="71" customFormat="false" ht="15" hidden="false" customHeight="false" outlineLevel="0" collapsed="false">
      <c r="A71" s="0" t="s">
        <v>190</v>
      </c>
      <c r="B71" s="0" t="s">
        <v>191</v>
      </c>
      <c r="C71" s="6" t="s">
        <v>179</v>
      </c>
      <c r="E71" s="7" t="n">
        <v>320</v>
      </c>
      <c r="G71" s="8" t="s">
        <v>35</v>
      </c>
      <c r="H71" s="8" t="s">
        <v>35</v>
      </c>
    </row>
    <row r="72" customFormat="false" ht="15" hidden="false" customHeight="false" outlineLevel="0" collapsed="false">
      <c r="A72" s="0" t="s">
        <v>192</v>
      </c>
      <c r="B72" s="6" t="s">
        <v>193</v>
      </c>
      <c r="C72" s="0" t="s">
        <v>34</v>
      </c>
      <c r="D72" s="7" t="n">
        <v>0.05</v>
      </c>
      <c r="E72" s="7" t="n">
        <v>0.1</v>
      </c>
      <c r="F72" s="7" t="n">
        <v>0.2</v>
      </c>
      <c r="G72" s="8" t="s">
        <v>35</v>
      </c>
      <c r="H72" s="6" t="s">
        <v>194</v>
      </c>
    </row>
    <row r="73" customFormat="false" ht="15" hidden="false" customHeight="false" outlineLevel="0" collapsed="false">
      <c r="A73" s="0" t="s">
        <v>195</v>
      </c>
      <c r="B73" s="0" t="s">
        <v>196</v>
      </c>
      <c r="C73" s="6" t="s">
        <v>172</v>
      </c>
      <c r="E73" s="7" t="n">
        <v>1394</v>
      </c>
      <c r="G73" s="8" t="s">
        <v>25</v>
      </c>
      <c r="H73" s="8" t="s">
        <v>197</v>
      </c>
    </row>
    <row r="74" customFormat="false" ht="15" hidden="false" customHeight="false" outlineLevel="0" collapsed="false">
      <c r="A74" s="0" t="s">
        <v>198</v>
      </c>
      <c r="B74" s="0" t="s">
        <v>199</v>
      </c>
      <c r="C74" s="6" t="s">
        <v>172</v>
      </c>
      <c r="E74" s="7" t="n">
        <v>2509</v>
      </c>
      <c r="G74" s="8" t="s">
        <v>25</v>
      </c>
      <c r="H74" s="8" t="s">
        <v>200</v>
      </c>
    </row>
    <row r="75" customFormat="false" ht="15" hidden="false" customHeight="false" outlineLevel="0" collapsed="false">
      <c r="A75" s="0" t="s">
        <v>201</v>
      </c>
      <c r="B75" s="0" t="s">
        <v>202</v>
      </c>
      <c r="C75" s="0" t="s">
        <v>34</v>
      </c>
      <c r="E75" s="7" t="n">
        <v>0.21</v>
      </c>
      <c r="G75" s="8" t="s">
        <v>119</v>
      </c>
      <c r="H75" s="8" t="s">
        <v>203</v>
      </c>
    </row>
    <row r="76" customFormat="false" ht="15" hidden="false" customHeight="false" outlineLevel="0" collapsed="false">
      <c r="A76" s="5" t="s">
        <v>204</v>
      </c>
    </row>
    <row r="77" customFormat="false" ht="15" hidden="false" customHeight="false" outlineLevel="0" collapsed="false">
      <c r="A77" s="0" t="s">
        <v>205</v>
      </c>
      <c r="B77" s="6" t="s">
        <v>206</v>
      </c>
      <c r="C77" s="0" t="s">
        <v>207</v>
      </c>
      <c r="D77" s="7" t="n">
        <v>30</v>
      </c>
      <c r="E77" s="7" t="n">
        <v>32</v>
      </c>
      <c r="F77" s="7" t="n">
        <v>33</v>
      </c>
      <c r="G77" s="8" t="s">
        <v>35</v>
      </c>
      <c r="H77" s="8" t="s">
        <v>208</v>
      </c>
    </row>
    <row r="78" customFormat="false" ht="15" hidden="false" customHeight="false" outlineLevel="0" collapsed="false">
      <c r="A78" s="0" t="s">
        <v>209</v>
      </c>
      <c r="B78" s="6" t="s">
        <v>210</v>
      </c>
      <c r="C78" s="0" t="s">
        <v>211</v>
      </c>
      <c r="E78" s="7" t="n">
        <v>122.43</v>
      </c>
      <c r="G78" s="8" t="s">
        <v>212</v>
      </c>
      <c r="H78" s="6" t="s">
        <v>213</v>
      </c>
    </row>
    <row r="79" customFormat="false" ht="15" hidden="false" customHeight="false" outlineLevel="0" collapsed="false">
      <c r="A79" s="0" t="s">
        <v>214</v>
      </c>
      <c r="B79" s="6" t="s">
        <v>215</v>
      </c>
      <c r="C79" s="0" t="s">
        <v>211</v>
      </c>
      <c r="E79" s="7" t="n">
        <v>35.9</v>
      </c>
      <c r="G79" s="8" t="s">
        <v>212</v>
      </c>
      <c r="H79" s="6" t="s">
        <v>216</v>
      </c>
    </row>
    <row r="80" customFormat="false" ht="15" hidden="false" customHeight="false" outlineLevel="0" collapsed="false">
      <c r="A80" s="0" t="s">
        <v>217</v>
      </c>
      <c r="B80" s="6" t="s">
        <v>218</v>
      </c>
      <c r="C80" s="0" t="s">
        <v>211</v>
      </c>
      <c r="E80" s="7" t="n">
        <v>40.2</v>
      </c>
      <c r="G80" s="8" t="s">
        <v>212</v>
      </c>
      <c r="H80" s="6" t="s">
        <v>219</v>
      </c>
    </row>
    <row r="81" customFormat="false" ht="15" hidden="false" customHeight="false" outlineLevel="0" collapsed="false">
      <c r="A81" s="0" t="s">
        <v>220</v>
      </c>
      <c r="B81" s="6" t="s">
        <v>221</v>
      </c>
      <c r="C81" s="0" t="s">
        <v>211</v>
      </c>
      <c r="E81" s="7" t="n">
        <v>46.72</v>
      </c>
      <c r="G81" s="8" t="s">
        <v>212</v>
      </c>
      <c r="H81" s="6" t="s">
        <v>222</v>
      </c>
    </row>
    <row r="82" customFormat="false" ht="15" hidden="false" customHeight="false" outlineLevel="0" collapsed="false">
      <c r="A82" s="0" t="s">
        <v>223</v>
      </c>
      <c r="B82" s="6" t="s">
        <v>224</v>
      </c>
      <c r="C82" s="0" t="s">
        <v>211</v>
      </c>
      <c r="D82" s="7" t="n">
        <v>52.3</v>
      </c>
      <c r="E82" s="7" t="n">
        <v>53.3</v>
      </c>
      <c r="F82" s="7" t="n">
        <v>54.3</v>
      </c>
      <c r="G82" s="8" t="s">
        <v>25</v>
      </c>
      <c r="H82" s="6" t="s">
        <v>225</v>
      </c>
    </row>
    <row r="83" customFormat="false" ht="15" hidden="false" customHeight="false" outlineLevel="0" collapsed="false">
      <c r="A83" s="0" t="s">
        <v>226</v>
      </c>
      <c r="B83" s="0" t="s">
        <v>227</v>
      </c>
      <c r="C83" s="0" t="s">
        <v>207</v>
      </c>
      <c r="E83" s="7" t="n">
        <v>31.8</v>
      </c>
      <c r="G83" s="8" t="s">
        <v>25</v>
      </c>
      <c r="H83" s="6" t="s">
        <v>228</v>
      </c>
    </row>
    <row r="84" customFormat="false" ht="15" hidden="false" customHeight="false" outlineLevel="0" collapsed="false">
      <c r="A84" s="0" t="s">
        <v>229</v>
      </c>
      <c r="B84" s="6" t="s">
        <v>230</v>
      </c>
      <c r="C84" s="0" t="s">
        <v>231</v>
      </c>
      <c r="E84" s="7" t="n">
        <v>1134.1</v>
      </c>
      <c r="G84" s="8" t="s">
        <v>212</v>
      </c>
      <c r="H84" s="6" t="s">
        <v>232</v>
      </c>
    </row>
    <row r="85" customFormat="false" ht="15" hidden="false" customHeight="false" outlineLevel="0" collapsed="false">
      <c r="A85" s="0" t="s">
        <v>233</v>
      </c>
      <c r="B85" s="6" t="s">
        <v>234</v>
      </c>
      <c r="C85" s="0" t="s">
        <v>231</v>
      </c>
      <c r="E85" s="7" t="n">
        <v>1270.38</v>
      </c>
      <c r="G85" s="8" t="s">
        <v>212</v>
      </c>
      <c r="H85" s="6" t="s">
        <v>235</v>
      </c>
    </row>
    <row r="86" customFormat="false" ht="15" hidden="false" customHeight="false" outlineLevel="0" collapsed="false">
      <c r="A86" s="0" t="s">
        <v>236</v>
      </c>
      <c r="B86" s="6" t="s">
        <v>237</v>
      </c>
      <c r="C86" s="0" t="s">
        <v>231</v>
      </c>
      <c r="E86" s="7" t="n">
        <v>1494.24</v>
      </c>
      <c r="G86" s="8" t="s">
        <v>212</v>
      </c>
      <c r="H86" s="6" t="s">
        <v>238</v>
      </c>
    </row>
    <row r="87" customFormat="false" ht="15" hidden="false" customHeight="false" outlineLevel="0" collapsed="false">
      <c r="A87" s="0" t="s">
        <v>239</v>
      </c>
      <c r="B87" s="6" t="s">
        <v>240</v>
      </c>
      <c r="C87" s="0" t="s">
        <v>231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119</v>
      </c>
    </row>
    <row r="88" customFormat="false" ht="15" hidden="false" customHeight="false" outlineLevel="0" collapsed="false">
      <c r="A88" s="0" t="s">
        <v>241</v>
      </c>
      <c r="B88" s="6" t="s">
        <v>242</v>
      </c>
      <c r="C88" s="0" t="s">
        <v>34</v>
      </c>
      <c r="E88" s="7" t="n">
        <v>0.662</v>
      </c>
      <c r="G88" s="8" t="s">
        <v>212</v>
      </c>
      <c r="H88" s="6" t="s">
        <v>232</v>
      </c>
    </row>
    <row r="89" customFormat="false" ht="15" hidden="false" customHeight="false" outlineLevel="0" collapsed="false">
      <c r="A89" s="0" t="s">
        <v>243</v>
      </c>
      <c r="B89" s="6" t="s">
        <v>244</v>
      </c>
      <c r="C89" s="0" t="s">
        <v>34</v>
      </c>
      <c r="E89" s="7" t="n">
        <v>0.677</v>
      </c>
      <c r="G89" s="8" t="s">
        <v>212</v>
      </c>
      <c r="H89" s="6" t="s">
        <v>235</v>
      </c>
    </row>
    <row r="90" customFormat="false" ht="15" hidden="false" customHeight="false" outlineLevel="0" collapsed="false">
      <c r="A90" s="0" t="s">
        <v>245</v>
      </c>
      <c r="B90" s="6" t="s">
        <v>246</v>
      </c>
      <c r="C90" s="0" t="s">
        <v>34</v>
      </c>
      <c r="E90" s="7" t="n">
        <v>0.664</v>
      </c>
      <c r="G90" s="8" t="s">
        <v>212</v>
      </c>
      <c r="H90" s="6" t="s">
        <v>247</v>
      </c>
    </row>
    <row r="91" customFormat="false" ht="15" hidden="false" customHeight="false" outlineLevel="0" collapsed="false">
      <c r="A91" s="0" t="s">
        <v>248</v>
      </c>
      <c r="B91" s="6" t="s">
        <v>249</v>
      </c>
      <c r="C91" s="0" t="s">
        <v>34</v>
      </c>
      <c r="D91" s="7" t="n">
        <v>0.65</v>
      </c>
      <c r="E91" s="7" t="n">
        <v>0.66</v>
      </c>
      <c r="F91" s="7" t="n">
        <v>0.67</v>
      </c>
      <c r="G91" s="8" t="s">
        <v>25</v>
      </c>
      <c r="H91" s="6" t="s">
        <v>250</v>
      </c>
    </row>
    <row r="92" customFormat="false" ht="15" hidden="false" customHeight="false" outlineLevel="0" collapsed="false">
      <c r="A92" s="0" t="s">
        <v>251</v>
      </c>
      <c r="B92" s="6" t="s">
        <v>252</v>
      </c>
      <c r="C92" s="0" t="s">
        <v>34</v>
      </c>
      <c r="E92" s="7" t="n">
        <v>0.581</v>
      </c>
      <c r="G92" s="8" t="s">
        <v>212</v>
      </c>
      <c r="H92" s="6" t="s">
        <v>232</v>
      </c>
    </row>
    <row r="93" customFormat="false" ht="15" hidden="false" customHeight="false" outlineLevel="0" collapsed="false">
      <c r="A93" s="0" t="s">
        <v>253</v>
      </c>
      <c r="B93" s="6" t="s">
        <v>254</v>
      </c>
      <c r="C93" s="0" t="s">
        <v>34</v>
      </c>
      <c r="E93" s="7" t="n">
        <v>0.603</v>
      </c>
      <c r="G93" s="8" t="s">
        <v>212</v>
      </c>
      <c r="H93" s="6" t="s">
        <v>235</v>
      </c>
    </row>
    <row r="94" customFormat="false" ht="15" hidden="false" customHeight="false" outlineLevel="0" collapsed="false">
      <c r="A94" s="0" t="s">
        <v>255</v>
      </c>
      <c r="B94" s="6" t="s">
        <v>256</v>
      </c>
      <c r="C94" s="0" t="s">
        <v>34</v>
      </c>
      <c r="E94" s="7" t="n">
        <v>0.587</v>
      </c>
      <c r="G94" s="8" t="s">
        <v>212</v>
      </c>
      <c r="H94" s="6" t="s">
        <v>238</v>
      </c>
    </row>
    <row r="95" customFormat="false" ht="15" hidden="false" customHeight="false" outlineLevel="0" collapsed="false">
      <c r="A95" s="0" t="s">
        <v>257</v>
      </c>
      <c r="B95" s="6" t="s">
        <v>258</v>
      </c>
      <c r="C95" s="0" t="s">
        <v>34</v>
      </c>
      <c r="D95" s="7" t="n">
        <v>0.565</v>
      </c>
      <c r="E95" s="7" t="n">
        <v>0.575</v>
      </c>
      <c r="F95" s="7" t="n">
        <v>0.585</v>
      </c>
      <c r="G95" s="8" t="s">
        <v>25</v>
      </c>
      <c r="H95" s="6" t="s">
        <v>259</v>
      </c>
    </row>
    <row r="96" customFormat="false" ht="15" hidden="false" customHeight="false" outlineLevel="0" collapsed="false">
      <c r="A96" s="0" t="s">
        <v>260</v>
      </c>
      <c r="B96" s="6" t="s">
        <v>261</v>
      </c>
      <c r="C96" s="0" t="s">
        <v>231</v>
      </c>
      <c r="E96" s="7" t="n">
        <v>572.48</v>
      </c>
      <c r="G96" s="8" t="s">
        <v>212</v>
      </c>
      <c r="H96" s="6" t="s">
        <v>262</v>
      </c>
    </row>
    <row r="97" customFormat="false" ht="15" hidden="false" customHeight="false" outlineLevel="0" collapsed="false">
      <c r="A97" s="0" t="s">
        <v>263</v>
      </c>
      <c r="B97" s="6" t="s">
        <v>264</v>
      </c>
      <c r="C97" s="0" t="s">
        <v>231</v>
      </c>
      <c r="E97" s="7" t="n">
        <v>706.56</v>
      </c>
      <c r="G97" s="8" t="s">
        <v>212</v>
      </c>
      <c r="H97" s="6" t="s">
        <v>265</v>
      </c>
    </row>
    <row r="98" customFormat="false" ht="15" hidden="false" customHeight="false" outlineLevel="0" collapsed="false">
      <c r="A98" s="0" t="s">
        <v>266</v>
      </c>
      <c r="B98" s="6" t="s">
        <v>267</v>
      </c>
      <c r="C98" s="0" t="s">
        <v>231</v>
      </c>
      <c r="E98" s="7" t="n">
        <v>763.06</v>
      </c>
      <c r="G98" s="8" t="s">
        <v>212</v>
      </c>
      <c r="H98" s="6" t="s">
        <v>268</v>
      </c>
    </row>
    <row r="99" customFormat="false" ht="15" hidden="false" customHeight="false" outlineLevel="0" collapsed="false">
      <c r="A99" s="0" t="s">
        <v>269</v>
      </c>
      <c r="B99" s="0" t="s">
        <v>270</v>
      </c>
      <c r="C99" s="0" t="s">
        <v>271</v>
      </c>
      <c r="E99" s="0" t="n">
        <f aca="false">22.08+27.25+29.43</f>
        <v>78.76</v>
      </c>
      <c r="G99" s="0" t="s">
        <v>212</v>
      </c>
      <c r="H99" s="6" t="s">
        <v>272</v>
      </c>
    </row>
    <row r="100" customFormat="false" ht="15" hidden="false" customHeight="false" outlineLevel="0" collapsed="false">
      <c r="A100" s="0" t="s">
        <v>273</v>
      </c>
      <c r="B100" s="0" t="s">
        <v>274</v>
      </c>
      <c r="C100" s="0" t="s">
        <v>34</v>
      </c>
      <c r="E100" s="7" t="n">
        <v>0.68</v>
      </c>
      <c r="G100" s="8" t="s">
        <v>212</v>
      </c>
      <c r="H100" s="6" t="s">
        <v>275</v>
      </c>
    </row>
    <row r="101" customFormat="false" ht="15" hidden="false" customHeight="false" outlineLevel="0" collapsed="false">
      <c r="A101" s="0" t="s">
        <v>276</v>
      </c>
      <c r="B101" s="6" t="s">
        <v>277</v>
      </c>
      <c r="C101" s="0" t="s">
        <v>34</v>
      </c>
      <c r="E101" s="7" t="n">
        <v>0.44</v>
      </c>
      <c r="G101" s="8" t="s">
        <v>25</v>
      </c>
      <c r="H101" s="6" t="s">
        <v>278</v>
      </c>
    </row>
    <row r="102" customFormat="false" ht="15" hidden="false" customHeight="false" outlineLevel="0" collapsed="false">
      <c r="A102" s="0" t="s">
        <v>279</v>
      </c>
      <c r="B102" s="6" t="s">
        <v>280</v>
      </c>
      <c r="C102" s="0" t="s">
        <v>211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119</v>
      </c>
      <c r="H102" s="0" t="s">
        <v>281</v>
      </c>
    </row>
    <row r="103" customFormat="false" ht="15" hidden="false" customHeight="false" outlineLevel="0" collapsed="false">
      <c r="A103" s="0" t="s">
        <v>282</v>
      </c>
      <c r="B103" s="6" t="s">
        <v>283</v>
      </c>
      <c r="C103" s="0" t="s">
        <v>231</v>
      </c>
      <c r="E103" s="0" t="n">
        <f aca="false">ntd26_1q+ntd26_2q+ntd26_3q+ntd26_4q</f>
        <v>5593.66</v>
      </c>
      <c r="G103" s="0" t="s">
        <v>119</v>
      </c>
    </row>
    <row r="104" customFormat="false" ht="15" hidden="false" customHeight="false" outlineLevel="0" collapsed="false">
      <c r="A104" s="0" t="s">
        <v>284</v>
      </c>
      <c r="B104" s="0" t="s">
        <v>285</v>
      </c>
      <c r="C104" s="0" t="s">
        <v>207</v>
      </c>
      <c r="E104" s="0" t="n">
        <f aca="false">ntd26/rev26</f>
        <v>31.7605042016807</v>
      </c>
      <c r="G104" s="0" t="s">
        <v>119</v>
      </c>
      <c r="H104" s="6" t="s">
        <v>286</v>
      </c>
    </row>
    <row r="105" customFormat="false" ht="15" hidden="false" customHeight="false" outlineLevel="0" collapsed="false">
      <c r="A105" s="0" t="s">
        <v>287</v>
      </c>
      <c r="B105" s="6" t="s">
        <v>288</v>
      </c>
      <c r="C105" s="0" t="s">
        <v>34</v>
      </c>
      <c r="D105" s="7" t="n">
        <v>0</v>
      </c>
      <c r="E105" s="7" t="n">
        <v>0.2</v>
      </c>
      <c r="F105" s="7" t="n">
        <v>0.4</v>
      </c>
      <c r="G105" s="8" t="s">
        <v>35</v>
      </c>
      <c r="H105" s="6" t="s">
        <v>289</v>
      </c>
    </row>
    <row r="106" customFormat="false" ht="15" hidden="false" customHeight="false" outlineLevel="0" collapsed="false">
      <c r="A106" s="0" t="s">
        <v>290</v>
      </c>
      <c r="B106" s="0" t="s">
        <v>291</v>
      </c>
      <c r="C106" s="0" t="s">
        <v>34</v>
      </c>
      <c r="E106" s="7" t="n">
        <v>0.12</v>
      </c>
      <c r="G106" s="8" t="s">
        <v>292</v>
      </c>
      <c r="H106" s="8" t="s">
        <v>293</v>
      </c>
    </row>
    <row r="107" customFormat="false" ht="15" hidden="false" customHeight="false" outlineLevel="0" collapsed="false">
      <c r="A107" s="0" t="s">
        <v>294</v>
      </c>
      <c r="B107" s="0" t="s">
        <v>295</v>
      </c>
      <c r="C107" s="0" t="s">
        <v>34</v>
      </c>
      <c r="E107" s="7" t="n">
        <v>0.08</v>
      </c>
      <c r="G107" s="8" t="s">
        <v>292</v>
      </c>
      <c r="H107" s="8" t="s">
        <v>35</v>
      </c>
    </row>
    <row r="108" customFormat="false" ht="15" hidden="false" customHeight="false" outlineLevel="0" collapsed="false">
      <c r="A108" s="0" t="s">
        <v>296</v>
      </c>
      <c r="B108" s="0" t="s">
        <v>297</v>
      </c>
      <c r="C108" s="0" t="s">
        <v>34</v>
      </c>
      <c r="E108" s="7" t="n">
        <v>0.05</v>
      </c>
      <c r="G108" s="8" t="s">
        <v>292</v>
      </c>
      <c r="H108" s="8" t="s">
        <v>35</v>
      </c>
    </row>
    <row r="109" customFormat="false" ht="15" hidden="false" customHeight="false" outlineLevel="0" collapsed="false">
      <c r="A109" s="0" t="s">
        <v>298</v>
      </c>
      <c r="B109" s="6" t="s">
        <v>299</v>
      </c>
      <c r="C109" s="0" t="s">
        <v>34</v>
      </c>
      <c r="E109" s="7" t="n">
        <v>0.12</v>
      </c>
      <c r="G109" s="8" t="s">
        <v>35</v>
      </c>
      <c r="H109" s="6" t="s">
        <v>300</v>
      </c>
    </row>
    <row r="110" customFormat="false" ht="15" hidden="false" customHeight="false" outlineLevel="0" collapsed="false">
      <c r="A110" s="0" t="s">
        <v>301</v>
      </c>
      <c r="B110" s="6" t="s">
        <v>302</v>
      </c>
      <c r="C110" s="0" t="s">
        <v>34</v>
      </c>
      <c r="E110" s="7" t="n">
        <v>0.1</v>
      </c>
      <c r="G110" s="8" t="s">
        <v>35</v>
      </c>
    </row>
    <row r="111" customFormat="false" ht="15" hidden="false" customHeight="false" outlineLevel="0" collapsed="false">
      <c r="A111" s="0" t="s">
        <v>303</v>
      </c>
      <c r="B111" s="6" t="s">
        <v>304</v>
      </c>
      <c r="C111" s="0" t="s">
        <v>34</v>
      </c>
      <c r="E111" s="7" t="n">
        <v>0.08</v>
      </c>
      <c r="G111" s="8" t="s">
        <v>35</v>
      </c>
    </row>
    <row r="112" customFormat="false" ht="15" hidden="false" customHeight="false" outlineLevel="0" collapsed="false">
      <c r="A112" s="0" t="s">
        <v>305</v>
      </c>
      <c r="B112" s="6" t="s">
        <v>306</v>
      </c>
      <c r="C112" s="0" t="s">
        <v>34</v>
      </c>
      <c r="E112" s="7" t="n">
        <v>0.12</v>
      </c>
      <c r="G112" s="8" t="s">
        <v>35</v>
      </c>
    </row>
    <row r="113" customFormat="false" ht="15" hidden="false" customHeight="false" outlineLevel="0" collapsed="false">
      <c r="A113" s="0" t="s">
        <v>307</v>
      </c>
      <c r="B113" s="6" t="s">
        <v>308</v>
      </c>
      <c r="C113" s="0" t="s">
        <v>34</v>
      </c>
      <c r="E113" s="7" t="n">
        <v>0.05</v>
      </c>
      <c r="G113" s="8" t="s">
        <v>35</v>
      </c>
    </row>
    <row r="114" customFormat="false" ht="15" hidden="false" customHeight="false" outlineLevel="0" collapsed="false">
      <c r="A114" s="0" t="s">
        <v>309</v>
      </c>
      <c r="B114" s="6" t="s">
        <v>310</v>
      </c>
      <c r="C114" s="0" t="s">
        <v>34</v>
      </c>
      <c r="E114" s="7" t="n">
        <v>0.03</v>
      </c>
      <c r="G114" s="8" t="s">
        <v>35</v>
      </c>
    </row>
    <row r="115" customFormat="false" ht="15" hidden="false" customHeight="false" outlineLevel="0" collapsed="false">
      <c r="A115" s="0" t="s">
        <v>311</v>
      </c>
      <c r="B115" s="6" t="s">
        <v>312</v>
      </c>
      <c r="C115" s="0" t="s">
        <v>34</v>
      </c>
      <c r="E115" s="7" t="n">
        <v>0.12</v>
      </c>
      <c r="G115" s="8" t="s">
        <v>35</v>
      </c>
    </row>
    <row r="116" customFormat="false" ht="15" hidden="false" customHeight="false" outlineLevel="0" collapsed="false">
      <c r="A116" s="0" t="s">
        <v>313</v>
      </c>
      <c r="B116" s="6" t="s">
        <v>314</v>
      </c>
      <c r="C116" s="0" t="s">
        <v>34</v>
      </c>
      <c r="E116" s="7" t="n">
        <v>0</v>
      </c>
      <c r="G116" s="8" t="s">
        <v>35</v>
      </c>
    </row>
    <row r="117" customFormat="false" ht="15" hidden="false" customHeight="false" outlineLevel="0" collapsed="false">
      <c r="A117" s="0" t="s">
        <v>315</v>
      </c>
      <c r="B117" s="6" t="s">
        <v>316</v>
      </c>
      <c r="C117" s="0" t="s">
        <v>34</v>
      </c>
      <c r="E117" s="7" t="n">
        <v>-0.03</v>
      </c>
      <c r="G117" s="8" t="s">
        <v>35</v>
      </c>
    </row>
    <row r="118" customFormat="false" ht="15" hidden="false" customHeight="false" outlineLevel="0" collapsed="false">
      <c r="A118" s="5" t="s">
        <v>317</v>
      </c>
    </row>
    <row r="119" customFormat="false" ht="15" hidden="false" customHeight="false" outlineLevel="0" collapsed="false">
      <c r="A119" s="0" t="s">
        <v>318</v>
      </c>
      <c r="B119" s="6" t="s">
        <v>319</v>
      </c>
      <c r="C119" s="0" t="s">
        <v>34</v>
      </c>
      <c r="E119" s="0" t="n">
        <f aca="false">(ntd26_1q*gm26_1q+ntd26_2q*gm26_2q+ntd26_3q*gm26_3q+ntd26_4q*gm26_4q)/ntd26</f>
        <v>0.665334900583875</v>
      </c>
      <c r="G119" s="0" t="s">
        <v>119</v>
      </c>
      <c r="H119" s="0" t="s">
        <v>320</v>
      </c>
    </row>
    <row r="120" customFormat="false" ht="15" hidden="false" customHeight="false" outlineLevel="0" collapsed="false">
      <c r="A120" s="0" t="s">
        <v>321</v>
      </c>
      <c r="B120" s="6" t="s">
        <v>322</v>
      </c>
      <c r="C120" s="0" t="s">
        <v>34</v>
      </c>
      <c r="E120" s="0" t="n">
        <f aca="false">(ntd26_1q*opm26_1q+ntd26_2q*opm26_2q+ntd26_3q*opm26_3q+ntd26_4q*opm26_4q)/ntd26</f>
        <v>0.58578115580854</v>
      </c>
      <c r="G120" s="0" t="s">
        <v>119</v>
      </c>
    </row>
    <row r="121" customFormat="false" ht="15" hidden="false" customHeight="false" outlineLevel="0" collapsed="false">
      <c r="A121" s="0" t="s">
        <v>323</v>
      </c>
      <c r="B121" s="6" t="s">
        <v>324</v>
      </c>
      <c r="C121" s="0" t="s">
        <v>34</v>
      </c>
      <c r="E121" s="0" t="n">
        <f aca="false">gm26-opm26</f>
        <v>0.0795537447753351</v>
      </c>
      <c r="G121" s="0" t="s">
        <v>119</v>
      </c>
      <c r="H121" s="6" t="s">
        <v>325</v>
      </c>
    </row>
    <row r="122" customFormat="false" ht="15" hidden="false" customHeight="false" outlineLevel="0" collapsed="false">
      <c r="A122" s="0" t="s">
        <v>326</v>
      </c>
      <c r="B122" s="6" t="s">
        <v>327</v>
      </c>
      <c r="C122" s="0" t="s">
        <v>103</v>
      </c>
      <c r="E122" s="0" t="n">
        <f aca="false">(ni26_1q+ni26_2q+ni26_3q)/(ntd26_1q*opm26_1q+ntd26_2q*opm26_2q+ntd26_3q*opm26_3q)</f>
        <v>0.887071154896012</v>
      </c>
      <c r="G122" s="0" t="s">
        <v>119</v>
      </c>
      <c r="H122" s="0" t="s">
        <v>328</v>
      </c>
    </row>
    <row r="123" customFormat="false" ht="15" hidden="false" customHeight="false" outlineLevel="0" collapsed="false">
      <c r="A123" s="0" t="s">
        <v>329</v>
      </c>
      <c r="B123" s="6" t="s">
        <v>330</v>
      </c>
      <c r="C123" s="0" t="s">
        <v>34</v>
      </c>
      <c r="E123" s="7" t="n">
        <v>0.64</v>
      </c>
      <c r="G123" s="8" t="s">
        <v>93</v>
      </c>
      <c r="H123" s="8" t="s">
        <v>331</v>
      </c>
    </row>
    <row r="124" customFormat="false" ht="15" hidden="false" customHeight="false" outlineLevel="0" collapsed="false">
      <c r="A124" s="0" t="s">
        <v>332</v>
      </c>
      <c r="B124" s="6" t="s">
        <v>333</v>
      </c>
      <c r="C124" s="0" t="s">
        <v>34</v>
      </c>
      <c r="E124" s="7" t="n">
        <v>0.63</v>
      </c>
      <c r="G124" s="8" t="s">
        <v>93</v>
      </c>
    </row>
    <row r="125" customFormat="false" ht="15" hidden="false" customHeight="false" outlineLevel="0" collapsed="false">
      <c r="A125" s="0" t="s">
        <v>334</v>
      </c>
      <c r="B125" s="6" t="s">
        <v>335</v>
      </c>
      <c r="C125" s="0" t="s">
        <v>34</v>
      </c>
      <c r="E125" s="7" t="n">
        <v>0.62</v>
      </c>
      <c r="G125" s="8" t="s">
        <v>93</v>
      </c>
    </row>
    <row r="126" customFormat="false" ht="15" hidden="false" customHeight="false" outlineLevel="0" collapsed="false">
      <c r="A126" s="0" t="s">
        <v>336</v>
      </c>
      <c r="B126" s="6" t="s">
        <v>337</v>
      </c>
      <c r="C126" s="0" t="s">
        <v>34</v>
      </c>
      <c r="E126" s="7" t="n">
        <v>0.64</v>
      </c>
      <c r="G126" s="8" t="s">
        <v>93</v>
      </c>
    </row>
    <row r="127" customFormat="false" ht="15" hidden="false" customHeight="false" outlineLevel="0" collapsed="false">
      <c r="A127" s="0" t="s">
        <v>338</v>
      </c>
      <c r="B127" s="6" t="s">
        <v>339</v>
      </c>
      <c r="C127" s="0" t="s">
        <v>34</v>
      </c>
      <c r="E127" s="7" t="n">
        <v>0.58</v>
      </c>
      <c r="G127" s="8" t="s">
        <v>93</v>
      </c>
    </row>
    <row r="128" customFormat="false" ht="15" hidden="false" customHeight="false" outlineLevel="0" collapsed="false">
      <c r="A128" s="0" t="s">
        <v>340</v>
      </c>
      <c r="B128" s="6" t="s">
        <v>341</v>
      </c>
      <c r="C128" s="0" t="s">
        <v>34</v>
      </c>
      <c r="E128" s="7" t="n">
        <v>0.56</v>
      </c>
      <c r="G128" s="8" t="s">
        <v>93</v>
      </c>
    </row>
    <row r="129" customFormat="false" ht="15" hidden="false" customHeight="false" outlineLevel="0" collapsed="false">
      <c r="A129" s="0" t="s">
        <v>342</v>
      </c>
      <c r="B129" s="6" t="s">
        <v>343</v>
      </c>
      <c r="C129" s="0" t="s">
        <v>34</v>
      </c>
      <c r="E129" s="7" t="n">
        <v>0.64</v>
      </c>
      <c r="G129" s="8" t="s">
        <v>93</v>
      </c>
    </row>
    <row r="130" customFormat="false" ht="15" hidden="false" customHeight="false" outlineLevel="0" collapsed="false">
      <c r="A130" s="0" t="s">
        <v>344</v>
      </c>
      <c r="B130" s="6" t="s">
        <v>345</v>
      </c>
      <c r="C130" s="0" t="s">
        <v>34</v>
      </c>
      <c r="E130" s="7" t="n">
        <v>0.54</v>
      </c>
      <c r="G130" s="8" t="s">
        <v>93</v>
      </c>
    </row>
    <row r="131" customFormat="false" ht="15" hidden="false" customHeight="false" outlineLevel="0" collapsed="false">
      <c r="A131" s="0" t="s">
        <v>346</v>
      </c>
      <c r="B131" s="6" t="s">
        <v>347</v>
      </c>
      <c r="C131" s="0" t="s">
        <v>34</v>
      </c>
      <c r="E131" s="7" t="n">
        <v>0.52</v>
      </c>
      <c r="G131" s="8" t="s">
        <v>93</v>
      </c>
    </row>
    <row r="132" customFormat="false" ht="15" hidden="false" customHeight="false" outlineLevel="0" collapsed="false">
      <c r="A132" s="0" t="s">
        <v>348</v>
      </c>
      <c r="B132" s="6" t="s">
        <v>349</v>
      </c>
      <c r="C132" s="0" t="s">
        <v>34</v>
      </c>
      <c r="E132" s="7" t="n">
        <v>0.075</v>
      </c>
      <c r="G132" s="8" t="s">
        <v>119</v>
      </c>
      <c r="H132" s="8" t="s">
        <v>350</v>
      </c>
    </row>
    <row r="133" customFormat="false" ht="15" hidden="false" customHeight="false" outlineLevel="0" collapsed="false">
      <c r="A133" s="0" t="s">
        <v>351</v>
      </c>
      <c r="B133" s="6" t="s">
        <v>352</v>
      </c>
      <c r="C133" s="0" t="s">
        <v>103</v>
      </c>
      <c r="E133" s="7" t="n">
        <v>0.92</v>
      </c>
      <c r="G133" s="8" t="s">
        <v>119</v>
      </c>
      <c r="H133" s="8" t="s">
        <v>353</v>
      </c>
    </row>
    <row r="134" customFormat="false" ht="15" hidden="false" customHeight="false" outlineLevel="0" collapsed="false">
      <c r="A134" s="0" t="s">
        <v>354</v>
      </c>
      <c r="B134" s="6" t="s">
        <v>355</v>
      </c>
      <c r="C134" s="6" t="s">
        <v>356</v>
      </c>
      <c r="E134" s="7" t="n">
        <v>25.93</v>
      </c>
      <c r="G134" s="8" t="s">
        <v>119</v>
      </c>
      <c r="H134" s="6" t="s">
        <v>357</v>
      </c>
    </row>
    <row r="135" customFormat="false" ht="15" hidden="false" customHeight="false" outlineLevel="0" collapsed="false">
      <c r="A135" s="0" t="s">
        <v>358</v>
      </c>
      <c r="B135" s="6" t="s">
        <v>359</v>
      </c>
      <c r="C135" s="0" t="s">
        <v>271</v>
      </c>
      <c r="E135" s="7" t="n">
        <v>2585</v>
      </c>
      <c r="G135" s="8" t="s">
        <v>25</v>
      </c>
      <c r="H135" s="8" t="s">
        <v>360</v>
      </c>
    </row>
    <row r="136" customFormat="false" ht="15" hidden="false" customHeight="false" outlineLevel="0" collapsed="false">
      <c r="A136" s="0" t="s">
        <v>361</v>
      </c>
      <c r="B136" s="6" t="s">
        <v>362</v>
      </c>
      <c r="C136" s="0" t="s">
        <v>211</v>
      </c>
      <c r="E136" s="7" t="n">
        <v>62</v>
      </c>
      <c r="G136" s="8" t="s">
        <v>25</v>
      </c>
      <c r="H136" s="6" t="s">
        <v>363</v>
      </c>
    </row>
    <row r="137" customFormat="false" ht="15" hidden="false" customHeight="false" outlineLevel="0" collapsed="false">
      <c r="A137" s="0" t="s">
        <v>364</v>
      </c>
      <c r="B137" s="6" t="s">
        <v>365</v>
      </c>
      <c r="C137" s="0" t="s">
        <v>211</v>
      </c>
      <c r="E137" s="7" t="n">
        <v>77</v>
      </c>
      <c r="G137" s="8" t="s">
        <v>25</v>
      </c>
      <c r="H137" s="8" t="s">
        <v>366</v>
      </c>
    </row>
    <row r="138" customFormat="false" ht="15" hidden="false" customHeight="false" outlineLevel="0" collapsed="false">
      <c r="A138" s="0" t="s">
        <v>367</v>
      </c>
      <c r="B138" s="6" t="s">
        <v>368</v>
      </c>
      <c r="C138" s="0" t="s">
        <v>211</v>
      </c>
      <c r="E138" s="7" t="n">
        <v>90</v>
      </c>
      <c r="G138" s="8" t="s">
        <v>25</v>
      </c>
      <c r="H138" s="8" t="s">
        <v>369</v>
      </c>
    </row>
    <row r="139" customFormat="false" ht="15" hidden="false" customHeight="false" outlineLevel="0" collapsed="false">
      <c r="A139" s="0" t="s">
        <v>370</v>
      </c>
      <c r="B139" s="6" t="s">
        <v>371</v>
      </c>
      <c r="C139" s="0" t="s">
        <v>211</v>
      </c>
      <c r="E139" s="7" t="n">
        <v>95</v>
      </c>
      <c r="G139" s="8" t="s">
        <v>35</v>
      </c>
    </row>
    <row r="140" customFormat="false" ht="15" hidden="false" customHeight="false" outlineLevel="0" collapsed="false">
      <c r="A140" s="0" t="s">
        <v>372</v>
      </c>
      <c r="B140" s="0" t="s">
        <v>373</v>
      </c>
      <c r="C140" s="0" t="s">
        <v>103</v>
      </c>
      <c r="E140" s="7" t="n">
        <v>15</v>
      </c>
      <c r="G140" s="8" t="s">
        <v>25</v>
      </c>
      <c r="H140" s="6" t="s">
        <v>374</v>
      </c>
    </row>
    <row r="141" customFormat="false" ht="15" hidden="false" customHeight="false" outlineLevel="0" collapsed="false">
      <c r="A141" s="0" t="s">
        <v>375</v>
      </c>
      <c r="B141" s="0" t="s">
        <v>376</v>
      </c>
      <c r="C141" s="0" t="s">
        <v>103</v>
      </c>
      <c r="E141" s="7" t="n">
        <v>20.5</v>
      </c>
      <c r="G141" s="8" t="s">
        <v>25</v>
      </c>
      <c r="H141" s="8" t="s">
        <v>377</v>
      </c>
    </row>
    <row r="142" customFormat="false" ht="15" hidden="false" customHeight="false" outlineLevel="0" collapsed="false">
      <c r="A142" s="0" t="s">
        <v>378</v>
      </c>
      <c r="B142" s="0" t="s">
        <v>379</v>
      </c>
      <c r="C142" s="0" t="s">
        <v>103</v>
      </c>
      <c r="E142" s="7" t="n">
        <v>32.7</v>
      </c>
      <c r="G142" s="8" t="s">
        <v>25</v>
      </c>
      <c r="H142" s="8" t="s">
        <v>380</v>
      </c>
    </row>
    <row r="143" customFormat="false" ht="15" hidden="false" customHeight="false" outlineLevel="0" collapsed="false">
      <c r="A143" s="0" t="s">
        <v>381</v>
      </c>
      <c r="B143" s="6" t="s">
        <v>382</v>
      </c>
      <c r="C143" s="0" t="s">
        <v>211</v>
      </c>
      <c r="E143" s="7" t="n">
        <v>229</v>
      </c>
      <c r="G143" s="8" t="s">
        <v>25</v>
      </c>
      <c r="H143" s="8" t="s">
        <v>383</v>
      </c>
    </row>
    <row r="144" customFormat="false" ht="15" hidden="false" customHeight="false" outlineLevel="0" collapsed="false">
      <c r="A144" s="0" t="s">
        <v>384</v>
      </c>
      <c r="B144" s="6" t="s">
        <v>385</v>
      </c>
      <c r="C144" s="0" t="s">
        <v>271</v>
      </c>
      <c r="E144" s="7" t="n">
        <v>107.6</v>
      </c>
      <c r="G144" s="8" t="s">
        <v>25</v>
      </c>
      <c r="H144" s="8" t="s">
        <v>386</v>
      </c>
    </row>
    <row r="145" customFormat="false" ht="15" hidden="false" customHeight="false" outlineLevel="0" collapsed="false">
      <c r="A145" s="0" t="s">
        <v>387</v>
      </c>
      <c r="B145" s="6" t="s">
        <v>388</v>
      </c>
      <c r="C145" s="0" t="s">
        <v>271</v>
      </c>
      <c r="E145" s="7" t="n">
        <v>142</v>
      </c>
      <c r="G145" s="8" t="s">
        <v>25</v>
      </c>
      <c r="H145" s="8" t="s">
        <v>386</v>
      </c>
    </row>
    <row r="146" customFormat="false" ht="15" hidden="false" customHeight="false" outlineLevel="0" collapsed="false">
      <c r="A146" s="0" t="s">
        <v>389</v>
      </c>
      <c r="B146" s="0" t="s">
        <v>390</v>
      </c>
      <c r="C146" s="0" t="s">
        <v>34</v>
      </c>
      <c r="E146" s="7" t="n">
        <v>0.18</v>
      </c>
      <c r="G146" s="8" t="s">
        <v>212</v>
      </c>
      <c r="H146" s="6" t="s">
        <v>391</v>
      </c>
    </row>
    <row r="147" customFormat="false" ht="15" hidden="false" customHeight="false" outlineLevel="0" collapsed="false">
      <c r="A147" s="0" t="s">
        <v>392</v>
      </c>
      <c r="B147" s="0" t="s">
        <v>393</v>
      </c>
      <c r="C147" s="0" t="s">
        <v>34</v>
      </c>
      <c r="E147" s="7" t="n">
        <v>0.57</v>
      </c>
      <c r="G147" s="8" t="s">
        <v>212</v>
      </c>
      <c r="H147" s="6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4" t="s">
        <v>14</v>
      </c>
      <c r="B3" s="9" t="s">
        <v>396</v>
      </c>
      <c r="C3" s="9" t="s">
        <v>397</v>
      </c>
      <c r="D3" s="9" t="s">
        <v>398</v>
      </c>
      <c r="E3" s="9" t="s">
        <v>399</v>
      </c>
      <c r="F3" s="4" t="s">
        <v>400</v>
      </c>
    </row>
    <row r="4" customFormat="false" ht="15" hidden="false" customHeight="false" outlineLevel="0" collapsed="false">
      <c r="A4" s="3" t="s">
        <v>401</v>
      </c>
      <c r="B4" s="10" t="n">
        <f aca="false">u_bw_26/pp_GB*1000</f>
        <v>385.714285714286</v>
      </c>
      <c r="C4" s="10" t="n">
        <f aca="false">u_bw_27/pp_GB*1000</f>
        <v>171.428571428571</v>
      </c>
      <c r="D4" s="10" t="n">
        <f aca="false">u_bw_28*um28_A/pp_GB*1000</f>
        <v>35.7142857142857</v>
      </c>
      <c r="E4" s="10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402</v>
      </c>
      <c r="B5" s="10" t="n">
        <f aca="false">u_rb_26/pp_VR*1000</f>
        <v>212.5</v>
      </c>
      <c r="C5" s="10" t="n">
        <f aca="false">u_rb_27/pp_VR*1000</f>
        <v>875</v>
      </c>
      <c r="D5" s="10" t="n">
        <f aca="false">u_rb_28*um28_A/pp_VR*1000</f>
        <v>875</v>
      </c>
      <c r="E5" s="10" t="n">
        <f aca="false">u_rb_28*(1+g29_rb)*um29_A/pp_VR*1000</f>
        <v>1006.25</v>
      </c>
    </row>
    <row r="6" customFormat="false" ht="15" hidden="false" customHeight="false" outlineLevel="0" collapsed="false">
      <c r="A6" s="3" t="s">
        <v>403</v>
      </c>
      <c r="B6" s="10" t="n">
        <f aca="false">u_ru_26/pp_RU*1000</f>
        <v>0</v>
      </c>
      <c r="C6" s="10" t="n">
        <f aca="false">u_ru_27/pp_RU*1000</f>
        <v>75</v>
      </c>
      <c r="D6" s="10" t="n">
        <f aca="false">u_ru_28*um28_A/pp_RU*1000</f>
        <v>500</v>
      </c>
      <c r="E6" s="10" t="n">
        <f aca="false">u_ru_28*(1+g29_ru)*um29_A/pp_RU*1000</f>
        <v>575</v>
      </c>
    </row>
    <row r="7" customFormat="false" ht="15" hidden="false" customHeight="false" outlineLevel="0" collapsed="false">
      <c r="A7" s="3" t="s">
        <v>404</v>
      </c>
      <c r="B7" s="10" t="n">
        <f aca="false">u_hp_26/pp_HP*1000</f>
        <v>17.2413793103448</v>
      </c>
      <c r="C7" s="10" t="n">
        <f aca="false">u_hp_27/pp_HP*1000</f>
        <v>0</v>
      </c>
      <c r="D7" s="10" t="n">
        <f aca="false">u_hp_28*um28_A/pp_HP*1000</f>
        <v>0</v>
      </c>
      <c r="E7" s="10" t="n">
        <f aca="false">u_hp_28*(1+g29_hp)*um29_A/pp_HP*1000</f>
        <v>0</v>
      </c>
    </row>
    <row r="8" customFormat="false" ht="15" hidden="false" customHeight="false" outlineLevel="0" collapsed="false">
      <c r="A8" s="3" t="s">
        <v>405</v>
      </c>
      <c r="B8" s="10" t="n">
        <f aca="false">u_amd_26/pp_AMD8*1000</f>
        <v>88.2352941176471</v>
      </c>
      <c r="C8" s="10" t="n">
        <f aca="false">u_amd_27/pp_AMDR*1000</f>
        <v>250</v>
      </c>
      <c r="D8" s="10" t="n">
        <f aca="false">u_amd_28*um28_A/pp_AMDR*1000</f>
        <v>333.333333333333</v>
      </c>
      <c r="E8" s="10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406</v>
      </c>
      <c r="B9" s="10" t="n">
        <f aca="false">u_tpu_26/pp_TPU7*1000</f>
        <v>137.5</v>
      </c>
      <c r="C9" s="10" t="n">
        <f aca="false">u_tpu_27/pp_TPU8*1000</f>
        <v>229.166666666667</v>
      </c>
      <c r="D9" s="10" t="n">
        <f aca="false">u_tpu_28*um28_A/pp_TPU8*1000</f>
        <v>291.666666666667</v>
      </c>
      <c r="E9" s="10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407</v>
      </c>
      <c r="B10" s="10" t="n">
        <f aca="false">u_trn_26/pp_TRN*1000</f>
        <v>66.6666666666667</v>
      </c>
      <c r="C10" s="10" t="n">
        <f aca="false">u_trn_27/pp_TRN*1000</f>
        <v>83.3333333333333</v>
      </c>
      <c r="D10" s="10" t="n">
        <f aca="false">u_trn_28*um28_A/pp_TRN*1000</f>
        <v>100</v>
      </c>
      <c r="E10" s="10" t="n">
        <f aca="false">u_trn_28*(1+g29_trn)*um29_A/pp_TRN*1000</f>
        <v>115</v>
      </c>
    </row>
    <row r="11" customFormat="false" ht="15" hidden="false" customHeight="false" outlineLevel="0" collapsed="false">
      <c r="A11" s="2" t="s">
        <v>408</v>
      </c>
      <c r="B11" s="10" t="n">
        <f aca="false">u_oth_26/pp_ASIC*1000</f>
        <v>50</v>
      </c>
      <c r="C11" s="10" t="n">
        <f aca="false">u_oth_27/pp_ASIC*1000</f>
        <v>225</v>
      </c>
      <c r="D11" s="10" t="n">
        <f aca="false">u_oth_28*um28_A/pp_ASIC*1000</f>
        <v>250</v>
      </c>
      <c r="E11" s="10" t="n">
        <f aca="false">u_oth_28*(1+g29_oth)*um29_A/pp_ASIC*1000</f>
        <v>287.5</v>
      </c>
    </row>
    <row r="12" customFormat="false" ht="15" hidden="false" customHeight="false" outlineLevel="0" collapsed="false">
      <c r="A12" s="2" t="s">
        <v>409</v>
      </c>
      <c r="B12" s="10" t="n">
        <f aca="false">cow_oth26</f>
        <v>150</v>
      </c>
      <c r="C12" s="10" t="n">
        <f aca="false">B12*(1+cow_oth_g)</f>
        <v>187.5</v>
      </c>
      <c r="D12" s="10" t="n">
        <f aca="false">C12*(1+cow_oth_g)</f>
        <v>234.375</v>
      </c>
      <c r="E12" s="10" t="n">
        <f aca="false">D12*(1+cow_oth_g)</f>
        <v>292.96875</v>
      </c>
    </row>
    <row r="13" customFormat="false" ht="15" hidden="false" customHeight="false" outlineLevel="0" collapsed="false">
      <c r="A13" s="1" t="s">
        <v>410</v>
      </c>
      <c r="B13" s="10" t="n">
        <f aca="false">SUM(B4:B12)</f>
        <v>1107.85762580894</v>
      </c>
      <c r="C13" s="10" t="n">
        <f aca="false">SUM(C4:C12)</f>
        <v>2096.42857142857</v>
      </c>
      <c r="D13" s="10" t="n">
        <f aca="false">SUM(D4:D12)</f>
        <v>2620.08928571429</v>
      </c>
      <c r="E13" s="10" t="n">
        <f aca="false">SUM(E4:E12)</f>
        <v>3013.32589285714</v>
      </c>
    </row>
    <row r="14" customFormat="false" ht="15" hidden="false" customHeight="false" outlineLevel="0" collapsed="false">
      <c r="A14" s="2" t="s">
        <v>411</v>
      </c>
      <c r="B14" s="10" t="n">
        <f aca="false">B4+B5+B6+B7</f>
        <v>615.455665024631</v>
      </c>
      <c r="C14" s="10" t="n">
        <f aca="false">C4+C5+C6+C7</f>
        <v>1121.42857142857</v>
      </c>
      <c r="D14" s="10" t="n">
        <f aca="false">D4+D5+D6+D7</f>
        <v>1410.71428571429</v>
      </c>
      <c r="E14" s="10" t="n">
        <f aca="false">E4+E5+E6+E7</f>
        <v>1599.10714285714</v>
      </c>
    </row>
    <row r="15" customFormat="false" ht="15" hidden="false" customHeight="false" outlineLevel="0" collapsed="false">
      <c r="A15" s="2" t="s">
        <v>412</v>
      </c>
      <c r="B15" s="10" t="n">
        <f aca="false">(cap_end25+cap_end26)/2*12</f>
        <v>1245</v>
      </c>
      <c r="C15" s="10" t="n">
        <f aca="false">(cap_end26+cap_end27)/2*12</f>
        <v>1980</v>
      </c>
      <c r="D15" s="10" t="n">
        <f aca="false">(cap_end27+cap_end28)/2*12</f>
        <v>2760</v>
      </c>
      <c r="E15" s="10" t="n">
        <f aca="false">(cap_end28+cap_end29)/2*12</f>
        <v>3480</v>
      </c>
    </row>
    <row r="16" customFormat="false" ht="15" hidden="false" customHeight="false" outlineLevel="0" collapsed="false">
      <c r="A16" s="2" t="s">
        <v>413</v>
      </c>
      <c r="B16" s="10" t="n">
        <f aca="false">B15*(1+osat)</f>
        <v>1369.5</v>
      </c>
      <c r="C16" s="10" t="n">
        <f aca="false">C15*(1+osat)</f>
        <v>2178</v>
      </c>
      <c r="D16" s="10" t="n">
        <f aca="false">D15*(1+osat)</f>
        <v>3036</v>
      </c>
      <c r="E16" s="10" t="n">
        <f aca="false">E15*(1+osat)</f>
        <v>3828</v>
      </c>
    </row>
    <row r="17" customFormat="false" ht="15" hidden="false" customHeight="false" outlineLevel="0" collapsed="false">
      <c r="A17" s="2" t="s">
        <v>414</v>
      </c>
      <c r="B17" s="11" t="n">
        <f aca="false">B13/B16</f>
        <v>0.808950438706787</v>
      </c>
      <c r="C17" s="11" t="n">
        <f aca="false">C13/C16</f>
        <v>0.962547553456644</v>
      </c>
      <c r="D17" s="11" t="n">
        <f aca="false">D13/D16</f>
        <v>0.863007011104837</v>
      </c>
      <c r="E17" s="11" t="n">
        <f aca="false">E13/E16</f>
        <v>0.787180222794447</v>
      </c>
      <c r="F17" s="8" t="s">
        <v>415</v>
      </c>
    </row>
    <row r="18" customFormat="false" ht="15" hidden="false" customHeight="false" outlineLevel="0" collapsed="false">
      <c r="A18" s="2" t="s">
        <v>416</v>
      </c>
      <c r="C18" s="11" t="n">
        <f aca="false">hbm_gap27</f>
        <v>0.21</v>
      </c>
      <c r="F18" s="8" t="s">
        <v>417</v>
      </c>
    </row>
    <row r="19" customFormat="false" ht="15" hidden="false" customHeight="false" outlineLevel="0" collapsed="false">
      <c r="A19" s="2" t="s">
        <v>418</v>
      </c>
      <c r="B19" s="10" t="n">
        <f aca="false">ms_dem26</f>
        <v>1394</v>
      </c>
      <c r="C19" s="10" t="n">
        <f aca="false">ms_dem27</f>
        <v>2509</v>
      </c>
    </row>
    <row r="20" customFormat="false" ht="15" hidden="false" customHeight="false" outlineLevel="0" collapsed="false">
      <c r="A20" s="2" t="s">
        <v>419</v>
      </c>
      <c r="B20" s="11" t="n">
        <f aca="false">B13/B19-1</f>
        <v>-0.205267126392436</v>
      </c>
      <c r="C20" s="11" t="n">
        <f aca="false">C13/C19-1</f>
        <v>-0.16443659966976</v>
      </c>
    </row>
    <row r="21" customFormat="false" ht="15" hidden="false" customHeight="false" outlineLevel="0" collapsed="false">
      <c r="A21" s="3" t="s">
        <v>420</v>
      </c>
      <c r="B21" s="11" t="n">
        <f aca="false">B14/660-1</f>
        <v>-0.0674914166293474</v>
      </c>
      <c r="C21" s="11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0" t="s">
        <v>421</v>
      </c>
    </row>
    <row r="3" customFormat="false" ht="15" hidden="false" customHeight="false" outlineLevel="0" collapsed="false">
      <c r="A3" s="4" t="s">
        <v>14</v>
      </c>
      <c r="B3" s="9" t="s">
        <v>396</v>
      </c>
      <c r="C3" s="9" t="s">
        <v>422</v>
      </c>
      <c r="D3" s="9" t="s">
        <v>423</v>
      </c>
      <c r="E3" s="9" t="s">
        <v>424</v>
      </c>
      <c r="F3" s="9" t="s">
        <v>425</v>
      </c>
      <c r="G3" s="9" t="s">
        <v>426</v>
      </c>
      <c r="H3" s="9" t="s">
        <v>427</v>
      </c>
      <c r="I3" s="9" t="s">
        <v>428</v>
      </c>
      <c r="J3" s="9" t="s">
        <v>429</v>
      </c>
      <c r="K3" s="9" t="s">
        <v>430</v>
      </c>
    </row>
    <row r="4" customFormat="false" ht="15" hidden="false" customHeight="false" outlineLevel="0" collapsed="false">
      <c r="A4" s="0" t="s">
        <v>431</v>
      </c>
      <c r="B4" s="12" t="n">
        <f aca="false">(u_bw_26*ct_GB+u_rb_26*ct_VR+u_ru_26*ct_RU+u_hp_26*ct_HP+u_amd_26*ct_AMD8+u_tpu_26*ct_TPU7+u_trn_26*ct_TRN+u_oth_26*ct_ASIC)*1</f>
        <v>28.605</v>
      </c>
      <c r="C4" s="12" t="n">
        <f aca="false">(u_bw_27*ct_GB+u_rb_27*ct_VR+u_ru_27*ct_RU+u_hp_27*ct_HP+u_amd_27*ct_AMDR+u_tpu_27*ct_TPU8+u_trn_27*ct_TRN+u_oth_27*ct_ASIC)*(1+px27)</f>
        <v>55.6864</v>
      </c>
      <c r="D4" s="12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2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2" t="n">
        <f aca="false">(u_bw_27*ct_GB+u_rb_27*ct_VR+u_ru_27*ct_RU+u_hp_27*ct_HP+u_amd_27*ct_AMDR+u_tpu_27*ct_TPU8+u_trn_27*ct_TRN+u_oth_27*ct_ASIC)*(1+px27)</f>
        <v>55.6864</v>
      </c>
      <c r="G4" s="12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2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2" t="n">
        <f aca="false">(u_bw_27*ct_GB+u_rb_27*ct_VR+u_ru_27*ct_RU+u_hp_27*ct_HP+u_amd_27*ct_AMDR+u_tpu_27*ct_TPU8+u_trn_27*ct_TRN+u_oth_27*ct_ASIC)*(1+px27)</f>
        <v>55.6864</v>
      </c>
      <c r="J4" s="12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2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5" hidden="false" customHeight="false" outlineLevel="0" collapsed="false">
      <c r="A5" s="0" t="s">
        <v>432</v>
      </c>
      <c r="B5" s="12" t="n">
        <f aca="false">B4*(1+ai_oth)</f>
        <v>34.326</v>
      </c>
      <c r="C5" s="12" t="n">
        <f aca="false">C4*(1+ai_oth)</f>
        <v>66.82368</v>
      </c>
      <c r="D5" s="12" t="n">
        <f aca="false">D4*(1+ai_oth)</f>
        <v>88.470144</v>
      </c>
      <c r="E5" s="12" t="n">
        <f aca="false">E4*(1+ai_oth)</f>
        <v>105.68843712</v>
      </c>
      <c r="F5" s="12" t="n">
        <f aca="false">F4*(1+ai_oth)</f>
        <v>66.82368</v>
      </c>
      <c r="G5" s="12" t="n">
        <f aca="false">G4*(1+ai_oth)</f>
        <v>70.7761152</v>
      </c>
      <c r="H5" s="12" t="n">
        <f aca="false">H4*(1+ai_oth)</f>
        <v>89.835171552</v>
      </c>
      <c r="I5" s="12" t="n">
        <f aca="false">I4*(1+ai_oth)</f>
        <v>66.82368</v>
      </c>
      <c r="J5" s="12" t="n">
        <f aca="false">J4*(1+ai_oth)</f>
        <v>53.0820864</v>
      </c>
      <c r="K5" s="12" t="n">
        <f aca="false">K4*(1+ai_oth)</f>
        <v>63.413062272</v>
      </c>
    </row>
    <row r="6" customFormat="false" ht="15" hidden="false" customHeight="false" outlineLevel="0" collapsed="false">
      <c r="A6" s="6" t="s">
        <v>433</v>
      </c>
      <c r="B6" s="12" t="n">
        <f aca="false">B7-B5</f>
        <v>141.794</v>
      </c>
      <c r="C6" s="12" t="n">
        <f aca="false">B6*(1+na27_A)</f>
        <v>158.80928</v>
      </c>
      <c r="D6" s="12" t="n">
        <f aca="false">C6*(1+na28_A)</f>
        <v>174.690208</v>
      </c>
      <c r="E6" s="12" t="n">
        <f aca="false">D6*(1+na29_A)</f>
        <v>188.66542464</v>
      </c>
      <c r="F6" s="12" t="n">
        <f aca="false">B6*(1+na27_B)</f>
        <v>158.80928</v>
      </c>
      <c r="G6" s="12" t="n">
        <f aca="false">F6*(1+na28_B)</f>
        <v>166.749744</v>
      </c>
      <c r="H6" s="12" t="n">
        <f aca="false">G6*(1+na29_B)</f>
        <v>171.75223632</v>
      </c>
      <c r="I6" s="12" t="n">
        <f aca="false">B6*(1+na27_C)</f>
        <v>158.80928</v>
      </c>
      <c r="J6" s="12" t="n">
        <f aca="false">I6*(1+na28_C)</f>
        <v>158.80928</v>
      </c>
      <c r="K6" s="12" t="n">
        <f aca="false">J6*(1+na29_C)</f>
        <v>154.0450016</v>
      </c>
    </row>
    <row r="7" customFormat="false" ht="15" hidden="false" customHeight="false" outlineLevel="0" collapsed="false">
      <c r="A7" s="6" t="s">
        <v>434</v>
      </c>
      <c r="B7" s="12" t="n">
        <f aca="false">rev26</f>
        <v>176.12</v>
      </c>
      <c r="C7" s="12" t="n">
        <f aca="false">C5+C6</f>
        <v>225.63296</v>
      </c>
      <c r="D7" s="12" t="n">
        <f aca="false">D5+D6</f>
        <v>263.160352</v>
      </c>
      <c r="E7" s="12" t="n">
        <f aca="false">E5+E6</f>
        <v>294.35386176</v>
      </c>
      <c r="F7" s="12" t="n">
        <f aca="false">F5+F6</f>
        <v>225.63296</v>
      </c>
      <c r="G7" s="12" t="n">
        <f aca="false">G5+G6</f>
        <v>237.5258592</v>
      </c>
      <c r="H7" s="12" t="n">
        <f aca="false">H5+H6</f>
        <v>261.587407872</v>
      </c>
      <c r="I7" s="12" t="n">
        <f aca="false">I5+I6</f>
        <v>225.63296</v>
      </c>
      <c r="J7" s="12" t="n">
        <f aca="false">J5+J6</f>
        <v>211.8913664</v>
      </c>
      <c r="K7" s="12" t="n">
        <f aca="false">K5+K6</f>
        <v>217.458063872</v>
      </c>
    </row>
    <row r="8" customFormat="false" ht="15" hidden="false" customHeight="false" outlineLevel="0" collapsed="false">
      <c r="A8" s="0" t="s">
        <v>435</v>
      </c>
      <c r="B8" s="13" t="n">
        <f aca="false">B5/B7</f>
        <v>0.194901203724733</v>
      </c>
      <c r="C8" s="13" t="n">
        <f aca="false">C5/C7</f>
        <v>0.296160986409078</v>
      </c>
      <c r="D8" s="13" t="n">
        <f aca="false">D5/D7</f>
        <v>0.336183408053809</v>
      </c>
      <c r="E8" s="13" t="n">
        <f aca="false">E5/E7</f>
        <v>0.359052320523563</v>
      </c>
      <c r="F8" s="13" t="n">
        <f aca="false">F5/F7</f>
        <v>0.296160986409078</v>
      </c>
      <c r="G8" s="13" t="n">
        <f aca="false">G5/G7</f>
        <v>0.297972252109214</v>
      </c>
      <c r="H8" s="13" t="n">
        <f aca="false">H5/H7</f>
        <v>0.343423149771636</v>
      </c>
      <c r="I8" s="13" t="n">
        <f aca="false">I5/I7</f>
        <v>0.296160986409078</v>
      </c>
      <c r="J8" s="13" t="n">
        <f aca="false">J5/J7</f>
        <v>0.250515569850042</v>
      </c>
      <c r="K8" s="13" t="n">
        <f aca="false">K5/K7</f>
        <v>0.291610534660725</v>
      </c>
    </row>
    <row r="9" customFormat="false" ht="15" hidden="false" customHeight="false" outlineLevel="0" collapsed="false">
      <c r="A9" s="6" t="s">
        <v>436</v>
      </c>
      <c r="B9" s="13" t="n">
        <f aca="false">gm26</f>
        <v>0.665334900583875</v>
      </c>
      <c r="C9" s="13" t="n">
        <f aca="false">gm27_A</f>
        <v>0.64</v>
      </c>
      <c r="D9" s="13" t="n">
        <f aca="false">gm28_A</f>
        <v>0.63</v>
      </c>
      <c r="E9" s="13" t="n">
        <f aca="false">gm29_A</f>
        <v>0.62</v>
      </c>
      <c r="F9" s="13" t="n">
        <f aca="false">gm27_B</f>
        <v>0.64</v>
      </c>
      <c r="G9" s="13" t="n">
        <f aca="false">gm28_B</f>
        <v>0.58</v>
      </c>
      <c r="H9" s="13" t="n">
        <f aca="false">gm29_B</f>
        <v>0.56</v>
      </c>
      <c r="I9" s="13" t="n">
        <f aca="false">gm27_C</f>
        <v>0.64</v>
      </c>
      <c r="J9" s="13" t="n">
        <f aca="false">gm28_C</f>
        <v>0.54</v>
      </c>
      <c r="K9" s="13" t="n">
        <f aca="false">gm29_C</f>
        <v>0.52</v>
      </c>
    </row>
    <row r="10" customFormat="false" ht="15" hidden="false" customHeight="false" outlineLevel="0" collapsed="false">
      <c r="A10" s="6" t="s">
        <v>437</v>
      </c>
      <c r="B10" s="12" t="n">
        <f aca="false">B7*B9</f>
        <v>117.178782690832</v>
      </c>
      <c r="C10" s="12" t="n">
        <f aca="false">C7*C9</f>
        <v>144.4050944</v>
      </c>
      <c r="D10" s="12" t="n">
        <f aca="false">D7*D9</f>
        <v>165.79102176</v>
      </c>
      <c r="E10" s="12" t="n">
        <f aca="false">E7*E9</f>
        <v>182.4993942912</v>
      </c>
      <c r="F10" s="12" t="n">
        <f aca="false">F7*F9</f>
        <v>144.4050944</v>
      </c>
      <c r="G10" s="12" t="n">
        <f aca="false">G7*G9</f>
        <v>137.764998336</v>
      </c>
      <c r="H10" s="12" t="n">
        <f aca="false">H7*H9</f>
        <v>146.48894840832</v>
      </c>
      <c r="I10" s="12" t="n">
        <f aca="false">I7*I9</f>
        <v>144.4050944</v>
      </c>
      <c r="J10" s="12" t="n">
        <f aca="false">J7*J9</f>
        <v>114.421337856</v>
      </c>
      <c r="K10" s="12" t="n">
        <f aca="false">K7*K9</f>
        <v>113.07819321344</v>
      </c>
    </row>
    <row r="11" customFormat="false" ht="15" hidden="false" customHeight="false" outlineLevel="0" collapsed="false">
      <c r="A11" s="6" t="s">
        <v>438</v>
      </c>
      <c r="B11" s="12" t="n">
        <f aca="false">B7*(B9-opex_26)</f>
        <v>103.167777161</v>
      </c>
      <c r="C11" s="12" t="n">
        <f aca="false">C7*(C9-opex)</f>
        <v>127.4826224</v>
      </c>
      <c r="D11" s="12" t="n">
        <f aca="false">D7*(D9-opex)</f>
        <v>146.05399536</v>
      </c>
      <c r="E11" s="12" t="n">
        <f aca="false">E7*(E9-opex)</f>
        <v>160.4228546592</v>
      </c>
      <c r="F11" s="12" t="n">
        <f aca="false">F7*(F9-opex)</f>
        <v>127.4826224</v>
      </c>
      <c r="G11" s="12" t="n">
        <f aca="false">G7*(G9-opex)</f>
        <v>119.950558896</v>
      </c>
      <c r="H11" s="12" t="n">
        <f aca="false">H7*(H9-opex)</f>
        <v>126.86989281792</v>
      </c>
      <c r="I11" s="12" t="n">
        <f aca="false">I7*(I9-opex)</f>
        <v>127.4826224</v>
      </c>
      <c r="J11" s="12" t="n">
        <f aca="false">J7*(J9-opex)</f>
        <v>98.529485376</v>
      </c>
      <c r="K11" s="12" t="n">
        <f aca="false">K7*(K9-opex)</f>
        <v>96.76883842304</v>
      </c>
    </row>
    <row r="12" customFormat="false" ht="15" hidden="false" customHeight="false" outlineLevel="0" collapsed="false">
      <c r="A12" s="6" t="s">
        <v>439</v>
      </c>
      <c r="B12" s="12" t="n">
        <f aca="false">B11*ni_op_26</f>
        <v>91.5171592342628</v>
      </c>
      <c r="C12" s="12" t="n">
        <f aca="false">C11*ni_op</f>
        <v>117.284012608</v>
      </c>
      <c r="D12" s="12" t="n">
        <f aca="false">D11*ni_op</f>
        <v>134.3696757312</v>
      </c>
      <c r="E12" s="12" t="n">
        <f aca="false">E11*ni_op</f>
        <v>147.589026286464</v>
      </c>
      <c r="F12" s="12" t="n">
        <f aca="false">F11*ni_op</f>
        <v>117.284012608</v>
      </c>
      <c r="G12" s="12" t="n">
        <f aca="false">G11*ni_op</f>
        <v>110.35451418432</v>
      </c>
      <c r="H12" s="12" t="n">
        <f aca="false">H11*ni_op</f>
        <v>116.720301392486</v>
      </c>
      <c r="I12" s="12" t="n">
        <f aca="false">I11*ni_op</f>
        <v>117.284012608</v>
      </c>
      <c r="J12" s="12" t="n">
        <f aca="false">J11*ni_op</f>
        <v>90.64712654592</v>
      </c>
      <c r="K12" s="12" t="n">
        <f aca="false">K11*ni_op</f>
        <v>89.0273313491968</v>
      </c>
    </row>
    <row r="13" customFormat="false" ht="15" hidden="false" customHeight="false" outlineLevel="0" collapsed="false">
      <c r="A13" s="0" t="s">
        <v>440</v>
      </c>
      <c r="B13" s="12" t="n">
        <f aca="false">B12*fx_26/shares</f>
        <v>112.095299667786</v>
      </c>
      <c r="C13" s="12" t="n">
        <f aca="false">C12*fx/shares</f>
        <v>144.73923653899</v>
      </c>
      <c r="D13" s="12" t="n">
        <f aca="false">D12*fx/shares</f>
        <v>165.824513050459</v>
      </c>
      <c r="E13" s="12" t="n">
        <f aca="false">E12*fx/shares</f>
        <v>182.138404981367</v>
      </c>
      <c r="F13" s="12" t="n">
        <f aca="false">F12*fx/shares</f>
        <v>144.73923653899</v>
      </c>
      <c r="G13" s="12" t="n">
        <f aca="false">G12*fx/shares</f>
        <v>136.18759945616</v>
      </c>
      <c r="H13" s="12" t="n">
        <f aca="false">H12*fx/shares</f>
        <v>144.043565158487</v>
      </c>
      <c r="I13" s="12" t="n">
        <f aca="false">I12*fx/shares</f>
        <v>144.73923653899</v>
      </c>
      <c r="J13" s="12" t="n">
        <f aca="false">J12*fx/shares</f>
        <v>111.866874256438</v>
      </c>
      <c r="K13" s="12" t="n">
        <f aca="false">K12*fx/shares</f>
        <v>109.867898309846</v>
      </c>
    </row>
    <row r="14" customFormat="false" ht="15" hidden="false" customHeight="false" outlineLevel="0" collapsed="false">
      <c r="A14" s="6" t="s">
        <v>441</v>
      </c>
      <c r="B14" s="14" t="n">
        <f aca="false">px/B13</f>
        <v>23.0607349965708</v>
      </c>
      <c r="C14" s="14" t="n">
        <f aca="false">px/C13</f>
        <v>17.8597045404731</v>
      </c>
      <c r="D14" s="14" t="n">
        <f aca="false">px/D13</f>
        <v>15.5887688282456</v>
      </c>
      <c r="E14" s="14" t="n">
        <f aca="false">px/E13</f>
        <v>14.1925037735147</v>
      </c>
      <c r="F14" s="14" t="n">
        <f aca="false">px/F13</f>
        <v>17.8597045404731</v>
      </c>
      <c r="G14" s="14" t="n">
        <f aca="false">px/G13</f>
        <v>18.9811701676416</v>
      </c>
      <c r="H14" s="14" t="n">
        <f aca="false">px/H13</f>
        <v>17.945959593237</v>
      </c>
      <c r="I14" s="14" t="n">
        <f aca="false">px/I13</f>
        <v>17.8597045404731</v>
      </c>
      <c r="J14" s="14" t="n">
        <f aca="false">px/J13</f>
        <v>23.1078236268073</v>
      </c>
      <c r="K14" s="14" t="n">
        <f aca="false">px/K13</f>
        <v>23.5282556576251</v>
      </c>
    </row>
    <row r="15" customFormat="false" ht="15" hidden="false" customHeight="false" outlineLevel="0" collapsed="false">
      <c r="A15" s="6" t="s">
        <v>442</v>
      </c>
      <c r="B15" s="12" t="n">
        <f aca="false">capex26</f>
        <v>62</v>
      </c>
      <c r="C15" s="12" t="n">
        <f aca="false">capex27</f>
        <v>77</v>
      </c>
      <c r="D15" s="12" t="n">
        <f aca="false">capex28</f>
        <v>90</v>
      </c>
      <c r="E15" s="12" t="n">
        <f aca="false">capex29</f>
        <v>95</v>
      </c>
      <c r="F15" s="12" t="n">
        <f aca="false">capex27</f>
        <v>77</v>
      </c>
      <c r="G15" s="12" t="n">
        <f aca="false">capex28</f>
        <v>90</v>
      </c>
      <c r="H15" s="12" t="n">
        <f aca="false">capex29</f>
        <v>95</v>
      </c>
      <c r="I15" s="12" t="n">
        <f aca="false">capex27</f>
        <v>77</v>
      </c>
      <c r="J15" s="12" t="n">
        <f aca="false">capex28</f>
        <v>90</v>
      </c>
      <c r="K15" s="12" t="n">
        <f aca="false">capex29</f>
        <v>95</v>
      </c>
    </row>
    <row r="16" customFormat="false" ht="15" hidden="false" customHeight="false" outlineLevel="0" collapsed="false">
      <c r="A16" s="6" t="s">
        <v>443</v>
      </c>
      <c r="B16" s="12" t="n">
        <f aca="false">B12-B15</f>
        <v>29.5171592342628</v>
      </c>
      <c r="C16" s="12" t="n">
        <f aca="false">C12-C15</f>
        <v>40.284012608</v>
      </c>
      <c r="D16" s="12" t="n">
        <f aca="false">D12-D15</f>
        <v>44.3696757312</v>
      </c>
      <c r="E16" s="12" t="n">
        <f aca="false">E12-E15</f>
        <v>52.5890262864641</v>
      </c>
      <c r="F16" s="12" t="n">
        <f aca="false">F12-F15</f>
        <v>40.284012608</v>
      </c>
      <c r="G16" s="12" t="n">
        <f aca="false">G12-G15</f>
        <v>20.35451418432</v>
      </c>
      <c r="H16" s="12" t="n">
        <f aca="false">H12-H15</f>
        <v>21.7203013924864</v>
      </c>
      <c r="I16" s="12" t="n">
        <f aca="false">I12-I15</f>
        <v>40.284012608</v>
      </c>
      <c r="J16" s="12" t="n">
        <f aca="false">J12-J15</f>
        <v>0.647126545920031</v>
      </c>
      <c r="K16" s="12" t="n">
        <f aca="false">K12-K15</f>
        <v>-5.97266865080319</v>
      </c>
    </row>
    <row r="18" customFormat="false" ht="15" hidden="false" customHeight="false" outlineLevel="0" collapsed="false">
      <c r="A18" s="6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4" t="s">
        <v>446</v>
      </c>
      <c r="B3" s="4" t="s">
        <v>447</v>
      </c>
      <c r="C3" s="9" t="s">
        <v>448</v>
      </c>
      <c r="D3" s="4" t="s">
        <v>449</v>
      </c>
      <c r="E3" s="9" t="s">
        <v>450</v>
      </c>
      <c r="F3" s="4" t="s">
        <v>451</v>
      </c>
      <c r="G3" s="4" t="s">
        <v>452</v>
      </c>
    </row>
    <row r="4" customFormat="false" ht="15" hidden="false" customHeight="false" outlineLevel="0" collapsed="false">
      <c r="A4" s="0" t="s">
        <v>453</v>
      </c>
      <c r="B4" s="0" t="n">
        <f aca="false">pe_1</f>
        <v>15</v>
      </c>
      <c r="C4" s="0" t="s">
        <v>397</v>
      </c>
      <c r="D4" s="0" t="s">
        <v>454</v>
      </c>
      <c r="E4" s="12" t="n">
        <f aca="false">PL!C13</f>
        <v>144.73923653899</v>
      </c>
      <c r="F4" s="10" t="n">
        <f aca="false">B4*E4</f>
        <v>2171.08854808484</v>
      </c>
      <c r="G4" s="11" t="n">
        <f aca="false">F4/px-1</f>
        <v>-0.160120484299867</v>
      </c>
    </row>
    <row r="5" customFormat="false" ht="15" hidden="false" customHeight="false" outlineLevel="0" collapsed="false">
      <c r="A5" s="0" t="s">
        <v>453</v>
      </c>
      <c r="B5" s="0" t="n">
        <f aca="false">pe_2</f>
        <v>20.5</v>
      </c>
      <c r="C5" s="0" t="s">
        <v>397</v>
      </c>
      <c r="D5" s="0" t="s">
        <v>454</v>
      </c>
      <c r="E5" s="12" t="n">
        <f aca="false">PL!C13</f>
        <v>144.73923653899</v>
      </c>
      <c r="F5" s="10" t="n">
        <f aca="false">B5*E5</f>
        <v>2967.15434904929</v>
      </c>
      <c r="G5" s="11" t="n">
        <f aca="false">F5/px-1</f>
        <v>0.147835338123515</v>
      </c>
    </row>
    <row r="6" customFormat="false" ht="15" hidden="false" customHeight="false" outlineLevel="0" collapsed="false">
      <c r="A6" s="0" t="s">
        <v>453</v>
      </c>
      <c r="B6" s="0" t="n">
        <f aca="false">pe_3</f>
        <v>32.7</v>
      </c>
      <c r="C6" s="0" t="s">
        <v>397</v>
      </c>
      <c r="D6" s="0" t="s">
        <v>454</v>
      </c>
      <c r="E6" s="12" t="n">
        <f aca="false">PL!C13</f>
        <v>144.73923653899</v>
      </c>
      <c r="F6" s="10" t="n">
        <f aca="false">B6*E6</f>
        <v>4732.97303482496</v>
      </c>
      <c r="G6" s="11" t="n">
        <f aca="false">F6/px-1</f>
        <v>0.83093734422629</v>
      </c>
    </row>
    <row r="7" customFormat="false" ht="15" hidden="false" customHeight="false" outlineLevel="0" collapsed="false">
      <c r="A7" s="0" t="s">
        <v>453</v>
      </c>
      <c r="B7" s="0" t="n">
        <f aca="false">pe_1</f>
        <v>15</v>
      </c>
      <c r="C7" s="0" t="s">
        <v>398</v>
      </c>
      <c r="D7" s="0" t="s">
        <v>454</v>
      </c>
      <c r="E7" s="12" t="n">
        <f aca="false">PL!D13</f>
        <v>165.824513050459</v>
      </c>
      <c r="F7" s="10" t="n">
        <f aca="false">B7*E7</f>
        <v>2487.36769575688</v>
      </c>
      <c r="G7" s="11" t="n">
        <f aca="false">F7/px-1</f>
        <v>-0.0377687830727719</v>
      </c>
    </row>
    <row r="8" customFormat="false" ht="15" hidden="false" customHeight="false" outlineLevel="0" collapsed="false">
      <c r="A8" s="0" t="s">
        <v>453</v>
      </c>
      <c r="B8" s="0" t="n">
        <f aca="false">pe_2</f>
        <v>20.5</v>
      </c>
      <c r="C8" s="0" t="s">
        <v>398</v>
      </c>
      <c r="D8" s="0" t="s">
        <v>454</v>
      </c>
      <c r="E8" s="12" t="n">
        <f aca="false">PL!D13</f>
        <v>165.824513050459</v>
      </c>
      <c r="F8" s="10" t="n">
        <f aca="false">B8*E8</f>
        <v>3399.40251753441</v>
      </c>
      <c r="G8" s="11" t="n">
        <f aca="false">F8/px-1</f>
        <v>0.315049329800545</v>
      </c>
    </row>
    <row r="9" customFormat="false" ht="15" hidden="false" customHeight="false" outlineLevel="0" collapsed="false">
      <c r="A9" s="0" t="s">
        <v>453</v>
      </c>
      <c r="B9" s="0" t="n">
        <f aca="false">pe_3</f>
        <v>32.7</v>
      </c>
      <c r="C9" s="0" t="s">
        <v>398</v>
      </c>
      <c r="D9" s="0" t="s">
        <v>454</v>
      </c>
      <c r="E9" s="12" t="n">
        <f aca="false">PL!D13</f>
        <v>165.824513050459</v>
      </c>
      <c r="F9" s="10" t="n">
        <f aca="false">B9*E9</f>
        <v>5422.46157675001</v>
      </c>
      <c r="G9" s="11" t="n">
        <f aca="false">F9/px-1</f>
        <v>1.09766405290136</v>
      </c>
    </row>
    <row r="10" customFormat="false" ht="15" hidden="false" customHeight="false" outlineLevel="0" collapsed="false">
      <c r="A10" s="0" t="s">
        <v>453</v>
      </c>
      <c r="B10" s="0" t="n">
        <f aca="false">pe_1</f>
        <v>15</v>
      </c>
      <c r="C10" s="0" t="s">
        <v>397</v>
      </c>
      <c r="D10" s="0" t="s">
        <v>455</v>
      </c>
      <c r="E10" s="12" t="n">
        <f aca="false">PL!F13</f>
        <v>144.73923653899</v>
      </c>
      <c r="F10" s="10" t="n">
        <f aca="false">B10*E10</f>
        <v>2171.08854808484</v>
      </c>
      <c r="G10" s="11" t="n">
        <f aca="false">F10/px-1</f>
        <v>-0.160120484299867</v>
      </c>
    </row>
    <row r="11" customFormat="false" ht="15" hidden="false" customHeight="false" outlineLevel="0" collapsed="false">
      <c r="A11" s="0" t="s">
        <v>453</v>
      </c>
      <c r="B11" s="0" t="n">
        <f aca="false">pe_2</f>
        <v>20.5</v>
      </c>
      <c r="C11" s="0" t="s">
        <v>397</v>
      </c>
      <c r="D11" s="0" t="s">
        <v>455</v>
      </c>
      <c r="E11" s="12" t="n">
        <f aca="false">PL!F13</f>
        <v>144.73923653899</v>
      </c>
      <c r="F11" s="10" t="n">
        <f aca="false">B11*E11</f>
        <v>2967.15434904929</v>
      </c>
      <c r="G11" s="11" t="n">
        <f aca="false">F11/px-1</f>
        <v>0.147835338123515</v>
      </c>
    </row>
    <row r="12" customFormat="false" ht="15" hidden="false" customHeight="false" outlineLevel="0" collapsed="false">
      <c r="A12" s="0" t="s">
        <v>453</v>
      </c>
      <c r="B12" s="0" t="n">
        <f aca="false">pe_3</f>
        <v>32.7</v>
      </c>
      <c r="C12" s="0" t="s">
        <v>397</v>
      </c>
      <c r="D12" s="0" t="s">
        <v>455</v>
      </c>
      <c r="E12" s="12" t="n">
        <f aca="false">PL!F13</f>
        <v>144.73923653899</v>
      </c>
      <c r="F12" s="10" t="n">
        <f aca="false">B12*E12</f>
        <v>4732.97303482496</v>
      </c>
      <c r="G12" s="11" t="n">
        <f aca="false">F12/px-1</f>
        <v>0.83093734422629</v>
      </c>
    </row>
    <row r="13" customFormat="false" ht="15" hidden="false" customHeight="false" outlineLevel="0" collapsed="false">
      <c r="A13" s="0" t="s">
        <v>453</v>
      </c>
      <c r="B13" s="0" t="n">
        <f aca="false">pe_1</f>
        <v>15</v>
      </c>
      <c r="C13" s="0" t="s">
        <v>398</v>
      </c>
      <c r="D13" s="0" t="s">
        <v>455</v>
      </c>
      <c r="E13" s="12" t="n">
        <f aca="false">PL!G13</f>
        <v>136.18759945616</v>
      </c>
      <c r="F13" s="10" t="n">
        <f aca="false">B13*E13</f>
        <v>2042.81399184241</v>
      </c>
      <c r="G13" s="11" t="n">
        <f aca="false">F13/px-1</f>
        <v>-0.209743136618024</v>
      </c>
    </row>
    <row r="14" customFormat="false" ht="15" hidden="false" customHeight="false" outlineLevel="0" collapsed="false">
      <c r="A14" s="0" t="s">
        <v>453</v>
      </c>
      <c r="B14" s="0" t="n">
        <f aca="false">pe_2</f>
        <v>20.5</v>
      </c>
      <c r="C14" s="0" t="s">
        <v>398</v>
      </c>
      <c r="D14" s="0" t="s">
        <v>455</v>
      </c>
      <c r="E14" s="12" t="n">
        <f aca="false">PL!G13</f>
        <v>136.18759945616</v>
      </c>
      <c r="F14" s="10" t="n">
        <f aca="false">B14*E14</f>
        <v>2791.84578885129</v>
      </c>
      <c r="G14" s="11" t="n">
        <f aca="false">F14/px-1</f>
        <v>0.0800177132887001</v>
      </c>
    </row>
    <row r="15" customFormat="false" ht="15" hidden="false" customHeight="false" outlineLevel="0" collapsed="false">
      <c r="A15" s="0" t="s">
        <v>453</v>
      </c>
      <c r="B15" s="0" t="n">
        <f aca="false">pe_3</f>
        <v>32.7</v>
      </c>
      <c r="C15" s="0" t="s">
        <v>398</v>
      </c>
      <c r="D15" s="0" t="s">
        <v>455</v>
      </c>
      <c r="E15" s="12" t="n">
        <f aca="false">PL!G13</f>
        <v>136.18759945616</v>
      </c>
      <c r="F15" s="10" t="n">
        <f aca="false">B15*E15</f>
        <v>4453.33450221645</v>
      </c>
      <c r="G15" s="11" t="n">
        <f aca="false">F15/px-1</f>
        <v>0.722759962172707</v>
      </c>
    </row>
    <row r="16" customFormat="false" ht="15" hidden="false" customHeight="false" outlineLevel="0" collapsed="false">
      <c r="A16" s="0" t="s">
        <v>453</v>
      </c>
      <c r="B16" s="0" t="n">
        <f aca="false">pe_1</f>
        <v>15</v>
      </c>
      <c r="C16" s="0" t="s">
        <v>397</v>
      </c>
      <c r="D16" s="0" t="s">
        <v>456</v>
      </c>
      <c r="E16" s="12" t="n">
        <f aca="false">PL!I13</f>
        <v>144.73923653899</v>
      </c>
      <c r="F16" s="10" t="n">
        <f aca="false">B16*E16</f>
        <v>2171.08854808484</v>
      </c>
      <c r="G16" s="11" t="n">
        <f aca="false">F16/px-1</f>
        <v>-0.160120484299867</v>
      </c>
    </row>
    <row r="17" customFormat="false" ht="15" hidden="false" customHeight="false" outlineLevel="0" collapsed="false">
      <c r="A17" s="0" t="s">
        <v>453</v>
      </c>
      <c r="B17" s="0" t="n">
        <f aca="false">pe_2</f>
        <v>20.5</v>
      </c>
      <c r="C17" s="0" t="s">
        <v>397</v>
      </c>
      <c r="D17" s="0" t="s">
        <v>456</v>
      </c>
      <c r="E17" s="12" t="n">
        <f aca="false">PL!I13</f>
        <v>144.73923653899</v>
      </c>
      <c r="F17" s="10" t="n">
        <f aca="false">B17*E17</f>
        <v>2967.15434904929</v>
      </c>
      <c r="G17" s="11" t="n">
        <f aca="false">F17/px-1</f>
        <v>0.147835338123515</v>
      </c>
    </row>
    <row r="18" customFormat="false" ht="15" hidden="false" customHeight="false" outlineLevel="0" collapsed="false">
      <c r="A18" s="0" t="s">
        <v>453</v>
      </c>
      <c r="B18" s="0" t="n">
        <f aca="false">pe_3</f>
        <v>32.7</v>
      </c>
      <c r="C18" s="0" t="s">
        <v>397</v>
      </c>
      <c r="D18" s="0" t="s">
        <v>456</v>
      </c>
      <c r="E18" s="12" t="n">
        <f aca="false">PL!I13</f>
        <v>144.73923653899</v>
      </c>
      <c r="F18" s="10" t="n">
        <f aca="false">B18*E18</f>
        <v>4732.97303482496</v>
      </c>
      <c r="G18" s="11" t="n">
        <f aca="false">F18/px-1</f>
        <v>0.83093734422629</v>
      </c>
    </row>
    <row r="19" customFormat="false" ht="15" hidden="false" customHeight="false" outlineLevel="0" collapsed="false">
      <c r="A19" s="0" t="s">
        <v>453</v>
      </c>
      <c r="B19" s="0" t="n">
        <f aca="false">pe_1</f>
        <v>15</v>
      </c>
      <c r="C19" s="0" t="s">
        <v>398</v>
      </c>
      <c r="D19" s="0" t="s">
        <v>456</v>
      </c>
      <c r="E19" s="12" t="n">
        <f aca="false">PL!J13</f>
        <v>111.866874256438</v>
      </c>
      <c r="F19" s="10" t="n">
        <f aca="false">B19*E19</f>
        <v>1678.00311384657</v>
      </c>
      <c r="G19" s="11" t="n">
        <f aca="false">F19/px-1</f>
        <v>-0.350869201606742</v>
      </c>
    </row>
    <row r="20" customFormat="false" ht="15" hidden="false" customHeight="false" outlineLevel="0" collapsed="false">
      <c r="A20" s="0" t="s">
        <v>453</v>
      </c>
      <c r="B20" s="0" t="n">
        <f aca="false">pe_2</f>
        <v>20.5</v>
      </c>
      <c r="C20" s="0" t="s">
        <v>398</v>
      </c>
      <c r="D20" s="0" t="s">
        <v>456</v>
      </c>
      <c r="E20" s="12" t="n">
        <f aca="false">PL!J13</f>
        <v>111.866874256438</v>
      </c>
      <c r="F20" s="10" t="n">
        <f aca="false">B20*E20</f>
        <v>2293.27092225698</v>
      </c>
      <c r="G20" s="11" t="n">
        <f aca="false">F20/px-1</f>
        <v>-0.112854575529214</v>
      </c>
    </row>
    <row r="21" customFormat="false" ht="15" hidden="false" customHeight="false" outlineLevel="0" collapsed="false">
      <c r="A21" s="0" t="s">
        <v>453</v>
      </c>
      <c r="B21" s="0" t="n">
        <f aca="false">pe_3</f>
        <v>32.7</v>
      </c>
      <c r="C21" s="0" t="s">
        <v>398</v>
      </c>
      <c r="D21" s="0" t="s">
        <v>456</v>
      </c>
      <c r="E21" s="12" t="n">
        <f aca="false">PL!J13</f>
        <v>111.866874256438</v>
      </c>
      <c r="F21" s="10" t="n">
        <f aca="false">B21*E21</f>
        <v>3658.04678818553</v>
      </c>
      <c r="G21" s="11" t="n">
        <f aca="false">F21/px-1</f>
        <v>0.415105140497303</v>
      </c>
    </row>
    <row r="23" customFormat="false" ht="15" hidden="false" customHeight="false" outlineLevel="0" collapsed="false">
      <c r="A23" s="6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458</v>
      </c>
    </row>
    <row r="3" customFormat="false" ht="15" hidden="false" customHeight="false" outlineLevel="0" collapsed="false">
      <c r="A3" s="4" t="s">
        <v>14</v>
      </c>
      <c r="B3" s="4" t="s">
        <v>459</v>
      </c>
      <c r="C3" s="4" t="s">
        <v>460</v>
      </c>
      <c r="D3" s="4" t="s">
        <v>461</v>
      </c>
      <c r="E3" s="4" t="s">
        <v>462</v>
      </c>
    </row>
    <row r="4" customFormat="false" ht="15" hidden="false" customHeight="false" outlineLevel="0" collapsed="false">
      <c r="A4" s="0" t="s">
        <v>463</v>
      </c>
      <c r="B4" s="15" t="n">
        <f aca="false">PL!B5</f>
        <v>34.326</v>
      </c>
      <c r="C4" s="15" t="n">
        <f aca="false">rev25*ai25_share*(1+ai_cagr)</f>
        <v>34.598718</v>
      </c>
      <c r="D4" s="11" t="n">
        <f aca="false">B4/C4-1</f>
        <v>-0.00788231517711135</v>
      </c>
      <c r="E4" s="8" t="s">
        <v>464</v>
      </c>
    </row>
    <row r="5" customFormat="false" ht="15" hidden="false" customHeight="false" outlineLevel="0" collapsed="false">
      <c r="A5" s="0" t="s">
        <v>465</v>
      </c>
      <c r="B5" s="15" t="n">
        <f aca="false">PL!B4</f>
        <v>28.605</v>
      </c>
      <c r="C5" s="15" t="n">
        <f aca="false">rev25*ai25_share*(1+ai_cagr)</f>
        <v>34.598718</v>
      </c>
      <c r="D5" s="11" t="n">
        <f aca="false">B5/C5-1</f>
        <v>-0.173235262647593</v>
      </c>
      <c r="E5" s="6" t="s">
        <v>466</v>
      </c>
    </row>
    <row r="6" customFormat="false" ht="15" hidden="false" customHeight="false" outlineLevel="0" collapsed="false">
      <c r="A6" s="0" t="s">
        <v>467</v>
      </c>
      <c r="B6" s="15" t="n">
        <f aca="false">PL!B13</f>
        <v>112.095299667786</v>
      </c>
      <c r="C6" s="15" t="n">
        <f aca="false">cons_eps26</f>
        <v>107.6</v>
      </c>
      <c r="D6" s="11" t="n">
        <f aca="false">B6/C6-1</f>
        <v>0.0417778779533982</v>
      </c>
      <c r="E6" s="8" t="s">
        <v>386</v>
      </c>
    </row>
    <row r="7" customFormat="false" ht="15" hidden="false" customHeight="false" outlineLevel="0" collapsed="false">
      <c r="A7" s="0" t="s">
        <v>468</v>
      </c>
      <c r="B7" s="15" t="n">
        <f aca="false">PL!B7</f>
        <v>176.12</v>
      </c>
      <c r="C7" s="15" t="n">
        <f aca="false">rev25*(1+g26_guid)</f>
        <v>176.2992</v>
      </c>
      <c r="D7" s="11" t="n">
        <f aca="false">B7/C7-1</f>
        <v>-0.00101645384664262</v>
      </c>
      <c r="E7" s="6" t="s">
        <v>469</v>
      </c>
    </row>
    <row r="8" customFormat="false" ht="15" hidden="false" customHeight="false" outlineLevel="0" collapsed="false">
      <c r="A8" s="0" t="s">
        <v>470</v>
      </c>
      <c r="B8" s="15" t="n">
        <f aca="false">PL!B13</f>
        <v>112.095299667786</v>
      </c>
      <c r="C8" s="15" t="n">
        <f aca="false">eps26_1to3q+ntd26_4q*opm26_4q*ni_op_26/shares</f>
        <v>112.100961063852</v>
      </c>
      <c r="D8" s="11" t="n">
        <f aca="false">B8/C8-1</f>
        <v>-5.0502654148521E-005</v>
      </c>
      <c r="E8" s="6" t="s">
        <v>471</v>
      </c>
    </row>
    <row r="9" customFormat="false" ht="15" hidden="false" customHeight="false" outlineLevel="0" collapsed="false">
      <c r="A9" s="0" t="s">
        <v>472</v>
      </c>
      <c r="B9" s="15" t="n">
        <f aca="false">PL!C7</f>
        <v>225.63296</v>
      </c>
      <c r="C9" s="15" t="n">
        <f aca="false">cons_rev27</f>
        <v>229</v>
      </c>
      <c r="D9" s="11" t="n">
        <f aca="false">B9/C9-1</f>
        <v>-0.0147032314410479</v>
      </c>
      <c r="E9" s="8" t="s">
        <v>386</v>
      </c>
    </row>
    <row r="10" customFormat="false" ht="15" hidden="false" customHeight="false" outlineLevel="0" collapsed="false">
      <c r="A10" s="0" t="s">
        <v>473</v>
      </c>
      <c r="B10" s="15" t="n">
        <f aca="false">PL!C13</f>
        <v>144.73923653899</v>
      </c>
      <c r="C10" s="15" t="n">
        <f aca="false">cons_eps27</f>
        <v>142</v>
      </c>
      <c r="D10" s="11" t="n">
        <f aca="false">B10/C10-1</f>
        <v>0.0192903981618986</v>
      </c>
      <c r="E10" s="8" t="s">
        <v>386</v>
      </c>
    </row>
    <row r="11" customFormat="false" ht="15" hidden="false" customHeight="false" outlineLevel="0" collapsed="false">
      <c r="A11" s="0" t="s">
        <v>474</v>
      </c>
      <c r="B11" s="15" t="n">
        <f aca="false">CoWoS!B13</f>
        <v>1107.85762580894</v>
      </c>
      <c r="C11" s="15" t="n">
        <f aca="false">ms_dem26</f>
        <v>1394</v>
      </c>
      <c r="D11" s="11" t="n">
        <f aca="false">B11/C11-1</f>
        <v>-0.205267126392436</v>
      </c>
      <c r="E11" s="6" t="s">
        <v>172</v>
      </c>
    </row>
    <row r="12" customFormat="false" ht="15" hidden="false" customHeight="false" outlineLevel="0" collapsed="false">
      <c r="A12" s="0" t="s">
        <v>475</v>
      </c>
      <c r="B12" s="15" t="n">
        <f aca="false">CoWoS!C13</f>
        <v>2096.42857142857</v>
      </c>
      <c r="C12" s="15" t="n">
        <f aca="false">ms_dem27</f>
        <v>2509</v>
      </c>
      <c r="D12" s="11" t="n">
        <f aca="false">B12/C12-1</f>
        <v>-0.16443659966976</v>
      </c>
      <c r="E12" s="6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0" t="s">
        <v>476</v>
      </c>
    </row>
    <row r="3" customFormat="false" ht="15" hidden="false" customHeight="false" outlineLevel="0" collapsed="false">
      <c r="A3" s="4" t="s">
        <v>477</v>
      </c>
      <c r="B3" s="9" t="s">
        <v>478</v>
      </c>
      <c r="C3" s="4" t="s">
        <v>479</v>
      </c>
      <c r="D3" s="9" t="s">
        <v>480</v>
      </c>
    </row>
    <row r="4" customFormat="false" ht="15" hidden="false" customHeight="false" outlineLevel="0" collapsed="false">
      <c r="A4" s="6" t="s">
        <v>17</v>
      </c>
      <c r="B4" s="12" t="n">
        <f aca="false">(PL!C7)*(gm27_A-opex)*ni_op*fx/shares</f>
        <v>144.73923653899</v>
      </c>
      <c r="C4" s="11" t="n">
        <f aca="false">B4/B$4-1</f>
        <v>0</v>
      </c>
      <c r="D4" s="11" t="n">
        <f aca="false">CoWoS!C17</f>
        <v>0.962547553456644</v>
      </c>
    </row>
    <row r="5" customFormat="false" ht="15" hidden="false" customHeight="false" outlineLevel="0" collapsed="false">
      <c r="A5" s="0" t="s">
        <v>481</v>
      </c>
      <c r="B5" s="12" t="n">
        <f aca="false">(PL!C7-0.3*u_rb_27*ct_VR*(1+px27)*(1+ai_oth))*(gm27_A-opex)*ni_op*fx/shares</f>
        <v>139.669792520787</v>
      </c>
      <c r="C5" s="11" t="n">
        <f aca="false">B5/B$4-1</f>
        <v>-0.035024670154573</v>
      </c>
      <c r="D5" s="11" t="n">
        <f aca="false">(CoWoS!C13-0.3*CoWoS!C5)/CoWoS!C16</f>
        <v>0.842024137478683</v>
      </c>
    </row>
    <row r="6" customFormat="false" ht="15" hidden="false" customHeight="false" outlineLevel="0" collapsed="false">
      <c r="A6" s="0" t="s">
        <v>482</v>
      </c>
      <c r="B6" s="12" t="n">
        <f aca="false">(PL!C7-PL!C5*px27/(1+px27))*(gm27_A-opex)*ni_op*fx/shares</f>
        <v>140.146438496259</v>
      </c>
      <c r="C6" s="11" t="n">
        <f aca="false">B6/B$4-1</f>
        <v>-0.0317315342581155</v>
      </c>
      <c r="D6" s="11" t="n">
        <f aca="false">CoWoS!C17</f>
        <v>0.962547553456644</v>
      </c>
    </row>
    <row r="7" customFormat="false" ht="15" hidden="false" customHeight="false" outlineLevel="0" collapsed="false">
      <c r="A7" s="6" t="s">
        <v>483</v>
      </c>
      <c r="B7" s="12" t="n">
        <f aca="false">(PL!C7)*(0.6-opex)*ni_op*fx/shares</f>
        <v>134.492210943309</v>
      </c>
      <c r="C7" s="11" t="n">
        <f aca="false">B7/B$4-1</f>
        <v>-0.070796460176991</v>
      </c>
      <c r="D7" s="11" t="n">
        <f aca="false">CoWoS!C17</f>
        <v>0.962547553456644</v>
      </c>
    </row>
    <row r="8" customFormat="false" ht="15" hidden="false" customHeight="false" outlineLevel="0" collapsed="false">
      <c r="A8" s="6" t="s">
        <v>484</v>
      </c>
      <c r="B8" s="12" t="n">
        <f aca="false">(PL!C7)*(0.67-opex)*ni_op*fx/shares</f>
        <v>152.42450573575</v>
      </c>
      <c r="C8" s="11" t="n">
        <f aca="false">B8/B$4-1</f>
        <v>0.0530973451327437</v>
      </c>
      <c r="D8" s="11" t="n">
        <f aca="false">CoWoS!C17</f>
        <v>0.962547553456644</v>
      </c>
    </row>
    <row r="9" customFormat="false" ht="15" hidden="false" customHeight="false" outlineLevel="0" collapsed="false">
      <c r="A9" s="6" t="s">
        <v>485</v>
      </c>
      <c r="B9" s="12" t="n">
        <f aca="false">(PL!C7-PL!B6*na27_A)*(gm27_A-opex)*ni_op*fx/shares</f>
        <v>133.824259238257</v>
      </c>
      <c r="C9" s="11" t="n">
        <f aca="false">B9/B$4-1</f>
        <v>-0.0754113228847415</v>
      </c>
      <c r="D9" s="11" t="n">
        <f aca="false">CoWoS!C17</f>
        <v>0.962547553456644</v>
      </c>
    </row>
    <row r="10" customFormat="false" ht="15" hidden="false" customHeight="false" outlineLevel="0" collapsed="false">
      <c r="A10" s="0" t="s">
        <v>486</v>
      </c>
      <c r="B10" s="12" t="n">
        <f aca="false">(PL!C7)*(gm27_A-opex)*ni_op*fx/shares</f>
        <v>144.73923653899</v>
      </c>
      <c r="C10" s="11" t="n">
        <f aca="false">B10/B$4-1</f>
        <v>0</v>
      </c>
      <c r="D10" s="11" t="n">
        <f aca="false">CoWoS!C13/((cap_end26+170)/2*12*(1+osat))</f>
        <v>1.05880230880231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6" t="s">
        <v>488</v>
      </c>
      <c r="B2" s="0" t="s">
        <v>489</v>
      </c>
    </row>
    <row r="3" customFormat="false" ht="15" hidden="false" customHeight="false" outlineLevel="0" collapsed="false">
      <c r="A3" s="6" t="s">
        <v>490</v>
      </c>
      <c r="B3" s="0" t="s">
        <v>491</v>
      </c>
    </row>
    <row r="4" customFormat="false" ht="15" hidden="false" customHeight="false" outlineLevel="0" collapsed="false">
      <c r="A4" s="6" t="s">
        <v>492</v>
      </c>
      <c r="B4" s="0" t="s">
        <v>493</v>
      </c>
    </row>
    <row r="5" customFormat="false" ht="15" hidden="false" customHeight="false" outlineLevel="0" collapsed="false">
      <c r="A5" s="6" t="s">
        <v>494</v>
      </c>
      <c r="B5" s="0" t="s">
        <v>495</v>
      </c>
    </row>
    <row r="6" customFormat="false" ht="15" hidden="false" customHeight="false" outlineLevel="0" collapsed="false">
      <c r="A6" s="0" t="s">
        <v>496</v>
      </c>
      <c r="B6" s="0" t="s">
        <v>497</v>
      </c>
    </row>
    <row r="7" customFormat="false" ht="15" hidden="false" customHeight="false" outlineLevel="0" collapsed="false">
      <c r="A7" s="0" t="s">
        <v>498</v>
      </c>
      <c r="B7" s="0" t="s">
        <v>499</v>
      </c>
    </row>
    <row r="8" customFormat="false" ht="15" hidden="false" customHeight="false" outlineLevel="0" collapsed="false">
      <c r="A8" s="6" t="s">
        <v>500</v>
      </c>
      <c r="B8" s="0" t="s">
        <v>501</v>
      </c>
    </row>
    <row r="9" customFormat="false" ht="15" hidden="false" customHeight="false" outlineLevel="0" collapsed="false">
      <c r="A9" s="0" t="s">
        <v>502</v>
      </c>
      <c r="B9" s="0" t="s">
        <v>503</v>
      </c>
    </row>
    <row r="10" customFormat="false" ht="15" hidden="false" customHeight="false" outlineLevel="0" collapsed="false">
      <c r="A10" s="6" t="s">
        <v>504</v>
      </c>
      <c r="B10" s="0" t="s">
        <v>505</v>
      </c>
    </row>
    <row r="11" customFormat="false" ht="15" hidden="false" customHeight="false" outlineLevel="0" collapsed="false">
      <c r="A11" s="0" t="s">
        <v>506</v>
      </c>
      <c r="B11" s="0" t="s">
        <v>507</v>
      </c>
    </row>
    <row r="12" customFormat="false" ht="15" hidden="false" customHeight="false" outlineLevel="0" collapsed="false">
      <c r="A12" s="0" t="s">
        <v>508</v>
      </c>
      <c r="B12" s="0" t="s">
        <v>509</v>
      </c>
    </row>
    <row r="13" customFormat="false" ht="15" hidden="false" customHeight="false" outlineLevel="0" collapsed="false">
      <c r="A13" s="0" t="s">
        <v>510</v>
      </c>
      <c r="B13" s="0" t="s">
        <v>511</v>
      </c>
    </row>
    <row r="14" customFormat="false" ht="15" hidden="false" customHeight="false" outlineLevel="0" collapsed="false">
      <c r="A14" s="6" t="s">
        <v>512</v>
      </c>
      <c r="B14" s="0" t="s">
        <v>513</v>
      </c>
    </row>
    <row r="15" customFormat="false" ht="15" hidden="false" customHeight="false" outlineLevel="0" collapsed="false">
      <c r="A15" s="6" t="s">
        <v>514</v>
      </c>
      <c r="B15" s="0" t="s">
        <v>515</v>
      </c>
    </row>
    <row r="16" customFormat="false" ht="15" hidden="false" customHeight="false" outlineLevel="0" collapsed="false">
      <c r="A16" s="6" t="s">
        <v>516</v>
      </c>
      <c r="B16" s="0" t="s">
        <v>517</v>
      </c>
    </row>
    <row r="17" customFormat="false" ht="15" hidden="false" customHeight="false" outlineLevel="0" collapsed="false">
      <c r="A17" s="6" t="s">
        <v>518</v>
      </c>
      <c r="B17" s="0" t="s">
        <v>519</v>
      </c>
    </row>
    <row r="18" customFormat="false" ht="15" hidden="false" customHeight="false" outlineLevel="0" collapsed="false">
      <c r="A18" s="6" t="s">
        <v>520</v>
      </c>
      <c r="B18" s="0" t="s">
        <v>521</v>
      </c>
    </row>
    <row r="19" customFormat="false" ht="15" hidden="false" customHeight="false" outlineLevel="0" collapsed="false">
      <c r="A19" s="6" t="s">
        <v>522</v>
      </c>
      <c r="B19" s="0" t="s">
        <v>523</v>
      </c>
    </row>
    <row r="20" customFormat="false" ht="15" hidden="false" customHeight="false" outlineLevel="0" collapsed="false">
      <c r="A20" s="6" t="s">
        <v>524</v>
      </c>
      <c r="B20" s="0" t="s">
        <v>525</v>
      </c>
    </row>
    <row r="21" customFormat="false" ht="15" hidden="false" customHeight="false" outlineLevel="0" collapsed="false">
      <c r="A21" s="6" t="s">
        <v>526</v>
      </c>
      <c r="B21" s="0" t="s">
        <v>527</v>
      </c>
    </row>
    <row r="22" customFormat="false" ht="15" hidden="false" customHeight="false" outlineLevel="0" collapsed="false">
      <c r="A22" s="6" t="s">
        <v>528</v>
      </c>
      <c r="B22" s="0" t="s">
        <v>529</v>
      </c>
    </row>
    <row r="23" customFormat="false" ht="15" hidden="false" customHeight="false" outlineLevel="0" collapsed="false">
      <c r="A23" s="6" t="s">
        <v>530</v>
      </c>
      <c r="B23" s="0" t="s">
        <v>531</v>
      </c>
    </row>
    <row r="24" customFormat="false" ht="15" hidden="false" customHeight="false" outlineLevel="0" collapsed="false">
      <c r="A24" s="6" t="s">
        <v>532</v>
      </c>
      <c r="B24" s="0" t="s">
        <v>533</v>
      </c>
    </row>
    <row r="25" customFormat="false" ht="15" hidden="false" customHeight="false" outlineLevel="0" collapsed="false">
      <c r="A25" s="6" t="s">
        <v>534</v>
      </c>
      <c r="B25" s="0" t="s">
        <v>535</v>
      </c>
    </row>
    <row r="26" customFormat="false" ht="14.9" hidden="false" customHeight="false" outlineLevel="0" collapsed="false">
      <c r="A26" s="6" t="s">
        <v>536</v>
      </c>
      <c r="B26" s="6" t="s">
        <v>537</v>
      </c>
    </row>
    <row r="27" customFormat="false" ht="15" hidden="false" customHeight="false" outlineLevel="0" collapsed="false">
      <c r="A27" s="0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2026-10-22T06:14:43Z</dcterms:created>
  <dc:creator>openpyxl</dc:creator>
  <dc:description/>
  <dc:language>en-US</dc:language>
  <cp:lastModifiedBy/>
  <dcterms:modified xsi:type="dcterms:W3CDTF">2026-10-22T06:14:43Z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