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NI_OI" sheetId="8" state="visible" r:id="rId10"/>
    <sheet name="Sources" sheetId="9" state="visible" r:id="rId11"/>
  </sheets>
  <definedNames>
    <definedName function="false" hidden="false" name="ai25_share" vbProcedure="false">In!$E$146</definedName>
    <definedName function="false" hidden="false" name="ai_cagr" vbProcedure="false">In!$E$147</definedName>
    <definedName function="false" hidden="false" name="ai_oth" vbProcedure="false">In!$E$105</definedName>
    <definedName function="false" hidden="false" name="ai_oth_hi" vbProcedure="false">In!$F$105</definedName>
    <definedName function="false" hidden="false" name="ai_oth_lo" vbProcedure="false">In!$D$105</definedName>
    <definedName function="false" hidden="false" name="capex26" vbProcedure="false">In!$E$136</definedName>
    <definedName function="false" hidden="false" name="capex27" vbProcedure="false">In!$E$137</definedName>
    <definedName function="false" hidden="false" name="capex28" vbProcedure="false">In!$E$138</definedName>
    <definedName function="false" hidden="false" name="capex29" vbProcedure="false">In!$E$139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ons_eps26" vbProcedure="false">In!$E$144</definedName>
    <definedName function="false" hidden="false" name="cons_eps27" vbProcedure="false">In!$E$145</definedName>
    <definedName function="false" hidden="false" name="cons_rev27" vbProcedure="false">In!$E$143</definedName>
    <definedName function="false" hidden="false" name="cow_oth26" vbProcedure="false">In!$E$64</definedName>
    <definedName function="false" hidden="false" name="cow_oth_g" vbProcedure="false">In!$E$65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eps26_1to3q" vbProcedure="false">In!$E$99</definedName>
    <definedName function="false" hidden="false" name="etr_new" vbProcedure="false">NI_OI!$B$14</definedName>
    <definedName function="false" hidden="false" name="fx" vbProcedure="false">In!$E$77</definedName>
    <definedName function="false" hidden="false" name="fx26_4q" vbProcedure="false">In!$E$83</definedName>
    <definedName function="false" hidden="false" name="fx_26" vbProcedure="false">In!$E$104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6_guid" vbProcedure="false">In!$E$101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26" vbProcedure="false">In!$E$119</definedName>
    <definedName function="false" hidden="false" name="gm26_1q" vbProcedure="false">In!$E$88</definedName>
    <definedName function="false" hidden="false" name="gm26_2q" vbProcedure="false">In!$E$89</definedName>
    <definedName function="false" hidden="false" name="gm26_3q" vbProcedure="false">In!$E$90</definedName>
    <definedName function="false" hidden="false" name="gm26_4q" vbProcedure="false">In!$E$91</definedName>
    <definedName function="false" hidden="false" name="gm26_4q_hi" vbProcedure="false">In!$F$91</definedName>
    <definedName function="false" hidden="false" name="gm26_4q_lo" vbProcedure="false">In!$D$91</definedName>
    <definedName function="false" hidden="false" name="gm27_A" vbProcedure="false">In!$E$123</definedName>
    <definedName function="false" hidden="false" name="gm27_B" vbProcedure="false">In!$E$126</definedName>
    <definedName function="false" hidden="false" name="gm27_C" vbProcedure="false">In!$E$129</definedName>
    <definedName function="false" hidden="false" name="gm28_A" vbProcedure="false">In!$E$124</definedName>
    <definedName function="false" hidden="false" name="gm28_B" vbProcedure="false">In!$E$127</definedName>
    <definedName function="false" hidden="false" name="gm28_C" vbProcedure="false">In!$E$130</definedName>
    <definedName function="false" hidden="false" name="gm29_A" vbProcedure="false">In!$E$125</definedName>
    <definedName function="false" hidden="false" name="gm29_B" vbProcedure="false">In!$E$128</definedName>
    <definedName function="false" hidden="false" name="gm29_C" vbProcedure="false">In!$E$131</definedName>
    <definedName function="false" hidden="false" name="hbm_gap27" vbProcedure="false">In!$E$75</definedName>
    <definedName function="false" hidden="false" name="hpc_3q" vbProcedure="false">In!$E$100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In!$E$109</definedName>
    <definedName function="false" hidden="false" name="na27_B" vbProcedure="false">In!$E$112</definedName>
    <definedName function="false" hidden="false" name="na27_C" vbProcedure="false">In!$E$115</definedName>
    <definedName function="false" hidden="false" name="na28_A" vbProcedure="false">In!$E$110</definedName>
    <definedName function="false" hidden="false" name="na28_B" vbProcedure="false">In!$E$113</definedName>
    <definedName function="false" hidden="false" name="na28_C" vbProcedure="false">In!$E$116</definedName>
    <definedName function="false" hidden="false" name="na29_A" vbProcedure="false">In!$E$111</definedName>
    <definedName function="false" hidden="false" name="na29_B" vbProcedure="false">In!$E$114</definedName>
    <definedName function="false" hidden="false" name="na29_C" vbProcedure="false">In!$E$117</definedName>
    <definedName function="false" hidden="false" name="ni26_1q" vbProcedure="false">In!$E$96</definedName>
    <definedName function="false" hidden="false" name="ni26_2q" vbProcedure="false">In!$E$97</definedName>
    <definedName function="false" hidden="false" name="ni26_3q" vbProcedure="false">In!$E$98</definedName>
    <definedName function="false" hidden="false" name="ni_op" vbProcedure="false">In!$E$133</definedName>
    <definedName function="false" hidden="false" name="ni_op_2023" vbProcedure="false">NI_OI!$B$20</definedName>
    <definedName function="false" hidden="false" name="ni_op_26" vbProcedure="false">In!$E$122</definedName>
    <definedName function="false" hidden="false" name="ni_op_alt" vbProcedure="false">NI_OI!$B$22</definedName>
    <definedName function="false" hidden="false" name="ni_op_calc" vbProcedure="false">NI_OI!$B$16</definedName>
    <definedName function="false" hidden="false" name="ni_op_hi" vbProcedure="false">In!$F$133</definedName>
    <definedName function="false" hidden="false" name="ni_op_lo" vbProcedure="false">In!$D$133</definedName>
    <definedName function="false" hidden="false" name="ni_op_underlying" vbProcedure="false">NI_OI!$B$19</definedName>
    <definedName function="false" hidden="false" name="nonop_hist" vbProcedure="false">NI_OI!$B$15</definedName>
    <definedName function="false" hidden="false" name="nonop_hist_alt" vbProcedure="false">NI_OI!$B$21</definedName>
    <definedName function="false" hidden="false" name="ntd26" vbProcedure="false">In!$E$103</definedName>
    <definedName function="false" hidden="false" name="ntd26_1q" vbProcedure="false">In!$E$84</definedName>
    <definedName function="false" hidden="false" name="ntd26_2q" vbProcedure="false">In!$E$85</definedName>
    <definedName function="false" hidden="false" name="ntd26_3q" vbProcedure="false">In!$E$86</definedName>
    <definedName function="false" hidden="false" name="ntd26_4q" vbProcedure="false">In!$E$87</definedName>
    <definedName function="false" hidden="false" name="ntd26_4q_hi" vbProcedure="false">In!$F$87</definedName>
    <definedName function="false" hidden="false" name="ntd26_4q_lo" vbProcedure="false">In!$D$87</definedName>
    <definedName function="false" hidden="false" name="opex" vbProcedure="false">In!$E$132</definedName>
    <definedName function="false" hidden="false" name="opex_26" vbProcedure="false">In!$E$121</definedName>
    <definedName function="false" hidden="false" name="opm26" vbProcedure="false">In!$E$120</definedName>
    <definedName function="false" hidden="false" name="opm26_1q" vbProcedure="false">In!$E$92</definedName>
    <definedName function="false" hidden="false" name="opm26_2q" vbProcedure="false">In!$E$93</definedName>
    <definedName function="false" hidden="false" name="opm26_3q" vbProcedure="false">In!$E$94</definedName>
    <definedName function="false" hidden="false" name="opm26_4q" vbProcedure="false">In!$E$95</definedName>
    <definedName function="false" hidden="false" name="opm26_4q_hi" vbProcedure="false">In!$F$95</definedName>
    <definedName function="false" hidden="false" name="opm26_4q_lo" vbProcedure="false">In!$D$95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In!$E$140</definedName>
    <definedName function="false" hidden="false" name="pe_2" vbProcedure="false">In!$E$141</definedName>
    <definedName function="false" hidden="false" name="pe_3" vbProcedure="false">In!$E$142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In!$E$135</definedName>
    <definedName function="false" hidden="false" name="px27" vbProcedure="false">In!$E$106</definedName>
    <definedName function="false" hidden="false" name="px28" vbProcedure="false">In!$E$107</definedName>
    <definedName function="false" hidden="false" name="px29" vbProcedure="false">In!$E$108</definedName>
    <definedName function="false" hidden="false" name="rev25" vbProcedure="false">In!$E$78</definedName>
    <definedName function="false" hidden="false" name="rev26" vbProcedure="false">In!$E$102</definedName>
    <definedName function="false" hidden="false" name="rev26_1q" vbProcedure="false">In!$E$79</definedName>
    <definedName function="false" hidden="false" name="rev26_2q" vbProcedure="false">In!$E$80</definedName>
    <definedName function="false" hidden="false" name="rev26_3q" vbProcedure="false">In!$E$81</definedName>
    <definedName function="false" hidden="false" name="rev26_4q" vbProcedure="false">In!$E$82</definedName>
    <definedName function="false" hidden="false" name="rev26_4q_hi" vbProcedure="false">In!$F$82</definedName>
    <definedName function="false" hidden="false" name="rev26_4q_lo" vbProcedure="false">In!$D$82</definedName>
    <definedName function="false" hidden="false" name="rev26_hi" vbProcedure="false">In!$F$102</definedName>
    <definedName function="false" hidden="false" name="rev26_lo" vbProcedure="false">In!$D$102</definedName>
    <definedName function="false" hidden="false" name="shares" vbProcedure="false">In!$E$134</definedName>
    <definedName function="false" hidden="false" name="tp_wA" vbProcedure="false">In!$E$148</definedName>
    <definedName function="false" hidden="false" name="tp_wB" vbProcedure="false">In!$E$149</definedName>
    <definedName function="false" hidden="false" name="tp_wC" vbProcedure="false">In!$E$150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<sst xmlns="http://schemas.openxmlformats.org/spreadsheetml/2006/main" count="1070" uniqueCount="685">
  <si>
    <r>
      <rPr>
        <b val="true"/>
        <sz val="11"/>
        <rFont val="Noto Sans CJK SC"/>
        <family val="2"/>
      </rPr>
      <t xml:space="preserve">台積電模型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  <r>
      <rPr>
        <b val="true"/>
        <sz val="11"/>
        <rFont val="Noto Sans CJK SC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年改為 </t>
    </r>
    <r>
      <rPr>
        <b val="true"/>
        <sz val="11"/>
        <rFont val="Cambria"/>
        <family val="0"/>
        <charset val="1"/>
      </rPr>
      <t xml:space="preserve">1–3Q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 </t>
    </r>
    <r>
      <rPr>
        <b val="true"/>
        <sz val="11"/>
        <rFont val="Noto Sans CJK SC"/>
        <family val="2"/>
      </rPr>
      <t xml:space="preserve">指引中點；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起假設未變</t>
    </r>
  </si>
  <si>
    <r>
      <rPr>
        <sz val="11"/>
        <rFont val="Noto Sans CJK SC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</si>
  <si>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</si>
  <si>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Noto Sans CJK SC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</si>
  <si>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Noto Sans CJK SC"/>
        <family val="2"/>
      </rPr>
      <t xml:space="preserve">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</si>
  <si>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</si>
  <si>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</si>
  <si>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：見各頁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</si>
  <si>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</si>
  <si>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</si>
  <si>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財報後）：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172→176.1 $B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1–3Q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指引中點 </t>
    </r>
    <r>
      <rPr>
        <sz val="11"/>
        <rFont val="Cambria"/>
        <family val="0"/>
        <charset val="1"/>
      </rPr>
      <t xml:space="preserve">53.3</t>
    </r>
    <r>
      <rPr>
        <sz val="11"/>
        <rFont val="Noto Sans CJK SC"/>
        <family val="2"/>
      </rPr>
      <t xml:space="preserve">）；毛利率 </t>
    </r>
    <r>
      <rPr>
        <sz val="11"/>
        <rFont val="Cambria"/>
        <family val="0"/>
        <charset val="1"/>
      </rPr>
      <t xml:space="preserve">66.0%→66.5%</t>
    </r>
    <r>
      <rPr>
        <sz val="11"/>
        <rFont val="Noto Sans CJK SC"/>
        <family val="2"/>
      </rPr>
      <t xml:space="preserve">（四季加權）；</t>
    </r>
    <r>
      <rPr>
        <sz val="11"/>
        <rFont val="Cambria"/>
        <family val="0"/>
        <charset val="1"/>
      </rPr>
      <t xml:space="preserve">EPS 114.2→112.1</t>
    </r>
    <r>
      <rPr>
        <sz val="11"/>
        <rFont val="Noto Sans CJK SC"/>
        <family val="2"/>
      </rPr>
      <t xml:space="preserve">（新舊對照見 </t>
    </r>
    <r>
      <rPr>
        <sz val="11"/>
        <rFont val="Cambria"/>
        <family val="0"/>
        <charset val="1"/>
      </rPr>
      <t xml:space="preserve">tsmc/README.md</t>
    </r>
    <r>
      <rPr>
        <sz val="11"/>
        <rFont val="Noto Sans CJK SC"/>
        <family val="2"/>
      </rPr>
      <t xml:space="preserve">）。新增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專屬參數 </t>
    </r>
    <r>
      <rPr>
        <sz val="11"/>
        <rFont val="Cambria"/>
        <family val="0"/>
        <charset val="1"/>
      </rPr>
      <t xml:space="preserve">opex_26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ni_op_26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fx_26</t>
    </r>
    <r>
      <rPr>
        <sz val="11"/>
        <rFont val="Noto Sans CJK SC"/>
        <family val="2"/>
      </rPr>
      <t xml:space="preserve">（來自實績）；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起淨利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營業利益由 </t>
    </r>
    <r>
      <rPr>
        <sz val="11"/>
        <rFont val="Cambria"/>
        <family val="0"/>
        <charset val="1"/>
      </rPr>
      <t xml:space="preserve">0.92 </t>
    </r>
    <r>
      <rPr>
        <sz val="11"/>
        <rFont val="Noto Sans CJK SC"/>
        <family val="2"/>
      </rPr>
      <t xml:space="preserve">改為推導值（</t>
    </r>
    <r>
      <rPr>
        <sz val="11"/>
        <rFont val="Cambria"/>
        <family val="0"/>
        <charset val="1"/>
      </rPr>
      <t xml:space="preserve">NI_OI </t>
    </r>
    <r>
      <rPr>
        <sz val="11"/>
        <rFont val="Noto Sans CJK SC"/>
        <family val="2"/>
      </rPr>
      <t xml:space="preserve">頁；區間 </t>
    </r>
    <r>
      <rPr>
        <sz val="11"/>
        <rFont val="Cambria"/>
        <family val="0"/>
        <charset val="1"/>
      </rPr>
      <t xml:space="preserve">0.864–0.909</t>
    </r>
    <r>
      <rPr>
        <sz val="11"/>
        <rFont val="Noto Sans CJK SC"/>
        <family val="2"/>
      </rPr>
      <t xml:space="preserve">）；毛利率、價格調升、非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產能全部未改（公司未給新的明確指引）。</t>
    </r>
  </si>
  <si>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說法未取得：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加速器營收占比、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產能的新數字（搜尋未找到逐字稿原文），故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頁不動。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</si>
  <si>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Noto Sans CJK SC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起為單一推導值（見 </t>
    </r>
    <r>
      <rPr>
        <sz val="11"/>
        <rFont val="Cambria"/>
        <family val="0"/>
        <charset val="1"/>
      </rPr>
      <t xml:space="preserve">NI_OI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年與 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的明細為單一來源。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</si>
  <si>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中位數（規則值：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中段）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</si>
  <si>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</si>
  <si>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</si>
  <si>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</si>
  <si>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</si>
  <si>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</si>
  <si>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</si>
  <si>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</si>
  <si>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</si>
  <si>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</si>
  <si>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</si>
  <si>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</si>
  <si>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</si>
  <si>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</si>
  <si>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</si>
  <si>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</si>
  <si>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</si>
  <si>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</si>
  <si>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</si>
  <si>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</si>
  <si>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</si>
  <si>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</si>
  <si>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</si>
  <si>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</si>
  <si>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</si>
  <si>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</si>
  <si>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</si>
  <si>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</si>
  <si>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</si>
  <si>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</si>
  <si>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</si>
  <si>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</si>
  <si>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</si>
  <si>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</si>
  <si>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</si>
  <si>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</si>
  <si>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</si>
  <si>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</si>
  <si>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</si>
  <si>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</si>
  <si>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</si>
  <si>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</si>
  <si>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</si>
  <si>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</si>
  <si>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</si>
  <si>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</si>
  <si>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</si>
  <si>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</si>
  <si>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</si>
  <si>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</si>
  <si>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</si>
  <si>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</si>
  <si>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</si>
  <si>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</si>
  <si>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</si>
  <si>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</si>
  <si>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</si>
  <si>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</si>
  <si>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</si>
  <si>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</si>
  <si>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</si>
  <si>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</si>
  <si>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</si>
  <si>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</si>
  <si>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</si>
  <si>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</si>
  <si>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</si>
  <si>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</si>
  <si>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</si>
  <si>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</si>
  <si>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</si>
  <si>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</si>
  <si>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</si>
  <si>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</si>
  <si>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</si>
  <si>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</si>
  <si>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</si>
  <si>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</si>
  <si>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</si>
  <si>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</si>
  <si>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</si>
  <si>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</si>
  <si>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</si>
  <si>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</si>
  <si>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</si>
  <si>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</si>
  <si>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</si>
  <si>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</si>
  <si>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</si>
  <si>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</si>
  <si>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</si>
  <si>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</si>
  <si>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</si>
  <si>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</si>
  <si>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</si>
  <si>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</si>
  <si>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</si>
  <si>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</si>
  <si>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</si>
  <si>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</si>
  <si>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</si>
  <si>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</si>
  <si>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</si>
  <si>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</si>
  <si>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</si>
  <si>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</si>
  <si>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</si>
  <si>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</si>
  <si>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</si>
  <si>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</si>
  <si>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</si>
  <si>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</si>
  <si>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</si>
  <si>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</si>
  <si>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</si>
  <si>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</si>
  <si>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</si>
  <si>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</si>
  <si>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</si>
  <si>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</si>
  <si>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</si>
  <si>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</si>
  <si>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</si>
  <si>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</si>
  <si>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</si>
  <si>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</si>
  <si>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</si>
  <si>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</si>
  <si>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</si>
  <si>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</si>
  <si>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</si>
  <si>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</si>
  <si>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</si>
  <si>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</si>
  <si>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</si>
  <si>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</si>
  <si>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</si>
  <si>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</si>
  <si>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</si>
  <si>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</si>
  <si>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</si>
  <si>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</si>
  <si>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</si>
  <si>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</si>
  <si>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</si>
  <si>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</si>
  <si>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</si>
  <si>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</si>
  <si>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</si>
  <si>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</si>
  <si>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</si>
  <si>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</si>
  <si>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</si>
  <si>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</si>
  <si>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</si>
  <si>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</si>
  <si>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</si>
  <si>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</si>
  <si>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</si>
  <si>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cow_oth26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</si>
  <si>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</si>
  <si>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</si>
  <si>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</si>
  <si>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cow_oth_g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</si>
  <si>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</si>
  <si>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Noto Sans CJK SC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</si>
  <si>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</si>
  <si>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</si>
  <si>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</si>
  <si>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</si>
  <si>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</si>
  <si>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</si>
  <si>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</si>
  <si>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</si>
  <si>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</si>
  <si>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</si>
  <si>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</si>
  <si>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</si>
  <si>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</si>
  <si>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</si>
  <si>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</si>
  <si>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t xml:space="preserve">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</si>
  <si>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</si>
  <si>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</si>
  <si>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</si>
  <si>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</si>
  <si>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</si>
  <si>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</si>
  <si>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</si>
  <si>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</si>
  <si>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</si>
  <si>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</si>
  <si>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</si>
  <si>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台積電營收</t>
    </r>
  </si>
  <si>
    <t xml:space="preserve">fx</t>
  </si>
  <si>
    <r>
      <rPr>
        <sz val="11"/>
        <color theme="1"/>
        <rFont val="Noto Sans CJK SC"/>
        <family val="2"/>
      </rPr>
      <t xml:space="preserve">美元兌新台幣（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</si>
  <si>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</si>
  <si>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指引匯率）；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指引匯率為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起未獲公司指引，數值不變</t>
    </r>
  </si>
  <si>
    <t xml:space="preserve">rev25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</si>
  <si>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</si>
  <si>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</si>
  <si>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</si>
  <si>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t xml:space="preserve">四季加總</t>
  </si>
  <si>
    <t xml:space="preserve">rev26_1q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</si>
  <si>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</si>
  <si>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NT$1,134.10B</t>
    </r>
  </si>
  <si>
    <t xml:space="preserve">rev26_2q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</si>
  <si>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</si>
  <si>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NT$1,270.38B</t>
    </r>
  </si>
  <si>
    <t xml:space="preserve">rev26_3q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</si>
  <si>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</si>
  <si>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NT$1,494.24B</t>
    </r>
    <r>
      <rPr>
        <sz val="11"/>
        <color theme="1"/>
        <rFont val="Noto Sans CJK SC"/>
        <family val="2"/>
      </rPr>
      <t xml:space="preserve">；多數媒體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Noto Sans CJK SC"/>
        <family val="2"/>
      </rPr>
      <t xml:space="preserve">（個別媒體 </t>
    </r>
    <r>
      <rPr>
        <sz val="11"/>
        <color theme="1"/>
        <rFont val="Calibri"/>
        <family val="2"/>
        <charset val="1"/>
      </rPr>
      <t xml:space="preserve">46.13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46.87 </t>
    </r>
    <r>
      <rPr>
        <sz val="11"/>
        <color theme="1"/>
        <rFont val="Noto Sans CJK SC"/>
        <family val="2"/>
      </rPr>
      <t xml:space="preserve">與公司數不符，不採）</t>
    </r>
  </si>
  <si>
    <t xml:space="preserve">rev26_4q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</si>
  <si>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</si>
  <si>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US$52.3–54.3B</t>
    </r>
    <r>
      <rPr>
        <sz val="11"/>
        <color theme="1"/>
        <rFont val="Noto Sans CJK SC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、民視財經；中點為本模型取值，公司歷來常高於指引上緣</t>
    </r>
  </si>
  <si>
    <t xml:space="preserve">fx26_4q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</si>
  <si>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指引匯率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</si>
  <si>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指引假設</t>
    </r>
  </si>
  <si>
    <t xml:space="preserve">ntd26_1q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</si>
  <si>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（新台幣）</t>
    </r>
  </si>
  <si>
    <t xml:space="preserve">NT$B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</si>
  <si>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</si>
  <si>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ntd26_2q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</si>
  <si>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</si>
  <si>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</si>
  <si>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ntd26_3q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</si>
  <si>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</si>
  <si>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</t>
    </r>
  </si>
  <si>
    <t xml:space="preserve">ntd26_4q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</si>
  <si>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（新台幣；指引美元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指引匯率）</t>
    </r>
  </si>
  <si>
    <t xml:space="preserve">gm26_1q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</si>
  <si>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</t>
    </r>
  </si>
  <si>
    <t xml:space="preserve">gm26_2q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</si>
  <si>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2Q26</t>
    </r>
  </si>
  <si>
    <t xml:space="preserve">gm26_3q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</si>
  <si>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</si>
  <si>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67.7% </t>
    </r>
    <r>
      <rPr>
        <sz val="11"/>
        <color theme="1"/>
        <rFont val="Noto Sans CJK SC"/>
        <family val="2"/>
      </rPr>
      <t xml:space="preserve">下滑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個百分點，公司歸因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奈米初期爬坡稀釋</t>
    </r>
  </si>
  <si>
    <t xml:space="preserve">gm26_4q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</si>
  <si>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</si>
  <si>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  <r>
      <rPr>
        <sz val="11"/>
        <color theme="1"/>
        <rFont val="Noto Sans CJK SC"/>
        <family val="2"/>
      </rPr>
      <t xml:space="preserve">｜媒體：民視財經（中值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</si>
  <si>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t xml:space="preserve">opm26_1q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</si>
  <si>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</t>
    </r>
  </si>
  <si>
    <t xml:space="preserve">opm26_2q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</si>
  <si>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2Q26</t>
    </r>
  </si>
  <si>
    <t xml:space="preserve">opm26_3q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</si>
  <si>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3Q26</t>
    </r>
  </si>
  <si>
    <t xml:space="preserve">opm26_4q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</si>
  <si>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（指引低／中／高）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</si>
  <si>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56.5–58.5%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BigGo</t>
    </r>
  </si>
  <si>
    <t xml:space="preserve">ni26_1q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</si>
  <si>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</si>
  <si>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NT$22.08</t>
    </r>
    <r>
      <rPr>
        <sz val="11"/>
        <color theme="1"/>
        <rFont val="Noto Sans CJK SC"/>
        <family val="2"/>
      </rPr>
      <t xml:space="preserve">）</t>
    </r>
  </si>
  <si>
    <t xml:space="preserve">ni26_2q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</si>
  <si>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</si>
  <si>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NT$27.25</t>
    </r>
    <r>
      <rPr>
        <sz val="11"/>
        <color theme="1"/>
        <rFont val="Noto Sans CJK SC"/>
        <family val="2"/>
      </rPr>
      <t xml:space="preserve">）</t>
    </r>
  </si>
  <si>
    <t xml:space="preserve">ni26_3q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</si>
  <si>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</si>
  <si>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Noto Sans CJK SC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EPS NT$29.43</t>
    </r>
    <r>
      <rPr>
        <sz val="11"/>
        <color theme="1"/>
        <rFont val="Noto Sans CJK SC"/>
        <family val="2"/>
      </rPr>
      <t xml:space="preserve">）</t>
    </r>
  </si>
  <si>
    <t xml:space="preserve">eps26_1to3q</t>
  </si>
  <si>
    <r>
      <rPr>
        <sz val="11"/>
        <color theme="1"/>
        <rFont val="Calibri"/>
        <family val="2"/>
        <charset val="1"/>
      </rPr>
      <t xml:space="preserve">EPS 1–3Q26 </t>
    </r>
    <r>
      <rPr>
        <sz val="11"/>
        <color theme="1"/>
        <rFont val="Noto Sans CJK SC"/>
        <family val="2"/>
      </rPr>
      <t xml:space="preserve">實績合計</t>
    </r>
  </si>
  <si>
    <t xml:space="preserve">NT$</t>
  </si>
  <si>
    <r>
      <rPr>
        <sz val="11"/>
        <color theme="1"/>
        <rFont val="Noto Sans CJK SC"/>
        <family val="2"/>
      </rPr>
      <t xml:space="preserve">公司：各季新聞稿 </t>
    </r>
    <r>
      <rPr>
        <sz val="11"/>
        <color theme="1"/>
        <rFont val="Calibri"/>
        <family val="2"/>
        <charset val="1"/>
      </rPr>
      <t xml:space="preserve">22.08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29.43</t>
    </r>
  </si>
  <si>
    <t xml:space="preserve">hpc_3q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</si>
  <si>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（備忘，未進入公式）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</si>
  <si>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簡報／逐字稿，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vestedfinance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Quest Review</t>
    </r>
  </si>
  <si>
    <t xml:space="preserve">g26_guid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</si>
  <si>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全年美元營收成長指引</t>
    </r>
  </si>
  <si>
    <r>
      <rPr>
        <sz val="11"/>
        <color theme="1"/>
        <rFont val="Noto Sans CJK SC"/>
        <family val="2"/>
      </rPr>
      <t xml:space="preserve">公司：由「略高於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」上修至約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StockFeel</t>
    </r>
    <r>
      <rPr>
        <sz val="11"/>
        <color theme="1"/>
        <rFont val="Noto Sans CJK SC"/>
        <family val="2"/>
      </rPr>
      <t xml:space="preserve">、民視財經；僅作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對照，不驅動營收</t>
    </r>
  </si>
  <si>
    <t xml:space="preserve">rev26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</si>
  <si>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指引中點；低／高＝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指引下／上緣）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</si>
  <si>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Noto Sans CJK SC"/>
        <family val="2"/>
      </rPr>
      <t xml:space="preserve">（全年指引「略高於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」推算）</t>
    </r>
  </si>
  <si>
    <t xml:space="preserve">ntd26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</si>
  <si>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（新台幣）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</si>
  <si>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</si>
  <si>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平均匯率（新台幣營收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美元營收）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</si>
  <si>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fx</t>
    </r>
  </si>
  <si>
    <t xml:space="preserve">ai_oth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</si>
  <si>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</si>
  <si>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</si>
  <si>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</si>
  <si>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</si>
  <si>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</si>
  <si>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</si>
  <si>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</si>
  <si>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</si>
  <si>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</si>
  <si>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</si>
  <si>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</si>
  <si>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</si>
  <si>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</si>
  <si>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</si>
  <si>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</si>
  <si>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na29_A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</si>
  <si>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</si>
  <si>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na27_B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</si>
  <si>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</si>
  <si>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na28_B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</si>
  <si>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</si>
  <si>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na29_B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</si>
  <si>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</si>
  <si>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na27_C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</si>
  <si>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</si>
  <si>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na28_C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</si>
  <si>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</si>
  <si>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na29_C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</si>
  <si>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</si>
  <si>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</si>
  <si>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</si>
  <si>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</si>
  <si>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</si>
  <si>
    <t xml:space="preserve">opm26</t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</si>
  <si>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（四季以新台幣營收加權）</t>
    </r>
  </si>
  <si>
    <t xml:space="preserve">opex_26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</si>
  <si>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</si>
  <si>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opex</t>
    </r>
  </si>
  <si>
    <t xml:space="preserve">ni_op_26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</si>
  <si>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實績比，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</si>
  <si>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 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0.922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公司未指引淨利率，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比</t>
    </r>
  </si>
  <si>
    <t xml:space="preserve">gm27_A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</si>
  <si>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</si>
  <si>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Noto Sans CJK SC"/>
        <family val="2"/>
      </rPr>
      <t xml:space="preserve">以上</t>
    </r>
  </si>
  <si>
    <t xml:space="preserve">gm28_A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</si>
  <si>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</si>
  <si>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gm29_A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</si>
  <si>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</si>
  <si>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gm27_B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</si>
  <si>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</si>
  <si>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gm28_B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</si>
  <si>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</si>
  <si>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gm29_B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</si>
  <si>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</si>
  <si>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gm27_C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</si>
  <si>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</si>
  <si>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gm28_C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</si>
  <si>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</si>
  <si>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gm29_C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</si>
  <si>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</si>
  <si>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</si>
  <si>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</si>
  <si>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</si>
  <si>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</si>
  <si>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起；低／高＝區間）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</si>
  <si>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，推導見 </t>
    </r>
    <r>
      <rPr>
        <sz val="11"/>
        <color theme="1"/>
        <rFont val="Calibri"/>
        <family val="2"/>
        <charset val="1"/>
      </rPr>
      <t xml:space="preserve">NI_OI </t>
    </r>
    <r>
      <rPr>
        <sz val="11"/>
        <color theme="1"/>
        <rFont val="Noto Sans CJK SC"/>
        <family val="2"/>
      </rPr>
      <t xml:space="preserve">頁；低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年扣除一次性利益後的內含水準；高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（含一次性利益的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單季值，不再當上限）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</si>
  <si>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</si>
  <si>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</si>
  <si>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</si>
  <si>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NT$763.06B ÷ EPS 29.43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25.93</t>
    </r>
    <r>
      <rPr>
        <sz val="11"/>
        <color theme="1"/>
        <rFont val="Noto Sans CJK SC"/>
        <family val="2"/>
      </rPr>
      <t xml:space="preserve">，一致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</si>
  <si>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</si>
  <si>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</si>
  <si>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Wantgoo</t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</si>
  <si>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</si>
  <si>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</si>
  <si>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</si>
  <si>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</si>
  <si>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</si>
  <si>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</si>
  <si>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</si>
  <si>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</si>
  <si>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</si>
  <si>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</si>
  <si>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</si>
  <si>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</si>
  <si>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</si>
  <si>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Noto Sans CJK SC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Noto Sans CJK SC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</si>
  <si>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</si>
  <si>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</si>
  <si>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Noto Sans CJK SC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</si>
  <si>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</si>
  <si>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</si>
  <si>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</si>
  <si>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</si>
  <si>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</si>
  <si>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</si>
  <si>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</si>
  <si>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</si>
  <si>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</si>
  <si>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</si>
  <si>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</si>
  <si>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</si>
  <si>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</si>
  <si>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</si>
  <si>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</si>
  <si>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</si>
  <si>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靠攏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</si>
  <si>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</si>
  <si>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新增；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</si>
  <si>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</si>
  <si>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</si>
  <si>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新增；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</si>
  <si>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</si>
  <si>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新增；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節用）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</si>
  <si>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Noto Sans CJK SC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Noto Sans CJK SC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</si>
  <si>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</si>
  <si>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</si>
  <si>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</si>
  <si>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</si>
  <si>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</si>
  <si>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</si>
  <si>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</si>
  <si>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</si>
  <si>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</si>
  <si>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</si>
  <si>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</si>
  <si>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</si>
  <si>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等）</t>
    </r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</si>
  <si>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用途</t>
    </r>
  </si>
  <si>
    <t xml:space="preserve">需求合計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</si>
  <si>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</si>
  <si>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Noto Sans CJK SC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Noto Sans CJK SC"/>
        <family val="2"/>
      </rPr>
      <t xml:space="preserve">）</t>
    </r>
  </si>
  <si>
    <t xml:space="preserve">可用產能（含委外）</t>
  </si>
  <si>
    <r>
      <rPr>
        <sz val="11"/>
        <rFont val="Noto Sans CJK SC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</si>
  <si>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為瓶頸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</si>
  <si>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</si>
  <si>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；與上一列比，數字大者為較緊的瓶頸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</si>
  <si>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全球需求</t>
    </r>
  </si>
  <si>
    <r>
      <rPr>
        <sz val="11"/>
        <rFont val="Noto Sans CJK SC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</si>
  <si>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</si>
  <si>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</si>
  <si>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</si>
  <si>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</si>
  <si>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</si>
  <si>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</si>
  <si>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</si>
  <si>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</si>
  <si>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</si>
  <si>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</si>
  <si>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</si>
  <si>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</si>
  <si>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</si>
  <si>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</si>
  <si>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</si>
  <si>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</si>
  <si>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</si>
  <si>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</si>
  <si>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</si>
  <si>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</si>
  <si>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</si>
  <si>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</si>
  <si>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</si>
  <si>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</si>
  <si>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指引中點（匯率、營業費用、淨利比用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專屬參數）；非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起兩者分開推。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</si>
  <si>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</si>
  <si>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</si>
  <si>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</si>
  <si>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</si>
  <si>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</si>
  <si>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</si>
  <si>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</si>
  <si>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</si>
  <si>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</si>
  <si>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</si>
  <si>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</si>
  <si>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</si>
  <si>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Noto Sans CJK SC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Noto Sans CJK SC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風險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</si>
  <si>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</si>
  <si>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依循環位置取分位；台積電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為中段，取中位數，區間為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分位。兩個來源各自取分位再平均、四捨五入到兩位。倍數歷史為輸入（藍字）。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</si>
  <si>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</si>
  <si>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</si>
  <si>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t xml:space="preserve">FullRatio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</si>
  <si>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</si>
  <si>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</si>
  <si>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</si>
  <si>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</si>
  <si>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</si>
  <si>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</si>
  <si>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</si>
  <si>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</si>
  <si>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</si>
  <si>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</si>
  <si>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</si>
  <si>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</si>
  <si>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</si>
  <si>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</si>
  <si>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</si>
  <si>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</si>
  <si>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</si>
  <si>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</si>
  <si>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</si>
  <si>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</si>
  <si>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</si>
  <si>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</si>
  <si>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</si>
  <si>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</si>
  <si>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</si>
  <si>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</si>
  <si>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</si>
  <si>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</si>
  <si>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</si>
  <si>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</si>
  <si>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</si>
  <si>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規則值：低（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</si>
  <si>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分位（區間下緣）</t>
    </r>
  </si>
  <si>
    <r>
      <rPr>
        <sz val="11"/>
        <color theme="1"/>
        <rFont val="Noto Sans CJK SC"/>
        <family val="2"/>
      </rPr>
      <t xml:space="preserve">規則值：高（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</si>
  <si>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分位（區間上緣）</t>
    </r>
  </si>
  <si>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2028 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</si>
  <si>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× 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</si>
  <si>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</si>
  <si>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</si>
  <si>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</si>
  <si>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</si>
  <si>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</si>
  <si>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</si>
  <si>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</si>
  <si>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</si>
  <si>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</si>
  <si>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</si>
  <si>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</si>
  <si>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</si>
  <si>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節規則值：中段）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</si>
  <si>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</si>
  <si>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</si>
  <si>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FullRatio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兩來源平均；規則值：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為中段，取中位數，第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起），故三情境隱含價相同；十年倍數兼含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年低谷（</t>
    </r>
    <r>
      <rPr>
        <sz val="11"/>
        <color theme="1"/>
        <rFont val="Calibri"/>
        <family val="2"/>
        <charset val="1"/>
      </rPr>
      <t xml:space="preserve">11–12x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28–31x</t>
    </r>
    <r>
      <rPr>
        <sz val="11"/>
        <color theme="1"/>
        <rFont val="Noto Sans CJK SC"/>
        <family val="2"/>
      </rPr>
      <t xml:space="preserve">），中位數無明顯單向偏誤；隱含價約為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個月目標價時偏高；現價為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收盤（本版未更新）。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</si>
  <si>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</si>
  <si>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</si>
  <si>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</si>
  <si>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</si>
  <si>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</si>
  <si>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</si>
  <si>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</si>
  <si>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</si>
  <si>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</si>
  <si>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</si>
  <si>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公司全年成長指引（</t>
    </r>
    <r>
      <rPr>
        <sz val="11"/>
        <color theme="1"/>
        <rFont val="Calibri"/>
        <family val="2"/>
        <charset val="1"/>
      </rPr>
      <t xml:space="preserve">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44%)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</si>
  <si>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法說：全年美元成長約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</si>
  <si>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Calibri"/>
        <family val="2"/>
        <charset val="1"/>
      </rPr>
      <t xml:space="preserve">2026 EPS vs 1–3Q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指引推算</t>
    </r>
  </si>
  <si>
    <r>
      <rPr>
        <sz val="11"/>
        <color theme="1"/>
        <rFont val="Noto Sans CJK SC"/>
        <family val="2"/>
      </rPr>
      <t xml:space="preserve">公司各季 </t>
    </r>
    <r>
      <rPr>
        <sz val="11"/>
        <color theme="1"/>
        <rFont val="Calibri"/>
        <family val="2"/>
        <charset val="1"/>
      </rPr>
      <t xml:space="preserve">EPS 22.08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29.43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</si>
  <si>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</si>
  <si>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</si>
  <si>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</si>
  <si>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</si>
  <si>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</si>
  <si>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</si>
  <si>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</si>
  <si>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</si>
  <si>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</si>
  <si>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</si>
  <si>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Noto Sans CJK SC"/>
        <family val="2"/>
      </rPr>
      <t xml:space="preserve">（不漲）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</si>
  <si>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</si>
  <si>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</si>
  <si>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</si>
  <si>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</si>
  <si>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的影響（情境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</si>
  <si>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設定</t>
  </si>
  <si>
    <t xml:space="preserve">比值</t>
  </si>
  <si>
    <t xml:space="preserve">2028 EPS</t>
  </si>
  <si>
    <t xml:space="preserve">基準（推導值）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</si>
  <si>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</si>
  <si>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Noto Sans CJK SC"/>
        <family val="2"/>
      </rPr>
      <t xml:space="preserve">（高）</t>
    </r>
  </si>
  <si>
    <r>
      <rPr>
        <sz val="11"/>
        <color theme="1"/>
        <rFont val="Calibri"/>
        <family val="2"/>
        <charset val="1"/>
      </rPr>
      <t xml:space="preserve">NI_OI —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營業利益拆解（新台幣十億）。淨利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＝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＋營業外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－有效稅率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少數股權等調整。藍字＝輸入</t>
    </r>
  </si>
  <si>
    <t xml:space="preserve">期間</t>
  </si>
  <si>
    <t xml:space="preserve">營業外收支</t>
  </si>
  <si>
    <t xml:space="preserve">稅前淨利</t>
  </si>
  <si>
    <t xml:space="preserve">所得稅</t>
  </si>
  <si>
    <t xml:space="preserve">利息收入</t>
  </si>
  <si>
    <t xml:space="preserve">匯兌損益</t>
  </si>
  <si>
    <t xml:space="preserve">一次性項目</t>
  </si>
  <si>
    <t xml:space="preserve">有效稅率</t>
  </si>
  <si>
    <r>
      <rPr>
        <b val="true"/>
        <sz val="11"/>
        <rFont val="Noto Sans CJK SC"/>
        <family val="2"/>
      </rPr>
      <t xml:space="preserve">營業外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</si>
  <si>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少數股權等調整</t>
  </si>
  <si>
    <r>
      <rPr>
        <b val="true"/>
        <sz val="11"/>
        <rFont val="Noto Sans CJK SC"/>
        <family val="2"/>
      </rPr>
      <t xml:space="preserve">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</t>
    </r>
  </si>
  <si>
    <t xml:space="preserve">獨立來源數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</si>
  <si>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</si>
  <si>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Noto Sans CJK SC"/>
        <family val="2"/>
      </rPr>
      <t xml:space="preserve">公司年報（經搜尋摘錄）；稅額＝稅前淨利－淨利（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）；媒體僅能核對淨利（歸屬母公司 </t>
    </r>
    <r>
      <rPr>
        <sz val="11"/>
        <color theme="1"/>
        <rFont val="Calibri"/>
        <family val="2"/>
        <charset val="1"/>
      </rPr>
      <t xml:space="preserve">1,016.53</t>
    </r>
    <r>
      <rPr>
        <sz val="11"/>
        <color theme="1"/>
        <rFont val="Noto Sans CJK SC"/>
        <family val="2"/>
      </rPr>
      <t xml:space="preserve">，股東會資料）；利息、匯兌明細未找到。待複核：另一搜尋結果的稅前淨利 </t>
    </r>
    <r>
      <rPr>
        <sz val="11"/>
        <color theme="1"/>
        <rFont val="Calibri"/>
        <family val="2"/>
        <charset val="1"/>
      </rPr>
      <t xml:space="preserve">1,140.7 </t>
    </r>
    <r>
      <rPr>
        <sz val="11"/>
        <color theme="1"/>
        <rFont val="Noto Sans CJK SC"/>
        <family val="2"/>
      </rPr>
      <t xml:space="preserve">疑為還原表欄位誤讀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</si>
  <si>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6-K 2023-02</t>
    </r>
    <r>
      <rPr>
        <sz val="11"/>
        <color theme="1"/>
        <rFont val="Noto Sans CJK SC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年損益表的前期欄；利息 </t>
    </r>
    <r>
      <rPr>
        <sz val="11"/>
        <color theme="1"/>
        <rFont val="Calibri"/>
        <family val="2"/>
        <charset val="1"/>
      </rPr>
      <t xml:space="preserve">60.29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2025 20-F </t>
    </r>
    <r>
      <rPr>
        <sz val="11"/>
        <color theme="1"/>
        <rFont val="Noto Sans CJK SC"/>
        <family val="2"/>
      </rPr>
      <t xml:space="preserve">一個來源；匯兌未找到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</si>
  <si>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、中央社；匯兌 </t>
    </r>
    <r>
      <rPr>
        <sz val="11"/>
        <color theme="1"/>
        <rFont val="Calibri"/>
        <family val="2"/>
        <charset val="1"/>
      </rPr>
      <t xml:space="preserve">10.00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</si>
  <si>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｜媒體：工商時報（營業外約 </t>
    </r>
    <r>
      <rPr>
        <sz val="11"/>
        <color theme="1"/>
        <rFont val="Calibri"/>
        <family val="2"/>
        <charset val="1"/>
      </rPr>
      <t xml:space="preserve">1,056 </t>
    </r>
    <r>
      <rPr>
        <sz val="11"/>
        <color theme="1"/>
        <rFont val="Noto Sans CJK SC"/>
        <family val="2"/>
      </rPr>
      <t xml:space="preserve">億、稅前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Noto Sans CJK SC"/>
        <family val="2"/>
      </rPr>
      <t xml:space="preserve">億、稅 </t>
    </r>
    <r>
      <rPr>
        <sz val="11"/>
        <color theme="1"/>
        <rFont val="Calibri"/>
        <family val="2"/>
        <charset val="1"/>
      </rPr>
      <t xml:space="preserve">3,263 </t>
    </r>
    <r>
      <rPr>
        <sz val="11"/>
        <color theme="1"/>
        <rFont val="Noto Sans CJK SC"/>
        <family val="2"/>
      </rPr>
      <t xml:space="preserve">億）；匯兌 </t>
    </r>
    <r>
      <rPr>
        <sz val="11"/>
        <color theme="1"/>
        <rFont val="Calibri"/>
        <family val="2"/>
        <charset val="1"/>
      </rPr>
      <t xml:space="preserve">13.83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／財報一個來源；其他利益及損失未拆</t>
    </r>
  </si>
  <si>
    <t xml:space="preserve">1Q26</t>
  </si>
  <si>
    <r>
      <rPr>
        <sz val="11"/>
        <color theme="1"/>
        <rFont val="Noto Sans CJK SC"/>
        <family val="2"/>
      </rPr>
      <t xml:space="preserve">營業利益＝新台幣營收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）；營業外 </t>
    </r>
    <r>
      <rPr>
        <sz val="11"/>
        <color theme="1"/>
        <rFont val="Calibri"/>
        <family val="2"/>
        <charset val="1"/>
      </rPr>
      <t xml:space="preserve">28.83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簡報比較欄，欄位標籤未能直接確認；稅額＝稅前淨利－淨利（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</si>
  <si>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2Q26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</si>
  <si>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</si>
  <si>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（稅 </t>
    </r>
    <r>
      <rPr>
        <sz val="11"/>
        <color theme="1"/>
        <rFont val="Calibri"/>
        <family val="2"/>
        <charset val="1"/>
      </rPr>
      <t xml:space="preserve">155.65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3Q26 6-K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比較欄）核對營業利益、稅前淨利、淨利相符｜媒體：鉅亨（營業外 </t>
    </r>
    <r>
      <rPr>
        <sz val="11"/>
        <color theme="1"/>
        <rFont val="Calibri"/>
        <family val="2"/>
        <charset val="1"/>
      </rPr>
      <t xml:space="preserve">958.27 </t>
    </r>
    <r>
      <rPr>
        <sz val="11"/>
        <color theme="1"/>
        <rFont val="Noto Sans CJK SC"/>
        <family val="2"/>
      </rPr>
      <t xml:space="preserve">億）；營業利益 </t>
    </r>
    <r>
      <rPr>
        <sz val="11"/>
        <color theme="1"/>
        <rFont val="Calibri"/>
        <family val="2"/>
        <charset val="1"/>
      </rPr>
      <t xml:space="preserve">NT$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。一次性項目 </t>
    </r>
    <r>
      <rPr>
        <sz val="11"/>
        <color theme="1"/>
        <rFont val="Calibri"/>
        <family val="2"/>
        <charset val="1"/>
      </rPr>
      <t xml:space="preserve">63.20 </t>
    </r>
    <r>
      <rPr>
        <sz val="11"/>
        <color theme="1"/>
        <rFont val="Noto Sans CJK SC"/>
        <family val="2"/>
      </rPr>
      <t xml:space="preserve">的出處見下方「一次性利益出處」</t>
    </r>
  </si>
  <si>
    <t xml:space="preserve">3Q26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</si>
  <si>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Noto Sans CJK SC"/>
        <family val="2"/>
      </rPr>
      <t xml:space="preserve">（營業外 </t>
    </r>
    <r>
      <rPr>
        <sz val="11"/>
        <color theme="1"/>
        <rFont val="Calibri"/>
        <family val="2"/>
        <charset val="1"/>
      </rPr>
      <t xml:space="preserve">34.59</t>
    </r>
    <r>
      <rPr>
        <sz val="11"/>
        <color theme="1"/>
        <rFont val="Noto Sans CJK SC"/>
        <family val="2"/>
      </rPr>
      <t xml:space="preserve">、稅 </t>
    </r>
    <r>
      <rPr>
        <sz val="11"/>
        <color theme="1"/>
        <rFont val="Calibri"/>
        <family val="2"/>
        <charset val="1"/>
      </rPr>
      <t xml:space="preserve">147.70</t>
    </r>
    <r>
      <rPr>
        <sz val="11"/>
        <color theme="1"/>
        <rFont val="Noto Sans CJK SC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；較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降，主因無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處分與評價利益）｜</t>
    </r>
    <r>
      <rPr>
        <sz val="11"/>
        <color theme="1"/>
        <rFont val="Calibri"/>
        <family val="2"/>
        <charset val="1"/>
      </rPr>
      <t xml:space="preserve">SEC 3Q26 6-K a3q26e</t>
    </r>
    <r>
      <rPr>
        <sz val="11"/>
        <color theme="1"/>
        <rFont val="Noto Sans CJK SC"/>
        <family val="2"/>
      </rPr>
      <t xml:space="preserve">（營業利益、稅前淨利、淨利核對相符；使用者提供的核對）</t>
    </r>
  </si>
  <si>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</si>
  <si>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三季加總；一次性項目＝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處分利益（含股權評價利益未另拆）</t>
    </r>
  </si>
  <si>
    <r>
      <rPr>
        <b val="true"/>
        <sz val="11"/>
        <rFont val="Noto Sans CJK SC"/>
        <family val="2"/>
      </rPr>
      <t xml:space="preserve">基準值推導（</t>
    </r>
    <r>
      <rPr>
        <b val="true"/>
        <sz val="11"/>
        <rFont val="Cambria"/>
        <family val="0"/>
        <charset val="1"/>
      </rPr>
      <t xml:space="preserve">In!ni_op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</si>
  <si>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新稅率＝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起各期所得稅合計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稅前淨利合計（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</si>
  <si>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年起全球最低稅負生效，有效稅率由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14–18%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16.2%</t>
    </r>
    <r>
      <rPr>
        <sz val="11"/>
        <color theme="1"/>
        <rFont val="Noto Sans CJK SC"/>
        <family val="2"/>
      </rPr>
      <t xml:space="preserve">）；視為長期性變化</t>
    </r>
  </si>
  <si>
    <r>
      <rPr>
        <sz val="11"/>
        <color theme="1"/>
        <rFont val="Noto Sans CJK SC"/>
        <family val="2"/>
      </rPr>
      <t xml:space="preserve">歷史營業外比率＝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（扣除一次性項目）的營業外合計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營業利益合計</t>
    </r>
  </si>
  <si>
    <r>
      <rPr>
        <sz val="11"/>
        <color theme="1"/>
        <rFont val="Noto Sans CJK SC"/>
        <family val="2"/>
      </rPr>
      <t xml:space="preserve">營業外收支主體是利息收入（</t>
    </r>
    <r>
      <rPr>
        <sz val="11"/>
        <color theme="1"/>
        <rFont val="Calibri"/>
        <family val="2"/>
        <charset val="1"/>
      </rPr>
      <t xml:space="preserve">2024 87.2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2025 105.7</t>
    </r>
    <r>
      <rPr>
        <sz val="11"/>
        <color theme="1"/>
        <rFont val="Noto Sans CJK SC"/>
        <family val="2"/>
      </rPr>
      <t xml:space="preserve">，占營業外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以上）；匯兌 </t>
    </r>
    <r>
      <rPr>
        <sz val="11"/>
        <color theme="1"/>
        <rFont val="Calibri"/>
        <family val="2"/>
        <charset val="1"/>
      </rPr>
      <t xml:space="preserve">2024 +10.0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+13.8</t>
    </r>
    <r>
      <rPr>
        <sz val="11"/>
        <color theme="1"/>
        <rFont val="Noto Sans CJK SC"/>
        <family val="2"/>
      </rPr>
      <t xml:space="preserve">，量級小且為收益；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為一次性，已扣除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</si>
  <si>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Noto Sans CJK SC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</si>
  <si>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少數股權等調整各期約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Noto Sans CJK SC"/>
        <family val="2"/>
      </rPr>
      <t xml:space="preserve">，略去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</si>
  <si>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實績比（前版低值 </t>
    </r>
    <r>
      <rPr>
        <sz val="11"/>
        <color theme="1"/>
        <rFont val="Calibri"/>
        <family val="2"/>
        <charset val="1"/>
      </rPr>
      <t xml:space="preserve">0.887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</si>
  <si>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實績比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</si>
  <si>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一次性利益</t>
    </r>
  </si>
  <si>
    <r>
      <rPr>
        <sz val="11"/>
        <color theme="1"/>
        <rFont val="Noto Sans CJK SC"/>
        <family val="2"/>
      </rPr>
      <t xml:space="preserve">區間低值＝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Noto Sans CJK SC"/>
        <family val="2"/>
      </rPr>
      <t xml:space="preserve">扣除一次性利益（按新稅率稅後）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</si>
  <si>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年的內含水準；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單季分別 </t>
    </r>
    <r>
      <rPr>
        <sz val="11"/>
        <color theme="1"/>
        <rFont val="Calibri"/>
        <family val="2"/>
        <charset val="1"/>
      </rPr>
      <t xml:space="preserve">0.869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0.871</t>
    </r>
  </si>
  <si>
    <r>
      <rPr>
        <sz val="11"/>
        <color theme="1"/>
        <rFont val="Noto Sans CJK SC"/>
        <family val="2"/>
      </rPr>
      <t xml:space="preserve">區間高值＝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年度最高）</t>
    </r>
  </si>
  <si>
    <r>
      <rPr>
        <sz val="11"/>
        <color theme="1"/>
        <rFont val="Calibri"/>
        <family val="2"/>
        <charset val="1"/>
      </rPr>
      <t xml:space="preserve">2022 0.907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2023 0.909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2024 0.887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2025 0.886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</si>
  <si>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若非一次性（不扣除）→ 歷史營業外比率</t>
    </r>
  </si>
  <si>
    <r>
      <rPr>
        <sz val="11"/>
        <color theme="1"/>
        <rFont val="Noto Sans CJK SC"/>
        <family val="2"/>
      </rPr>
      <t xml:space="preserve">分子不扣 </t>
    </r>
    <r>
      <rPr>
        <sz val="11"/>
        <color theme="1"/>
        <rFont val="Calibri"/>
        <family val="2"/>
        <charset val="1"/>
      </rPr>
      <t xml:space="preserve">63.2</t>
    </r>
  </si>
  <si>
    <r>
      <rPr>
        <sz val="11"/>
        <color theme="1"/>
        <rFont val="Noto Sans CJK SC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Noto Sans CJK SC"/>
        <family val="2"/>
      </rPr>
      <t xml:space="preserve">若非一次性 → 基準</t>
    </r>
  </si>
  <si>
    <r>
      <rPr>
        <sz val="11"/>
        <color theme="1"/>
        <rFont val="Noto Sans CJK SC"/>
        <family val="2"/>
      </rPr>
      <t xml:space="preserve">相對基準 </t>
    </r>
    <r>
      <rPr>
        <sz val="11"/>
        <color theme="1"/>
        <rFont val="Calibri"/>
        <family val="2"/>
        <charset val="1"/>
      </rPr>
      <t xml:space="preserve">0.875 </t>
    </r>
    <r>
      <rPr>
        <sz val="11"/>
        <color theme="1"/>
        <rFont val="Noto Sans CJK SC"/>
        <family val="2"/>
      </rPr>
      <t xml:space="preserve">的變化見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</si>
  <si>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Noto Sans CJK SC"/>
        <family val="2"/>
      </rPr>
      <t xml:space="preserve">判定：差距兩個來源都有——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年起約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，屬長期；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營業外比率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2.0% → 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5.5–6.3%</t>
    </r>
    <r>
      <rPr>
        <sz val="11"/>
        <color theme="1"/>
        <rFont val="Noto Sans CJK SC"/>
        <family val="2"/>
      </rPr>
      <t xml:space="preserve">（利息收入墊高），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另有一次性處分利益使 </t>
    </r>
    <r>
      <rPr>
        <sz val="11"/>
        <color theme="1"/>
        <rFont val="Calibri"/>
        <family val="2"/>
        <charset val="1"/>
      </rPr>
      <t xml:space="preserve">0.92 </t>
    </r>
    <r>
      <rPr>
        <sz val="11"/>
        <color theme="1"/>
        <rFont val="Noto Sans CJK SC"/>
        <family val="2"/>
      </rPr>
      <t xml:space="preserve">偏高。依規則取「新稅率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歷史平均營業外比率」。</t>
    </r>
  </si>
  <si>
    <r>
      <rPr>
        <sz val="11"/>
        <color theme="1"/>
        <rFont val="Noto Sans CJK SC"/>
        <family val="2"/>
      </rPr>
      <t xml:space="preserve">一次性利益出處（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Noto Sans CJK SC"/>
        <family val="2"/>
      </rPr>
      <t xml:space="preserve">處分與評價利益 </t>
    </r>
    <r>
      <rPr>
        <sz val="11"/>
        <color theme="1"/>
        <rFont val="Calibri"/>
        <family val="2"/>
        <charset val="1"/>
      </rPr>
      <t xml:space="preserve">63.20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）載明處分利益 </t>
    </r>
    <r>
      <rPr>
        <sz val="11"/>
        <color theme="1"/>
        <rFont val="Calibri"/>
        <family val="2"/>
        <charset val="1"/>
      </rPr>
      <t xml:space="preserve">NT$63,202,285 </t>
    </r>
    <r>
      <rPr>
        <sz val="11"/>
        <color theme="1"/>
        <rFont val="Noto Sans CJK SC"/>
        <family val="2"/>
      </rPr>
      <t xml:space="preserve">千元，其中含對剩餘持股改按公允價值衡量的非現金重新衡量利益 </t>
    </r>
    <r>
      <rPr>
        <sz val="11"/>
        <color theme="1"/>
        <rFont val="Calibri"/>
        <family val="2"/>
        <charset val="1"/>
      </rPr>
      <t xml:space="preserve">56,398,783 </t>
    </r>
    <r>
      <rPr>
        <sz val="11"/>
        <color theme="1"/>
        <rFont val="Noto Sans CJK SC"/>
        <family val="2"/>
      </rPr>
      <t xml:space="preserve">千元（喪失重大影響力）；公司 </t>
    </r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Noto Sans CJK SC"/>
        <family val="2"/>
      </rPr>
      <t xml:space="preserve">公告表示近期無進一步出售計畫；</t>
    </r>
    <r>
      <rPr>
        <sz val="11"/>
        <color theme="1"/>
        <rFont val="Calibri"/>
        <family val="2"/>
        <charset val="1"/>
      </rPr>
      <t xml:space="preserve">3Q26 Management Report </t>
    </r>
    <r>
      <rPr>
        <sz val="11"/>
        <color theme="1"/>
        <rFont val="Noto Sans CJK SC"/>
        <family val="2"/>
      </rPr>
      <t xml:space="preserve">說明營業外由 </t>
    </r>
    <r>
      <rPr>
        <sz val="11"/>
        <color theme="1"/>
        <rFont val="Calibri"/>
        <family val="2"/>
        <charset val="1"/>
      </rPr>
      <t xml:space="preserve">95.83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34.59 </t>
    </r>
    <r>
      <rPr>
        <sz val="11"/>
        <color theme="1"/>
        <rFont val="Noto Sans CJK SC"/>
        <family val="2"/>
      </rPr>
      <t xml:space="preserve">主因無該項處分與評價利益；媒體：中央社、東森財經、鉅亨。頁碼：搜尋摘錄未含頁碼，未取得（文件與段落見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SEC 3Q26 6-K </t>
    </r>
    <r>
      <rPr>
        <sz val="11"/>
        <color theme="1"/>
        <rFont val="Noto Sans CJK SC"/>
        <family val="2"/>
      </rPr>
      <t xml:space="preserve">本身未標註一次性項目。</t>
    </r>
  </si>
  <si>
    <t xml:space="preserve">來源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</si>
  <si>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</si>
  <si>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</si>
  <si>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</si>
  <si>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</si>
  <si>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</si>
  <si>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</si>
  <si>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</si>
  <si>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</si>
  <si>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</si>
  <si>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</si>
  <si>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</si>
  <si>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</si>
  <si>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</si>
  <si>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</si>
  <si>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Noto Sans CJK SC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</si>
  <si>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</si>
  <si>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</si>
  <si>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</si>
  <si>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Noto Sans CJK SC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</si>
  <si>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</si>
  <si>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</si>
  <si>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</si>
  <si>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</si>
  <si>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</si>
  <si>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新聞稿（公司）</t>
    </r>
  </si>
  <si>
    <t xml:space="preserve">https://pr.tsmc.com/english/news/3346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</si>
  <si>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EarningsRelease</t>
    </r>
    <r>
      <rPr>
        <sz val="11"/>
        <color theme="1"/>
        <rFont val="Noto Sans CJK SC"/>
        <family val="2"/>
      </rPr>
      <t xml:space="preserve">（公司）</t>
    </r>
  </si>
  <si>
    <t xml:space="preserve">https://investor.tsmc.com/english/encrypt/files/encrypt_file/reports/2026-10/526b65af7305df2dde6b9ece6812b1fdf1e49f9b/3Q26%20EarningsRelease.pdf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</si>
  <si>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</si>
  <si>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https://www.sec.gov/Archives/edgar/data/0001046179/000104617926000726/a3q26e_withguidancexfinal.htm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</si>
  <si>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逐字稿（公司）</t>
    </r>
  </si>
  <si>
    <t xml:space="preserve">https://investor.tsmc.com/english/encrypt/files/encrypt_file/reports/2026-10/eba4fac72873bf546b669bd2b5d973df5c93215d/TSMC%203Q26%20Transcript.pdf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</si>
  <si>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</si>
  <si>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https://pr.tsmc.com/english/news/3297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</si>
  <si>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2Q26 6-K</t>
    </r>
    <r>
      <rPr>
        <sz val="11"/>
        <color theme="1"/>
        <rFont val="Noto Sans CJK SC"/>
        <family val="2"/>
      </rPr>
      <t xml:space="preserve">（含指引）</t>
    </r>
  </si>
  <si>
    <t xml:space="preserve">https://www.sec.gov/Archives/edgar/data/0001046179/000104617926000451/a2q26e_withguidancexfinal.htm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</si>
  <si>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StockFeel 3Q26 </t>
    </r>
    <r>
      <rPr>
        <sz val="11"/>
        <color theme="1"/>
        <rFont val="Noto Sans CJK SC"/>
        <family val="2"/>
      </rPr>
      <t xml:space="preserve">法說重點</t>
    </r>
  </si>
  <si>
    <t xml:space="preserve">https://www.stockfeel.com.tw/%E5%8F%B0%E7%A9%8D%E9%9B%BB-2330-2026q3-%E6%B3%95%E8%AA%AA%E6%9C%83/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</si>
  <si>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】媒體：民視財經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</t>
    </r>
  </si>
  <si>
    <t xml:space="preserve">https://finance.ftvnews.com.tw/news/detail/2026A15W0572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</si>
  <si>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Futurum 3Q26</t>
    </r>
  </si>
  <si>
    <t xml:space="preserve">https://futurumgroup.com/insights/tsmc-q3-fy-2026-earnings-beat-and-raise-on-ai-and-hpc-demand/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</si>
  <si>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BigGo Finance 3Q26</t>
    </r>
  </si>
  <si>
    <t xml:space="preserve">https://finance.biggo.com/news/US_TSM_2026-10-15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</si>
  <si>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vestedfinance 3Q26</t>
    </r>
  </si>
  <si>
    <t xml:space="preserve">https://vestedfinance.com/blog/us-stocks/tsmc-q3-earnings-2026/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</si>
  <si>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券商解讀 </t>
    </r>
    <r>
      <rPr>
        <sz val="11"/>
        <color theme="1"/>
        <rFont val="Calibri"/>
        <family val="2"/>
        <charset val="1"/>
      </rPr>
      <t xml:space="preserve">3Q26</t>
    </r>
  </si>
  <si>
    <t xml:space="preserve">https://www.trendforce.com/news/2026/10/16/news-after-tsmcs-3q26-earnings-key-brokerage-takeaways-as-2028-capex-forecasts-reach-us105b/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</si>
  <si>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</si>
  <si>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https://investor.tsmc.com/static/annualReports/2024/english/index.html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</si>
  <si>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</si>
  <si>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https://investor.tsmc.com/static/annualReports/2025/english/index.html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</si>
  <si>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Noto Sans CJK SC"/>
        <family val="2"/>
      </rPr>
      <t xml:space="preserve">（利息、匯兌）</t>
    </r>
  </si>
  <si>
    <t xml:space="preserve">https://investor.tsmc.com/sites/ir/sec-filings/2025_20F%20Report.pdf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</si>
  <si>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Management Report</t>
    </r>
  </si>
  <si>
    <t xml:space="preserve">https://investor.tsmc.com/schinese/encrypt/files/encrypt_file/qr/phase4_reports/2026-10/f53a64fd40fc0b453f94e077e5aba8cad506f27b/3Q26%20ManagementReport.pdf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</si>
  <si>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）損益表</t>
    </r>
  </si>
  <si>
    <t xml:space="preserve">https://www.moneydj.com/kmdj/news/newsviewer.aspx?a=0c9c7a58-321f-4b5c-83c9-7f4837872969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</si>
  <si>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</t>
    </r>
  </si>
  <si>
    <t xml:space="preserve">https://www.ctee.com.tw/news/20260416702066-430502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</si>
  <si>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63,202,285 </t>
    </r>
    <r>
      <rPr>
        <sz val="11"/>
        <color theme="1"/>
        <rFont val="Noto Sans CJK SC"/>
        <family val="2"/>
      </rPr>
      <t xml:space="preserve">千元）</t>
    </r>
  </si>
  <si>
    <t xml:space="preserve">https://www.sec.gov/Archives/edgar/data/0001046179/000104617926000541/a2026q2consolidatedreport-.htm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</si>
  <si>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：台積電出售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股權公告（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</si>
  <si>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https://www.sec.gov/Archives/edgar/data/0001046179/000104617926000280/tsmctosell81ofvanguardinte.htm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</si>
  <si>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Noto Sans CJK SC"/>
        <family val="2"/>
      </rPr>
      <t xml:space="preserve">（核對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營業利益、稅前淨利、淨利）</t>
    </r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</si>
  <si>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：中央社（處分 </t>
    </r>
    <r>
      <rPr>
        <sz val="11"/>
        <color theme="1"/>
        <rFont val="Calibri"/>
        <family val="2"/>
        <charset val="1"/>
      </rPr>
      <t xml:space="preserve">VIS 1.52 </t>
    </r>
    <r>
      <rPr>
        <sz val="11"/>
        <color theme="1"/>
        <rFont val="Noto Sans CJK SC"/>
        <family val="2"/>
      </rPr>
      <t xml:space="preserve">億股）</t>
    </r>
  </si>
  <si>
    <t xml:space="preserve">https://www.cna.com.tw/news/afe/202605180297.aspx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</si>
  <si>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：東森財經（估獲利 </t>
    </r>
    <r>
      <rPr>
        <sz val="11"/>
        <color theme="1"/>
        <rFont val="Calibri"/>
        <family val="2"/>
        <charset val="1"/>
      </rPr>
      <t xml:space="preserve">632.02 </t>
    </r>
    <r>
      <rPr>
        <sz val="11"/>
        <color theme="1"/>
        <rFont val="Noto Sans CJK SC"/>
        <family val="2"/>
      </rPr>
      <t xml:space="preserve">億）</t>
    </r>
  </si>
  <si>
    <t xml:space="preserve">https://fnc.ebc.net.tw/fncnews/stock/210975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</si>
  <si>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：鏡報（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Noto Sans CJK SC"/>
        <family val="2"/>
      </rPr>
      <t xml:space="preserve">利益）</t>
    </r>
  </si>
  <si>
    <t xml:space="preserve">https://www.mirrordaily.news/story/79601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</si>
  <si>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Noto Sans CJK SC"/>
        <family val="2"/>
      </rPr>
      <t xml:space="preserve">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財報分析</t>
    </r>
  </si>
  <si>
    <t xml:space="preserve">https://hao.cnyes.com/post/259466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</si>
  <si>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】查證方式說明</t>
    </r>
  </si>
  <si>
    <r>
      <rPr>
        <sz val="11"/>
        <color theme="1"/>
        <rFont val="Noto Sans CJK SC"/>
        <family val="2"/>
      </rPr>
      <t xml:space="preserve">公司原文頁面在本次建置環境無法直接開啟（網路限制），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數字取自搜尋引擎對公司新聞稿的摘錄，並與至少兩則獨立媒體交叉；公司逐字稿原文待人工複核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</si>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</sst>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#,##0"/>
    <numFmt numFmtId="167" formatCode="0%"/>
    <numFmt numFmtId="168" formatCode="0.0"/>
    <numFmt numFmtId="169" formatCode="0.0%"/>
    <numFmt numFmtId="170" formatCode="0.0\x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7.15" hidden="false" customHeight="false" outlineLevel="0" collapsed="false">
      <c r="A1" s="0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customFormat="false" ht="17.15" hidden="false" customHeight="false" outlineLevel="0" collapsed="false">
      <c r="A4" s="5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6" t="s">
        <v>26</v>
      </c>
      <c r="E5" s="7" t="n">
        <v>5.4</v>
      </c>
      <c r="G5" s="8" t="s">
        <v>27</v>
      </c>
      <c r="H5" s="8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6" t="s">
        <v>26</v>
      </c>
      <c r="E6" s="7" t="n">
        <v>2.4</v>
      </c>
      <c r="G6" s="8" t="s">
        <v>27</v>
      </c>
      <c r="H6" s="6" t="s">
        <v>31</v>
      </c>
    </row>
    <row r="7" customFormat="false" ht="17.15" hidden="false" customHeight="false" outlineLevel="0" collapsed="false">
      <c r="A7" s="0" t="s">
        <v>32</v>
      </c>
      <c r="B7" s="0" t="s">
        <v>33</v>
      </c>
      <c r="C7" s="6" t="s">
        <v>26</v>
      </c>
      <c r="E7" s="7" t="n">
        <v>0.5</v>
      </c>
      <c r="G7" s="8" t="s">
        <v>27</v>
      </c>
      <c r="H7" s="6" t="s">
        <v>31</v>
      </c>
    </row>
    <row r="8" customFormat="false" ht="17.15" hidden="false" customHeight="false" outlineLevel="0" collapsed="false">
      <c r="A8" s="0" t="s">
        <v>34</v>
      </c>
      <c r="B8" s="0" t="s">
        <v>35</v>
      </c>
      <c r="C8" s="0" t="s">
        <v>36</v>
      </c>
      <c r="E8" s="7" t="n">
        <v>-0.5</v>
      </c>
      <c r="G8" s="8" t="s">
        <v>37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6" t="s">
        <v>26</v>
      </c>
      <c r="E9" s="7" t="n">
        <v>1.7</v>
      </c>
      <c r="G9" s="8" t="s">
        <v>27</v>
      </c>
      <c r="H9" s="8" t="s">
        <v>40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6" t="s">
        <v>26</v>
      </c>
      <c r="E10" s="7" t="n">
        <v>7</v>
      </c>
      <c r="G10" s="8" t="s">
        <v>27</v>
      </c>
      <c r="H10" s="6" t="s">
        <v>31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6" t="s">
        <v>26</v>
      </c>
      <c r="E11" s="7" t="n">
        <v>7</v>
      </c>
      <c r="G11" s="8" t="s">
        <v>27</v>
      </c>
      <c r="H11" s="6" t="s">
        <v>31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36</v>
      </c>
      <c r="E12" s="7" t="n">
        <v>0.15</v>
      </c>
      <c r="G12" s="8" t="s">
        <v>37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6" t="s">
        <v>26</v>
      </c>
      <c r="E13" s="7" t="n">
        <v>0</v>
      </c>
      <c r="G13" s="8" t="s">
        <v>37</v>
      </c>
      <c r="H13" s="8" t="s">
        <v>49</v>
      </c>
    </row>
    <row r="14" customFormat="false" ht="17.15" hidden="false" customHeight="false" outlineLevel="0" collapsed="false">
      <c r="A14" s="0" t="s">
        <v>50</v>
      </c>
      <c r="B14" s="0" t="s">
        <v>51</v>
      </c>
      <c r="C14" s="6" t="s">
        <v>26</v>
      </c>
      <c r="E14" s="7" t="n">
        <v>0.3</v>
      </c>
      <c r="G14" s="8" t="s">
        <v>37</v>
      </c>
      <c r="H14" s="6" t="s">
        <v>31</v>
      </c>
    </row>
    <row r="15" customFormat="false" ht="17.15" hidden="false" customHeight="false" outlineLevel="0" collapsed="false">
      <c r="A15" s="0" t="s">
        <v>52</v>
      </c>
      <c r="B15" s="0" t="s">
        <v>53</v>
      </c>
      <c r="C15" s="6" t="s">
        <v>26</v>
      </c>
      <c r="E15" s="7" t="n">
        <v>2</v>
      </c>
      <c r="G15" s="8" t="s">
        <v>37</v>
      </c>
      <c r="H15" s="6" t="s">
        <v>31</v>
      </c>
    </row>
    <row r="16" customFormat="false" ht="17.15" hidden="false" customHeight="false" outlineLevel="0" collapsed="false">
      <c r="A16" s="0" t="s">
        <v>54</v>
      </c>
      <c r="B16" s="0" t="s">
        <v>55</v>
      </c>
      <c r="C16" s="0" t="s">
        <v>36</v>
      </c>
      <c r="E16" s="7" t="n">
        <v>0.15</v>
      </c>
      <c r="G16" s="8" t="s">
        <v>37</v>
      </c>
    </row>
    <row r="17" customFormat="false" ht="17.15" hidden="false" customHeight="false" outlineLevel="0" collapsed="false">
      <c r="A17" s="0" t="s">
        <v>56</v>
      </c>
      <c r="B17" s="0" t="s">
        <v>57</v>
      </c>
      <c r="C17" s="6" t="s">
        <v>26</v>
      </c>
      <c r="E17" s="7" t="n">
        <v>0.5</v>
      </c>
      <c r="G17" s="8" t="s">
        <v>27</v>
      </c>
      <c r="H17" s="8" t="s">
        <v>58</v>
      </c>
    </row>
    <row r="18" customFormat="false" ht="17.15" hidden="false" customHeight="false" outlineLevel="0" collapsed="false">
      <c r="A18" s="0" t="s">
        <v>59</v>
      </c>
      <c r="B18" s="0" t="s">
        <v>60</v>
      </c>
      <c r="C18" s="6" t="s">
        <v>26</v>
      </c>
      <c r="E18" s="7" t="n">
        <v>0</v>
      </c>
      <c r="G18" s="8" t="s">
        <v>27</v>
      </c>
      <c r="H18" s="6" t="s">
        <v>31</v>
      </c>
    </row>
    <row r="19" customFormat="false" ht="17.15" hidden="false" customHeight="false" outlineLevel="0" collapsed="false">
      <c r="A19" s="0" t="s">
        <v>61</v>
      </c>
      <c r="B19" s="0" t="s">
        <v>62</v>
      </c>
      <c r="C19" s="6" t="s">
        <v>26</v>
      </c>
      <c r="E19" s="7" t="n">
        <v>0</v>
      </c>
      <c r="G19" s="8" t="s">
        <v>27</v>
      </c>
      <c r="H19" s="6" t="s">
        <v>31</v>
      </c>
    </row>
    <row r="20" customFormat="false" ht="17.15" hidden="false" customHeight="false" outlineLevel="0" collapsed="false">
      <c r="A20" s="0" t="s">
        <v>63</v>
      </c>
      <c r="B20" s="0" t="s">
        <v>64</v>
      </c>
      <c r="C20" s="0" t="s">
        <v>36</v>
      </c>
      <c r="E20" s="7" t="n">
        <v>0</v>
      </c>
      <c r="G20" s="8" t="s">
        <v>37</v>
      </c>
    </row>
    <row r="21" customFormat="false" ht="17.15" hidden="false" customHeight="false" outlineLevel="0" collapsed="false">
      <c r="A21" s="0" t="s">
        <v>65</v>
      </c>
      <c r="B21" s="0" t="s">
        <v>66</v>
      </c>
      <c r="C21" s="6" t="s">
        <v>26</v>
      </c>
      <c r="E21" s="7" t="n">
        <v>0.75</v>
      </c>
      <c r="G21" s="8" t="s">
        <v>67</v>
      </c>
      <c r="H21" s="8" t="s">
        <v>68</v>
      </c>
    </row>
    <row r="22" customFormat="false" ht="17.15" hidden="false" customHeight="false" outlineLevel="0" collapsed="false">
      <c r="A22" s="0" t="s">
        <v>69</v>
      </c>
      <c r="B22" s="0" t="s">
        <v>70</v>
      </c>
      <c r="C22" s="6" t="s">
        <v>26</v>
      </c>
      <c r="E22" s="7" t="n">
        <v>1.5</v>
      </c>
      <c r="G22" s="8" t="s">
        <v>67</v>
      </c>
      <c r="H22" s="6" t="s">
        <v>31</v>
      </c>
    </row>
    <row r="23" customFormat="false" ht="17.15" hidden="false" customHeight="false" outlineLevel="0" collapsed="false">
      <c r="A23" s="0" t="s">
        <v>71</v>
      </c>
      <c r="B23" s="0" t="s">
        <v>72</v>
      </c>
      <c r="C23" s="6" t="s">
        <v>26</v>
      </c>
      <c r="E23" s="7" t="n">
        <v>2</v>
      </c>
      <c r="G23" s="8" t="s">
        <v>67</v>
      </c>
      <c r="H23" s="6" t="s">
        <v>31</v>
      </c>
    </row>
    <row r="24" customFormat="false" ht="17.15" hidden="false" customHeight="false" outlineLevel="0" collapsed="false">
      <c r="A24" s="0" t="s">
        <v>73</v>
      </c>
      <c r="B24" s="0" t="s">
        <v>74</v>
      </c>
      <c r="C24" s="0" t="s">
        <v>36</v>
      </c>
      <c r="E24" s="7" t="n">
        <v>0.15</v>
      </c>
      <c r="G24" s="8" t="s">
        <v>37</v>
      </c>
    </row>
    <row r="25" customFormat="false" ht="17.15" hidden="false" customHeight="false" outlineLevel="0" collapsed="false">
      <c r="A25" s="0" t="s">
        <v>75</v>
      </c>
      <c r="B25" s="0" t="s">
        <v>76</v>
      </c>
      <c r="C25" s="6" t="s">
        <v>26</v>
      </c>
      <c r="E25" s="7" t="n">
        <v>3.85</v>
      </c>
      <c r="G25" s="8" t="s">
        <v>27</v>
      </c>
      <c r="H25" s="8" t="s">
        <v>77</v>
      </c>
    </row>
    <row r="26" customFormat="false" ht="17.15" hidden="false" customHeight="false" outlineLevel="0" collapsed="false">
      <c r="A26" s="0" t="s">
        <v>78</v>
      </c>
      <c r="B26" s="0" t="s">
        <v>79</v>
      </c>
      <c r="C26" s="6" t="s">
        <v>26</v>
      </c>
      <c r="E26" s="7" t="n">
        <v>5.5</v>
      </c>
      <c r="G26" s="8" t="s">
        <v>27</v>
      </c>
      <c r="H26" s="6" t="s">
        <v>31</v>
      </c>
    </row>
    <row r="27" customFormat="false" ht="17.15" hidden="false" customHeight="false" outlineLevel="0" collapsed="false">
      <c r="A27" s="0" t="s">
        <v>80</v>
      </c>
      <c r="B27" s="0" t="s">
        <v>81</v>
      </c>
      <c r="C27" s="6" t="s">
        <v>26</v>
      </c>
      <c r="E27" s="7" t="n">
        <v>7</v>
      </c>
      <c r="G27" s="8" t="s">
        <v>27</v>
      </c>
      <c r="H27" s="6" t="s">
        <v>31</v>
      </c>
    </row>
    <row r="28" customFormat="false" ht="17.15" hidden="false" customHeight="false" outlineLevel="0" collapsed="false">
      <c r="A28" s="0" t="s">
        <v>82</v>
      </c>
      <c r="B28" s="0" t="s">
        <v>83</v>
      </c>
      <c r="C28" s="0" t="s">
        <v>36</v>
      </c>
      <c r="E28" s="7" t="n">
        <v>0.15</v>
      </c>
      <c r="G28" s="8" t="s">
        <v>37</v>
      </c>
    </row>
    <row r="29" customFormat="false" ht="17.15" hidden="false" customHeight="false" outlineLevel="0" collapsed="false">
      <c r="A29" s="0" t="s">
        <v>84</v>
      </c>
      <c r="B29" s="0" t="s">
        <v>85</v>
      </c>
      <c r="C29" s="6" t="s">
        <v>26</v>
      </c>
      <c r="E29" s="7" t="n">
        <v>2</v>
      </c>
      <c r="G29" s="8" t="s">
        <v>37</v>
      </c>
      <c r="H29" s="8" t="s">
        <v>86</v>
      </c>
    </row>
    <row r="30" customFormat="false" ht="17.15" hidden="false" customHeight="false" outlineLevel="0" collapsed="false">
      <c r="A30" s="0" t="s">
        <v>87</v>
      </c>
      <c r="B30" s="0" t="s">
        <v>88</v>
      </c>
      <c r="C30" s="6" t="s">
        <v>26</v>
      </c>
      <c r="E30" s="7" t="n">
        <v>2.5</v>
      </c>
      <c r="G30" s="8" t="s">
        <v>37</v>
      </c>
      <c r="H30" s="6" t="s">
        <v>31</v>
      </c>
    </row>
    <row r="31" customFormat="false" ht="17.15" hidden="false" customHeight="false" outlineLevel="0" collapsed="false">
      <c r="A31" s="0" t="s">
        <v>89</v>
      </c>
      <c r="B31" s="0" t="s">
        <v>90</v>
      </c>
      <c r="C31" s="6" t="s">
        <v>26</v>
      </c>
      <c r="E31" s="7" t="n">
        <v>3</v>
      </c>
      <c r="G31" s="8" t="s">
        <v>37</v>
      </c>
      <c r="H31" s="6" t="s">
        <v>31</v>
      </c>
    </row>
    <row r="32" customFormat="false" ht="17.15" hidden="false" customHeight="false" outlineLevel="0" collapsed="false">
      <c r="A32" s="0" t="s">
        <v>91</v>
      </c>
      <c r="B32" s="0" t="s">
        <v>92</v>
      </c>
      <c r="C32" s="0" t="s">
        <v>36</v>
      </c>
      <c r="E32" s="7" t="n">
        <v>0.15</v>
      </c>
      <c r="G32" s="8" t="s">
        <v>37</v>
      </c>
    </row>
    <row r="33" customFormat="false" ht="17.15" hidden="false" customHeight="false" outlineLevel="0" collapsed="false">
      <c r="A33" s="0" t="s">
        <v>93</v>
      </c>
      <c r="B33" s="6" t="s">
        <v>94</v>
      </c>
      <c r="C33" s="6" t="s">
        <v>26</v>
      </c>
      <c r="E33" s="7" t="n">
        <v>1</v>
      </c>
      <c r="G33" s="8" t="s">
        <v>95</v>
      </c>
      <c r="H33" s="8" t="s">
        <v>96</v>
      </c>
    </row>
    <row r="34" customFormat="false" ht="17.15" hidden="false" customHeight="false" outlineLevel="0" collapsed="false">
      <c r="A34" s="0" t="s">
        <v>97</v>
      </c>
      <c r="B34" s="6" t="s">
        <v>98</v>
      </c>
      <c r="C34" s="6" t="s">
        <v>26</v>
      </c>
      <c r="E34" s="7" t="n">
        <v>4.5</v>
      </c>
      <c r="G34" s="8" t="s">
        <v>95</v>
      </c>
      <c r="H34" s="6" t="s">
        <v>31</v>
      </c>
    </row>
    <row r="35" customFormat="false" ht="17.15" hidden="false" customHeight="false" outlineLevel="0" collapsed="false">
      <c r="A35" s="0" t="s">
        <v>99</v>
      </c>
      <c r="B35" s="6" t="s">
        <v>100</v>
      </c>
      <c r="C35" s="6" t="s">
        <v>26</v>
      </c>
      <c r="E35" s="7" t="n">
        <v>5</v>
      </c>
      <c r="G35" s="8" t="s">
        <v>95</v>
      </c>
      <c r="H35" s="6" t="s">
        <v>31</v>
      </c>
    </row>
    <row r="36" customFormat="false" ht="17.15" hidden="false" customHeight="false" outlineLevel="0" collapsed="false">
      <c r="A36" s="0" t="s">
        <v>101</v>
      </c>
      <c r="B36" s="6" t="s">
        <v>102</v>
      </c>
      <c r="C36" s="0" t="s">
        <v>36</v>
      </c>
      <c r="E36" s="7" t="n">
        <v>0.15</v>
      </c>
      <c r="G36" s="8" t="s">
        <v>37</v>
      </c>
    </row>
    <row r="37" customFormat="false" ht="17.15" hidden="false" customHeight="false" outlineLevel="0" collapsed="false">
      <c r="A37" s="0" t="s">
        <v>103</v>
      </c>
      <c r="B37" s="6" t="s">
        <v>104</v>
      </c>
      <c r="C37" s="0" t="s">
        <v>105</v>
      </c>
      <c r="E37" s="7" t="n">
        <v>1</v>
      </c>
      <c r="G37" s="8" t="s">
        <v>37</v>
      </c>
      <c r="H37" s="8" t="s">
        <v>106</v>
      </c>
    </row>
    <row r="38" customFormat="false" ht="17.15" hidden="false" customHeight="false" outlineLevel="0" collapsed="false">
      <c r="A38" s="0" t="s">
        <v>107</v>
      </c>
      <c r="B38" s="6" t="s">
        <v>108</v>
      </c>
      <c r="C38" s="0" t="s">
        <v>105</v>
      </c>
      <c r="E38" s="7" t="n">
        <v>1</v>
      </c>
      <c r="G38" s="8" t="s">
        <v>37</v>
      </c>
    </row>
    <row r="39" customFormat="false" ht="17.15" hidden="false" customHeight="false" outlineLevel="0" collapsed="false">
      <c r="A39" s="0" t="s">
        <v>109</v>
      </c>
      <c r="B39" s="6" t="s">
        <v>110</v>
      </c>
      <c r="C39" s="0" t="s">
        <v>105</v>
      </c>
      <c r="E39" s="7" t="n">
        <v>0.8</v>
      </c>
      <c r="G39" s="8" t="s">
        <v>37</v>
      </c>
    </row>
    <row r="40" customFormat="false" ht="17.15" hidden="false" customHeight="false" outlineLevel="0" collapsed="false">
      <c r="A40" s="0" t="s">
        <v>111</v>
      </c>
      <c r="B40" s="6" t="s">
        <v>112</v>
      </c>
      <c r="C40" s="0" t="s">
        <v>105</v>
      </c>
      <c r="E40" s="7" t="n">
        <v>0.85</v>
      </c>
      <c r="G40" s="8" t="s">
        <v>37</v>
      </c>
    </row>
    <row r="41" customFormat="false" ht="17.15" hidden="false" customHeight="false" outlineLevel="0" collapsed="false">
      <c r="A41" s="0" t="s">
        <v>113</v>
      </c>
      <c r="B41" s="6" t="s">
        <v>114</v>
      </c>
      <c r="C41" s="0" t="s">
        <v>105</v>
      </c>
      <c r="E41" s="7" t="n">
        <v>0.6</v>
      </c>
      <c r="G41" s="8" t="s">
        <v>37</v>
      </c>
    </row>
    <row r="42" customFormat="false" ht="17.15" hidden="false" customHeight="false" outlineLevel="0" collapsed="false">
      <c r="A42" s="0" t="s">
        <v>115</v>
      </c>
      <c r="B42" s="6" t="s">
        <v>116</v>
      </c>
      <c r="C42" s="0" t="s">
        <v>105</v>
      </c>
      <c r="E42" s="7" t="n">
        <v>0.6</v>
      </c>
      <c r="G42" s="8" t="s">
        <v>37</v>
      </c>
    </row>
    <row r="43" customFormat="false" ht="17.15" hidden="false" customHeight="false" outlineLevel="0" collapsed="false">
      <c r="A43" s="5" t="s">
        <v>117</v>
      </c>
    </row>
    <row r="44" customFormat="false" ht="17.15" hidden="false" customHeight="false" outlineLevel="0" collapsed="false">
      <c r="A44" s="0" t="s">
        <v>118</v>
      </c>
      <c r="B44" s="0" t="s">
        <v>119</v>
      </c>
      <c r="C44" s="6" t="s">
        <v>120</v>
      </c>
      <c r="D44" s="7" t="n">
        <v>11.2</v>
      </c>
      <c r="E44" s="7" t="n">
        <v>14</v>
      </c>
      <c r="F44" s="7" t="n">
        <v>16.8</v>
      </c>
      <c r="G44" s="8" t="s">
        <v>121</v>
      </c>
      <c r="H44" s="6" t="s">
        <v>122</v>
      </c>
    </row>
    <row r="45" customFormat="false" ht="17.15" hidden="false" customHeight="false" outlineLevel="0" collapsed="false">
      <c r="A45" s="0" t="s">
        <v>123</v>
      </c>
      <c r="B45" s="0" t="s">
        <v>124</v>
      </c>
      <c r="C45" s="0" t="s">
        <v>125</v>
      </c>
      <c r="D45" s="7" t="n">
        <v>1.84</v>
      </c>
      <c r="E45" s="7" t="n">
        <v>2.3</v>
      </c>
      <c r="F45" s="7" t="n">
        <v>2.76</v>
      </c>
      <c r="G45" s="8" t="s">
        <v>121</v>
      </c>
      <c r="H45" s="6" t="s">
        <v>31</v>
      </c>
    </row>
    <row r="46" customFormat="false" ht="17.15" hidden="false" customHeight="false" outlineLevel="0" collapsed="false">
      <c r="A46" s="0" t="s">
        <v>126</v>
      </c>
      <c r="B46" s="0" t="s">
        <v>127</v>
      </c>
      <c r="C46" s="6" t="s">
        <v>120</v>
      </c>
      <c r="D46" s="7" t="n">
        <v>6.4</v>
      </c>
      <c r="E46" s="7" t="n">
        <v>8</v>
      </c>
      <c r="F46" s="7" t="n">
        <v>9.6</v>
      </c>
      <c r="G46" s="8" t="s">
        <v>121</v>
      </c>
      <c r="H46" s="8" t="s">
        <v>128</v>
      </c>
    </row>
    <row r="47" customFormat="false" ht="17.15" hidden="false" customHeight="false" outlineLevel="0" collapsed="false">
      <c r="A47" s="0" t="s">
        <v>129</v>
      </c>
      <c r="B47" s="0" t="s">
        <v>130</v>
      </c>
      <c r="C47" s="0" t="s">
        <v>125</v>
      </c>
      <c r="D47" s="7" t="n">
        <v>2.24</v>
      </c>
      <c r="E47" s="7" t="n">
        <v>2.8</v>
      </c>
      <c r="F47" s="7" t="n">
        <v>3.36</v>
      </c>
      <c r="G47" s="8" t="s">
        <v>121</v>
      </c>
      <c r="H47" s="6" t="s">
        <v>31</v>
      </c>
    </row>
    <row r="48" customFormat="false" ht="17.15" hidden="false" customHeight="false" outlineLevel="0" collapsed="false">
      <c r="A48" s="0" t="s">
        <v>131</v>
      </c>
      <c r="B48" s="0" t="s">
        <v>132</v>
      </c>
      <c r="C48" s="6" t="s">
        <v>120</v>
      </c>
      <c r="D48" s="7" t="n">
        <v>3.2</v>
      </c>
      <c r="E48" s="7" t="n">
        <v>4</v>
      </c>
      <c r="F48" s="7" t="n">
        <v>4.8</v>
      </c>
      <c r="G48" s="8" t="s">
        <v>37</v>
      </c>
      <c r="H48" s="8" t="s">
        <v>133</v>
      </c>
    </row>
    <row r="49" customFormat="false" ht="17.15" hidden="false" customHeight="false" outlineLevel="0" collapsed="false">
      <c r="A49" s="0" t="s">
        <v>134</v>
      </c>
      <c r="B49" s="0" t="s">
        <v>135</v>
      </c>
      <c r="C49" s="0" t="s">
        <v>125</v>
      </c>
      <c r="D49" s="7" t="n">
        <v>4.8</v>
      </c>
      <c r="E49" s="7" t="n">
        <v>6</v>
      </c>
      <c r="F49" s="7" t="n">
        <v>7.2</v>
      </c>
      <c r="G49" s="8" t="s">
        <v>37</v>
      </c>
      <c r="H49" s="6" t="s">
        <v>31</v>
      </c>
    </row>
    <row r="50" customFormat="false" ht="17.15" hidden="false" customHeight="false" outlineLevel="0" collapsed="false">
      <c r="A50" s="0" t="s">
        <v>136</v>
      </c>
      <c r="B50" s="0" t="s">
        <v>137</v>
      </c>
      <c r="C50" s="6" t="s">
        <v>120</v>
      </c>
      <c r="D50" s="7" t="n">
        <v>23.2</v>
      </c>
      <c r="E50" s="7" t="n">
        <v>29</v>
      </c>
      <c r="F50" s="7" t="n">
        <v>34.8</v>
      </c>
      <c r="G50" s="8" t="s">
        <v>138</v>
      </c>
      <c r="H50" s="8" t="s">
        <v>139</v>
      </c>
    </row>
    <row r="51" customFormat="false" ht="17.15" hidden="false" customHeight="false" outlineLevel="0" collapsed="false">
      <c r="A51" s="0" t="s">
        <v>140</v>
      </c>
      <c r="B51" s="0" t="s">
        <v>141</v>
      </c>
      <c r="C51" s="0" t="s">
        <v>125</v>
      </c>
      <c r="D51" s="7" t="n">
        <v>0.88</v>
      </c>
      <c r="E51" s="7" t="n">
        <v>1.1</v>
      </c>
      <c r="F51" s="7" t="n">
        <v>1.32</v>
      </c>
      <c r="G51" s="8" t="s">
        <v>138</v>
      </c>
      <c r="H51" s="6" t="s">
        <v>31</v>
      </c>
    </row>
    <row r="52" customFormat="false" ht="17.15" hidden="false" customHeight="false" outlineLevel="0" collapsed="false">
      <c r="A52" s="0" t="s">
        <v>142</v>
      </c>
      <c r="B52" s="0" t="s">
        <v>143</v>
      </c>
      <c r="C52" s="6" t="s">
        <v>120</v>
      </c>
      <c r="D52" s="7" t="n">
        <v>6.8</v>
      </c>
      <c r="E52" s="7" t="n">
        <v>8.5</v>
      </c>
      <c r="F52" s="7" t="n">
        <v>10.2</v>
      </c>
      <c r="G52" s="8" t="s">
        <v>144</v>
      </c>
      <c r="H52" s="8" t="s">
        <v>145</v>
      </c>
    </row>
    <row r="53" customFormat="false" ht="17.15" hidden="false" customHeight="false" outlineLevel="0" collapsed="false">
      <c r="A53" s="0" t="s">
        <v>146</v>
      </c>
      <c r="B53" s="0" t="s">
        <v>147</v>
      </c>
      <c r="C53" s="0" t="s">
        <v>125</v>
      </c>
      <c r="D53" s="7" t="n">
        <v>1.6</v>
      </c>
      <c r="E53" s="7" t="n">
        <v>2</v>
      </c>
      <c r="F53" s="7" t="n">
        <v>2.4</v>
      </c>
      <c r="G53" s="8" t="s">
        <v>144</v>
      </c>
      <c r="H53" s="6" t="s">
        <v>31</v>
      </c>
    </row>
    <row r="54" customFormat="false" ht="17.15" hidden="false" customHeight="false" outlineLevel="0" collapsed="false">
      <c r="A54" s="0" t="s">
        <v>148</v>
      </c>
      <c r="B54" s="0" t="s">
        <v>149</v>
      </c>
      <c r="C54" s="6" t="s">
        <v>120</v>
      </c>
      <c r="D54" s="7" t="n">
        <v>4.8</v>
      </c>
      <c r="E54" s="7" t="n">
        <v>6</v>
      </c>
      <c r="F54" s="7" t="n">
        <v>7.2</v>
      </c>
      <c r="G54" s="8" t="s">
        <v>37</v>
      </c>
      <c r="H54" s="8" t="s">
        <v>150</v>
      </c>
    </row>
    <row r="55" customFormat="false" ht="17.15" hidden="false" customHeight="false" outlineLevel="0" collapsed="false">
      <c r="A55" s="0" t="s">
        <v>151</v>
      </c>
      <c r="B55" s="0" t="s">
        <v>152</v>
      </c>
      <c r="C55" s="0" t="s">
        <v>125</v>
      </c>
      <c r="D55" s="7" t="n">
        <v>2.4</v>
      </c>
      <c r="E55" s="7" t="n">
        <v>3</v>
      </c>
      <c r="F55" s="7" t="n">
        <v>3.6</v>
      </c>
      <c r="G55" s="8" t="s">
        <v>37</v>
      </c>
      <c r="H55" s="6" t="s">
        <v>31</v>
      </c>
    </row>
    <row r="56" customFormat="false" ht="17.15" hidden="false" customHeight="false" outlineLevel="0" collapsed="false">
      <c r="A56" s="0" t="s">
        <v>153</v>
      </c>
      <c r="B56" s="0" t="s">
        <v>154</v>
      </c>
      <c r="C56" s="6" t="s">
        <v>120</v>
      </c>
      <c r="D56" s="7" t="n">
        <v>22.4</v>
      </c>
      <c r="E56" s="7" t="n">
        <v>28</v>
      </c>
      <c r="F56" s="7" t="n">
        <v>33.6</v>
      </c>
      <c r="G56" s="8" t="s">
        <v>95</v>
      </c>
      <c r="H56" s="8" t="s">
        <v>155</v>
      </c>
    </row>
    <row r="57" customFormat="false" ht="17.15" hidden="false" customHeight="false" outlineLevel="0" collapsed="false">
      <c r="A57" s="0" t="s">
        <v>156</v>
      </c>
      <c r="B57" s="0" t="s">
        <v>157</v>
      </c>
      <c r="C57" s="0" t="s">
        <v>125</v>
      </c>
      <c r="D57" s="7" t="n">
        <v>1.2</v>
      </c>
      <c r="E57" s="7" t="n">
        <v>1.5</v>
      </c>
      <c r="F57" s="7" t="n">
        <v>1.8</v>
      </c>
      <c r="G57" s="8" t="s">
        <v>95</v>
      </c>
      <c r="H57" s="6" t="s">
        <v>31</v>
      </c>
    </row>
    <row r="58" customFormat="false" ht="17.15" hidden="false" customHeight="false" outlineLevel="0" collapsed="false">
      <c r="A58" s="0" t="s">
        <v>158</v>
      </c>
      <c r="B58" s="0" t="s">
        <v>159</v>
      </c>
      <c r="C58" s="6" t="s">
        <v>120</v>
      </c>
      <c r="D58" s="7" t="n">
        <v>19.2</v>
      </c>
      <c r="E58" s="7" t="n">
        <v>24</v>
      </c>
      <c r="F58" s="7" t="n">
        <v>28.8</v>
      </c>
      <c r="G58" s="8" t="s">
        <v>37</v>
      </c>
      <c r="H58" s="8" t="s">
        <v>160</v>
      </c>
    </row>
    <row r="59" customFormat="false" ht="17.15" hidden="false" customHeight="false" outlineLevel="0" collapsed="false">
      <c r="A59" s="0" t="s">
        <v>161</v>
      </c>
      <c r="B59" s="0" t="s">
        <v>162</v>
      </c>
      <c r="C59" s="0" t="s">
        <v>125</v>
      </c>
      <c r="D59" s="7" t="n">
        <v>1.44</v>
      </c>
      <c r="E59" s="7" t="n">
        <v>1.8</v>
      </c>
      <c r="F59" s="7" t="n">
        <v>2.16</v>
      </c>
      <c r="G59" s="8" t="s">
        <v>37</v>
      </c>
      <c r="H59" s="6" t="s">
        <v>31</v>
      </c>
    </row>
    <row r="60" customFormat="false" ht="17.15" hidden="false" customHeight="false" outlineLevel="0" collapsed="false">
      <c r="A60" s="0" t="s">
        <v>163</v>
      </c>
      <c r="B60" s="0" t="s">
        <v>164</v>
      </c>
      <c r="C60" s="6" t="s">
        <v>120</v>
      </c>
      <c r="D60" s="7" t="n">
        <v>24</v>
      </c>
      <c r="E60" s="7" t="n">
        <v>30</v>
      </c>
      <c r="F60" s="7" t="n">
        <v>36</v>
      </c>
      <c r="G60" s="8" t="s">
        <v>95</v>
      </c>
      <c r="H60" s="8" t="s">
        <v>165</v>
      </c>
    </row>
    <row r="61" customFormat="false" ht="17.15" hidden="false" customHeight="false" outlineLevel="0" collapsed="false">
      <c r="A61" s="0" t="s">
        <v>166</v>
      </c>
      <c r="B61" s="0" t="s">
        <v>167</v>
      </c>
      <c r="C61" s="0" t="s">
        <v>125</v>
      </c>
      <c r="D61" s="7" t="n">
        <v>0.96</v>
      </c>
      <c r="E61" s="7" t="n">
        <v>1.2</v>
      </c>
      <c r="F61" s="7" t="n">
        <v>1.44</v>
      </c>
      <c r="G61" s="8" t="s">
        <v>95</v>
      </c>
      <c r="H61" s="6" t="s">
        <v>31</v>
      </c>
    </row>
    <row r="62" customFormat="false" ht="17.15" hidden="false" customHeight="false" outlineLevel="0" collapsed="false">
      <c r="A62" s="0" t="s">
        <v>168</v>
      </c>
      <c r="B62" s="0" t="s">
        <v>169</v>
      </c>
      <c r="C62" s="6" t="s">
        <v>120</v>
      </c>
      <c r="D62" s="7" t="n">
        <v>16</v>
      </c>
      <c r="E62" s="7" t="n">
        <v>20</v>
      </c>
      <c r="F62" s="7" t="n">
        <v>24</v>
      </c>
      <c r="G62" s="8" t="s">
        <v>37</v>
      </c>
    </row>
    <row r="63" customFormat="false" ht="17.15" hidden="false" customHeight="false" outlineLevel="0" collapsed="false">
      <c r="A63" s="0" t="s">
        <v>170</v>
      </c>
      <c r="B63" s="0" t="s">
        <v>171</v>
      </c>
      <c r="C63" s="0" t="s">
        <v>125</v>
      </c>
      <c r="D63" s="7" t="n">
        <v>0.96</v>
      </c>
      <c r="E63" s="7" t="n">
        <v>1.2</v>
      </c>
      <c r="F63" s="7" t="n">
        <v>1.44</v>
      </c>
      <c r="G63" s="8" t="s">
        <v>37</v>
      </c>
      <c r="H63" s="6" t="s">
        <v>31</v>
      </c>
    </row>
    <row r="64" customFormat="false" ht="17.15" hidden="false" customHeight="false" outlineLevel="0" collapsed="false">
      <c r="A64" s="0" t="s">
        <v>172</v>
      </c>
      <c r="B64" s="6" t="s">
        <v>173</v>
      </c>
      <c r="C64" s="6" t="s">
        <v>174</v>
      </c>
      <c r="E64" s="7" t="n">
        <v>150</v>
      </c>
      <c r="G64" s="8" t="s">
        <v>37</v>
      </c>
      <c r="H64" s="8" t="s">
        <v>175</v>
      </c>
    </row>
    <row r="65" customFormat="false" ht="17.15" hidden="false" customHeight="false" outlineLevel="0" collapsed="false">
      <c r="A65" s="0" t="s">
        <v>176</v>
      </c>
      <c r="B65" s="6" t="s">
        <v>177</v>
      </c>
      <c r="C65" s="0" t="s">
        <v>36</v>
      </c>
      <c r="E65" s="7" t="n">
        <v>0.25</v>
      </c>
      <c r="G65" s="8" t="s">
        <v>37</v>
      </c>
    </row>
    <row r="66" customFormat="false" ht="17.15" hidden="false" customHeight="false" outlineLevel="0" collapsed="false">
      <c r="A66" s="5" t="s">
        <v>178</v>
      </c>
    </row>
    <row r="67" customFormat="false" ht="17.15" hidden="false" customHeight="false" outlineLevel="0" collapsed="false">
      <c r="A67" s="0" t="s">
        <v>179</v>
      </c>
      <c r="B67" s="0" t="s">
        <v>180</v>
      </c>
      <c r="C67" s="6" t="s">
        <v>181</v>
      </c>
      <c r="E67" s="7" t="n">
        <v>77.5</v>
      </c>
      <c r="G67" s="8" t="s">
        <v>27</v>
      </c>
      <c r="H67" s="8" t="s">
        <v>182</v>
      </c>
    </row>
    <row r="68" customFormat="false" ht="17.15" hidden="false" customHeight="false" outlineLevel="0" collapsed="false">
      <c r="A68" s="0" t="s">
        <v>183</v>
      </c>
      <c r="B68" s="0" t="s">
        <v>184</v>
      </c>
      <c r="C68" s="6" t="s">
        <v>181</v>
      </c>
      <c r="E68" s="7" t="n">
        <v>130</v>
      </c>
      <c r="G68" s="8" t="s">
        <v>27</v>
      </c>
      <c r="H68" s="8" t="s">
        <v>185</v>
      </c>
    </row>
    <row r="69" customFormat="false" ht="17.15" hidden="false" customHeight="false" outlineLevel="0" collapsed="false">
      <c r="A69" s="0" t="s">
        <v>186</v>
      </c>
      <c r="B69" s="0" t="s">
        <v>187</v>
      </c>
      <c r="C69" s="6" t="s">
        <v>181</v>
      </c>
      <c r="E69" s="7" t="n">
        <v>200</v>
      </c>
      <c r="G69" s="8" t="s">
        <v>27</v>
      </c>
      <c r="H69" s="8" t="s">
        <v>188</v>
      </c>
    </row>
    <row r="70" customFormat="false" ht="17.15" hidden="false" customHeight="false" outlineLevel="0" collapsed="false">
      <c r="A70" s="0" t="s">
        <v>189</v>
      </c>
      <c r="B70" s="0" t="s">
        <v>190</v>
      </c>
      <c r="C70" s="6" t="s">
        <v>181</v>
      </c>
      <c r="E70" s="7" t="n">
        <v>260</v>
      </c>
      <c r="G70" s="8" t="s">
        <v>27</v>
      </c>
      <c r="H70" s="8" t="s">
        <v>191</v>
      </c>
    </row>
    <row r="71" customFormat="false" ht="17.15" hidden="false" customHeight="false" outlineLevel="0" collapsed="false">
      <c r="A71" s="0" t="s">
        <v>192</v>
      </c>
      <c r="B71" s="0" t="s">
        <v>193</v>
      </c>
      <c r="C71" s="6" t="s">
        <v>181</v>
      </c>
      <c r="E71" s="7" t="n">
        <v>320</v>
      </c>
      <c r="G71" s="8" t="s">
        <v>37</v>
      </c>
      <c r="H71" s="8" t="s">
        <v>37</v>
      </c>
    </row>
    <row r="72" customFormat="false" ht="17.15" hidden="false" customHeight="false" outlineLevel="0" collapsed="false">
      <c r="A72" s="0" t="s">
        <v>194</v>
      </c>
      <c r="B72" s="6" t="s">
        <v>195</v>
      </c>
      <c r="C72" s="0" t="s">
        <v>36</v>
      </c>
      <c r="D72" s="7" t="n">
        <v>0.05</v>
      </c>
      <c r="E72" s="7" t="n">
        <v>0.1</v>
      </c>
      <c r="F72" s="7" t="n">
        <v>0.2</v>
      </c>
      <c r="G72" s="8" t="s">
        <v>37</v>
      </c>
      <c r="H72" s="6" t="s">
        <v>196</v>
      </c>
    </row>
    <row r="73" customFormat="false" ht="17.15" hidden="false" customHeight="false" outlineLevel="0" collapsed="false">
      <c r="A73" s="0" t="s">
        <v>197</v>
      </c>
      <c r="B73" s="0" t="s">
        <v>198</v>
      </c>
      <c r="C73" s="6" t="s">
        <v>174</v>
      </c>
      <c r="E73" s="7" t="n">
        <v>1394</v>
      </c>
      <c r="G73" s="8" t="s">
        <v>27</v>
      </c>
      <c r="H73" s="8" t="s">
        <v>199</v>
      </c>
    </row>
    <row r="74" customFormat="false" ht="17.15" hidden="false" customHeight="false" outlineLevel="0" collapsed="false">
      <c r="A74" s="0" t="s">
        <v>200</v>
      </c>
      <c r="B74" s="0" t="s">
        <v>201</v>
      </c>
      <c r="C74" s="6" t="s">
        <v>174</v>
      </c>
      <c r="E74" s="7" t="n">
        <v>2509</v>
      </c>
      <c r="G74" s="8" t="s">
        <v>27</v>
      </c>
      <c r="H74" s="8" t="s">
        <v>202</v>
      </c>
    </row>
    <row r="75" customFormat="false" ht="17.15" hidden="false" customHeight="false" outlineLevel="0" collapsed="false">
      <c r="A75" s="0" t="s">
        <v>203</v>
      </c>
      <c r="B75" s="0" t="s">
        <v>204</v>
      </c>
      <c r="C75" s="0" t="s">
        <v>36</v>
      </c>
      <c r="E75" s="7" t="n">
        <v>0.21</v>
      </c>
      <c r="G75" s="8" t="s">
        <v>121</v>
      </c>
      <c r="H75" s="8" t="s">
        <v>205</v>
      </c>
    </row>
    <row r="76" customFormat="false" ht="17.15" hidden="false" customHeight="false" outlineLevel="0" collapsed="false">
      <c r="A76" s="5" t="s">
        <v>206</v>
      </c>
    </row>
    <row r="77" customFormat="false" ht="17.15" hidden="false" customHeight="false" outlineLevel="0" collapsed="false">
      <c r="A77" s="0" t="s">
        <v>207</v>
      </c>
      <c r="B77" s="6" t="s">
        <v>208</v>
      </c>
      <c r="C77" s="0" t="s">
        <v>209</v>
      </c>
      <c r="D77" s="7" t="n">
        <v>30</v>
      </c>
      <c r="E77" s="7" t="n">
        <v>32</v>
      </c>
      <c r="F77" s="7" t="n">
        <v>33</v>
      </c>
      <c r="G77" s="8" t="s">
        <v>37</v>
      </c>
      <c r="H77" s="8" t="s">
        <v>210</v>
      </c>
    </row>
    <row r="78" customFormat="false" ht="17.15" hidden="false" customHeight="false" outlineLevel="0" collapsed="false">
      <c r="A78" s="0" t="s">
        <v>211</v>
      </c>
      <c r="B78" s="6" t="s">
        <v>212</v>
      </c>
      <c r="C78" s="0" t="s">
        <v>213</v>
      </c>
      <c r="E78" s="7" t="n">
        <v>122.43</v>
      </c>
      <c r="G78" s="8" t="s">
        <v>214</v>
      </c>
      <c r="H78" s="6" t="s">
        <v>215</v>
      </c>
    </row>
    <row r="79" customFormat="false" ht="17.15" hidden="false" customHeight="false" outlineLevel="0" collapsed="false">
      <c r="A79" s="0" t="s">
        <v>216</v>
      </c>
      <c r="B79" s="6" t="s">
        <v>217</v>
      </c>
      <c r="C79" s="0" t="s">
        <v>213</v>
      </c>
      <c r="E79" s="7" t="n">
        <v>35.9</v>
      </c>
      <c r="G79" s="8" t="s">
        <v>214</v>
      </c>
      <c r="H79" s="6" t="s">
        <v>218</v>
      </c>
    </row>
    <row r="80" customFormat="false" ht="17.15" hidden="false" customHeight="false" outlineLevel="0" collapsed="false">
      <c r="A80" s="0" t="s">
        <v>219</v>
      </c>
      <c r="B80" s="6" t="s">
        <v>220</v>
      </c>
      <c r="C80" s="0" t="s">
        <v>213</v>
      </c>
      <c r="E80" s="7" t="n">
        <v>40.2</v>
      </c>
      <c r="G80" s="8" t="s">
        <v>214</v>
      </c>
      <c r="H80" s="6" t="s">
        <v>221</v>
      </c>
    </row>
    <row r="81" customFormat="false" ht="17.15" hidden="false" customHeight="false" outlineLevel="0" collapsed="false">
      <c r="A81" s="0" t="s">
        <v>222</v>
      </c>
      <c r="B81" s="6" t="s">
        <v>223</v>
      </c>
      <c r="C81" s="0" t="s">
        <v>213</v>
      </c>
      <c r="E81" s="7" t="n">
        <v>46.72</v>
      </c>
      <c r="G81" s="8" t="s">
        <v>214</v>
      </c>
      <c r="H81" s="6" t="s">
        <v>224</v>
      </c>
    </row>
    <row r="82" customFormat="false" ht="17.15" hidden="false" customHeight="false" outlineLevel="0" collapsed="false">
      <c r="A82" s="0" t="s">
        <v>225</v>
      </c>
      <c r="B82" s="6" t="s">
        <v>226</v>
      </c>
      <c r="C82" s="0" t="s">
        <v>213</v>
      </c>
      <c r="D82" s="7" t="n">
        <v>52.3</v>
      </c>
      <c r="E82" s="7" t="n">
        <v>53.3</v>
      </c>
      <c r="F82" s="7" t="n">
        <v>54.3</v>
      </c>
      <c r="G82" s="8" t="s">
        <v>27</v>
      </c>
      <c r="H82" s="6" t="s">
        <v>227</v>
      </c>
    </row>
    <row r="83" customFormat="false" ht="17.15" hidden="false" customHeight="false" outlineLevel="0" collapsed="false">
      <c r="A83" s="0" t="s">
        <v>228</v>
      </c>
      <c r="B83" s="0" t="s">
        <v>229</v>
      </c>
      <c r="C83" s="0" t="s">
        <v>209</v>
      </c>
      <c r="E83" s="7" t="n">
        <v>31.8</v>
      </c>
      <c r="G83" s="8" t="s">
        <v>27</v>
      </c>
      <c r="H83" s="6" t="s">
        <v>230</v>
      </c>
    </row>
    <row r="84" customFormat="false" ht="17.15" hidden="false" customHeight="false" outlineLevel="0" collapsed="false">
      <c r="A84" s="0" t="s">
        <v>231</v>
      </c>
      <c r="B84" s="6" t="s">
        <v>232</v>
      </c>
      <c r="C84" s="0" t="s">
        <v>233</v>
      </c>
      <c r="E84" s="7" t="n">
        <v>1134.1</v>
      </c>
      <c r="G84" s="8" t="s">
        <v>214</v>
      </c>
      <c r="H84" s="6" t="s">
        <v>234</v>
      </c>
    </row>
    <row r="85" customFormat="false" ht="17.15" hidden="false" customHeight="false" outlineLevel="0" collapsed="false">
      <c r="A85" s="0" t="s">
        <v>235</v>
      </c>
      <c r="B85" s="6" t="s">
        <v>236</v>
      </c>
      <c r="C85" s="0" t="s">
        <v>233</v>
      </c>
      <c r="E85" s="7" t="n">
        <v>1270.38</v>
      </c>
      <c r="G85" s="8" t="s">
        <v>214</v>
      </c>
      <c r="H85" s="6" t="s">
        <v>237</v>
      </c>
    </row>
    <row r="86" customFormat="false" ht="17.15" hidden="false" customHeight="false" outlineLevel="0" collapsed="false">
      <c r="A86" s="0" t="s">
        <v>238</v>
      </c>
      <c r="B86" s="6" t="s">
        <v>239</v>
      </c>
      <c r="C86" s="0" t="s">
        <v>233</v>
      </c>
      <c r="E86" s="7" t="n">
        <v>1494.24</v>
      </c>
      <c r="G86" s="8" t="s">
        <v>214</v>
      </c>
      <c r="H86" s="6" t="s">
        <v>240</v>
      </c>
    </row>
    <row r="87" customFormat="false" ht="17.15" hidden="false" customHeight="false" outlineLevel="0" collapsed="false">
      <c r="A87" s="0" t="s">
        <v>241</v>
      </c>
      <c r="B87" s="6" t="s">
        <v>242</v>
      </c>
      <c r="C87" s="0" t="s">
        <v>233</v>
      </c>
      <c r="D87" s="0" t="n">
        <f aca="false">rev26_4q_lo*fx26_4q</f>
        <v>1663.14</v>
      </c>
      <c r="E87" s="0" t="n">
        <f aca="false">rev26_4q*fx26_4q</f>
        <v>1694.94</v>
      </c>
      <c r="F87" s="0" t="n">
        <f aca="false">rev26_4q_hi*fx26_4q</f>
        <v>1726.74</v>
      </c>
      <c r="G87" s="0" t="s">
        <v>121</v>
      </c>
    </row>
    <row r="88" customFormat="false" ht="17.15" hidden="false" customHeight="false" outlineLevel="0" collapsed="false">
      <c r="A88" s="0" t="s">
        <v>243</v>
      </c>
      <c r="B88" s="6" t="s">
        <v>244</v>
      </c>
      <c r="C88" s="0" t="s">
        <v>36</v>
      </c>
      <c r="E88" s="7" t="n">
        <v>0.662</v>
      </c>
      <c r="G88" s="8" t="s">
        <v>214</v>
      </c>
      <c r="H88" s="6" t="s">
        <v>234</v>
      </c>
    </row>
    <row r="89" customFormat="false" ht="17.15" hidden="false" customHeight="false" outlineLevel="0" collapsed="false">
      <c r="A89" s="0" t="s">
        <v>245</v>
      </c>
      <c r="B89" s="6" t="s">
        <v>246</v>
      </c>
      <c r="C89" s="0" t="s">
        <v>36</v>
      </c>
      <c r="E89" s="7" t="n">
        <v>0.677</v>
      </c>
      <c r="G89" s="8" t="s">
        <v>214</v>
      </c>
      <c r="H89" s="6" t="s">
        <v>237</v>
      </c>
    </row>
    <row r="90" customFormat="false" ht="17.15" hidden="false" customHeight="false" outlineLevel="0" collapsed="false">
      <c r="A90" s="0" t="s">
        <v>247</v>
      </c>
      <c r="B90" s="6" t="s">
        <v>248</v>
      </c>
      <c r="C90" s="0" t="s">
        <v>36</v>
      </c>
      <c r="E90" s="7" t="n">
        <v>0.664</v>
      </c>
      <c r="G90" s="8" t="s">
        <v>214</v>
      </c>
      <c r="H90" s="6" t="s">
        <v>249</v>
      </c>
    </row>
    <row r="91" customFormat="false" ht="17.15" hidden="false" customHeight="false" outlineLevel="0" collapsed="false">
      <c r="A91" s="0" t="s">
        <v>250</v>
      </c>
      <c r="B91" s="6" t="s">
        <v>251</v>
      </c>
      <c r="C91" s="0" t="s">
        <v>36</v>
      </c>
      <c r="D91" s="7" t="n">
        <v>0.65</v>
      </c>
      <c r="E91" s="7" t="n">
        <v>0.66</v>
      </c>
      <c r="F91" s="7" t="n">
        <v>0.67</v>
      </c>
      <c r="G91" s="8" t="s">
        <v>27</v>
      </c>
      <c r="H91" s="6" t="s">
        <v>252</v>
      </c>
    </row>
    <row r="92" customFormat="false" ht="17.15" hidden="false" customHeight="false" outlineLevel="0" collapsed="false">
      <c r="A92" s="0" t="s">
        <v>253</v>
      </c>
      <c r="B92" s="6" t="s">
        <v>254</v>
      </c>
      <c r="C92" s="0" t="s">
        <v>36</v>
      </c>
      <c r="E92" s="7" t="n">
        <v>0.581</v>
      </c>
      <c r="G92" s="8" t="s">
        <v>214</v>
      </c>
      <c r="H92" s="6" t="s">
        <v>234</v>
      </c>
    </row>
    <row r="93" customFormat="false" ht="17.15" hidden="false" customHeight="false" outlineLevel="0" collapsed="false">
      <c r="A93" s="0" t="s">
        <v>255</v>
      </c>
      <c r="B93" s="6" t="s">
        <v>256</v>
      </c>
      <c r="C93" s="0" t="s">
        <v>36</v>
      </c>
      <c r="E93" s="7" t="n">
        <v>0.603</v>
      </c>
      <c r="G93" s="8" t="s">
        <v>214</v>
      </c>
      <c r="H93" s="6" t="s">
        <v>237</v>
      </c>
    </row>
    <row r="94" customFormat="false" ht="17.15" hidden="false" customHeight="false" outlineLevel="0" collapsed="false">
      <c r="A94" s="0" t="s">
        <v>257</v>
      </c>
      <c r="B94" s="6" t="s">
        <v>258</v>
      </c>
      <c r="C94" s="0" t="s">
        <v>36</v>
      </c>
      <c r="E94" s="7" t="n">
        <v>0.587</v>
      </c>
      <c r="G94" s="8" t="s">
        <v>214</v>
      </c>
      <c r="H94" s="6" t="s">
        <v>240</v>
      </c>
    </row>
    <row r="95" customFormat="false" ht="17.15" hidden="false" customHeight="false" outlineLevel="0" collapsed="false">
      <c r="A95" s="0" t="s">
        <v>259</v>
      </c>
      <c r="B95" s="6" t="s">
        <v>260</v>
      </c>
      <c r="C95" s="0" t="s">
        <v>36</v>
      </c>
      <c r="D95" s="7" t="n">
        <v>0.565</v>
      </c>
      <c r="E95" s="7" t="n">
        <v>0.575</v>
      </c>
      <c r="F95" s="7" t="n">
        <v>0.585</v>
      </c>
      <c r="G95" s="8" t="s">
        <v>27</v>
      </c>
      <c r="H95" s="6" t="s">
        <v>261</v>
      </c>
    </row>
    <row r="96" customFormat="false" ht="17.15" hidden="false" customHeight="false" outlineLevel="0" collapsed="false">
      <c r="A96" s="0" t="s">
        <v>262</v>
      </c>
      <c r="B96" s="6" t="s">
        <v>263</v>
      </c>
      <c r="C96" s="0" t="s">
        <v>233</v>
      </c>
      <c r="E96" s="7" t="n">
        <v>572.48</v>
      </c>
      <c r="G96" s="8" t="s">
        <v>214</v>
      </c>
      <c r="H96" s="6" t="s">
        <v>264</v>
      </c>
    </row>
    <row r="97" customFormat="false" ht="17.15" hidden="false" customHeight="false" outlineLevel="0" collapsed="false">
      <c r="A97" s="0" t="s">
        <v>265</v>
      </c>
      <c r="B97" s="6" t="s">
        <v>266</v>
      </c>
      <c r="C97" s="0" t="s">
        <v>233</v>
      </c>
      <c r="E97" s="7" t="n">
        <v>706.56</v>
      </c>
      <c r="G97" s="8" t="s">
        <v>214</v>
      </c>
      <c r="H97" s="6" t="s">
        <v>267</v>
      </c>
    </row>
    <row r="98" customFormat="false" ht="17.15" hidden="false" customHeight="false" outlineLevel="0" collapsed="false">
      <c r="A98" s="0" t="s">
        <v>268</v>
      </c>
      <c r="B98" s="6" t="s">
        <v>269</v>
      </c>
      <c r="C98" s="0" t="s">
        <v>233</v>
      </c>
      <c r="E98" s="7" t="n">
        <v>763.06</v>
      </c>
      <c r="G98" s="8" t="s">
        <v>214</v>
      </c>
      <c r="H98" s="6" t="s">
        <v>270</v>
      </c>
    </row>
    <row r="99" customFormat="false" ht="17.15" hidden="false" customHeight="false" outlineLevel="0" collapsed="false">
      <c r="A99" s="0" t="s">
        <v>271</v>
      </c>
      <c r="B99" s="0" t="s">
        <v>272</v>
      </c>
      <c r="C99" s="0" t="s">
        <v>273</v>
      </c>
      <c r="E99" s="0" t="n">
        <f aca="false">22.08+27.25+29.43</f>
        <v>78.76</v>
      </c>
      <c r="G99" s="0" t="s">
        <v>214</v>
      </c>
      <c r="H99" s="6" t="s">
        <v>274</v>
      </c>
    </row>
    <row r="100" customFormat="false" ht="17.15" hidden="false" customHeight="false" outlineLevel="0" collapsed="false">
      <c r="A100" s="0" t="s">
        <v>275</v>
      </c>
      <c r="B100" s="0" t="s">
        <v>276</v>
      </c>
      <c r="C100" s="0" t="s">
        <v>36</v>
      </c>
      <c r="E100" s="7" t="n">
        <v>0.68</v>
      </c>
      <c r="G100" s="8" t="s">
        <v>214</v>
      </c>
      <c r="H100" s="6" t="s">
        <v>277</v>
      </c>
    </row>
    <row r="101" customFormat="false" ht="17.15" hidden="false" customHeight="false" outlineLevel="0" collapsed="false">
      <c r="A101" s="0" t="s">
        <v>278</v>
      </c>
      <c r="B101" s="6" t="s">
        <v>279</v>
      </c>
      <c r="C101" s="0" t="s">
        <v>36</v>
      </c>
      <c r="E101" s="7" t="n">
        <v>0.44</v>
      </c>
      <c r="G101" s="8" t="s">
        <v>27</v>
      </c>
      <c r="H101" s="6" t="s">
        <v>280</v>
      </c>
    </row>
    <row r="102" customFormat="false" ht="17.15" hidden="false" customHeight="false" outlineLevel="0" collapsed="false">
      <c r="A102" s="0" t="s">
        <v>281</v>
      </c>
      <c r="B102" s="6" t="s">
        <v>282</v>
      </c>
      <c r="C102" s="0" t="s">
        <v>213</v>
      </c>
      <c r="D102" s="0" t="n">
        <f aca="false">rev26_1q+rev26_2q+rev26_3q+rev26_4q_lo</f>
        <v>175.12</v>
      </c>
      <c r="E102" s="0" t="n">
        <f aca="false">rev26_1q+rev26_2q+rev26_3q+rev26_4q</f>
        <v>176.12</v>
      </c>
      <c r="F102" s="0" t="n">
        <f aca="false">rev26_1q+rev26_2q+rev26_3q+rev26_4q_hi</f>
        <v>177.12</v>
      </c>
      <c r="G102" s="0" t="s">
        <v>121</v>
      </c>
      <c r="H102" s="0" t="s">
        <v>283</v>
      </c>
    </row>
    <row r="103" customFormat="false" ht="17.15" hidden="false" customHeight="false" outlineLevel="0" collapsed="false">
      <c r="A103" s="0" t="s">
        <v>284</v>
      </c>
      <c r="B103" s="6" t="s">
        <v>285</v>
      </c>
      <c r="C103" s="0" t="s">
        <v>233</v>
      </c>
      <c r="E103" s="0" t="n">
        <f aca="false">ntd26_1q+ntd26_2q+ntd26_3q+ntd26_4q</f>
        <v>5593.66</v>
      </c>
      <c r="G103" s="0" t="s">
        <v>121</v>
      </c>
    </row>
    <row r="104" customFormat="false" ht="17.15" hidden="false" customHeight="false" outlineLevel="0" collapsed="false">
      <c r="A104" s="0" t="s">
        <v>286</v>
      </c>
      <c r="B104" s="0" t="s">
        <v>287</v>
      </c>
      <c r="C104" s="0" t="s">
        <v>209</v>
      </c>
      <c r="E104" s="0" t="n">
        <f aca="false">ntd26/rev26</f>
        <v>31.7605042016807</v>
      </c>
      <c r="G104" s="0" t="s">
        <v>121</v>
      </c>
      <c r="H104" s="6" t="s">
        <v>288</v>
      </c>
    </row>
    <row r="105" customFormat="false" ht="17.15" hidden="false" customHeight="false" outlineLevel="0" collapsed="false">
      <c r="A105" s="0" t="s">
        <v>289</v>
      </c>
      <c r="B105" s="6" t="s">
        <v>290</v>
      </c>
      <c r="C105" s="0" t="s">
        <v>36</v>
      </c>
      <c r="D105" s="7" t="n">
        <v>0</v>
      </c>
      <c r="E105" s="7" t="n">
        <v>0.2</v>
      </c>
      <c r="F105" s="7" t="n">
        <v>0.4</v>
      </c>
      <c r="G105" s="8" t="s">
        <v>37</v>
      </c>
      <c r="H105" s="6" t="s">
        <v>291</v>
      </c>
    </row>
    <row r="106" customFormat="false" ht="17.15" hidden="false" customHeight="false" outlineLevel="0" collapsed="false">
      <c r="A106" s="0" t="s">
        <v>292</v>
      </c>
      <c r="B106" s="0" t="s">
        <v>293</v>
      </c>
      <c r="C106" s="0" t="s">
        <v>36</v>
      </c>
      <c r="E106" s="7" t="n">
        <v>0.12</v>
      </c>
      <c r="G106" s="8" t="s">
        <v>294</v>
      </c>
      <c r="H106" s="8" t="s">
        <v>295</v>
      </c>
    </row>
    <row r="107" customFormat="false" ht="17.15" hidden="false" customHeight="false" outlineLevel="0" collapsed="false">
      <c r="A107" s="0" t="s">
        <v>296</v>
      </c>
      <c r="B107" s="0" t="s">
        <v>297</v>
      </c>
      <c r="C107" s="0" t="s">
        <v>36</v>
      </c>
      <c r="E107" s="7" t="n">
        <v>0.08</v>
      </c>
      <c r="G107" s="8" t="s">
        <v>294</v>
      </c>
      <c r="H107" s="8" t="s">
        <v>37</v>
      </c>
    </row>
    <row r="108" customFormat="false" ht="17.15" hidden="false" customHeight="false" outlineLevel="0" collapsed="false">
      <c r="A108" s="0" t="s">
        <v>298</v>
      </c>
      <c r="B108" s="0" t="s">
        <v>299</v>
      </c>
      <c r="C108" s="0" t="s">
        <v>36</v>
      </c>
      <c r="E108" s="7" t="n">
        <v>0.05</v>
      </c>
      <c r="G108" s="8" t="s">
        <v>294</v>
      </c>
      <c r="H108" s="8" t="s">
        <v>37</v>
      </c>
    </row>
    <row r="109" customFormat="false" ht="17.15" hidden="false" customHeight="false" outlineLevel="0" collapsed="false">
      <c r="A109" s="0" t="s">
        <v>300</v>
      </c>
      <c r="B109" s="6" t="s">
        <v>301</v>
      </c>
      <c r="C109" s="0" t="s">
        <v>36</v>
      </c>
      <c r="E109" s="7" t="n">
        <v>0.12</v>
      </c>
      <c r="G109" s="8" t="s">
        <v>37</v>
      </c>
      <c r="H109" s="6" t="s">
        <v>302</v>
      </c>
    </row>
    <row r="110" customFormat="false" ht="17.15" hidden="false" customHeight="false" outlineLevel="0" collapsed="false">
      <c r="A110" s="0" t="s">
        <v>303</v>
      </c>
      <c r="B110" s="6" t="s">
        <v>304</v>
      </c>
      <c r="C110" s="0" t="s">
        <v>36</v>
      </c>
      <c r="E110" s="7" t="n">
        <v>0.1</v>
      </c>
      <c r="G110" s="8" t="s">
        <v>37</v>
      </c>
    </row>
    <row r="111" customFormat="false" ht="17.15" hidden="false" customHeight="false" outlineLevel="0" collapsed="false">
      <c r="A111" s="0" t="s">
        <v>305</v>
      </c>
      <c r="B111" s="6" t="s">
        <v>306</v>
      </c>
      <c r="C111" s="0" t="s">
        <v>36</v>
      </c>
      <c r="E111" s="7" t="n">
        <v>0.08</v>
      </c>
      <c r="G111" s="8" t="s">
        <v>37</v>
      </c>
    </row>
    <row r="112" customFormat="false" ht="17.15" hidden="false" customHeight="false" outlineLevel="0" collapsed="false">
      <c r="A112" s="0" t="s">
        <v>307</v>
      </c>
      <c r="B112" s="6" t="s">
        <v>308</v>
      </c>
      <c r="C112" s="0" t="s">
        <v>36</v>
      </c>
      <c r="E112" s="7" t="n">
        <v>0.12</v>
      </c>
      <c r="G112" s="8" t="s">
        <v>37</v>
      </c>
    </row>
    <row r="113" customFormat="false" ht="17.15" hidden="false" customHeight="false" outlineLevel="0" collapsed="false">
      <c r="A113" s="0" t="s">
        <v>309</v>
      </c>
      <c r="B113" s="6" t="s">
        <v>310</v>
      </c>
      <c r="C113" s="0" t="s">
        <v>36</v>
      </c>
      <c r="E113" s="7" t="n">
        <v>0.05</v>
      </c>
      <c r="G113" s="8" t="s">
        <v>37</v>
      </c>
    </row>
    <row r="114" customFormat="false" ht="17.15" hidden="false" customHeight="false" outlineLevel="0" collapsed="false">
      <c r="A114" s="0" t="s">
        <v>311</v>
      </c>
      <c r="B114" s="6" t="s">
        <v>312</v>
      </c>
      <c r="C114" s="0" t="s">
        <v>36</v>
      </c>
      <c r="E114" s="7" t="n">
        <v>0.03</v>
      </c>
      <c r="G114" s="8" t="s">
        <v>37</v>
      </c>
    </row>
    <row r="115" customFormat="false" ht="17.15" hidden="false" customHeight="false" outlineLevel="0" collapsed="false">
      <c r="A115" s="0" t="s">
        <v>313</v>
      </c>
      <c r="B115" s="6" t="s">
        <v>314</v>
      </c>
      <c r="C115" s="0" t="s">
        <v>36</v>
      </c>
      <c r="E115" s="7" t="n">
        <v>0.12</v>
      </c>
      <c r="G115" s="8" t="s">
        <v>37</v>
      </c>
    </row>
    <row r="116" customFormat="false" ht="17.15" hidden="false" customHeight="false" outlineLevel="0" collapsed="false">
      <c r="A116" s="0" t="s">
        <v>315</v>
      </c>
      <c r="B116" s="6" t="s">
        <v>316</v>
      </c>
      <c r="C116" s="0" t="s">
        <v>36</v>
      </c>
      <c r="E116" s="7" t="n">
        <v>0</v>
      </c>
      <c r="G116" s="8" t="s">
        <v>37</v>
      </c>
    </row>
    <row r="117" customFormat="false" ht="17.15" hidden="false" customHeight="false" outlineLevel="0" collapsed="false">
      <c r="A117" s="0" t="s">
        <v>317</v>
      </c>
      <c r="B117" s="6" t="s">
        <v>318</v>
      </c>
      <c r="C117" s="0" t="s">
        <v>36</v>
      </c>
      <c r="E117" s="7" t="n">
        <v>-0.03</v>
      </c>
      <c r="G117" s="8" t="s">
        <v>37</v>
      </c>
    </row>
    <row r="118" customFormat="false" ht="17.15" hidden="false" customHeight="false" outlineLevel="0" collapsed="false">
      <c r="A118" s="5" t="s">
        <v>319</v>
      </c>
    </row>
    <row r="119" customFormat="false" ht="17.15" hidden="false" customHeight="false" outlineLevel="0" collapsed="false">
      <c r="A119" s="0" t="s">
        <v>320</v>
      </c>
      <c r="B119" s="6" t="s">
        <v>321</v>
      </c>
      <c r="C119" s="0" t="s">
        <v>36</v>
      </c>
      <c r="E119" s="0" t="n">
        <f aca="false">(ntd26_1q*gm26_1q+ntd26_2q*gm26_2q+ntd26_3q*gm26_3q+ntd26_4q*gm26_4q)/ntd26</f>
        <v>0.665334900583875</v>
      </c>
      <c r="G119" s="0" t="s">
        <v>121</v>
      </c>
      <c r="H119" s="0" t="s">
        <v>322</v>
      </c>
    </row>
    <row r="120" customFormat="false" ht="17.15" hidden="false" customHeight="false" outlineLevel="0" collapsed="false">
      <c r="A120" s="0" t="s">
        <v>323</v>
      </c>
      <c r="B120" s="6" t="s">
        <v>324</v>
      </c>
      <c r="C120" s="0" t="s">
        <v>36</v>
      </c>
      <c r="E120" s="0" t="n">
        <f aca="false">(ntd26_1q*opm26_1q+ntd26_2q*opm26_2q+ntd26_3q*opm26_3q+ntd26_4q*opm26_4q)/ntd26</f>
        <v>0.58578115580854</v>
      </c>
      <c r="G120" s="0" t="s">
        <v>121</v>
      </c>
    </row>
    <row r="121" customFormat="false" ht="17.15" hidden="false" customHeight="false" outlineLevel="0" collapsed="false">
      <c r="A121" s="0" t="s">
        <v>325</v>
      </c>
      <c r="B121" s="6" t="s">
        <v>326</v>
      </c>
      <c r="C121" s="0" t="s">
        <v>36</v>
      </c>
      <c r="E121" s="0" t="n">
        <f aca="false">gm26-opm26</f>
        <v>0.0795537447753351</v>
      </c>
      <c r="G121" s="0" t="s">
        <v>121</v>
      </c>
      <c r="H121" s="6" t="s">
        <v>327</v>
      </c>
    </row>
    <row r="122" customFormat="false" ht="17.15" hidden="false" customHeight="false" outlineLevel="0" collapsed="false">
      <c r="A122" s="0" t="s">
        <v>328</v>
      </c>
      <c r="B122" s="6" t="s">
        <v>329</v>
      </c>
      <c r="C122" s="0" t="s">
        <v>105</v>
      </c>
      <c r="E122" s="0" t="n">
        <f aca="false">(ni26_1q+ni26_2q+ni26_3q)/(ntd26_1q*opm26_1q+ntd26_2q*opm26_2q+ntd26_3q*opm26_3q)</f>
        <v>0.887071154896012</v>
      </c>
      <c r="G122" s="0" t="s">
        <v>121</v>
      </c>
      <c r="H122" s="0" t="s">
        <v>330</v>
      </c>
    </row>
    <row r="123" customFormat="false" ht="17.15" hidden="false" customHeight="false" outlineLevel="0" collapsed="false">
      <c r="A123" s="0" t="s">
        <v>331</v>
      </c>
      <c r="B123" s="6" t="s">
        <v>332</v>
      </c>
      <c r="C123" s="0" t="s">
        <v>36</v>
      </c>
      <c r="E123" s="7" t="n">
        <v>0.64</v>
      </c>
      <c r="G123" s="8" t="s">
        <v>95</v>
      </c>
      <c r="H123" s="8" t="s">
        <v>333</v>
      </c>
    </row>
    <row r="124" customFormat="false" ht="17.15" hidden="false" customHeight="false" outlineLevel="0" collapsed="false">
      <c r="A124" s="0" t="s">
        <v>334</v>
      </c>
      <c r="B124" s="6" t="s">
        <v>335</v>
      </c>
      <c r="C124" s="0" t="s">
        <v>36</v>
      </c>
      <c r="E124" s="7" t="n">
        <v>0.63</v>
      </c>
      <c r="G124" s="8" t="s">
        <v>95</v>
      </c>
    </row>
    <row r="125" customFormat="false" ht="17.15" hidden="false" customHeight="false" outlineLevel="0" collapsed="false">
      <c r="A125" s="0" t="s">
        <v>336</v>
      </c>
      <c r="B125" s="6" t="s">
        <v>337</v>
      </c>
      <c r="C125" s="0" t="s">
        <v>36</v>
      </c>
      <c r="E125" s="7" t="n">
        <v>0.62</v>
      </c>
      <c r="G125" s="8" t="s">
        <v>95</v>
      </c>
    </row>
    <row r="126" customFormat="false" ht="17.15" hidden="false" customHeight="false" outlineLevel="0" collapsed="false">
      <c r="A126" s="0" t="s">
        <v>338</v>
      </c>
      <c r="B126" s="6" t="s">
        <v>339</v>
      </c>
      <c r="C126" s="0" t="s">
        <v>36</v>
      </c>
      <c r="E126" s="7" t="n">
        <v>0.64</v>
      </c>
      <c r="G126" s="8" t="s">
        <v>95</v>
      </c>
    </row>
    <row r="127" customFormat="false" ht="17.15" hidden="false" customHeight="false" outlineLevel="0" collapsed="false">
      <c r="A127" s="0" t="s">
        <v>340</v>
      </c>
      <c r="B127" s="6" t="s">
        <v>341</v>
      </c>
      <c r="C127" s="0" t="s">
        <v>36</v>
      </c>
      <c r="E127" s="7" t="n">
        <v>0.58</v>
      </c>
      <c r="G127" s="8" t="s">
        <v>95</v>
      </c>
    </row>
    <row r="128" customFormat="false" ht="17.15" hidden="false" customHeight="false" outlineLevel="0" collapsed="false">
      <c r="A128" s="0" t="s">
        <v>342</v>
      </c>
      <c r="B128" s="6" t="s">
        <v>343</v>
      </c>
      <c r="C128" s="0" t="s">
        <v>36</v>
      </c>
      <c r="E128" s="7" t="n">
        <v>0.56</v>
      </c>
      <c r="G128" s="8" t="s">
        <v>95</v>
      </c>
    </row>
    <row r="129" customFormat="false" ht="17.15" hidden="false" customHeight="false" outlineLevel="0" collapsed="false">
      <c r="A129" s="0" t="s">
        <v>344</v>
      </c>
      <c r="B129" s="6" t="s">
        <v>345</v>
      </c>
      <c r="C129" s="0" t="s">
        <v>36</v>
      </c>
      <c r="E129" s="7" t="n">
        <v>0.64</v>
      </c>
      <c r="G129" s="8" t="s">
        <v>95</v>
      </c>
    </row>
    <row r="130" customFormat="false" ht="17.15" hidden="false" customHeight="false" outlineLevel="0" collapsed="false">
      <c r="A130" s="0" t="s">
        <v>346</v>
      </c>
      <c r="B130" s="6" t="s">
        <v>347</v>
      </c>
      <c r="C130" s="0" t="s">
        <v>36</v>
      </c>
      <c r="E130" s="7" t="n">
        <v>0.54</v>
      </c>
      <c r="G130" s="8" t="s">
        <v>95</v>
      </c>
    </row>
    <row r="131" customFormat="false" ht="17.15" hidden="false" customHeight="false" outlineLevel="0" collapsed="false">
      <c r="A131" s="0" t="s">
        <v>348</v>
      </c>
      <c r="B131" s="6" t="s">
        <v>349</v>
      </c>
      <c r="C131" s="0" t="s">
        <v>36</v>
      </c>
      <c r="E131" s="7" t="n">
        <v>0.52</v>
      </c>
      <c r="G131" s="8" t="s">
        <v>95</v>
      </c>
    </row>
    <row r="132" customFormat="false" ht="17.15" hidden="false" customHeight="false" outlineLevel="0" collapsed="false">
      <c r="A132" s="0" t="s">
        <v>350</v>
      </c>
      <c r="B132" s="6" t="s">
        <v>351</v>
      </c>
      <c r="C132" s="0" t="s">
        <v>36</v>
      </c>
      <c r="E132" s="7" t="n">
        <v>0.075</v>
      </c>
      <c r="G132" s="8" t="s">
        <v>121</v>
      </c>
      <c r="H132" s="8" t="s">
        <v>352</v>
      </c>
    </row>
    <row r="133" customFormat="false" ht="17.15" hidden="false" customHeight="false" outlineLevel="0" collapsed="false">
      <c r="A133" s="0" t="s">
        <v>353</v>
      </c>
      <c r="B133" s="6" t="s">
        <v>354</v>
      </c>
      <c r="C133" s="0" t="s">
        <v>105</v>
      </c>
      <c r="D133" s="9" t="n">
        <f aca="false">ni_op_underlying</f>
        <v>0.864414533026079</v>
      </c>
      <c r="E133" s="8" t="n">
        <f aca="false">(1+nonop_hist)*(1-etr_new)</f>
        <v>0.874593626904623</v>
      </c>
      <c r="F133" s="9" t="n">
        <f aca="false">ni_op_2023</f>
        <v>0.909166874667651</v>
      </c>
      <c r="G133" s="8" t="s">
        <v>121</v>
      </c>
      <c r="H133" s="6" t="s">
        <v>355</v>
      </c>
    </row>
    <row r="134" customFormat="false" ht="17.15" hidden="false" customHeight="false" outlineLevel="0" collapsed="false">
      <c r="A134" s="0" t="s">
        <v>356</v>
      </c>
      <c r="B134" s="6" t="s">
        <v>357</v>
      </c>
      <c r="C134" s="6" t="s">
        <v>358</v>
      </c>
      <c r="E134" s="7" t="n">
        <v>25.93</v>
      </c>
      <c r="G134" s="8" t="s">
        <v>121</v>
      </c>
      <c r="H134" s="6" t="s">
        <v>359</v>
      </c>
    </row>
    <row r="135" customFormat="false" ht="17.15" hidden="false" customHeight="false" outlineLevel="0" collapsed="false">
      <c r="A135" s="0" t="s">
        <v>360</v>
      </c>
      <c r="B135" s="6" t="s">
        <v>361</v>
      </c>
      <c r="C135" s="0" t="s">
        <v>273</v>
      </c>
      <c r="E135" s="7" t="n">
        <v>2585</v>
      </c>
      <c r="G135" s="8" t="s">
        <v>27</v>
      </c>
      <c r="H135" s="8" t="s">
        <v>362</v>
      </c>
    </row>
    <row r="136" customFormat="false" ht="17.15" hidden="false" customHeight="false" outlineLevel="0" collapsed="false">
      <c r="A136" s="0" t="s">
        <v>363</v>
      </c>
      <c r="B136" s="6" t="s">
        <v>364</v>
      </c>
      <c r="C136" s="0" t="s">
        <v>213</v>
      </c>
      <c r="E136" s="7" t="n">
        <v>62</v>
      </c>
      <c r="G136" s="8" t="s">
        <v>27</v>
      </c>
      <c r="H136" s="6" t="s">
        <v>365</v>
      </c>
    </row>
    <row r="137" customFormat="false" ht="17.15" hidden="false" customHeight="false" outlineLevel="0" collapsed="false">
      <c r="A137" s="0" t="s">
        <v>366</v>
      </c>
      <c r="B137" s="6" t="s">
        <v>367</v>
      </c>
      <c r="C137" s="0" t="s">
        <v>213</v>
      </c>
      <c r="E137" s="7" t="n">
        <v>77</v>
      </c>
      <c r="G137" s="8" t="s">
        <v>27</v>
      </c>
      <c r="H137" s="8" t="s">
        <v>368</v>
      </c>
    </row>
    <row r="138" customFormat="false" ht="17.15" hidden="false" customHeight="false" outlineLevel="0" collapsed="false">
      <c r="A138" s="0" t="s">
        <v>369</v>
      </c>
      <c r="B138" s="6" t="s">
        <v>370</v>
      </c>
      <c r="C138" s="0" t="s">
        <v>213</v>
      </c>
      <c r="E138" s="7" t="n">
        <v>90</v>
      </c>
      <c r="G138" s="8" t="s">
        <v>27</v>
      </c>
      <c r="H138" s="8" t="s">
        <v>371</v>
      </c>
    </row>
    <row r="139" customFormat="false" ht="17.15" hidden="false" customHeight="false" outlineLevel="0" collapsed="false">
      <c r="A139" s="0" t="s">
        <v>372</v>
      </c>
      <c r="B139" s="6" t="s">
        <v>373</v>
      </c>
      <c r="C139" s="0" t="s">
        <v>213</v>
      </c>
      <c r="E139" s="7" t="n">
        <v>95</v>
      </c>
      <c r="G139" s="8" t="s">
        <v>37</v>
      </c>
    </row>
    <row r="140" customFormat="false" ht="17.15" hidden="false" customHeight="false" outlineLevel="0" collapsed="false">
      <c r="A140" s="0" t="s">
        <v>374</v>
      </c>
      <c r="B140" s="0" t="s">
        <v>375</v>
      </c>
      <c r="C140" s="0" t="s">
        <v>105</v>
      </c>
      <c r="E140" s="7" t="n">
        <v>15</v>
      </c>
      <c r="G140" s="8" t="s">
        <v>27</v>
      </c>
      <c r="H140" s="6" t="s">
        <v>376</v>
      </c>
    </row>
    <row r="141" customFormat="false" ht="17.15" hidden="false" customHeight="false" outlineLevel="0" collapsed="false">
      <c r="A141" s="0" t="s">
        <v>377</v>
      </c>
      <c r="B141" s="0" t="s">
        <v>378</v>
      </c>
      <c r="C141" s="0" t="s">
        <v>105</v>
      </c>
      <c r="E141" s="7" t="n">
        <v>20.5</v>
      </c>
      <c r="G141" s="8" t="s">
        <v>27</v>
      </c>
      <c r="H141" s="8" t="s">
        <v>379</v>
      </c>
    </row>
    <row r="142" customFormat="false" ht="17.15" hidden="false" customHeight="false" outlineLevel="0" collapsed="false">
      <c r="A142" s="0" t="s">
        <v>380</v>
      </c>
      <c r="B142" s="0" t="s">
        <v>381</v>
      </c>
      <c r="C142" s="0" t="s">
        <v>105</v>
      </c>
      <c r="E142" s="7" t="n">
        <v>32.7</v>
      </c>
      <c r="G142" s="8" t="s">
        <v>27</v>
      </c>
      <c r="H142" s="8" t="s">
        <v>382</v>
      </c>
    </row>
    <row r="143" customFormat="false" ht="17.15" hidden="false" customHeight="false" outlineLevel="0" collapsed="false">
      <c r="A143" s="0" t="s">
        <v>383</v>
      </c>
      <c r="B143" s="6" t="s">
        <v>384</v>
      </c>
      <c r="C143" s="0" t="s">
        <v>213</v>
      </c>
      <c r="E143" s="7" t="n">
        <v>229</v>
      </c>
      <c r="G143" s="8" t="s">
        <v>27</v>
      </c>
      <c r="H143" s="8" t="s">
        <v>385</v>
      </c>
    </row>
    <row r="144" customFormat="false" ht="17.15" hidden="false" customHeight="false" outlineLevel="0" collapsed="false">
      <c r="A144" s="0" t="s">
        <v>386</v>
      </c>
      <c r="B144" s="6" t="s">
        <v>387</v>
      </c>
      <c r="C144" s="0" t="s">
        <v>273</v>
      </c>
      <c r="E144" s="7" t="n">
        <v>107.6</v>
      </c>
      <c r="G144" s="8" t="s">
        <v>27</v>
      </c>
      <c r="H144" s="8" t="s">
        <v>388</v>
      </c>
    </row>
    <row r="145" customFormat="false" ht="17.15" hidden="false" customHeight="false" outlineLevel="0" collapsed="false">
      <c r="A145" s="0" t="s">
        <v>389</v>
      </c>
      <c r="B145" s="6" t="s">
        <v>390</v>
      </c>
      <c r="C145" s="0" t="s">
        <v>273</v>
      </c>
      <c r="E145" s="7" t="n">
        <v>142</v>
      </c>
      <c r="G145" s="8" t="s">
        <v>27</v>
      </c>
      <c r="H145" s="8" t="s">
        <v>388</v>
      </c>
    </row>
    <row r="146" customFormat="false" ht="17.15" hidden="false" customHeight="false" outlineLevel="0" collapsed="false">
      <c r="A146" s="0" t="s">
        <v>391</v>
      </c>
      <c r="B146" s="0" t="s">
        <v>392</v>
      </c>
      <c r="C146" s="0" t="s">
        <v>36</v>
      </c>
      <c r="E146" s="7" t="n">
        <v>0.18</v>
      </c>
      <c r="G146" s="8" t="s">
        <v>214</v>
      </c>
      <c r="H146" s="6" t="s">
        <v>393</v>
      </c>
    </row>
    <row r="147" customFormat="false" ht="17.15" hidden="false" customHeight="false" outlineLevel="0" collapsed="false">
      <c r="A147" s="0" t="s">
        <v>394</v>
      </c>
      <c r="B147" s="0" t="s">
        <v>395</v>
      </c>
      <c r="C147" s="0" t="s">
        <v>36</v>
      </c>
      <c r="E147" s="7" t="n">
        <v>0.57</v>
      </c>
      <c r="G147" s="8" t="s">
        <v>214</v>
      </c>
      <c r="H147" s="6" t="s">
        <v>396</v>
      </c>
    </row>
    <row r="148" customFormat="false" ht="17.15" hidden="false" customHeight="false" outlineLevel="0" collapsed="false">
      <c r="A148" s="0" t="s">
        <v>397</v>
      </c>
      <c r="B148" s="6" t="s">
        <v>398</v>
      </c>
      <c r="C148" s="0" t="s">
        <v>36</v>
      </c>
      <c r="E148" s="7" t="n">
        <v>0.3</v>
      </c>
      <c r="G148" s="8" t="s">
        <v>37</v>
      </c>
      <c r="H148" s="8" t="s">
        <v>399</v>
      </c>
    </row>
    <row r="149" customFormat="false" ht="17.15" hidden="false" customHeight="false" outlineLevel="0" collapsed="false">
      <c r="A149" s="0" t="s">
        <v>400</v>
      </c>
      <c r="B149" s="6" t="s">
        <v>401</v>
      </c>
      <c r="C149" s="0" t="s">
        <v>36</v>
      </c>
      <c r="E149" s="7" t="n">
        <v>0.5</v>
      </c>
      <c r="G149" s="8" t="s">
        <v>37</v>
      </c>
      <c r="H149" s="8" t="s">
        <v>399</v>
      </c>
    </row>
    <row r="150" customFormat="false" ht="17.15" hidden="false" customHeight="false" outlineLevel="0" collapsed="false">
      <c r="A150" s="0" t="s">
        <v>402</v>
      </c>
      <c r="B150" s="6" t="s">
        <v>403</v>
      </c>
      <c r="C150" s="0" t="s">
        <v>36</v>
      </c>
      <c r="E150" s="7" t="n">
        <v>0.2</v>
      </c>
      <c r="G150" s="8" t="s">
        <v>37</v>
      </c>
      <c r="H150" s="8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0" t="s">
        <v>404</v>
      </c>
    </row>
    <row r="3" customFormat="false" ht="15" hidden="false" customHeight="false" outlineLevel="0" collapsed="false">
      <c r="A3" s="4" t="s">
        <v>16</v>
      </c>
      <c r="B3" s="10" t="s">
        <v>405</v>
      </c>
      <c r="C3" s="10" t="s">
        <v>406</v>
      </c>
      <c r="D3" s="10" t="s">
        <v>407</v>
      </c>
      <c r="E3" s="10" t="s">
        <v>408</v>
      </c>
      <c r="F3" s="4" t="s">
        <v>409</v>
      </c>
    </row>
    <row r="4" customFormat="false" ht="17.15" hidden="false" customHeight="false" outlineLevel="0" collapsed="false">
      <c r="A4" s="3" t="s">
        <v>410</v>
      </c>
      <c r="B4" s="11" t="n">
        <f aca="false">u_bw_26/pp_GB*1000</f>
        <v>385.714285714286</v>
      </c>
      <c r="C4" s="11" t="n">
        <f aca="false">u_bw_27/pp_GB*1000</f>
        <v>171.428571428571</v>
      </c>
      <c r="D4" s="11" t="n">
        <f aca="false">u_bw_28*um28_A/pp_GB*1000</f>
        <v>35.7142857142857</v>
      </c>
      <c r="E4" s="11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411</v>
      </c>
      <c r="B5" s="11" t="n">
        <f aca="false">u_rb_26/pp_VR*1000</f>
        <v>212.5</v>
      </c>
      <c r="C5" s="11" t="n">
        <f aca="false">u_rb_27/pp_VR*1000</f>
        <v>875</v>
      </c>
      <c r="D5" s="11" t="n">
        <f aca="false">u_rb_28*um28_A/pp_VR*1000</f>
        <v>875</v>
      </c>
      <c r="E5" s="11" t="n">
        <f aca="false">u_rb_28*(1+g29_rb)*um29_A/pp_VR*1000</f>
        <v>1006.25</v>
      </c>
    </row>
    <row r="6" customFormat="false" ht="15" hidden="false" customHeight="false" outlineLevel="0" collapsed="false">
      <c r="A6" s="3" t="s">
        <v>412</v>
      </c>
      <c r="B6" s="11" t="n">
        <f aca="false">u_ru_26/pp_RU*1000</f>
        <v>0</v>
      </c>
      <c r="C6" s="11" t="n">
        <f aca="false">u_ru_27/pp_RU*1000</f>
        <v>75</v>
      </c>
      <c r="D6" s="11" t="n">
        <f aca="false">u_ru_28*um28_A/pp_RU*1000</f>
        <v>500</v>
      </c>
      <c r="E6" s="11" t="n">
        <f aca="false">u_ru_28*(1+g29_ru)*um29_A/pp_RU*1000</f>
        <v>575</v>
      </c>
    </row>
    <row r="7" customFormat="false" ht="17.15" hidden="false" customHeight="false" outlineLevel="0" collapsed="false">
      <c r="A7" s="3" t="s">
        <v>413</v>
      </c>
      <c r="B7" s="11" t="n">
        <f aca="false">u_hp_26/pp_HP*1000</f>
        <v>17.2413793103448</v>
      </c>
      <c r="C7" s="11" t="n">
        <f aca="false">u_hp_27/pp_HP*1000</f>
        <v>0</v>
      </c>
      <c r="D7" s="11" t="n">
        <f aca="false">u_hp_28*um28_A/pp_HP*1000</f>
        <v>0</v>
      </c>
      <c r="E7" s="11" t="n">
        <f aca="false">u_hp_28*(1+g29_hp)*um29_A/pp_HP*1000</f>
        <v>0</v>
      </c>
    </row>
    <row r="8" customFormat="false" ht="15" hidden="false" customHeight="false" outlineLevel="0" collapsed="false">
      <c r="A8" s="3" t="s">
        <v>414</v>
      </c>
      <c r="B8" s="11" t="n">
        <f aca="false">u_amd_26/pp_AMD8*1000</f>
        <v>88.2352941176471</v>
      </c>
      <c r="C8" s="11" t="n">
        <f aca="false">u_amd_27/pp_AMDR*1000</f>
        <v>250</v>
      </c>
      <c r="D8" s="11" t="n">
        <f aca="false">u_amd_28*um28_A/pp_AMDR*1000</f>
        <v>333.333333333333</v>
      </c>
      <c r="E8" s="11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415</v>
      </c>
      <c r="B9" s="11" t="n">
        <f aca="false">u_tpu_26/pp_TPU7*1000</f>
        <v>137.5</v>
      </c>
      <c r="C9" s="11" t="n">
        <f aca="false">u_tpu_27/pp_TPU8*1000</f>
        <v>229.166666666667</v>
      </c>
      <c r="D9" s="11" t="n">
        <f aca="false">u_tpu_28*um28_A/pp_TPU8*1000</f>
        <v>291.666666666667</v>
      </c>
      <c r="E9" s="11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416</v>
      </c>
      <c r="B10" s="11" t="n">
        <f aca="false">u_trn_26/pp_TRN*1000</f>
        <v>66.6666666666667</v>
      </c>
      <c r="C10" s="11" t="n">
        <f aca="false">u_trn_27/pp_TRN*1000</f>
        <v>83.3333333333333</v>
      </c>
      <c r="D10" s="11" t="n">
        <f aca="false">u_trn_28*um28_A/pp_TRN*1000</f>
        <v>100</v>
      </c>
      <c r="E10" s="11" t="n">
        <f aca="false">u_trn_28*(1+g29_trn)*um29_A/pp_TRN*1000</f>
        <v>115</v>
      </c>
    </row>
    <row r="11" customFormat="false" ht="17.15" hidden="false" customHeight="false" outlineLevel="0" collapsed="false">
      <c r="A11" s="2" t="s">
        <v>417</v>
      </c>
      <c r="B11" s="11" t="n">
        <f aca="false">u_oth_26/pp_ASIC*1000</f>
        <v>50</v>
      </c>
      <c r="C11" s="11" t="n">
        <f aca="false">u_oth_27/pp_ASIC*1000</f>
        <v>225</v>
      </c>
      <c r="D11" s="11" t="n">
        <f aca="false">u_oth_28*um28_A/pp_ASIC*1000</f>
        <v>250</v>
      </c>
      <c r="E11" s="11" t="n">
        <f aca="false">u_oth_28*(1+g29_oth)*um29_A/pp_ASIC*1000</f>
        <v>287.5</v>
      </c>
    </row>
    <row r="12" customFormat="false" ht="17.15" hidden="false" customHeight="false" outlineLevel="0" collapsed="false">
      <c r="A12" s="2" t="s">
        <v>418</v>
      </c>
      <c r="B12" s="11" t="n">
        <f aca="false">cow_oth26</f>
        <v>150</v>
      </c>
      <c r="C12" s="11" t="n">
        <f aca="false">B12*(1+cow_oth_g)</f>
        <v>187.5</v>
      </c>
      <c r="D12" s="11" t="n">
        <f aca="false">C12*(1+cow_oth_g)</f>
        <v>234.375</v>
      </c>
      <c r="E12" s="11" t="n">
        <f aca="false">D12*(1+cow_oth_g)</f>
        <v>292.96875</v>
      </c>
    </row>
    <row r="13" customFormat="false" ht="15" hidden="false" customHeight="false" outlineLevel="0" collapsed="false">
      <c r="A13" s="1" t="s">
        <v>419</v>
      </c>
      <c r="B13" s="11" t="n">
        <f aca="false">SUM(B4:B12)</f>
        <v>1107.85762580894</v>
      </c>
      <c r="C13" s="11" t="n">
        <f aca="false">SUM(C4:C12)</f>
        <v>2096.42857142857</v>
      </c>
      <c r="D13" s="11" t="n">
        <f aca="false">SUM(D4:D12)</f>
        <v>2620.08928571429</v>
      </c>
      <c r="E13" s="11" t="n">
        <f aca="false">SUM(E4:E12)</f>
        <v>3013.32589285714</v>
      </c>
    </row>
    <row r="14" customFormat="false" ht="17.15" hidden="false" customHeight="false" outlineLevel="0" collapsed="false">
      <c r="A14" s="2" t="s">
        <v>420</v>
      </c>
      <c r="B14" s="11" t="n">
        <f aca="false">B4+B5+B6+B7</f>
        <v>615.455665024631</v>
      </c>
      <c r="C14" s="11" t="n">
        <f aca="false">C4+C5+C6+C7</f>
        <v>1121.42857142857</v>
      </c>
      <c r="D14" s="11" t="n">
        <f aca="false">D4+D5+D6+D7</f>
        <v>1410.71428571429</v>
      </c>
      <c r="E14" s="11" t="n">
        <f aca="false">E4+E5+E6+E7</f>
        <v>1599.10714285714</v>
      </c>
    </row>
    <row r="15" customFormat="false" ht="17.15" hidden="false" customHeight="false" outlineLevel="0" collapsed="false">
      <c r="A15" s="2" t="s">
        <v>421</v>
      </c>
      <c r="B15" s="11" t="n">
        <f aca="false">(cap_end25+cap_end26)/2*12</f>
        <v>1245</v>
      </c>
      <c r="C15" s="11" t="n">
        <f aca="false">(cap_end26+cap_end27)/2*12</f>
        <v>1980</v>
      </c>
      <c r="D15" s="11" t="n">
        <f aca="false">(cap_end27+cap_end28)/2*12</f>
        <v>2760</v>
      </c>
      <c r="E15" s="11" t="n">
        <f aca="false">(cap_end28+cap_end29)/2*12</f>
        <v>3480</v>
      </c>
    </row>
    <row r="16" customFormat="false" ht="15" hidden="false" customHeight="false" outlineLevel="0" collapsed="false">
      <c r="A16" s="2" t="s">
        <v>422</v>
      </c>
      <c r="B16" s="11" t="n">
        <f aca="false">B15*(1+osat)</f>
        <v>1369.5</v>
      </c>
      <c r="C16" s="11" t="n">
        <f aca="false">C15*(1+osat)</f>
        <v>2178</v>
      </c>
      <c r="D16" s="11" t="n">
        <f aca="false">D15*(1+osat)</f>
        <v>3036</v>
      </c>
      <c r="E16" s="11" t="n">
        <f aca="false">E15*(1+osat)</f>
        <v>3828</v>
      </c>
    </row>
    <row r="17" customFormat="false" ht="17.15" hidden="false" customHeight="false" outlineLevel="0" collapsed="false">
      <c r="A17" s="2" t="s">
        <v>423</v>
      </c>
      <c r="B17" s="12" t="n">
        <f aca="false">B13/B16</f>
        <v>0.808950438706787</v>
      </c>
      <c r="C17" s="12" t="n">
        <f aca="false">C13/C16</f>
        <v>0.962547553456644</v>
      </c>
      <c r="D17" s="12" t="n">
        <f aca="false">D13/D16</f>
        <v>0.863007011104837</v>
      </c>
      <c r="E17" s="12" t="n">
        <f aca="false">E13/E16</f>
        <v>0.787180222794447</v>
      </c>
      <c r="F17" s="8" t="s">
        <v>424</v>
      </c>
    </row>
    <row r="18" customFormat="false" ht="17.15" hidden="false" customHeight="false" outlineLevel="0" collapsed="false">
      <c r="A18" s="2" t="s">
        <v>425</v>
      </c>
      <c r="C18" s="12" t="n">
        <f aca="false">hbm_gap27</f>
        <v>0.21</v>
      </c>
      <c r="F18" s="8" t="s">
        <v>426</v>
      </c>
    </row>
    <row r="19" customFormat="false" ht="17.15" hidden="false" customHeight="false" outlineLevel="0" collapsed="false">
      <c r="A19" s="2" t="s">
        <v>427</v>
      </c>
      <c r="B19" s="11" t="n">
        <f aca="false">ms_dem26</f>
        <v>1394</v>
      </c>
      <c r="C19" s="11" t="n">
        <f aca="false">ms_dem27</f>
        <v>2509</v>
      </c>
    </row>
    <row r="20" customFormat="false" ht="17.15" hidden="false" customHeight="false" outlineLevel="0" collapsed="false">
      <c r="A20" s="2" t="s">
        <v>428</v>
      </c>
      <c r="B20" s="12" t="n">
        <f aca="false">B13/B19-1</f>
        <v>-0.205267126392436</v>
      </c>
      <c r="C20" s="12" t="n">
        <f aca="false">C13/C19-1</f>
        <v>-0.16443659966976</v>
      </c>
    </row>
    <row r="21" customFormat="false" ht="17.15" hidden="false" customHeight="false" outlineLevel="0" collapsed="false">
      <c r="A21" s="3" t="s">
        <v>429</v>
      </c>
      <c r="B21" s="12" t="n">
        <f aca="false">B14/660-1</f>
        <v>-0.0674914166293474</v>
      </c>
      <c r="C21" s="12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</cols>
  <sheetData>
    <row r="1" customFormat="false" ht="17.15" hidden="false" customHeight="false" outlineLevel="0" collapsed="false">
      <c r="A1" s="0" t="s">
        <v>430</v>
      </c>
    </row>
    <row r="3" customFormat="false" ht="15" hidden="false" customHeight="false" outlineLevel="0" collapsed="false">
      <c r="A3" s="4" t="s">
        <v>16</v>
      </c>
      <c r="B3" s="10" t="s">
        <v>405</v>
      </c>
      <c r="C3" s="10" t="s">
        <v>431</v>
      </c>
      <c r="D3" s="10" t="s">
        <v>432</v>
      </c>
      <c r="E3" s="10" t="s">
        <v>433</v>
      </c>
      <c r="F3" s="10" t="s">
        <v>434</v>
      </c>
      <c r="G3" s="10" t="s">
        <v>435</v>
      </c>
      <c r="H3" s="10" t="s">
        <v>436</v>
      </c>
      <c r="I3" s="10" t="s">
        <v>437</v>
      </c>
      <c r="J3" s="10" t="s">
        <v>438</v>
      </c>
      <c r="K3" s="10" t="s">
        <v>439</v>
      </c>
    </row>
    <row r="4" customFormat="false" ht="17.15" hidden="false" customHeight="false" outlineLevel="0" collapsed="false">
      <c r="A4" s="0" t="s">
        <v>440</v>
      </c>
      <c r="B4" s="13" t="n">
        <f aca="false">(u_bw_26*ct_GB+u_rb_26*ct_VR+u_ru_26*ct_RU+u_hp_26*ct_HP+u_amd_26*ct_AMD8+u_tpu_26*ct_TPU7+u_trn_26*ct_TRN+u_oth_26*ct_ASIC)*1</f>
        <v>28.605</v>
      </c>
      <c r="C4" s="13" t="n">
        <f aca="false">(u_bw_27*ct_GB+u_rb_27*ct_VR+u_ru_27*ct_RU+u_hp_27*ct_HP+u_amd_27*ct_AMDR+u_tpu_27*ct_TPU8+u_trn_27*ct_TRN+u_oth_27*ct_ASIC)*(1+px27)</f>
        <v>55.6864</v>
      </c>
      <c r="D4" s="13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3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3" t="n">
        <f aca="false">(u_bw_27*ct_GB+u_rb_27*ct_VR+u_ru_27*ct_RU+u_hp_27*ct_HP+u_amd_27*ct_AMDR+u_tpu_27*ct_TPU8+u_trn_27*ct_TRN+u_oth_27*ct_ASIC)*(1+px27)</f>
        <v>55.6864</v>
      </c>
      <c r="G4" s="13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3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3" t="n">
        <f aca="false">(u_bw_27*ct_GB+u_rb_27*ct_VR+u_ru_27*ct_RU+u_hp_27*ct_HP+u_amd_27*ct_AMDR+u_tpu_27*ct_TPU8+u_trn_27*ct_TRN+u_oth_27*ct_ASIC)*(1+px27)</f>
        <v>55.6864</v>
      </c>
      <c r="J4" s="13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3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7.15" hidden="false" customHeight="false" outlineLevel="0" collapsed="false">
      <c r="A5" s="0" t="s">
        <v>441</v>
      </c>
      <c r="B5" s="13" t="n">
        <f aca="false">B4*(1+ai_oth)</f>
        <v>34.326</v>
      </c>
      <c r="C5" s="13" t="n">
        <f aca="false">C4*(1+ai_oth)</f>
        <v>66.82368</v>
      </c>
      <c r="D5" s="13" t="n">
        <f aca="false">D4*(1+ai_oth)</f>
        <v>88.470144</v>
      </c>
      <c r="E5" s="13" t="n">
        <f aca="false">E4*(1+ai_oth)</f>
        <v>105.68843712</v>
      </c>
      <c r="F5" s="13" t="n">
        <f aca="false">F4*(1+ai_oth)</f>
        <v>66.82368</v>
      </c>
      <c r="G5" s="13" t="n">
        <f aca="false">G4*(1+ai_oth)</f>
        <v>70.7761152</v>
      </c>
      <c r="H5" s="13" t="n">
        <f aca="false">H4*(1+ai_oth)</f>
        <v>89.835171552</v>
      </c>
      <c r="I5" s="13" t="n">
        <f aca="false">I4*(1+ai_oth)</f>
        <v>66.82368</v>
      </c>
      <c r="J5" s="13" t="n">
        <f aca="false">J4*(1+ai_oth)</f>
        <v>53.0820864</v>
      </c>
      <c r="K5" s="13" t="n">
        <f aca="false">K4*(1+ai_oth)</f>
        <v>63.413062272</v>
      </c>
    </row>
    <row r="6" customFormat="false" ht="17.15" hidden="false" customHeight="false" outlineLevel="0" collapsed="false">
      <c r="A6" s="6" t="s">
        <v>442</v>
      </c>
      <c r="B6" s="13" t="n">
        <f aca="false">B7-B5</f>
        <v>141.794</v>
      </c>
      <c r="C6" s="13" t="n">
        <f aca="false">B6*(1+na27_A)</f>
        <v>158.80928</v>
      </c>
      <c r="D6" s="13" t="n">
        <f aca="false">C6*(1+na28_A)</f>
        <v>174.690208</v>
      </c>
      <c r="E6" s="13" t="n">
        <f aca="false">D6*(1+na29_A)</f>
        <v>188.66542464</v>
      </c>
      <c r="F6" s="13" t="n">
        <f aca="false">B6*(1+na27_B)</f>
        <v>158.80928</v>
      </c>
      <c r="G6" s="13" t="n">
        <f aca="false">F6*(1+na28_B)</f>
        <v>166.749744</v>
      </c>
      <c r="H6" s="13" t="n">
        <f aca="false">G6*(1+na29_B)</f>
        <v>171.75223632</v>
      </c>
      <c r="I6" s="13" t="n">
        <f aca="false">B6*(1+na27_C)</f>
        <v>158.80928</v>
      </c>
      <c r="J6" s="13" t="n">
        <f aca="false">I6*(1+na28_C)</f>
        <v>158.80928</v>
      </c>
      <c r="K6" s="13" t="n">
        <f aca="false">J6*(1+na29_C)</f>
        <v>154.0450016</v>
      </c>
    </row>
    <row r="7" customFormat="false" ht="15" hidden="false" customHeight="false" outlineLevel="0" collapsed="false">
      <c r="A7" s="6" t="s">
        <v>443</v>
      </c>
      <c r="B7" s="13" t="n">
        <f aca="false">rev26</f>
        <v>176.12</v>
      </c>
      <c r="C7" s="13" t="n">
        <f aca="false">C5+C6</f>
        <v>225.63296</v>
      </c>
      <c r="D7" s="13" t="n">
        <f aca="false">D5+D6</f>
        <v>263.160352</v>
      </c>
      <c r="E7" s="13" t="n">
        <f aca="false">E5+E6</f>
        <v>294.35386176</v>
      </c>
      <c r="F7" s="13" t="n">
        <f aca="false">F5+F6</f>
        <v>225.63296</v>
      </c>
      <c r="G7" s="13" t="n">
        <f aca="false">G5+G6</f>
        <v>237.5258592</v>
      </c>
      <c r="H7" s="13" t="n">
        <f aca="false">H5+H6</f>
        <v>261.587407872</v>
      </c>
      <c r="I7" s="13" t="n">
        <f aca="false">I5+I6</f>
        <v>225.63296</v>
      </c>
      <c r="J7" s="13" t="n">
        <f aca="false">J5+J6</f>
        <v>211.8913664</v>
      </c>
      <c r="K7" s="13" t="n">
        <f aca="false">K5+K6</f>
        <v>217.458063872</v>
      </c>
    </row>
    <row r="8" customFormat="false" ht="17.15" hidden="false" customHeight="false" outlineLevel="0" collapsed="false">
      <c r="A8" s="0" t="s">
        <v>444</v>
      </c>
      <c r="B8" s="14" t="n">
        <f aca="false">B5/B7</f>
        <v>0.194901203724733</v>
      </c>
      <c r="C8" s="14" t="n">
        <f aca="false">C5/C7</f>
        <v>0.296160986409078</v>
      </c>
      <c r="D8" s="14" t="n">
        <f aca="false">D5/D7</f>
        <v>0.336183408053809</v>
      </c>
      <c r="E8" s="14" t="n">
        <f aca="false">E5/E7</f>
        <v>0.359052320523563</v>
      </c>
      <c r="F8" s="14" t="n">
        <f aca="false">F5/F7</f>
        <v>0.296160986409078</v>
      </c>
      <c r="G8" s="14" t="n">
        <f aca="false">G5/G7</f>
        <v>0.297972252109214</v>
      </c>
      <c r="H8" s="14" t="n">
        <f aca="false">H5/H7</f>
        <v>0.343423149771636</v>
      </c>
      <c r="I8" s="14" t="n">
        <f aca="false">I5/I7</f>
        <v>0.296160986409078</v>
      </c>
      <c r="J8" s="14" t="n">
        <f aca="false">J5/J7</f>
        <v>0.250515569850042</v>
      </c>
      <c r="K8" s="14" t="n">
        <f aca="false">K5/K7</f>
        <v>0.291610534660725</v>
      </c>
    </row>
    <row r="9" customFormat="false" ht="15" hidden="false" customHeight="false" outlineLevel="0" collapsed="false">
      <c r="A9" s="6" t="s">
        <v>445</v>
      </c>
      <c r="B9" s="14" t="n">
        <f aca="false">gm26</f>
        <v>0.665334900583875</v>
      </c>
      <c r="C9" s="14" t="n">
        <f aca="false">gm27_A</f>
        <v>0.64</v>
      </c>
      <c r="D9" s="14" t="n">
        <f aca="false">gm28_A</f>
        <v>0.63</v>
      </c>
      <c r="E9" s="14" t="n">
        <f aca="false">gm29_A</f>
        <v>0.62</v>
      </c>
      <c r="F9" s="14" t="n">
        <f aca="false">gm27_B</f>
        <v>0.64</v>
      </c>
      <c r="G9" s="14" t="n">
        <f aca="false">gm28_B</f>
        <v>0.58</v>
      </c>
      <c r="H9" s="14" t="n">
        <f aca="false">gm29_B</f>
        <v>0.56</v>
      </c>
      <c r="I9" s="14" t="n">
        <f aca="false">gm27_C</f>
        <v>0.64</v>
      </c>
      <c r="J9" s="14" t="n">
        <f aca="false">gm28_C</f>
        <v>0.54</v>
      </c>
      <c r="K9" s="14" t="n">
        <f aca="false">gm29_C</f>
        <v>0.52</v>
      </c>
    </row>
    <row r="10" customFormat="false" ht="15" hidden="false" customHeight="false" outlineLevel="0" collapsed="false">
      <c r="A10" s="6" t="s">
        <v>446</v>
      </c>
      <c r="B10" s="13" t="n">
        <f aca="false">B7*B9</f>
        <v>117.178782690832</v>
      </c>
      <c r="C10" s="13" t="n">
        <f aca="false">C7*C9</f>
        <v>144.4050944</v>
      </c>
      <c r="D10" s="13" t="n">
        <f aca="false">D7*D9</f>
        <v>165.79102176</v>
      </c>
      <c r="E10" s="13" t="n">
        <f aca="false">E7*E9</f>
        <v>182.4993942912</v>
      </c>
      <c r="F10" s="13" t="n">
        <f aca="false">F7*F9</f>
        <v>144.4050944</v>
      </c>
      <c r="G10" s="13" t="n">
        <f aca="false">G7*G9</f>
        <v>137.764998336</v>
      </c>
      <c r="H10" s="13" t="n">
        <f aca="false">H7*H9</f>
        <v>146.48894840832</v>
      </c>
      <c r="I10" s="13" t="n">
        <f aca="false">I7*I9</f>
        <v>144.4050944</v>
      </c>
      <c r="J10" s="13" t="n">
        <f aca="false">J7*J9</f>
        <v>114.421337856</v>
      </c>
      <c r="K10" s="13" t="n">
        <f aca="false">K7*K9</f>
        <v>113.07819321344</v>
      </c>
    </row>
    <row r="11" customFormat="false" ht="15" hidden="false" customHeight="false" outlineLevel="0" collapsed="false">
      <c r="A11" s="6" t="s">
        <v>447</v>
      </c>
      <c r="B11" s="13" t="n">
        <f aca="false">B7*(B9-opex_26)</f>
        <v>103.167777161</v>
      </c>
      <c r="C11" s="13" t="n">
        <f aca="false">C7*(C9-opex)</f>
        <v>127.4826224</v>
      </c>
      <c r="D11" s="13" t="n">
        <f aca="false">D7*(D9-opex)</f>
        <v>146.05399536</v>
      </c>
      <c r="E11" s="13" t="n">
        <f aca="false">E7*(E9-opex)</f>
        <v>160.4228546592</v>
      </c>
      <c r="F11" s="13" t="n">
        <f aca="false">F7*(F9-opex)</f>
        <v>127.4826224</v>
      </c>
      <c r="G11" s="13" t="n">
        <f aca="false">G7*(G9-opex)</f>
        <v>119.950558896</v>
      </c>
      <c r="H11" s="13" t="n">
        <f aca="false">H7*(H9-opex)</f>
        <v>126.86989281792</v>
      </c>
      <c r="I11" s="13" t="n">
        <f aca="false">I7*(I9-opex)</f>
        <v>127.4826224</v>
      </c>
      <c r="J11" s="13" t="n">
        <f aca="false">J7*(J9-opex)</f>
        <v>98.529485376</v>
      </c>
      <c r="K11" s="13" t="n">
        <f aca="false">K7*(K9-opex)</f>
        <v>96.76883842304</v>
      </c>
    </row>
    <row r="12" customFormat="false" ht="15" hidden="false" customHeight="false" outlineLevel="0" collapsed="false">
      <c r="A12" s="6" t="s">
        <v>448</v>
      </c>
      <c r="B12" s="13" t="n">
        <f aca="false">B11*ni_op_26</f>
        <v>91.5171592342628</v>
      </c>
      <c r="C12" s="13" t="n">
        <f aca="false">C11*ni_op</f>
        <v>111.495489092129</v>
      </c>
      <c r="D12" s="13" t="n">
        <f aca="false">D11*ni_op</f>
        <v>127.737893525813</v>
      </c>
      <c r="E12" s="13" t="n">
        <f aca="false">E11*ni_op</f>
        <v>140.304806294783</v>
      </c>
      <c r="F12" s="13" t="n">
        <f aca="false">F11*ni_op</f>
        <v>111.495489092129</v>
      </c>
      <c r="G12" s="13" t="n">
        <f aca="false">G11*ni_op</f>
        <v>104.907994354089</v>
      </c>
      <c r="H12" s="13" t="n">
        <f aca="false">H11*ni_op</f>
        <v>110.959599704625</v>
      </c>
      <c r="I12" s="13" t="n">
        <f aca="false">I11*ni_op</f>
        <v>111.495489092129</v>
      </c>
      <c r="J12" s="13" t="n">
        <f aca="false">J11*ni_op</f>
        <v>86.1732599720419</v>
      </c>
      <c r="K12" s="13" t="n">
        <f aca="false">K11*ni_op</f>
        <v>84.633409367754</v>
      </c>
    </row>
    <row r="13" customFormat="false" ht="17.15" hidden="false" customHeight="false" outlineLevel="0" collapsed="false">
      <c r="A13" s="0" t="s">
        <v>449</v>
      </c>
      <c r="B13" s="13" t="n">
        <f aca="false">B12*fx_26/shares</f>
        <v>112.095299667786</v>
      </c>
      <c r="C13" s="13" t="n">
        <f aca="false">C12*fx/shares</f>
        <v>137.595667217436</v>
      </c>
      <c r="D13" s="13" t="n">
        <f aca="false">D12*fx/shares</f>
        <v>157.640285107059</v>
      </c>
      <c r="E13" s="13" t="n">
        <f aca="false">E12*fx/shares</f>
        <v>173.149008925301</v>
      </c>
      <c r="F13" s="13" t="n">
        <f aca="false">F12*fx/shares</f>
        <v>137.595667217436</v>
      </c>
      <c r="G13" s="13" t="n">
        <f aca="false">G12*fx/shares</f>
        <v>129.466094073693</v>
      </c>
      <c r="H13" s="13" t="n">
        <f aca="false">H12*fx/shares</f>
        <v>136.934330526341</v>
      </c>
      <c r="I13" s="13" t="n">
        <f aca="false">I12*fx/shares</f>
        <v>137.595667217436</v>
      </c>
      <c r="J13" s="13" t="n">
        <f aca="false">J12*fx/shares</f>
        <v>106.34571226785</v>
      </c>
      <c r="K13" s="13" t="n">
        <f aca="false">K12*fx/shares</f>
        <v>104.445395286083</v>
      </c>
    </row>
    <row r="14" customFormat="false" ht="17.15" hidden="false" customHeight="false" outlineLevel="0" collapsed="false">
      <c r="A14" s="6" t="s">
        <v>450</v>
      </c>
      <c r="B14" s="15" t="n">
        <f aca="false">px/B13</f>
        <v>23.0607349965708</v>
      </c>
      <c r="C14" s="15" t="n">
        <f aca="false">px/C13</f>
        <v>18.7869287767256</v>
      </c>
      <c r="D14" s="15" t="n">
        <f aca="false">px/D13</f>
        <v>16.3980926464605</v>
      </c>
      <c r="E14" s="15" t="n">
        <f aca="false">px/E13</f>
        <v>14.9293375459932</v>
      </c>
      <c r="F14" s="15" t="n">
        <f aca="false">px/F13</f>
        <v>18.7869287767256</v>
      </c>
      <c r="G14" s="15" t="n">
        <f aca="false">px/G13</f>
        <v>19.9666176576595</v>
      </c>
      <c r="H14" s="15" t="n">
        <f aca="false">px/H13</f>
        <v>18.8776619425086</v>
      </c>
      <c r="I14" s="15" t="n">
        <f aca="false">px/I13</f>
        <v>18.7869287767256</v>
      </c>
      <c r="J14" s="15" t="n">
        <f aca="false">px/J13</f>
        <v>24.3075150363302</v>
      </c>
      <c r="K14" s="15" t="n">
        <f aca="false">px/K13</f>
        <v>24.749774682929</v>
      </c>
    </row>
    <row r="15" customFormat="false" ht="15" hidden="false" customHeight="false" outlineLevel="0" collapsed="false">
      <c r="A15" s="6" t="s">
        <v>451</v>
      </c>
      <c r="B15" s="13" t="n">
        <f aca="false">capex26</f>
        <v>62</v>
      </c>
      <c r="C15" s="13" t="n">
        <f aca="false">capex27</f>
        <v>77</v>
      </c>
      <c r="D15" s="13" t="n">
        <f aca="false">capex28</f>
        <v>90</v>
      </c>
      <c r="E15" s="13" t="n">
        <f aca="false">capex29</f>
        <v>95</v>
      </c>
      <c r="F15" s="13" t="n">
        <f aca="false">capex27</f>
        <v>77</v>
      </c>
      <c r="G15" s="13" t="n">
        <f aca="false">capex28</f>
        <v>90</v>
      </c>
      <c r="H15" s="13" t="n">
        <f aca="false">capex29</f>
        <v>95</v>
      </c>
      <c r="I15" s="13" t="n">
        <f aca="false">capex27</f>
        <v>77</v>
      </c>
      <c r="J15" s="13" t="n">
        <f aca="false">capex28</f>
        <v>90</v>
      </c>
      <c r="K15" s="13" t="n">
        <f aca="false">capex29</f>
        <v>95</v>
      </c>
    </row>
    <row r="16" customFormat="false" ht="15" hidden="false" customHeight="false" outlineLevel="0" collapsed="false">
      <c r="A16" s="6" t="s">
        <v>452</v>
      </c>
      <c r="B16" s="13" t="n">
        <f aca="false">B12-B15</f>
        <v>29.5171592342628</v>
      </c>
      <c r="C16" s="13" t="n">
        <f aca="false">C12-C15</f>
        <v>34.4954890921285</v>
      </c>
      <c r="D16" s="13" t="n">
        <f aca="false">D12-D15</f>
        <v>37.7378935258134</v>
      </c>
      <c r="E16" s="13" t="n">
        <f aca="false">E12-E15</f>
        <v>45.3048062947829</v>
      </c>
      <c r="F16" s="13" t="n">
        <f aca="false">F12-F15</f>
        <v>34.4954890921285</v>
      </c>
      <c r="G16" s="13" t="n">
        <f aca="false">G12-G15</f>
        <v>14.9079943540892</v>
      </c>
      <c r="H16" s="13" t="n">
        <f aca="false">H12-H15</f>
        <v>15.9595997046254</v>
      </c>
      <c r="I16" s="13" t="n">
        <f aca="false">I12-I15</f>
        <v>34.4954890921285</v>
      </c>
      <c r="J16" s="13" t="n">
        <f aca="false">J12-J15</f>
        <v>-3.82674002795815</v>
      </c>
      <c r="K16" s="13" t="n">
        <f aca="false">K12-K15</f>
        <v>-10.366590632246</v>
      </c>
    </row>
    <row r="18" customFormat="false" ht="17.15" hidden="false" customHeight="false" outlineLevel="0" collapsed="false">
      <c r="A18" s="6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454</v>
      </c>
    </row>
    <row r="3" customFormat="false" ht="17.15" hidden="false" customHeight="false" outlineLevel="0" collapsed="false">
      <c r="A3" s="4" t="s">
        <v>455</v>
      </c>
      <c r="B3" s="4" t="s">
        <v>456</v>
      </c>
      <c r="C3" s="10" t="s">
        <v>457</v>
      </c>
      <c r="D3" s="4" t="s">
        <v>458</v>
      </c>
      <c r="E3" s="10" t="s">
        <v>459</v>
      </c>
      <c r="F3" s="4" t="s">
        <v>460</v>
      </c>
      <c r="G3" s="4" t="s">
        <v>461</v>
      </c>
    </row>
    <row r="4" customFormat="false" ht="15" hidden="false" customHeight="false" outlineLevel="0" collapsed="false">
      <c r="A4" s="0" t="s">
        <v>462</v>
      </c>
      <c r="B4" s="0" t="n">
        <f aca="false">pe_1</f>
        <v>15</v>
      </c>
      <c r="C4" s="0" t="s">
        <v>406</v>
      </c>
      <c r="D4" s="0" t="s">
        <v>463</v>
      </c>
      <c r="E4" s="13" t="n">
        <f aca="false">PL!C13</f>
        <v>137.595667217436</v>
      </c>
      <c r="F4" s="11" t="n">
        <f aca="false">B4*E4</f>
        <v>2063.93500826154</v>
      </c>
      <c r="G4" s="12" t="n">
        <f aca="false">F4/px-1</f>
        <v>-0.201572530653177</v>
      </c>
    </row>
    <row r="5" customFormat="false" ht="15" hidden="false" customHeight="false" outlineLevel="0" collapsed="false">
      <c r="A5" s="0" t="s">
        <v>462</v>
      </c>
      <c r="B5" s="0" t="n">
        <f aca="false">pe_2</f>
        <v>20.5</v>
      </c>
      <c r="C5" s="0" t="s">
        <v>406</v>
      </c>
      <c r="D5" s="0" t="s">
        <v>463</v>
      </c>
      <c r="E5" s="13" t="n">
        <f aca="false">PL!C13</f>
        <v>137.595667217436</v>
      </c>
      <c r="F5" s="11" t="n">
        <f aca="false">B5*E5</f>
        <v>2820.71117795744</v>
      </c>
      <c r="G5" s="12" t="n">
        <f aca="false">F5/px-1</f>
        <v>0.0911842081073253</v>
      </c>
    </row>
    <row r="6" customFormat="false" ht="15" hidden="false" customHeight="false" outlineLevel="0" collapsed="false">
      <c r="A6" s="0" t="s">
        <v>462</v>
      </c>
      <c r="B6" s="0" t="n">
        <f aca="false">pe_3</f>
        <v>32.7</v>
      </c>
      <c r="C6" s="0" t="s">
        <v>406</v>
      </c>
      <c r="D6" s="0" t="s">
        <v>463</v>
      </c>
      <c r="E6" s="13" t="n">
        <f aca="false">PL!C13</f>
        <v>137.595667217436</v>
      </c>
      <c r="F6" s="11" t="n">
        <f aca="false">B6*E6</f>
        <v>4499.37831801015</v>
      </c>
      <c r="G6" s="12" t="n">
        <f aca="false">F6/px-1</f>
        <v>0.740571883176075</v>
      </c>
    </row>
    <row r="7" customFormat="false" ht="15" hidden="false" customHeight="false" outlineLevel="0" collapsed="false">
      <c r="A7" s="0" t="s">
        <v>462</v>
      </c>
      <c r="B7" s="0" t="n">
        <f aca="false">pe_1</f>
        <v>15</v>
      </c>
      <c r="C7" s="0" t="s">
        <v>407</v>
      </c>
      <c r="D7" s="0" t="s">
        <v>463</v>
      </c>
      <c r="E7" s="13" t="n">
        <f aca="false">PL!D13</f>
        <v>157.640285107059</v>
      </c>
      <c r="F7" s="11" t="n">
        <f aca="false">B7*E7</f>
        <v>2364.60427660588</v>
      </c>
      <c r="G7" s="12" t="n">
        <f aca="false">F7/px-1</f>
        <v>-0.0852594674638768</v>
      </c>
    </row>
    <row r="8" customFormat="false" ht="15" hidden="false" customHeight="false" outlineLevel="0" collapsed="false">
      <c r="A8" s="0" t="s">
        <v>462</v>
      </c>
      <c r="B8" s="0" t="n">
        <f aca="false">pe_2</f>
        <v>20.5</v>
      </c>
      <c r="C8" s="0" t="s">
        <v>407</v>
      </c>
      <c r="D8" s="0" t="s">
        <v>463</v>
      </c>
      <c r="E8" s="13" t="n">
        <f aca="false">PL!D13</f>
        <v>157.640285107059</v>
      </c>
      <c r="F8" s="11" t="n">
        <f aca="false">B8*E8</f>
        <v>3231.6258446947</v>
      </c>
      <c r="G8" s="12" t="n">
        <f aca="false">F8/px-1</f>
        <v>0.250145394466035</v>
      </c>
    </row>
    <row r="9" customFormat="false" ht="15" hidden="false" customHeight="false" outlineLevel="0" collapsed="false">
      <c r="A9" s="0" t="s">
        <v>462</v>
      </c>
      <c r="B9" s="0" t="n">
        <f aca="false">pe_3</f>
        <v>32.7</v>
      </c>
      <c r="C9" s="0" t="s">
        <v>407</v>
      </c>
      <c r="D9" s="0" t="s">
        <v>463</v>
      </c>
      <c r="E9" s="13" t="n">
        <f aca="false">PL!D13</f>
        <v>157.640285107059</v>
      </c>
      <c r="F9" s="11" t="n">
        <f aca="false">B9*E9</f>
        <v>5154.83732300082</v>
      </c>
      <c r="G9" s="12" t="n">
        <f aca="false">F9/px-1</f>
        <v>0.994134360928749</v>
      </c>
    </row>
    <row r="10" customFormat="false" ht="15" hidden="false" customHeight="false" outlineLevel="0" collapsed="false">
      <c r="A10" s="0" t="s">
        <v>462</v>
      </c>
      <c r="B10" s="0" t="n">
        <f aca="false">pe_1</f>
        <v>15</v>
      </c>
      <c r="C10" s="0" t="s">
        <v>406</v>
      </c>
      <c r="D10" s="0" t="s">
        <v>464</v>
      </c>
      <c r="E10" s="13" t="n">
        <f aca="false">PL!F13</f>
        <v>137.595667217436</v>
      </c>
      <c r="F10" s="11" t="n">
        <f aca="false">B10*E10</f>
        <v>2063.93500826154</v>
      </c>
      <c r="G10" s="12" t="n">
        <f aca="false">F10/px-1</f>
        <v>-0.201572530653177</v>
      </c>
    </row>
    <row r="11" customFormat="false" ht="15" hidden="false" customHeight="false" outlineLevel="0" collapsed="false">
      <c r="A11" s="0" t="s">
        <v>462</v>
      </c>
      <c r="B11" s="0" t="n">
        <f aca="false">pe_2</f>
        <v>20.5</v>
      </c>
      <c r="C11" s="0" t="s">
        <v>406</v>
      </c>
      <c r="D11" s="0" t="s">
        <v>464</v>
      </c>
      <c r="E11" s="13" t="n">
        <f aca="false">PL!F13</f>
        <v>137.595667217436</v>
      </c>
      <c r="F11" s="11" t="n">
        <f aca="false">B11*E11</f>
        <v>2820.71117795744</v>
      </c>
      <c r="G11" s="12" t="n">
        <f aca="false">F11/px-1</f>
        <v>0.0911842081073253</v>
      </c>
    </row>
    <row r="12" customFormat="false" ht="15" hidden="false" customHeight="false" outlineLevel="0" collapsed="false">
      <c r="A12" s="0" t="s">
        <v>462</v>
      </c>
      <c r="B12" s="0" t="n">
        <f aca="false">pe_3</f>
        <v>32.7</v>
      </c>
      <c r="C12" s="0" t="s">
        <v>406</v>
      </c>
      <c r="D12" s="0" t="s">
        <v>464</v>
      </c>
      <c r="E12" s="13" t="n">
        <f aca="false">PL!F13</f>
        <v>137.595667217436</v>
      </c>
      <c r="F12" s="11" t="n">
        <f aca="false">B12*E12</f>
        <v>4499.37831801015</v>
      </c>
      <c r="G12" s="12" t="n">
        <f aca="false">F12/px-1</f>
        <v>0.740571883176075</v>
      </c>
    </row>
    <row r="13" customFormat="false" ht="15" hidden="false" customHeight="false" outlineLevel="0" collapsed="false">
      <c r="A13" s="0" t="s">
        <v>462</v>
      </c>
      <c r="B13" s="0" t="n">
        <f aca="false">pe_1</f>
        <v>15</v>
      </c>
      <c r="C13" s="0" t="s">
        <v>407</v>
      </c>
      <c r="D13" s="0" t="s">
        <v>464</v>
      </c>
      <c r="E13" s="13" t="n">
        <f aca="false">PL!G13</f>
        <v>129.466094073693</v>
      </c>
      <c r="F13" s="11" t="n">
        <f aca="false">B13*E13</f>
        <v>1941.99141110539</v>
      </c>
      <c r="G13" s="12" t="n">
        <f aca="false">F13/px-1</f>
        <v>-0.248746069204877</v>
      </c>
    </row>
    <row r="14" customFormat="false" ht="15" hidden="false" customHeight="false" outlineLevel="0" collapsed="false">
      <c r="A14" s="0" t="s">
        <v>462</v>
      </c>
      <c r="B14" s="0" t="n">
        <f aca="false">pe_2</f>
        <v>20.5</v>
      </c>
      <c r="C14" s="0" t="s">
        <v>407</v>
      </c>
      <c r="D14" s="0" t="s">
        <v>464</v>
      </c>
      <c r="E14" s="13" t="n">
        <f aca="false">PL!G13</f>
        <v>129.466094073693</v>
      </c>
      <c r="F14" s="11" t="n">
        <f aca="false">B14*E14</f>
        <v>2654.0549285107</v>
      </c>
      <c r="G14" s="12" t="n">
        <f aca="false">F14/px-1</f>
        <v>0.0267137054200013</v>
      </c>
    </row>
    <row r="15" customFormat="false" ht="15" hidden="false" customHeight="false" outlineLevel="0" collapsed="false">
      <c r="A15" s="0" t="s">
        <v>462</v>
      </c>
      <c r="B15" s="0" t="n">
        <f aca="false">pe_3</f>
        <v>32.7</v>
      </c>
      <c r="C15" s="0" t="s">
        <v>407</v>
      </c>
      <c r="D15" s="0" t="s">
        <v>464</v>
      </c>
      <c r="E15" s="13" t="n">
        <f aca="false">PL!G13</f>
        <v>129.466094073693</v>
      </c>
      <c r="F15" s="11" t="n">
        <f aca="false">B15*E15</f>
        <v>4233.54127620976</v>
      </c>
      <c r="G15" s="12" t="n">
        <f aca="false">F15/px-1</f>
        <v>0.637733569133368</v>
      </c>
    </row>
    <row r="16" customFormat="false" ht="15" hidden="false" customHeight="false" outlineLevel="0" collapsed="false">
      <c r="A16" s="0" t="s">
        <v>462</v>
      </c>
      <c r="B16" s="0" t="n">
        <f aca="false">pe_1</f>
        <v>15</v>
      </c>
      <c r="C16" s="0" t="s">
        <v>406</v>
      </c>
      <c r="D16" s="0" t="s">
        <v>465</v>
      </c>
      <c r="E16" s="13" t="n">
        <f aca="false">PL!I13</f>
        <v>137.595667217436</v>
      </c>
      <c r="F16" s="11" t="n">
        <f aca="false">B16*E16</f>
        <v>2063.93500826154</v>
      </c>
      <c r="G16" s="12" t="n">
        <f aca="false">F16/px-1</f>
        <v>-0.201572530653177</v>
      </c>
    </row>
    <row r="17" customFormat="false" ht="15" hidden="false" customHeight="false" outlineLevel="0" collapsed="false">
      <c r="A17" s="0" t="s">
        <v>462</v>
      </c>
      <c r="B17" s="0" t="n">
        <f aca="false">pe_2</f>
        <v>20.5</v>
      </c>
      <c r="C17" s="0" t="s">
        <v>406</v>
      </c>
      <c r="D17" s="0" t="s">
        <v>465</v>
      </c>
      <c r="E17" s="13" t="n">
        <f aca="false">PL!I13</f>
        <v>137.595667217436</v>
      </c>
      <c r="F17" s="11" t="n">
        <f aca="false">B17*E17</f>
        <v>2820.71117795744</v>
      </c>
      <c r="G17" s="12" t="n">
        <f aca="false">F17/px-1</f>
        <v>0.0911842081073253</v>
      </c>
    </row>
    <row r="18" customFormat="false" ht="15" hidden="false" customHeight="false" outlineLevel="0" collapsed="false">
      <c r="A18" s="0" t="s">
        <v>462</v>
      </c>
      <c r="B18" s="0" t="n">
        <f aca="false">pe_3</f>
        <v>32.7</v>
      </c>
      <c r="C18" s="0" t="s">
        <v>406</v>
      </c>
      <c r="D18" s="0" t="s">
        <v>465</v>
      </c>
      <c r="E18" s="13" t="n">
        <f aca="false">PL!I13</f>
        <v>137.595667217436</v>
      </c>
      <c r="F18" s="11" t="n">
        <f aca="false">B18*E18</f>
        <v>4499.37831801015</v>
      </c>
      <c r="G18" s="12" t="n">
        <f aca="false">F18/px-1</f>
        <v>0.740571883176075</v>
      </c>
    </row>
    <row r="19" customFormat="false" ht="15" hidden="false" customHeight="false" outlineLevel="0" collapsed="false">
      <c r="A19" s="0" t="s">
        <v>462</v>
      </c>
      <c r="B19" s="0" t="n">
        <f aca="false">pe_1</f>
        <v>15</v>
      </c>
      <c r="C19" s="0" t="s">
        <v>407</v>
      </c>
      <c r="D19" s="0" t="s">
        <v>465</v>
      </c>
      <c r="E19" s="13" t="n">
        <f aca="false">PL!J13</f>
        <v>106.34571226785</v>
      </c>
      <c r="F19" s="11" t="n">
        <f aca="false">B19*E19</f>
        <v>1595.18568401774</v>
      </c>
      <c r="G19" s="12" t="n">
        <f aca="false">F19/px-1</f>
        <v>-0.382906892062769</v>
      </c>
    </row>
    <row r="20" customFormat="false" ht="15" hidden="false" customHeight="false" outlineLevel="0" collapsed="false">
      <c r="A20" s="0" t="s">
        <v>462</v>
      </c>
      <c r="B20" s="0" t="n">
        <f aca="false">pe_2</f>
        <v>20.5</v>
      </c>
      <c r="C20" s="0" t="s">
        <v>407</v>
      </c>
      <c r="D20" s="0" t="s">
        <v>465</v>
      </c>
      <c r="E20" s="13" t="n">
        <f aca="false">PL!J13</f>
        <v>106.34571226785</v>
      </c>
      <c r="F20" s="11" t="n">
        <f aca="false">B20*E20</f>
        <v>2180.08710149092</v>
      </c>
      <c r="G20" s="12" t="n">
        <f aca="false">F20/px-1</f>
        <v>-0.15663941915245</v>
      </c>
    </row>
    <row r="21" customFormat="false" ht="15" hidden="false" customHeight="false" outlineLevel="0" collapsed="false">
      <c r="A21" s="0" t="s">
        <v>462</v>
      </c>
      <c r="B21" s="0" t="n">
        <f aca="false">pe_3</f>
        <v>32.7</v>
      </c>
      <c r="C21" s="0" t="s">
        <v>407</v>
      </c>
      <c r="D21" s="0" t="s">
        <v>465</v>
      </c>
      <c r="E21" s="13" t="n">
        <f aca="false">PL!J13</f>
        <v>106.34571226785</v>
      </c>
      <c r="F21" s="11" t="n">
        <f aca="false">B21*E21</f>
        <v>3477.50479115868</v>
      </c>
      <c r="G21" s="12" t="n">
        <f aca="false">F21/px-1</f>
        <v>0.345262975303165</v>
      </c>
    </row>
    <row r="23" customFormat="false" ht="17.15" hidden="false" customHeight="false" outlineLevel="0" collapsed="false">
      <c r="A23" s="6" t="s">
        <v>466</v>
      </c>
    </row>
    <row r="26" customFormat="false" ht="17.15" hidden="false" customHeight="false" outlineLevel="0" collapsed="false">
      <c r="A26" s="5" t="s">
        <v>467</v>
      </c>
    </row>
    <row r="27" customFormat="false" ht="17.15" hidden="false" customHeight="false" outlineLevel="0" collapsed="false">
      <c r="A27" s="6" t="s">
        <v>468</v>
      </c>
    </row>
    <row r="29" customFormat="false" ht="17.15" hidden="false" customHeight="false" outlineLevel="0" collapsed="false">
      <c r="A29" s="5" t="s">
        <v>469</v>
      </c>
    </row>
    <row r="30" customFormat="false" ht="15" hidden="false" customHeight="false" outlineLevel="0" collapsed="false">
      <c r="A30" s="4" t="s">
        <v>470</v>
      </c>
      <c r="B30" s="10" t="s">
        <v>471</v>
      </c>
      <c r="C30" s="10" t="s">
        <v>472</v>
      </c>
      <c r="D30" s="4" t="s">
        <v>473</v>
      </c>
    </row>
    <row r="31" customFormat="false" ht="17.15" hidden="false" customHeight="false" outlineLevel="0" collapsed="false">
      <c r="A31" s="0" t="s">
        <v>474</v>
      </c>
      <c r="B31" s="16" t="n">
        <v>14.5</v>
      </c>
      <c r="C31" s="16" t="n">
        <v>11.6</v>
      </c>
      <c r="D31" s="8" t="s">
        <v>475</v>
      </c>
    </row>
    <row r="32" customFormat="false" ht="15" hidden="false" customHeight="false" outlineLevel="0" collapsed="false">
      <c r="A32" s="0" t="s">
        <v>476</v>
      </c>
      <c r="B32" s="16" t="n">
        <v>17.71</v>
      </c>
      <c r="C32" s="16" t="n">
        <v>14.8</v>
      </c>
    </row>
    <row r="33" customFormat="false" ht="15" hidden="false" customHeight="false" outlineLevel="0" collapsed="false">
      <c r="A33" s="0" t="s">
        <v>477</v>
      </c>
      <c r="B33" s="16" t="n">
        <v>16.13</v>
      </c>
      <c r="C33" s="16" t="n">
        <v>14.2</v>
      </c>
    </row>
    <row r="34" customFormat="false" ht="15" hidden="false" customHeight="false" outlineLevel="0" collapsed="false">
      <c r="A34" s="0" t="s">
        <v>478</v>
      </c>
      <c r="B34" s="16" t="n">
        <v>25.62</v>
      </c>
      <c r="C34" s="16" t="n">
        <v>23.5</v>
      </c>
    </row>
    <row r="35" customFormat="false" ht="15" hidden="false" customHeight="false" outlineLevel="0" collapsed="false">
      <c r="A35" s="0" t="s">
        <v>479</v>
      </c>
      <c r="B35" s="16" t="n">
        <v>31.11</v>
      </c>
      <c r="C35" s="16" t="n">
        <v>28.3</v>
      </c>
    </row>
    <row r="36" customFormat="false" ht="15" hidden="false" customHeight="false" outlineLevel="0" collapsed="false">
      <c r="A36" s="0" t="s">
        <v>480</v>
      </c>
      <c r="B36" s="16" t="n">
        <v>29.18</v>
      </c>
      <c r="C36" s="16" t="n">
        <v>27.2</v>
      </c>
    </row>
    <row r="37" customFormat="false" ht="15" hidden="false" customHeight="false" outlineLevel="0" collapsed="false">
      <c r="A37" s="0" t="s">
        <v>481</v>
      </c>
      <c r="B37" s="16" t="n">
        <v>11.94</v>
      </c>
      <c r="C37" s="16" t="n">
        <v>11.2</v>
      </c>
    </row>
    <row r="38" customFormat="false" ht="15" hidden="false" customHeight="false" outlineLevel="0" collapsed="false">
      <c r="A38" s="0" t="s">
        <v>482</v>
      </c>
      <c r="B38" s="16" t="n">
        <v>19.46</v>
      </c>
      <c r="C38" s="16" t="n">
        <v>19.3</v>
      </c>
    </row>
    <row r="39" customFormat="false" ht="15" hidden="false" customHeight="false" outlineLevel="0" collapsed="false">
      <c r="A39" s="0" t="s">
        <v>483</v>
      </c>
      <c r="B39" s="16" t="n">
        <v>28.72</v>
      </c>
      <c r="C39" s="16" t="n">
        <v>28.8</v>
      </c>
    </row>
    <row r="40" customFormat="false" ht="15" hidden="false" customHeight="false" outlineLevel="0" collapsed="false">
      <c r="A40" s="0" t="s">
        <v>484</v>
      </c>
      <c r="B40" s="16" t="n">
        <v>29.03</v>
      </c>
      <c r="C40" s="16" t="n">
        <v>28.3</v>
      </c>
    </row>
    <row r="41" customFormat="false" ht="17.15" hidden="false" customHeight="false" outlineLevel="0" collapsed="false">
      <c r="A41" s="0" t="s">
        <v>485</v>
      </c>
      <c r="B41" s="17" t="n">
        <f aca="false">PERCENTILE(B31:B40,0.25)</f>
        <v>16.525</v>
      </c>
      <c r="C41" s="17" t="n">
        <f aca="false">PERCENTILE(C31:C40,0.25)</f>
        <v>14.35</v>
      </c>
    </row>
    <row r="42" customFormat="false" ht="15" hidden="false" customHeight="false" outlineLevel="0" collapsed="false">
      <c r="A42" s="6" t="s">
        <v>486</v>
      </c>
      <c r="B42" s="17" t="n">
        <f aca="false">MEDIAN(B31:B40)</f>
        <v>22.54</v>
      </c>
      <c r="C42" s="17" t="n">
        <f aca="false">MEDIAN(C31:C40)</f>
        <v>21.4</v>
      </c>
    </row>
    <row r="43" customFormat="false" ht="17.15" hidden="false" customHeight="false" outlineLevel="0" collapsed="false">
      <c r="A43" s="0" t="s">
        <v>487</v>
      </c>
      <c r="B43" s="17" t="n">
        <f aca="false">PERCENTILE(B31:B40,0.75)</f>
        <v>28.9525</v>
      </c>
      <c r="C43" s="17" t="n">
        <f aca="false">PERCENTILE(C31:C40,0.75)</f>
        <v>28.025</v>
      </c>
    </row>
    <row r="44" customFormat="false" ht="15" hidden="false" customHeight="false" outlineLevel="0" collapsed="false">
      <c r="A44" s="6" t="s">
        <v>488</v>
      </c>
      <c r="B44" s="17" t="n">
        <f aca="false">MIN(B31:B40)</f>
        <v>11.94</v>
      </c>
      <c r="C44" s="17" t="n">
        <f aca="false">MIN(C31:C40)</f>
        <v>11.2</v>
      </c>
    </row>
    <row r="45" customFormat="false" ht="15" hidden="false" customHeight="false" outlineLevel="0" collapsed="false">
      <c r="A45" s="6" t="s">
        <v>489</v>
      </c>
      <c r="B45" s="17" t="n">
        <f aca="false">MAX(B31:B40)</f>
        <v>31.11</v>
      </c>
      <c r="C45" s="17" t="n">
        <f aca="false">MAX(C31:C40)</f>
        <v>28.8</v>
      </c>
    </row>
    <row r="46" customFormat="false" ht="17.15" hidden="false" customHeight="false" outlineLevel="0" collapsed="false">
      <c r="A46" s="1" t="s">
        <v>490</v>
      </c>
      <c r="B46" s="17" t="n">
        <f aca="false">ROUND(AVERAGE(B41,C41),2)</f>
        <v>15.44</v>
      </c>
    </row>
    <row r="47" customFormat="false" ht="17.15" hidden="false" customHeight="false" outlineLevel="0" collapsed="false">
      <c r="A47" s="1" t="s">
        <v>491</v>
      </c>
      <c r="B47" s="17" t="n">
        <f aca="false">ROUND(AVERAGE(B42,C42),2)</f>
        <v>21.97</v>
      </c>
    </row>
    <row r="48" customFormat="false" ht="17.15" hidden="false" customHeight="false" outlineLevel="0" collapsed="false">
      <c r="A48" s="1" t="s">
        <v>492</v>
      </c>
      <c r="B48" s="17" t="n">
        <f aca="false">ROUND(AVERAGE(B43,C43),2)</f>
        <v>28.49</v>
      </c>
    </row>
    <row r="49" customFormat="false" ht="17.15" hidden="false" customHeight="false" outlineLevel="0" collapsed="false">
      <c r="A49" s="1" t="s">
        <v>493</v>
      </c>
      <c r="B49" s="17" t="n">
        <f aca="false">ROUND(MIN(B44,C44),2)</f>
        <v>11.2</v>
      </c>
    </row>
    <row r="50" customFormat="false" ht="17.15" hidden="false" customHeight="false" outlineLevel="0" collapsed="false">
      <c r="A50" s="1" t="s">
        <v>494</v>
      </c>
      <c r="B50" s="17" t="n">
        <f aca="false">ROUND(MAX(B45,C45),2)</f>
        <v>31.11</v>
      </c>
    </row>
    <row r="52" customFormat="false" ht="17.15" hidden="false" customHeight="false" outlineLevel="0" collapsed="false">
      <c r="A52" s="5" t="s">
        <v>495</v>
      </c>
    </row>
    <row r="53" customFormat="false" ht="17.15" hidden="false" customHeight="false" outlineLevel="0" collapsed="false">
      <c r="A53" s="4" t="s">
        <v>496</v>
      </c>
      <c r="B53" s="4" t="s">
        <v>497</v>
      </c>
      <c r="C53" s="4" t="s">
        <v>456</v>
      </c>
      <c r="D53" s="4" t="s">
        <v>19</v>
      </c>
      <c r="E53" s="4" t="s">
        <v>498</v>
      </c>
      <c r="F53" s="4" t="s">
        <v>460</v>
      </c>
      <c r="G53" s="4" t="s">
        <v>461</v>
      </c>
      <c r="H53" s="4" t="s">
        <v>499</v>
      </c>
    </row>
    <row r="54" customFormat="false" ht="17.15" hidden="false" customHeight="false" outlineLevel="0" collapsed="false">
      <c r="A54" s="6" t="s">
        <v>500</v>
      </c>
      <c r="B54" s="6" t="s">
        <v>501</v>
      </c>
      <c r="C54" s="17" t="n">
        <f aca="false">B47</f>
        <v>21.97</v>
      </c>
      <c r="D54" s="8" t="s">
        <v>502</v>
      </c>
      <c r="E54" s="13" t="n">
        <f aca="false">PL!C13</f>
        <v>137.595667217436</v>
      </c>
      <c r="F54" s="18" t="n">
        <f aca="false">C54*E54</f>
        <v>3022.97680876707</v>
      </c>
      <c r="G54" s="14" t="n">
        <f aca="false">F54/px-1</f>
        <v>0.169430100103314</v>
      </c>
      <c r="H54" s="17" t="n">
        <f aca="false">px/E54</f>
        <v>18.7869287767256</v>
      </c>
    </row>
    <row r="55" customFormat="false" ht="17.15" hidden="false" customHeight="false" outlineLevel="0" collapsed="false">
      <c r="A55" s="6" t="s">
        <v>503</v>
      </c>
      <c r="B55" s="0" t="s">
        <v>504</v>
      </c>
      <c r="C55" s="17" t="n">
        <f aca="false">B46</f>
        <v>15.44</v>
      </c>
      <c r="D55" s="8" t="s">
        <v>502</v>
      </c>
      <c r="E55" s="13" t="n">
        <f aca="false">PL!C13</f>
        <v>137.595667217436</v>
      </c>
      <c r="F55" s="18" t="n">
        <f aca="false">C55*E55</f>
        <v>2124.47710183721</v>
      </c>
      <c r="G55" s="14" t="n">
        <f aca="false">F55/px-1</f>
        <v>-0.178151991552336</v>
      </c>
      <c r="H55" s="17" t="n">
        <f aca="false">px/E55</f>
        <v>18.7869287767256</v>
      </c>
    </row>
    <row r="56" customFormat="false" ht="17.15" hidden="false" customHeight="false" outlineLevel="0" collapsed="false">
      <c r="A56" s="6" t="s">
        <v>505</v>
      </c>
      <c r="B56" s="0" t="s">
        <v>506</v>
      </c>
      <c r="C56" s="17" t="n">
        <f aca="false">B48</f>
        <v>28.49</v>
      </c>
      <c r="D56" s="8" t="s">
        <v>502</v>
      </c>
      <c r="E56" s="13" t="n">
        <f aca="false">PL!C13</f>
        <v>137.595667217436</v>
      </c>
      <c r="F56" s="18" t="n">
        <f aca="false">C56*E56</f>
        <v>3920.10055902475</v>
      </c>
      <c r="G56" s="14" t="n">
        <f aca="false">F56/px-1</f>
        <v>0.5164799067794</v>
      </c>
      <c r="H56" s="17" t="n">
        <f aca="false">px/E56</f>
        <v>18.7869287767256</v>
      </c>
    </row>
    <row r="57" customFormat="false" ht="17.15" hidden="false" customHeight="false" outlineLevel="0" collapsed="false">
      <c r="A57" s="6" t="s">
        <v>507</v>
      </c>
      <c r="B57" s="6" t="s">
        <v>508</v>
      </c>
      <c r="C57" s="17" t="n">
        <f aca="false">B48</f>
        <v>28.49</v>
      </c>
      <c r="D57" s="8" t="s">
        <v>509</v>
      </c>
      <c r="E57" s="13" t="n">
        <f aca="false">PL!J13</f>
        <v>106.34571226785</v>
      </c>
      <c r="F57" s="18" t="n">
        <f aca="false">C57*E57</f>
        <v>3029.78934251103</v>
      </c>
      <c r="G57" s="14" t="n">
        <f aca="false">F57/px-1</f>
        <v>0.172065509675448</v>
      </c>
      <c r="H57" s="17" t="n">
        <f aca="false">px/E57</f>
        <v>24.3075150363302</v>
      </c>
    </row>
    <row r="59" customFormat="false" ht="17.15" hidden="false" customHeight="false" outlineLevel="0" collapsed="false">
      <c r="A59" s="5" t="s">
        <v>510</v>
      </c>
    </row>
    <row r="60" customFormat="false" ht="15" hidden="false" customHeight="false" outlineLevel="0" collapsed="false">
      <c r="A60" s="4" t="s">
        <v>16</v>
      </c>
      <c r="B60" s="4" t="s">
        <v>511</v>
      </c>
      <c r="C60" s="4"/>
      <c r="D60" s="4"/>
      <c r="E60" s="4" t="s">
        <v>409</v>
      </c>
    </row>
    <row r="61" customFormat="false" ht="17.15" hidden="false" customHeight="false" outlineLevel="0" collapsed="false">
      <c r="A61" s="6" t="s">
        <v>512</v>
      </c>
      <c r="B61" s="11" t="n">
        <f aca="false">tp_wA*B63+tp_wB*B64+tp_wC*B65</f>
        <v>3022.97680876707</v>
      </c>
      <c r="E61" s="6" t="s">
        <v>513</v>
      </c>
    </row>
    <row r="62" customFormat="false" ht="17.15" hidden="false" customHeight="false" outlineLevel="0" collapsed="false">
      <c r="A62" s="6" t="s">
        <v>514</v>
      </c>
      <c r="B62" s="14" t="n">
        <f aca="false">B61/px-1</f>
        <v>0.169430100103314</v>
      </c>
      <c r="E62" s="6" t="s">
        <v>515</v>
      </c>
    </row>
    <row r="63" customFormat="false" ht="17.15" hidden="false" customHeight="false" outlineLevel="0" collapsed="false">
      <c r="A63" s="6" t="s">
        <v>516</v>
      </c>
      <c r="B63" s="11" t="n">
        <f aca="false">$C$54*PL!C13</f>
        <v>3022.97680876707</v>
      </c>
      <c r="E63" s="6" t="s">
        <v>517</v>
      </c>
    </row>
    <row r="64" customFormat="false" ht="17.15" hidden="false" customHeight="false" outlineLevel="0" collapsed="false">
      <c r="A64" s="6" t="s">
        <v>518</v>
      </c>
      <c r="B64" s="11" t="n">
        <f aca="false">$C$54*PL!F13</f>
        <v>3022.97680876707</v>
      </c>
      <c r="E64" s="6" t="s">
        <v>519</v>
      </c>
    </row>
    <row r="65" customFormat="false" ht="17.15" hidden="false" customHeight="false" outlineLevel="0" collapsed="false">
      <c r="A65" s="6" t="s">
        <v>520</v>
      </c>
      <c r="B65" s="11" t="n">
        <f aca="false">$C$54*PL!I13</f>
        <v>3022.97680876707</v>
      </c>
      <c r="E65" s="6" t="s">
        <v>521</v>
      </c>
    </row>
    <row r="66" customFormat="false" ht="17.15" hidden="false" customHeight="false" outlineLevel="0" collapsed="false">
      <c r="A66" s="6" t="s">
        <v>522</v>
      </c>
      <c r="B66" s="12" t="n">
        <f aca="false">tp_wA</f>
        <v>0.3</v>
      </c>
      <c r="C66" s="12" t="n">
        <f aca="false">tp_wB</f>
        <v>0.5</v>
      </c>
      <c r="D66" s="12" t="n">
        <f aca="false">tp_wC</f>
        <v>0.2</v>
      </c>
      <c r="E66" s="0" t="str">
        <f aca="false">"合計 "&amp;TEXT(B66+C66+D66,"0%")&amp;"；In 頁 tp_wA／tp_wB／tp_wC（Assumed，Andy 可改）"</f>
        <v>合計 100%；In 頁 tp_wA／tp_wB／tp_wC（Assumed，Andy 可改）</v>
      </c>
    </row>
    <row r="67" customFormat="false" ht="17.15" hidden="false" customHeight="false" outlineLevel="0" collapsed="false">
      <c r="A67" s="6" t="s">
        <v>523</v>
      </c>
      <c r="B67" s="0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525</v>
      </c>
    </row>
    <row r="3" customFormat="false" ht="15" hidden="false" customHeight="false" outlineLevel="0" collapsed="false">
      <c r="A3" s="4" t="s">
        <v>16</v>
      </c>
      <c r="B3" s="4" t="s">
        <v>526</v>
      </c>
      <c r="C3" s="4" t="s">
        <v>527</v>
      </c>
      <c r="D3" s="4" t="s">
        <v>528</v>
      </c>
      <c r="E3" s="4" t="s">
        <v>529</v>
      </c>
    </row>
    <row r="4" customFormat="false" ht="17.15" hidden="false" customHeight="false" outlineLevel="0" collapsed="false">
      <c r="A4" s="0" t="s">
        <v>530</v>
      </c>
      <c r="B4" s="18" t="n">
        <f aca="false">PL!B5</f>
        <v>34.326</v>
      </c>
      <c r="C4" s="18" t="n">
        <f aca="false">rev25*ai25_share*(1+ai_cagr)</f>
        <v>34.598718</v>
      </c>
      <c r="D4" s="12" t="n">
        <f aca="false">B4/C4-1</f>
        <v>-0.00788231517711135</v>
      </c>
      <c r="E4" s="8" t="s">
        <v>531</v>
      </c>
    </row>
    <row r="5" customFormat="false" ht="17.15" hidden="false" customHeight="false" outlineLevel="0" collapsed="false">
      <c r="A5" s="0" t="s">
        <v>532</v>
      </c>
      <c r="B5" s="18" t="n">
        <f aca="false">PL!B4</f>
        <v>28.605</v>
      </c>
      <c r="C5" s="18" t="n">
        <f aca="false">rev25*ai25_share*(1+ai_cagr)</f>
        <v>34.598718</v>
      </c>
      <c r="D5" s="12" t="n">
        <f aca="false">B5/C5-1</f>
        <v>-0.173235262647593</v>
      </c>
      <c r="E5" s="6" t="s">
        <v>533</v>
      </c>
    </row>
    <row r="6" customFormat="false" ht="17.15" hidden="false" customHeight="false" outlineLevel="0" collapsed="false">
      <c r="A6" s="0" t="s">
        <v>534</v>
      </c>
      <c r="B6" s="18" t="n">
        <f aca="false">PL!B13</f>
        <v>112.095299667786</v>
      </c>
      <c r="C6" s="18" t="n">
        <f aca="false">cons_eps26</f>
        <v>107.6</v>
      </c>
      <c r="D6" s="12" t="n">
        <f aca="false">B6/C6-1</f>
        <v>0.0417778779533982</v>
      </c>
      <c r="E6" s="8" t="s">
        <v>388</v>
      </c>
    </row>
    <row r="7" customFormat="false" ht="17.15" hidden="false" customHeight="false" outlineLevel="0" collapsed="false">
      <c r="A7" s="0" t="s">
        <v>535</v>
      </c>
      <c r="B7" s="18" t="n">
        <f aca="false">PL!B7</f>
        <v>176.12</v>
      </c>
      <c r="C7" s="18" t="n">
        <f aca="false">rev25*(1+g26_guid)</f>
        <v>176.2992</v>
      </c>
      <c r="D7" s="12" t="n">
        <f aca="false">B7/C7-1</f>
        <v>-0.00101645384664262</v>
      </c>
      <c r="E7" s="6" t="s">
        <v>536</v>
      </c>
    </row>
    <row r="8" customFormat="false" ht="17.15" hidden="false" customHeight="false" outlineLevel="0" collapsed="false">
      <c r="A8" s="0" t="s">
        <v>537</v>
      </c>
      <c r="B8" s="18" t="n">
        <f aca="false">PL!B13</f>
        <v>112.095299667786</v>
      </c>
      <c r="C8" s="18" t="n">
        <f aca="false">eps26_1to3q+ntd26_4q*opm26_4q*ni_op_26/shares</f>
        <v>112.100961063852</v>
      </c>
      <c r="D8" s="12" t="n">
        <f aca="false">B8/C8-1</f>
        <v>-5.0502654148521E-005</v>
      </c>
      <c r="E8" s="6" t="s">
        <v>538</v>
      </c>
    </row>
    <row r="9" customFormat="false" ht="17.15" hidden="false" customHeight="false" outlineLevel="0" collapsed="false">
      <c r="A9" s="0" t="s">
        <v>539</v>
      </c>
      <c r="B9" s="18" t="n">
        <f aca="false">PL!C7</f>
        <v>225.63296</v>
      </c>
      <c r="C9" s="18" t="n">
        <f aca="false">cons_rev27</f>
        <v>229</v>
      </c>
      <c r="D9" s="12" t="n">
        <f aca="false">B9/C9-1</f>
        <v>-0.0147032314410479</v>
      </c>
      <c r="E9" s="8" t="s">
        <v>388</v>
      </c>
    </row>
    <row r="10" customFormat="false" ht="17.15" hidden="false" customHeight="false" outlineLevel="0" collapsed="false">
      <c r="A10" s="0" t="s">
        <v>540</v>
      </c>
      <c r="B10" s="18" t="n">
        <f aca="false">PL!C13</f>
        <v>137.595667217436</v>
      </c>
      <c r="C10" s="18" t="n">
        <f aca="false">cons_eps27</f>
        <v>142</v>
      </c>
      <c r="D10" s="12" t="n">
        <f aca="false">B10/C10-1</f>
        <v>-0.0310164280462261</v>
      </c>
      <c r="E10" s="8" t="s">
        <v>388</v>
      </c>
    </row>
    <row r="11" customFormat="false" ht="17.15" hidden="false" customHeight="false" outlineLevel="0" collapsed="false">
      <c r="A11" s="0" t="s">
        <v>541</v>
      </c>
      <c r="B11" s="18" t="n">
        <f aca="false">CoWoS!B13</f>
        <v>1107.85762580894</v>
      </c>
      <c r="C11" s="18" t="n">
        <f aca="false">ms_dem26</f>
        <v>1394</v>
      </c>
      <c r="D11" s="12" t="n">
        <f aca="false">B11/C11-1</f>
        <v>-0.205267126392436</v>
      </c>
      <c r="E11" s="6" t="s">
        <v>174</v>
      </c>
    </row>
    <row r="12" customFormat="false" ht="17.15" hidden="false" customHeight="false" outlineLevel="0" collapsed="false">
      <c r="A12" s="0" t="s">
        <v>542</v>
      </c>
      <c r="B12" s="18" t="n">
        <f aca="false">CoWoS!C13</f>
        <v>2096.42857142857</v>
      </c>
      <c r="C12" s="18" t="n">
        <f aca="false">ms_dem27</f>
        <v>2509</v>
      </c>
      <c r="D12" s="12" t="n">
        <f aca="false">B12/C12-1</f>
        <v>-0.16443659966976</v>
      </c>
      <c r="E12" s="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543</v>
      </c>
    </row>
    <row r="3" customFormat="false" ht="17.15" hidden="false" customHeight="false" outlineLevel="0" collapsed="false">
      <c r="A3" s="4" t="s">
        <v>544</v>
      </c>
      <c r="B3" s="10" t="s">
        <v>545</v>
      </c>
      <c r="C3" s="4" t="s">
        <v>546</v>
      </c>
      <c r="D3" s="10" t="s">
        <v>547</v>
      </c>
    </row>
    <row r="4" customFormat="false" ht="15" hidden="false" customHeight="false" outlineLevel="0" collapsed="false">
      <c r="A4" s="6" t="s">
        <v>19</v>
      </c>
      <c r="B4" s="13" t="n">
        <f aca="false">(PL!C7)*(gm27_A-opex)*ni_op*fx/shares</f>
        <v>137.595667217436</v>
      </c>
      <c r="C4" s="12" t="n">
        <f aca="false">B4/B$4-1</f>
        <v>0</v>
      </c>
      <c r="D4" s="12" t="n">
        <f aca="false">CoWoS!C17</f>
        <v>0.962547553456644</v>
      </c>
    </row>
    <row r="5" customFormat="false" ht="17.15" hidden="false" customHeight="false" outlineLevel="0" collapsed="false">
      <c r="A5" s="0" t="s">
        <v>548</v>
      </c>
      <c r="B5" s="13" t="n">
        <f aca="false">(PL!C7-0.3*u_rb_27*ct_VR*(1+px27)*(1+ai_oth))*(gm27_A-opex)*ni_op*fx/shares</f>
        <v>132.776424358447</v>
      </c>
      <c r="C5" s="12" t="n">
        <f aca="false">B5/B$4-1</f>
        <v>-0.0350246701545733</v>
      </c>
      <c r="D5" s="12" t="n">
        <f aca="false">(CoWoS!C13-0.3*CoWoS!C5)/CoWoS!C16</f>
        <v>0.842024137478683</v>
      </c>
    </row>
    <row r="6" customFormat="false" ht="17.15" hidden="false" customHeight="false" outlineLevel="0" collapsed="false">
      <c r="A6" s="0" t="s">
        <v>549</v>
      </c>
      <c r="B6" s="13" t="n">
        <f aca="false">(PL!C7-PL!C5*px27/(1+px27))*(gm27_A-opex)*ni_op*fx/shares</f>
        <v>133.229545589358</v>
      </c>
      <c r="C6" s="12" t="n">
        <f aca="false">B6/B$4-1</f>
        <v>-0.0317315342581156</v>
      </c>
      <c r="D6" s="12" t="n">
        <f aca="false">CoWoS!C17</f>
        <v>0.962547553456644</v>
      </c>
    </row>
    <row r="7" customFormat="false" ht="17.15" hidden="false" customHeight="false" outlineLevel="0" collapsed="false">
      <c r="A7" s="6" t="s">
        <v>550</v>
      </c>
      <c r="B7" s="13" t="n">
        <f aca="false">(PL!C7)*(0.6-opex)*ni_op*fx/shares</f>
        <v>127.85438104275</v>
      </c>
      <c r="C7" s="12" t="n">
        <f aca="false">B7/B$4-1</f>
        <v>-0.0707964601769913</v>
      </c>
      <c r="D7" s="12" t="n">
        <f aca="false">CoWoS!C17</f>
        <v>0.962547553456644</v>
      </c>
    </row>
    <row r="8" customFormat="false" ht="17.15" hidden="false" customHeight="false" outlineLevel="0" collapsed="false">
      <c r="A8" s="6" t="s">
        <v>551</v>
      </c>
      <c r="B8" s="13" t="n">
        <f aca="false">(PL!C7)*(0.67-opex)*ni_op*fx/shares</f>
        <v>144.90163184845</v>
      </c>
      <c r="C8" s="12" t="n">
        <f aca="false">B8/B$4-1</f>
        <v>0.0530973451327432</v>
      </c>
      <c r="D8" s="12" t="n">
        <f aca="false">CoWoS!C17</f>
        <v>0.962547553456644</v>
      </c>
    </row>
    <row r="9" customFormat="false" ht="17.15" hidden="false" customHeight="false" outlineLevel="0" collapsed="false">
      <c r="A9" s="6" t="s">
        <v>552</v>
      </c>
      <c r="B9" s="13" t="n">
        <f aca="false">(PL!C7-PL!B6*na27_A)*(gm27_A-opex)*ni_op*fx/shares</f>
        <v>127.21939592936</v>
      </c>
      <c r="C9" s="12" t="n">
        <f aca="false">B9/B$4-1</f>
        <v>-0.0754113228847417</v>
      </c>
      <c r="D9" s="12" t="n">
        <f aca="false">CoWoS!C17</f>
        <v>0.962547553456644</v>
      </c>
    </row>
    <row r="10" customFormat="false" ht="17.15" hidden="false" customHeight="false" outlineLevel="0" collapsed="false">
      <c r="A10" s="0" t="s">
        <v>553</v>
      </c>
      <c r="B10" s="13" t="n">
        <f aca="false">(PL!C7)*(gm27_A-opex)*ni_op*fx/shares</f>
        <v>137.595667217436</v>
      </c>
      <c r="C10" s="12" t="n">
        <f aca="false">B10/B$4-1</f>
        <v>0</v>
      </c>
      <c r="D10" s="12" t="n">
        <f aca="false">CoWoS!C13/((cap_end26+170)/2*12*(1+osat))</f>
        <v>1.05880230880231</v>
      </c>
    </row>
    <row r="13" customFormat="false" ht="17.15" hidden="false" customHeight="false" outlineLevel="0" collapsed="false">
      <c r="A13" s="1" t="s">
        <v>554</v>
      </c>
    </row>
    <row r="14" customFormat="false" ht="15" hidden="false" customHeight="false" outlineLevel="0" collapsed="false">
      <c r="A14" s="4" t="s">
        <v>555</v>
      </c>
      <c r="B14" s="4" t="s">
        <v>556</v>
      </c>
      <c r="C14" s="10" t="s">
        <v>545</v>
      </c>
      <c r="D14" s="4" t="s">
        <v>546</v>
      </c>
      <c r="E14" s="10" t="s">
        <v>557</v>
      </c>
      <c r="F14" s="4" t="s">
        <v>546</v>
      </c>
    </row>
    <row r="15" customFormat="false" ht="15" hidden="false" customHeight="false" outlineLevel="0" collapsed="false">
      <c r="A15" s="6" t="s">
        <v>558</v>
      </c>
      <c r="B15" s="9" t="n">
        <f aca="false">ni_op</f>
        <v>0.874593626904623</v>
      </c>
      <c r="C15" s="13" t="n">
        <f aca="false">PL!C11*B15*fx/shares</f>
        <v>137.595667217436</v>
      </c>
      <c r="D15" s="14" t="n">
        <f aca="false">C15/C$15-1</f>
        <v>0</v>
      </c>
      <c r="E15" s="13" t="n">
        <f aca="false">PL!D11*B15*fx/shares</f>
        <v>157.640285107059</v>
      </c>
      <c r="F15" s="14" t="n">
        <f aca="false">E15/E$15-1</f>
        <v>0</v>
      </c>
    </row>
    <row r="16" customFormat="false" ht="17.15" hidden="false" customHeight="false" outlineLevel="0" collapsed="false">
      <c r="A16" s="6" t="s">
        <v>559</v>
      </c>
      <c r="B16" s="9" t="n">
        <f aca="false">ni_op_lo</f>
        <v>0.864414533026079</v>
      </c>
      <c r="C16" s="13" t="n">
        <f aca="false">PL!C11*B16*fx/shares</f>
        <v>135.994238655872</v>
      </c>
      <c r="D16" s="14" t="n">
        <f aca="false">C16/C$15-1</f>
        <v>-0.0116386554456953</v>
      </c>
      <c r="E16" s="13" t="n">
        <f aca="false">PL!D11*B16*fx/shares</f>
        <v>155.805564144336</v>
      </c>
      <c r="F16" s="14" t="n">
        <f aca="false">E16/E$15-1</f>
        <v>-0.0116386554456953</v>
      </c>
    </row>
    <row r="17" customFormat="false" ht="17.15" hidden="false" customHeight="false" outlineLevel="0" collapsed="false">
      <c r="A17" s="6" t="s">
        <v>560</v>
      </c>
      <c r="B17" s="9" t="n">
        <f aca="false">ni_op_hi</f>
        <v>0.909166874667651</v>
      </c>
      <c r="C17" s="13" t="n">
        <f aca="false">PL!C11*B17*fx/shares</f>
        <v>143.034912310799</v>
      </c>
      <c r="D17" s="14" t="n">
        <f aca="false">C17/C$15-1</f>
        <v>0.0395306422313984</v>
      </c>
      <c r="E17" s="13" t="n">
        <f aca="false">PL!D11*B17*fx/shares</f>
        <v>163.871906818881</v>
      </c>
      <c r="F17" s="14" t="n">
        <f aca="false">E17/E$15-1</f>
        <v>0.0395306422313984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120"/>
  </cols>
  <sheetData>
    <row r="1" customFormat="false" ht="17.15" hidden="false" customHeight="false" outlineLevel="0" collapsed="false">
      <c r="A1" s="0" t="s">
        <v>561</v>
      </c>
    </row>
    <row r="3" customFormat="false" ht="17.15" hidden="false" customHeight="false" outlineLevel="0" collapsed="false">
      <c r="A3" s="4" t="s">
        <v>562</v>
      </c>
      <c r="B3" s="4" t="s">
        <v>447</v>
      </c>
      <c r="C3" s="4" t="s">
        <v>563</v>
      </c>
      <c r="D3" s="4" t="s">
        <v>564</v>
      </c>
      <c r="E3" s="4" t="s">
        <v>565</v>
      </c>
      <c r="F3" s="4" t="s">
        <v>448</v>
      </c>
      <c r="G3" s="4" t="s">
        <v>566</v>
      </c>
      <c r="H3" s="4" t="s">
        <v>567</v>
      </c>
      <c r="I3" s="4" t="s">
        <v>568</v>
      </c>
      <c r="J3" s="4" t="s">
        <v>569</v>
      </c>
      <c r="K3" s="4" t="s">
        <v>570</v>
      </c>
      <c r="L3" s="4" t="s">
        <v>571</v>
      </c>
      <c r="M3" s="4" t="s">
        <v>572</v>
      </c>
      <c r="N3" s="4" t="s">
        <v>573</v>
      </c>
      <c r="O3" s="4" t="s">
        <v>21</v>
      </c>
      <c r="P3" s="4" t="s">
        <v>22</v>
      </c>
    </row>
    <row r="4" customFormat="false" ht="17.15" hidden="false" customHeight="false" outlineLevel="0" collapsed="false">
      <c r="A4" s="0" t="s">
        <v>481</v>
      </c>
      <c r="B4" s="19" t="n">
        <v>1121.28</v>
      </c>
      <c r="C4" s="19" t="n">
        <v>22.91</v>
      </c>
      <c r="D4" s="18" t="n">
        <f aca="false">B4+C4</f>
        <v>1144.19</v>
      </c>
      <c r="E4" s="18" t="n">
        <f aca="false">D4-F4</f>
        <v>127.29</v>
      </c>
      <c r="F4" s="19" t="n">
        <v>1016.9</v>
      </c>
      <c r="G4" s="18"/>
      <c r="H4" s="18"/>
      <c r="I4" s="19" t="n">
        <v>0</v>
      </c>
      <c r="J4" s="14" t="n">
        <f aca="false">E4/D4</f>
        <v>0.111249005846931</v>
      </c>
      <c r="K4" s="14" t="n">
        <f aca="false">C4/B4</f>
        <v>0.0204320062785388</v>
      </c>
      <c r="L4" s="9" t="n">
        <f aca="false">F4/(D4-E4)</f>
        <v>1</v>
      </c>
      <c r="M4" s="9" t="n">
        <f aca="false">F4/B4</f>
        <v>0.906909960045662</v>
      </c>
      <c r="N4" s="0" t="n">
        <v>1</v>
      </c>
      <c r="O4" s="8" t="s">
        <v>574</v>
      </c>
      <c r="P4" s="6" t="s">
        <v>575</v>
      </c>
    </row>
    <row r="5" customFormat="false" ht="17.15" hidden="false" customHeight="false" outlineLevel="0" collapsed="false">
      <c r="A5" s="0" t="s">
        <v>482</v>
      </c>
      <c r="B5" s="19" t="n">
        <v>921.47</v>
      </c>
      <c r="C5" s="19" t="n">
        <v>57.71</v>
      </c>
      <c r="D5" s="18" t="n">
        <f aca="false">B5+C5</f>
        <v>979.18</v>
      </c>
      <c r="E5" s="19" t="n">
        <v>141.4</v>
      </c>
      <c r="F5" s="19" t="n">
        <v>837.77</v>
      </c>
      <c r="G5" s="19" t="n">
        <v>60.29</v>
      </c>
      <c r="H5" s="18"/>
      <c r="I5" s="19" t="n">
        <v>0</v>
      </c>
      <c r="J5" s="14" t="n">
        <f aca="false">E5/D5</f>
        <v>0.144406544251312</v>
      </c>
      <c r="K5" s="14" t="n">
        <f aca="false">C5/B5</f>
        <v>0.0626281919107513</v>
      </c>
      <c r="L5" s="9" t="n">
        <f aca="false">F5/(D5-E5)</f>
        <v>0.999988063692139</v>
      </c>
      <c r="M5" s="9" t="n">
        <f aca="false">F5/B5</f>
        <v>0.909166874667651</v>
      </c>
      <c r="N5" s="0" t="n">
        <v>2</v>
      </c>
      <c r="O5" s="8" t="s">
        <v>214</v>
      </c>
      <c r="P5" s="6" t="s">
        <v>576</v>
      </c>
    </row>
    <row r="6" customFormat="false" ht="17.15" hidden="false" customHeight="false" outlineLevel="0" collapsed="false">
      <c r="A6" s="0" t="s">
        <v>483</v>
      </c>
      <c r="B6" s="19" t="n">
        <v>1322.05</v>
      </c>
      <c r="C6" s="19" t="n">
        <v>83.79</v>
      </c>
      <c r="D6" s="18" t="n">
        <f aca="false">B6+C6</f>
        <v>1405.84</v>
      </c>
      <c r="E6" s="19" t="n">
        <v>233.41</v>
      </c>
      <c r="F6" s="19" t="n">
        <v>1172.43</v>
      </c>
      <c r="G6" s="19" t="n">
        <v>87.21</v>
      </c>
      <c r="H6" s="19" t="n">
        <v>10</v>
      </c>
      <c r="I6" s="19" t="n">
        <v>0</v>
      </c>
      <c r="J6" s="14" t="n">
        <f aca="false">E6/D6</f>
        <v>0.166028851078359</v>
      </c>
      <c r="K6" s="14" t="n">
        <f aca="false">C6/B6</f>
        <v>0.063378843462804</v>
      </c>
      <c r="L6" s="9" t="n">
        <f aca="false">F6/(D6-E6)</f>
        <v>1</v>
      </c>
      <c r="M6" s="9" t="n">
        <f aca="false">F6/B6</f>
        <v>0.886827275821641</v>
      </c>
      <c r="N6" s="0" t="n">
        <v>2</v>
      </c>
      <c r="O6" s="8" t="s">
        <v>214</v>
      </c>
      <c r="P6" s="6" t="s">
        <v>577</v>
      </c>
    </row>
    <row r="7" customFormat="false" ht="17.15" hidden="false" customHeight="false" outlineLevel="0" collapsed="false">
      <c r="A7" s="0" t="s">
        <v>484</v>
      </c>
      <c r="B7" s="19" t="n">
        <v>1936.09</v>
      </c>
      <c r="C7" s="19" t="n">
        <v>105.56</v>
      </c>
      <c r="D7" s="18" t="n">
        <f aca="false">B7+C7</f>
        <v>2041.65</v>
      </c>
      <c r="E7" s="19" t="n">
        <v>326.25</v>
      </c>
      <c r="F7" s="19" t="n">
        <v>1715.4</v>
      </c>
      <c r="G7" s="19" t="n">
        <v>105.74</v>
      </c>
      <c r="H7" s="19" t="n">
        <v>13.83</v>
      </c>
      <c r="I7" s="19" t="n">
        <v>0</v>
      </c>
      <c r="J7" s="14" t="n">
        <f aca="false">E7/D7</f>
        <v>0.159797222834472</v>
      </c>
      <c r="K7" s="14" t="n">
        <f aca="false">C7/B7</f>
        <v>0.0545222587792923</v>
      </c>
      <c r="L7" s="9" t="n">
        <f aca="false">F7/(D7-E7)</f>
        <v>1</v>
      </c>
      <c r="M7" s="9" t="n">
        <f aca="false">F7/B7</f>
        <v>0.886012530409227</v>
      </c>
      <c r="N7" s="0" t="n">
        <v>2</v>
      </c>
      <c r="O7" s="8" t="s">
        <v>214</v>
      </c>
      <c r="P7" s="6" t="s">
        <v>578</v>
      </c>
    </row>
    <row r="8" customFormat="false" ht="17.15" hidden="false" customHeight="false" outlineLevel="0" collapsed="false">
      <c r="A8" s="0" t="s">
        <v>579</v>
      </c>
      <c r="B8" s="18" t="n">
        <f aca="false">ntd26_1q*opm26_1q</f>
        <v>658.9121</v>
      </c>
      <c r="C8" s="19" t="n">
        <v>28.83</v>
      </c>
      <c r="D8" s="18" t="n">
        <f aca="false">B8+C8</f>
        <v>687.7421</v>
      </c>
      <c r="E8" s="18" t="n">
        <f aca="false">D8-F8</f>
        <v>115.2621</v>
      </c>
      <c r="F8" s="19" t="n">
        <v>572.48</v>
      </c>
      <c r="G8" s="18"/>
      <c r="H8" s="18"/>
      <c r="I8" s="19" t="n">
        <v>0</v>
      </c>
      <c r="J8" s="14" t="n">
        <f aca="false">E8/D8</f>
        <v>0.167594945837982</v>
      </c>
      <c r="K8" s="14" t="n">
        <f aca="false">C8/B8</f>
        <v>0.0437539392583624</v>
      </c>
      <c r="L8" s="9" t="n">
        <f aca="false">F8/(D8-E8)</f>
        <v>1</v>
      </c>
      <c r="M8" s="9" t="n">
        <f aca="false">F8/B8</f>
        <v>0.868826054340177</v>
      </c>
      <c r="N8" s="0" t="n">
        <v>1</v>
      </c>
      <c r="O8" s="8" t="s">
        <v>121</v>
      </c>
      <c r="P8" s="6" t="s">
        <v>580</v>
      </c>
    </row>
    <row r="9" customFormat="false" ht="17.15" hidden="false" customHeight="false" outlineLevel="0" collapsed="false">
      <c r="A9" s="0" t="s">
        <v>581</v>
      </c>
      <c r="B9" s="18" t="n">
        <f aca="false">ntd26_2q*opm26_2q</f>
        <v>766.03914</v>
      </c>
      <c r="C9" s="19" t="n">
        <v>95.83</v>
      </c>
      <c r="D9" s="18" t="n">
        <f aca="false">B9+C9</f>
        <v>861.86914</v>
      </c>
      <c r="E9" s="19" t="n">
        <v>155.65</v>
      </c>
      <c r="F9" s="19" t="n">
        <v>706.56</v>
      </c>
      <c r="G9" s="18"/>
      <c r="H9" s="18"/>
      <c r="I9" s="19" t="n">
        <v>63.2</v>
      </c>
      <c r="J9" s="14" t="n">
        <f aca="false">E9/D9</f>
        <v>0.180595861687309</v>
      </c>
      <c r="K9" s="14" t="n">
        <f aca="false">C9/B9</f>
        <v>0.125098046556733</v>
      </c>
      <c r="L9" s="9" t="n">
        <f aca="false">F9/(D9-E9)</f>
        <v>1.00048265471819</v>
      </c>
      <c r="M9" s="9" t="n">
        <f aca="false">F9/B9</f>
        <v>0.922354959565121</v>
      </c>
      <c r="N9" s="0" t="n">
        <v>2</v>
      </c>
      <c r="O9" s="8" t="s">
        <v>582</v>
      </c>
      <c r="P9" s="6" t="s">
        <v>583</v>
      </c>
    </row>
    <row r="10" customFormat="false" ht="17.15" hidden="false" customHeight="false" outlineLevel="0" collapsed="false">
      <c r="A10" s="0" t="s">
        <v>584</v>
      </c>
      <c r="B10" s="19" t="n">
        <v>876.45</v>
      </c>
      <c r="C10" s="19" t="n">
        <v>34.59</v>
      </c>
      <c r="D10" s="18" t="n">
        <f aca="false">B10+C10</f>
        <v>911.04</v>
      </c>
      <c r="E10" s="19" t="n">
        <v>147.7</v>
      </c>
      <c r="F10" s="19" t="n">
        <v>763.06</v>
      </c>
      <c r="G10" s="18"/>
      <c r="H10" s="18"/>
      <c r="I10" s="19" t="n">
        <v>0</v>
      </c>
      <c r="J10" s="14" t="n">
        <f aca="false">E10/D10</f>
        <v>0.162122409553916</v>
      </c>
      <c r="K10" s="14" t="n">
        <f aca="false">C10/B10</f>
        <v>0.0394660277254835</v>
      </c>
      <c r="L10" s="9" t="n">
        <f aca="false">F10/(D10-E10)</f>
        <v>0.999633190976498</v>
      </c>
      <c r="M10" s="9" t="n">
        <f aca="false">F10/B10</f>
        <v>0.870625820069599</v>
      </c>
      <c r="N10" s="0" t="n">
        <v>2</v>
      </c>
      <c r="O10" s="8" t="s">
        <v>214</v>
      </c>
      <c r="P10" s="6" t="s">
        <v>585</v>
      </c>
    </row>
    <row r="11" customFormat="false" ht="17.15" hidden="false" customHeight="false" outlineLevel="0" collapsed="false">
      <c r="A11" s="0" t="s">
        <v>586</v>
      </c>
      <c r="B11" s="18" t="n">
        <f aca="false">SUM(B8:B10)</f>
        <v>2301.40124</v>
      </c>
      <c r="C11" s="18" t="n">
        <f aca="false">SUM(C8:C10)</f>
        <v>159.25</v>
      </c>
      <c r="D11" s="18" t="n">
        <f aca="false">SUM(D8:D10)</f>
        <v>2460.65124</v>
      </c>
      <c r="E11" s="18" t="n">
        <f aca="false">SUM(E8:E10)</f>
        <v>418.6121</v>
      </c>
      <c r="F11" s="18" t="n">
        <f aca="false">SUM(F8:F10)</f>
        <v>2042.1</v>
      </c>
      <c r="G11" s="18"/>
      <c r="H11" s="18"/>
      <c r="I11" s="18" t="n">
        <f aca="false">SUM(I8:I10)</f>
        <v>63.2</v>
      </c>
      <c r="J11" s="14" t="n">
        <f aca="false">E11/D11</f>
        <v>0.170122483509691</v>
      </c>
      <c r="K11" s="14" t="n">
        <f aca="false">C11/B11</f>
        <v>0.0691969732318385</v>
      </c>
      <c r="L11" s="9" t="n">
        <f aca="false">F11/(D11-E11)</f>
        <v>1.00002980354236</v>
      </c>
      <c r="M11" s="9" t="n">
        <f aca="false">F11/B11</f>
        <v>0.887328973543092</v>
      </c>
      <c r="O11" s="8" t="s">
        <v>121</v>
      </c>
      <c r="P11" s="6" t="s">
        <v>587</v>
      </c>
    </row>
    <row r="13" customFormat="false" ht="17.15" hidden="false" customHeight="false" outlineLevel="0" collapsed="false">
      <c r="A13" s="1" t="s">
        <v>588</v>
      </c>
    </row>
    <row r="14" customFormat="false" ht="17.15" hidden="false" customHeight="false" outlineLevel="0" collapsed="false">
      <c r="A14" s="6" t="s">
        <v>589</v>
      </c>
      <c r="B14" s="14" t="n">
        <f aca="false">(E6+E7+E11)/(D6+D7+D11)</f>
        <v>0.165580350953154</v>
      </c>
      <c r="P14" s="6" t="s">
        <v>590</v>
      </c>
    </row>
    <row r="15" customFormat="false" ht="17.15" hidden="false" customHeight="false" outlineLevel="0" collapsed="false">
      <c r="A15" s="6" t="s">
        <v>591</v>
      </c>
      <c r="B15" s="14" t="n">
        <f aca="false">(SUM(C4:C7)+C11-I11)/(SUM(B4:B7)+B11)</f>
        <v>0.0481460113069807</v>
      </c>
      <c r="P15" s="6" t="s">
        <v>592</v>
      </c>
    </row>
    <row r="16" customFormat="false" ht="17.15" hidden="false" customHeight="false" outlineLevel="0" collapsed="false">
      <c r="A16" s="6" t="s">
        <v>593</v>
      </c>
      <c r="B16" s="9" t="n">
        <f aca="false">(1+B15)*(1-B14)</f>
        <v>0.874593626904623</v>
      </c>
      <c r="P16" s="6" t="s">
        <v>594</v>
      </c>
    </row>
    <row r="17" customFormat="false" ht="17.15" hidden="false" customHeight="false" outlineLevel="0" collapsed="false">
      <c r="A17" s="6" t="s">
        <v>595</v>
      </c>
      <c r="B17" s="9" t="n">
        <f aca="false">(F6+F7)/(B6+B7)</f>
        <v>0.886343128287919</v>
      </c>
    </row>
    <row r="18" customFormat="false" ht="17.15" hidden="false" customHeight="false" outlineLevel="0" collapsed="false">
      <c r="A18" s="6" t="s">
        <v>596</v>
      </c>
      <c r="B18" s="9" t="n">
        <f aca="false">M11</f>
        <v>0.887328973543092</v>
      </c>
      <c r="P18" s="6" t="s">
        <v>597</v>
      </c>
    </row>
    <row r="19" customFormat="false" ht="17.15" hidden="false" customHeight="false" outlineLevel="0" collapsed="false">
      <c r="A19" s="6" t="s">
        <v>598</v>
      </c>
      <c r="B19" s="9" t="n">
        <f aca="false">(F11-I11*(1-B14))/B11</f>
        <v>0.864414533026079</v>
      </c>
      <c r="P19" s="8" t="s">
        <v>599</v>
      </c>
    </row>
    <row r="20" customFormat="false" ht="17.15" hidden="false" customHeight="false" outlineLevel="0" collapsed="false">
      <c r="A20" s="6" t="s">
        <v>600</v>
      </c>
      <c r="B20" s="9" t="n">
        <f aca="false">M5</f>
        <v>0.909166874667651</v>
      </c>
      <c r="P20" s="8" t="s">
        <v>601</v>
      </c>
    </row>
    <row r="21" customFormat="false" ht="17.15" hidden="false" customHeight="false" outlineLevel="0" collapsed="false">
      <c r="A21" s="6" t="s">
        <v>602</v>
      </c>
      <c r="B21" s="14" t="n">
        <f aca="false">(SUM(C4:C7)+C11)/(SUM(B4:B7)+B11)</f>
        <v>0.0564592945007984</v>
      </c>
      <c r="P21" s="6" t="s">
        <v>603</v>
      </c>
    </row>
    <row r="22" customFormat="false" ht="17.15" hidden="false" customHeight="false" outlineLevel="0" collapsed="false">
      <c r="A22" s="6" t="s">
        <v>604</v>
      </c>
      <c r="B22" s="9" t="n">
        <f aca="false">(1+B21)*(1-B14)</f>
        <v>0.881530393749635</v>
      </c>
      <c r="P22" s="6" t="s">
        <v>605</v>
      </c>
    </row>
    <row r="25" customFormat="false" ht="17.15" hidden="false" customHeight="false" outlineLevel="0" collapsed="false">
      <c r="A25" s="6" t="s">
        <v>606</v>
      </c>
    </row>
    <row r="27" customFormat="false" ht="17.15" hidden="false" customHeight="false" outlineLevel="0" collapsed="false">
      <c r="A27" s="6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608</v>
      </c>
    </row>
    <row r="2" customFormat="false" ht="17.15" hidden="false" customHeight="false" outlineLevel="0" collapsed="false">
      <c r="A2" s="6" t="s">
        <v>609</v>
      </c>
      <c r="B2" s="0" t="s">
        <v>610</v>
      </c>
    </row>
    <row r="3" customFormat="false" ht="17.15" hidden="false" customHeight="false" outlineLevel="0" collapsed="false">
      <c r="A3" s="6" t="s">
        <v>611</v>
      </c>
      <c r="B3" s="0" t="s">
        <v>612</v>
      </c>
    </row>
    <row r="4" customFormat="false" ht="17.15" hidden="false" customHeight="false" outlineLevel="0" collapsed="false">
      <c r="A4" s="6" t="s">
        <v>613</v>
      </c>
      <c r="B4" s="0" t="s">
        <v>614</v>
      </c>
    </row>
    <row r="5" customFormat="false" ht="17.15" hidden="false" customHeight="false" outlineLevel="0" collapsed="false">
      <c r="A5" s="6" t="s">
        <v>615</v>
      </c>
      <c r="B5" s="0" t="s">
        <v>616</v>
      </c>
    </row>
    <row r="6" customFormat="false" ht="15" hidden="false" customHeight="false" outlineLevel="0" collapsed="false">
      <c r="A6" s="0" t="s">
        <v>617</v>
      </c>
      <c r="B6" s="0" t="s">
        <v>618</v>
      </c>
    </row>
    <row r="7" customFormat="false" ht="15" hidden="false" customHeight="false" outlineLevel="0" collapsed="false">
      <c r="A7" s="0" t="s">
        <v>619</v>
      </c>
      <c r="B7" s="0" t="s">
        <v>620</v>
      </c>
    </row>
    <row r="8" customFormat="false" ht="17.15" hidden="false" customHeight="false" outlineLevel="0" collapsed="false">
      <c r="A8" s="6" t="s">
        <v>621</v>
      </c>
      <c r="B8" s="0" t="s">
        <v>622</v>
      </c>
    </row>
    <row r="9" customFormat="false" ht="17.15" hidden="false" customHeight="false" outlineLevel="0" collapsed="false">
      <c r="A9" s="0" t="s">
        <v>623</v>
      </c>
      <c r="B9" s="0" t="s">
        <v>624</v>
      </c>
    </row>
    <row r="10" customFormat="false" ht="17.15" hidden="false" customHeight="false" outlineLevel="0" collapsed="false">
      <c r="A10" s="6" t="s">
        <v>625</v>
      </c>
      <c r="B10" s="0" t="s">
        <v>626</v>
      </c>
    </row>
    <row r="11" customFormat="false" ht="17.15" hidden="false" customHeight="false" outlineLevel="0" collapsed="false">
      <c r="A11" s="0" t="s">
        <v>627</v>
      </c>
      <c r="B11" s="0" t="s">
        <v>628</v>
      </c>
    </row>
    <row r="12" customFormat="false" ht="17.15" hidden="false" customHeight="false" outlineLevel="0" collapsed="false">
      <c r="A12" s="0" t="s">
        <v>629</v>
      </c>
      <c r="B12" s="0" t="s">
        <v>630</v>
      </c>
    </row>
    <row r="13" customFormat="false" ht="15" hidden="false" customHeight="false" outlineLevel="0" collapsed="false">
      <c r="A13" s="0" t="s">
        <v>631</v>
      </c>
      <c r="B13" s="0" t="s">
        <v>632</v>
      </c>
    </row>
    <row r="14" customFormat="false" ht="17.15" hidden="false" customHeight="false" outlineLevel="0" collapsed="false">
      <c r="A14" s="6" t="s">
        <v>633</v>
      </c>
      <c r="B14" s="0" t="s">
        <v>634</v>
      </c>
    </row>
    <row r="15" customFormat="false" ht="17.15" hidden="false" customHeight="false" outlineLevel="0" collapsed="false">
      <c r="A15" s="6" t="s">
        <v>635</v>
      </c>
      <c r="B15" s="0" t="s">
        <v>636</v>
      </c>
    </row>
    <row r="16" customFormat="false" ht="17.15" hidden="false" customHeight="false" outlineLevel="0" collapsed="false">
      <c r="A16" s="6" t="s">
        <v>637</v>
      </c>
      <c r="B16" s="0" t="s">
        <v>638</v>
      </c>
    </row>
    <row r="17" customFormat="false" ht="17.15" hidden="false" customHeight="false" outlineLevel="0" collapsed="false">
      <c r="A17" s="6" t="s">
        <v>639</v>
      </c>
      <c r="B17" s="0" t="s">
        <v>640</v>
      </c>
    </row>
    <row r="18" customFormat="false" ht="17.15" hidden="false" customHeight="false" outlineLevel="0" collapsed="false">
      <c r="A18" s="6" t="s">
        <v>641</v>
      </c>
      <c r="B18" s="0" t="s">
        <v>642</v>
      </c>
    </row>
    <row r="19" customFormat="false" ht="17.15" hidden="false" customHeight="false" outlineLevel="0" collapsed="false">
      <c r="A19" s="6" t="s">
        <v>643</v>
      </c>
      <c r="B19" s="0" t="s">
        <v>644</v>
      </c>
    </row>
    <row r="20" customFormat="false" ht="17.15" hidden="false" customHeight="false" outlineLevel="0" collapsed="false">
      <c r="A20" s="6" t="s">
        <v>645</v>
      </c>
      <c r="B20" s="0" t="s">
        <v>646</v>
      </c>
    </row>
    <row r="21" customFormat="false" ht="17.15" hidden="false" customHeight="false" outlineLevel="0" collapsed="false">
      <c r="A21" s="6" t="s">
        <v>647</v>
      </c>
      <c r="B21" s="0" t="s">
        <v>648</v>
      </c>
    </row>
    <row r="22" customFormat="false" ht="17.15" hidden="false" customHeight="false" outlineLevel="0" collapsed="false">
      <c r="A22" s="6" t="s">
        <v>649</v>
      </c>
      <c r="B22" s="0" t="s">
        <v>650</v>
      </c>
    </row>
    <row r="23" customFormat="false" ht="17.15" hidden="false" customHeight="false" outlineLevel="0" collapsed="false">
      <c r="A23" s="6" t="s">
        <v>651</v>
      </c>
      <c r="B23" s="0" t="s">
        <v>652</v>
      </c>
    </row>
    <row r="24" customFormat="false" ht="17.15" hidden="false" customHeight="false" outlineLevel="0" collapsed="false">
      <c r="A24" s="6" t="s">
        <v>653</v>
      </c>
      <c r="B24" s="0" t="s">
        <v>654</v>
      </c>
    </row>
    <row r="25" customFormat="false" ht="17.15" hidden="false" customHeight="false" outlineLevel="0" collapsed="false">
      <c r="A25" s="6" t="s">
        <v>655</v>
      </c>
      <c r="B25" s="0" t="s">
        <v>656</v>
      </c>
    </row>
    <row r="26" customFormat="false" ht="17.15" hidden="false" customHeight="false" outlineLevel="0" collapsed="false">
      <c r="A26" s="6" t="s">
        <v>657</v>
      </c>
      <c r="B26" s="0" t="s">
        <v>658</v>
      </c>
    </row>
    <row r="27" customFormat="false" ht="17.15" hidden="false" customHeight="false" outlineLevel="0" collapsed="false">
      <c r="A27" s="6" t="s">
        <v>659</v>
      </c>
      <c r="B27" s="0" t="s">
        <v>660</v>
      </c>
    </row>
    <row r="28" customFormat="false" ht="17.15" hidden="false" customHeight="false" outlineLevel="0" collapsed="false">
      <c r="A28" s="6" t="s">
        <v>661</v>
      </c>
      <c r="B28" s="0" t="s">
        <v>662</v>
      </c>
    </row>
    <row r="29" customFormat="false" ht="17.15" hidden="false" customHeight="false" outlineLevel="0" collapsed="false">
      <c r="A29" s="6" t="s">
        <v>663</v>
      </c>
      <c r="B29" s="0" t="s">
        <v>664</v>
      </c>
    </row>
    <row r="30" customFormat="false" ht="17.15" hidden="false" customHeight="false" outlineLevel="0" collapsed="false">
      <c r="A30" s="6" t="s">
        <v>665</v>
      </c>
      <c r="B30" s="0" t="s">
        <v>666</v>
      </c>
    </row>
    <row r="31" customFormat="false" ht="17.15" hidden="false" customHeight="false" outlineLevel="0" collapsed="false">
      <c r="A31" s="6" t="s">
        <v>667</v>
      </c>
      <c r="B31" s="0" t="s">
        <v>668</v>
      </c>
    </row>
    <row r="32" customFormat="false" ht="17.15" hidden="false" customHeight="false" outlineLevel="0" collapsed="false">
      <c r="A32" s="6" t="s">
        <v>669</v>
      </c>
      <c r="B32" s="0" t="s">
        <v>670</v>
      </c>
    </row>
    <row r="33" customFormat="false" ht="17.15" hidden="false" customHeight="false" outlineLevel="0" collapsed="false">
      <c r="A33" s="6" t="s">
        <v>671</v>
      </c>
      <c r="B33" s="0" t="s">
        <v>672</v>
      </c>
    </row>
    <row r="34" customFormat="false" ht="17.15" hidden="false" customHeight="false" outlineLevel="0" collapsed="false">
      <c r="A34" s="6" t="s">
        <v>673</v>
      </c>
      <c r="B34" s="0" t="s">
        <v>638</v>
      </c>
    </row>
    <row r="35" customFormat="false" ht="17.15" hidden="false" customHeight="false" outlineLevel="0" collapsed="false">
      <c r="A35" s="6" t="s">
        <v>674</v>
      </c>
      <c r="B35" s="0" t="s">
        <v>675</v>
      </c>
    </row>
    <row r="36" customFormat="false" ht="17.15" hidden="false" customHeight="false" outlineLevel="0" collapsed="false">
      <c r="A36" s="6" t="s">
        <v>676</v>
      </c>
      <c r="B36" s="0" t="s">
        <v>677</v>
      </c>
    </row>
    <row r="37" customFormat="false" ht="17.15" hidden="false" customHeight="false" outlineLevel="0" collapsed="false">
      <c r="A37" s="6" t="s">
        <v>678</v>
      </c>
      <c r="B37" s="0" t="s">
        <v>679</v>
      </c>
    </row>
    <row r="38" customFormat="false" ht="17.15" hidden="false" customHeight="false" outlineLevel="0" collapsed="false">
      <c r="A38" s="6" t="s">
        <v>680</v>
      </c>
      <c r="B38" s="0" t="s">
        <v>681</v>
      </c>
    </row>
    <row r="39" customFormat="false" ht="17.15" hidden="false" customHeight="false" outlineLevel="0" collapsed="false">
      <c r="A39" s="6" t="s">
        <v>682</v>
      </c>
      <c r="B39" s="6" t="s">
        <v>683</v>
      </c>
    </row>
    <row r="40" customFormat="false" ht="17.15" hidden="false" customHeight="false" outlineLevel="0" collapsed="false">
      <c r="A40" s="0" t="s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2026-10-25T03:06:02Z</dcterms:created>
  <dc:creator>openpyxl</dc:creator>
  <dc:description/>
  <dc:language>en-US</dc:language>
  <cp:lastModifiedBy/>
  <dcterms:modified xsi:type="dcterms:W3CDTF">2026-10-25T03:06:02Z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